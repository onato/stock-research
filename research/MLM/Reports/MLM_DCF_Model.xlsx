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<sst xmlns="http://schemas.openxmlformats.org/spreadsheetml/2006/main" count="387" uniqueCount="174">
  <si>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</si>
  <si>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MLM</t>
  </si>
  <si>
    <t xml:space="preserve">Company</t>
  </si>
  <si>
    <t xml:space="preserve">Martin Marietta Materials,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</si>
  <si>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</si>
  <si>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</si>
  <si>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</si>
  <si>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</si>
  <si>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2026-10-01T20:02:03Z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</si>
  <si>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</si>
  <si>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</si>
  <si>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</si>
  <si>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</si>
  <si>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</si>
  <si>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</si>
  <si>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</si>
  <si>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</si>
  <si>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</si>
  <si>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</si>
  <si>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</si>
  <si>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</si>
  <si>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2026-10-02T01:05:22Z</t>
  </si>
  <si>
    <t xml:space="preserve">Drivers file</t>
  </si>
  <si>
    <t xml:space="preserve">MLM_Drivers.json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</si>
  <si>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</si>
  <si>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</si>
  <si>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</si>
  <si>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Martin Marietta is valued as a standalone owner of a locally monopolistic, permit-protected aggregates reserve base: the model capitalises the cash the quarries throw off after real reinvestment, SBC and cash tax, at a USD WACC of 8%, with cyclicality and the Lhoist leverage/integration risk carried in the scenario paths and weights rather than in the discount rate. The FY2024-25 capex peak and the cement exit mean trailing FCF understates the run-rate, so the forward build starts from guided FY2026 capex of ~$575m and lets capex normalise to 9.5% of revenue rather than carrying the 13% trailing intensity forward. The valuation is deliberately pre-Lhoist: the deal is roughly value-neutral per share at the announced terms, and modelling it from press-release figures would add assumption risk without adding information.
key_risks_to_valuation: Lhoist North America: ~$7bn of new debt and ~10.6m new shares (~15% dilution) on a deal whose standalone economics are not in the filings; overpayment or synergy shortfall is not in the base case, and regulatory divestitures could change the terms; Energy and diesel cost inflation compressing unit margins faster than mid-single-digit pricing can recover (the explicit reason FY2026 EBITDA guidance was held while revenue guidance rose); IIJA reimbursements peak in 2026-27 with no successor programme yet legislated; the growth path decays but does not go negative, which assumes an orderly roll-off; Construction-cycle sensitivity of volumes (residential, private nonresidential) and Texas/Southeast weather concentration; Terminal value is 18x FCF-capped and roughly two-thirds of enterprise value; each 1pp of WACC moves the base value by roughly 15%; Year-1 is discounted a full period although three quarters of FY2026 have elapsed -- a ~5% conservative timing bias</t>
  </si>
  <si>
    <t xml:space="preserve">Data sources</t>
  </si>
  <si>
    <t xml:space="preserve">price: Yahoo Finance chart API regular close at `inputs.price_as_of`; 52-week range 470.19-710.97, price at the bottom of the range
financials: research/MLM/Reports/MLM_Metrics.csv (SEC XBRL companyfacts, FY2007-Q2 2026, USD millions) and the MLM.duckdb kpis table (buybacks, cash taxes, D&amp;A, equity-award taxes). Balance sheet and share count from the Q2-2026 10-Q (30-Jun-2026); owner-FCF components from the FY2025 10-K.
qualitative: research/MLM/Reports/MLM_Analysis.json (2026-10-02): business model, moat, Quikrete exchange, New Frontier, Lhoist North America terms, FY2026 guidance (revenue $7.2-7.4bn, adjusted EBITDA $2.36-2.50bn, capex ~$575m) from the Q2-2026 earnings release</t>
  </si>
  <si>
    <t xml:space="preserve">Scenario narrative: bear</t>
  </si>
  <si>
    <t xml:space="preserve">Energy costs stay elevated and unhedged, IIJA disbursements fade after 2027 without a comparable successor, and a rate-driven construction recession takes private nonresidential and residential volumes down together in 2028 (revenue flat, margin trough at 30%). Into that downturn MLM is carrying ~$7bn of Lhoist acquisition debt and a 15% larger share count, so bolt-on M&amp;A and buybacks stop while synergies lag; pricing holds but cannot outrun cost. Margins recover only to 32% and growth settles at 3%, with a 15x terminal cap reflecting a leveraged cyclical rather than a compounder.</t>
  </si>
  <si>
    <t xml:space="preserve">Scenario narrative: base</t>
  </si>
  <si>
    <t xml:space="preserve">Aggregates-led compounding continues as it has for a decade: mid-single-digit pricing on a locally permitted, freight-protected reserve base, low-single-digit volumes, and ~50bp a year of margin expansion as price outruns unit cost. FY2026 lands on the raised $7.2-7.4bn guide with the EBITDA guide held (energy costs absorb the revenue beat). IIJA peak disbursement in 2026-27 and Sun Belt data-centre/power construction offset soft residential and private nonresidential work; growth decays toward 3% by the end of the decade as the federal programme rolls off. Capex normalises to ~9.5% of revenue after the FY2024-25 plant build-out. Lhoist North America is treated as value-neutral and excluded.</t>
  </si>
  <si>
    <t xml:space="preserve">Scenario narrative: bull</t>
  </si>
  <si>
    <t xml:space="preserve">The infrastructure and data-centre cycle extends: IIJA is reauthorised at or above current levels in 2027, residential recovers on lower rates, and MLM's Sun Belt footprint takes an outsized share of the power-grid and reshoring build. Pricing stays mid-to-high single digits with volumes positive every year, so margins climb to 37% -- the pure-play aggregates level the SOAR portfolio strategy has been targeting -- and capex settles at 9% of revenue. Lhoist closes and the $85m synergy target is met, but no credit is taken for it here.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</si>
  <si>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</si>
  <si>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</si>
  <si>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</si>
  <si>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</si>
  <si>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</si>
  <si>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</si>
  <si>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</si>
  <si>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</si>
  <si>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</si>
  <si>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</si>
  <si>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</si>
  <si>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</si>
  <si>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</si>
  <si>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</si>
  <si>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</si>
  <si>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</si>
  <si>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</si>
  <si>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</si>
  <si>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</si>
  <si>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</si>
  <si>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</si>
  <si>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</si>
  <si>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</si>
  <si>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</si>
  <si>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</si>
  <si>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</si>
  <si>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</si>
  <si>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</si>
  <si>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</si>
  <si>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</si>
  <si>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</si>
  <si>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</si>
  <si>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</si>
  <si>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</si>
  <si>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</si>
  <si>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</si>
  <si>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</si>
  <si>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</si>
  <si>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</si>
  <si>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</si>
  <si>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</si>
  <si>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</si>
  <si>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</si>
  <si>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</si>
  <si>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</si>
  <si>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</si>
  <si>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</si>
  <si>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</si>
  <si>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</si>
  <si>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</si>
  <si>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</si>
  <si>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</si>
  <si>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</si>
  <si>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</si>
  <si>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</si>
  <si>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</si>
  <si>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</si>
  <si>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</si>
  <si>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</si>
  <si>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</si>
  <si>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</si>
  <si>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</si>
  <si>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</si>
  <si>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</si>
  <si>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</si>
  <si>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</si>
  <si>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</si>
  <si>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</si>
  <si>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</si>
  <si>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</si>
  <si>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</si>
  <si>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</si>
  <si>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</si>
  <si>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</si>
  <si>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</si>
  <si>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</si>
  <si>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</si>
  <si>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</si>
  <si>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</si>
  <si>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</si>
  <si>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</si>
  <si>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</si>
  <si>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</si>
  <si>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MLM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</si>
  <si>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</si>
  <si>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</si>
  <si>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</si>
  <si>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</si>
  <si>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</si>
  <si>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</si>
  <si>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</si>
  <si>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</si>
  <si>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</si>
  <si>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</si>
  <si>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</si>
  <si>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</si>
  <si>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</si>
  <si>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</si>
  <si>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</si>
  <si>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</si>
  <si>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</si>
  <si>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</si>
  <si>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</si>
  <si>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</si>
  <si>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</si>
  <si>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</si>
  <si>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</si>
  <si>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</si>
  <si>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</si>
  <si>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</si>
  <si>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</si>
  <si>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</si>
  <si>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</si>
  <si>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</si>
  <si>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MLM owner-FCF component DCF: base case (millions, USD)</t>
  </si>
  <si>
    <t xml:space="preserve">MLM owner-FCF component DCF: bull case (millions, USD)</t>
  </si>
  <si>
    <t xml:space="preserve">MLM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</si>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</sst>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479.17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991.988</v>
      </c>
      <c r="S2" s="0" t="n">
        <v>20.038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2116.421</v>
      </c>
      <c r="C3" s="0" t="n">
        <v>1645.906</v>
      </c>
      <c r="D3" s="0" t="n">
        <v>470.515</v>
      </c>
      <c r="E3" s="0" t="n">
        <v>22.2316353882333</v>
      </c>
      <c r="F3" s="0" t="n">
        <v>323.386</v>
      </c>
      <c r="G3" s="0" t="n">
        <v>15.2798521655191</v>
      </c>
      <c r="H3" s="0" t="n">
        <v>494.515</v>
      </c>
      <c r="I3" s="0" t="n">
        <v>179.75</v>
      </c>
      <c r="J3" s="0" t="n">
        <v>8.49311172021068</v>
      </c>
      <c r="K3" s="0" t="n">
        <v>4.2</v>
      </c>
      <c r="L3" s="0" t="n">
        <v>345.634</v>
      </c>
      <c r="M3" s="0" t="n">
        <v>258.246</v>
      </c>
      <c r="N3" s="0" t="n">
        <v>87.388</v>
      </c>
      <c r="O3" s="0" t="n">
        <v>1067.26</v>
      </c>
      <c r="S3" s="0" t="n">
        <v>37.794</v>
      </c>
      <c r="T3" s="0" t="n">
        <v>41.617</v>
      </c>
      <c r="U3" s="0" t="n">
        <v>21.865</v>
      </c>
      <c r="V3" s="0" t="n">
        <v>1.49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1573.316</v>
      </c>
      <c r="C4" s="0" t="n">
        <v>1241.749</v>
      </c>
      <c r="D4" s="0" t="n">
        <v>331.567</v>
      </c>
      <c r="E4" s="0" t="n">
        <v>21.0744059044718</v>
      </c>
      <c r="F4" s="0" t="n">
        <v>182.912</v>
      </c>
      <c r="G4" s="0" t="n">
        <v>11.6258907937121</v>
      </c>
      <c r="H4" s="0" t="n">
        <v>362.303</v>
      </c>
      <c r="I4" s="0" t="n">
        <v>88.164</v>
      </c>
      <c r="J4" s="0" t="n">
        <v>5.60370580353851</v>
      </c>
      <c r="K4" s="0" t="n">
        <v>1.92</v>
      </c>
      <c r="L4" s="0" t="n">
        <v>318.368</v>
      </c>
      <c r="M4" s="0" t="n">
        <v>139.23</v>
      </c>
      <c r="N4" s="0" t="n">
        <v>179.138</v>
      </c>
      <c r="O4" s="0" t="n">
        <v>1406.411</v>
      </c>
      <c r="P4" s="0" t="n">
        <v>3239.283</v>
      </c>
      <c r="Q4" s="0" t="n">
        <v>1832.872</v>
      </c>
      <c r="R4" s="0" t="n">
        <v>1249.611</v>
      </c>
      <c r="S4" s="0" t="n">
        <v>263.591</v>
      </c>
      <c r="T4" s="0" t="n">
        <v>45.399</v>
      </c>
      <c r="U4" s="0" t="n">
        <v>20.552</v>
      </c>
      <c r="V4" s="0" t="n">
        <v>1.6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1652.806</v>
      </c>
      <c r="C5" s="0" t="n">
        <v>1331.155</v>
      </c>
      <c r="D5" s="0" t="n">
        <v>321.651</v>
      </c>
      <c r="E5" s="0" t="n">
        <v>19.4609046675774</v>
      </c>
      <c r="F5" s="0" t="n">
        <v>198.307</v>
      </c>
      <c r="G5" s="0" t="n">
        <v>11.9982018458307</v>
      </c>
      <c r="H5" s="0" t="n">
        <v>379.844</v>
      </c>
      <c r="I5" s="0" t="n">
        <v>98.664</v>
      </c>
      <c r="J5" s="0" t="n">
        <v>5.96948462190965</v>
      </c>
      <c r="K5" s="0" t="n">
        <v>2.11</v>
      </c>
      <c r="L5" s="0" t="n">
        <v>269.808</v>
      </c>
      <c r="M5" s="0" t="n">
        <v>135.916</v>
      </c>
      <c r="N5" s="0" t="n">
        <v>133.892</v>
      </c>
      <c r="O5" s="0" t="n">
        <v>1468.259</v>
      </c>
      <c r="P5" s="0" t="n">
        <v>3074.743</v>
      </c>
      <c r="Q5" s="0" t="n">
        <v>1606.484</v>
      </c>
      <c r="R5" s="0" t="n">
        <v>1279.473</v>
      </c>
      <c r="S5" s="0" t="n">
        <v>70.323</v>
      </c>
      <c r="T5" s="0" t="n">
        <v>45.659</v>
      </c>
      <c r="U5" s="0" t="n">
        <v>14.675</v>
      </c>
      <c r="V5" s="0" t="n">
        <v>1.6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1713.616</v>
      </c>
      <c r="C6" s="0" t="n">
        <v>1411.614</v>
      </c>
      <c r="D6" s="0" t="n">
        <v>302.002</v>
      </c>
      <c r="E6" s="0" t="n">
        <v>17.6236683130877</v>
      </c>
      <c r="F6" s="0" t="n">
        <v>161.009</v>
      </c>
      <c r="G6" s="0" t="n">
        <v>9.39586231687846</v>
      </c>
      <c r="H6" s="0" t="n">
        <v>334.416</v>
      </c>
      <c r="I6" s="0" t="n">
        <v>83.573</v>
      </c>
      <c r="J6" s="0" t="n">
        <v>4.87699694680722</v>
      </c>
      <c r="K6" s="0" t="n">
        <v>1.79</v>
      </c>
      <c r="L6" s="0" t="n">
        <v>259.094</v>
      </c>
      <c r="M6" s="0" t="n">
        <v>155.363</v>
      </c>
      <c r="N6" s="0" t="n">
        <v>103.731</v>
      </c>
      <c r="O6" s="0" t="n">
        <v>1448.864</v>
      </c>
      <c r="P6" s="0" t="n">
        <v>3147.822</v>
      </c>
      <c r="Q6" s="0" t="n">
        <v>1698.958</v>
      </c>
      <c r="R6" s="0" t="n">
        <v>1067.266</v>
      </c>
      <c r="S6" s="0" t="n">
        <v>26.022</v>
      </c>
      <c r="T6" s="0" t="n">
        <v>45.793</v>
      </c>
      <c r="U6" s="0" t="n">
        <v>11.522</v>
      </c>
      <c r="V6" s="0" t="n">
        <v>1.6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2031.901</v>
      </c>
      <c r="C7" s="0" t="n">
        <v>1704.767</v>
      </c>
      <c r="D7" s="0" t="n">
        <v>327.134</v>
      </c>
      <c r="E7" s="0" t="n">
        <v>16.0998985678928</v>
      </c>
      <c r="F7" s="0" t="n">
        <v>156.17</v>
      </c>
      <c r="G7" s="0" t="n">
        <v>7.68590595703236</v>
      </c>
      <c r="H7" s="0" t="n">
        <v>333.381</v>
      </c>
      <c r="I7" s="0" t="n">
        <v>85.527</v>
      </c>
      <c r="J7" s="0" t="n">
        <v>4.20921098025937</v>
      </c>
      <c r="K7" s="0" t="n">
        <v>1.83</v>
      </c>
      <c r="L7" s="0" t="n">
        <v>222.689</v>
      </c>
      <c r="M7" s="0" t="n">
        <v>151.023</v>
      </c>
      <c r="N7" s="0" t="n">
        <v>71.666</v>
      </c>
      <c r="O7" s="0" t="n">
        <v>1450.299</v>
      </c>
      <c r="P7" s="0" t="n">
        <v>3160.926</v>
      </c>
      <c r="Q7" s="0" t="n">
        <v>1710.627</v>
      </c>
      <c r="R7" s="0" t="n">
        <v>1053.535</v>
      </c>
      <c r="S7" s="0" t="n">
        <v>25.394</v>
      </c>
      <c r="T7" s="0" t="n">
        <v>46.002</v>
      </c>
      <c r="U7" s="0" t="n">
        <v>7.781</v>
      </c>
      <c r="V7" s="0" t="n">
        <v>1.6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2155.551</v>
      </c>
      <c r="C8" s="0" t="n">
        <v>1791.594</v>
      </c>
      <c r="D8" s="0" t="n">
        <v>363.957</v>
      </c>
      <c r="E8" s="0" t="n">
        <v>16.8846387768139</v>
      </c>
      <c r="F8" s="0" t="n">
        <v>217.988</v>
      </c>
      <c r="G8" s="0" t="n">
        <v>10.1128667333782</v>
      </c>
      <c r="H8" s="0" t="n">
        <v>391.749</v>
      </c>
      <c r="I8" s="0" t="n">
        <v>121.337</v>
      </c>
      <c r="J8" s="0" t="n">
        <v>5.62904797891583</v>
      </c>
      <c r="K8" s="0" t="n">
        <v>2.62</v>
      </c>
      <c r="L8" s="0" t="n">
        <v>308.951</v>
      </c>
      <c r="M8" s="0" t="n">
        <v>155.233</v>
      </c>
      <c r="N8" s="0" t="n">
        <v>153.718</v>
      </c>
      <c r="O8" s="0" t="n">
        <v>1574.919</v>
      </c>
      <c r="P8" s="0" t="n">
        <v>3185.005</v>
      </c>
      <c r="Q8" s="0" t="n">
        <v>1684.907</v>
      </c>
      <c r="R8" s="0" t="n">
        <v>1043.324</v>
      </c>
      <c r="S8" s="0" t="n">
        <v>42.437</v>
      </c>
      <c r="T8" s="0" t="n">
        <v>46.285</v>
      </c>
      <c r="U8" s="0" t="n">
        <v>7.008</v>
      </c>
      <c r="V8" s="0" t="n">
        <v>1.6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2957.951</v>
      </c>
      <c r="C9" s="0" t="n">
        <v>2435.591</v>
      </c>
      <c r="D9" s="0" t="n">
        <v>522.36</v>
      </c>
      <c r="E9" s="0" t="n">
        <v>17.6595217432608</v>
      </c>
      <c r="F9" s="0" t="n">
        <v>314.873</v>
      </c>
      <c r="G9" s="0" t="n">
        <v>10.6449701161378</v>
      </c>
      <c r="H9" s="0" t="n">
        <v>537.619</v>
      </c>
      <c r="I9" s="0" t="n">
        <v>155.601</v>
      </c>
      <c r="J9" s="0" t="n">
        <v>5.26043196793997</v>
      </c>
      <c r="K9" s="0" t="n">
        <v>2.73</v>
      </c>
      <c r="L9" s="0" t="n">
        <v>381.658</v>
      </c>
      <c r="M9" s="0" t="n">
        <v>232.183</v>
      </c>
      <c r="N9" s="0" t="n">
        <v>149.475</v>
      </c>
      <c r="O9" s="0" t="n">
        <v>4352.748</v>
      </c>
      <c r="P9" s="0" t="n">
        <v>7214.517</v>
      </c>
      <c r="Q9" s="0" t="n">
        <v>2867.006</v>
      </c>
      <c r="R9" s="0" t="n">
        <v>1599.731</v>
      </c>
      <c r="S9" s="0" t="n">
        <v>108.651</v>
      </c>
      <c r="T9" s="0" t="n">
        <v>67.293</v>
      </c>
      <c r="U9" s="0" t="n">
        <v>8.993</v>
      </c>
      <c r="V9" s="0" t="n">
        <v>1.6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3539.57</v>
      </c>
      <c r="C10" s="0" t="n">
        <v>2812.65</v>
      </c>
      <c r="D10" s="0" t="n">
        <v>726.92</v>
      </c>
      <c r="E10" s="0" t="n">
        <v>20.5369578790644</v>
      </c>
      <c r="F10" s="0" t="n">
        <v>494.167</v>
      </c>
      <c r="G10" s="0" t="n">
        <v>13.961215627887</v>
      </c>
      <c r="H10" s="0" t="n">
        <v>757.754</v>
      </c>
      <c r="I10" s="0" t="n">
        <v>288.938</v>
      </c>
      <c r="J10" s="0" t="n">
        <v>8.16308195628283</v>
      </c>
      <c r="K10" s="0" t="n">
        <v>4.31</v>
      </c>
      <c r="L10" s="0" t="n">
        <v>580.6</v>
      </c>
      <c r="M10" s="0" t="n">
        <v>318.232</v>
      </c>
      <c r="N10" s="0" t="n">
        <v>262.368</v>
      </c>
      <c r="O10" s="0" t="n">
        <v>4060.177</v>
      </c>
      <c r="P10" s="0" t="n">
        <v>6957.611</v>
      </c>
      <c r="Q10" s="0" t="n">
        <v>2897.434</v>
      </c>
      <c r="R10" s="0" t="n">
        <v>1587.487</v>
      </c>
      <c r="S10" s="0" t="n">
        <v>168.409</v>
      </c>
      <c r="T10" s="0" t="n">
        <v>67.02</v>
      </c>
      <c r="U10" s="0" t="n">
        <v>13.589</v>
      </c>
      <c r="V10" s="0" t="n">
        <v>1.64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3818.749</v>
      </c>
      <c r="C11" s="0" t="n">
        <v>2907.011</v>
      </c>
      <c r="D11" s="0" t="n">
        <v>911.738</v>
      </c>
      <c r="E11" s="0" t="n">
        <v>23.8753057611275</v>
      </c>
      <c r="F11" s="0" t="n">
        <v>677.266</v>
      </c>
      <c r="G11" s="0" t="n">
        <v>17.7352845133315</v>
      </c>
      <c r="H11" s="0" t="n">
        <v>962.519</v>
      </c>
      <c r="I11" s="0" t="n">
        <v>425.444</v>
      </c>
      <c r="J11" s="0" t="n">
        <v>11.1409259943505</v>
      </c>
      <c r="K11" s="0" t="n">
        <v>6.66</v>
      </c>
      <c r="L11" s="0" t="n">
        <v>688.94</v>
      </c>
      <c r="M11" s="0" t="n">
        <v>387.267</v>
      </c>
      <c r="N11" s="0" t="n">
        <v>301.673</v>
      </c>
      <c r="O11" s="0" t="n">
        <v>4142.6</v>
      </c>
      <c r="P11" s="0" t="n">
        <v>7300.905</v>
      </c>
      <c r="Q11" s="0" t="n">
        <v>3158.315</v>
      </c>
      <c r="R11" s="0" t="n">
        <v>1866.225</v>
      </c>
      <c r="S11" s="0" t="n">
        <v>50.038</v>
      </c>
      <c r="T11" s="0" t="n">
        <v>63.861</v>
      </c>
      <c r="U11" s="0" t="n">
        <v>20.481</v>
      </c>
      <c r="V11" s="0" t="n">
        <v>1.72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3965.6</v>
      </c>
      <c r="C12" s="0" t="n">
        <v>2993.7</v>
      </c>
      <c r="D12" s="0" t="n">
        <v>971.9</v>
      </c>
      <c r="E12" s="0" t="n">
        <v>24.5082711317329</v>
      </c>
      <c r="F12" s="0" t="n">
        <v>700.4</v>
      </c>
      <c r="G12" s="0" t="n">
        <v>17.6618922735526</v>
      </c>
      <c r="H12" s="0" t="n">
        <v>997.6</v>
      </c>
      <c r="I12" s="0" t="n">
        <v>713.4</v>
      </c>
      <c r="J12" s="0" t="n">
        <v>17.989711519064</v>
      </c>
      <c r="K12" s="0" t="n">
        <v>11.3</v>
      </c>
      <c r="L12" s="0" t="n">
        <v>657.6</v>
      </c>
      <c r="M12" s="0" t="n">
        <v>410.3</v>
      </c>
      <c r="N12" s="0" t="n">
        <v>247.3</v>
      </c>
      <c r="O12" s="0" t="n">
        <v>4682.5</v>
      </c>
      <c r="P12" s="0" t="n">
        <v>8992.5</v>
      </c>
      <c r="Q12" s="0" t="n">
        <v>4310.034</v>
      </c>
      <c r="R12" s="0" t="n">
        <v>3327.112</v>
      </c>
      <c r="S12" s="0" t="n">
        <v>1446.364</v>
      </c>
      <c r="T12" s="0" t="n">
        <v>63.2</v>
      </c>
      <c r="U12" s="0" t="n">
        <v>30.5</v>
      </c>
      <c r="V12" s="0" t="n">
        <v>1.72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4244.3</v>
      </c>
      <c r="C13" s="0" t="n">
        <v>3277.7</v>
      </c>
      <c r="D13" s="0" t="n">
        <v>966.6</v>
      </c>
      <c r="E13" s="0" t="n">
        <v>22.774073463233</v>
      </c>
      <c r="F13" s="0" t="n">
        <v>690.7</v>
      </c>
      <c r="G13" s="0" t="n">
        <v>16.2735904625027</v>
      </c>
      <c r="H13" s="0" t="n">
        <v>1034.7</v>
      </c>
      <c r="I13" s="0" t="n">
        <v>470.4</v>
      </c>
      <c r="J13" s="0" t="n">
        <v>11.0830996866386</v>
      </c>
      <c r="K13" s="0" t="n">
        <v>7.46</v>
      </c>
      <c r="L13" s="0" t="n">
        <v>705.1</v>
      </c>
      <c r="M13" s="0" t="n">
        <v>376</v>
      </c>
      <c r="N13" s="0" t="n">
        <v>329.1</v>
      </c>
      <c r="O13" s="0" t="n">
        <v>4949.4</v>
      </c>
      <c r="P13" s="0" t="n">
        <v>9551.4</v>
      </c>
      <c r="Q13" s="0" t="n">
        <v>4602</v>
      </c>
      <c r="R13" s="0" t="n">
        <v>3510.4</v>
      </c>
      <c r="S13" s="0" t="n">
        <v>44.9</v>
      </c>
      <c r="T13" s="0" t="n">
        <v>63.1</v>
      </c>
      <c r="U13" s="0" t="n">
        <v>29.3</v>
      </c>
      <c r="V13" s="0" t="n">
        <v>1.84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4739.1</v>
      </c>
      <c r="C14" s="0" t="n">
        <v>3560.1</v>
      </c>
      <c r="D14" s="0" t="n">
        <v>1179</v>
      </c>
      <c r="E14" s="0" t="n">
        <v>24.8781414192568</v>
      </c>
      <c r="F14" s="0" t="n">
        <v>884.9</v>
      </c>
      <c r="G14" s="0" t="n">
        <v>18.6723217488553</v>
      </c>
      <c r="H14" s="0" t="n">
        <v>1256.4</v>
      </c>
      <c r="I14" s="0" t="n">
        <v>612</v>
      </c>
      <c r="J14" s="0" t="n">
        <v>12.9138444008356</v>
      </c>
      <c r="K14" s="0" t="n">
        <v>9.77</v>
      </c>
      <c r="L14" s="0" t="n">
        <v>966.1</v>
      </c>
      <c r="M14" s="0" t="n">
        <v>393.5</v>
      </c>
      <c r="N14" s="0" t="n">
        <v>572.6</v>
      </c>
      <c r="O14" s="0" t="n">
        <v>5353.3</v>
      </c>
      <c r="P14" s="0" t="n">
        <v>10131.6</v>
      </c>
      <c r="Q14" s="0" t="n">
        <v>4778.3</v>
      </c>
      <c r="R14" s="0" t="n">
        <v>3113.6</v>
      </c>
      <c r="S14" s="0" t="n">
        <v>21</v>
      </c>
      <c r="T14" s="0" t="n">
        <v>62.7</v>
      </c>
      <c r="U14" s="0" t="n">
        <v>34.1</v>
      </c>
      <c r="V14" s="0" t="n">
        <v>2.06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4729.9</v>
      </c>
      <c r="C15" s="0" t="n">
        <v>3477.1</v>
      </c>
      <c r="D15" s="0" t="n">
        <v>1252.8</v>
      </c>
      <c r="E15" s="0" t="n">
        <v>26.4868179031269</v>
      </c>
      <c r="F15" s="0" t="n">
        <v>1005.4</v>
      </c>
      <c r="G15" s="0" t="n">
        <v>21.2562633459481</v>
      </c>
      <c r="H15" s="0" t="n">
        <v>1398.9</v>
      </c>
      <c r="I15" s="0" t="n">
        <v>721.1</v>
      </c>
      <c r="J15" s="0" t="n">
        <v>15.2455654453583</v>
      </c>
      <c r="K15" s="0" t="n">
        <v>11.56</v>
      </c>
      <c r="L15" s="0" t="n">
        <v>1050.1</v>
      </c>
      <c r="M15" s="0" t="n">
        <v>359.7</v>
      </c>
      <c r="N15" s="0" t="n">
        <v>690.4</v>
      </c>
      <c r="O15" s="0" t="n">
        <v>5893.3</v>
      </c>
      <c r="P15" s="0" t="n">
        <v>10580.8</v>
      </c>
      <c r="Q15" s="0" t="n">
        <v>4687.5</v>
      </c>
      <c r="R15" s="0" t="n">
        <v>2625.8</v>
      </c>
      <c r="S15" s="0" t="n">
        <v>207.3</v>
      </c>
      <c r="T15" s="0" t="n">
        <v>62.4</v>
      </c>
      <c r="U15" s="0" t="n">
        <v>30</v>
      </c>
      <c r="V15" s="0" t="n">
        <v>2.24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5414</v>
      </c>
      <c r="C16" s="0" t="n">
        <v>4065.6</v>
      </c>
      <c r="D16" s="0" t="n">
        <v>1348.4</v>
      </c>
      <c r="E16" s="0" t="n">
        <v>24.9057997783524</v>
      </c>
      <c r="F16" s="0" t="n">
        <v>973.8</v>
      </c>
      <c r="G16" s="0" t="n">
        <v>17.9867011451792</v>
      </c>
      <c r="H16" s="0" t="n">
        <v>1425.5</v>
      </c>
      <c r="I16" s="0" t="n">
        <v>702.8</v>
      </c>
      <c r="J16" s="0" t="n">
        <v>12.9811599556705</v>
      </c>
      <c r="K16" s="0" t="n">
        <v>11.26</v>
      </c>
      <c r="L16" s="0" t="n">
        <v>1137.7</v>
      </c>
      <c r="M16" s="0" t="n">
        <v>423.1</v>
      </c>
      <c r="N16" s="0" t="n">
        <v>714.6</v>
      </c>
      <c r="O16" s="0" t="n">
        <v>6537</v>
      </c>
      <c r="P16" s="0" t="n">
        <v>14393</v>
      </c>
      <c r="Q16" s="0" t="n">
        <v>7855.4</v>
      </c>
      <c r="R16" s="0" t="n">
        <v>5101</v>
      </c>
      <c r="S16" s="0" t="n">
        <v>258.4</v>
      </c>
      <c r="T16" s="0" t="n">
        <v>62.6</v>
      </c>
      <c r="U16" s="0" t="n">
        <v>43</v>
      </c>
      <c r="V16" s="0" t="n">
        <v>2.36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6161</v>
      </c>
      <c r="C17" s="0" t="n">
        <v>4738</v>
      </c>
      <c r="D17" s="0" t="n">
        <v>1423</v>
      </c>
      <c r="E17" s="0" t="n">
        <v>23.0968998539198</v>
      </c>
      <c r="F17" s="0" t="n">
        <v>1207</v>
      </c>
      <c r="G17" s="0" t="n">
        <v>19.5909754909917</v>
      </c>
      <c r="H17" s="0" t="n">
        <v>1713</v>
      </c>
      <c r="I17" s="0" t="n">
        <v>867</v>
      </c>
      <c r="J17" s="0" t="n">
        <v>14.0723908456419</v>
      </c>
      <c r="K17" s="0" t="n">
        <v>13.91</v>
      </c>
      <c r="L17" s="0" t="n">
        <v>991</v>
      </c>
      <c r="M17" s="0" t="n">
        <v>482</v>
      </c>
      <c r="N17" s="0" t="n">
        <v>509</v>
      </c>
      <c r="O17" s="0" t="n">
        <v>7173</v>
      </c>
      <c r="P17" s="0" t="n">
        <v>14993.6</v>
      </c>
      <c r="Q17" s="0" t="n">
        <v>7820.8</v>
      </c>
      <c r="R17" s="0" t="n">
        <v>5739.1</v>
      </c>
      <c r="S17" s="0" t="n">
        <v>358</v>
      </c>
      <c r="T17" s="0" t="n">
        <v>62.5</v>
      </c>
      <c r="U17" s="0" t="n">
        <v>43</v>
      </c>
      <c r="V17" s="0" t="n">
        <v>2.54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5851</v>
      </c>
      <c r="C18" s="0" t="n">
        <v>4106</v>
      </c>
      <c r="D18" s="0" t="n">
        <v>1745</v>
      </c>
      <c r="E18" s="0" t="n">
        <v>29.823961715946</v>
      </c>
      <c r="F18" s="0" t="n">
        <v>1333</v>
      </c>
      <c r="G18" s="0" t="n">
        <v>22.7824303537857</v>
      </c>
      <c r="H18" s="0" t="n">
        <v>1846</v>
      </c>
      <c r="I18" s="0" t="n">
        <v>1170</v>
      </c>
      <c r="J18" s="0" t="n">
        <v>19.9965817808922</v>
      </c>
      <c r="K18" s="0" t="n">
        <v>18.88</v>
      </c>
      <c r="L18" s="0" t="n">
        <v>1528</v>
      </c>
      <c r="M18" s="0" t="n">
        <v>650</v>
      </c>
      <c r="N18" s="0" t="n">
        <v>878</v>
      </c>
      <c r="O18" s="0" t="n">
        <v>8036</v>
      </c>
      <c r="P18" s="0" t="n">
        <v>15125</v>
      </c>
      <c r="Q18" s="0" t="n">
        <v>7089</v>
      </c>
      <c r="R18" s="0" t="n">
        <v>4746</v>
      </c>
      <c r="S18" s="0" t="n">
        <v>1272</v>
      </c>
      <c r="T18" s="0" t="n">
        <v>62.1</v>
      </c>
      <c r="U18" s="0" t="n">
        <v>50</v>
      </c>
      <c r="V18" s="0" t="n">
        <v>2.8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5662</v>
      </c>
      <c r="C19" s="0" t="n">
        <v>4026</v>
      </c>
      <c r="D19" s="0" t="n">
        <v>1636</v>
      </c>
      <c r="E19" s="0" t="n">
        <v>28.8943836100318</v>
      </c>
      <c r="F19" s="0" t="n">
        <v>2479</v>
      </c>
      <c r="G19" s="0" t="n">
        <v>43.783115506888</v>
      </c>
      <c r="H19" s="0" t="n">
        <v>3052</v>
      </c>
      <c r="I19" s="0" t="n">
        <v>1996</v>
      </c>
      <c r="J19" s="0" t="n">
        <v>35.2525609325327</v>
      </c>
      <c r="K19" s="0" t="n">
        <v>32.5</v>
      </c>
      <c r="L19" s="0" t="n">
        <v>1459</v>
      </c>
      <c r="M19" s="0" t="n">
        <v>855</v>
      </c>
      <c r="N19" s="0" t="n">
        <v>604</v>
      </c>
      <c r="O19" s="0" t="n">
        <v>9456</v>
      </c>
      <c r="P19" s="0" t="n">
        <v>18170</v>
      </c>
      <c r="Q19" s="0" t="n">
        <v>8714</v>
      </c>
      <c r="R19" s="0" t="n">
        <v>5538</v>
      </c>
      <c r="S19" s="0" t="n">
        <v>670</v>
      </c>
      <c r="T19" s="0" t="n">
        <v>61.6</v>
      </c>
      <c r="U19" s="0" t="n">
        <v>58</v>
      </c>
      <c r="V19" s="0" t="n">
        <v>3.06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6150</v>
      </c>
      <c r="C20" s="0" t="n">
        <v>4261</v>
      </c>
      <c r="D20" s="0" t="n">
        <v>1889</v>
      </c>
      <c r="E20" s="0" t="n">
        <v>30.7154471544715</v>
      </c>
      <c r="F20" s="0" t="n">
        <v>1437</v>
      </c>
      <c r="G20" s="0" t="n">
        <v>23.3658536585366</v>
      </c>
      <c r="H20" s="0" t="n">
        <v>2074</v>
      </c>
      <c r="I20" s="0" t="n">
        <v>1137</v>
      </c>
      <c r="J20" s="0" t="n">
        <v>18.4878048780488</v>
      </c>
      <c r="K20" s="0" t="n">
        <v>18.81</v>
      </c>
      <c r="L20" s="0" t="n">
        <v>1785</v>
      </c>
      <c r="M20" s="0" t="n">
        <v>807</v>
      </c>
      <c r="N20" s="0" t="n">
        <v>978</v>
      </c>
      <c r="O20" s="0" t="n">
        <v>10034</v>
      </c>
      <c r="P20" s="0" t="n">
        <v>18711</v>
      </c>
      <c r="Q20" s="0" t="n">
        <v>8677</v>
      </c>
      <c r="R20" s="0" t="n">
        <v>5353</v>
      </c>
      <c r="S20" s="0" t="n">
        <v>67</v>
      </c>
      <c r="T20" s="0" t="n">
        <v>60.6</v>
      </c>
      <c r="U20" s="0" t="n">
        <v>46</v>
      </c>
      <c r="V20" s="0" t="n">
        <v>3.24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479.17</v>
      </c>
    </row>
    <row r="3" customFormat="false" ht="15" hidden="false" customHeight="false" outlineLevel="0" collapsed="false">
      <c r="A3" s="0" t="s">
        <v>85</v>
      </c>
      <c r="B3" s="3" t="n">
        <v>60.4</v>
      </c>
    </row>
    <row r="4" customFormat="false" ht="15" hidden="false" customHeight="false" outlineLevel="0" collapsed="false">
      <c r="A4" s="0" t="s">
        <v>86</v>
      </c>
      <c r="B4" s="3" t="n">
        <v>6699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6150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17</v>
      </c>
      <c r="D13" s="3" t="n">
        <v>3</v>
      </c>
      <c r="E13" s="3" t="n">
        <v>0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106</v>
      </c>
      <c r="C14" s="3" t="n">
        <v>32.5</v>
      </c>
      <c r="D14" s="3" t="n">
        <v>31.5</v>
      </c>
      <c r="E14" s="3" t="n">
        <v>30</v>
      </c>
      <c r="F14" s="3" t="n">
        <v>30.5</v>
      </c>
      <c r="G14" s="3" t="n">
        <v>31</v>
      </c>
      <c r="H14" s="3" t="n">
        <v>31.5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107</v>
      </c>
      <c r="C15" s="3" t="n">
        <v>1.2</v>
      </c>
      <c r="D15" s="3" t="n">
        <v>1.2</v>
      </c>
      <c r="E15" s="3" t="n">
        <v>1.2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10.8</v>
      </c>
      <c r="D17" s="3" t="n">
        <v>10.8</v>
      </c>
      <c r="E17" s="3" t="n">
        <v>10.8</v>
      </c>
      <c r="F17" s="3" t="n">
        <v>10.6</v>
      </c>
      <c r="G17" s="3" t="n">
        <v>10.4</v>
      </c>
      <c r="H17" s="3" t="n">
        <v>10.2</v>
      </c>
      <c r="I17" s="3" t="n">
        <v>10</v>
      </c>
      <c r="J17" s="3" t="n">
        <v>10</v>
      </c>
      <c r="K17" s="3" t="n">
        <v>10</v>
      </c>
      <c r="L17" s="3" t="n">
        <v>10</v>
      </c>
    </row>
    <row r="18" customFormat="false" ht="15" hidden="false" customHeight="false" outlineLevel="0" collapsed="false">
      <c r="A18" s="0" t="s">
        <v>110</v>
      </c>
      <c r="C18" s="3" t="n">
        <v>8</v>
      </c>
      <c r="D18" s="3" t="n">
        <v>9</v>
      </c>
      <c r="E18" s="3" t="n">
        <v>9.5</v>
      </c>
      <c r="F18" s="3" t="n">
        <v>10</v>
      </c>
      <c r="G18" s="3" t="n">
        <v>10</v>
      </c>
      <c r="H18" s="3" t="n">
        <v>10</v>
      </c>
      <c r="I18" s="3" t="n">
        <v>10</v>
      </c>
      <c r="J18" s="3" t="n">
        <v>10</v>
      </c>
      <c r="K18" s="3" t="n">
        <v>10</v>
      </c>
      <c r="L18" s="3" t="n">
        <v>10</v>
      </c>
    </row>
    <row r="19" customFormat="false" ht="15" hidden="false" customHeight="false" outlineLevel="0" collapsed="false">
      <c r="A19" s="0" t="s">
        <v>111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112</v>
      </c>
      <c r="B20" s="3" t="n">
        <v>8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-8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18.5</v>
      </c>
      <c r="D27" s="3" t="n">
        <v>7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33</v>
      </c>
      <c r="D28" s="3" t="n">
        <v>33.5</v>
      </c>
      <c r="E28" s="3" t="n">
        <v>34</v>
      </c>
      <c r="F28" s="3" t="n">
        <v>34.5</v>
      </c>
      <c r="G28" s="3" t="n">
        <v>35</v>
      </c>
      <c r="H28" s="3" t="n">
        <v>35</v>
      </c>
      <c r="I28" s="3" t="n">
        <v>35</v>
      </c>
      <c r="J28" s="3" t="n">
        <v>35</v>
      </c>
      <c r="K28" s="3" t="n">
        <v>35</v>
      </c>
      <c r="L28" s="3" t="n">
        <v>35</v>
      </c>
    </row>
    <row r="29" customFormat="false" ht="15" hidden="false" customHeight="false" outlineLevel="0" collapsed="false">
      <c r="A29" s="0" t="s">
        <v>107</v>
      </c>
      <c r="C29" s="3" t="n">
        <v>1.2</v>
      </c>
      <c r="D29" s="3" t="n">
        <v>1.2</v>
      </c>
      <c r="E29" s="3" t="n">
        <v>1.2</v>
      </c>
      <c r="F29" s="3" t="n">
        <v>1.2</v>
      </c>
      <c r="G29" s="3" t="n">
        <v>1.2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10.8</v>
      </c>
      <c r="D31" s="3" t="n">
        <v>10.6</v>
      </c>
      <c r="E31" s="3" t="n">
        <v>10.4</v>
      </c>
      <c r="F31" s="3" t="n">
        <v>10.2</v>
      </c>
      <c r="G31" s="3" t="n">
        <v>10</v>
      </c>
      <c r="H31" s="3" t="n">
        <v>10</v>
      </c>
      <c r="I31" s="3" t="n">
        <v>10</v>
      </c>
      <c r="J31" s="3" t="n">
        <v>10</v>
      </c>
      <c r="K31" s="3" t="n">
        <v>10</v>
      </c>
      <c r="L31" s="3" t="n">
        <v>10</v>
      </c>
    </row>
    <row r="32" customFormat="false" ht="15" hidden="false" customHeight="false" outlineLevel="0" collapsed="false">
      <c r="A32" s="0" t="s">
        <v>110</v>
      </c>
      <c r="C32" s="3" t="n">
        <v>8</v>
      </c>
      <c r="D32" s="3" t="n">
        <v>8.5</v>
      </c>
      <c r="E32" s="3" t="n">
        <v>9</v>
      </c>
      <c r="F32" s="3" t="n">
        <v>9.5</v>
      </c>
      <c r="G32" s="3" t="n">
        <v>9.5</v>
      </c>
      <c r="H32" s="3" t="n">
        <v>9.5</v>
      </c>
      <c r="I32" s="3" t="n">
        <v>9.5</v>
      </c>
      <c r="J32" s="3" t="n">
        <v>9.5</v>
      </c>
      <c r="K32" s="3" t="n">
        <v>9.5</v>
      </c>
      <c r="L32" s="3" t="n">
        <v>9.5</v>
      </c>
    </row>
    <row r="33" customFormat="false" ht="15" hidden="false" customHeight="false" outlineLevel="0" collapsed="false">
      <c r="A33" s="0" t="s">
        <v>111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112</v>
      </c>
      <c r="B34" s="3" t="n">
        <v>8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-8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19.5</v>
      </c>
      <c r="D41" s="3" t="n">
        <v>9</v>
      </c>
      <c r="E41" s="3" t="n">
        <v>8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33.6</v>
      </c>
      <c r="D42" s="3" t="n">
        <v>34.5</v>
      </c>
      <c r="E42" s="3" t="n">
        <v>35.5</v>
      </c>
      <c r="F42" s="3" t="n">
        <v>36</v>
      </c>
      <c r="G42" s="3" t="n">
        <v>36.5</v>
      </c>
      <c r="H42" s="3" t="n">
        <v>37</v>
      </c>
      <c r="I42" s="3" t="n">
        <v>37</v>
      </c>
      <c r="J42" s="3" t="n">
        <v>37</v>
      </c>
      <c r="K42" s="3" t="n">
        <v>37</v>
      </c>
      <c r="L42" s="3" t="n">
        <v>37</v>
      </c>
    </row>
    <row r="43" customFormat="false" ht="15" hidden="false" customHeight="false" outlineLevel="0" collapsed="false">
      <c r="A43" s="0" t="s">
        <v>107</v>
      </c>
      <c r="C43" s="3" t="n">
        <v>1.2</v>
      </c>
      <c r="D43" s="3" t="n">
        <v>1.2</v>
      </c>
      <c r="E43" s="3" t="n">
        <v>1.2</v>
      </c>
      <c r="F43" s="3" t="n">
        <v>1.2</v>
      </c>
      <c r="G43" s="3" t="n">
        <v>1.2</v>
      </c>
      <c r="H43" s="3" t="n">
        <v>1.2</v>
      </c>
      <c r="I43" s="3" t="n">
        <v>1.2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10.8</v>
      </c>
      <c r="D45" s="3" t="n">
        <v>10.5</v>
      </c>
      <c r="E45" s="3" t="n">
        <v>10.2</v>
      </c>
      <c r="F45" s="3" t="n">
        <v>10</v>
      </c>
      <c r="G45" s="3" t="n">
        <v>10</v>
      </c>
      <c r="H45" s="3" t="n">
        <v>10</v>
      </c>
      <c r="I45" s="3" t="n">
        <v>10</v>
      </c>
      <c r="J45" s="3" t="n">
        <v>10</v>
      </c>
      <c r="K45" s="3" t="n">
        <v>10</v>
      </c>
      <c r="L45" s="3" t="n">
        <v>10</v>
      </c>
    </row>
    <row r="46" customFormat="false" ht="15" hidden="false" customHeight="false" outlineLevel="0" collapsed="false">
      <c r="A46" s="0" t="s">
        <v>110</v>
      </c>
      <c r="C46" s="3" t="n">
        <v>8</v>
      </c>
      <c r="D46" s="3" t="n">
        <v>8.5</v>
      </c>
      <c r="E46" s="3" t="n">
        <v>9</v>
      </c>
      <c r="F46" s="3" t="n">
        <v>9</v>
      </c>
      <c r="G46" s="3" t="n">
        <v>9</v>
      </c>
      <c r="H46" s="3" t="n">
        <v>9</v>
      </c>
      <c r="I46" s="3" t="n">
        <v>9</v>
      </c>
      <c r="J46" s="3" t="n">
        <v>9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111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-8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17</v>
      </c>
      <c r="D5" s="4" t="n">
        <f aca="false">Assumptions!D13</f>
        <v>3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6150</v>
      </c>
      <c r="C6" s="0" t="n">
        <f aca="false">B6*(1+C5/100)</f>
        <v>7195.5</v>
      </c>
      <c r="D6" s="0" t="n">
        <f aca="false">C6*(1+D5/100)</f>
        <v>7411.365</v>
      </c>
      <c r="E6" s="0" t="n">
        <f aca="false">D6*(1+E5/100)</f>
        <v>7411.365</v>
      </c>
      <c r="F6" s="0" t="n">
        <f aca="false">E6*(1+F5/100)</f>
        <v>7559.5923</v>
      </c>
      <c r="G6" s="0" t="n">
        <f aca="false">F6*(1+G5/100)</f>
        <v>7786.380069</v>
      </c>
      <c r="H6" s="0" t="n">
        <f aca="false">G6*(1+H5/100)</f>
        <v>8019.97147107</v>
      </c>
      <c r="I6" s="0" t="n">
        <f aca="false">H6*(1+I5/100)</f>
        <v>8260.5706152021</v>
      </c>
      <c r="J6" s="0" t="n">
        <f aca="false">I6*(1+J5/100)</f>
        <v>8508.38773365817</v>
      </c>
      <c r="K6" s="0" t="n">
        <f aca="false">J6*(1+K5/100)</f>
        <v>8763.63936566791</v>
      </c>
      <c r="L6" s="0" t="n">
        <f aca="false">K6*(1+L5/100)</f>
        <v>9026.54854663795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32.5</v>
      </c>
      <c r="D7" s="4" t="n">
        <f aca="false">Assumptions!D14</f>
        <v>31.5</v>
      </c>
      <c r="E7" s="4" t="n">
        <f aca="false">Assumptions!E14</f>
        <v>30</v>
      </c>
      <c r="F7" s="4" t="n">
        <f aca="false">Assumptions!F14</f>
        <v>30.5</v>
      </c>
      <c r="G7" s="4" t="n">
        <f aca="false">Assumptions!G14</f>
        <v>31</v>
      </c>
      <c r="H7" s="4" t="n">
        <f aca="false">Assumptions!H14</f>
        <v>31.5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2338.5375</v>
      </c>
      <c r="D8" s="0" t="n">
        <f aca="false">D6*D7/100</f>
        <v>2334.579975</v>
      </c>
      <c r="E8" s="0" t="n">
        <f aca="false">E6*E7/100</f>
        <v>2223.4095</v>
      </c>
      <c r="F8" s="0" t="n">
        <f aca="false">F6*F7/100</f>
        <v>2305.6756515</v>
      </c>
      <c r="G8" s="0" t="n">
        <f aca="false">G6*G7/100</f>
        <v>2413.77782139</v>
      </c>
      <c r="H8" s="0" t="n">
        <f aca="false">H6*H7/100</f>
        <v>2526.29101338705</v>
      </c>
      <c r="I8" s="0" t="n">
        <f aca="false">I6*I7/100</f>
        <v>2643.38259686467</v>
      </c>
      <c r="J8" s="0" t="n">
        <f aca="false">J6*J7/100</f>
        <v>2722.68407477061</v>
      </c>
      <c r="K8" s="0" t="n">
        <f aca="false">K6*K7/100</f>
        <v>2804.36459701373</v>
      </c>
      <c r="L8" s="0" t="n">
        <f aca="false">L6*L7/100</f>
        <v>2888.49553492414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-86.346</v>
      </c>
      <c r="D10" s="0" t="n">
        <f aca="false">-D6*D9/100</f>
        <v>-88.93638</v>
      </c>
      <c r="E10" s="0" t="n">
        <f aca="false">-E6*E9/100</f>
        <v>-88.93638</v>
      </c>
      <c r="F10" s="0" t="n">
        <f aca="false">-F6*F9/100</f>
        <v>-90.7151076</v>
      </c>
      <c r="G10" s="0" t="n">
        <f aca="false">-G6*G9/100</f>
        <v>-93.436560828</v>
      </c>
      <c r="H10" s="0" t="n">
        <f aca="false">-H6*H9/100</f>
        <v>-96.23965765284</v>
      </c>
      <c r="I10" s="0" t="n">
        <f aca="false">-I6*I9/100</f>
        <v>-99.1268473824252</v>
      </c>
      <c r="J10" s="0" t="n">
        <f aca="false">-J6*J9/100</f>
        <v>-102.100652803898</v>
      </c>
      <c r="K10" s="0" t="n">
        <f aca="false">-K6*K9/100</f>
        <v>-105.163672388015</v>
      </c>
      <c r="L10" s="0" t="n">
        <f aca="false">-L6*L9/100</f>
        <v>-108.318582559655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2252.1915</v>
      </c>
      <c r="D11" s="0" t="n">
        <f aca="false">D8+D10+D24</f>
        <v>2245.643595</v>
      </c>
      <c r="E11" s="0" t="n">
        <f aca="false">E8+E10+E24</f>
        <v>2134.47312</v>
      </c>
      <c r="F11" s="0" t="n">
        <f aca="false">F8+F10+F24</f>
        <v>2214.9605439</v>
      </c>
      <c r="G11" s="0" t="n">
        <f aca="false">G8+G10+G24</f>
        <v>2320.341260562</v>
      </c>
      <c r="H11" s="0" t="n">
        <f aca="false">H8+H10+H24</f>
        <v>2430.05135573421</v>
      </c>
      <c r="I11" s="0" t="n">
        <f aca="false">I8+I10+I24</f>
        <v>2544.25574948225</v>
      </c>
      <c r="J11" s="0" t="n">
        <f aca="false">J8+J10+J24</f>
        <v>2620.58342196672</v>
      </c>
      <c r="K11" s="0" t="n">
        <f aca="false">K8+K10+K24</f>
        <v>2699.20092462572</v>
      </c>
      <c r="L11" s="0" t="n">
        <f aca="false">L8+L10+L24</f>
        <v>2780.17695236449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-777.114</v>
      </c>
      <c r="D12" s="4" t="n">
        <f aca="false">-D6*Assumptions!D17/100</f>
        <v>-800.42742</v>
      </c>
      <c r="E12" s="4" t="n">
        <f aca="false">-E6*Assumptions!E17/100</f>
        <v>-800.42742</v>
      </c>
      <c r="F12" s="4" t="n">
        <f aca="false">-F6*Assumptions!F17/100</f>
        <v>-801.3167838</v>
      </c>
      <c r="G12" s="4" t="n">
        <f aca="false">-G6*Assumptions!G17/100</f>
        <v>-809.783527176</v>
      </c>
      <c r="H12" s="4" t="n">
        <f aca="false">-H6*Assumptions!H17/100</f>
        <v>-818.03709004914</v>
      </c>
      <c r="I12" s="4" t="n">
        <f aca="false">-I6*Assumptions!I17/100</f>
        <v>-826.05706152021</v>
      </c>
      <c r="J12" s="4" t="n">
        <f aca="false">-J6*Assumptions!J17/100</f>
        <v>-850.838773365817</v>
      </c>
      <c r="K12" s="4" t="n">
        <f aca="false">-K6*Assumptions!K17/100</f>
        <v>-876.363936566791</v>
      </c>
      <c r="L12" s="4" t="n">
        <f aca="false">-L6*Assumptions!L17/100</f>
        <v>-902.654854663795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1475.0775</v>
      </c>
      <c r="D13" s="0" t="n">
        <f aca="false">D11+D12</f>
        <v>1445.216175</v>
      </c>
      <c r="E13" s="0" t="n">
        <f aca="false">E11+E12</f>
        <v>1334.0457</v>
      </c>
      <c r="F13" s="0" t="n">
        <f aca="false">F11+F12</f>
        <v>1413.6437601</v>
      </c>
      <c r="G13" s="0" t="n">
        <f aca="false">G11+G12</f>
        <v>1510.557733386</v>
      </c>
      <c r="H13" s="0" t="n">
        <f aca="false">H11+H12</f>
        <v>1612.01426568507</v>
      </c>
      <c r="I13" s="0" t="n">
        <f aca="false">I11+I12</f>
        <v>1718.19868796204</v>
      </c>
      <c r="J13" s="0" t="n">
        <f aca="false">J11+J12</f>
        <v>1769.7446486009</v>
      </c>
      <c r="K13" s="0" t="n">
        <f aca="false">K11+K12</f>
        <v>1822.83698805893</v>
      </c>
      <c r="L13" s="0" t="n">
        <f aca="false">L11+L12</f>
        <v>1877.52209770069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1150.56045</v>
      </c>
      <c r="D15" s="0" t="n">
        <f aca="false">D13-MAX(0,D13)*D14/100</f>
        <v>1127.2686165</v>
      </c>
      <c r="E15" s="0" t="n">
        <f aca="false">E13-MAX(0,E13)*E14/100</f>
        <v>1040.555646</v>
      </c>
      <c r="F15" s="0" t="n">
        <f aca="false">F13-MAX(0,F13)*F14/100</f>
        <v>1102.642132878</v>
      </c>
      <c r="G15" s="0" t="n">
        <f aca="false">G13-MAX(0,G13)*G14/100</f>
        <v>1178.23503204108</v>
      </c>
      <c r="H15" s="0" t="n">
        <f aca="false">H13-MAX(0,H13)*H14/100</f>
        <v>1257.37112723435</v>
      </c>
      <c r="I15" s="0" t="n">
        <f aca="false">I13-MAX(0,I13)*I14/100</f>
        <v>1340.19497661039</v>
      </c>
      <c r="J15" s="0" t="n">
        <f aca="false">J13-MAX(0,J13)*J14/100</f>
        <v>1380.4008259087</v>
      </c>
      <c r="K15" s="0" t="n">
        <f aca="false">K13-MAX(0,K13)*K14/100</f>
        <v>1421.81285068596</v>
      </c>
      <c r="L15" s="0" t="n">
        <f aca="false">L13-MAX(0,L13)*L14/100</f>
        <v>1464.46723620654</v>
      </c>
    </row>
    <row r="16" customFormat="false" ht="15" hidden="false" customHeight="false" outlineLevel="0" collapsed="false">
      <c r="A16" s="0" t="s">
        <v>127</v>
      </c>
      <c r="C16" s="0" t="n">
        <f aca="false">-C12</f>
        <v>777.114</v>
      </c>
      <c r="D16" s="0" t="n">
        <f aca="false">-D12</f>
        <v>800.42742</v>
      </c>
      <c r="E16" s="0" t="n">
        <f aca="false">-E12</f>
        <v>800.42742</v>
      </c>
      <c r="F16" s="0" t="n">
        <f aca="false">-F12</f>
        <v>801.3167838</v>
      </c>
      <c r="G16" s="0" t="n">
        <f aca="false">-G12</f>
        <v>809.783527176</v>
      </c>
      <c r="H16" s="0" t="n">
        <f aca="false">-H12</f>
        <v>818.03709004914</v>
      </c>
      <c r="I16" s="0" t="n">
        <f aca="false">-I12</f>
        <v>826.05706152021</v>
      </c>
      <c r="J16" s="0" t="n">
        <f aca="false">-J12</f>
        <v>850.838773365817</v>
      </c>
      <c r="K16" s="0" t="n">
        <f aca="false">-K12</f>
        <v>876.363936566791</v>
      </c>
      <c r="L16" s="0" t="n">
        <f aca="false">-L12</f>
        <v>902.654854663795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-575.64</v>
      </c>
      <c r="D17" s="4" t="n">
        <f aca="false">-D6*Assumptions!D18/100</f>
        <v>-667.02285</v>
      </c>
      <c r="E17" s="4" t="n">
        <f aca="false">-E6*Assumptions!E18/100</f>
        <v>-704.079675</v>
      </c>
      <c r="F17" s="4" t="n">
        <f aca="false">-F6*Assumptions!F18/100</f>
        <v>-755.95923</v>
      </c>
      <c r="G17" s="4" t="n">
        <f aca="false">-G6*Assumptions!G18/100</f>
        <v>-778.6380069</v>
      </c>
      <c r="H17" s="4" t="n">
        <f aca="false">-H6*Assumptions!H18/100</f>
        <v>-801.997147107</v>
      </c>
      <c r="I17" s="4" t="n">
        <f aca="false">-I6*Assumptions!I18/100</f>
        <v>-826.05706152021</v>
      </c>
      <c r="J17" s="4" t="n">
        <f aca="false">-J6*Assumptions!J18/100</f>
        <v>-850.838773365817</v>
      </c>
      <c r="K17" s="4" t="n">
        <f aca="false">-K6*Assumptions!K18/100</f>
        <v>-876.363936566791</v>
      </c>
      <c r="L17" s="4" t="n">
        <f aca="false">-L6*Assumptions!L18/100</f>
        <v>-902.654854663795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-83.64</v>
      </c>
      <c r="D18" s="4" t="n">
        <f aca="false">(D6-C6)*Assumptions!$B$23/100</f>
        <v>-17.2692</v>
      </c>
      <c r="E18" s="4" t="n">
        <f aca="false">(E6-D6)*Assumptions!$B$23/100</f>
        <v>-0</v>
      </c>
      <c r="F18" s="4" t="n">
        <f aca="false">(F6-E6)*Assumptions!$B$23/100</f>
        <v>-11.858184</v>
      </c>
      <c r="G18" s="4" t="n">
        <f aca="false">(G6-F6)*Assumptions!$B$23/100</f>
        <v>-18.14302152</v>
      </c>
      <c r="H18" s="4" t="n">
        <f aca="false">(H6-G6)*Assumptions!$B$23/100</f>
        <v>-18.6873121656</v>
      </c>
      <c r="I18" s="4" t="n">
        <f aca="false">(I6-H6)*Assumptions!$B$23/100</f>
        <v>-19.247931530568</v>
      </c>
      <c r="J18" s="4" t="n">
        <f aca="false">(J6-I6)*Assumptions!$B$23/100</f>
        <v>-19.8253694764851</v>
      </c>
      <c r="K18" s="4" t="n">
        <f aca="false">(K6-J6)*Assumptions!$B$23/100</f>
        <v>-20.4201305607797</v>
      </c>
      <c r="L18" s="4" t="n">
        <f aca="false">(L6-K6)*Assumptions!$B$23/100</f>
        <v>-21.0327344776029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1268.39445</v>
      </c>
      <c r="D19" s="0" t="n">
        <f aca="false">D15+D16+D17+D18</f>
        <v>1243.4039865</v>
      </c>
      <c r="E19" s="0" t="n">
        <f aca="false">E15+E16+E17+E18</f>
        <v>1136.903391</v>
      </c>
      <c r="F19" s="0" t="n">
        <f aca="false">F15+F16+F17+F18</f>
        <v>1136.141502678</v>
      </c>
      <c r="G19" s="0" t="n">
        <f aca="false">G15+G16+G17+G18</f>
        <v>1191.23753079708</v>
      </c>
      <c r="H19" s="0" t="n">
        <f aca="false">H15+H16+H17+H18</f>
        <v>1254.72375801089</v>
      </c>
      <c r="I19" s="0" t="n">
        <f aca="false">I15+I16+I17+I18</f>
        <v>1320.94704507982</v>
      </c>
      <c r="J19" s="0" t="n">
        <f aca="false">J15+J16+J17+J18</f>
        <v>1360.57545643222</v>
      </c>
      <c r="K19" s="0" t="n">
        <f aca="false">K15+K16+K17+K18</f>
        <v>1401.39272012518</v>
      </c>
      <c r="L19" s="0" t="n">
        <f aca="false">L15+L16+L17+L18</f>
        <v>1443.43450172894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1174.43930555556</v>
      </c>
      <c r="D21" s="0" t="n">
        <f aca="false">D19*D20</f>
        <v>1066.01850694444</v>
      </c>
      <c r="E21" s="0" t="n">
        <f aca="false">E19*E20</f>
        <v>902.51056670096</v>
      </c>
      <c r="F21" s="0" t="n">
        <f aca="false">F19*F20</f>
        <v>835.097921469352</v>
      </c>
      <c r="G21" s="0" t="n">
        <f aca="false">G19*G20</f>
        <v>810.73624713647</v>
      </c>
      <c r="H21" s="0" t="n">
        <f aca="false">H19*H20</f>
        <v>790.688802427092</v>
      </c>
      <c r="I21" s="0" t="n">
        <f aca="false">I19*I20</f>
        <v>770.759913453972</v>
      </c>
      <c r="J21" s="0" t="n">
        <f aca="false">J19*J20</f>
        <v>735.0765841274</v>
      </c>
      <c r="K21" s="0" t="n">
        <f aca="false">K19*K20</f>
        <v>701.045260788168</v>
      </c>
      <c r="L21" s="0" t="n">
        <f aca="false">L19*L20</f>
        <v>668.589461677605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8454.96257028102</v>
      </c>
    </row>
    <row r="31" customFormat="false" ht="15" hidden="false" customHeight="false" outlineLevel="0" collapsed="false">
      <c r="A31" s="0" t="s">
        <v>136</v>
      </c>
      <c r="B31" s="0" t="n">
        <f aca="false">L19</f>
        <v>1443.43450172894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24538.3865293919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21651.5175259341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21651.5175259341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10028.8419251641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18483.8044954451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11784.8044954451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195.112657209356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-0.592811200180822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633.498001312579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852.931855363325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219.722423048361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11325.4091674117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39.271020878929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18.5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6150</v>
      </c>
      <c r="C6" s="0" t="n">
        <f aca="false">B6*(1+C5/100)</f>
        <v>7287.75</v>
      </c>
      <c r="D6" s="0" t="n">
        <f aca="false">C6*(1+D5/100)</f>
        <v>7797.8925</v>
      </c>
      <c r="E6" s="0" t="n">
        <f aca="false">D6*(1+E5/100)</f>
        <v>8265.76605</v>
      </c>
      <c r="F6" s="0" t="n">
        <f aca="false">E6*(1+F5/100)</f>
        <v>8720.38318275</v>
      </c>
      <c r="G6" s="0" t="n">
        <f aca="false">F6*(1+G5/100)</f>
        <v>9156.4023418875</v>
      </c>
      <c r="H6" s="0" t="n">
        <f aca="false">G6*(1+H5/100)</f>
        <v>9568.44044727244</v>
      </c>
      <c r="I6" s="0" t="n">
        <f aca="false">H6*(1+I5/100)</f>
        <v>9951.17806516334</v>
      </c>
      <c r="J6" s="0" t="n">
        <f aca="false">I6*(1+J5/100)</f>
        <v>10299.4692974441</v>
      </c>
      <c r="K6" s="0" t="n">
        <f aca="false">J6*(1+K5/100)</f>
        <v>10608.4533763674</v>
      </c>
      <c r="L6" s="0" t="n">
        <f aca="false">K6*(1+L5/100)</f>
        <v>10926.7069776584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33</v>
      </c>
      <c r="D7" s="4" t="n">
        <f aca="false">Assumptions!D28</f>
        <v>33.5</v>
      </c>
      <c r="E7" s="4" t="n">
        <f aca="false">Assumptions!E28</f>
        <v>34</v>
      </c>
      <c r="F7" s="4" t="n">
        <f aca="false">Assumptions!F28</f>
        <v>34.5</v>
      </c>
      <c r="G7" s="4" t="n">
        <f aca="false">Assumptions!G28</f>
        <v>35</v>
      </c>
      <c r="H7" s="4" t="n">
        <f aca="false">Assumptions!H28</f>
        <v>35</v>
      </c>
      <c r="I7" s="4" t="n">
        <f aca="false">Assumptions!I28</f>
        <v>35</v>
      </c>
      <c r="J7" s="4" t="n">
        <f aca="false">Assumptions!J28</f>
        <v>35</v>
      </c>
      <c r="K7" s="4" t="n">
        <f aca="false">Assumptions!K28</f>
        <v>35</v>
      </c>
      <c r="L7" s="4" t="n">
        <f aca="false">Assumptions!L28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2404.9575</v>
      </c>
      <c r="D8" s="0" t="n">
        <f aca="false">D6*D7/100</f>
        <v>2612.2939875</v>
      </c>
      <c r="E8" s="0" t="n">
        <f aca="false">E6*E7/100</f>
        <v>2810.360457</v>
      </c>
      <c r="F8" s="0" t="n">
        <f aca="false">F6*F7/100</f>
        <v>3008.53219804875</v>
      </c>
      <c r="G8" s="0" t="n">
        <f aca="false">G6*G7/100</f>
        <v>3204.74081966063</v>
      </c>
      <c r="H8" s="0" t="n">
        <f aca="false">H6*H7/100</f>
        <v>3348.95415654535</v>
      </c>
      <c r="I8" s="0" t="n">
        <f aca="false">I6*I7/100</f>
        <v>3482.91232280717</v>
      </c>
      <c r="J8" s="0" t="n">
        <f aca="false">J6*J7/100</f>
        <v>3604.81425410542</v>
      </c>
      <c r="K8" s="0" t="n">
        <f aca="false">K6*K7/100</f>
        <v>3712.95868172858</v>
      </c>
      <c r="L8" s="0" t="n">
        <f aca="false">L6*L7/100</f>
        <v>3824.34744218044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1.2</v>
      </c>
      <c r="D9" s="4" t="n">
        <f aca="false">Assumptions!D29</f>
        <v>1.2</v>
      </c>
      <c r="E9" s="4" t="n">
        <f aca="false">Assumptions!E29</f>
        <v>1.2</v>
      </c>
      <c r="F9" s="4" t="n">
        <f aca="false">Assumptions!F29</f>
        <v>1.2</v>
      </c>
      <c r="G9" s="4" t="n">
        <f aca="false">Assumptions!G29</f>
        <v>1.2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-87.453</v>
      </c>
      <c r="D10" s="0" t="n">
        <f aca="false">-D6*D9/100</f>
        <v>-93.57471</v>
      </c>
      <c r="E10" s="0" t="n">
        <f aca="false">-E6*E9/100</f>
        <v>-99.1891926</v>
      </c>
      <c r="F10" s="0" t="n">
        <f aca="false">-F6*F9/100</f>
        <v>-104.644598193</v>
      </c>
      <c r="G10" s="0" t="n">
        <f aca="false">-G6*G9/100</f>
        <v>-109.87682810265</v>
      </c>
      <c r="H10" s="0" t="n">
        <f aca="false">-H6*H9/100</f>
        <v>-114.821285367269</v>
      </c>
      <c r="I10" s="0" t="n">
        <f aca="false">-I6*I9/100</f>
        <v>-119.41413678196</v>
      </c>
      <c r="J10" s="0" t="n">
        <f aca="false">-J6*J9/100</f>
        <v>-123.593631569329</v>
      </c>
      <c r="K10" s="0" t="n">
        <f aca="false">-K6*K9/100</f>
        <v>-127.301440516409</v>
      </c>
      <c r="L10" s="0" t="n">
        <f aca="false">-L6*L9/100</f>
        <v>-131.120483731901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2317.5045</v>
      </c>
      <c r="D11" s="0" t="n">
        <f aca="false">D8+D10+D24</f>
        <v>2518.7192775</v>
      </c>
      <c r="E11" s="0" t="n">
        <f aca="false">E8+E10+E24</f>
        <v>2711.1712644</v>
      </c>
      <c r="F11" s="0" t="n">
        <f aca="false">F8+F10+F24</f>
        <v>2903.88759985575</v>
      </c>
      <c r="G11" s="0" t="n">
        <f aca="false">G8+G10+G24</f>
        <v>3094.86399155798</v>
      </c>
      <c r="H11" s="0" t="n">
        <f aca="false">H8+H10+H24</f>
        <v>3234.13287117808</v>
      </c>
      <c r="I11" s="0" t="n">
        <f aca="false">I8+I10+I24</f>
        <v>3363.49818602521</v>
      </c>
      <c r="J11" s="0" t="n">
        <f aca="false">J8+J10+J24</f>
        <v>3481.22062253609</v>
      </c>
      <c r="K11" s="0" t="n">
        <f aca="false">K8+K10+K24</f>
        <v>3585.65724121217</v>
      </c>
      <c r="L11" s="0" t="n">
        <f aca="false">L8+L10+L24</f>
        <v>3693.22695844854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-787.077</v>
      </c>
      <c r="D12" s="4" t="n">
        <f aca="false">-D6*Assumptions!D31/100</f>
        <v>-826.576605</v>
      </c>
      <c r="E12" s="4" t="n">
        <f aca="false">-E6*Assumptions!E31/100</f>
        <v>-859.6396692</v>
      </c>
      <c r="F12" s="4" t="n">
        <f aca="false">-F6*Assumptions!F31/100</f>
        <v>-889.4790846405</v>
      </c>
      <c r="G12" s="4" t="n">
        <f aca="false">-G6*Assumptions!G31/100</f>
        <v>-915.64023418875</v>
      </c>
      <c r="H12" s="4" t="n">
        <f aca="false">-H6*Assumptions!H31/100</f>
        <v>-956.844044727244</v>
      </c>
      <c r="I12" s="4" t="n">
        <f aca="false">-I6*Assumptions!I31/100</f>
        <v>-995.117806516334</v>
      </c>
      <c r="J12" s="4" t="n">
        <f aca="false">-J6*Assumptions!J31/100</f>
        <v>-1029.94692974441</v>
      </c>
      <c r="K12" s="4" t="n">
        <f aca="false">-K6*Assumptions!K31/100</f>
        <v>-1060.84533763674</v>
      </c>
      <c r="L12" s="4" t="n">
        <f aca="false">-L6*Assumptions!L31/100</f>
        <v>-1092.67069776584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1530.4275</v>
      </c>
      <c r="D13" s="0" t="n">
        <f aca="false">D11+D12</f>
        <v>1692.1426725</v>
      </c>
      <c r="E13" s="0" t="n">
        <f aca="false">E11+E12</f>
        <v>1851.5315952</v>
      </c>
      <c r="F13" s="0" t="n">
        <f aca="false">F11+F12</f>
        <v>2014.40851521525</v>
      </c>
      <c r="G13" s="0" t="n">
        <f aca="false">G11+G12</f>
        <v>2179.22375736923</v>
      </c>
      <c r="H13" s="0" t="n">
        <f aca="false">H11+H12</f>
        <v>2277.28882645084</v>
      </c>
      <c r="I13" s="0" t="n">
        <f aca="false">I11+I12</f>
        <v>2368.38037950887</v>
      </c>
      <c r="J13" s="0" t="n">
        <f aca="false">J11+J12</f>
        <v>2451.27369279169</v>
      </c>
      <c r="K13" s="0" t="n">
        <f aca="false">K11+K12</f>
        <v>2524.81190357544</v>
      </c>
      <c r="L13" s="0" t="n">
        <f aca="false">L11+L12</f>
        <v>2600.5562606827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1193.73345</v>
      </c>
      <c r="D15" s="0" t="n">
        <f aca="false">D13-MAX(0,D13)*D14/100</f>
        <v>1319.87128455</v>
      </c>
      <c r="E15" s="0" t="n">
        <f aca="false">E13-MAX(0,E13)*E14/100</f>
        <v>1444.194644256</v>
      </c>
      <c r="F15" s="0" t="n">
        <f aca="false">F13-MAX(0,F13)*F14/100</f>
        <v>1571.2386418679</v>
      </c>
      <c r="G15" s="0" t="n">
        <f aca="false">G13-MAX(0,G13)*G14/100</f>
        <v>1699.794530748</v>
      </c>
      <c r="H15" s="0" t="n">
        <f aca="false">H13-MAX(0,H13)*H14/100</f>
        <v>1776.28528463166</v>
      </c>
      <c r="I15" s="0" t="n">
        <f aca="false">I13-MAX(0,I13)*I14/100</f>
        <v>1847.33669601692</v>
      </c>
      <c r="J15" s="0" t="n">
        <f aca="false">J13-MAX(0,J13)*J14/100</f>
        <v>1911.99348037751</v>
      </c>
      <c r="K15" s="0" t="n">
        <f aca="false">K13-MAX(0,K13)*K14/100</f>
        <v>1969.35328478884</v>
      </c>
      <c r="L15" s="0" t="n">
        <f aca="false">L13-MAX(0,L13)*L14/100</f>
        <v>2028.43388333251</v>
      </c>
    </row>
    <row r="16" customFormat="false" ht="15" hidden="false" customHeight="false" outlineLevel="0" collapsed="false">
      <c r="A16" s="0" t="s">
        <v>127</v>
      </c>
      <c r="C16" s="0" t="n">
        <f aca="false">-C12</f>
        <v>787.077</v>
      </c>
      <c r="D16" s="0" t="n">
        <f aca="false">-D12</f>
        <v>826.576605</v>
      </c>
      <c r="E16" s="0" t="n">
        <f aca="false">-E12</f>
        <v>859.6396692</v>
      </c>
      <c r="F16" s="0" t="n">
        <f aca="false">-F12</f>
        <v>889.4790846405</v>
      </c>
      <c r="G16" s="0" t="n">
        <f aca="false">-G12</f>
        <v>915.64023418875</v>
      </c>
      <c r="H16" s="0" t="n">
        <f aca="false">-H12</f>
        <v>956.844044727244</v>
      </c>
      <c r="I16" s="0" t="n">
        <f aca="false">-I12</f>
        <v>995.117806516334</v>
      </c>
      <c r="J16" s="0" t="n">
        <f aca="false">-J12</f>
        <v>1029.94692974441</v>
      </c>
      <c r="K16" s="0" t="n">
        <f aca="false">-K12</f>
        <v>1060.84533763674</v>
      </c>
      <c r="L16" s="0" t="n">
        <f aca="false">-L12</f>
        <v>1092.67069776584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-583.02</v>
      </c>
      <c r="D17" s="4" t="n">
        <f aca="false">-D6*Assumptions!D32/100</f>
        <v>-662.8208625</v>
      </c>
      <c r="E17" s="4" t="n">
        <f aca="false">-E6*Assumptions!E32/100</f>
        <v>-743.9189445</v>
      </c>
      <c r="F17" s="4" t="n">
        <f aca="false">-F6*Assumptions!F32/100</f>
        <v>-828.43640236125</v>
      </c>
      <c r="G17" s="4" t="n">
        <f aca="false">-G6*Assumptions!G32/100</f>
        <v>-869.858222479313</v>
      </c>
      <c r="H17" s="4" t="n">
        <f aca="false">-H6*Assumptions!H32/100</f>
        <v>-909.001842490882</v>
      </c>
      <c r="I17" s="4" t="n">
        <f aca="false">-I6*Assumptions!I32/100</f>
        <v>-945.361916190517</v>
      </c>
      <c r="J17" s="4" t="n">
        <f aca="false">-J6*Assumptions!J32/100</f>
        <v>-978.449583257185</v>
      </c>
      <c r="K17" s="4" t="n">
        <f aca="false">-K6*Assumptions!K32/100</f>
        <v>-1007.8030707549</v>
      </c>
      <c r="L17" s="4" t="n">
        <f aca="false">-L6*Assumptions!L32/100</f>
        <v>-1038.03716287755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-91.02</v>
      </c>
      <c r="D18" s="4" t="n">
        <f aca="false">(D6-C6)*Assumptions!$B$37/100</f>
        <v>-40.8114000000001</v>
      </c>
      <c r="E18" s="4" t="n">
        <f aca="false">(E6-D6)*Assumptions!$B$37/100</f>
        <v>-37.4298840000001</v>
      </c>
      <c r="F18" s="4" t="n">
        <f aca="false">(F6-E6)*Assumptions!$B$37/100</f>
        <v>-36.36937062</v>
      </c>
      <c r="G18" s="4" t="n">
        <f aca="false">(G6-F6)*Assumptions!$B$37/100</f>
        <v>-34.881532731</v>
      </c>
      <c r="H18" s="4" t="n">
        <f aca="false">(H6-G6)*Assumptions!$B$37/100</f>
        <v>-32.963048430795</v>
      </c>
      <c r="I18" s="4" t="n">
        <f aca="false">(I6-H6)*Assumptions!$B$37/100</f>
        <v>-30.6190094312718</v>
      </c>
      <c r="J18" s="4" t="n">
        <f aca="false">(J6-I6)*Assumptions!$B$37/100</f>
        <v>-27.8632985824574</v>
      </c>
      <c r="K18" s="4" t="n">
        <f aca="false">(K6-J6)*Assumptions!$B$37/100</f>
        <v>-24.7187263138658</v>
      </c>
      <c r="L18" s="4" t="n">
        <f aca="false">(L6-K6)*Assumptions!$B$37/100</f>
        <v>-25.4602881032818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1306.77045</v>
      </c>
      <c r="D19" s="0" t="n">
        <f aca="false">D15+D16+D17+D18</f>
        <v>1442.81562705</v>
      </c>
      <c r="E19" s="0" t="n">
        <f aca="false">E15+E16+E17+E18</f>
        <v>1522.485484956</v>
      </c>
      <c r="F19" s="0" t="n">
        <f aca="false">F15+F16+F17+F18</f>
        <v>1595.91195352715</v>
      </c>
      <c r="G19" s="0" t="n">
        <f aca="false">G15+G16+G17+G18</f>
        <v>1710.69500972643</v>
      </c>
      <c r="H19" s="0" t="n">
        <f aca="false">H15+H16+H17+H18</f>
        <v>1791.16443843722</v>
      </c>
      <c r="I19" s="0" t="n">
        <f aca="false">I15+I16+I17+I18</f>
        <v>1866.47357691147</v>
      </c>
      <c r="J19" s="0" t="n">
        <f aca="false">J15+J16+J17+J18</f>
        <v>1935.62752828228</v>
      </c>
      <c r="K19" s="0" t="n">
        <f aca="false">K15+K16+K17+K18</f>
        <v>1997.67682535681</v>
      </c>
      <c r="L19" s="0" t="n">
        <f aca="false">L15+L16+L17+L18</f>
        <v>2057.60713011752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1209.97263888889</v>
      </c>
      <c r="D21" s="0" t="n">
        <f aca="false">D19*D20</f>
        <v>1236.98184760802</v>
      </c>
      <c r="E21" s="0" t="n">
        <f aca="false">E19*E20</f>
        <v>1208.5980644433</v>
      </c>
      <c r="F21" s="0" t="n">
        <f aca="false">F19*F20</f>
        <v>1173.04292827716</v>
      </c>
      <c r="G21" s="0" t="n">
        <f aca="false">G19*G20</f>
        <v>1164.2702788693</v>
      </c>
      <c r="H21" s="0" t="n">
        <f aca="false">H19*H20</f>
        <v>1128.73742585627</v>
      </c>
      <c r="I21" s="0" t="n">
        <f aca="false">I19*I20</f>
        <v>1089.0694051384</v>
      </c>
      <c r="J21" s="0" t="n">
        <f aca="false">J19*J20</f>
        <v>1045.75932551638</v>
      </c>
      <c r="K21" s="0" t="n">
        <f aca="false">K19*K20</f>
        <v>999.335768547197</v>
      </c>
      <c r="L21" s="0" t="n">
        <f aca="false">L19*L20</f>
        <v>953.070223707049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11208.837906852</v>
      </c>
    </row>
    <row r="31" customFormat="false" ht="15" hidden="false" customHeight="false" outlineLevel="0" collapsed="false">
      <c r="A31" s="0" t="s">
        <v>136</v>
      </c>
      <c r="B31" s="0" t="n">
        <f aca="false">L19</f>
        <v>2057.60713011752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38346.3146976446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37036.9283421153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37036.9283421153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17155.2640267269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28364.1019335789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21665.1019335789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358.693740622166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-0.251426966166149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724.861287324138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1131.8637831747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389.434221921816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16872.3784669636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93.5135156995481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19.5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6150</v>
      </c>
      <c r="C6" s="0" t="n">
        <f aca="false">B6*(1+C5/100)</f>
        <v>7349.25</v>
      </c>
      <c r="D6" s="0" t="n">
        <f aca="false">C6*(1+D5/100)</f>
        <v>8010.6825</v>
      </c>
      <c r="E6" s="0" t="n">
        <f aca="false">D6*(1+E5/100)</f>
        <v>8651.5371</v>
      </c>
      <c r="F6" s="0" t="n">
        <f aca="false">E6*(1+F5/100)</f>
        <v>9257.144697</v>
      </c>
      <c r="G6" s="0" t="n">
        <f aca="false">F6*(1+G5/100)</f>
        <v>9858.859102305</v>
      </c>
      <c r="H6" s="0" t="n">
        <f aca="false">G6*(1+H5/100)</f>
        <v>10450.3906484433</v>
      </c>
      <c r="I6" s="0" t="n">
        <f aca="false">H6*(1+I5/100)</f>
        <v>10972.9101808655</v>
      </c>
      <c r="J6" s="0" t="n">
        <f aca="false">I6*(1+J5/100)</f>
        <v>11466.6911390044</v>
      </c>
      <c r="K6" s="0" t="n">
        <f aca="false">J6*(1+K5/100)</f>
        <v>11925.3587845646</v>
      </c>
      <c r="L6" s="0" t="n">
        <f aca="false">K6*(1+L5/100)</f>
        <v>12342.7463420244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33.6</v>
      </c>
      <c r="D7" s="4" t="n">
        <f aca="false">Assumptions!D42</f>
        <v>34.5</v>
      </c>
      <c r="E7" s="4" t="n">
        <f aca="false">Assumptions!E42</f>
        <v>35.5</v>
      </c>
      <c r="F7" s="4" t="n">
        <f aca="false">Assumptions!F42</f>
        <v>36</v>
      </c>
      <c r="G7" s="4" t="n">
        <f aca="false">Assumptions!G42</f>
        <v>36.5</v>
      </c>
      <c r="H7" s="4" t="n">
        <f aca="false">Assumptions!H42</f>
        <v>37</v>
      </c>
      <c r="I7" s="4" t="n">
        <f aca="false">Assumptions!I42</f>
        <v>37</v>
      </c>
      <c r="J7" s="4" t="n">
        <f aca="false">Assumptions!J42</f>
        <v>37</v>
      </c>
      <c r="K7" s="4" t="n">
        <f aca="false">Assumptions!K42</f>
        <v>37</v>
      </c>
      <c r="L7" s="4" t="n">
        <f aca="false">Assumptions!L42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2469.348</v>
      </c>
      <c r="D8" s="0" t="n">
        <f aca="false">D6*D7/100</f>
        <v>2763.6854625</v>
      </c>
      <c r="E8" s="0" t="n">
        <f aca="false">E6*E7/100</f>
        <v>3071.2956705</v>
      </c>
      <c r="F8" s="0" t="n">
        <f aca="false">F6*F7/100</f>
        <v>3332.57209092</v>
      </c>
      <c r="G8" s="0" t="n">
        <f aca="false">G6*G7/100</f>
        <v>3598.48357234133</v>
      </c>
      <c r="H8" s="0" t="n">
        <f aca="false">H6*H7/100</f>
        <v>3866.64453992402</v>
      </c>
      <c r="I8" s="0" t="n">
        <f aca="false">I6*I7/100</f>
        <v>4059.97676692022</v>
      </c>
      <c r="J8" s="0" t="n">
        <f aca="false">J6*J7/100</f>
        <v>4242.67572143163</v>
      </c>
      <c r="K8" s="0" t="n">
        <f aca="false">K6*K7/100</f>
        <v>4412.3827502889</v>
      </c>
      <c r="L8" s="0" t="n">
        <f aca="false">L6*L7/100</f>
        <v>4566.81614654901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1.2</v>
      </c>
      <c r="D9" s="4" t="n">
        <f aca="false">Assumptions!D43</f>
        <v>1.2</v>
      </c>
      <c r="E9" s="4" t="n">
        <f aca="false">Assumptions!E43</f>
        <v>1.2</v>
      </c>
      <c r="F9" s="4" t="n">
        <f aca="false">Assumptions!F43</f>
        <v>1.2</v>
      </c>
      <c r="G9" s="4" t="n">
        <f aca="false">Assumptions!G43</f>
        <v>1.2</v>
      </c>
      <c r="H9" s="4" t="n">
        <f aca="false">Assumptions!H43</f>
        <v>1.2</v>
      </c>
      <c r="I9" s="4" t="n">
        <f aca="false">Assumptions!I43</f>
        <v>1.2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-88.191</v>
      </c>
      <c r="D10" s="0" t="n">
        <f aca="false">-D6*D9/100</f>
        <v>-96.12819</v>
      </c>
      <c r="E10" s="0" t="n">
        <f aca="false">-E6*E9/100</f>
        <v>-103.8184452</v>
      </c>
      <c r="F10" s="0" t="n">
        <f aca="false">-F6*F9/100</f>
        <v>-111.085736364</v>
      </c>
      <c r="G10" s="0" t="n">
        <f aca="false">-G6*G9/100</f>
        <v>-118.30630922766</v>
      </c>
      <c r="H10" s="0" t="n">
        <f aca="false">-H6*H9/100</f>
        <v>-125.40468778132</v>
      </c>
      <c r="I10" s="0" t="n">
        <f aca="false">-I6*I9/100</f>
        <v>-131.674922170386</v>
      </c>
      <c r="J10" s="0" t="n">
        <f aca="false">-J6*J9/100</f>
        <v>-137.600293668053</v>
      </c>
      <c r="K10" s="0" t="n">
        <f aca="false">-K6*K9/100</f>
        <v>-143.104305414775</v>
      </c>
      <c r="L10" s="0" t="n">
        <f aca="false">-L6*L9/100</f>
        <v>-148.112956104292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2381.157</v>
      </c>
      <c r="D11" s="0" t="n">
        <f aca="false">D8+D10+D24</f>
        <v>2667.5572725</v>
      </c>
      <c r="E11" s="0" t="n">
        <f aca="false">E8+E10+E24</f>
        <v>2967.4772253</v>
      </c>
      <c r="F11" s="0" t="n">
        <f aca="false">F8+F10+F24</f>
        <v>3221.486354556</v>
      </c>
      <c r="G11" s="0" t="n">
        <f aca="false">G8+G10+G24</f>
        <v>3480.17726311367</v>
      </c>
      <c r="H11" s="0" t="n">
        <f aca="false">H8+H10+H24</f>
        <v>3741.2398521427</v>
      </c>
      <c r="I11" s="0" t="n">
        <f aca="false">I8+I10+I24</f>
        <v>3928.30184474984</v>
      </c>
      <c r="J11" s="0" t="n">
        <f aca="false">J8+J10+J24</f>
        <v>4105.07542776358</v>
      </c>
      <c r="K11" s="0" t="n">
        <f aca="false">K8+K10+K24</f>
        <v>4269.27844487412</v>
      </c>
      <c r="L11" s="0" t="n">
        <f aca="false">L8+L10+L24</f>
        <v>4418.70319044472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-793.719</v>
      </c>
      <c r="D12" s="4" t="n">
        <f aca="false">-D6*Assumptions!D45/100</f>
        <v>-841.1216625</v>
      </c>
      <c r="E12" s="4" t="n">
        <f aca="false">-E6*Assumptions!E45/100</f>
        <v>-882.4567842</v>
      </c>
      <c r="F12" s="4" t="n">
        <f aca="false">-F6*Assumptions!F45/100</f>
        <v>-925.7144697</v>
      </c>
      <c r="G12" s="4" t="n">
        <f aca="false">-G6*Assumptions!G45/100</f>
        <v>-985.8859102305</v>
      </c>
      <c r="H12" s="4" t="n">
        <f aca="false">-H6*Assumptions!H45/100</f>
        <v>-1045.03906484433</v>
      </c>
      <c r="I12" s="4" t="n">
        <f aca="false">-I6*Assumptions!I45/100</f>
        <v>-1097.29101808655</v>
      </c>
      <c r="J12" s="4" t="n">
        <f aca="false">-J6*Assumptions!J45/100</f>
        <v>-1146.66911390044</v>
      </c>
      <c r="K12" s="4" t="n">
        <f aca="false">-K6*Assumptions!K45/100</f>
        <v>-1192.53587845646</v>
      </c>
      <c r="L12" s="4" t="n">
        <f aca="false">-L6*Assumptions!L45/100</f>
        <v>-1234.27463420244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1587.438</v>
      </c>
      <c r="D13" s="0" t="n">
        <f aca="false">D11+D12</f>
        <v>1826.43561</v>
      </c>
      <c r="E13" s="0" t="n">
        <f aca="false">E11+E12</f>
        <v>2085.0204411</v>
      </c>
      <c r="F13" s="0" t="n">
        <f aca="false">F11+F12</f>
        <v>2295.771884856</v>
      </c>
      <c r="G13" s="0" t="n">
        <f aca="false">G11+G12</f>
        <v>2494.29135288317</v>
      </c>
      <c r="H13" s="0" t="n">
        <f aca="false">H11+H12</f>
        <v>2696.20078729837</v>
      </c>
      <c r="I13" s="0" t="n">
        <f aca="false">I11+I12</f>
        <v>2831.01082666329</v>
      </c>
      <c r="J13" s="0" t="n">
        <f aca="false">J11+J12</f>
        <v>2958.40631386314</v>
      </c>
      <c r="K13" s="0" t="n">
        <f aca="false">K11+K12</f>
        <v>3076.74256641766</v>
      </c>
      <c r="L13" s="0" t="n">
        <f aca="false">L11+L12</f>
        <v>3184.42855624228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1238.20164</v>
      </c>
      <c r="D15" s="0" t="n">
        <f aca="false">D13-MAX(0,D13)*D14/100</f>
        <v>1424.6197758</v>
      </c>
      <c r="E15" s="0" t="n">
        <f aca="false">E13-MAX(0,E13)*E14/100</f>
        <v>1626.315944058</v>
      </c>
      <c r="F15" s="0" t="n">
        <f aca="false">F13-MAX(0,F13)*F14/100</f>
        <v>1790.70207018768</v>
      </c>
      <c r="G15" s="0" t="n">
        <f aca="false">G13-MAX(0,G13)*G14/100</f>
        <v>1945.54725524887</v>
      </c>
      <c r="H15" s="0" t="n">
        <f aca="false">H13-MAX(0,H13)*H14/100</f>
        <v>2103.03661409273</v>
      </c>
      <c r="I15" s="0" t="n">
        <f aca="false">I13-MAX(0,I13)*I14/100</f>
        <v>2208.18844479737</v>
      </c>
      <c r="J15" s="0" t="n">
        <f aca="false">J13-MAX(0,J13)*J14/100</f>
        <v>2307.55692481325</v>
      </c>
      <c r="K15" s="0" t="n">
        <f aca="false">K13-MAX(0,K13)*K14/100</f>
        <v>2399.85920180578</v>
      </c>
      <c r="L15" s="0" t="n">
        <f aca="false">L13-MAX(0,L13)*L14/100</f>
        <v>2483.85427386898</v>
      </c>
    </row>
    <row r="16" customFormat="false" ht="15" hidden="false" customHeight="false" outlineLevel="0" collapsed="false">
      <c r="A16" s="0" t="s">
        <v>127</v>
      </c>
      <c r="C16" s="0" t="n">
        <f aca="false">-C12</f>
        <v>793.719</v>
      </c>
      <c r="D16" s="0" t="n">
        <f aca="false">-D12</f>
        <v>841.1216625</v>
      </c>
      <c r="E16" s="0" t="n">
        <f aca="false">-E12</f>
        <v>882.4567842</v>
      </c>
      <c r="F16" s="0" t="n">
        <f aca="false">-F12</f>
        <v>925.7144697</v>
      </c>
      <c r="G16" s="0" t="n">
        <f aca="false">-G12</f>
        <v>985.8859102305</v>
      </c>
      <c r="H16" s="0" t="n">
        <f aca="false">-H12</f>
        <v>1045.03906484433</v>
      </c>
      <c r="I16" s="0" t="n">
        <f aca="false">-I12</f>
        <v>1097.29101808655</v>
      </c>
      <c r="J16" s="0" t="n">
        <f aca="false">-J12</f>
        <v>1146.66911390044</v>
      </c>
      <c r="K16" s="0" t="n">
        <f aca="false">-K12</f>
        <v>1192.53587845646</v>
      </c>
      <c r="L16" s="0" t="n">
        <f aca="false">-L12</f>
        <v>1234.27463420244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-587.94</v>
      </c>
      <c r="D17" s="4" t="n">
        <f aca="false">-D6*Assumptions!D46/100</f>
        <v>-680.9080125</v>
      </c>
      <c r="E17" s="4" t="n">
        <f aca="false">-E6*Assumptions!E46/100</f>
        <v>-778.638339</v>
      </c>
      <c r="F17" s="4" t="n">
        <f aca="false">-F6*Assumptions!F46/100</f>
        <v>-833.14302273</v>
      </c>
      <c r="G17" s="4" t="n">
        <f aca="false">-G6*Assumptions!G46/100</f>
        <v>-887.29731920745</v>
      </c>
      <c r="H17" s="4" t="n">
        <f aca="false">-H6*Assumptions!H46/100</f>
        <v>-940.535158359897</v>
      </c>
      <c r="I17" s="4" t="n">
        <f aca="false">-I6*Assumptions!I46/100</f>
        <v>-987.561916277892</v>
      </c>
      <c r="J17" s="4" t="n">
        <f aca="false">-J6*Assumptions!J46/100</f>
        <v>-1032.0022025104</v>
      </c>
      <c r="K17" s="4" t="n">
        <f aca="false">-K6*Assumptions!K46/100</f>
        <v>-1073.28229061081</v>
      </c>
      <c r="L17" s="4" t="n">
        <f aca="false">-L6*Assumptions!L46/100</f>
        <v>-1110.84717078219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-95.94</v>
      </c>
      <c r="D18" s="4" t="n">
        <f aca="false">(D6-C6)*Assumptions!$B$51/100</f>
        <v>-52.9146000000001</v>
      </c>
      <c r="E18" s="4" t="n">
        <f aca="false">(E6-D6)*Assumptions!$B$51/100</f>
        <v>-51.268368</v>
      </c>
      <c r="F18" s="4" t="n">
        <f aca="false">(F6-E6)*Assumptions!$B$51/100</f>
        <v>-48.44860776</v>
      </c>
      <c r="G18" s="4" t="n">
        <f aca="false">(G6-F6)*Assumptions!$B$51/100</f>
        <v>-48.1371524244</v>
      </c>
      <c r="H18" s="4" t="n">
        <f aca="false">(H6-G6)*Assumptions!$B$51/100</f>
        <v>-47.322523691064</v>
      </c>
      <c r="I18" s="4" t="n">
        <f aca="false">(I6-H6)*Assumptions!$B$51/100</f>
        <v>-41.8015625937733</v>
      </c>
      <c r="J18" s="4" t="n">
        <f aca="false">(J6-I6)*Assumptions!$B$51/100</f>
        <v>-39.5024766511156</v>
      </c>
      <c r="K18" s="4" t="n">
        <f aca="false">(K6-J6)*Assumptions!$B$51/100</f>
        <v>-36.6934116448142</v>
      </c>
      <c r="L18" s="4" t="n">
        <f aca="false">(L6-K6)*Assumptions!$B$51/100</f>
        <v>-33.3910045967808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1348.04064</v>
      </c>
      <c r="D19" s="0" t="n">
        <f aca="false">D15+D16+D17+D18</f>
        <v>1531.9188258</v>
      </c>
      <c r="E19" s="0" t="n">
        <f aca="false">E15+E16+E17+E18</f>
        <v>1678.866021258</v>
      </c>
      <c r="F19" s="0" t="n">
        <f aca="false">F15+F16+F17+F18</f>
        <v>1834.82490939768</v>
      </c>
      <c r="G19" s="0" t="n">
        <f aca="false">G15+G16+G17+G18</f>
        <v>1995.99869384752</v>
      </c>
      <c r="H19" s="0" t="n">
        <f aca="false">H15+H16+H17+H18</f>
        <v>2160.2179968861</v>
      </c>
      <c r="I19" s="0" t="n">
        <f aca="false">I15+I16+I17+I18</f>
        <v>2276.11598401225</v>
      </c>
      <c r="J19" s="0" t="n">
        <f aca="false">J15+J16+J17+J18</f>
        <v>2382.72135955218</v>
      </c>
      <c r="K19" s="0" t="n">
        <f aca="false">K15+K16+K17+K18</f>
        <v>2482.41937800661</v>
      </c>
      <c r="L19" s="0" t="n">
        <f aca="false">L15+L16+L17+L18</f>
        <v>2573.89073269244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1248.18577777778</v>
      </c>
      <c r="D21" s="0" t="n">
        <f aca="false">D19*D20</f>
        <v>1313.37347890947</v>
      </c>
      <c r="E21" s="0" t="n">
        <f aca="false">E19*E20</f>
        <v>1332.73797602785</v>
      </c>
      <c r="F21" s="0" t="n">
        <f aca="false">F19*F20</f>
        <v>1348.65108306184</v>
      </c>
      <c r="G21" s="0" t="n">
        <f aca="false">G19*G20</f>
        <v>1358.44317233394</v>
      </c>
      <c r="H21" s="0" t="n">
        <f aca="false">H19*H20</f>
        <v>1361.30376908388</v>
      </c>
      <c r="I21" s="0" t="n">
        <f aca="false">I19*I20</f>
        <v>1328.09181517377</v>
      </c>
      <c r="J21" s="0" t="n">
        <f aca="false">J19*J20</f>
        <v>1287.31021100429</v>
      </c>
      <c r="K21" s="0" t="n">
        <f aca="false">K19*K20</f>
        <v>1241.82772983493</v>
      </c>
      <c r="L21" s="0" t="n">
        <f aca="false">L19*L20</f>
        <v>1192.20942642466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13012.1344396324</v>
      </c>
    </row>
    <row r="31" customFormat="false" ht="15" hidden="false" customHeight="false" outlineLevel="0" collapsed="false">
      <c r="A31" s="0" t="s">
        <v>136</v>
      </c>
      <c r="B31" s="0" t="n">
        <f aca="false">L19</f>
        <v>2573.89073269244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53022.1490934643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51477.8146538489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51477.8146538489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23844.1885284931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36856.3229681255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30157.3229681255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499.293426624594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0.0419964242848976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779.046982572191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1413.2621094307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535.589934770338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22092.5621222768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134.904226182139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195.112657209356</v>
      </c>
      <c r="C4" s="0" t="n">
        <f aca="false">B4/Assumptions!$B$2-1</f>
        <v>-0.592811200180822</v>
      </c>
      <c r="D4" s="4" t="n">
        <f aca="false">Assumptions!$B$24</f>
        <v>0.25</v>
      </c>
      <c r="E4" s="4" t="n">
        <f aca="false">DCF_Bear!$B$43</f>
        <v>219.722423048361</v>
      </c>
      <c r="F4" s="4" t="n">
        <f aca="false">DCF_Bear!$B$47</f>
        <v>39.271020878929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358.693740622166</v>
      </c>
      <c r="C5" s="0" t="n">
        <f aca="false">B5/Assumptions!$B$2-1</f>
        <v>-0.251426966166149</v>
      </c>
      <c r="D5" s="4" t="n">
        <f aca="false">Assumptions!$B$38</f>
        <v>0.5</v>
      </c>
      <c r="E5" s="4" t="n">
        <f aca="false">DCF_Base!$B$43</f>
        <v>389.434221921816</v>
      </c>
      <c r="F5" s="4" t="n">
        <f aca="false">DCF_Base!$B$47</f>
        <v>93.5135156995481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499.293426624594</v>
      </c>
      <c r="C6" s="0" t="n">
        <f aca="false">B6/Assumptions!$B$2-1</f>
        <v>0.0419964242848976</v>
      </c>
      <c r="D6" s="4" t="n">
        <f aca="false">Assumptions!$B$52</f>
        <v>0.25</v>
      </c>
      <c r="E6" s="4" t="n">
        <f aca="false">DCF_Bull!$B$43</f>
        <v>535.589934770338</v>
      </c>
      <c r="F6" s="4" t="n">
        <f aca="false">DCF_Bull!$B$47</f>
        <v>134.904226182139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352.948391269571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383.545200415583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-0.357620580947839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412.531934712811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90.3005696150409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358.693740622166</v>
      </c>
      <c r="C15" s="3" t="n">
        <v>8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292.841666269978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237.27745518379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194.862199328786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161.439260024955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93.5135156995481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436.584578179669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436.584578179669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436.584578179669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436.584578179669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436.584578179669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395.78178047768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395.78178047768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395.78178047768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395.78178047768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395.78178047768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321.066159197156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342.914432282646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358.693740622166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358.693740622166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358.693740622166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260.667121116746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275.605302795032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292.841666269978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312.950756990748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324.942416594877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214.614780636871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225.237909330739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237.27745518379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251.036936158704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266.913260360529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2026-10-02T01:05:22Z</dcterms:created>
  <dc:creator>openpyxl</dc:creator>
  <dc:description/>
  <dc:language>en-NZ</dc:language>
  <cp:lastModifiedBy/>
  <dcterms:modified xsi:type="dcterms:W3CDTF">2026-10-02T01:05:22Z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