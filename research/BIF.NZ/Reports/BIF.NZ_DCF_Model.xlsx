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V Model" sheetId="1" r:id="rId1"/>
    <sheet name="Scenarios" sheetId="2" r:id="rId2"/>
    <sheet name="Sensitivity" sheetId="3" r:id="rId3"/>
    <sheet name="NAV Reconciliation" sheetId="4" r:id="rId4"/>
    <sheet name="Model_Info" sheetId="5" r:id="rId5"/>
  </sheets>
  <calcPr calcId="124519" fullCalcOnLoad="1"/>
</workbook>
</file>

<file path=xl/sharedStrings.xml><?xml version="1.0" encoding="utf-8"?>
<sst xmlns="http://schemas.openxmlformats.org/spreadsheetml/2006/main" count="130" uniqueCount="119">
  <si>
    <t>BIF.NZ NAV-Compounding Valuation Model</t>
  </si>
  <si>
    <t>NOT an FCF DCF -- BIF is a venture-capital unit trust with no revenue/EBITDA/FCF. Gray cells are INPUTS.</t>
  </si>
  <si>
    <t>KEY INPUTS</t>
  </si>
  <si>
    <t>Current Unit Price</t>
  </si>
  <si>
    <t>NAV/unit -- 31-Mar-2026 audited</t>
  </si>
  <si>
    <t>NAV/unit -- latest strike (3-Jul-2026, used as base)</t>
  </si>
  <si>
    <t>Units on issue (M)</t>
  </si>
  <si>
    <t>Net assets FY2026 (M)</t>
  </si>
  <si>
    <t>Total debt (M)</t>
  </si>
  <si>
    <t>Net debt adjustment (M)</t>
  </si>
  <si>
    <t>Set to 0 -- cash is already inside NAV; adding net cash again would double-count</t>
  </si>
  <si>
    <t>Cost of Equity (built up, see WACC Rationale sheet)</t>
  </si>
  <si>
    <t>COST OF EQUITY BUILD-UP</t>
  </si>
  <si>
    <t>NZ risk-free rate</t>
  </si>
  <si>
    <t>NZ equity risk premium</t>
  </si>
  <si>
    <t>Level 3 manager-marked / no price test premium</t>
  </si>
  <si>
    <t>Zero-realisation / untested exit premium</t>
  </si>
  <si>
    <t>Illiquidity / tiny free-float premium</t>
  </si>
  <si>
    <t>Early-stage venture risk premium</t>
  </si>
  <si>
    <t>Total Cost of Equity (sum, formula)</t>
  </si>
  <si>
    <t>BASE CASE NAV GROWTH ASSUMPTIONS</t>
  </si>
  <si>
    <t>FY2027</t>
  </si>
  <si>
    <t>FY2028</t>
  </si>
  <si>
    <t>FY2029</t>
  </si>
  <si>
    <t>FY2030</t>
  </si>
  <si>
    <t>FY2031</t>
  </si>
  <si>
    <t>NAV Growth Rate</t>
  </si>
  <si>
    <t>Exit Price-to-NAV multiple (Year 5)</t>
  </si>
  <si>
    <t>BASE CASE NAV PROJECTION</t>
  </si>
  <si>
    <t>Base</t>
  </si>
  <si>
    <t>NAV per unit</t>
  </si>
  <si>
    <t>Discount factor (at Cost of Equity)</t>
  </si>
  <si>
    <t>Note: no interim distributions exist or are projected -- BIF has paid unitholders nothing since</t>
  </si>
  <si>
    <t>a single $568k FY2022 distribution. 100% of value is the single Year-5 exit realisation.</t>
  </si>
  <si>
    <t>VALUATION (Base Case)</t>
  </si>
  <si>
    <t>Year-5 NAV per unit</t>
  </si>
  <si>
    <t>Exit Price-to-NAV multiple</t>
  </si>
  <si>
    <t>Year-5 Exit Value</t>
  </si>
  <si>
    <t>PV of Year-5 Exit Value (at Cost of Equity)</t>
  </si>
  <si>
    <t>Less: net debt adjustment (per unit)</t>
  </si>
  <si>
    <t>INTRINSIC VALUE PER UNIT (Base Case)</t>
  </si>
  <si>
    <t>Upside/(Downside) to Intrinsic Value</t>
  </si>
  <si>
    <t>ENTRY PRICE (15% IRR Target)</t>
  </si>
  <si>
    <t>Hurdle rate</t>
  </si>
  <si>
    <t>PV of interim distributions @ hurdle</t>
  </si>
  <si>
    <t>Zero -- no distributions projected</t>
  </si>
  <si>
    <t>PV of Year-5 Exit Value @ hurdle</t>
  </si>
  <si>
    <t>Entry Price (15% IRR)</t>
  </si>
  <si>
    <t>Discount of Entry Price to Current Price</t>
  </si>
  <si>
    <t>SANITY CHECK: PRICE-TO-NAV</t>
  </si>
  <si>
    <t>Current P/NAV vs 31-Mar-2026 audited NAV</t>
  </si>
  <si>
    <t>Current P/NAV vs latest Jul-2026 strike</t>
  </si>
  <si>
    <t>Implied P/NAV of Base-Case IV vs current audited NAV</t>
  </si>
  <si>
    <t>Historical listed VC/PE trust discount range (context only)</t>
  </si>
  <si>
    <t>0.6x - 0.9x</t>
  </si>
  <si>
    <t>Scenario Comparison</t>
  </si>
  <si>
    <t>Bear</t>
  </si>
  <si>
    <t>Bull</t>
  </si>
  <si>
    <t>NAV growth path (Y1-Y5)</t>
  </si>
  <si>
    <t>-3.0%, 0.0%, 1.0%, 2.0%, 2.0%</t>
  </si>
  <si>
    <t>4.0%, 5.0%, 5.5%, 6.0%, 6.0%</t>
  </si>
  <si>
    <t>10.0%, 12.0%, 14.0%, 16.0%, 18.0%</t>
  </si>
  <si>
    <t>Cost of Equity</t>
  </si>
  <si>
    <t>Intrinsic Value per Unit</t>
  </si>
  <si>
    <t>Upside/(Downside) to Current Price</t>
  </si>
  <si>
    <t>Probability weight</t>
  </si>
  <si>
    <t>PROBABILITY-WEIGHTED INTRINSIC VALUE</t>
  </si>
  <si>
    <t>Current Price</t>
  </si>
  <si>
    <t>Weighted Upside/(Downside)</t>
  </si>
  <si>
    <t>Sensitivity Analysis</t>
  </si>
  <si>
    <t>Intrinsic Value by NAV Growth Rate &amp; Exit Price-to-NAV</t>
  </si>
  <si>
    <t>Growth \ Exit P/NAV</t>
  </si>
  <si>
    <t>Cost of Equity Sensitivity (Base Case, 6% terminal growth, 0.90x exit)</t>
  </si>
  <si>
    <t>Intrinsic Value</t>
  </si>
  <si>
    <t>NAV Reconciliation (FCF-Quality equivalent for a fund)</t>
  </si>
  <si>
    <t>BIF has no FCF; this sheet reconciles NAV per unit growth to net asset TOTAL growth to show how much of the headline growth is capital raising vs investment performance.</t>
  </si>
  <si>
    <t>Period</t>
  </si>
  <si>
    <t>FY2022</t>
  </si>
  <si>
    <t>FY2023</t>
  </si>
  <si>
    <t>FY2024</t>
  </si>
  <si>
    <t>FY2025</t>
  </si>
  <si>
    <t>FY2026</t>
  </si>
  <si>
    <t>Net assets (M)</t>
  </si>
  <si>
    <t>NAV per unit (formula)</t>
  </si>
  <si>
    <t>NAV per unit YoY growth (formula)</t>
  </si>
  <si>
    <t>Net asset TOTAL 4yr CAGR (FY22-FY26)</t>
  </si>
  <si>
    <t>Units on issue 4yr CAGR (FY22-FY26)</t>
  </si>
  <si>
    <t>NAV per unit 4yr CAGR (FY22-FY26)</t>
  </si>
  <si>
    <t>Memo: net profit after tax (M)</t>
  </si>
  <si>
    <t>Memo: distributions paid to unitholders (M)</t>
  </si>
  <si>
    <t>Cumulative distributions since inception:</t>
  </si>
  <si>
    <t>$568k total, FY2022 only. Zero distributions FY2023-FY2026.</t>
  </si>
  <si>
    <t>Model Provenance &amp; Notes</t>
  </si>
  <si>
    <t>Built by</t>
  </si>
  <si>
    <t>Claude Agent (dcf-analyst role), Stocks Research pipeline</t>
  </si>
  <si>
    <t>Build date</t>
  </si>
  <si>
    <t>2026-08-09</t>
  </si>
  <si>
    <t>Model type</t>
  </si>
  <si>
    <t>NAV-per-unit compounding with exit price-to-NAV multiple. NOT an FCF DCF -- BIF is a venture-capital unit trust with no revenue, EBITDA, capex or free cash flow.</t>
  </si>
  <si>
    <t>Share price date</t>
  </si>
  <si>
    <t>2026-08-09 -- Yahoo Finance live quote, 1.508 NZD. Note: BIF is exceptionally illiquid; Yahoo shows an essentially flat $1.504-$1.508 52-week range, so this quote is nominal rather than a market-clearing price.</t>
  </si>
  <si>
    <t>NAV data vintage</t>
  </si>
  <si>
    <t>31-Mar-2026 audited annual report (FY2026 NAV/unit $1.5114) plus post-balance-date NZX announcements through 3-Jul-2026 (latest unit issue at $1.4759/unit, used as the model's NAV base).</t>
  </si>
  <si>
    <t>Key methodology choice</t>
  </si>
  <si>
    <t>NAV base for projections is the LATEST OBSERVABLE STRIKE ($1.4759, 3-Jul-2026), not the higher audited FY2026 NAV ($1.5114), because the manager's own most recent pricing action embeds a mark-down not yet reflected in the annual report. This is treated as a genuine, adverse data point.</t>
  </si>
  <si>
    <t>Cost of equity</t>
  </si>
  <si>
    <t>20.0% built up from NZ risk-free (4.5%) + NZ ERP (6.0%) + four structural premiums (Level 3 marking, zero realisations, illiquidity, early-stage venture risk, 2.0-2.5% each). See WACC build-up on 'NAV Model' sheet and wacc_rationale in the JSON.</t>
  </si>
  <si>
    <t>Net debt treatment</t>
  </si>
  <si>
    <t>Set to zero. Cash ($0.326m, 1.3% of net assets) is already inside NAV per unit; adding net cash again on top of a NAV-based valuation would double-count the same asset. Total debt is genuinely nil.</t>
  </si>
  <si>
    <t>Terminal value construction</t>
  </si>
  <si>
    <t>IV = NAV_year5 x exit_price_to_NAV / (1+CoE)^5. No Gordon Growth perpetuity is used -- the fund does not generate a cash flow stream to capitalize; the entire value is the single year-5 realisation event.</t>
  </si>
  <si>
    <t>Entry price construction</t>
  </si>
  <si>
    <t>With no interim distributions, entry price collapses to the year-5 base-case exit value discounted at a 15% hurdle rate. This is a substantive fact about BIF (it distributes nothing), not a shortcut.</t>
  </si>
  <si>
    <t>What to refresh after next disclosure</t>
  </si>
  <si>
    <t>(1) Any new NZX valuation-adjustment announcement or unit issue price -- update nav_per_unit_current_basis and re-run; (2) FY2027 annual report NAV/unit and net asset figures -- extend the NAV history table; (3) any realised exit/distribution -- this would be the first real cash-flow evidence for the exit thesis and should prompt a reassessment of the zero-realisation risk premium in cost of equity; (4) ownership/free-float disclosure -- if Booster's related-party holding percentage changes materially, revisit the illiquidity premium.</t>
  </si>
  <si>
    <t>Cell colour convention</t>
  </si>
  <si>
    <t>Gray-filled cells (light blue-gray, #dfe6e9) are INPUTS meant to be adjusted. White cells with borders are FORMULAS that recalculate automatically. Green-filled cells are headline RESULTS. All formulas reference the 'NAV Model' sheet inputs so changing WACC, NAV growth or exit multiple flows through the whole model.</t>
  </si>
  <si>
    <t>Staleness warning</t>
  </si>
  <si>
    <t>All figures in this workbook go stale, especially the current unit price and the 'latest strike' NAV base, both of which can move materially given BIF's history of NZX valuation-adjustment announcements between annual reports. Re-check both against the company's most recent NZX release before relying on this model.</t>
  </si>
</sst>
</file>

<file path=xl/styles.xml><?xml version="1.0" encoding="utf-8"?>
<styleSheet xmlns="http://schemas.openxmlformats.org/spreadsheetml/2006/main">
  <numFmts count="5">
    <numFmt numFmtId="164" formatCode="#,##0.0000"/>
    <numFmt numFmtId="165" formatCode="0.0%"/>
    <numFmt numFmtId="166" formatCode="&quot;$&quot;#,##0.0000"/>
    <numFmt numFmtId="167" formatCode="0.00&quot;x&quot;"/>
    <numFmt numFmtId="168" formatCode="#,##0.000"/>
  </numFmts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2D343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64" fontId="0" fillId="2" borderId="2" xfId="0" applyNumberFormat="1" applyFill="1" applyBorder="1"/>
    <xf numFmtId="165" fontId="0" fillId="2" borderId="2" xfId="0" applyNumberFormat="1" applyFill="1" applyBorder="1"/>
    <xf numFmtId="0" fontId="4" fillId="0" borderId="0" xfId="0" applyFont="1"/>
    <xf numFmtId="166" fontId="5" fillId="3" borderId="2" xfId="0" applyNumberFormat="1" applyFont="1" applyFill="1" applyBorder="1"/>
    <xf numFmtId="0" fontId="5" fillId="4" borderId="2" xfId="0" applyFont="1" applyFill="1" applyBorder="1"/>
    <xf numFmtId="164" fontId="0" fillId="0" borderId="2" xfId="0" applyNumberFormat="1" applyBorder="1"/>
    <xf numFmtId="165" fontId="0" fillId="0" borderId="2" xfId="0" applyNumberFormat="1" applyBorder="1"/>
    <xf numFmtId="167" fontId="5" fillId="4" borderId="0" xfId="0" applyNumberFormat="1" applyFont="1" applyFill="1"/>
    <xf numFmtId="165" fontId="5" fillId="4" borderId="0" xfId="0" applyNumberFormat="1" applyFont="1" applyFill="1"/>
    <xf numFmtId="166" fontId="0" fillId="0" borderId="2" xfId="0" applyNumberFormat="1" applyBorder="1"/>
    <xf numFmtId="168" fontId="0" fillId="0" borderId="2" xfId="0" applyNumberFormat="1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"/>
  <sheetViews>
    <sheetView tabSelected="1" workbookViewId="0"/>
  </sheetViews>
  <sheetFormatPr defaultRowHeight="15"/>
  <cols>
    <col min="1" max="1" width="32.7109375" customWidth="1"/>
    <col min="2" max="8" width="13.7109375" customWidth="1"/>
  </cols>
  <sheetData>
    <row r="1" spans="1:3">
      <c r="A1" s="1" t="s">
        <v>0</v>
      </c>
    </row>
    <row r="2" spans="1:3">
      <c r="A2" s="2" t="s">
        <v>1</v>
      </c>
    </row>
    <row r="4" spans="1:3">
      <c r="A4" s="3" t="s">
        <v>2</v>
      </c>
    </row>
    <row r="5" spans="1:3">
      <c r="A5" t="s">
        <v>3</v>
      </c>
      <c r="B5" s="4">
        <v>1.508</v>
      </c>
    </row>
    <row r="6" spans="1:3">
      <c r="A6" t="s">
        <v>4</v>
      </c>
      <c r="B6" s="4">
        <v>1.5114</v>
      </c>
    </row>
    <row r="7" spans="1:3">
      <c r="A7" t="s">
        <v>5</v>
      </c>
      <c r="B7" s="4">
        <v>1.4759</v>
      </c>
    </row>
    <row r="8" spans="1:3">
      <c r="A8" t="s">
        <v>6</v>
      </c>
      <c r="B8" s="4">
        <v>16.330729</v>
      </c>
    </row>
    <row r="9" spans="1:3">
      <c r="A9" t="s">
        <v>7</v>
      </c>
      <c r="B9" s="4">
        <v>24.683</v>
      </c>
    </row>
    <row r="10" spans="1:3">
      <c r="A10" t="s">
        <v>8</v>
      </c>
      <c r="B10" s="4">
        <v>0</v>
      </c>
    </row>
    <row r="11" spans="1:3">
      <c r="A11" t="s">
        <v>9</v>
      </c>
      <c r="B11" s="4">
        <v>0</v>
      </c>
      <c r="C11" s="2" t="s">
        <v>10</v>
      </c>
    </row>
    <row r="13" spans="1:3">
      <c r="A13" t="s">
        <v>11</v>
      </c>
      <c r="B13" s="5">
        <v>0.2</v>
      </c>
    </row>
    <row r="15" spans="1:3">
      <c r="A15" s="3" t="s">
        <v>12</v>
      </c>
    </row>
    <row r="16" spans="1:3">
      <c r="A16" t="s">
        <v>13</v>
      </c>
      <c r="B16" s="5">
        <v>0.045</v>
      </c>
    </row>
    <row r="17" spans="1:7">
      <c r="A17" t="s">
        <v>14</v>
      </c>
      <c r="B17" s="5">
        <v>0.06</v>
      </c>
    </row>
    <row r="18" spans="1:7">
      <c r="A18" t="s">
        <v>15</v>
      </c>
      <c r="B18" s="5">
        <v>0.025</v>
      </c>
    </row>
    <row r="19" spans="1:7">
      <c r="A19" t="s">
        <v>16</v>
      </c>
      <c r="B19" s="5">
        <v>0.02</v>
      </c>
    </row>
    <row r="20" spans="1:7">
      <c r="A20" t="s">
        <v>17</v>
      </c>
      <c r="B20" s="5">
        <v>0.025</v>
      </c>
    </row>
    <row r="21" spans="1:7">
      <c r="A21" t="s">
        <v>18</v>
      </c>
      <c r="B21" s="5">
        <v>0.025</v>
      </c>
    </row>
    <row r="22" spans="1:7">
      <c r="A22" s="6" t="s">
        <v>19</v>
      </c>
      <c r="B22" s="7">
        <f>SUM(B16:B21)</f>
        <v>0</v>
      </c>
    </row>
    <row r="23" spans="1:7">
      <c r="A23" s="3" t="s">
        <v>20</v>
      </c>
    </row>
    <row r="24" spans="1:7">
      <c r="B24" s="8" t="s">
        <v>21</v>
      </c>
      <c r="C24" s="8" t="s">
        <v>22</v>
      </c>
      <c r="D24" s="8" t="s">
        <v>23</v>
      </c>
      <c r="E24" s="8" t="s">
        <v>24</v>
      </c>
      <c r="F24" s="8" t="s">
        <v>25</v>
      </c>
    </row>
    <row r="25" spans="1:7">
      <c r="A25" t="s">
        <v>26</v>
      </c>
      <c r="B25" s="5">
        <v>0.04</v>
      </c>
      <c r="C25" s="5">
        <v>0.05</v>
      </c>
      <c r="D25" s="5">
        <v>0.055</v>
      </c>
      <c r="E25" s="5">
        <v>0.06</v>
      </c>
      <c r="F25" s="5">
        <v>0.06</v>
      </c>
    </row>
    <row r="26" spans="1:7">
      <c r="A26" t="s">
        <v>27</v>
      </c>
      <c r="B26" s="4">
        <v>0.9</v>
      </c>
    </row>
    <row r="28" spans="1:7">
      <c r="A28" s="3" t="s">
        <v>28</v>
      </c>
    </row>
    <row r="29" spans="1:7">
      <c r="B29" s="8" t="s">
        <v>29</v>
      </c>
      <c r="C29" s="8" t="s">
        <v>21</v>
      </c>
      <c r="D29" s="8" t="s">
        <v>22</v>
      </c>
      <c r="E29" s="8" t="s">
        <v>23</v>
      </c>
      <c r="F29" s="8" t="s">
        <v>24</v>
      </c>
      <c r="G29" s="8" t="s">
        <v>25</v>
      </c>
    </row>
    <row r="30" spans="1:7">
      <c r="A30" t="s">
        <v>30</v>
      </c>
      <c r="B30" s="9">
        <f>B7</f>
        <v>0</v>
      </c>
      <c r="C30" s="9">
        <f>B30*(1+B25)</f>
        <v>0</v>
      </c>
      <c r="D30" s="9">
        <f>C30*(1+C25)</f>
        <v>0</v>
      </c>
      <c r="E30" s="9">
        <f>D30*(1+D25)</f>
        <v>0</v>
      </c>
      <c r="F30" s="9">
        <f>E30*(1+E25)</f>
        <v>0</v>
      </c>
      <c r="G30" s="9">
        <f>F30*(1+F25)</f>
        <v>0</v>
      </c>
    </row>
    <row r="31" spans="1:7">
      <c r="A31" t="s">
        <v>31</v>
      </c>
      <c r="C31" s="9">
        <f>1/(1+$B$13)^1</f>
        <v>0</v>
      </c>
      <c r="D31" s="9">
        <f>1/(1+$B$13)^2</f>
        <v>0</v>
      </c>
      <c r="E31" s="9">
        <f>1/(1+$B$13)^3</f>
        <v>0</v>
      </c>
      <c r="F31" s="9">
        <f>1/(1+$B$13)^4</f>
        <v>0</v>
      </c>
      <c r="G31" s="9">
        <f>1/(1+$B$13)^5</f>
        <v>0</v>
      </c>
    </row>
    <row r="33" spans="1:3">
      <c r="A33" s="2" t="s">
        <v>32</v>
      </c>
    </row>
    <row r="34" spans="1:3">
      <c r="A34" s="2" t="s">
        <v>33</v>
      </c>
    </row>
    <row r="36" spans="1:3">
      <c r="A36" s="3" t="s">
        <v>34</v>
      </c>
    </row>
    <row r="37" spans="1:3">
      <c r="A37" t="s">
        <v>35</v>
      </c>
      <c r="B37" s="9">
        <f>G30</f>
        <v>0</v>
      </c>
    </row>
    <row r="38" spans="1:3">
      <c r="A38" t="s">
        <v>36</v>
      </c>
      <c r="B38" s="9">
        <f>B26</f>
        <v>0</v>
      </c>
    </row>
    <row r="39" spans="1:3">
      <c r="A39" t="s">
        <v>37</v>
      </c>
      <c r="B39" s="9">
        <f>B37*B38</f>
        <v>0</v>
      </c>
    </row>
    <row r="40" spans="1:3">
      <c r="A40" t="s">
        <v>38</v>
      </c>
      <c r="B40" s="9">
        <f>B39*G31</f>
        <v>0</v>
      </c>
    </row>
    <row r="41" spans="1:3">
      <c r="A41" t="s">
        <v>39</v>
      </c>
      <c r="B41" s="9">
        <f>B11</f>
        <v>0</v>
      </c>
    </row>
    <row r="42" spans="1:3">
      <c r="A42" s="6" t="s">
        <v>40</v>
      </c>
      <c r="B42" s="7">
        <f>B40-B41</f>
        <v>0</v>
      </c>
    </row>
    <row r="44" spans="1:3">
      <c r="A44" t="s">
        <v>41</v>
      </c>
      <c r="B44" s="10">
        <f>(B42-B5)/B5</f>
        <v>0</v>
      </c>
    </row>
    <row r="46" spans="1:3">
      <c r="A46" s="3" t="s">
        <v>42</v>
      </c>
    </row>
    <row r="47" spans="1:3">
      <c r="A47" t="s">
        <v>43</v>
      </c>
      <c r="B47" s="5">
        <v>0.15</v>
      </c>
    </row>
    <row r="48" spans="1:3">
      <c r="A48" t="s">
        <v>44</v>
      </c>
      <c r="B48" s="9">
        <v>0</v>
      </c>
      <c r="C48" s="2" t="s">
        <v>45</v>
      </c>
    </row>
    <row r="49" spans="1:2">
      <c r="A49" t="s">
        <v>46</v>
      </c>
      <c r="B49" s="9">
        <f>B39/(1+B47)^5</f>
        <v>0</v>
      </c>
    </row>
    <row r="50" spans="1:2">
      <c r="A50" t="s">
        <v>47</v>
      </c>
      <c r="B50" s="7">
        <f>B48+B49-B11</f>
        <v>0</v>
      </c>
    </row>
    <row r="51" spans="1:2">
      <c r="A51" t="s">
        <v>48</v>
      </c>
      <c r="B51" s="10">
        <f>(B5-B50)/B5</f>
        <v>0</v>
      </c>
    </row>
    <row r="53" spans="1:2">
      <c r="A53" s="3" t="s">
        <v>49</v>
      </c>
    </row>
    <row r="54" spans="1:2">
      <c r="A54" t="s">
        <v>50</v>
      </c>
      <c r="B54" s="9">
        <f>B5/B6</f>
        <v>0</v>
      </c>
    </row>
    <row r="55" spans="1:2">
      <c r="A55" t="s">
        <v>51</v>
      </c>
      <c r="B55" s="9">
        <f>B5/B7</f>
        <v>0</v>
      </c>
    </row>
    <row r="56" spans="1:2">
      <c r="A56" t="s">
        <v>52</v>
      </c>
      <c r="B56" s="9">
        <f>B42/B6</f>
        <v>0</v>
      </c>
    </row>
    <row r="57" spans="1:2">
      <c r="A57" s="2" t="s">
        <v>53</v>
      </c>
      <c r="B57" s="2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cols>
    <col min="1" max="1" width="30.7109375" customWidth="1"/>
    <col min="2" max="4" width="14.7109375" customWidth="1"/>
  </cols>
  <sheetData>
    <row r="1" spans="1:4">
      <c r="A1" s="1" t="s">
        <v>55</v>
      </c>
    </row>
    <row r="3" spans="1:4">
      <c r="A3" s="8"/>
      <c r="B3" s="8" t="s">
        <v>56</v>
      </c>
      <c r="C3" s="8" t="s">
        <v>29</v>
      </c>
      <c r="D3" s="8" t="s">
        <v>57</v>
      </c>
    </row>
    <row r="4" spans="1:4">
      <c r="A4" t="s">
        <v>58</v>
      </c>
      <c r="B4" t="s">
        <v>59</v>
      </c>
      <c r="C4" t="s">
        <v>60</v>
      </c>
      <c r="D4" t="s">
        <v>61</v>
      </c>
    </row>
    <row r="5" spans="1:4">
      <c r="A5" t="s">
        <v>36</v>
      </c>
      <c r="B5" s="9">
        <v>0.75</v>
      </c>
      <c r="C5" s="9">
        <v>0.9</v>
      </c>
      <c r="D5" s="9">
        <v>1</v>
      </c>
    </row>
    <row r="6" spans="1:4">
      <c r="A6" t="s">
        <v>62</v>
      </c>
      <c r="B6" s="10">
        <v>0.2</v>
      </c>
      <c r="C6" s="10">
        <v>0.2</v>
      </c>
      <c r="D6" s="10">
        <v>0.2</v>
      </c>
    </row>
    <row r="7" spans="1:4">
      <c r="A7" t="s">
        <v>35</v>
      </c>
      <c r="B7" s="9">
        <v>1.5044</v>
      </c>
      <c r="C7" s="9">
        <v>1.9105</v>
      </c>
      <c r="D7" s="9">
        <v>2.8374</v>
      </c>
    </row>
    <row r="8" spans="1:4">
      <c r="A8" t="s">
        <v>37</v>
      </c>
      <c r="B8" s="9">
        <v>1.1283</v>
      </c>
      <c r="C8" s="9">
        <v>1.7195</v>
      </c>
      <c r="D8" s="9">
        <v>2.8374</v>
      </c>
    </row>
    <row r="9" spans="1:4">
      <c r="A9" s="6" t="s">
        <v>63</v>
      </c>
      <c r="B9" s="7">
        <v>0.4534</v>
      </c>
      <c r="C9" s="7">
        <v>0.6909999999999999</v>
      </c>
      <c r="D9" s="7">
        <v>1.1402</v>
      </c>
    </row>
    <row r="10" spans="1:4">
      <c r="A10" t="s">
        <v>64</v>
      </c>
      <c r="B10" s="10">
        <v>-0.6993</v>
      </c>
      <c r="C10" s="10">
        <v>-0.5417999999999999</v>
      </c>
      <c r="D10" s="10">
        <v>-0.2439</v>
      </c>
    </row>
    <row r="12" spans="1:4">
      <c r="A12" t="s">
        <v>65</v>
      </c>
      <c r="B12" s="10">
        <v>0.25</v>
      </c>
      <c r="C12" s="10">
        <v>0.55</v>
      </c>
      <c r="D12" s="10">
        <v>0.2</v>
      </c>
    </row>
    <row r="14" spans="1:4">
      <c r="A14" s="6" t="s">
        <v>66</v>
      </c>
      <c r="B14" s="7">
        <f>B9*B12+C9*C12+D9*D12</f>
        <v>0</v>
      </c>
    </row>
    <row r="15" spans="1:4">
      <c r="A15" t="s">
        <v>67</v>
      </c>
      <c r="B15" s="9">
        <v>1.508</v>
      </c>
    </row>
    <row r="16" spans="1:4">
      <c r="A16" t="s">
        <v>68</v>
      </c>
      <c r="B16" s="10">
        <f>(B14-B15)/B15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cols>
    <col min="1" max="1" width="20.7109375" customWidth="1"/>
    <col min="2" max="7" width="12.7109375" customWidth="1"/>
  </cols>
  <sheetData>
    <row r="1" spans="1:6">
      <c r="A1" s="1" t="s">
        <v>69</v>
      </c>
    </row>
    <row r="2" spans="1:6">
      <c r="A2" t="s">
        <v>70</v>
      </c>
    </row>
    <row r="4" spans="1:6">
      <c r="A4" s="8" t="s">
        <v>71</v>
      </c>
      <c r="B4" s="11">
        <v>0.7</v>
      </c>
      <c r="C4" s="11">
        <v>0.8</v>
      </c>
      <c r="D4" s="11">
        <v>0.9</v>
      </c>
      <c r="E4" s="11">
        <v>1</v>
      </c>
      <c r="F4" s="11">
        <v>1.1</v>
      </c>
    </row>
    <row r="5" spans="1:6">
      <c r="A5" s="12">
        <v>0</v>
      </c>
      <c r="B5" s="13">
        <f>('NAV Model'!$B$7*(1+0.0)^5*0.7)/(1+'NAV Model'!$B$13)^5</f>
        <v>0</v>
      </c>
      <c r="C5" s="13">
        <f>('NAV Model'!$B$7*(1+0.0)^5*0.8)/(1+'NAV Model'!$B$13)^5</f>
        <v>0</v>
      </c>
      <c r="D5" s="13">
        <f>('NAV Model'!$B$7*(1+0.0)^5*0.9)/(1+'NAV Model'!$B$13)^5</f>
        <v>0</v>
      </c>
      <c r="E5" s="13">
        <f>('NAV Model'!$B$7*(1+0.0)^5*1.0)/(1+'NAV Model'!$B$13)^5</f>
        <v>0</v>
      </c>
      <c r="F5" s="13">
        <f>('NAV Model'!$B$7*(1+0.0)^5*1.1)/(1+'NAV Model'!$B$13)^5</f>
        <v>0</v>
      </c>
    </row>
    <row r="6" spans="1:6">
      <c r="A6" s="12">
        <v>0.03</v>
      </c>
      <c r="B6" s="13">
        <f>('NAV Model'!$B$7*(1+0.03)^5*0.7)/(1+'NAV Model'!$B$13)^5</f>
        <v>0</v>
      </c>
      <c r="C6" s="13">
        <f>('NAV Model'!$B$7*(1+0.03)^5*0.8)/(1+'NAV Model'!$B$13)^5</f>
        <v>0</v>
      </c>
      <c r="D6" s="13">
        <f>('NAV Model'!$B$7*(1+0.03)^5*0.9)/(1+'NAV Model'!$B$13)^5</f>
        <v>0</v>
      </c>
      <c r="E6" s="13">
        <f>('NAV Model'!$B$7*(1+0.03)^5*1.0)/(1+'NAV Model'!$B$13)^5</f>
        <v>0</v>
      </c>
      <c r="F6" s="13">
        <f>('NAV Model'!$B$7*(1+0.03)^5*1.1)/(1+'NAV Model'!$B$13)^5</f>
        <v>0</v>
      </c>
    </row>
    <row r="7" spans="1:6">
      <c r="A7" s="12">
        <v>0.06</v>
      </c>
      <c r="B7" s="13">
        <f>('NAV Model'!$B$7*(1+0.06)^5*0.7)/(1+'NAV Model'!$B$13)^5</f>
        <v>0</v>
      </c>
      <c r="C7" s="13">
        <f>('NAV Model'!$B$7*(1+0.06)^5*0.8)/(1+'NAV Model'!$B$13)^5</f>
        <v>0</v>
      </c>
      <c r="D7" s="13">
        <f>('NAV Model'!$B$7*(1+0.06)^5*0.9)/(1+'NAV Model'!$B$13)^5</f>
        <v>0</v>
      </c>
      <c r="E7" s="13">
        <f>('NAV Model'!$B$7*(1+0.06)^5*1.0)/(1+'NAV Model'!$B$13)^5</f>
        <v>0</v>
      </c>
      <c r="F7" s="13">
        <f>('NAV Model'!$B$7*(1+0.06)^5*1.1)/(1+'NAV Model'!$B$13)^5</f>
        <v>0</v>
      </c>
    </row>
    <row r="8" spans="1:6">
      <c r="A8" s="12">
        <v>0.09</v>
      </c>
      <c r="B8" s="13">
        <f>('NAV Model'!$B$7*(1+0.09)^5*0.7)/(1+'NAV Model'!$B$13)^5</f>
        <v>0</v>
      </c>
      <c r="C8" s="13">
        <f>('NAV Model'!$B$7*(1+0.09)^5*0.8)/(1+'NAV Model'!$B$13)^5</f>
        <v>0</v>
      </c>
      <c r="D8" s="13">
        <f>('NAV Model'!$B$7*(1+0.09)^5*0.9)/(1+'NAV Model'!$B$13)^5</f>
        <v>0</v>
      </c>
      <c r="E8" s="13">
        <f>('NAV Model'!$B$7*(1+0.09)^5*1.0)/(1+'NAV Model'!$B$13)^5</f>
        <v>0</v>
      </c>
      <c r="F8" s="13">
        <f>('NAV Model'!$B$7*(1+0.09)^5*1.1)/(1+'NAV Model'!$B$13)^5</f>
        <v>0</v>
      </c>
    </row>
    <row r="9" spans="1:6">
      <c r="A9" s="12">
        <v>0.12</v>
      </c>
      <c r="B9" s="13">
        <f>('NAV Model'!$B$7*(1+0.12)^5*0.7)/(1+'NAV Model'!$B$13)^5</f>
        <v>0</v>
      </c>
      <c r="C9" s="13">
        <f>('NAV Model'!$B$7*(1+0.12)^5*0.8)/(1+'NAV Model'!$B$13)^5</f>
        <v>0</v>
      </c>
      <c r="D9" s="13">
        <f>('NAV Model'!$B$7*(1+0.12)^5*0.9)/(1+'NAV Model'!$B$13)^5</f>
        <v>0</v>
      </c>
      <c r="E9" s="13">
        <f>('NAV Model'!$B$7*(1+0.12)^5*1.0)/(1+'NAV Model'!$B$13)^5</f>
        <v>0</v>
      </c>
      <c r="F9" s="13">
        <f>('NAV Model'!$B$7*(1+0.12)^5*1.1)/(1+'NAV Model'!$B$13)^5</f>
        <v>0</v>
      </c>
    </row>
    <row r="10" spans="1:6">
      <c r="A10" s="12">
        <v>0.15</v>
      </c>
      <c r="B10" s="13">
        <f>('NAV Model'!$B$7*(1+0.15)^5*0.7)/(1+'NAV Model'!$B$13)^5</f>
        <v>0</v>
      </c>
      <c r="C10" s="13">
        <f>('NAV Model'!$B$7*(1+0.15)^5*0.8)/(1+'NAV Model'!$B$13)^5</f>
        <v>0</v>
      </c>
      <c r="D10" s="13">
        <f>('NAV Model'!$B$7*(1+0.15)^5*0.9)/(1+'NAV Model'!$B$13)^5</f>
        <v>0</v>
      </c>
      <c r="E10" s="13">
        <f>('NAV Model'!$B$7*(1+0.15)^5*1.0)/(1+'NAV Model'!$B$13)^5</f>
        <v>0</v>
      </c>
      <c r="F10" s="13">
        <f>('NAV Model'!$B$7*(1+0.15)^5*1.1)/(1+'NAV Model'!$B$13)^5</f>
        <v>0</v>
      </c>
    </row>
    <row r="12" spans="1:6">
      <c r="A12" s="3" t="s">
        <v>72</v>
      </c>
    </row>
    <row r="13" spans="1:6">
      <c r="A13" s="8" t="s">
        <v>62</v>
      </c>
    </row>
    <row r="14" spans="1:6">
      <c r="B14" s="12">
        <v>0.17</v>
      </c>
      <c r="C14" s="12">
        <v>0.185</v>
      </c>
      <c r="D14" s="12">
        <v>0.2</v>
      </c>
      <c r="E14" s="12">
        <v>0.215</v>
      </c>
      <c r="F14" s="12">
        <v>0.23</v>
      </c>
    </row>
    <row r="15" spans="1:6">
      <c r="A15" t="s">
        <v>73</v>
      </c>
      <c r="B15" s="13">
        <f>'NAV Model'!$B$39/(1+0.17)^5</f>
        <v>0</v>
      </c>
      <c r="C15" s="13">
        <f>'NAV Model'!$B$39/(1+0.185)^5</f>
        <v>0</v>
      </c>
      <c r="D15" s="13">
        <f>'NAV Model'!$B$39/(1+0.2)^5</f>
        <v>0</v>
      </c>
      <c r="E15" s="13">
        <f>'NAV Model'!$B$39/(1+0.215)^5</f>
        <v>0</v>
      </c>
      <c r="F15" s="13">
        <f>'NAV Model'!$B$39/(1+0.23)^5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32.7109375" customWidth="1"/>
    <col min="2" max="6" width="14.7109375" customWidth="1"/>
  </cols>
  <sheetData>
    <row r="1" spans="1:6">
      <c r="A1" s="1" t="s">
        <v>74</v>
      </c>
    </row>
    <row r="2" spans="1:6">
      <c r="A2" s="2" t="s">
        <v>75</v>
      </c>
    </row>
    <row r="4" spans="1:6">
      <c r="A4" s="8" t="s">
        <v>76</v>
      </c>
      <c r="B4" s="8" t="s">
        <v>77</v>
      </c>
      <c r="C4" s="8" t="s">
        <v>78</v>
      </c>
      <c r="D4" s="8" t="s">
        <v>79</v>
      </c>
      <c r="E4" s="8" t="s">
        <v>80</v>
      </c>
      <c r="F4" s="8" t="s">
        <v>81</v>
      </c>
    </row>
    <row r="5" spans="1:6">
      <c r="A5" t="s">
        <v>82</v>
      </c>
      <c r="B5" s="14">
        <v>7.62</v>
      </c>
      <c r="C5" s="14">
        <v>14.086</v>
      </c>
      <c r="D5" s="14">
        <v>19.455</v>
      </c>
      <c r="E5" s="14">
        <v>20.363</v>
      </c>
      <c r="F5" s="14">
        <v>24.683</v>
      </c>
    </row>
    <row r="6" spans="1:6">
      <c r="A6" t="s">
        <v>6</v>
      </c>
      <c r="B6" s="14">
        <v>6.097365</v>
      </c>
      <c r="C6" s="14">
        <v>10.120588</v>
      </c>
      <c r="D6" s="14">
        <v>12.630107</v>
      </c>
      <c r="E6" s="14">
        <v>14.416518</v>
      </c>
      <c r="F6" s="14">
        <v>16.330729</v>
      </c>
    </row>
    <row r="7" spans="1:6">
      <c r="A7" t="s">
        <v>83</v>
      </c>
      <c r="B7" s="9">
        <f>B5/B6</f>
        <v>0</v>
      </c>
      <c r="C7" s="9">
        <f>C5/C6</f>
        <v>0</v>
      </c>
      <c r="D7" s="9">
        <f>D5/D6</f>
        <v>0</v>
      </c>
      <c r="E7" s="9">
        <f>E5/E6</f>
        <v>0</v>
      </c>
      <c r="F7" s="9">
        <f>F5/F6</f>
        <v>0</v>
      </c>
    </row>
    <row r="8" spans="1:6">
      <c r="A8" t="s">
        <v>84</v>
      </c>
      <c r="C8" s="10">
        <f>(C7/B7)-1</f>
        <v>0</v>
      </c>
      <c r="D8" s="10">
        <f>(D7/C7)-1</f>
        <v>0</v>
      </c>
      <c r="E8" s="10">
        <f>(E7/D7)-1</f>
        <v>0</v>
      </c>
      <c r="F8" s="10">
        <f>(F7/E7)-1</f>
        <v>0</v>
      </c>
    </row>
    <row r="10" spans="1:6">
      <c r="A10" s="6" t="s">
        <v>85</v>
      </c>
      <c r="B10" s="10">
        <f>(F5/B5)^(1/4)-1</f>
        <v>0</v>
      </c>
    </row>
    <row r="11" spans="1:6">
      <c r="A11" s="6" t="s">
        <v>86</v>
      </c>
      <c r="B11" s="10">
        <f>(F6/B6)^(1/4)-1</f>
        <v>0</v>
      </c>
    </row>
    <row r="12" spans="1:6">
      <c r="A12" s="6" t="s">
        <v>87</v>
      </c>
      <c r="B12" s="10">
        <f>(F7/B7)^(1/4)-1</f>
        <v>0</v>
      </c>
    </row>
    <row r="14" spans="1:6">
      <c r="A14" t="s">
        <v>88</v>
      </c>
      <c r="B14" s="14">
        <v>1.245</v>
      </c>
      <c r="C14" s="14">
        <v>1.003</v>
      </c>
      <c r="D14" s="14">
        <v>1.593</v>
      </c>
      <c r="E14" s="14">
        <v>-1.739</v>
      </c>
      <c r="F14" s="14">
        <v>1.593</v>
      </c>
    </row>
    <row r="15" spans="1:6">
      <c r="A15" t="s">
        <v>89</v>
      </c>
      <c r="B15">
        <v>0.5679999999999999</v>
      </c>
      <c r="C15">
        <v>0</v>
      </c>
      <c r="D15">
        <v>0</v>
      </c>
      <c r="E15">
        <v>0</v>
      </c>
      <c r="F15">
        <v>0</v>
      </c>
    </row>
    <row r="16" spans="1:6">
      <c r="A16" s="2" t="s">
        <v>90</v>
      </c>
      <c r="B16" s="2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cols>
    <col min="1" max="1" width="28.7109375" customWidth="1"/>
    <col min="2" max="2" width="90.7109375" customWidth="1"/>
  </cols>
  <sheetData>
    <row r="1" spans="1:2">
      <c r="A1" s="1" t="s">
        <v>92</v>
      </c>
    </row>
    <row r="4" spans="1:2" ht="45" customHeight="1">
      <c r="A4" s="6" t="s">
        <v>93</v>
      </c>
      <c r="B4" s="15" t="s">
        <v>94</v>
      </c>
    </row>
    <row r="5" spans="1:2" ht="45" customHeight="1">
      <c r="A5" s="6" t="s">
        <v>95</v>
      </c>
      <c r="B5" s="15" t="s">
        <v>96</v>
      </c>
    </row>
    <row r="6" spans="1:2" ht="45" customHeight="1">
      <c r="A6" s="6" t="s">
        <v>97</v>
      </c>
      <c r="B6" s="15" t="s">
        <v>98</v>
      </c>
    </row>
    <row r="7" spans="1:2" ht="45" customHeight="1">
      <c r="A7" s="6" t="s">
        <v>99</v>
      </c>
      <c r="B7" s="15" t="s">
        <v>100</v>
      </c>
    </row>
    <row r="8" spans="1:2" ht="45" customHeight="1">
      <c r="A8" s="6" t="s">
        <v>101</v>
      </c>
      <c r="B8" s="15" t="s">
        <v>102</v>
      </c>
    </row>
    <row r="9" spans="1:2" ht="45" customHeight="1">
      <c r="A9" s="6" t="s">
        <v>103</v>
      </c>
      <c r="B9" s="15" t="s">
        <v>104</v>
      </c>
    </row>
    <row r="10" spans="1:2" ht="45" customHeight="1">
      <c r="A10" s="6" t="s">
        <v>105</v>
      </c>
      <c r="B10" s="15" t="s">
        <v>106</v>
      </c>
    </row>
    <row r="11" spans="1:2" ht="45" customHeight="1">
      <c r="A11" s="6" t="s">
        <v>107</v>
      </c>
      <c r="B11" s="15" t="s">
        <v>108</v>
      </c>
    </row>
    <row r="12" spans="1:2" ht="45" customHeight="1">
      <c r="A12" s="6" t="s">
        <v>109</v>
      </c>
      <c r="B12" s="15" t="s">
        <v>110</v>
      </c>
    </row>
    <row r="13" spans="1:2" ht="45" customHeight="1">
      <c r="A13" s="6" t="s">
        <v>111</v>
      </c>
      <c r="B13" s="15" t="s">
        <v>112</v>
      </c>
    </row>
    <row r="14" spans="1:2" ht="45" customHeight="1">
      <c r="A14" s="6" t="s">
        <v>113</v>
      </c>
      <c r="B14" s="15" t="s">
        <v>114</v>
      </c>
    </row>
    <row r="15" spans="1:2" ht="45" customHeight="1">
      <c r="A15" s="6" t="s">
        <v>115</v>
      </c>
      <c r="B15" s="15" t="s">
        <v>116</v>
      </c>
    </row>
    <row r="16" spans="1:2" ht="45" customHeight="1">
      <c r="A16" s="6" t="s">
        <v>117</v>
      </c>
      <c r="B16" s="1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NAV Model</vt:lpstr>
      <vt:lpstr>Scenarios</vt:lpstr>
      <vt:lpstr>Sensitivity</vt:lpstr>
      <vt:lpstr>NAV Reconciliation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2026-08-09T05:27:28Z</dcterms:created>
  <dcterms:modified xsi:type="dcterms:W3CDTF">2026-08-09T05:27:28Z</dcterms:modified>
</cp:coreProperties>
</file>