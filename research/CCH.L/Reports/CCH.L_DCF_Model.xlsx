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<sst xmlns="http://schemas.openxmlformats.org/spreadsheetml/2006/main" count="357" uniqueCount="167">
  <si>
    <t xml:space="preserve">Ticker</t>
  </si>
  <si>
    <t xml:space="preserve">CCH.L</t>
  </si>
  <si>
    <t xml:space="preserve">Company</t>
  </si>
  <si>
    <t xml:space="preserve">Coca-Cola HBC AG</t>
  </si>
  <si>
    <t xml:space="preserve">Valuation date</t>
  </si>
  <si>
    <t xml:space="preserve">2026-10-10</t>
  </si>
  <si>
    <t xml:space="preserve">Current price</t>
  </si>
  <si>
    <t xml:space="preserve">Price as of</t>
  </si>
  <si>
    <t xml:space="preserve">2026-10-09T15:35:18Z (LSE regular-session close, 16:35 BST; not an after-hours print; within 52-week range 3,350-5,195p)</t>
  </si>
  <si>
    <t xml:space="preserve">Balance sheet date</t>
  </si>
  <si>
    <t xml:space="preserve">2026-07-03</t>
  </si>
  <si>
    <t xml:space="preserve">Model</t>
  </si>
  <si>
    <t xml:space="preserve">owner_fcf_dcf_component</t>
  </si>
  <si>
    <t xml:space="preserve">Currency (model)</t>
  </si>
  <si>
    <t xml:space="preserve">EUR</t>
  </si>
  <si>
    <t xml:space="preserve">Currency (quote)</t>
  </si>
  <si>
    <t xml:space="preserve">GBp</t>
  </si>
  <si>
    <t xml:space="preserve">Units</t>
  </si>
  <si>
    <t xml:space="preserve">millions</t>
  </si>
  <si>
    <t xml:space="preserve">Engine</t>
  </si>
  <si>
    <t xml:space="preserve">dcf_engine v1</t>
  </si>
  <si>
    <t xml:space="preserve">Built at</t>
  </si>
  <si>
    <t xml:space="preserve">2026-10-09T22:48:59Z</t>
  </si>
  <si>
    <t xml:space="preserve">Drivers file</t>
  </si>
  <si>
    <t xml:space="preserve">CCH.L_Drivers.json</t>
  </si>
  <si>
    <t xml:space="preserve">Convention</t>
  </si>
  <si>
    <t xml:space="preserve">Percents stored as percents; formulas divide by 100. Blue = input, green = link, black = formula.</t>
  </si>
  <si>
    <t xml:space="preserve">Methodology</t>
  </si>
  <si>
    <t xml:space="preserve">summary: Owner-FCF DCF on a standalone CCH, EUR flows at a EUR WACC, converted to the GBp quote at 84.61. Leases charged once as an operating cost (treatment B), NCI deducted once at book, SBC expensed and the share count held flat, risk charged once in an 8.5% WACC with scenarios varying only operating drivers. The CCBA acquisition is treated as value-neutral at cost until it completes and its first consolidated accounts are filed. Terminal value is the lower of Gordon at 2.5% and 20x year-10 owner FCF; the entry price demands a 15% IRR with the terminal value rebuilt at the hurdle.
key_risks_to_valuation: EM currency translation and transaction exposure (Naira, Egyptian pound, rouble, hryvnia; rand and Kenyan shilling post-CCBA) -- the gap between 6-7% organic and EUR reported growth is the single largest driver swing; CCBA integration and leverage: the deal is held at cost here; a 25% value gain or loss on the EUR2.2bn purchase price is ~EUR1.5/share either way, and completion failure would leave EUR2.1bn of surplus bonds to redeem; Capex intensity: the base assumes a glide from 6.4% to 5.0% of revenue over ten years; if the company holds its 6.5-7.5% (incl. leases) target indefinitely, terminal FCF is ~1.4pp of revenue lower; Terminal-value weight: ~60% of EV sits in the terminal value at 8.5%/2.5%; each 50bps of WACC moves the base value ~8-9%; Franchisor dependency: concentrate pricing and brand strategy are set by TCCC under the incidence-based model</t>
  </si>
  <si>
    <t xml:space="preserve">Data sources</t>
  </si>
  <si>
    <t xml:space="preserve">price: Yahoo Finance chart API for CCH.L at inputs.price_as_of (GBp); 52-week range 3,350-5,195p. FX from Yahoo EURGBP=X, EURUSD=X, GBPUSD=X and the CCHGY ADR for parity, all 2026-10-09.
financials: research/CCH.L/Reports/CCH.L_Metrics.csv (core_metrics, FY2018-H1 FY2026) and kpis table; FY2025 Integrated Annual Report (cash flow statement, notes 11, 14, 16, 23, 25; APM reconciliations); H1 FY2026 half-yearly report (balance sheet, notes 7, 10, 14, 15); Q1 2026 trading update; H1 2026 results presentation.
qualitative: research/CCH.L/Reports/CCH.L_Analysis.json (2026-10-10): segment mix, CCBA deal terms and clearance status, FY2026 and medium-term guidance, bull/bear axes.</t>
  </si>
  <si>
    <t xml:space="preserve">Scenario narrative: bear</t>
  </si>
  <si>
    <t xml:space="preserve">The EM axis turns: a Nigeria/Egypt devaluation cycle, Russia/Ukraine escalation or sanctions, and EU sugar-tax/DRS pressure cut EUR revenue growth to 2-3% from FY2027, margins compress 70bps on transaction FX and input costs, and CCBA integration absorbs management while leverage sits at 1.5-2.0x. Capex stays elevated at 6% to defend share.</t>
  </si>
  <si>
    <t xml:space="preserve">Scenario narrative: base</t>
  </si>
  <si>
    <t xml:space="preserve">CCH delivers its medium-term algorithm on a standalone basis: organic revenue at the top of 6-7% in FY2026 (upgraded in August after a volume-led H1 +9.6%), then 5.0-5.5% in EUR as roughly 1.5pp/yr of EM pricing is given back in translation; EBITDA margin expands ~25bps/yr from 15.2% to 17.0% as Emerging (13.5% EBIT margin, 47% of revenue) scales; capex intensity glides from 6.4% to 5.0% as the 2024-25 capacity build in Egypt and Nigeria is absorbed. Owner FCF margin rises from ~5.8% to ~7.9% by FY2035. The CCBA acquisition is held at cost (value-neutral) pending completion.</t>
  </si>
  <si>
    <t xml:space="preserve">Scenario narrative: bull</t>
  </si>
  <si>
    <t xml:space="preserve">Africa-led compounding: Energy (10th straight year of double-digit growth) and Sparkling per-capita catch-up in Nigeria and Egypt keep organic growth at 6-7% for five years with benign FX, margin expansion runs at the top of the 20-40bps/yr target to 18%, and capex normalises faster. CCBA (not in the flows) would add to this case if integration lands the guided low-single-digit EPS accretion and the 25% option is exercised at a fair price.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</si>
  <si>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</si>
  <si>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</si>
  <si>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</si>
  <si>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</si>
  <si>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</si>
  <si>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</si>
  <si>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</si>
  <si>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</si>
  <si>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</si>
  <si>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</si>
  <si>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</si>
  <si>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</si>
  <si>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</si>
  <si>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</si>
  <si>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</si>
  <si>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</si>
  <si>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</si>
  <si>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</si>
  <si>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</si>
  <si>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</si>
  <si>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</si>
  <si>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</si>
  <si>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</si>
  <si>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</si>
  <si>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</si>
  <si>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</si>
  <si>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</si>
  <si>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OrganicRevenueGrowth</t>
  </si>
  <si>
    <t xml:space="preserve">TotalEquityInclNCI</t>
  </si>
  <si>
    <t xml:space="preserve">UnitCaseVolume</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</si>
  <si>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</si>
  <si>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</si>
  <si>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</si>
  <si>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</si>
  <si>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</si>
  <si>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</si>
  <si>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</si>
  <si>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</si>
  <si>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</si>
  <si>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</si>
  <si>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</si>
  <si>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</si>
  <si>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</si>
  <si>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</si>
  <si>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</si>
  <si>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</si>
  <si>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</si>
  <si>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</si>
  <si>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</si>
  <si>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</si>
  <si>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</si>
  <si>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</si>
  <si>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</si>
  <si>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</si>
  <si>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</si>
  <si>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</si>
  <si>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</si>
  <si>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</si>
  <si>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</si>
  <si>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</si>
  <si>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</si>
  <si>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</si>
  <si>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</si>
  <si>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</si>
  <si>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</si>
  <si>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</si>
  <si>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</si>
  <si>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</si>
  <si>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</si>
  <si>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</si>
  <si>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</si>
  <si>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</si>
  <si>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</si>
  <si>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</si>
  <si>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</si>
  <si>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CCH.L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</si>
  <si>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</si>
  <si>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</si>
  <si>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</si>
  <si>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</si>
  <si>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</si>
  <si>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</si>
  <si>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</si>
  <si>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</si>
  <si>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</si>
  <si>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</si>
  <si>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</si>
  <si>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</si>
  <si>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</si>
  <si>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</si>
  <si>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</si>
  <si>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</si>
  <si>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</si>
  <si>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</si>
  <si>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</si>
  <si>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</si>
  <si>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</si>
  <si>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</si>
  <si>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</si>
  <si>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</si>
  <si>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</si>
  <si>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</si>
  <si>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</si>
  <si>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</si>
  <si>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</si>
  <si>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</si>
  <si>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CCH.L owner-FCF component DCF: base case (millions, EUR)</t>
  </si>
  <si>
    <t xml:space="preserve">CCH.L owner-FCF component DCF: bull case (millions, EUR)</t>
  </si>
  <si>
    <t xml:space="preserve">CCH.L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</si>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</sst>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4282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6657.1</v>
      </c>
      <c r="C2" s="0" t="n">
        <v>4141.8</v>
      </c>
      <c r="D2" s="0" t="n">
        <v>2515.3</v>
      </c>
      <c r="E2" s="0" t="n">
        <v>37.8</v>
      </c>
      <c r="F2" s="0" t="n">
        <v>639.4</v>
      </c>
      <c r="G2" s="0" t="n">
        <v>9.6</v>
      </c>
      <c r="H2" s="0" t="n">
        <v>968.7</v>
      </c>
      <c r="I2" s="0" t="n">
        <v>447.4</v>
      </c>
      <c r="J2" s="0" t="n">
        <v>6.7</v>
      </c>
      <c r="K2" s="0" t="n">
        <v>1.21</v>
      </c>
      <c r="L2" s="0" t="n">
        <v>796.6</v>
      </c>
      <c r="M2" s="0" t="n">
        <v>437.2</v>
      </c>
      <c r="N2" s="0" t="n">
        <v>359.4</v>
      </c>
      <c r="O2" s="0" t="n">
        <v>3111.1</v>
      </c>
      <c r="P2" s="0" t="n">
        <v>6854.3</v>
      </c>
      <c r="Q2" s="0" t="n">
        <v>3737.9</v>
      </c>
      <c r="R2" s="0" t="n">
        <v>1604.4</v>
      </c>
      <c r="S2" s="0" t="n">
        <v>712.3</v>
      </c>
      <c r="T2" s="0" t="n">
        <v>369.8</v>
      </c>
      <c r="U2" s="0" t="n">
        <v>10.1</v>
      </c>
      <c r="AA2" s="0" t="s">
        <v>18</v>
      </c>
      <c r="AB2" s="0" t="s">
        <v>14</v>
      </c>
      <c r="AD2" s="0" t="n">
        <v>3116.4</v>
      </c>
      <c r="AE2" s="0" t="n">
        <v>2192</v>
      </c>
    </row>
    <row r="3" customFormat="false" ht="15" hidden="false" customHeight="false" outlineLevel="0" collapsed="false">
      <c r="A3" s="0" t="s">
        <v>68</v>
      </c>
      <c r="B3" s="0" t="n">
        <v>7026</v>
      </c>
      <c r="C3" s="0" t="n">
        <v>4380.4</v>
      </c>
      <c r="D3" s="0" t="n">
        <v>2645.6</v>
      </c>
      <c r="E3" s="0" t="n">
        <v>37.7</v>
      </c>
      <c r="F3" s="0" t="n">
        <v>715.3</v>
      </c>
      <c r="G3" s="0" t="n">
        <v>10.2</v>
      </c>
      <c r="H3" s="0" t="n">
        <v>1110.7</v>
      </c>
      <c r="I3" s="0" t="n">
        <v>487.5</v>
      </c>
      <c r="J3" s="0" t="n">
        <v>6.9</v>
      </c>
      <c r="K3" s="0" t="n">
        <v>1.33</v>
      </c>
      <c r="L3" s="0" t="n">
        <v>926.2</v>
      </c>
      <c r="M3" s="0" t="n">
        <v>473.2</v>
      </c>
      <c r="N3" s="0" t="n">
        <v>453</v>
      </c>
      <c r="O3" s="0" t="n">
        <v>2697.5</v>
      </c>
      <c r="P3" s="0" t="n">
        <v>8214</v>
      </c>
      <c r="Q3" s="0" t="n">
        <v>5513.8</v>
      </c>
      <c r="R3" s="0" t="n">
        <v>3324.7</v>
      </c>
      <c r="S3" s="0" t="n">
        <v>823</v>
      </c>
      <c r="T3" s="0" t="n">
        <v>366.5</v>
      </c>
      <c r="U3" s="0" t="n">
        <v>9.9</v>
      </c>
      <c r="AA3" s="0" t="s">
        <v>18</v>
      </c>
      <c r="AB3" s="0" t="s">
        <v>14</v>
      </c>
      <c r="AD3" s="0" t="n">
        <v>2700.2</v>
      </c>
      <c r="AE3" s="0" t="n">
        <v>2264</v>
      </c>
    </row>
    <row r="4" customFormat="false" ht="15" hidden="false" customHeight="false" outlineLevel="0" collapsed="false">
      <c r="A4" s="0" t="s">
        <v>69</v>
      </c>
      <c r="B4" s="0" t="n">
        <v>6131.8</v>
      </c>
      <c r="C4" s="0" t="n">
        <v>3810.3</v>
      </c>
      <c r="D4" s="0" t="n">
        <v>2321.5</v>
      </c>
      <c r="E4" s="0" t="n">
        <v>37.9</v>
      </c>
      <c r="F4" s="0" t="n">
        <v>660.7</v>
      </c>
      <c r="G4" s="0" t="n">
        <v>10.8</v>
      </c>
      <c r="H4" s="0" t="n">
        <v>1059.2</v>
      </c>
      <c r="I4" s="0" t="n">
        <v>414.9</v>
      </c>
      <c r="J4" s="0" t="n">
        <v>6.8</v>
      </c>
      <c r="K4" s="0" t="n">
        <v>1.14</v>
      </c>
      <c r="L4" s="0" t="n">
        <v>961.5</v>
      </c>
      <c r="M4" s="0" t="n">
        <v>419.2</v>
      </c>
      <c r="N4" s="0" t="n">
        <v>542.3</v>
      </c>
      <c r="O4" s="0" t="n">
        <v>2630.7</v>
      </c>
      <c r="P4" s="0" t="n">
        <v>7573.1</v>
      </c>
      <c r="Q4" s="0" t="n">
        <v>4939.8</v>
      </c>
      <c r="R4" s="0" t="n">
        <v>2925.5</v>
      </c>
      <c r="S4" s="0" t="n">
        <v>1215.8</v>
      </c>
      <c r="T4" s="0" t="n">
        <v>364</v>
      </c>
      <c r="U4" s="0" t="n">
        <v>9.5</v>
      </c>
      <c r="AA4" s="0" t="s">
        <v>18</v>
      </c>
      <c r="AB4" s="0" t="s">
        <v>14</v>
      </c>
      <c r="AD4" s="0" t="n">
        <v>2633.3</v>
      </c>
      <c r="AE4" s="0" t="n">
        <v>2135.6</v>
      </c>
    </row>
    <row r="5" customFormat="false" ht="15" hidden="false" customHeight="false" outlineLevel="0" collapsed="false">
      <c r="A5" s="0" t="s">
        <v>70</v>
      </c>
      <c r="B5" s="0" t="n">
        <v>7168.4</v>
      </c>
      <c r="C5" s="0" t="n">
        <v>4570.2</v>
      </c>
      <c r="D5" s="0" t="n">
        <v>2598.2</v>
      </c>
      <c r="E5" s="0" t="n">
        <v>36.2</v>
      </c>
      <c r="F5" s="0" t="n">
        <v>799.3</v>
      </c>
      <c r="G5" s="0" t="n">
        <v>11.2</v>
      </c>
      <c r="H5" s="0" t="n">
        <v>1151.5</v>
      </c>
      <c r="I5" s="0" t="n">
        <v>547.2</v>
      </c>
      <c r="J5" s="0" t="n">
        <v>7.6</v>
      </c>
      <c r="K5" s="0" t="n">
        <v>1.49</v>
      </c>
      <c r="L5" s="0" t="n">
        <v>1142.2</v>
      </c>
      <c r="M5" s="0" t="n">
        <v>506.5</v>
      </c>
      <c r="N5" s="0" t="n">
        <v>635.7</v>
      </c>
      <c r="O5" s="0" t="n">
        <v>3114.5</v>
      </c>
      <c r="P5" s="0" t="n">
        <v>8514.3</v>
      </c>
      <c r="Q5" s="0" t="n">
        <v>5397.2</v>
      </c>
      <c r="R5" s="0" t="n">
        <v>2937.4</v>
      </c>
      <c r="S5" s="0" t="n">
        <v>782.8</v>
      </c>
      <c r="T5" s="0" t="n">
        <v>366.3</v>
      </c>
      <c r="U5" s="0" t="n">
        <v>14.9</v>
      </c>
      <c r="AA5" s="0" t="s">
        <v>18</v>
      </c>
      <c r="AB5" s="0" t="s">
        <v>14</v>
      </c>
      <c r="AD5" s="0" t="n">
        <v>3117.1</v>
      </c>
      <c r="AE5" s="0" t="n">
        <v>2412.7</v>
      </c>
    </row>
    <row r="6" customFormat="false" ht="15" hidden="false" customHeight="false" outlineLevel="0" collapsed="false">
      <c r="A6" s="0" t="s">
        <v>71</v>
      </c>
      <c r="B6" s="0" t="n">
        <v>9198.4</v>
      </c>
      <c r="C6" s="0" t="n">
        <v>6054.2</v>
      </c>
      <c r="D6" s="0" t="n">
        <v>3144.2</v>
      </c>
      <c r="E6" s="0" t="n">
        <v>34.2</v>
      </c>
      <c r="F6" s="0" t="n">
        <v>703.8</v>
      </c>
      <c r="G6" s="0" t="n">
        <v>7.7</v>
      </c>
      <c r="H6" s="0" t="n">
        <v>1343.6</v>
      </c>
      <c r="I6" s="0" t="n">
        <v>415.4</v>
      </c>
      <c r="J6" s="0" t="n">
        <v>4.5</v>
      </c>
      <c r="K6" s="0" t="n">
        <v>1.13</v>
      </c>
      <c r="L6" s="0" t="n">
        <v>1234.6</v>
      </c>
      <c r="M6" s="0" t="n">
        <v>523.4</v>
      </c>
      <c r="N6" s="0" t="n">
        <v>711.2</v>
      </c>
      <c r="O6" s="0" t="n">
        <v>3282.3</v>
      </c>
      <c r="P6" s="0" t="n">
        <v>9855.7</v>
      </c>
      <c r="Q6" s="0" t="n">
        <v>6470.1</v>
      </c>
      <c r="R6" s="0" t="n">
        <v>3419.9</v>
      </c>
      <c r="S6" s="0" t="n">
        <v>719.9</v>
      </c>
      <c r="T6" s="0" t="n">
        <v>366.9</v>
      </c>
      <c r="U6" s="0" t="n">
        <v>16.5</v>
      </c>
      <c r="AA6" s="0" t="s">
        <v>18</v>
      </c>
      <c r="AB6" s="0" t="s">
        <v>14</v>
      </c>
      <c r="AD6" s="0" t="n">
        <v>3385.6</v>
      </c>
      <c r="AE6" s="0" t="n">
        <v>2711.8</v>
      </c>
    </row>
    <row r="7" customFormat="false" ht="15" hidden="false" customHeight="false" outlineLevel="0" collapsed="false">
      <c r="A7" s="0" t="s">
        <v>72</v>
      </c>
      <c r="B7" s="0" t="n">
        <v>10184</v>
      </c>
      <c r="C7" s="0" t="n">
        <v>6626.6</v>
      </c>
      <c r="D7" s="0" t="n">
        <v>3557.4</v>
      </c>
      <c r="E7" s="0" t="n">
        <v>34.9</v>
      </c>
      <c r="F7" s="0" t="n">
        <v>953.6</v>
      </c>
      <c r="G7" s="0" t="n">
        <v>9.4</v>
      </c>
      <c r="H7" s="0" t="n">
        <v>1487.8</v>
      </c>
      <c r="I7" s="0" t="n">
        <v>636.5</v>
      </c>
      <c r="J7" s="0" t="n">
        <v>6.3</v>
      </c>
      <c r="K7" s="0" t="n">
        <v>1.73</v>
      </c>
      <c r="L7" s="0" t="n">
        <v>1386.7</v>
      </c>
      <c r="M7" s="0" t="n">
        <v>610.7</v>
      </c>
      <c r="N7" s="0" t="n">
        <v>776</v>
      </c>
      <c r="O7" s="0" t="n">
        <v>3092.8</v>
      </c>
      <c r="P7" s="0" t="n">
        <v>9879.6</v>
      </c>
      <c r="Q7" s="0" t="n">
        <v>6692.9</v>
      </c>
      <c r="R7" s="0" t="n">
        <v>3424.5</v>
      </c>
      <c r="S7" s="0" t="n">
        <v>1260.6</v>
      </c>
      <c r="T7" s="0" t="n">
        <v>368.3</v>
      </c>
      <c r="U7" s="0" t="n">
        <v>20.4</v>
      </c>
      <c r="AA7" s="0" t="s">
        <v>18</v>
      </c>
      <c r="AB7" s="0" t="s">
        <v>14</v>
      </c>
      <c r="AD7" s="0" t="n">
        <v>3186.7</v>
      </c>
      <c r="AE7" s="0" t="n">
        <v>2835.5</v>
      </c>
    </row>
    <row r="8" customFormat="false" ht="15" hidden="false" customHeight="false" outlineLevel="0" collapsed="false">
      <c r="A8" s="0" t="s">
        <v>73</v>
      </c>
      <c r="B8" s="0" t="n">
        <v>10754.4</v>
      </c>
      <c r="C8" s="0" t="n">
        <v>6876.9</v>
      </c>
      <c r="D8" s="0" t="n">
        <v>3877.5</v>
      </c>
      <c r="E8" s="0" t="n">
        <v>36.1</v>
      </c>
      <c r="F8" s="0" t="n">
        <v>1185.4</v>
      </c>
      <c r="G8" s="0" t="n">
        <v>11</v>
      </c>
      <c r="H8" s="0" t="n">
        <v>1597.8</v>
      </c>
      <c r="I8" s="0" t="n">
        <v>820.6</v>
      </c>
      <c r="J8" s="0" t="n">
        <v>7.6</v>
      </c>
      <c r="K8" s="0" t="n">
        <v>2.25</v>
      </c>
      <c r="L8" s="0" t="n">
        <v>1391.9</v>
      </c>
      <c r="M8" s="0" t="n">
        <v>615.4</v>
      </c>
      <c r="N8" s="0" t="n">
        <v>776.5</v>
      </c>
      <c r="O8" s="0" t="n">
        <v>3205.7</v>
      </c>
      <c r="P8" s="0" t="n">
        <v>10653.7</v>
      </c>
      <c r="Q8" s="0" t="n">
        <v>7350.7</v>
      </c>
      <c r="R8" s="0" t="n">
        <v>3980.6</v>
      </c>
      <c r="S8" s="0" t="n">
        <v>1548.1</v>
      </c>
      <c r="T8" s="0" t="n">
        <v>364.5</v>
      </c>
      <c r="U8" s="0" t="n">
        <v>15.6</v>
      </c>
      <c r="AA8" s="0" t="s">
        <v>18</v>
      </c>
      <c r="AB8" s="0" t="s">
        <v>14</v>
      </c>
      <c r="AD8" s="0" t="n">
        <v>3303</v>
      </c>
      <c r="AE8" s="0" t="n">
        <v>2914</v>
      </c>
    </row>
    <row r="9" customFormat="false" ht="15" hidden="false" customHeight="false" outlineLevel="0" collapsed="false">
      <c r="A9" s="0" t="s">
        <v>74</v>
      </c>
      <c r="B9" s="0" t="n">
        <v>11604.5</v>
      </c>
      <c r="C9" s="0" t="n">
        <v>7336.6</v>
      </c>
      <c r="D9" s="0" t="n">
        <v>4267.9</v>
      </c>
      <c r="E9" s="0" t="n">
        <v>36.8</v>
      </c>
      <c r="F9" s="0" t="n">
        <v>1305.6</v>
      </c>
      <c r="G9" s="0" t="n">
        <v>11.3</v>
      </c>
      <c r="H9" s="0" t="n">
        <v>1759.9</v>
      </c>
      <c r="I9" s="0" t="n">
        <v>940.4</v>
      </c>
      <c r="J9" s="0" t="n">
        <v>8.1</v>
      </c>
      <c r="K9" s="0" t="n">
        <v>2.59</v>
      </c>
      <c r="L9" s="0" t="n">
        <v>1513.5</v>
      </c>
      <c r="M9" s="0" t="n">
        <v>752.6</v>
      </c>
      <c r="N9" s="0" t="n">
        <v>760.9</v>
      </c>
      <c r="O9" s="0" t="n">
        <v>3844.6</v>
      </c>
      <c r="P9" s="0" t="n">
        <v>11599.3</v>
      </c>
      <c r="Q9" s="0" t="n">
        <v>7657.7</v>
      </c>
      <c r="R9" s="0" t="n">
        <v>3913</v>
      </c>
      <c r="S9" s="0" t="n">
        <v>2541.7</v>
      </c>
      <c r="T9" s="0" t="n">
        <v>363.3</v>
      </c>
      <c r="U9" s="0" t="n">
        <v>22.1</v>
      </c>
      <c r="AA9" s="0" t="s">
        <v>18</v>
      </c>
      <c r="AB9" s="0" t="s">
        <v>14</v>
      </c>
      <c r="AC9" s="0" t="n">
        <v>8.1</v>
      </c>
      <c r="AD9" s="0" t="n">
        <v>3941.6</v>
      </c>
      <c r="AE9" s="0" t="n">
        <v>2997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4282</v>
      </c>
    </row>
    <row r="3" customFormat="false" ht="15" hidden="false" customHeight="false" outlineLevel="0" collapsed="false">
      <c r="A3" s="0" t="s">
        <v>78</v>
      </c>
      <c r="B3" s="3" t="n">
        <v>364</v>
      </c>
    </row>
    <row r="4" customFormat="false" ht="15" hidden="false" customHeight="false" outlineLevel="0" collapsed="false">
      <c r="A4" s="0" t="s">
        <v>79</v>
      </c>
      <c r="B4" s="3" t="n">
        <v>1430.5</v>
      </c>
    </row>
    <row r="5" customFormat="false" ht="15" hidden="false" customHeight="false" outlineLevel="0" collapsed="false">
      <c r="A5" s="0" t="s">
        <v>80</v>
      </c>
      <c r="B5" s="3" t="n">
        <v>-96.8</v>
      </c>
    </row>
    <row r="6" customFormat="false" ht="15" hidden="false" customHeight="false" outlineLevel="0" collapsed="false">
      <c r="A6" s="0" t="s">
        <v>81</v>
      </c>
      <c r="B6" s="3" t="n">
        <v>15</v>
      </c>
    </row>
    <row r="7" customFormat="false" ht="15" hidden="false" customHeight="false" outlineLevel="0" collapsed="false">
      <c r="A7" s="0" t="s">
        <v>82</v>
      </c>
      <c r="B7" s="3" t="n">
        <v>11604.5</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84.61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6.5</v>
      </c>
      <c r="D13" s="3" t="n">
        <v>3</v>
      </c>
      <c r="E13" s="3" t="n">
        <v>2.5</v>
      </c>
      <c r="F13" s="3" t="n">
        <v>2.5</v>
      </c>
      <c r="G13" s="3" t="n">
        <v>2.5</v>
      </c>
      <c r="H13" s="3" t="n">
        <v>2.5</v>
      </c>
      <c r="I13" s="3" t="n">
        <v>2.5</v>
      </c>
      <c r="J13" s="3" t="n">
        <v>2.5</v>
      </c>
      <c r="K13" s="3" t="n">
        <v>2</v>
      </c>
      <c r="L13" s="3" t="n">
        <v>2</v>
      </c>
    </row>
    <row r="14" customFormat="false" ht="15" hidden="false" customHeight="false" outlineLevel="0" collapsed="false">
      <c r="A14" s="0" t="s">
        <v>99</v>
      </c>
      <c r="C14" s="3" t="n">
        <v>15.3</v>
      </c>
      <c r="D14" s="3" t="n">
        <v>15.1</v>
      </c>
      <c r="E14" s="3" t="n">
        <v>14.9</v>
      </c>
      <c r="F14" s="3" t="n">
        <v>14.7</v>
      </c>
      <c r="G14" s="3" t="n">
        <v>14.6</v>
      </c>
      <c r="H14" s="3" t="n">
        <v>14.5</v>
      </c>
      <c r="I14" s="3" t="n">
        <v>14.5</v>
      </c>
      <c r="J14" s="3" t="n">
        <v>14.5</v>
      </c>
      <c r="K14" s="3" t="n">
        <v>14.5</v>
      </c>
      <c r="L14" s="3" t="n">
        <v>14.5</v>
      </c>
    </row>
    <row r="15" customFormat="false" ht="15" hidden="false" customHeight="false" outlineLevel="0" collapsed="false">
      <c r="A15" s="0" t="s">
        <v>100</v>
      </c>
      <c r="C15" s="3" t="n">
        <v>0.19</v>
      </c>
      <c r="D15" s="3" t="n">
        <v>0.19</v>
      </c>
      <c r="E15" s="3" t="n">
        <v>0.19</v>
      </c>
      <c r="F15" s="3" t="n">
        <v>0.19</v>
      </c>
      <c r="G15" s="3" t="n">
        <v>0.19</v>
      </c>
      <c r="H15" s="3" t="n">
        <v>0.19</v>
      </c>
      <c r="I15" s="3" t="n">
        <v>0.19</v>
      </c>
      <c r="J15" s="3" t="n">
        <v>0.19</v>
      </c>
      <c r="K15" s="3" t="n">
        <v>0.19</v>
      </c>
      <c r="L15" s="3" t="n">
        <v>0.19</v>
      </c>
    </row>
    <row r="16" customFormat="false" ht="15" hidden="false" customHeight="false" outlineLevel="0" collapsed="false">
      <c r="A16" s="0" t="s">
        <v>101</v>
      </c>
      <c r="C16" s="3" t="n">
        <v>0.77</v>
      </c>
      <c r="D16" s="3" t="n">
        <v>0.77</v>
      </c>
      <c r="E16" s="3" t="n">
        <v>0.77</v>
      </c>
      <c r="F16" s="3" t="n">
        <v>0.77</v>
      </c>
      <c r="G16" s="3" t="n">
        <v>0.77</v>
      </c>
      <c r="H16" s="3" t="n">
        <v>0.77</v>
      </c>
      <c r="I16" s="3" t="n">
        <v>0.77</v>
      </c>
      <c r="J16" s="3" t="n">
        <v>0.77</v>
      </c>
      <c r="K16" s="3" t="n">
        <v>0.77</v>
      </c>
      <c r="L16" s="3" t="n">
        <v>0.77</v>
      </c>
    </row>
    <row r="17" customFormat="false" ht="15" hidden="false" customHeight="false" outlineLevel="0" collapsed="false">
      <c r="A17" s="0" t="s">
        <v>102</v>
      </c>
      <c r="C17" s="3" t="n">
        <v>3.1</v>
      </c>
      <c r="D17" s="3" t="n">
        <v>3.15</v>
      </c>
      <c r="E17" s="3" t="n">
        <v>3.2</v>
      </c>
      <c r="F17" s="3" t="n">
        <v>3.25</v>
      </c>
      <c r="G17" s="3" t="n">
        <v>3.3</v>
      </c>
      <c r="H17" s="3" t="n">
        <v>3.35</v>
      </c>
      <c r="I17" s="3" t="n">
        <v>3.4</v>
      </c>
      <c r="J17" s="3" t="n">
        <v>3.4</v>
      </c>
      <c r="K17" s="3" t="n">
        <v>3.4</v>
      </c>
      <c r="L17" s="3" t="n">
        <v>3.4</v>
      </c>
    </row>
    <row r="18" customFormat="false" ht="15" hidden="false" customHeight="false" outlineLevel="0" collapsed="false">
      <c r="A18" s="0" t="s">
        <v>103</v>
      </c>
      <c r="C18" s="3" t="n">
        <v>6.4</v>
      </c>
      <c r="D18" s="3" t="n">
        <v>6.4</v>
      </c>
      <c r="E18" s="3" t="n">
        <v>6.3</v>
      </c>
      <c r="F18" s="3" t="n">
        <v>6.2</v>
      </c>
      <c r="G18" s="3" t="n">
        <v>6.1</v>
      </c>
      <c r="H18" s="3" t="n">
        <v>6</v>
      </c>
      <c r="I18" s="3" t="n">
        <v>6</v>
      </c>
      <c r="J18" s="3" t="n">
        <v>6</v>
      </c>
      <c r="K18" s="3" t="n">
        <v>6</v>
      </c>
      <c r="L18" s="3" t="n">
        <v>6</v>
      </c>
    </row>
    <row r="19" customFormat="false" ht="15" hidden="false" customHeight="false" outlineLevel="0" collapsed="false">
      <c r="A19" s="0" t="s">
        <v>104</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105</v>
      </c>
      <c r="B20" s="3" t="n">
        <v>8.5</v>
      </c>
    </row>
    <row r="21" customFormat="false" ht="15" hidden="false" customHeight="false" outlineLevel="0" collapsed="false">
      <c r="A21" s="0" t="s">
        <v>106</v>
      </c>
      <c r="B21" s="3" t="n">
        <v>2</v>
      </c>
    </row>
    <row r="22" customFormat="false" ht="15" hidden="false" customHeight="false" outlineLevel="0" collapsed="false">
      <c r="A22" s="0" t="s">
        <v>107</v>
      </c>
      <c r="B22" s="3" t="n">
        <v>20</v>
      </c>
    </row>
    <row r="23" customFormat="false" ht="15" hidden="false" customHeight="false" outlineLevel="0" collapsed="false">
      <c r="A23" s="0" t="s">
        <v>108</v>
      </c>
      <c r="B23" s="3" t="n">
        <v>4</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7.5</v>
      </c>
      <c r="D27" s="3" t="n">
        <v>5.5</v>
      </c>
      <c r="E27" s="3" t="n">
        <v>5</v>
      </c>
      <c r="F27" s="3" t="n">
        <v>5</v>
      </c>
      <c r="G27" s="3" t="n">
        <v>4.5</v>
      </c>
      <c r="H27" s="3" t="n">
        <v>4.5</v>
      </c>
      <c r="I27" s="3" t="n">
        <v>4</v>
      </c>
      <c r="J27" s="3" t="n">
        <v>3.5</v>
      </c>
      <c r="K27" s="3" t="n">
        <v>3</v>
      </c>
      <c r="L27" s="3" t="n">
        <v>3</v>
      </c>
    </row>
    <row r="28" customFormat="false" ht="15" hidden="false" customHeight="false" outlineLevel="0" collapsed="false">
      <c r="A28" s="0" t="s">
        <v>99</v>
      </c>
      <c r="C28" s="3" t="n">
        <v>15.6</v>
      </c>
      <c r="D28" s="3" t="n">
        <v>15.85</v>
      </c>
      <c r="E28" s="3" t="n">
        <v>16.1</v>
      </c>
      <c r="F28" s="3" t="n">
        <v>16.3</v>
      </c>
      <c r="G28" s="3" t="n">
        <v>16.5</v>
      </c>
      <c r="H28" s="3" t="n">
        <v>16.65</v>
      </c>
      <c r="I28" s="3" t="n">
        <v>16.8</v>
      </c>
      <c r="J28" s="3" t="n">
        <v>16.9</v>
      </c>
      <c r="K28" s="3" t="n">
        <v>17</v>
      </c>
      <c r="L28" s="3" t="n">
        <v>17</v>
      </c>
    </row>
    <row r="29" customFormat="false" ht="15" hidden="false" customHeight="false" outlineLevel="0" collapsed="false">
      <c r="A29" s="0" t="s">
        <v>100</v>
      </c>
      <c r="C29" s="3" t="n">
        <v>0.19</v>
      </c>
      <c r="D29" s="3" t="n">
        <v>0.19</v>
      </c>
      <c r="E29" s="3" t="n">
        <v>0.19</v>
      </c>
      <c r="F29" s="3" t="n">
        <v>0.19</v>
      </c>
      <c r="G29" s="3" t="n">
        <v>0.19</v>
      </c>
      <c r="H29" s="3" t="n">
        <v>0.19</v>
      </c>
      <c r="I29" s="3" t="n">
        <v>0.19</v>
      </c>
      <c r="J29" s="3" t="n">
        <v>0.19</v>
      </c>
      <c r="K29" s="3" t="n">
        <v>0.19</v>
      </c>
      <c r="L29" s="3" t="n">
        <v>0.19</v>
      </c>
    </row>
    <row r="30" customFormat="false" ht="15" hidden="false" customHeight="false" outlineLevel="0" collapsed="false">
      <c r="A30" s="0" t="s">
        <v>101</v>
      </c>
      <c r="C30" s="3" t="n">
        <v>0.77</v>
      </c>
      <c r="D30" s="3" t="n">
        <v>0.77</v>
      </c>
      <c r="E30" s="3" t="n">
        <v>0.77</v>
      </c>
      <c r="F30" s="3" t="n">
        <v>0.77</v>
      </c>
      <c r="G30" s="3" t="n">
        <v>0.77</v>
      </c>
      <c r="H30" s="3" t="n">
        <v>0.77</v>
      </c>
      <c r="I30" s="3" t="n">
        <v>0.77</v>
      </c>
      <c r="J30" s="3" t="n">
        <v>0.77</v>
      </c>
      <c r="K30" s="3" t="n">
        <v>0.77</v>
      </c>
      <c r="L30" s="3" t="n">
        <v>0.77</v>
      </c>
    </row>
    <row r="31" customFormat="false" ht="15" hidden="false" customHeight="false" outlineLevel="0" collapsed="false">
      <c r="A31" s="0" t="s">
        <v>102</v>
      </c>
      <c r="C31" s="3" t="n">
        <v>3.1</v>
      </c>
      <c r="D31" s="3" t="n">
        <v>3.15</v>
      </c>
      <c r="E31" s="3" t="n">
        <v>3.2</v>
      </c>
      <c r="F31" s="3" t="n">
        <v>3.25</v>
      </c>
      <c r="G31" s="3" t="n">
        <v>3.3</v>
      </c>
      <c r="H31" s="3" t="n">
        <v>3.35</v>
      </c>
      <c r="I31" s="3" t="n">
        <v>3.4</v>
      </c>
      <c r="J31" s="3" t="n">
        <v>3.4</v>
      </c>
      <c r="K31" s="3" t="n">
        <v>3.4</v>
      </c>
      <c r="L31" s="3" t="n">
        <v>3.4</v>
      </c>
    </row>
    <row r="32" customFormat="false" ht="15" hidden="false" customHeight="false" outlineLevel="0" collapsed="false">
      <c r="A32" s="0" t="s">
        <v>103</v>
      </c>
      <c r="C32" s="3" t="n">
        <v>6.4</v>
      </c>
      <c r="D32" s="3" t="n">
        <v>6.3</v>
      </c>
      <c r="E32" s="3" t="n">
        <v>6.2</v>
      </c>
      <c r="F32" s="3" t="n">
        <v>6</v>
      </c>
      <c r="G32" s="3" t="n">
        <v>5.8</v>
      </c>
      <c r="H32" s="3" t="n">
        <v>5.6</v>
      </c>
      <c r="I32" s="3" t="n">
        <v>5.5</v>
      </c>
      <c r="J32" s="3" t="n">
        <v>5.3</v>
      </c>
      <c r="K32" s="3" t="n">
        <v>5.2</v>
      </c>
      <c r="L32" s="3" t="n">
        <v>5</v>
      </c>
    </row>
    <row r="33" customFormat="false" ht="15" hidden="false" customHeight="false" outlineLevel="0" collapsed="false">
      <c r="A33" s="0" t="s">
        <v>104</v>
      </c>
      <c r="C33" s="3" t="n">
        <v>27</v>
      </c>
      <c r="D33" s="3" t="n">
        <v>27</v>
      </c>
      <c r="E33" s="3" t="n">
        <v>27</v>
      </c>
      <c r="F33" s="3" t="n">
        <v>27</v>
      </c>
      <c r="G33" s="3" t="n">
        <v>27</v>
      </c>
      <c r="H33" s="3" t="n">
        <v>27</v>
      </c>
      <c r="I33" s="3" t="n">
        <v>27</v>
      </c>
      <c r="J33" s="3" t="n">
        <v>27</v>
      </c>
      <c r="K33" s="3" t="n">
        <v>27</v>
      </c>
      <c r="L33" s="3" t="n">
        <v>27</v>
      </c>
    </row>
    <row r="34" customFormat="false" ht="15" hidden="false" customHeight="false" outlineLevel="0" collapsed="false">
      <c r="A34" s="0" t="s">
        <v>105</v>
      </c>
      <c r="B34" s="3" t="n">
        <v>8.5</v>
      </c>
    </row>
    <row r="35" customFormat="false" ht="15" hidden="false" customHeight="false" outlineLevel="0" collapsed="false">
      <c r="A35" s="0" t="s">
        <v>106</v>
      </c>
      <c r="B35" s="3" t="n">
        <v>2.5</v>
      </c>
    </row>
    <row r="36" customFormat="false" ht="15" hidden="false" customHeight="false" outlineLevel="0" collapsed="false">
      <c r="A36" s="0" t="s">
        <v>107</v>
      </c>
      <c r="B36" s="3" t="n">
        <v>20</v>
      </c>
    </row>
    <row r="37" customFormat="false" ht="15" hidden="false" customHeight="false" outlineLevel="0" collapsed="false">
      <c r="A37" s="0" t="s">
        <v>108</v>
      </c>
      <c r="B37" s="3" t="n">
        <v>8</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8.5</v>
      </c>
      <c r="D41" s="3" t="n">
        <v>7</v>
      </c>
      <c r="E41" s="3" t="n">
        <v>6.5</v>
      </c>
      <c r="F41" s="3" t="n">
        <v>6.5</v>
      </c>
      <c r="G41" s="3" t="n">
        <v>6</v>
      </c>
      <c r="H41" s="3" t="n">
        <v>5.5</v>
      </c>
      <c r="I41" s="3" t="n">
        <v>5</v>
      </c>
      <c r="J41" s="3" t="n">
        <v>4.5</v>
      </c>
      <c r="K41" s="3" t="n">
        <v>4</v>
      </c>
      <c r="L41" s="3" t="n">
        <v>3.5</v>
      </c>
    </row>
    <row r="42" customFormat="false" ht="15" hidden="false" customHeight="false" outlineLevel="0" collapsed="false">
      <c r="A42" s="0" t="s">
        <v>99</v>
      </c>
      <c r="C42" s="3" t="n">
        <v>15.7</v>
      </c>
      <c r="D42" s="3" t="n">
        <v>16.1</v>
      </c>
      <c r="E42" s="3" t="n">
        <v>16.5</v>
      </c>
      <c r="F42" s="3" t="n">
        <v>16.9</v>
      </c>
      <c r="G42" s="3" t="n">
        <v>17.2</v>
      </c>
      <c r="H42" s="3" t="n">
        <v>17.5</v>
      </c>
      <c r="I42" s="3" t="n">
        <v>17.7</v>
      </c>
      <c r="J42" s="3" t="n">
        <v>17.9</v>
      </c>
      <c r="K42" s="3" t="n">
        <v>18</v>
      </c>
      <c r="L42" s="3" t="n">
        <v>18</v>
      </c>
    </row>
    <row r="43" customFormat="false" ht="15" hidden="false" customHeight="false" outlineLevel="0" collapsed="false">
      <c r="A43" s="0" t="s">
        <v>100</v>
      </c>
      <c r="C43" s="3" t="n">
        <v>0.19</v>
      </c>
      <c r="D43" s="3" t="n">
        <v>0.19</v>
      </c>
      <c r="E43" s="3" t="n">
        <v>0.19</v>
      </c>
      <c r="F43" s="3" t="n">
        <v>0.19</v>
      </c>
      <c r="G43" s="3" t="n">
        <v>0.19</v>
      </c>
      <c r="H43" s="3" t="n">
        <v>0.19</v>
      </c>
      <c r="I43" s="3" t="n">
        <v>0.19</v>
      </c>
      <c r="J43" s="3" t="n">
        <v>0.19</v>
      </c>
      <c r="K43" s="3" t="n">
        <v>0.19</v>
      </c>
      <c r="L43" s="3" t="n">
        <v>0.19</v>
      </c>
    </row>
    <row r="44" customFormat="false" ht="15" hidden="false" customHeight="false" outlineLevel="0" collapsed="false">
      <c r="A44" s="0" t="s">
        <v>101</v>
      </c>
      <c r="C44" s="3" t="n">
        <v>0.77</v>
      </c>
      <c r="D44" s="3" t="n">
        <v>0.77</v>
      </c>
      <c r="E44" s="3" t="n">
        <v>0.77</v>
      </c>
      <c r="F44" s="3" t="n">
        <v>0.77</v>
      </c>
      <c r="G44" s="3" t="n">
        <v>0.77</v>
      </c>
      <c r="H44" s="3" t="n">
        <v>0.77</v>
      </c>
      <c r="I44" s="3" t="n">
        <v>0.77</v>
      </c>
      <c r="J44" s="3" t="n">
        <v>0.77</v>
      </c>
      <c r="K44" s="3" t="n">
        <v>0.77</v>
      </c>
      <c r="L44" s="3" t="n">
        <v>0.77</v>
      </c>
    </row>
    <row r="45" customFormat="false" ht="15" hidden="false" customHeight="false" outlineLevel="0" collapsed="false">
      <c r="A45" s="0" t="s">
        <v>102</v>
      </c>
      <c r="C45" s="3" t="n">
        <v>3.1</v>
      </c>
      <c r="D45" s="3" t="n">
        <v>3.15</v>
      </c>
      <c r="E45" s="3" t="n">
        <v>3.2</v>
      </c>
      <c r="F45" s="3" t="n">
        <v>3.25</v>
      </c>
      <c r="G45" s="3" t="n">
        <v>3.3</v>
      </c>
      <c r="H45" s="3" t="n">
        <v>3.35</v>
      </c>
      <c r="I45" s="3" t="n">
        <v>3.4</v>
      </c>
      <c r="J45" s="3" t="n">
        <v>3.4</v>
      </c>
      <c r="K45" s="3" t="n">
        <v>3.4</v>
      </c>
      <c r="L45" s="3" t="n">
        <v>3.4</v>
      </c>
    </row>
    <row r="46" customFormat="false" ht="15" hidden="false" customHeight="false" outlineLevel="0" collapsed="false">
      <c r="A46" s="0" t="s">
        <v>103</v>
      </c>
      <c r="C46" s="3" t="n">
        <v>6.4</v>
      </c>
      <c r="D46" s="3" t="n">
        <v>6.2</v>
      </c>
      <c r="E46" s="3" t="n">
        <v>6</v>
      </c>
      <c r="F46" s="3" t="n">
        <v>5.8</v>
      </c>
      <c r="G46" s="3" t="n">
        <v>5.6</v>
      </c>
      <c r="H46" s="3" t="n">
        <v>5.4</v>
      </c>
      <c r="I46" s="3" t="n">
        <v>5.2</v>
      </c>
      <c r="J46" s="3" t="n">
        <v>5</v>
      </c>
      <c r="K46" s="3" t="n">
        <v>5</v>
      </c>
      <c r="L46" s="3" t="n">
        <v>5</v>
      </c>
    </row>
    <row r="47" customFormat="false" ht="15" hidden="false" customHeight="false" outlineLevel="0" collapsed="false">
      <c r="A47" s="0" t="s">
        <v>104</v>
      </c>
      <c r="C47" s="3" t="n">
        <v>27</v>
      </c>
      <c r="D47" s="3" t="n">
        <v>27</v>
      </c>
      <c r="E47" s="3" t="n">
        <v>27</v>
      </c>
      <c r="F47" s="3" t="n">
        <v>27</v>
      </c>
      <c r="G47" s="3" t="n">
        <v>27</v>
      </c>
      <c r="H47" s="3" t="n">
        <v>27</v>
      </c>
      <c r="I47" s="3" t="n">
        <v>27</v>
      </c>
      <c r="J47" s="3" t="n">
        <v>27</v>
      </c>
      <c r="K47" s="3" t="n">
        <v>27</v>
      </c>
      <c r="L47" s="3" t="n">
        <v>27</v>
      </c>
    </row>
    <row r="48" customFormat="false" ht="15" hidden="false" customHeight="false" outlineLevel="0" collapsed="false">
      <c r="A48" s="0" t="s">
        <v>105</v>
      </c>
      <c r="B48" s="3" t="n">
        <v>8.5</v>
      </c>
    </row>
    <row r="49" customFormat="false" ht="15" hidden="false" customHeight="false" outlineLevel="0" collapsed="false">
      <c r="A49" s="0" t="s">
        <v>106</v>
      </c>
      <c r="B49" s="3" t="n">
        <v>3</v>
      </c>
    </row>
    <row r="50" customFormat="false" ht="15" hidden="false" customHeight="false" outlineLevel="0" collapsed="false">
      <c r="A50" s="0" t="s">
        <v>107</v>
      </c>
      <c r="B50" s="3" t="n">
        <v>20</v>
      </c>
    </row>
    <row r="51" customFormat="false" ht="15" hidden="false" customHeight="false" outlineLevel="0" collapsed="false">
      <c r="A51" s="0" t="s">
        <v>108</v>
      </c>
      <c r="B51" s="3" t="n">
        <v>10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6.5</v>
      </c>
      <c r="D5" s="4" t="n">
        <f aca="false">Assumptions!D13</f>
        <v>3</v>
      </c>
      <c r="E5" s="4" t="n">
        <f aca="false">Assumptions!E13</f>
        <v>2.5</v>
      </c>
      <c r="F5" s="4" t="n">
        <f aca="false">Assumptions!F13</f>
        <v>2.5</v>
      </c>
      <c r="G5" s="4" t="n">
        <f aca="false">Assumptions!G13</f>
        <v>2.5</v>
      </c>
      <c r="H5" s="4" t="n">
        <f aca="false">Assumptions!H13</f>
        <v>2.5</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11604.5</v>
      </c>
      <c r="C6" s="0" t="n">
        <f aca="false">B6*(1+C5/100)</f>
        <v>12358.7925</v>
      </c>
      <c r="D6" s="0" t="n">
        <f aca="false">C6*(1+D5/100)</f>
        <v>12729.556275</v>
      </c>
      <c r="E6" s="0" t="n">
        <f aca="false">D6*(1+E5/100)</f>
        <v>13047.795181875</v>
      </c>
      <c r="F6" s="0" t="n">
        <f aca="false">E6*(1+F5/100)</f>
        <v>13373.9900614219</v>
      </c>
      <c r="G6" s="0" t="n">
        <f aca="false">F6*(1+G5/100)</f>
        <v>13708.3398129574</v>
      </c>
      <c r="H6" s="0" t="n">
        <f aca="false">G6*(1+H5/100)</f>
        <v>14051.0483082814</v>
      </c>
      <c r="I6" s="0" t="n">
        <f aca="false">H6*(1+I5/100)</f>
        <v>14402.3245159884</v>
      </c>
      <c r="J6" s="0" t="n">
        <f aca="false">I6*(1+J5/100)</f>
        <v>14762.3826288881</v>
      </c>
      <c r="K6" s="0" t="n">
        <f aca="false">J6*(1+K5/100)</f>
        <v>15057.6302814659</v>
      </c>
      <c r="L6" s="0" t="n">
        <f aca="false">K6*(1+L5/100)</f>
        <v>15358.7828870952</v>
      </c>
    </row>
    <row r="7" customFormat="false" ht="15" hidden="false" customHeight="false" outlineLevel="0" collapsed="false">
      <c r="A7" s="0" t="s">
        <v>99</v>
      </c>
      <c r="C7" s="4" t="n">
        <f aca="false">Assumptions!C14</f>
        <v>15.3</v>
      </c>
      <c r="D7" s="4" t="n">
        <f aca="false">Assumptions!D14</f>
        <v>15.1</v>
      </c>
      <c r="E7" s="4" t="n">
        <f aca="false">Assumptions!E14</f>
        <v>14.9</v>
      </c>
      <c r="F7" s="4" t="n">
        <f aca="false">Assumptions!F14</f>
        <v>14.7</v>
      </c>
      <c r="G7" s="4" t="n">
        <f aca="false">Assumptions!G14</f>
        <v>14.6</v>
      </c>
      <c r="H7" s="4" t="n">
        <f aca="false">Assumptions!H14</f>
        <v>14.5</v>
      </c>
      <c r="I7" s="4" t="n">
        <f aca="false">Assumptions!I14</f>
        <v>14.5</v>
      </c>
      <c r="J7" s="4" t="n">
        <f aca="false">Assumptions!J14</f>
        <v>14.5</v>
      </c>
      <c r="K7" s="4" t="n">
        <f aca="false">Assumptions!K14</f>
        <v>14.5</v>
      </c>
      <c r="L7" s="4" t="n">
        <f aca="false">Assumptions!L14</f>
        <v>14.5</v>
      </c>
    </row>
    <row r="8" customFormat="false" ht="15" hidden="false" customHeight="false" outlineLevel="0" collapsed="false">
      <c r="A8" s="0" t="s">
        <v>44</v>
      </c>
      <c r="C8" s="0" t="n">
        <f aca="false">C6*C7/100</f>
        <v>1890.8952525</v>
      </c>
      <c r="D8" s="0" t="n">
        <f aca="false">D6*D7/100</f>
        <v>1922.162997525</v>
      </c>
      <c r="E8" s="0" t="n">
        <f aca="false">E6*E7/100</f>
        <v>1944.12148209937</v>
      </c>
      <c r="F8" s="0" t="n">
        <f aca="false">F6*F7/100</f>
        <v>1965.97653902902</v>
      </c>
      <c r="G8" s="0" t="n">
        <f aca="false">G6*G7/100</f>
        <v>2001.41761269178</v>
      </c>
      <c r="H8" s="0" t="n">
        <f aca="false">H6*H7/100</f>
        <v>2037.4020047008</v>
      </c>
      <c r="I8" s="0" t="n">
        <f aca="false">I6*I7/100</f>
        <v>2088.33705481832</v>
      </c>
      <c r="J8" s="0" t="n">
        <f aca="false">J6*J7/100</f>
        <v>2140.54548118877</v>
      </c>
      <c r="K8" s="0" t="n">
        <f aca="false">K6*K7/100</f>
        <v>2183.35639081255</v>
      </c>
      <c r="L8" s="0" t="n">
        <f aca="false">L6*L7/100</f>
        <v>2227.0235186288</v>
      </c>
    </row>
    <row r="9" customFormat="false" ht="15" hidden="false" customHeight="false" outlineLevel="0" collapsed="false">
      <c r="A9" s="0" t="s">
        <v>100</v>
      </c>
      <c r="C9" s="4" t="n">
        <f aca="false">Assumptions!C15</f>
        <v>0.19</v>
      </c>
      <c r="D9" s="4" t="n">
        <f aca="false">Assumptions!D15</f>
        <v>0.19</v>
      </c>
      <c r="E9" s="4" t="n">
        <f aca="false">Assumptions!E15</f>
        <v>0.19</v>
      </c>
      <c r="F9" s="4" t="n">
        <f aca="false">Assumptions!F15</f>
        <v>0.19</v>
      </c>
      <c r="G9" s="4" t="n">
        <f aca="false">Assumptions!G15</f>
        <v>0.19</v>
      </c>
      <c r="H9" s="4" t="n">
        <f aca="false">Assumptions!H15</f>
        <v>0.19</v>
      </c>
      <c r="I9" s="4" t="n">
        <f aca="false">Assumptions!I15</f>
        <v>0.19</v>
      </c>
      <c r="J9" s="4" t="n">
        <f aca="false">Assumptions!J15</f>
        <v>0.19</v>
      </c>
      <c r="K9" s="4" t="n">
        <f aca="false">Assumptions!K15</f>
        <v>0.19</v>
      </c>
      <c r="L9" s="4" t="n">
        <f aca="false">Assumptions!L15</f>
        <v>0.19</v>
      </c>
    </row>
    <row r="10" customFormat="false" ht="15" hidden="false" customHeight="false" outlineLevel="0" collapsed="false">
      <c r="A10" s="0" t="s">
        <v>115</v>
      </c>
      <c r="C10" s="0" t="n">
        <f aca="false">-C6*C9/100</f>
        <v>-23.48170575</v>
      </c>
      <c r="D10" s="0" t="n">
        <f aca="false">-D6*D9/100</f>
        <v>-24.1861569225</v>
      </c>
      <c r="E10" s="0" t="n">
        <f aca="false">-E6*E9/100</f>
        <v>-24.7908108455625</v>
      </c>
      <c r="F10" s="0" t="n">
        <f aca="false">-F6*F9/100</f>
        <v>-25.4105811167016</v>
      </c>
      <c r="G10" s="0" t="n">
        <f aca="false">-G6*G9/100</f>
        <v>-26.0458456446191</v>
      </c>
      <c r="H10" s="0" t="n">
        <f aca="false">-H6*H9/100</f>
        <v>-26.6969917857346</v>
      </c>
      <c r="I10" s="0" t="n">
        <f aca="false">-I6*I9/100</f>
        <v>-27.3644165803779</v>
      </c>
      <c r="J10" s="0" t="n">
        <f aca="false">-J6*J9/100</f>
        <v>-28.0485269948874</v>
      </c>
      <c r="K10" s="0" t="n">
        <f aca="false">-K6*K9/100</f>
        <v>-28.6094975347851</v>
      </c>
      <c r="L10" s="0" t="n">
        <f aca="false">-L6*L9/100</f>
        <v>-29.1816874854808</v>
      </c>
    </row>
    <row r="11" customFormat="false" ht="15" hidden="false" customHeight="false" outlineLevel="0" collapsed="false">
      <c r="A11" s="0" t="s">
        <v>116</v>
      </c>
      <c r="C11" s="0" t="n">
        <f aca="false">C8+C10+C24</f>
        <v>1772.2508445</v>
      </c>
      <c r="D11" s="0" t="n">
        <f aca="false">D8+D10+D24</f>
        <v>1799.959257285</v>
      </c>
      <c r="E11" s="0" t="n">
        <f aca="false">E8+E10+E24</f>
        <v>1818.86264835337</v>
      </c>
      <c r="F11" s="0" t="n">
        <f aca="false">F8+F10+F24</f>
        <v>1837.58623443937</v>
      </c>
      <c r="G11" s="0" t="n">
        <f aca="false">G8+G10+G24</f>
        <v>1869.81755048739</v>
      </c>
      <c r="H11" s="0" t="n">
        <f aca="false">H8+H10+H24</f>
        <v>1902.51194094129</v>
      </c>
      <c r="I11" s="0" t="n">
        <f aca="false">I8+I10+I24</f>
        <v>1950.07473946483</v>
      </c>
      <c r="J11" s="0" t="n">
        <f aca="false">J8+J10+J24</f>
        <v>1998.82660795145</v>
      </c>
      <c r="K11" s="0" t="n">
        <f aca="false">K8+K10+K24</f>
        <v>2038.80314011048</v>
      </c>
      <c r="L11" s="0" t="n">
        <f aca="false">L8+L10+L24</f>
        <v>2079.57920291269</v>
      </c>
    </row>
    <row r="12" customFormat="false" ht="15" hidden="false" customHeight="false" outlineLevel="0" collapsed="false">
      <c r="A12" s="0" t="s">
        <v>117</v>
      </c>
      <c r="C12" s="4" t="n">
        <f aca="false">-C6*Assumptions!C17/100</f>
        <v>-383.1225675</v>
      </c>
      <c r="D12" s="4" t="n">
        <f aca="false">-D6*Assumptions!D17/100</f>
        <v>-400.9810226625</v>
      </c>
      <c r="E12" s="4" t="n">
        <f aca="false">-E6*Assumptions!E17/100</f>
        <v>-417.52944582</v>
      </c>
      <c r="F12" s="4" t="n">
        <f aca="false">-F6*Assumptions!F17/100</f>
        <v>-434.654676996211</v>
      </c>
      <c r="G12" s="4" t="n">
        <f aca="false">-G6*Assumptions!G17/100</f>
        <v>-452.375213827595</v>
      </c>
      <c r="H12" s="4" t="n">
        <f aca="false">-H6*Assumptions!H17/100</f>
        <v>-470.710118327425</v>
      </c>
      <c r="I12" s="4" t="n">
        <f aca="false">-I6*Assumptions!I17/100</f>
        <v>-489.679033543605</v>
      </c>
      <c r="J12" s="4" t="n">
        <f aca="false">-J6*Assumptions!J17/100</f>
        <v>-501.921009382195</v>
      </c>
      <c r="K12" s="4" t="n">
        <f aca="false">-K6*Assumptions!K17/100</f>
        <v>-511.959429569839</v>
      </c>
      <c r="L12" s="4" t="n">
        <f aca="false">-L6*Assumptions!L17/100</f>
        <v>-522.198618161236</v>
      </c>
    </row>
    <row r="13" customFormat="false" ht="15" hidden="false" customHeight="false" outlineLevel="0" collapsed="false">
      <c r="A13" s="0" t="s">
        <v>118</v>
      </c>
      <c r="C13" s="0" t="n">
        <f aca="false">C11+C12</f>
        <v>1389.128277</v>
      </c>
      <c r="D13" s="0" t="n">
        <f aca="false">D11+D12</f>
        <v>1398.9782346225</v>
      </c>
      <c r="E13" s="0" t="n">
        <f aca="false">E11+E12</f>
        <v>1401.33320253337</v>
      </c>
      <c r="F13" s="0" t="n">
        <f aca="false">F11+F12</f>
        <v>1402.93155744315</v>
      </c>
      <c r="G13" s="0" t="n">
        <f aca="false">G11+G12</f>
        <v>1417.4423366598</v>
      </c>
      <c r="H13" s="0" t="n">
        <f aca="false">H11+H12</f>
        <v>1431.80182261387</v>
      </c>
      <c r="I13" s="0" t="n">
        <f aca="false">I11+I12</f>
        <v>1460.39570592122</v>
      </c>
      <c r="J13" s="0" t="n">
        <f aca="false">J11+J12</f>
        <v>1496.90559856925</v>
      </c>
      <c r="K13" s="0" t="n">
        <f aca="false">K11+K12</f>
        <v>1526.84371054064</v>
      </c>
      <c r="L13" s="0" t="n">
        <f aca="false">L11+L12</f>
        <v>1557.38058475145</v>
      </c>
    </row>
    <row r="14" customFormat="false" ht="15" hidden="false" customHeight="false" outlineLevel="0" collapsed="false">
      <c r="A14" s="0" t="s">
        <v>104</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119</v>
      </c>
      <c r="C15" s="0" t="n">
        <f aca="false">C13-MAX(0,C13)*C14/100</f>
        <v>1014.06364221</v>
      </c>
      <c r="D15" s="0" t="n">
        <f aca="false">D13-MAX(0,D13)*D14/100</f>
        <v>1021.25411127442</v>
      </c>
      <c r="E15" s="0" t="n">
        <f aca="false">E13-MAX(0,E13)*E14/100</f>
        <v>1022.97323784936</v>
      </c>
      <c r="F15" s="0" t="n">
        <f aca="false">F13-MAX(0,F13)*F14/100</f>
        <v>1024.1400369335</v>
      </c>
      <c r="G15" s="0" t="n">
        <f aca="false">G13-MAX(0,G13)*G14/100</f>
        <v>1034.73290576165</v>
      </c>
      <c r="H15" s="0" t="n">
        <f aca="false">H13-MAX(0,H13)*H14/100</f>
        <v>1045.21533050813</v>
      </c>
      <c r="I15" s="0" t="n">
        <f aca="false">I13-MAX(0,I13)*I14/100</f>
        <v>1066.08886532249</v>
      </c>
      <c r="J15" s="0" t="n">
        <f aca="false">J13-MAX(0,J13)*J14/100</f>
        <v>1092.74108695555</v>
      </c>
      <c r="K15" s="0" t="n">
        <f aca="false">K13-MAX(0,K13)*K14/100</f>
        <v>1114.59590869467</v>
      </c>
      <c r="L15" s="0" t="n">
        <f aca="false">L13-MAX(0,L13)*L14/100</f>
        <v>1136.88782686856</v>
      </c>
    </row>
    <row r="16" customFormat="false" ht="15" hidden="false" customHeight="false" outlineLevel="0" collapsed="false">
      <c r="A16" s="0" t="s">
        <v>120</v>
      </c>
      <c r="C16" s="0" t="n">
        <f aca="false">-C12</f>
        <v>383.1225675</v>
      </c>
      <c r="D16" s="0" t="n">
        <f aca="false">-D12</f>
        <v>400.9810226625</v>
      </c>
      <c r="E16" s="0" t="n">
        <f aca="false">-E12</f>
        <v>417.52944582</v>
      </c>
      <c r="F16" s="0" t="n">
        <f aca="false">-F12</f>
        <v>434.654676996211</v>
      </c>
      <c r="G16" s="0" t="n">
        <f aca="false">-G12</f>
        <v>452.375213827595</v>
      </c>
      <c r="H16" s="0" t="n">
        <f aca="false">-H12</f>
        <v>470.710118327425</v>
      </c>
      <c r="I16" s="0" t="n">
        <f aca="false">-I12</f>
        <v>489.679033543605</v>
      </c>
      <c r="J16" s="0" t="n">
        <f aca="false">-J12</f>
        <v>501.921009382195</v>
      </c>
      <c r="K16" s="0" t="n">
        <f aca="false">-K12</f>
        <v>511.959429569839</v>
      </c>
      <c r="L16" s="0" t="n">
        <f aca="false">-L12</f>
        <v>522.198618161236</v>
      </c>
    </row>
    <row r="17" customFormat="false" ht="15" hidden="false" customHeight="false" outlineLevel="0" collapsed="false">
      <c r="A17" s="0" t="s">
        <v>121</v>
      </c>
      <c r="C17" s="4" t="n">
        <f aca="false">-C6*Assumptions!C18/100</f>
        <v>-790.96272</v>
      </c>
      <c r="D17" s="4" t="n">
        <f aca="false">-D6*Assumptions!D18/100</f>
        <v>-814.6916016</v>
      </c>
      <c r="E17" s="4" t="n">
        <f aca="false">-E6*Assumptions!E18/100</f>
        <v>-822.011096458125</v>
      </c>
      <c r="F17" s="4" t="n">
        <f aca="false">-F6*Assumptions!F18/100</f>
        <v>-829.187383808156</v>
      </c>
      <c r="G17" s="4" t="n">
        <f aca="false">-G6*Assumptions!G18/100</f>
        <v>-836.208728590402</v>
      </c>
      <c r="H17" s="4" t="n">
        <f aca="false">-H6*Assumptions!H18/100</f>
        <v>-843.062898496881</v>
      </c>
      <c r="I17" s="4" t="n">
        <f aca="false">-I6*Assumptions!I18/100</f>
        <v>-864.139470959303</v>
      </c>
      <c r="J17" s="4" t="n">
        <f aca="false">-J6*Assumptions!J18/100</f>
        <v>-885.742957733286</v>
      </c>
      <c r="K17" s="4" t="n">
        <f aca="false">-K6*Assumptions!K18/100</f>
        <v>-903.457816887951</v>
      </c>
      <c r="L17" s="4" t="n">
        <f aca="false">-L6*Assumptions!L18/100</f>
        <v>-921.52697322571</v>
      </c>
    </row>
    <row r="18" customFormat="false" ht="15" hidden="false" customHeight="false" outlineLevel="0" collapsed="false">
      <c r="A18" s="0" t="s">
        <v>122</v>
      </c>
      <c r="C18" s="4" t="n">
        <f aca="false">(C6-B6)*Assumptions!$B$23/100</f>
        <v>30.1717</v>
      </c>
      <c r="D18" s="4" t="n">
        <f aca="false">(D6-C6)*Assumptions!$B$23/100</f>
        <v>14.830551</v>
      </c>
      <c r="E18" s="4" t="n">
        <f aca="false">(E6-D6)*Assumptions!$B$23/100</f>
        <v>12.7295562749999</v>
      </c>
      <c r="F18" s="4" t="n">
        <f aca="false">(F6-E6)*Assumptions!$B$23/100</f>
        <v>13.047795181875</v>
      </c>
      <c r="G18" s="4" t="n">
        <f aca="false">(G6-F6)*Assumptions!$B$23/100</f>
        <v>13.3739900614218</v>
      </c>
      <c r="H18" s="4" t="n">
        <f aca="false">(H6-G6)*Assumptions!$B$23/100</f>
        <v>13.7083398129573</v>
      </c>
      <c r="I18" s="4" t="n">
        <f aca="false">(I6-H6)*Assumptions!$B$23/100</f>
        <v>14.0510483082813</v>
      </c>
      <c r="J18" s="4" t="n">
        <f aca="false">(J6-I6)*Assumptions!$B$23/100</f>
        <v>14.4023245159884</v>
      </c>
      <c r="K18" s="4" t="n">
        <f aca="false">(K6-J6)*Assumptions!$B$23/100</f>
        <v>11.8099061031105</v>
      </c>
      <c r="L18" s="4" t="n">
        <f aca="false">(L6-K6)*Assumptions!$B$23/100</f>
        <v>12.0461042251727</v>
      </c>
    </row>
    <row r="19" customFormat="false" ht="15" hidden="false" customHeight="false" outlineLevel="0" collapsed="false">
      <c r="A19" s="0" t="s">
        <v>123</v>
      </c>
      <c r="C19" s="0" t="n">
        <f aca="false">C15+C16+C17+C18</f>
        <v>636.39518971</v>
      </c>
      <c r="D19" s="0" t="n">
        <f aca="false">D15+D16+D17+D18</f>
        <v>622.374083336925</v>
      </c>
      <c r="E19" s="0" t="n">
        <f aca="false">E15+E16+E17+E18</f>
        <v>631.221143486239</v>
      </c>
      <c r="F19" s="0" t="n">
        <f aca="false">F15+F16+F17+F18</f>
        <v>642.655125303433</v>
      </c>
      <c r="G19" s="0" t="n">
        <f aca="false">G15+G16+G17+G18</f>
        <v>664.273381060266</v>
      </c>
      <c r="H19" s="0" t="n">
        <f aca="false">H15+H16+H17+H18</f>
        <v>686.570890151626</v>
      </c>
      <c r="I19" s="0" t="n">
        <f aca="false">I15+I16+I17+I18</f>
        <v>705.679476215075</v>
      </c>
      <c r="J19" s="0" t="n">
        <f aca="false">J15+J16+J17+J18</f>
        <v>723.321463120452</v>
      </c>
      <c r="K19" s="0" t="n">
        <f aca="false">K15+K16+K17+K18</f>
        <v>734.907427479664</v>
      </c>
      <c r="L19" s="0" t="n">
        <f aca="false">L15+L16+L17+L18</f>
        <v>749.605576029257</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586.539345354839</v>
      </c>
      <c r="D21" s="0" t="n">
        <f aca="false">D19*D20</f>
        <v>528.6789554562</v>
      </c>
      <c r="E21" s="0" t="n">
        <f aca="false">E19*E20</f>
        <v>494.188145136082</v>
      </c>
      <c r="F21" s="0" t="n">
        <f aca="false">F19*F20</f>
        <v>463.723412071956</v>
      </c>
      <c r="G21" s="0" t="n">
        <f aca="false">G19*G20</f>
        <v>441.771971886465</v>
      </c>
      <c r="H21" s="0" t="n">
        <f aca="false">H19*H20</f>
        <v>420.830256459361</v>
      </c>
      <c r="I21" s="0" t="n">
        <f aca="false">I19*I20</f>
        <v>398.656931313399</v>
      </c>
      <c r="J21" s="0" t="n">
        <f aca="false">J19*J20</f>
        <v>376.61138672464</v>
      </c>
      <c r="K21" s="0" t="n">
        <f aca="false">K19*K20</f>
        <v>352.667137685546</v>
      </c>
      <c r="L21" s="0" t="n">
        <f aca="false">L19*L20</f>
        <v>331.539613308071</v>
      </c>
    </row>
    <row r="23" customFormat="false" ht="15" hidden="false" customHeight="false" outlineLevel="0" collapsed="false">
      <c r="A23" s="0" t="s">
        <v>101</v>
      </c>
      <c r="C23" s="4" t="n">
        <f aca="false">Assumptions!C16</f>
        <v>0.77</v>
      </c>
      <c r="D23" s="4" t="n">
        <f aca="false">Assumptions!D16</f>
        <v>0.77</v>
      </c>
      <c r="E23" s="4" t="n">
        <f aca="false">Assumptions!E16</f>
        <v>0.77</v>
      </c>
      <c r="F23" s="4" t="n">
        <f aca="false">Assumptions!F16</f>
        <v>0.77</v>
      </c>
      <c r="G23" s="4" t="n">
        <f aca="false">Assumptions!G16</f>
        <v>0.77</v>
      </c>
      <c r="H23" s="4" t="n">
        <f aca="false">Assumptions!H16</f>
        <v>0.77</v>
      </c>
      <c r="I23" s="4" t="n">
        <f aca="false">Assumptions!I16</f>
        <v>0.77</v>
      </c>
      <c r="J23" s="4" t="n">
        <f aca="false">Assumptions!J16</f>
        <v>0.77</v>
      </c>
      <c r="K23" s="4" t="n">
        <f aca="false">Assumptions!K16</f>
        <v>0.77</v>
      </c>
      <c r="L23" s="4" t="n">
        <f aca="false">Assumptions!L16</f>
        <v>0.77</v>
      </c>
    </row>
    <row r="24" customFormat="false" ht="15" hidden="false" customHeight="false" outlineLevel="0" collapsed="false">
      <c r="A24" s="0" t="s">
        <v>126</v>
      </c>
      <c r="C24" s="0" t="n">
        <f aca="false">-C6*C23/100</f>
        <v>-95.16270225</v>
      </c>
      <c r="D24" s="0" t="n">
        <f aca="false">-D6*D23/100</f>
        <v>-98.0175833175</v>
      </c>
      <c r="E24" s="0" t="n">
        <f aca="false">-E6*E23/100</f>
        <v>-100.468022900437</v>
      </c>
      <c r="F24" s="0" t="n">
        <f aca="false">-F6*F23/100</f>
        <v>-102.979723472948</v>
      </c>
      <c r="G24" s="0" t="n">
        <f aca="false">-G6*G23/100</f>
        <v>-105.554216559772</v>
      </c>
      <c r="H24" s="0" t="n">
        <f aca="false">-H6*H23/100</f>
        <v>-108.193071973766</v>
      </c>
      <c r="I24" s="0" t="n">
        <f aca="false">-I6*I23/100</f>
        <v>-110.897898773111</v>
      </c>
      <c r="J24" s="0" t="n">
        <f aca="false">-J6*J23/100</f>
        <v>-113.670346242438</v>
      </c>
      <c r="K24" s="0" t="n">
        <f aca="false">-K6*K23/100</f>
        <v>-115.943753167287</v>
      </c>
      <c r="L24" s="0" t="n">
        <f aca="false">-L6*L23/100</f>
        <v>-118.262628230633</v>
      </c>
    </row>
    <row r="26" customFormat="false" ht="15" hidden="false" customHeight="false" outlineLevel="0" collapsed="false">
      <c r="A26" s="2" t="s">
        <v>127</v>
      </c>
    </row>
    <row r="27" customFormat="false" ht="15" hidden="false" customHeight="false" outlineLevel="0" collapsed="false">
      <c r="A27" s="0" t="s">
        <v>105</v>
      </c>
      <c r="B27" s="4" t="n">
        <f aca="false">Assumptions!$B$20</f>
        <v>8.5</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20</v>
      </c>
    </row>
    <row r="30" customFormat="false" ht="15" hidden="false" customHeight="false" outlineLevel="0" collapsed="false">
      <c r="A30" s="0" t="s">
        <v>128</v>
      </c>
      <c r="B30" s="0" t="n">
        <f aca="false">SUM(C21:L21)</f>
        <v>4395.20715539656</v>
      </c>
    </row>
    <row r="31" customFormat="false" ht="15" hidden="false" customHeight="false" outlineLevel="0" collapsed="false">
      <c r="A31" s="0" t="s">
        <v>129</v>
      </c>
      <c r="B31" s="0" t="n">
        <f aca="false">L19</f>
        <v>749.605576029257</v>
      </c>
    </row>
    <row r="32" customFormat="false" ht="15" hidden="false" customHeight="false" outlineLevel="0" collapsed="false">
      <c r="A32" s="0" t="s">
        <v>130</v>
      </c>
      <c r="B32" s="0" t="n">
        <f aca="false">IF(B27&gt;B28,B31*(1+B28/100)/((B27-B28)/100),B31*B29)</f>
        <v>11763.0413469206</v>
      </c>
    </row>
    <row r="33" customFormat="false" ht="15" hidden="false" customHeight="false" outlineLevel="0" collapsed="false">
      <c r="A33" s="0" t="s">
        <v>131</v>
      </c>
      <c r="B33" s="0" t="n">
        <f aca="false">B31*B29</f>
        <v>14992.1115205851</v>
      </c>
    </row>
    <row r="34" customFormat="false" ht="15" hidden="false" customHeight="false" outlineLevel="0" collapsed="false">
      <c r="A34" s="0" t="s">
        <v>132</v>
      </c>
      <c r="B34" s="0" t="n">
        <f aca="false">MAX(0,MIN(B32,B33))</f>
        <v>11763.0413469206</v>
      </c>
    </row>
    <row r="35" customFormat="false" ht="15" hidden="false" customHeight="false" outlineLevel="0" collapsed="false">
      <c r="A35" s="0" t="s">
        <v>133</v>
      </c>
      <c r="B35" s="0" t="n">
        <f aca="false">B34/(1+B27/100)^L4</f>
        <v>5202.62162421896</v>
      </c>
    </row>
    <row r="36" customFormat="false" ht="15" hidden="false" customHeight="false" outlineLevel="0" collapsed="false">
      <c r="A36" s="0" t="s">
        <v>134</v>
      </c>
      <c r="B36" s="0" t="n">
        <f aca="false">B30+B35</f>
        <v>9597.82877961552</v>
      </c>
    </row>
    <row r="37" customFormat="false" ht="15" hidden="false" customHeight="false" outlineLevel="0" collapsed="false">
      <c r="A37" s="0" t="s">
        <v>135</v>
      </c>
      <c r="B37" s="0" t="n">
        <f aca="false">B36+Assumptions!$B$5-Assumptions!$B$4</f>
        <v>8070.52877961552</v>
      </c>
    </row>
    <row r="38" customFormat="false" ht="15" hidden="false" customHeight="false" outlineLevel="0" collapsed="false">
      <c r="A38" s="0" t="s">
        <v>136</v>
      </c>
      <c r="B38" s="0" t="n">
        <f aca="false">B37/Assumptions!$B$3*Assumptions!$B$10</f>
        <v>1875.95450561338</v>
      </c>
    </row>
    <row r="39" customFormat="false" ht="15" hidden="false" customHeight="false" outlineLevel="0" collapsed="false">
      <c r="A39" s="0" t="s">
        <v>137</v>
      </c>
      <c r="B39" s="4" t="n">
        <f aca="false">B38/Assumptions!$B$2-1</f>
        <v>-0.561897593271047</v>
      </c>
    </row>
    <row r="41" customFormat="false" ht="15" hidden="false" customHeight="false" outlineLevel="0" collapsed="false">
      <c r="A41" s="0" t="s">
        <v>138</v>
      </c>
      <c r="B41" s="0" t="n">
        <f aca="false">SUMPRODUCT(-C10:L10/(1+$B$27/100)^C4:L4)</f>
        <v>170.315835138671</v>
      </c>
    </row>
    <row r="42" customFormat="false" ht="15" hidden="false" customHeight="false" outlineLevel="0" collapsed="false">
      <c r="A42" s="0" t="s">
        <v>139</v>
      </c>
      <c r="B42" s="0" t="n">
        <f aca="false">IF(B27&gt;B28,-L10*(1+B28/100)/((B27-B28)/100),-L10*20)/(1+B27/100)^L4</f>
        <v>202.534883941734</v>
      </c>
    </row>
    <row r="43" customFormat="false" ht="15" hidden="false" customHeight="false" outlineLevel="0" collapsed="false">
      <c r="A43" s="0" t="s">
        <v>140</v>
      </c>
      <c r="B43" s="0" t="n">
        <f aca="false">(B37+B41+B42)/Assumptions!$B$3*Assumptions!$B$10</f>
        <v>1962.62181149633</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5881.52067346032</v>
      </c>
    </row>
    <row r="47" customFormat="false" ht="15" hidden="false" customHeight="false" outlineLevel="0" collapsed="false">
      <c r="A47" s="0" t="s">
        <v>142</v>
      </c>
      <c r="B47" s="0" t="n">
        <f aca="false">(SUMPRODUCT(C19:L19/(1+B45/100)^C4:L4)+B46/(1+B45/100)^L4+Assumptions!$B$5-Assumptions!$B$4)/Assumptions!$B$3*Assumptions!$B$10</f>
        <v>756.845778567988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7.5</v>
      </c>
      <c r="D5" s="4" t="n">
        <f aca="false">Assumptions!D27</f>
        <v>5.5</v>
      </c>
      <c r="E5" s="4" t="n">
        <f aca="false">Assumptions!E27</f>
        <v>5</v>
      </c>
      <c r="F5" s="4" t="n">
        <f aca="false">Assumptions!F27</f>
        <v>5</v>
      </c>
      <c r="G5" s="4" t="n">
        <f aca="false">Assumptions!G27</f>
        <v>4.5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38</v>
      </c>
      <c r="B6" s="3" t="n">
        <v>11604.5</v>
      </c>
      <c r="C6" s="0" t="n">
        <f aca="false">B6*(1+C5/100)</f>
        <v>12474.8375</v>
      </c>
      <c r="D6" s="0" t="n">
        <f aca="false">C6*(1+D5/100)</f>
        <v>13160.9535625</v>
      </c>
      <c r="E6" s="0" t="n">
        <f aca="false">D6*(1+E5/100)</f>
        <v>13819.001240625</v>
      </c>
      <c r="F6" s="0" t="n">
        <f aca="false">E6*(1+F5/100)</f>
        <v>14509.9513026562</v>
      </c>
      <c r="G6" s="0" t="n">
        <f aca="false">F6*(1+G5/100)</f>
        <v>15162.8991112758</v>
      </c>
      <c r="H6" s="0" t="n">
        <f aca="false">G6*(1+H5/100)</f>
        <v>15845.2295712832</v>
      </c>
      <c r="I6" s="0" t="n">
        <f aca="false">H6*(1+I5/100)</f>
        <v>16479.0387541345</v>
      </c>
      <c r="J6" s="0" t="n">
        <f aca="false">I6*(1+J5/100)</f>
        <v>17055.8051105292</v>
      </c>
      <c r="K6" s="0" t="n">
        <f aca="false">J6*(1+K5/100)</f>
        <v>17567.4792638451</v>
      </c>
      <c r="L6" s="0" t="n">
        <f aca="false">K6*(1+L5/100)</f>
        <v>18094.5036417605</v>
      </c>
    </row>
    <row r="7" customFormat="false" ht="15" hidden="false" customHeight="false" outlineLevel="0" collapsed="false">
      <c r="A7" s="0" t="s">
        <v>99</v>
      </c>
      <c r="C7" s="4" t="n">
        <f aca="false">Assumptions!C28</f>
        <v>15.6</v>
      </c>
      <c r="D7" s="4" t="n">
        <f aca="false">Assumptions!D28</f>
        <v>15.85</v>
      </c>
      <c r="E7" s="4" t="n">
        <f aca="false">Assumptions!E28</f>
        <v>16.1</v>
      </c>
      <c r="F7" s="4" t="n">
        <f aca="false">Assumptions!F28</f>
        <v>16.3</v>
      </c>
      <c r="G7" s="4" t="n">
        <f aca="false">Assumptions!G28</f>
        <v>16.5</v>
      </c>
      <c r="H7" s="4" t="n">
        <f aca="false">Assumptions!H28</f>
        <v>16.65</v>
      </c>
      <c r="I7" s="4" t="n">
        <f aca="false">Assumptions!I28</f>
        <v>16.8</v>
      </c>
      <c r="J7" s="4" t="n">
        <f aca="false">Assumptions!J28</f>
        <v>16.9</v>
      </c>
      <c r="K7" s="4" t="n">
        <f aca="false">Assumptions!K28</f>
        <v>17</v>
      </c>
      <c r="L7" s="4" t="n">
        <f aca="false">Assumptions!L28</f>
        <v>17</v>
      </c>
    </row>
    <row r="8" customFormat="false" ht="15" hidden="false" customHeight="false" outlineLevel="0" collapsed="false">
      <c r="A8" s="0" t="s">
        <v>44</v>
      </c>
      <c r="C8" s="0" t="n">
        <f aca="false">C6*C7/100</f>
        <v>1946.07465</v>
      </c>
      <c r="D8" s="0" t="n">
        <f aca="false">D6*D7/100</f>
        <v>2086.01113965625</v>
      </c>
      <c r="E8" s="0" t="n">
        <f aca="false">E6*E7/100</f>
        <v>2224.85919974063</v>
      </c>
      <c r="F8" s="0" t="n">
        <f aca="false">F6*F7/100</f>
        <v>2365.12206233297</v>
      </c>
      <c r="G8" s="0" t="n">
        <f aca="false">G6*G7/100</f>
        <v>2501.8783533605</v>
      </c>
      <c r="H8" s="0" t="n">
        <f aca="false">H6*H7/100</f>
        <v>2638.23072361865</v>
      </c>
      <c r="I8" s="0" t="n">
        <f aca="false">I6*I7/100</f>
        <v>2768.4785106946</v>
      </c>
      <c r="J8" s="0" t="n">
        <f aca="false">J6*J7/100</f>
        <v>2882.43106367944</v>
      </c>
      <c r="K8" s="0" t="n">
        <f aca="false">K6*K7/100</f>
        <v>2986.47147485367</v>
      </c>
      <c r="L8" s="0" t="n">
        <f aca="false">L6*L7/100</f>
        <v>3076.06561909928</v>
      </c>
    </row>
    <row r="9" customFormat="false" ht="15" hidden="false" customHeight="false" outlineLevel="0" collapsed="false">
      <c r="A9" s="0" t="s">
        <v>100</v>
      </c>
      <c r="C9" s="4" t="n">
        <f aca="false">Assumptions!C29</f>
        <v>0.19</v>
      </c>
      <c r="D9" s="4" t="n">
        <f aca="false">Assumptions!D29</f>
        <v>0.19</v>
      </c>
      <c r="E9" s="4" t="n">
        <f aca="false">Assumptions!E29</f>
        <v>0.19</v>
      </c>
      <c r="F9" s="4" t="n">
        <f aca="false">Assumptions!F29</f>
        <v>0.19</v>
      </c>
      <c r="G9" s="4" t="n">
        <f aca="false">Assumptions!G29</f>
        <v>0.19</v>
      </c>
      <c r="H9" s="4" t="n">
        <f aca="false">Assumptions!H29</f>
        <v>0.19</v>
      </c>
      <c r="I9" s="4" t="n">
        <f aca="false">Assumptions!I29</f>
        <v>0.19</v>
      </c>
      <c r="J9" s="4" t="n">
        <f aca="false">Assumptions!J29</f>
        <v>0.19</v>
      </c>
      <c r="K9" s="4" t="n">
        <f aca="false">Assumptions!K29</f>
        <v>0.19</v>
      </c>
      <c r="L9" s="4" t="n">
        <f aca="false">Assumptions!L29</f>
        <v>0.19</v>
      </c>
    </row>
    <row r="10" customFormat="false" ht="15" hidden="false" customHeight="false" outlineLevel="0" collapsed="false">
      <c r="A10" s="0" t="s">
        <v>115</v>
      </c>
      <c r="C10" s="0" t="n">
        <f aca="false">-C6*C9/100</f>
        <v>-23.70219125</v>
      </c>
      <c r="D10" s="0" t="n">
        <f aca="false">-D6*D9/100</f>
        <v>-25.00581176875</v>
      </c>
      <c r="E10" s="0" t="n">
        <f aca="false">-E6*E9/100</f>
        <v>-26.2561023571875</v>
      </c>
      <c r="F10" s="0" t="n">
        <f aca="false">-F6*F9/100</f>
        <v>-27.5689074750469</v>
      </c>
      <c r="G10" s="0" t="n">
        <f aca="false">-G6*G9/100</f>
        <v>-28.809508311424</v>
      </c>
      <c r="H10" s="0" t="n">
        <f aca="false">-H6*H9/100</f>
        <v>-30.1059361854381</v>
      </c>
      <c r="I10" s="0" t="n">
        <f aca="false">-I6*I9/100</f>
        <v>-31.3101736328556</v>
      </c>
      <c r="J10" s="0" t="n">
        <f aca="false">-J6*J9/100</f>
        <v>-32.4060297100055</v>
      </c>
      <c r="K10" s="0" t="n">
        <f aca="false">-K6*K9/100</f>
        <v>-33.3782106013057</v>
      </c>
      <c r="L10" s="0" t="n">
        <f aca="false">-L6*L9/100</f>
        <v>-34.3795569193449</v>
      </c>
    </row>
    <row r="11" customFormat="false" ht="15" hidden="false" customHeight="false" outlineLevel="0" collapsed="false">
      <c r="A11" s="0" t="s">
        <v>116</v>
      </c>
      <c r="C11" s="0" t="n">
        <f aca="false">C8+C10+C24</f>
        <v>1826.31621</v>
      </c>
      <c r="D11" s="0" t="n">
        <f aca="false">D8+D10+D24</f>
        <v>1959.66598545625</v>
      </c>
      <c r="E11" s="0" t="n">
        <f aca="false">E8+E10+E24</f>
        <v>2092.19678783063</v>
      </c>
      <c r="F11" s="0" t="n">
        <f aca="false">F8+F10+F24</f>
        <v>2225.82652982747</v>
      </c>
      <c r="G11" s="0" t="n">
        <f aca="false">G8+G10+G24</f>
        <v>2356.31452189226</v>
      </c>
      <c r="H11" s="0" t="n">
        <f aca="false">H8+H10+H24</f>
        <v>2486.11651973433</v>
      </c>
      <c r="I11" s="0" t="n">
        <f aca="false">I8+I10+I24</f>
        <v>2610.27973865491</v>
      </c>
      <c r="J11" s="0" t="n">
        <f aca="false">J8+J10+J24</f>
        <v>2718.69533461836</v>
      </c>
      <c r="K11" s="0" t="n">
        <f aca="false">K8+K10+K24</f>
        <v>2817.82367392076</v>
      </c>
      <c r="L11" s="0" t="n">
        <f aca="false">L8+L10+L24</f>
        <v>2902.35838413838</v>
      </c>
    </row>
    <row r="12" customFormat="false" ht="15" hidden="false" customHeight="false" outlineLevel="0" collapsed="false">
      <c r="A12" s="0" t="s">
        <v>117</v>
      </c>
      <c r="C12" s="4" t="n">
        <f aca="false">-C6*Assumptions!C31/100</f>
        <v>-386.7199625</v>
      </c>
      <c r="D12" s="4" t="n">
        <f aca="false">-D6*Assumptions!D31/100</f>
        <v>-414.57003721875</v>
      </c>
      <c r="E12" s="4" t="n">
        <f aca="false">-E6*Assumptions!E31/100</f>
        <v>-442.2080397</v>
      </c>
      <c r="F12" s="4" t="n">
        <f aca="false">-F6*Assumptions!F31/100</f>
        <v>-471.573417336328</v>
      </c>
      <c r="G12" s="4" t="n">
        <f aca="false">-G6*Assumptions!G31/100</f>
        <v>-500.375670672101</v>
      </c>
      <c r="H12" s="4" t="n">
        <f aca="false">-H6*Assumptions!H31/100</f>
        <v>-530.815190637987</v>
      </c>
      <c r="I12" s="4" t="n">
        <f aca="false">-I6*Assumptions!I31/100</f>
        <v>-560.287317640574</v>
      </c>
      <c r="J12" s="4" t="n">
        <f aca="false">-J6*Assumptions!J31/100</f>
        <v>-579.897373757994</v>
      </c>
      <c r="K12" s="4" t="n">
        <f aca="false">-K6*Assumptions!K31/100</f>
        <v>-597.294294970734</v>
      </c>
      <c r="L12" s="4" t="n">
        <f aca="false">-L6*Assumptions!L31/100</f>
        <v>-615.213123819856</v>
      </c>
    </row>
    <row r="13" customFormat="false" ht="15" hidden="false" customHeight="false" outlineLevel="0" collapsed="false">
      <c r="A13" s="0" t="s">
        <v>118</v>
      </c>
      <c r="C13" s="0" t="n">
        <f aca="false">C11+C12</f>
        <v>1439.5962475</v>
      </c>
      <c r="D13" s="0" t="n">
        <f aca="false">D11+D12</f>
        <v>1545.0959482375</v>
      </c>
      <c r="E13" s="0" t="n">
        <f aca="false">E11+E12</f>
        <v>1649.98874813063</v>
      </c>
      <c r="F13" s="0" t="n">
        <f aca="false">F11+F12</f>
        <v>1754.25311249114</v>
      </c>
      <c r="G13" s="0" t="n">
        <f aca="false">G11+G12</f>
        <v>1855.93885122016</v>
      </c>
      <c r="H13" s="0" t="n">
        <f aca="false">H11+H12</f>
        <v>1955.30132909635</v>
      </c>
      <c r="I13" s="0" t="n">
        <f aca="false">I11+I12</f>
        <v>2049.99242101433</v>
      </c>
      <c r="J13" s="0" t="n">
        <f aca="false">J11+J12</f>
        <v>2138.79796086036</v>
      </c>
      <c r="K13" s="0" t="n">
        <f aca="false">K11+K12</f>
        <v>2220.52937895002</v>
      </c>
      <c r="L13" s="0" t="n">
        <f aca="false">L11+L12</f>
        <v>2287.14526031852</v>
      </c>
    </row>
    <row r="14" customFormat="false" ht="15" hidden="false" customHeight="false" outlineLevel="0" collapsed="false">
      <c r="A14" s="0" t="s">
        <v>104</v>
      </c>
      <c r="C14" s="4" t="n">
        <f aca="false">Assumptions!C33</f>
        <v>27</v>
      </c>
      <c r="D14" s="4" t="n">
        <f aca="false">Assumptions!D33</f>
        <v>27</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119</v>
      </c>
      <c r="C15" s="0" t="n">
        <f aca="false">C13-MAX(0,C13)*C14/100</f>
        <v>1050.905260675</v>
      </c>
      <c r="D15" s="0" t="n">
        <f aca="false">D13-MAX(0,D13)*D14/100</f>
        <v>1127.92004221337</v>
      </c>
      <c r="E15" s="0" t="n">
        <f aca="false">E13-MAX(0,E13)*E14/100</f>
        <v>1204.49178613536</v>
      </c>
      <c r="F15" s="0" t="n">
        <f aca="false">F13-MAX(0,F13)*F14/100</f>
        <v>1280.60477211853</v>
      </c>
      <c r="G15" s="0" t="n">
        <f aca="false">G13-MAX(0,G13)*G14/100</f>
        <v>1354.83536139071</v>
      </c>
      <c r="H15" s="0" t="n">
        <f aca="false">H13-MAX(0,H13)*H14/100</f>
        <v>1427.36997024033</v>
      </c>
      <c r="I15" s="0" t="n">
        <f aca="false">I13-MAX(0,I13)*I14/100</f>
        <v>1496.49446734046</v>
      </c>
      <c r="J15" s="0" t="n">
        <f aca="false">J13-MAX(0,J13)*J14/100</f>
        <v>1561.32251142807</v>
      </c>
      <c r="K15" s="0" t="n">
        <f aca="false">K13-MAX(0,K13)*K14/100</f>
        <v>1620.98644663352</v>
      </c>
      <c r="L15" s="0" t="n">
        <f aca="false">L13-MAX(0,L13)*L14/100</f>
        <v>1669.61604003252</v>
      </c>
    </row>
    <row r="16" customFormat="false" ht="15" hidden="false" customHeight="false" outlineLevel="0" collapsed="false">
      <c r="A16" s="0" t="s">
        <v>120</v>
      </c>
      <c r="C16" s="0" t="n">
        <f aca="false">-C12</f>
        <v>386.7199625</v>
      </c>
      <c r="D16" s="0" t="n">
        <f aca="false">-D12</f>
        <v>414.57003721875</v>
      </c>
      <c r="E16" s="0" t="n">
        <f aca="false">-E12</f>
        <v>442.2080397</v>
      </c>
      <c r="F16" s="0" t="n">
        <f aca="false">-F12</f>
        <v>471.573417336328</v>
      </c>
      <c r="G16" s="0" t="n">
        <f aca="false">-G12</f>
        <v>500.375670672101</v>
      </c>
      <c r="H16" s="0" t="n">
        <f aca="false">-H12</f>
        <v>530.815190637987</v>
      </c>
      <c r="I16" s="0" t="n">
        <f aca="false">-I12</f>
        <v>560.287317640574</v>
      </c>
      <c r="J16" s="0" t="n">
        <f aca="false">-J12</f>
        <v>579.897373757994</v>
      </c>
      <c r="K16" s="0" t="n">
        <f aca="false">-K12</f>
        <v>597.294294970734</v>
      </c>
      <c r="L16" s="0" t="n">
        <f aca="false">-L12</f>
        <v>615.213123819856</v>
      </c>
    </row>
    <row r="17" customFormat="false" ht="15" hidden="false" customHeight="false" outlineLevel="0" collapsed="false">
      <c r="A17" s="0" t="s">
        <v>121</v>
      </c>
      <c r="C17" s="4" t="n">
        <f aca="false">-C6*Assumptions!C32/100</f>
        <v>-798.3896</v>
      </c>
      <c r="D17" s="4" t="n">
        <f aca="false">-D6*Assumptions!D32/100</f>
        <v>-829.1400744375</v>
      </c>
      <c r="E17" s="4" t="n">
        <f aca="false">-E6*Assumptions!E32/100</f>
        <v>-856.77807691875</v>
      </c>
      <c r="F17" s="4" t="n">
        <f aca="false">-F6*Assumptions!F32/100</f>
        <v>-870.597078159375</v>
      </c>
      <c r="G17" s="4" t="n">
        <f aca="false">-G6*Assumptions!G32/100</f>
        <v>-879.448148453995</v>
      </c>
      <c r="H17" s="4" t="n">
        <f aca="false">-H6*Assumptions!H32/100</f>
        <v>-887.332855991859</v>
      </c>
      <c r="I17" s="4" t="n">
        <f aca="false">-I6*Assumptions!I32/100</f>
        <v>-906.347131477399</v>
      </c>
      <c r="J17" s="4" t="n">
        <f aca="false">-J6*Assumptions!J32/100</f>
        <v>-903.957670858049</v>
      </c>
      <c r="K17" s="4" t="n">
        <f aca="false">-K6*Assumptions!K32/100</f>
        <v>-913.508921719945</v>
      </c>
      <c r="L17" s="4" t="n">
        <f aca="false">-L6*Assumptions!L32/100</f>
        <v>-904.725182088023</v>
      </c>
    </row>
    <row r="18" customFormat="false" ht="15" hidden="false" customHeight="false" outlineLevel="0" collapsed="false">
      <c r="A18" s="0" t="s">
        <v>122</v>
      </c>
      <c r="C18" s="4" t="n">
        <f aca="false">(C6-B6)*Assumptions!$B$37/100</f>
        <v>69.627</v>
      </c>
      <c r="D18" s="4" t="n">
        <f aca="false">(D6-C6)*Assumptions!$B$37/100</f>
        <v>54.8892849999999</v>
      </c>
      <c r="E18" s="4" t="n">
        <f aca="false">(E6-D6)*Assumptions!$B$37/100</f>
        <v>52.64381425</v>
      </c>
      <c r="F18" s="4" t="n">
        <f aca="false">(F6-E6)*Assumptions!$B$37/100</f>
        <v>55.2760049625</v>
      </c>
      <c r="G18" s="4" t="n">
        <f aca="false">(G6-F6)*Assumptions!$B$37/100</f>
        <v>52.2358246895624</v>
      </c>
      <c r="H18" s="4" t="n">
        <f aca="false">(H6-G6)*Assumptions!$B$37/100</f>
        <v>54.5864368005928</v>
      </c>
      <c r="I18" s="4" t="n">
        <f aca="false">(I6-H6)*Assumptions!$B$37/100</f>
        <v>50.7047346281064</v>
      </c>
      <c r="J18" s="4" t="n">
        <f aca="false">(J6-I6)*Assumptions!$B$37/100</f>
        <v>46.1413085115765</v>
      </c>
      <c r="K18" s="4" t="n">
        <f aca="false">(K6-J6)*Assumptions!$B$37/100</f>
        <v>40.9339322652703</v>
      </c>
      <c r="L18" s="4" t="n">
        <f aca="false">(L6-K6)*Assumptions!$B$37/100</f>
        <v>42.1619502332283</v>
      </c>
    </row>
    <row r="19" customFormat="false" ht="15" hidden="false" customHeight="false" outlineLevel="0" collapsed="false">
      <c r="A19" s="0" t="s">
        <v>123</v>
      </c>
      <c r="C19" s="0" t="n">
        <f aca="false">C15+C16+C17+C18</f>
        <v>708.862623175</v>
      </c>
      <c r="D19" s="0" t="n">
        <f aca="false">D15+D16+D17+D18</f>
        <v>768.239289994625</v>
      </c>
      <c r="E19" s="0" t="n">
        <f aca="false">E15+E16+E17+E18</f>
        <v>842.565563166606</v>
      </c>
      <c r="F19" s="0" t="n">
        <f aca="false">F15+F16+F17+F18</f>
        <v>936.857116257986</v>
      </c>
      <c r="G19" s="0" t="n">
        <f aca="false">G15+G16+G17+G18</f>
        <v>1027.99870829838</v>
      </c>
      <c r="H19" s="0" t="n">
        <f aca="false">H15+H16+H17+H18</f>
        <v>1125.43874168705</v>
      </c>
      <c r="I19" s="0" t="n">
        <f aca="false">I15+I16+I17+I18</f>
        <v>1201.13938813175</v>
      </c>
      <c r="J19" s="0" t="n">
        <f aca="false">J15+J16+J17+J18</f>
        <v>1283.40352283959</v>
      </c>
      <c r="K19" s="0" t="n">
        <f aca="false">K15+K16+K17+K18</f>
        <v>1345.70575214957</v>
      </c>
      <c r="L19" s="0" t="n">
        <f aca="false">L15+L16+L17+L18</f>
        <v>1422.26593199758</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653.329606612903</v>
      </c>
      <c r="D21" s="0" t="n">
        <f aca="false">D19*D20</f>
        <v>652.58492641137</v>
      </c>
      <c r="E21" s="0" t="n">
        <f aca="false">E19*E20</f>
        <v>659.651402861984</v>
      </c>
      <c r="F21" s="0" t="n">
        <f aca="false">F19*F20</f>
        <v>676.012003125195</v>
      </c>
      <c r="G21" s="0" t="n">
        <f aca="false">G19*G20</f>
        <v>683.665836100263</v>
      </c>
      <c r="H21" s="0" t="n">
        <f aca="false">H19*H20</f>
        <v>689.832151475089</v>
      </c>
      <c r="I21" s="0" t="n">
        <f aca="false">I19*I20</f>
        <v>678.555291306666</v>
      </c>
      <c r="J21" s="0" t="n">
        <f aca="false">J19*J20</f>
        <v>668.229003434695</v>
      </c>
      <c r="K21" s="0" t="n">
        <f aca="false">K19*K20</f>
        <v>645.776839411108</v>
      </c>
      <c r="L21" s="0" t="n">
        <f aca="false">L19*L20</f>
        <v>629.047478026387</v>
      </c>
    </row>
    <row r="23" customFormat="false" ht="15" hidden="false" customHeight="false" outlineLevel="0" collapsed="false">
      <c r="A23" s="0" t="s">
        <v>101</v>
      </c>
      <c r="C23" s="4" t="n">
        <f aca="false">Assumptions!C30</f>
        <v>0.77</v>
      </c>
      <c r="D23" s="4" t="n">
        <f aca="false">Assumptions!D30</f>
        <v>0.77</v>
      </c>
      <c r="E23" s="4" t="n">
        <f aca="false">Assumptions!E30</f>
        <v>0.77</v>
      </c>
      <c r="F23" s="4" t="n">
        <f aca="false">Assumptions!F30</f>
        <v>0.77</v>
      </c>
      <c r="G23" s="4" t="n">
        <f aca="false">Assumptions!G30</f>
        <v>0.77</v>
      </c>
      <c r="H23" s="4" t="n">
        <f aca="false">Assumptions!H30</f>
        <v>0.77</v>
      </c>
      <c r="I23" s="4" t="n">
        <f aca="false">Assumptions!I30</f>
        <v>0.77</v>
      </c>
      <c r="J23" s="4" t="n">
        <f aca="false">Assumptions!J30</f>
        <v>0.77</v>
      </c>
      <c r="K23" s="4" t="n">
        <f aca="false">Assumptions!K30</f>
        <v>0.77</v>
      </c>
      <c r="L23" s="4" t="n">
        <f aca="false">Assumptions!L30</f>
        <v>0.77</v>
      </c>
    </row>
    <row r="24" customFormat="false" ht="15" hidden="false" customHeight="false" outlineLevel="0" collapsed="false">
      <c r="A24" s="0" t="s">
        <v>126</v>
      </c>
      <c r="C24" s="0" t="n">
        <f aca="false">-C6*C23/100</f>
        <v>-96.05624875</v>
      </c>
      <c r="D24" s="0" t="n">
        <f aca="false">-D6*D23/100</f>
        <v>-101.33934243125</v>
      </c>
      <c r="E24" s="0" t="n">
        <f aca="false">-E6*E23/100</f>
        <v>-106.406309552812</v>
      </c>
      <c r="F24" s="0" t="n">
        <f aca="false">-F6*F23/100</f>
        <v>-111.726625030453</v>
      </c>
      <c r="G24" s="0" t="n">
        <f aca="false">-G6*G23/100</f>
        <v>-116.754323156824</v>
      </c>
      <c r="H24" s="0" t="n">
        <f aca="false">-H6*H23/100</f>
        <v>-122.008267698881</v>
      </c>
      <c r="I24" s="0" t="n">
        <f aca="false">-I6*I23/100</f>
        <v>-126.888598406836</v>
      </c>
      <c r="J24" s="0" t="n">
        <f aca="false">-J6*J23/100</f>
        <v>-131.329699351075</v>
      </c>
      <c r="K24" s="0" t="n">
        <f aca="false">-K6*K23/100</f>
        <v>-135.269590331607</v>
      </c>
      <c r="L24" s="0" t="n">
        <f aca="false">-L6*L23/100</f>
        <v>-139.327678041556</v>
      </c>
    </row>
    <row r="26" customFormat="false" ht="15" hidden="false" customHeight="false" outlineLevel="0" collapsed="false">
      <c r="A26" s="2" t="s">
        <v>127</v>
      </c>
    </row>
    <row r="27" customFormat="false" ht="15" hidden="false" customHeight="false" outlineLevel="0" collapsed="false">
      <c r="A27" s="0" t="s">
        <v>105</v>
      </c>
      <c r="B27" s="4" t="n">
        <f aca="false">Assumptions!$B$34</f>
        <v>8.5</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20</v>
      </c>
    </row>
    <row r="30" customFormat="false" ht="15" hidden="false" customHeight="false" outlineLevel="0" collapsed="false">
      <c r="A30" s="0" t="s">
        <v>128</v>
      </c>
      <c r="B30" s="0" t="n">
        <f aca="false">SUM(C21:L21)</f>
        <v>6636.68453876566</v>
      </c>
    </row>
    <row r="31" customFormat="false" ht="15" hidden="false" customHeight="false" outlineLevel="0" collapsed="false">
      <c r="A31" s="0" t="s">
        <v>129</v>
      </c>
      <c r="B31" s="0" t="n">
        <f aca="false">L19</f>
        <v>1422.26593199758</v>
      </c>
    </row>
    <row r="32" customFormat="false" ht="15" hidden="false" customHeight="false" outlineLevel="0" collapsed="false">
      <c r="A32" s="0" t="s">
        <v>130</v>
      </c>
      <c r="B32" s="0" t="n">
        <f aca="false">IF(B27&gt;B28,B31*(1+B28/100)/((B27-B28)/100),B31*B29)</f>
        <v>24297.0430049587</v>
      </c>
    </row>
    <row r="33" customFormat="false" ht="15" hidden="false" customHeight="false" outlineLevel="0" collapsed="false">
      <c r="A33" s="0" t="s">
        <v>131</v>
      </c>
      <c r="B33" s="0" t="n">
        <f aca="false">B31*B29</f>
        <v>28445.3186399516</v>
      </c>
    </row>
    <row r="34" customFormat="false" ht="15" hidden="false" customHeight="false" outlineLevel="0" collapsed="false">
      <c r="A34" s="0" t="s">
        <v>132</v>
      </c>
      <c r="B34" s="0" t="n">
        <f aca="false">MAX(0,MIN(B32,B33))</f>
        <v>24297.0430049587</v>
      </c>
    </row>
    <row r="35" customFormat="false" ht="15" hidden="false" customHeight="false" outlineLevel="0" collapsed="false">
      <c r="A35" s="0" t="s">
        <v>133</v>
      </c>
      <c r="B35" s="0" t="n">
        <f aca="false">B34/(1+B27/100)^L4</f>
        <v>10746.2277496174</v>
      </c>
    </row>
    <row r="36" customFormat="false" ht="15" hidden="false" customHeight="false" outlineLevel="0" collapsed="false">
      <c r="A36" s="0" t="s">
        <v>134</v>
      </c>
      <c r="B36" s="0" t="n">
        <f aca="false">B30+B35</f>
        <v>17382.9122883831</v>
      </c>
    </row>
    <row r="37" customFormat="false" ht="15" hidden="false" customHeight="false" outlineLevel="0" collapsed="false">
      <c r="A37" s="0" t="s">
        <v>135</v>
      </c>
      <c r="B37" s="0" t="n">
        <f aca="false">B36+Assumptions!$B$5-Assumptions!$B$4</f>
        <v>15855.6122883831</v>
      </c>
    </row>
    <row r="38" customFormat="false" ht="15" hidden="false" customHeight="false" outlineLevel="0" collapsed="false">
      <c r="A38" s="0" t="s">
        <v>136</v>
      </c>
      <c r="B38" s="0" t="n">
        <f aca="false">B37/Assumptions!$B$3*Assumptions!$B$10</f>
        <v>3685.5586695607</v>
      </c>
    </row>
    <row r="39" customFormat="false" ht="15" hidden="false" customHeight="false" outlineLevel="0" collapsed="false">
      <c r="A39" s="0" t="s">
        <v>137</v>
      </c>
      <c r="B39" s="4" t="n">
        <f aca="false">B38/Assumptions!$B$2-1</f>
        <v>-0.139290362082976</v>
      </c>
    </row>
    <row r="41" customFormat="false" ht="15" hidden="false" customHeight="false" outlineLevel="0" collapsed="false">
      <c r="A41" s="0" t="s">
        <v>138</v>
      </c>
      <c r="B41" s="0" t="n">
        <f aca="false">SUMPRODUCT(-C10:L10/(1+$B$27/100)^C4:L4)</f>
        <v>186.932577036469</v>
      </c>
    </row>
    <row r="42" customFormat="false" ht="15" hidden="false" customHeight="false" outlineLevel="0" collapsed="false">
      <c r="A42" s="0" t="s">
        <v>139</v>
      </c>
      <c r="B42" s="0" t="n">
        <f aca="false">IF(B27&gt;B28,-L10*(1+B28/100)/((B27-B28)/100),-L10*20)/(1+B27/100)^L4</f>
        <v>259.761933597974</v>
      </c>
    </row>
    <row r="43" customFormat="false" ht="15" hidden="false" customHeight="false" outlineLevel="0" collapsed="false">
      <c r="A43" s="0" t="s">
        <v>140</v>
      </c>
      <c r="B43" s="0" t="n">
        <f aca="false">(B37+B41+B42)/Assumptions!$B$3*Assumptions!$B$10</f>
        <v>3789.39059962878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11662.5806423802</v>
      </c>
    </row>
    <row r="47" customFormat="false" ht="15" hidden="false" customHeight="false" outlineLevel="0" collapsed="false">
      <c r="A47" s="0" t="s">
        <v>142</v>
      </c>
      <c r="B47" s="0" t="n">
        <f aca="false">(SUMPRODUCT(C19:L19/(1+B45/100)^C4:L4)+B46/(1+B45/100)^L4+Assumptions!$B$5-Assumptions!$B$4)/Assumptions!$B$3*Assumptions!$B$10</f>
        <v>1451.69273855689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8.5</v>
      </c>
      <c r="D5" s="4" t="n">
        <f aca="false">Assumptions!D41</f>
        <v>7</v>
      </c>
      <c r="E5" s="4" t="n">
        <f aca="false">Assumptions!E41</f>
        <v>6.5</v>
      </c>
      <c r="F5" s="4" t="n">
        <f aca="false">Assumptions!F41</f>
        <v>6.5</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38</v>
      </c>
      <c r="B6" s="3" t="n">
        <v>11604.5</v>
      </c>
      <c r="C6" s="0" t="n">
        <f aca="false">B6*(1+C5/100)</f>
        <v>12590.8825</v>
      </c>
      <c r="D6" s="0" t="n">
        <f aca="false">C6*(1+D5/100)</f>
        <v>13472.244275</v>
      </c>
      <c r="E6" s="0" t="n">
        <f aca="false">D6*(1+E5/100)</f>
        <v>14347.940152875</v>
      </c>
      <c r="F6" s="0" t="n">
        <f aca="false">E6*(1+F5/100)</f>
        <v>15280.5562628119</v>
      </c>
      <c r="G6" s="0" t="n">
        <f aca="false">F6*(1+G5/100)</f>
        <v>16197.3896385806</v>
      </c>
      <c r="H6" s="0" t="n">
        <f aca="false">G6*(1+H5/100)</f>
        <v>17088.2460687025</v>
      </c>
      <c r="I6" s="0" t="n">
        <f aca="false">H6*(1+I5/100)</f>
        <v>17942.6583721376</v>
      </c>
      <c r="J6" s="0" t="n">
        <f aca="false">I6*(1+J5/100)</f>
        <v>18750.0779988838</v>
      </c>
      <c r="K6" s="0" t="n">
        <f aca="false">J6*(1+K5/100)</f>
        <v>19500.0811188392</v>
      </c>
      <c r="L6" s="0" t="n">
        <f aca="false">K6*(1+L5/100)</f>
        <v>20182.5839579986</v>
      </c>
    </row>
    <row r="7" customFormat="false" ht="15" hidden="false" customHeight="false" outlineLevel="0" collapsed="false">
      <c r="A7" s="0" t="s">
        <v>99</v>
      </c>
      <c r="C7" s="4" t="n">
        <f aca="false">Assumptions!C42</f>
        <v>15.7</v>
      </c>
      <c r="D7" s="4" t="n">
        <f aca="false">Assumptions!D42</f>
        <v>16.1</v>
      </c>
      <c r="E7" s="4" t="n">
        <f aca="false">Assumptions!E42</f>
        <v>16.5</v>
      </c>
      <c r="F7" s="4" t="n">
        <f aca="false">Assumptions!F42</f>
        <v>16.9</v>
      </c>
      <c r="G7" s="4" t="n">
        <f aca="false">Assumptions!G42</f>
        <v>17.2</v>
      </c>
      <c r="H7" s="4" t="n">
        <f aca="false">Assumptions!H42</f>
        <v>17.5</v>
      </c>
      <c r="I7" s="4" t="n">
        <f aca="false">Assumptions!I42</f>
        <v>17.7</v>
      </c>
      <c r="J7" s="4" t="n">
        <f aca="false">Assumptions!J42</f>
        <v>17.9</v>
      </c>
      <c r="K7" s="4" t="n">
        <f aca="false">Assumptions!K42</f>
        <v>18</v>
      </c>
      <c r="L7" s="4" t="n">
        <f aca="false">Assumptions!L42</f>
        <v>18</v>
      </c>
    </row>
    <row r="8" customFormat="false" ht="15" hidden="false" customHeight="false" outlineLevel="0" collapsed="false">
      <c r="A8" s="0" t="s">
        <v>44</v>
      </c>
      <c r="C8" s="0" t="n">
        <f aca="false">C6*C7/100</f>
        <v>1976.7685525</v>
      </c>
      <c r="D8" s="0" t="n">
        <f aca="false">D6*D7/100</f>
        <v>2169.031328275</v>
      </c>
      <c r="E8" s="0" t="n">
        <f aca="false">E6*E7/100</f>
        <v>2367.41012522438</v>
      </c>
      <c r="F8" s="0" t="n">
        <f aca="false">F6*F7/100</f>
        <v>2582.41400841521</v>
      </c>
      <c r="G8" s="0" t="n">
        <f aca="false">G6*G7/100</f>
        <v>2785.95101783586</v>
      </c>
      <c r="H8" s="0" t="n">
        <f aca="false">H6*H7/100</f>
        <v>2990.44306202294</v>
      </c>
      <c r="I8" s="0" t="n">
        <f aca="false">I6*I7/100</f>
        <v>3175.85053186836</v>
      </c>
      <c r="J8" s="0" t="n">
        <f aca="false">J6*J7/100</f>
        <v>3356.26396180021</v>
      </c>
      <c r="K8" s="0" t="n">
        <f aca="false">K6*K7/100</f>
        <v>3510.01460139105</v>
      </c>
      <c r="L8" s="0" t="n">
        <f aca="false">L6*L7/100</f>
        <v>3632.86511243974</v>
      </c>
    </row>
    <row r="9" customFormat="false" ht="15" hidden="false" customHeight="false" outlineLevel="0" collapsed="false">
      <c r="A9" s="0" t="s">
        <v>100</v>
      </c>
      <c r="C9" s="4" t="n">
        <f aca="false">Assumptions!C43</f>
        <v>0.19</v>
      </c>
      <c r="D9" s="4" t="n">
        <f aca="false">Assumptions!D43</f>
        <v>0.19</v>
      </c>
      <c r="E9" s="4" t="n">
        <f aca="false">Assumptions!E43</f>
        <v>0.19</v>
      </c>
      <c r="F9" s="4" t="n">
        <f aca="false">Assumptions!F43</f>
        <v>0.19</v>
      </c>
      <c r="G9" s="4" t="n">
        <f aca="false">Assumptions!G43</f>
        <v>0.19</v>
      </c>
      <c r="H9" s="4" t="n">
        <f aca="false">Assumptions!H43</f>
        <v>0.19</v>
      </c>
      <c r="I9" s="4" t="n">
        <f aca="false">Assumptions!I43</f>
        <v>0.19</v>
      </c>
      <c r="J9" s="4" t="n">
        <f aca="false">Assumptions!J43</f>
        <v>0.19</v>
      </c>
      <c r="K9" s="4" t="n">
        <f aca="false">Assumptions!K43</f>
        <v>0.19</v>
      </c>
      <c r="L9" s="4" t="n">
        <f aca="false">Assumptions!L43</f>
        <v>0.19</v>
      </c>
    </row>
    <row r="10" customFormat="false" ht="15" hidden="false" customHeight="false" outlineLevel="0" collapsed="false">
      <c r="A10" s="0" t="s">
        <v>115</v>
      </c>
      <c r="C10" s="0" t="n">
        <f aca="false">-C6*C9/100</f>
        <v>-23.92267675</v>
      </c>
      <c r="D10" s="0" t="n">
        <f aca="false">-D6*D9/100</f>
        <v>-25.5972641225</v>
      </c>
      <c r="E10" s="0" t="n">
        <f aca="false">-E6*E9/100</f>
        <v>-27.2610862904625</v>
      </c>
      <c r="F10" s="0" t="n">
        <f aca="false">-F6*F9/100</f>
        <v>-29.0330568993426</v>
      </c>
      <c r="G10" s="0" t="n">
        <f aca="false">-G6*G9/100</f>
        <v>-30.7750403133031</v>
      </c>
      <c r="H10" s="0" t="n">
        <f aca="false">-H6*H9/100</f>
        <v>-32.4676675305348</v>
      </c>
      <c r="I10" s="0" t="n">
        <f aca="false">-I6*I9/100</f>
        <v>-34.0910509070615</v>
      </c>
      <c r="J10" s="0" t="n">
        <f aca="false">-J6*J9/100</f>
        <v>-35.6251481978793</v>
      </c>
      <c r="K10" s="0" t="n">
        <f aca="false">-K6*K9/100</f>
        <v>-37.0501541257945</v>
      </c>
      <c r="L10" s="0" t="n">
        <f aca="false">-L6*L9/100</f>
        <v>-38.3469095201973</v>
      </c>
    </row>
    <row r="11" customFormat="false" ht="15" hidden="false" customHeight="false" outlineLevel="0" collapsed="false">
      <c r="A11" s="0" t="s">
        <v>116</v>
      </c>
      <c r="C11" s="0" t="n">
        <f aca="false">C8+C10+C24</f>
        <v>1855.8960805</v>
      </c>
      <c r="D11" s="0" t="n">
        <f aca="false">D8+D10+D24</f>
        <v>2039.697783235</v>
      </c>
      <c r="E11" s="0" t="n">
        <f aca="false">E8+E10+E24</f>
        <v>2229.66989975678</v>
      </c>
      <c r="F11" s="0" t="n">
        <f aca="false">F8+F10+F24</f>
        <v>2435.72066829221</v>
      </c>
      <c r="G11" s="0" t="n">
        <f aca="false">G8+G10+G24</f>
        <v>2630.45607730549</v>
      </c>
      <c r="H11" s="0" t="n">
        <f aca="false">H8+H10+H24</f>
        <v>2826.3958997634</v>
      </c>
      <c r="I11" s="0" t="n">
        <f aca="false">I8+I10+I24</f>
        <v>3003.60101149584</v>
      </c>
      <c r="J11" s="0" t="n">
        <f aca="false">J8+J10+J24</f>
        <v>3176.26321301092</v>
      </c>
      <c r="K11" s="0" t="n">
        <f aca="false">K8+K10+K24</f>
        <v>3322.8138226502</v>
      </c>
      <c r="L11" s="0" t="n">
        <f aca="false">L8+L10+L24</f>
        <v>3439.11230644296</v>
      </c>
    </row>
    <row r="12" customFormat="false" ht="15" hidden="false" customHeight="false" outlineLevel="0" collapsed="false">
      <c r="A12" s="0" t="s">
        <v>117</v>
      </c>
      <c r="C12" s="4" t="n">
        <f aca="false">-C6*Assumptions!C45/100</f>
        <v>-390.3173575</v>
      </c>
      <c r="D12" s="4" t="n">
        <f aca="false">-D6*Assumptions!D45/100</f>
        <v>-424.3756946625</v>
      </c>
      <c r="E12" s="4" t="n">
        <f aca="false">-E6*Assumptions!E45/100</f>
        <v>-459.134084892</v>
      </c>
      <c r="F12" s="4" t="n">
        <f aca="false">-F6*Assumptions!F45/100</f>
        <v>-496.618078541386</v>
      </c>
      <c r="G12" s="4" t="n">
        <f aca="false">-G6*Assumptions!G45/100</f>
        <v>-534.513858073159</v>
      </c>
      <c r="H12" s="4" t="n">
        <f aca="false">-H6*Assumptions!H45/100</f>
        <v>-572.456243301534</v>
      </c>
      <c r="I12" s="4" t="n">
        <f aca="false">-I6*Assumptions!I45/100</f>
        <v>-610.05038465268</v>
      </c>
      <c r="J12" s="4" t="n">
        <f aca="false">-J6*Assumptions!J45/100</f>
        <v>-637.50265196205</v>
      </c>
      <c r="K12" s="4" t="n">
        <f aca="false">-K6*Assumptions!K45/100</f>
        <v>-663.002758040533</v>
      </c>
      <c r="L12" s="4" t="n">
        <f aca="false">-L6*Assumptions!L45/100</f>
        <v>-686.207854571951</v>
      </c>
    </row>
    <row r="13" customFormat="false" ht="15" hidden="false" customHeight="false" outlineLevel="0" collapsed="false">
      <c r="A13" s="0" t="s">
        <v>118</v>
      </c>
      <c r="C13" s="0" t="n">
        <f aca="false">C11+C12</f>
        <v>1465.578723</v>
      </c>
      <c r="D13" s="0" t="n">
        <f aca="false">D11+D12</f>
        <v>1615.3220885725</v>
      </c>
      <c r="E13" s="0" t="n">
        <f aca="false">E11+E12</f>
        <v>1770.53581486478</v>
      </c>
      <c r="F13" s="0" t="n">
        <f aca="false">F11+F12</f>
        <v>1939.10258975083</v>
      </c>
      <c r="G13" s="0" t="n">
        <f aca="false">G11+G12</f>
        <v>2095.94221923233</v>
      </c>
      <c r="H13" s="0" t="n">
        <f aca="false">H11+H12</f>
        <v>2253.93965646186</v>
      </c>
      <c r="I13" s="0" t="n">
        <f aca="false">I11+I12</f>
        <v>2393.55062684316</v>
      </c>
      <c r="J13" s="0" t="n">
        <f aca="false">J11+J12</f>
        <v>2538.76056104887</v>
      </c>
      <c r="K13" s="0" t="n">
        <f aca="false">K11+K12</f>
        <v>2659.81106460967</v>
      </c>
      <c r="L13" s="0" t="n">
        <f aca="false">L11+L12</f>
        <v>2752.904451871</v>
      </c>
    </row>
    <row r="14" customFormat="false" ht="15" hidden="false" customHeight="false" outlineLevel="0" collapsed="false">
      <c r="A14" s="0" t="s">
        <v>104</v>
      </c>
      <c r="C14" s="4" t="n">
        <f aca="false">Assumptions!C47</f>
        <v>27</v>
      </c>
      <c r="D14" s="4" t="n">
        <f aca="false">Assumptions!D47</f>
        <v>27</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119</v>
      </c>
      <c r="C15" s="0" t="n">
        <f aca="false">C13-MAX(0,C13)*C14/100</f>
        <v>1069.87246779</v>
      </c>
      <c r="D15" s="0" t="n">
        <f aca="false">D13-MAX(0,D13)*D14/100</f>
        <v>1179.18512465793</v>
      </c>
      <c r="E15" s="0" t="n">
        <f aca="false">E13-MAX(0,E13)*E14/100</f>
        <v>1292.49114485129</v>
      </c>
      <c r="F15" s="0" t="n">
        <f aca="false">F13-MAX(0,F13)*F14/100</f>
        <v>1415.5448905181</v>
      </c>
      <c r="G15" s="0" t="n">
        <f aca="false">G13-MAX(0,G13)*G14/100</f>
        <v>1530.0378200396</v>
      </c>
      <c r="H15" s="0" t="n">
        <f aca="false">H13-MAX(0,H13)*H14/100</f>
        <v>1645.37594921716</v>
      </c>
      <c r="I15" s="0" t="n">
        <f aca="false">I13-MAX(0,I13)*I14/100</f>
        <v>1747.29195759551</v>
      </c>
      <c r="J15" s="0" t="n">
        <f aca="false">J13-MAX(0,J13)*J14/100</f>
        <v>1853.29520956568</v>
      </c>
      <c r="K15" s="0" t="n">
        <f aca="false">K13-MAX(0,K13)*K14/100</f>
        <v>1941.66207716506</v>
      </c>
      <c r="L15" s="0" t="n">
        <f aca="false">L13-MAX(0,L13)*L14/100</f>
        <v>2009.62024986583</v>
      </c>
    </row>
    <row r="16" customFormat="false" ht="15" hidden="false" customHeight="false" outlineLevel="0" collapsed="false">
      <c r="A16" s="0" t="s">
        <v>120</v>
      </c>
      <c r="C16" s="0" t="n">
        <f aca="false">-C12</f>
        <v>390.3173575</v>
      </c>
      <c r="D16" s="0" t="n">
        <f aca="false">-D12</f>
        <v>424.3756946625</v>
      </c>
      <c r="E16" s="0" t="n">
        <f aca="false">-E12</f>
        <v>459.134084892</v>
      </c>
      <c r="F16" s="0" t="n">
        <f aca="false">-F12</f>
        <v>496.618078541386</v>
      </c>
      <c r="G16" s="0" t="n">
        <f aca="false">-G12</f>
        <v>534.513858073159</v>
      </c>
      <c r="H16" s="0" t="n">
        <f aca="false">-H12</f>
        <v>572.456243301534</v>
      </c>
      <c r="I16" s="0" t="n">
        <f aca="false">-I12</f>
        <v>610.05038465268</v>
      </c>
      <c r="J16" s="0" t="n">
        <f aca="false">-J12</f>
        <v>637.50265196205</v>
      </c>
      <c r="K16" s="0" t="n">
        <f aca="false">-K12</f>
        <v>663.002758040533</v>
      </c>
      <c r="L16" s="0" t="n">
        <f aca="false">-L12</f>
        <v>686.207854571951</v>
      </c>
    </row>
    <row r="17" customFormat="false" ht="15" hidden="false" customHeight="false" outlineLevel="0" collapsed="false">
      <c r="A17" s="0" t="s">
        <v>121</v>
      </c>
      <c r="C17" s="4" t="n">
        <f aca="false">-C6*Assumptions!C46/100</f>
        <v>-805.81648</v>
      </c>
      <c r="D17" s="4" t="n">
        <f aca="false">-D6*Assumptions!D46/100</f>
        <v>-835.27914505</v>
      </c>
      <c r="E17" s="4" t="n">
        <f aca="false">-E6*Assumptions!E46/100</f>
        <v>-860.8764091725</v>
      </c>
      <c r="F17" s="4" t="n">
        <f aca="false">-F6*Assumptions!F46/100</f>
        <v>-886.272263243089</v>
      </c>
      <c r="G17" s="4" t="n">
        <f aca="false">-G6*Assumptions!G46/100</f>
        <v>-907.053819760513</v>
      </c>
      <c r="H17" s="4" t="n">
        <f aca="false">-H6*Assumptions!H46/100</f>
        <v>-922.765287709936</v>
      </c>
      <c r="I17" s="4" t="n">
        <f aca="false">-I6*Assumptions!I46/100</f>
        <v>-933.018235351158</v>
      </c>
      <c r="J17" s="4" t="n">
        <f aca="false">-J6*Assumptions!J46/100</f>
        <v>-937.503899944192</v>
      </c>
      <c r="K17" s="4" t="n">
        <f aca="false">-K6*Assumptions!K46/100</f>
        <v>-975.00405594196</v>
      </c>
      <c r="L17" s="4" t="n">
        <f aca="false">-L6*Assumptions!L46/100</f>
        <v>-1009.12919789993</v>
      </c>
    </row>
    <row r="18" customFormat="false" ht="15" hidden="false" customHeight="false" outlineLevel="0" collapsed="false">
      <c r="A18" s="0" t="s">
        <v>122</v>
      </c>
      <c r="C18" s="4" t="n">
        <f aca="false">(C6-B6)*Assumptions!$B$51/100</f>
        <v>98.63825</v>
      </c>
      <c r="D18" s="4" t="n">
        <f aca="false">(D6-C6)*Assumptions!$B$51/100</f>
        <v>88.1361775000001</v>
      </c>
      <c r="E18" s="4" t="n">
        <f aca="false">(E6-D6)*Assumptions!$B$51/100</f>
        <v>87.5695877875</v>
      </c>
      <c r="F18" s="4" t="n">
        <f aca="false">(F6-E6)*Assumptions!$B$51/100</f>
        <v>93.2616109936875</v>
      </c>
      <c r="G18" s="4" t="n">
        <f aca="false">(G6-F6)*Assumptions!$B$51/100</f>
        <v>91.6833375768714</v>
      </c>
      <c r="H18" s="4" t="n">
        <f aca="false">(H6-G6)*Assumptions!$B$51/100</f>
        <v>89.085643012193</v>
      </c>
      <c r="I18" s="4" t="n">
        <f aca="false">(I6-H6)*Assumptions!$B$51/100</f>
        <v>85.4412303435125</v>
      </c>
      <c r="J18" s="4" t="n">
        <f aca="false">(J6-I6)*Assumptions!$B$51/100</f>
        <v>80.7419626746192</v>
      </c>
      <c r="K18" s="4" t="n">
        <f aca="false">(K6-J6)*Assumptions!$B$51/100</f>
        <v>75.0003119955356</v>
      </c>
      <c r="L18" s="4" t="n">
        <f aca="false">(L6-K6)*Assumptions!$B$51/100</f>
        <v>68.250283915937</v>
      </c>
    </row>
    <row r="19" customFormat="false" ht="15" hidden="false" customHeight="false" outlineLevel="0" collapsed="false">
      <c r="A19" s="0" t="s">
        <v>123</v>
      </c>
      <c r="C19" s="0" t="n">
        <f aca="false">C15+C16+C17+C18</f>
        <v>753.01159529</v>
      </c>
      <c r="D19" s="0" t="n">
        <f aca="false">D15+D16+D17+D18</f>
        <v>856.417851770426</v>
      </c>
      <c r="E19" s="0" t="n">
        <f aca="false">E15+E16+E17+E18</f>
        <v>978.318408358286</v>
      </c>
      <c r="F19" s="0" t="n">
        <f aca="false">F15+F16+F17+F18</f>
        <v>1119.15231681009</v>
      </c>
      <c r="G19" s="0" t="n">
        <f aca="false">G15+G16+G17+G18</f>
        <v>1249.18119592912</v>
      </c>
      <c r="H19" s="0" t="n">
        <f aca="false">H15+H16+H17+H18</f>
        <v>1384.15254782095</v>
      </c>
      <c r="I19" s="0" t="n">
        <f aca="false">I15+I16+I17+I18</f>
        <v>1509.76533724054</v>
      </c>
      <c r="J19" s="0" t="n">
        <f aca="false">J15+J16+J17+J18</f>
        <v>1634.03592425815</v>
      </c>
      <c r="K19" s="0" t="n">
        <f aca="false">K15+K16+K17+K18</f>
        <v>1704.66109125916</v>
      </c>
      <c r="L19" s="0" t="n">
        <f aca="false">L15+L16+L17+L18</f>
        <v>1754.94919045379</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694.019903493088</v>
      </c>
      <c r="D21" s="0" t="n">
        <f aca="false">D19*D20</f>
        <v>727.48867189401</v>
      </c>
      <c r="E21" s="0" t="n">
        <f aca="false">E19*E20</f>
        <v>765.933404747563</v>
      </c>
      <c r="F21" s="0" t="n">
        <f aca="false">F19*F20</f>
        <v>807.551531989061</v>
      </c>
      <c r="G21" s="0" t="n">
        <f aca="false">G19*G20</f>
        <v>830.762237210635</v>
      </c>
      <c r="H21" s="0" t="n">
        <f aca="false">H19*H20</f>
        <v>848.409508812306</v>
      </c>
      <c r="I21" s="0" t="n">
        <f aca="false">I19*I20</f>
        <v>852.906222490472</v>
      </c>
      <c r="J21" s="0" t="n">
        <f aca="false">J19*J20</f>
        <v>850.792582232918</v>
      </c>
      <c r="K21" s="0" t="n">
        <f aca="false">K19*K20</f>
        <v>818.032210995615</v>
      </c>
      <c r="L21" s="0" t="n">
        <f aca="false">L19*L20</f>
        <v>776.188431068519</v>
      </c>
    </row>
    <row r="23" customFormat="false" ht="15" hidden="false" customHeight="false" outlineLevel="0" collapsed="false">
      <c r="A23" s="0" t="s">
        <v>101</v>
      </c>
      <c r="C23" s="4" t="n">
        <f aca="false">Assumptions!C44</f>
        <v>0.77</v>
      </c>
      <c r="D23" s="4" t="n">
        <f aca="false">Assumptions!D44</f>
        <v>0.77</v>
      </c>
      <c r="E23" s="4" t="n">
        <f aca="false">Assumptions!E44</f>
        <v>0.77</v>
      </c>
      <c r="F23" s="4" t="n">
        <f aca="false">Assumptions!F44</f>
        <v>0.77</v>
      </c>
      <c r="G23" s="4" t="n">
        <f aca="false">Assumptions!G44</f>
        <v>0.77</v>
      </c>
      <c r="H23" s="4" t="n">
        <f aca="false">Assumptions!H44</f>
        <v>0.77</v>
      </c>
      <c r="I23" s="4" t="n">
        <f aca="false">Assumptions!I44</f>
        <v>0.77</v>
      </c>
      <c r="J23" s="4" t="n">
        <f aca="false">Assumptions!J44</f>
        <v>0.77</v>
      </c>
      <c r="K23" s="4" t="n">
        <f aca="false">Assumptions!K44</f>
        <v>0.77</v>
      </c>
      <c r="L23" s="4" t="n">
        <f aca="false">Assumptions!L44</f>
        <v>0.77</v>
      </c>
    </row>
    <row r="24" customFormat="false" ht="15" hidden="false" customHeight="false" outlineLevel="0" collapsed="false">
      <c r="A24" s="0" t="s">
        <v>126</v>
      </c>
      <c r="C24" s="0" t="n">
        <f aca="false">-C6*C23/100</f>
        <v>-96.94979525</v>
      </c>
      <c r="D24" s="0" t="n">
        <f aca="false">-D6*D23/100</f>
        <v>-103.7362809175</v>
      </c>
      <c r="E24" s="0" t="n">
        <f aca="false">-E6*E23/100</f>
        <v>-110.479139177138</v>
      </c>
      <c r="F24" s="0" t="n">
        <f aca="false">-F6*F23/100</f>
        <v>-117.660283223651</v>
      </c>
      <c r="G24" s="0" t="n">
        <f aca="false">-G6*G23/100</f>
        <v>-124.719900217071</v>
      </c>
      <c r="H24" s="0" t="n">
        <f aca="false">-H6*H23/100</f>
        <v>-131.579494729009</v>
      </c>
      <c r="I24" s="0" t="n">
        <f aca="false">-I6*I23/100</f>
        <v>-138.15846946546</v>
      </c>
      <c r="J24" s="0" t="n">
        <f aca="false">-J6*J23/100</f>
        <v>-144.375600591406</v>
      </c>
      <c r="K24" s="0" t="n">
        <f aca="false">-K6*K23/100</f>
        <v>-150.150624615062</v>
      </c>
      <c r="L24" s="0" t="n">
        <f aca="false">-L6*L23/100</f>
        <v>-155.405896476589</v>
      </c>
    </row>
    <row r="26" customFormat="false" ht="15" hidden="false" customHeight="false" outlineLevel="0" collapsed="false">
      <c r="A26" s="2" t="s">
        <v>127</v>
      </c>
    </row>
    <row r="27" customFormat="false" ht="15" hidden="false" customHeight="false" outlineLevel="0" collapsed="false">
      <c r="A27" s="0" t="s">
        <v>105</v>
      </c>
      <c r="B27" s="4" t="n">
        <f aca="false">Assumptions!$B$48</f>
        <v>8.5</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20</v>
      </c>
    </row>
    <row r="30" customFormat="false" ht="15" hidden="false" customHeight="false" outlineLevel="0" collapsed="false">
      <c r="A30" s="0" t="s">
        <v>128</v>
      </c>
      <c r="B30" s="0" t="n">
        <f aca="false">SUM(C21:L21)</f>
        <v>7972.08470493419</v>
      </c>
    </row>
    <row r="31" customFormat="false" ht="15" hidden="false" customHeight="false" outlineLevel="0" collapsed="false">
      <c r="A31" s="0" t="s">
        <v>129</v>
      </c>
      <c r="B31" s="0" t="n">
        <f aca="false">L19</f>
        <v>1754.94919045379</v>
      </c>
    </row>
    <row r="32" customFormat="false" ht="15" hidden="false" customHeight="false" outlineLevel="0" collapsed="false">
      <c r="A32" s="0" t="s">
        <v>130</v>
      </c>
      <c r="B32" s="0" t="n">
        <f aca="false">IF(B27&gt;B28,B31*(1+B28/100)/((B27-B28)/100),B31*B29)</f>
        <v>32865.4121121347</v>
      </c>
    </row>
    <row r="33" customFormat="false" ht="15" hidden="false" customHeight="false" outlineLevel="0" collapsed="false">
      <c r="A33" s="0" t="s">
        <v>131</v>
      </c>
      <c r="B33" s="0" t="n">
        <f aca="false">B31*B29</f>
        <v>35098.9838090759</v>
      </c>
    </row>
    <row r="34" customFormat="false" ht="15" hidden="false" customHeight="false" outlineLevel="0" collapsed="false">
      <c r="A34" s="0" t="s">
        <v>132</v>
      </c>
      <c r="B34" s="0" t="n">
        <f aca="false">MAX(0,MIN(B32,B33))</f>
        <v>32865.4121121347</v>
      </c>
    </row>
    <row r="35" customFormat="false" ht="15" hidden="false" customHeight="false" outlineLevel="0" collapsed="false">
      <c r="A35" s="0" t="s">
        <v>133</v>
      </c>
      <c r="B35" s="0" t="n">
        <f aca="false">B34/(1+B27/100)^L4</f>
        <v>14535.8924363741</v>
      </c>
    </row>
    <row r="36" customFormat="false" ht="15" hidden="false" customHeight="false" outlineLevel="0" collapsed="false">
      <c r="A36" s="0" t="s">
        <v>134</v>
      </c>
      <c r="B36" s="0" t="n">
        <f aca="false">B30+B35</f>
        <v>22507.9771413083</v>
      </c>
    </row>
    <row r="37" customFormat="false" ht="15" hidden="false" customHeight="false" outlineLevel="0" collapsed="false">
      <c r="A37" s="0" t="s">
        <v>135</v>
      </c>
      <c r="B37" s="0" t="n">
        <f aca="false">B36+Assumptions!$B$5-Assumptions!$B$4</f>
        <v>20980.6771413083</v>
      </c>
    </row>
    <row r="38" customFormat="false" ht="15" hidden="false" customHeight="false" outlineLevel="0" collapsed="false">
      <c r="A38" s="0" t="s">
        <v>136</v>
      </c>
      <c r="B38" s="0" t="n">
        <f aca="false">B37/Assumptions!$B$3*Assumptions!$B$10</f>
        <v>4876.85465089586</v>
      </c>
    </row>
    <row r="39" customFormat="false" ht="15" hidden="false" customHeight="false" outlineLevel="0" collapsed="false">
      <c r="A39" s="0" t="s">
        <v>137</v>
      </c>
      <c r="B39" s="4" t="n">
        <f aca="false">B38/Assumptions!$B$2-1</f>
        <v>0.138919815715988</v>
      </c>
    </row>
    <row r="41" customFormat="false" ht="15" hidden="false" customHeight="false" outlineLevel="0" collapsed="false">
      <c r="A41" s="0" t="s">
        <v>138</v>
      </c>
      <c r="B41" s="0" t="n">
        <f aca="false">SUMPRODUCT(-C10:L10/(1+$B$27/100)^C4:L4)</f>
        <v>199.000164889793</v>
      </c>
    </row>
    <row r="42" customFormat="false" ht="15" hidden="false" customHeight="false" outlineLevel="0" collapsed="false">
      <c r="A42" s="0" t="s">
        <v>139</v>
      </c>
      <c r="B42" s="0" t="n">
        <f aca="false">IF(B27&gt;B28,-L10*(1+B28/100)/((B27-B28)/100),-L10*20)/(1+B27/100)^L4</f>
        <v>317.619766478153</v>
      </c>
    </row>
    <row r="43" customFormat="false" ht="15" hidden="false" customHeight="false" outlineLevel="0" collapsed="false">
      <c r="A43" s="0" t="s">
        <v>140</v>
      </c>
      <c r="B43" s="0" t="n">
        <f aca="false">(B37+B41+B42)/Assumptions!$B$3*Assumptions!$B$10</f>
        <v>4996.94039922839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15063.3138847284</v>
      </c>
    </row>
    <row r="47" customFormat="false" ht="15" hidden="false" customHeight="false" outlineLevel="0" collapsed="false">
      <c r="A47" s="0" t="s">
        <v>142</v>
      </c>
      <c r="B47" s="0" t="n">
        <f aca="false">(SUMPRODUCT(C19:L19/(1+B45/100)^C4:L4)+B46/(1+B45/100)^L4+Assumptions!$B$5-Assumptions!$B$4)/Assumptions!$B$3*Assumptions!$B$10</f>
        <v>1864.49116764048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1875.95450561338</v>
      </c>
      <c r="C4" s="0" t="n">
        <f aca="false">B4/Assumptions!$B$2-1</f>
        <v>-0.561897593271047</v>
      </c>
      <c r="D4" s="4" t="n">
        <f aca="false">Assumptions!$B$24</f>
        <v>0.25</v>
      </c>
      <c r="E4" s="4" t="n">
        <f aca="false">DCF_Bear!$B$43</f>
        <v>1962.62181149633</v>
      </c>
      <c r="F4" s="4" t="n">
        <f aca="false">DCF_Bear!$B$47</f>
        <v>756.845778567988</v>
      </c>
    </row>
    <row r="5" customFormat="false" ht="15" hidden="false" customHeight="false" outlineLevel="0" collapsed="false">
      <c r="A5" s="0" t="s">
        <v>151</v>
      </c>
      <c r="B5" s="4" t="n">
        <f aca="false">DCF_Base!$B$38</f>
        <v>3685.5586695607</v>
      </c>
      <c r="C5" s="0" t="n">
        <f aca="false">B5/Assumptions!$B$2-1</f>
        <v>-0.139290362082976</v>
      </c>
      <c r="D5" s="4" t="n">
        <f aca="false">Assumptions!$B$38</f>
        <v>0.5</v>
      </c>
      <c r="E5" s="4" t="n">
        <f aca="false">DCF_Base!$B$43</f>
        <v>3789.39059962878</v>
      </c>
      <c r="F5" s="4" t="n">
        <f aca="false">DCF_Base!$B$47</f>
        <v>1451.69273855689</v>
      </c>
    </row>
    <row r="6" customFormat="false" ht="15" hidden="false" customHeight="false" outlineLevel="0" collapsed="false">
      <c r="A6" s="0" t="s">
        <v>152</v>
      </c>
      <c r="B6" s="4" t="n">
        <f aca="false">DCF_Bull!$B$38</f>
        <v>4876.85465089586</v>
      </c>
      <c r="C6" s="0" t="n">
        <f aca="false">B6/Assumptions!$B$2-1</f>
        <v>0.138919815715988</v>
      </c>
      <c r="D6" s="4" t="n">
        <f aca="false">Assumptions!$B$52</f>
        <v>0.25</v>
      </c>
      <c r="E6" s="4" t="n">
        <f aca="false">DCF_Bull!$B$43</f>
        <v>4996.94039922839</v>
      </c>
      <c r="F6" s="4" t="n">
        <f aca="false">DCF_Bull!$B$47</f>
        <v>1864.49116764048</v>
      </c>
    </row>
    <row r="8" customFormat="false" ht="15" hidden="false" customHeight="false" outlineLevel="0" collapsed="false">
      <c r="A8" s="0" t="s">
        <v>153</v>
      </c>
      <c r="B8" s="0" t="n">
        <f aca="false">SUMPRODUCT(B4:B6,D4:D6)</f>
        <v>3530.98162390766</v>
      </c>
    </row>
    <row r="9" customFormat="false" ht="15" hidden="false" customHeight="false" outlineLevel="0" collapsed="false">
      <c r="A9" s="0" t="s">
        <v>154</v>
      </c>
      <c r="B9" s="0" t="n">
        <f aca="false">SUMPRODUCT(E4:E6,D4:D6)</f>
        <v>3634.58585249557</v>
      </c>
    </row>
    <row r="10" customFormat="false" ht="15" hidden="false" customHeight="false" outlineLevel="0" collapsed="false">
      <c r="A10" s="0" t="s">
        <v>155</v>
      </c>
      <c r="B10" s="0" t="n">
        <f aca="false">1-Assumptions!$B$2/B8</f>
        <v>-0.212693935025696</v>
      </c>
    </row>
    <row r="11" customFormat="false" ht="15" hidden="false" customHeight="false" outlineLevel="0" collapsed="false">
      <c r="A11" s="0" t="s">
        <v>156</v>
      </c>
      <c r="B11" s="0" t="n">
        <f aca="false">IF(ABS(B9-B8)&gt;0.01*ABS(B8),(Assumptions!$B$2-B8)/(B9-B8)*100,"n/a")</f>
        <v>724.89162491577</v>
      </c>
    </row>
    <row r="12" customFormat="false" ht="15" hidden="false" customHeight="false" outlineLevel="0" collapsed="false">
      <c r="A12" s="0" t="s">
        <v>157</v>
      </c>
      <c r="B12" s="0" t="n">
        <f aca="false">SUMPRODUCT(F4:F6,D4:D6)</f>
        <v>1381.18060583056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3685.5586695607</v>
      </c>
      <c r="C15" s="3" t="n">
        <v>8.5</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3351.51650787399</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2818.79866599193</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2413.36016089535</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2094.88385758767</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1451.69273855689</v>
      </c>
      <c r="C20" s="3" t="n">
        <v>15</v>
      </c>
    </row>
    <row r="22" customFormat="false" ht="15" hidden="false" customHeight="false" outlineLevel="0" collapsed="false">
      <c r="A22" s="2" t="s">
        <v>166</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4878.12526904212</v>
      </c>
      <c r="C24" s="0" t="n">
        <f aca="false">(SUMPRODUCT(DCF_Base!$C$19:$L$19/(1+$A$24/100)^DCF_Base!$C$4:$L$4)+MAX(0,MIN(IF($A$24&gt;$C$23,DCF_Base!$L$19*(1+$C$23/100)/(($A$24-$C$23)/100),DCF_Base!$L$19*DCF_Base!$B$29),DCF_Base!$L$19*DCF_Base!$B$29))/(1+$A$24/100)^DCF_Base!$L$4+Assumptions!$B$5-Assumptions!$B$4)/Assumptions!$B$3*Assumptions!$B$10</f>
        <v>4878.12526904212</v>
      </c>
      <c r="D24" s="0" t="n">
        <f aca="false">(SUMPRODUCT(DCF_Base!$C$19:$L$19/(1+$A$24/100)^DCF_Base!$C$4:$L$4)+MAX(0,MIN(IF($A$24&gt;$D$23,DCF_Base!$L$19*(1+$D$23/100)/(($A$24-$D$23)/100),DCF_Base!$L$19*DCF_Base!$B$29),DCF_Base!$L$19*DCF_Base!$B$29))/(1+$A$24/100)^DCF_Base!$L$4+Assumptions!$B$5-Assumptions!$B$4)/Assumptions!$B$3*Assumptions!$B$10</f>
        <v>4878.12526904212</v>
      </c>
      <c r="E24" s="0" t="n">
        <f aca="false">(SUMPRODUCT(DCF_Base!$C$19:$L$19/(1+$A$24/100)^DCF_Base!$C$4:$L$4)+MAX(0,MIN(IF($A$24&gt;$E$23,DCF_Base!$L$19*(1+$E$23/100)/(($A$24-$E$23)/100),DCF_Base!$L$19*DCF_Base!$B$29),DCF_Base!$L$19*DCF_Base!$B$29))/(1+$A$24/100)^DCF_Base!$L$4+Assumptions!$B$5-Assumptions!$B$4)/Assumptions!$B$3*Assumptions!$B$10</f>
        <v>4878.12526904212</v>
      </c>
      <c r="F24" s="0" t="n">
        <f aca="false">(SUMPRODUCT(DCF_Base!$C$19:$L$19/(1+$A$24/100)^DCF_Base!$C$4:$L$4)+MAX(0,MIN(IF($A$24&gt;$F$23,DCF_Base!$L$19*(1+$F$23/100)/(($A$24-$F$23)/100),DCF_Base!$L$19*DCF_Base!$B$29),DCF_Base!$L$19*DCF_Base!$B$29))/(1+$A$24/100)^DCF_Base!$L$4+Assumptions!$B$5-Assumptions!$B$4)/Assumptions!$B$3*Assumptions!$B$10</f>
        <v>4878.12526904212</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3982.08154369253</v>
      </c>
      <c r="C25" s="0" t="n">
        <f aca="false">(SUMPRODUCT(DCF_Base!$C$19:$L$19/(1+$A$25/100)^DCF_Base!$C$4:$L$4)+MAX(0,MIN(IF($A$25&gt;$C$23,DCF_Base!$L$19*(1+$C$23/100)/(($A$25-$C$23)/100),DCF_Base!$L$19*DCF_Base!$B$29),DCF_Base!$L$19*DCF_Base!$B$29))/(1+$A$25/100)^DCF_Base!$L$4+Assumptions!$B$5-Assumptions!$B$4)/Assumptions!$B$3*Assumptions!$B$10</f>
        <v>4243.34640592257</v>
      </c>
      <c r="D25" s="0" t="n">
        <f aca="false">(SUMPRODUCT(DCF_Base!$C$19:$L$19/(1+$A$25/100)^DCF_Base!$C$4:$L$4)+MAX(0,MIN(IF($A$25&gt;$D$23,DCF_Base!$L$19*(1+$D$23/100)/(($A$25-$D$23)/100),DCF_Base!$L$19*DCF_Base!$B$29),DCF_Base!$L$19*DCF_Base!$B$29))/(1+$A$25/100)^DCF_Base!$L$4+Assumptions!$B$5-Assumptions!$B$4)/Assumptions!$B$3*Assumptions!$B$10</f>
        <v>4476.66200382103</v>
      </c>
      <c r="E25" s="0" t="n">
        <f aca="false">(SUMPRODUCT(DCF_Base!$C$19:$L$19/(1+$A$25/100)^DCF_Base!$C$4:$L$4)+MAX(0,MIN(IF($A$25&gt;$E$23,DCF_Base!$L$19*(1+$E$23/100)/(($A$25-$E$23)/100),DCF_Base!$L$19*DCF_Base!$B$29),DCF_Base!$L$19*DCF_Base!$B$29))/(1+$A$25/100)^DCF_Base!$L$4+Assumptions!$B$5-Assumptions!$B$4)/Assumptions!$B$3*Assumptions!$B$10</f>
        <v>4476.66200382103</v>
      </c>
      <c r="F25" s="0" t="n">
        <f aca="false">(SUMPRODUCT(DCF_Base!$C$19:$L$19/(1+$A$25/100)^DCF_Base!$C$4:$L$4)+MAX(0,MIN(IF($A$25&gt;$F$23,DCF_Base!$L$19*(1+$F$23/100)/(($A$25-$F$23)/100),DCF_Base!$L$19*DCF_Base!$B$29),DCF_Base!$L$19*DCF_Base!$B$29))/(1+$A$25/100)^DCF_Base!$L$4+Assumptions!$B$5-Assumptions!$B$4)/Assumptions!$B$3*Assumptions!$B$10</f>
        <v>4476.66200382103</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3307.82631594573</v>
      </c>
      <c r="C26" s="0" t="n">
        <f aca="false">(SUMPRODUCT(DCF_Base!$C$19:$L$19/(1+$A$26/100)^DCF_Base!$C$4:$L$4)+MAX(0,MIN(IF($A$26&gt;$C$23,DCF_Base!$L$19*(1+$C$23/100)/(($A$26-$C$23)/100),DCF_Base!$L$19*DCF_Base!$B$29),DCF_Base!$L$19*DCF_Base!$B$29))/(1+$A$26/100)^DCF_Base!$L$4+Assumptions!$B$5-Assumptions!$B$4)/Assumptions!$B$3*Assumptions!$B$10</f>
        <v>3482.16432530648</v>
      </c>
      <c r="D26" s="0" t="n">
        <f aca="false">(SUMPRODUCT(DCF_Base!$C$19:$L$19/(1+$A$26/100)^DCF_Base!$C$4:$L$4)+MAX(0,MIN(IF($A$26&gt;$D$23,DCF_Base!$L$19*(1+$D$23/100)/(($A$26-$D$23)/100),DCF_Base!$L$19*DCF_Base!$B$29),DCF_Base!$L$19*DCF_Base!$B$29))/(1+$A$26/100)^DCF_Base!$L$4+Assumptions!$B$5-Assumptions!$B$4)/Assumptions!$B$3*Assumptions!$B$10</f>
        <v>3685.5586695607</v>
      </c>
      <c r="E26" s="0" t="n">
        <f aca="false">(SUMPRODUCT(DCF_Base!$C$19:$L$19/(1+$A$26/100)^DCF_Base!$C$4:$L$4)+MAX(0,MIN(IF($A$26&gt;$E$23,DCF_Base!$L$19*(1+$E$23/100)/(($A$26-$E$23)/100),DCF_Base!$L$19*DCF_Base!$B$29),DCF_Base!$L$19*DCF_Base!$B$29))/(1+$A$26/100)^DCF_Base!$L$4+Assumptions!$B$5-Assumptions!$B$4)/Assumptions!$B$3*Assumptions!$B$10</f>
        <v>3925.93380367932</v>
      </c>
      <c r="F26" s="0" t="n">
        <f aca="false">(SUMPRODUCT(DCF_Base!$C$19:$L$19/(1+$A$26/100)^DCF_Base!$C$4:$L$4)+MAX(0,MIN(IF($A$26&gt;$F$23,DCF_Base!$L$19*(1+$F$23/100)/(($A$26-$F$23)/100),DCF_Base!$L$19*DCF_Base!$B$29),DCF_Base!$L$19*DCF_Base!$B$29))/(1+$A$26/100)^DCF_Base!$L$4+Assumptions!$B$5-Assumptions!$B$4)/Assumptions!$B$3*Assumptions!$B$10</f>
        <v>4112.03068170663</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2804.98022041015</v>
      </c>
      <c r="C27" s="0" t="n">
        <f aca="false">(SUMPRODUCT(DCF_Base!$C$19:$L$19/(1+$A$27/100)^DCF_Base!$C$4:$L$4)+MAX(0,MIN(IF($A$27&gt;$C$23,DCF_Base!$L$19*(1+$C$23/100)/(($A$27-$C$23)/100),DCF_Base!$L$19*DCF_Base!$B$29),DCF_Base!$L$19*DCF_Base!$B$29))/(1+$A$27/100)^DCF_Base!$L$4+Assumptions!$B$5-Assumptions!$B$4)/Assumptions!$B$3*Assumptions!$B$10</f>
        <v>2926.70886887418</v>
      </c>
      <c r="D27" s="0" t="n">
        <f aca="false">(SUMPRODUCT(DCF_Base!$C$19:$L$19/(1+$A$27/100)^DCF_Base!$C$4:$L$4)+MAX(0,MIN(IF($A$27&gt;$D$23,DCF_Base!$L$19*(1+$D$23/100)/(($A$27-$D$23)/100),DCF_Base!$L$19*DCF_Base!$B$29),DCF_Base!$L$19*DCF_Base!$B$29))/(1+$A$27/100)^DCF_Base!$L$4+Assumptions!$B$5-Assumptions!$B$4)/Assumptions!$B$3*Assumptions!$B$10</f>
        <v>3065.82732426165</v>
      </c>
      <c r="E27" s="0" t="n">
        <f aca="false">(SUMPRODUCT(DCF_Base!$C$19:$L$19/(1+$A$27/100)^DCF_Base!$C$4:$L$4)+MAX(0,MIN(IF($A$27&gt;$E$23,DCF_Base!$L$19*(1+$E$23/100)/(($A$27-$E$23)/100),DCF_Base!$L$19*DCF_Base!$B$29),DCF_Base!$L$19*DCF_Base!$B$29))/(1+$A$27/100)^DCF_Base!$L$4+Assumptions!$B$5-Assumptions!$B$4)/Assumptions!$B$3*Assumptions!$B$10</f>
        <v>3226.34861893949</v>
      </c>
      <c r="F27" s="0" t="n">
        <f aca="false">(SUMPRODUCT(DCF_Base!$C$19:$L$19/(1+$A$27/100)^DCF_Base!$C$4:$L$4)+MAX(0,MIN(IF($A$27&gt;$F$23,DCF_Base!$L$19*(1+$F$23/100)/(($A$27-$F$23)/100),DCF_Base!$L$19*DCF_Base!$B$29),DCF_Base!$L$19*DCF_Base!$B$29))/(1+$A$27/100)^DCF_Base!$L$4+Assumptions!$B$5-Assumptions!$B$4)/Assumptions!$B$3*Assumptions!$B$10</f>
        <v>3413.62346273031</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2416.21955470653</v>
      </c>
      <c r="C28" s="0" t="n">
        <f aca="false">(SUMPRODUCT(DCF_Base!$C$19:$L$19/(1+$A$28/100)^DCF_Base!$C$4:$L$4)+MAX(0,MIN(IF($A$28&gt;$C$23,DCF_Base!$L$19*(1+$C$23/100)/(($A$28-$C$23)/100),DCF_Base!$L$19*DCF_Base!$B$29),DCF_Base!$L$19*DCF_Base!$B$29))/(1+$A$28/100)^DCF_Base!$L$4+Assumptions!$B$5-Assumptions!$B$4)/Assumptions!$B$3*Assumptions!$B$10</f>
        <v>2504.19251085067</v>
      </c>
      <c r="D28" s="0" t="n">
        <f aca="false">(SUMPRODUCT(DCF_Base!$C$19:$L$19/(1+$A$28/100)^DCF_Base!$C$4:$L$4)+MAX(0,MIN(IF($A$28&gt;$D$23,DCF_Base!$L$19*(1+$D$23/100)/(($A$28-$D$23)/100),DCF_Base!$L$19*DCF_Base!$B$29),DCF_Base!$L$19*DCF_Base!$B$29))/(1+$A$28/100)^DCF_Base!$L$4+Assumptions!$B$5-Assumptions!$B$4)/Assumptions!$B$3*Assumptions!$B$10</f>
        <v>2603.16208651282</v>
      </c>
      <c r="E28" s="0" t="n">
        <f aca="false">(SUMPRODUCT(DCF_Base!$C$19:$L$19/(1+$A$28/100)^DCF_Base!$C$4:$L$4)+MAX(0,MIN(IF($A$28&gt;$E$23,DCF_Base!$L$19*(1+$E$23/100)/(($A$28-$E$23)/100),DCF_Base!$L$19*DCF_Base!$B$29),DCF_Base!$L$19*DCF_Base!$B$29))/(1+$A$28/100)^DCF_Base!$L$4+Assumptions!$B$5-Assumptions!$B$4)/Assumptions!$B$3*Assumptions!$B$10</f>
        <v>2715.3276055966</v>
      </c>
      <c r="F28" s="0" t="n">
        <f aca="false">(SUMPRODUCT(DCF_Base!$C$19:$L$19/(1+$A$28/100)^DCF_Base!$C$4:$L$4)+MAX(0,MIN(IF($A$28&gt;$F$23,DCF_Base!$L$19*(1+$F$23/100)/(($A$28-$F$23)/100),DCF_Base!$L$19*DCF_Base!$B$29),DCF_Base!$L$19*DCF_Base!$B$29))/(1+$A$28/100)^DCF_Base!$L$4+Assumptions!$B$5-Assumptions!$B$4)/Assumptions!$B$3*Assumptions!$B$10</f>
        <v>2843.51677026377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2026-10-09T22:48:59Z</dcterms:created>
  <dc:creator>openpyxl</dc:creator>
  <dc:description/>
  <dc:language>en-NZ</dc:language>
  <cp:lastModifiedBy/>
  <dcterms:modified xsi:type="dcterms:W3CDTF">2026-10-09T22:48:59Z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