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CF Model" sheetId="1" r:id="rId1"/>
    <sheet name="Scenario Details" sheetId="2" r:id="rId2"/>
    <sheet name="Sensitivity" sheetId="3" r:id="rId3"/>
    <sheet name="Historical" sheetId="4" r:id="rId4"/>
    <sheet name="Sanity Check" sheetId="5" r:id="rId5"/>
  </sheets>
  <calcPr calcId="124519" fullCalcOnLoad="1"/>
</workbook>
</file>

<file path=xl/sharedStrings.xml><?xml version="1.0" encoding="utf-8"?>
<sst xmlns="http://schemas.openxmlformats.org/spreadsheetml/2006/main" count="215" uniqueCount="155">
  <si>
    <t>FISV (NYSE: FI) — DCF Valuation Model</t>
  </si>
  <si>
    <t>Valuation date: 2026-06-24  |  Live price via Yahoo Finance symbol FISV: $49.45  |  Gray cells are INPUTS — change them to recalculate</t>
  </si>
  <si>
    <t>CAUTION: Credibility-impaired turnaround.  Elevated leverage ($28.4B net debt).  Q1 2026 organic revenue -3.6%.  Bear-skewed probability weights applied (30% bear / 50% base / 20% bull).</t>
  </si>
  <si>
    <t>KEY INPUTS</t>
  </si>
  <si>
    <t>Current Stock Price ($)</t>
  </si>
  <si>
    <t>Shares Outstanding (M)</t>
  </si>
  <si>
    <t>Cash &amp; Equivalents (M)</t>
  </si>
  <si>
    <t>Total Debt (M)</t>
  </si>
  <si>
    <t>Net Debt (M)  [=B9 - B8]</t>
  </si>
  <si>
    <t>Base Year FCF (M)  [normalized for 2026 trough]</t>
  </si>
  <si>
    <t>WACC  (Base Case)</t>
  </si>
  <si>
    <t>Terminal Growth Rate  (Base Case)</t>
  </si>
  <si>
    <t>FCF Margin (%)  (Base Case)</t>
  </si>
  <si>
    <t>REVENUE GROWTH ASSUMPTIONS  (Base Case)</t>
  </si>
  <si>
    <t>Year 1</t>
  </si>
  <si>
    <t>Year 2</t>
  </si>
  <si>
    <t>Year 3</t>
  </si>
  <si>
    <t>Year 4</t>
  </si>
  <si>
    <t>Year 5</t>
  </si>
  <si>
    <t>FCF Revenue Growth Rate</t>
  </si>
  <si>
    <t>PROJECTIONS</t>
  </si>
  <si>
    <t>Base Year</t>
  </si>
  <si>
    <t>Revenue (M)</t>
  </si>
  <si>
    <t>Free Cash Flow (M)  [Revenue × FCF Margin]</t>
  </si>
  <si>
    <t>Discount Factor  [1/(1+WACC)^n]</t>
  </si>
  <si>
    <t>PV of FCF (M)</t>
  </si>
  <si>
    <t>VALUATION</t>
  </si>
  <si>
    <t>Sum of PV of FCF (M)</t>
  </si>
  <si>
    <t>Terminal FCF  [Year-5 FCF × (1+g)]</t>
  </si>
  <si>
    <t>Terminal Value (M)</t>
  </si>
  <si>
    <t>PV of Terminal Value (M)</t>
  </si>
  <si>
    <t>Enterprise Value (M)</t>
  </si>
  <si>
    <t>Less: Net Debt (M)</t>
  </si>
  <si>
    <t>Equity Value (M)</t>
  </si>
  <si>
    <t>INTRINSIC VALUE / SHARE</t>
  </si>
  <si>
    <t>Upside / (Downside) vs. Current Price</t>
  </si>
  <si>
    <t>ENTRY PRICE  (to achieve 15% CAGR to terminal value)</t>
  </si>
  <si>
    <t>Terminal Value per Share</t>
  </si>
  <si>
    <t>Entry Price for 15% CAGR  [TV/share ÷ 1.15^5]</t>
  </si>
  <si>
    <t>Current Price vs. Entry Price</t>
  </si>
  <si>
    <t>SCENARIO SUMMARY</t>
  </si>
  <si>
    <t>Scenario</t>
  </si>
  <si>
    <t>Intrinsic Value</t>
  </si>
  <si>
    <t>Upside %</t>
  </si>
  <si>
    <t>Entry Price (15% CAGR)</t>
  </si>
  <si>
    <t>Probability Weight</t>
  </si>
  <si>
    <t>Bull Case</t>
  </si>
  <si>
    <t>Base Case</t>
  </si>
  <si>
    <t>Bear Case</t>
  </si>
  <si>
    <t>Probability-Weighted</t>
  </si>
  <si>
    <t>—</t>
  </si>
  <si>
    <t>Current Price (for reference)</t>
  </si>
  <si>
    <t>Yahoo Finance symbol: FISV</t>
  </si>
  <si>
    <t>Scenario Detail — Bull / Base / Bear</t>
  </si>
  <si>
    <t>Reference values from JSON (not live-formula). Change assumptions on DCF Model sheet for live calcs.</t>
  </si>
  <si>
    <t>BULL CASE</t>
  </si>
  <si>
    <t>Revenue Growth Rates</t>
  </si>
  <si>
    <t>Y1</t>
  </si>
  <si>
    <t>Y2</t>
  </si>
  <si>
    <t>Y3</t>
  </si>
  <si>
    <t>Y4</t>
  </si>
  <si>
    <t>Y5</t>
  </si>
  <si>
    <t>FCF Margin</t>
  </si>
  <si>
    <t>WACC</t>
  </si>
  <si>
    <t>Terminal Growth</t>
  </si>
  <si>
    <t>FCF (M)</t>
  </si>
  <si>
    <t>Discount Factor</t>
  </si>
  <si>
    <t>Sum PV FCF (M)</t>
  </si>
  <si>
    <t>PV Terminal (M)</t>
  </si>
  <si>
    <t>Intrinsic Value / Share</t>
  </si>
  <si>
    <t>BASE CASE</t>
  </si>
  <si>
    <t>BEAR CASE</t>
  </si>
  <si>
    <t>Sensitivity: Intrinsic Value ($/share) by WACC &amp; Terminal Growth</t>
  </si>
  <si>
    <t>Base growth rates: [2.0, 4.0, 5.5, 6.0, 6.0]  |  FCF Margin: 20.0%  |  Net Debt: $28,353M  |  Shares: 535.4M</t>
  </si>
  <si>
    <t>Current price: $49.45  |  Base case cell (WACC 10%, TG 2.5%) is highlighted in teal.</t>
  </si>
  <si>
    <t>WACC \ Term Growth</t>
  </si>
  <si>
    <t>1.5%</t>
  </si>
  <si>
    <t>2.0%</t>
  </si>
  <si>
    <t>2.5%</t>
  </si>
  <si>
    <t>3.0%</t>
  </si>
  <si>
    <t>3.5%</t>
  </si>
  <si>
    <t>8.0%</t>
  </si>
  <si>
    <t>9.0%</t>
  </si>
  <si>
    <t>10.0%</t>
  </si>
  <si>
    <t>11.0%</t>
  </si>
  <si>
    <t>12.0%</t>
  </si>
  <si>
    <t>Legend:</t>
  </si>
  <si>
    <t>IV &gt;= $49.45 (current price)</t>
  </si>
  <si>
    <t>IV &lt;  $49.45</t>
  </si>
  <si>
    <t>Base case (WACC 10%, TG 2.5%)</t>
  </si>
  <si>
    <t>Historical Growth Rates — FY2025 Actuals</t>
  </si>
  <si>
    <t>Metric</t>
  </si>
  <si>
    <t>3-Year CAGR</t>
  </si>
  <si>
    <t>5-Year CAGR</t>
  </si>
  <si>
    <t>Notes</t>
  </si>
  <si>
    <t>Revenue</t>
  </si>
  <si>
    <t>FY2022→FY2025 (3yr), FY2020→FY2025 (5yr). Includes post-First Data merger distortions.</t>
  </si>
  <si>
    <t>EPS (GAAP diluted)</t>
  </si>
  <si>
    <t>Distorted upward by share buybacks reducing share count. Not used as primary anchor.</t>
  </si>
  <si>
    <t>Shareholders' Equity</t>
  </si>
  <si>
    <t>Negative due to aggressive buybacks ($5.6B in FY2025) and acquisition leverage. Excluded.</t>
  </si>
  <si>
    <t>Free Cash Flow</t>
  </si>
  <si>
    <t>FCF declined in FY2025 ($4,299M vs $5,062M FY2024). Q1 2026 FCF only $141M — soft.</t>
  </si>
  <si>
    <t>Selected Growth Rate</t>
  </si>
  <si>
    <t>revenue_3yr_cagr</t>
  </si>
  <si>
    <t>Divergence Warning</t>
  </si>
  <si>
    <t>Equity CAGR is negative (buybacks reducing book value, First Data acquisition leverage). EPS CAGRs are distorted upward by share count reduction. Revenue 3yr CAGR of 6.1% selected as primary anchor but capped lower given FY2026 guidance of 1-3% organic growth. FCF declined meaningfully in FY2025 ($4,299M vs. $5,062M FY2024) and Q1 2026 FCF was only $141M. Base case intentionally anchors near-term growth below historical averages to reflect the 2026 transition year.</t>
  </si>
  <si>
    <t>KEY FY2025 / Q1-2026 ACTUALS</t>
  </si>
  <si>
    <t>Revenue — FY2025 ($M)</t>
  </si>
  <si>
    <t>Operating Income — FY2025 ($M)</t>
  </si>
  <si>
    <t>Net Income — FY2025 ($M)</t>
  </si>
  <si>
    <t>Diluted EPS — FY2025 ($)</t>
  </si>
  <si>
    <t>Operating Cash Flow — FY2025 ($M)</t>
  </si>
  <si>
    <t>CapEx — FY2025 ($M)</t>
  </si>
  <si>
    <t>Free Cash Flow — FY2025 ($M)</t>
  </si>
  <si>
    <t>Shareholders' Equity — FY2025 ($M)</t>
  </si>
  <si>
    <t>Total Debt — Q1 2026 ($M)</t>
  </si>
  <si>
    <t>Cash &amp; Equivalents — Q1 2026 ($M)</t>
  </si>
  <si>
    <t>Net Debt — Q1 2026 ($M)</t>
  </si>
  <si>
    <t>Shares Outstanding — Q1 2026 (M)</t>
  </si>
  <si>
    <t>FCF — Q1 2026 ($M)</t>
  </si>
  <si>
    <t>Sanity Check — Implied Valuation Multiples</t>
  </si>
  <si>
    <t>Verifies that base-case assumptions produce multiples within reasonable ranges for a payments processor in turnaround.</t>
  </si>
  <si>
    <t>STATUS</t>
  </si>
  <si>
    <t>PASSED</t>
  </si>
  <si>
    <t>No adjustments required — base case multiples are conservative vs. sector comps</t>
  </si>
  <si>
    <t>Implied Value</t>
  </si>
  <si>
    <t>Benchmark</t>
  </si>
  <si>
    <t>Assessment</t>
  </si>
  <si>
    <t>EV/EBITDA (base case)</t>
  </si>
  <si>
    <t>7.4x</t>
  </si>
  <si>
    <t>Fiserv historical 11-14x; payments processor peers (FIS ~8x, GPN ~9x, JKHY ~17x)</t>
  </si>
  <si>
    <t>PASS — base case EV/EBITDA of 7.4x is BELOW sector comps, confirming conservative assumptions. No upward adjustment required.</t>
  </si>
  <si>
    <t>EV/EBITDA (current market)</t>
  </si>
  <si>
    <t>6.4x</t>
  </si>
  <si>
    <t>Deep value territory for a payments processor with high switching costs</t>
  </si>
  <si>
    <t>PASS — market is pricing a severe turnaround discount; model's base case at 7.4x implies only modest multiple re-rating</t>
  </si>
  <si>
    <t>P/E (FY2026e EPS $8.15)</t>
  </si>
  <si>
    <t>base IV = 8.0x; current price = 6.1x</t>
  </si>
  <si>
    <t>Payments processors typically 15-22x forward P/E; 8x is historically very cheap</t>
  </si>
  <si>
    <t>PASS — base case implies P/E of 8x on guided EPS, still well below sector norms, confirming no valuation inflation</t>
  </si>
  <si>
    <t>P/FCF (FY2025 FCF $4,299M)</t>
  </si>
  <si>
    <t>current price = 6.2x; base case IV = 8.1x</t>
  </si>
  <si>
    <t>Payments processors typically 12-20x P/FCF</t>
  </si>
  <si>
    <t>PASS — both current market and base case IV are well below sector P/FCF norms</t>
  </si>
  <si>
    <t>EV/Revenue (FY2025)</t>
  </si>
  <si>
    <t>base case = 2.98x; current market = 2.59x</t>
  </si>
  <si>
    <t>Payments/fintech infra typically 3-6x EV/Revenue</t>
  </si>
  <si>
    <t>PASS — model implies modest premium to current market EV/Revenue; both well within reasonable range for this business quality level</t>
  </si>
  <si>
    <t>Bear case equity value vs. net debt</t>
  </si>
  <si>
    <t>Equity value $11.2B vs. net debt $28.4B</t>
  </si>
  <si>
    <t>Total Enterprise Value $39.6B; EV/EBITDA ~4.6x in bear — feasible for distressed scenario</t>
  </si>
  <si>
    <t>PASS — leverage amplification in bear case is mechanically correct and appropriately severe</t>
  </si>
  <si>
    <t>Valuation Philosophy</t>
  </si>
  <si>
    <t>This model applies a credibility-discount framework appropriate for a damaged-execution turnaround. FCF margins are anchored to FY2025 actuals (not management targets) in the base case. WACC is elevated (10%) vs. historical Fiserv models (~8.5-9%) to reflect higher-than-normal execution risk. Terminal growth of 2.5% (base) is deliberately below the 3.0% typically ascribed to durable payments infrastructure, reflecting uncertainty around the banking sub-segment's long-run growth trajectory. The bear-skewed probability weighting (30% bear vs. 20% bull) is asymmetric vs. prior valuations to reflect the October 2025 guidance catastrophe and continued Q1 2026 organic revenue contraction. The resulting base-case IV of $65 and weighted IV of $64.70 are intentionally conservative — they imply multiples below sector comps, providing genuine margin of safety rather than requiring successful turnaround execution to justify the price.</t>
  </si>
</sst>
</file>

<file path=xl/styles.xml><?xml version="1.0" encoding="utf-8"?>
<styleSheet xmlns="http://schemas.openxmlformats.org/spreadsheetml/2006/main">
  <numFmts count="4">
    <numFmt numFmtId="164" formatCode="#,##0.0"/>
    <numFmt numFmtId="165" formatCode="#,##0"/>
    <numFmt numFmtId="166" formatCode="0.0%"/>
    <numFmt numFmtId="167" formatCode="&quot;$&quot;#,##0.00"/>
  </numFmts>
  <fonts count="9">
    <font>
      <sz val="11"/>
      <color theme="1"/>
      <name val="Calibri"/>
      <family val="2"/>
      <scheme val="minor"/>
    </font>
    <font>
      <b/>
      <sz val="15"/>
      <color rgb="FF1E272E"/>
      <name val="Calibri"/>
      <family val="2"/>
      <scheme val="minor"/>
    </font>
    <font>
      <i/>
      <sz val="9"/>
      <color rgb="FF636E72"/>
      <name val="Calibri"/>
      <family val="2"/>
      <scheme val="minor"/>
    </font>
    <font>
      <i/>
      <sz val="9"/>
      <color rgb="FFD63031"/>
      <name val="Calibri"/>
      <family val="2"/>
      <scheme val="minor"/>
    </font>
    <font>
      <b/>
      <sz val="11"/>
      <color rgb="FF1E272E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636E72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DFE6E9"/>
        <bgColor indexed="64"/>
      </patternFill>
    </fill>
    <fill>
      <patternFill patternType="solid">
        <fgColor rgb="FF1E272E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D63031"/>
        <bgColor indexed="64"/>
      </patternFill>
    </fill>
    <fill>
      <patternFill patternType="solid">
        <fgColor rgb="FFE17055"/>
        <bgColor indexed="64"/>
      </patternFill>
    </fill>
    <fill>
      <patternFill patternType="solid">
        <fgColor rgb="FF55EFC4"/>
        <bgColor indexed="64"/>
      </patternFill>
    </fill>
    <fill>
      <patternFill patternType="solid">
        <fgColor rgb="FFFAB1A0"/>
        <bgColor indexed="64"/>
      </patternFill>
    </fill>
    <fill>
      <patternFill patternType="solid">
        <fgColor rgb="FFFDCB6E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1" xfId="0" applyFont="1" applyBorder="1"/>
    <xf numFmtId="164" fontId="0" fillId="2" borderId="2" xfId="0" applyNumberFormat="1" applyFill="1" applyBorder="1"/>
    <xf numFmtId="165" fontId="0" fillId="0" borderId="2" xfId="0" applyNumberFormat="1" applyBorder="1"/>
    <xf numFmtId="166" fontId="0" fillId="2" borderId="2" xfId="0" applyNumberFormat="1" applyFill="1" applyBorder="1"/>
    <xf numFmtId="0" fontId="5" fillId="3" borderId="2" xfId="0" applyFont="1" applyFill="1" applyBorder="1" applyAlignment="1">
      <alignment horizontal="center"/>
    </xf>
    <xf numFmtId="164" fontId="0" fillId="0" borderId="2" xfId="0" applyNumberFormat="1" applyBorder="1"/>
    <xf numFmtId="0" fontId="6" fillId="0" borderId="0" xfId="0" applyFont="1"/>
    <xf numFmtId="167" fontId="5" fillId="4" borderId="2" xfId="0" applyNumberFormat="1" applyFont="1" applyFill="1" applyBorder="1"/>
    <xf numFmtId="166" fontId="5" fillId="4" borderId="2" xfId="0" applyNumberFormat="1" applyFont="1" applyFill="1" applyBorder="1"/>
    <xf numFmtId="167" fontId="0" fillId="0" borderId="2" xfId="0" applyNumberFormat="1" applyBorder="1"/>
    <xf numFmtId="166" fontId="0" fillId="0" borderId="2" xfId="0" applyNumberFormat="1" applyBorder="1"/>
    <xf numFmtId="166" fontId="5" fillId="5" borderId="2" xfId="0" applyNumberFormat="1" applyFont="1" applyFill="1" applyBorder="1"/>
    <xf numFmtId="0" fontId="7" fillId="0" borderId="0" xfId="0" applyFont="1"/>
    <xf numFmtId="167" fontId="5" fillId="6" borderId="2" xfId="0" applyNumberFormat="1" applyFont="1" applyFill="1" applyBorder="1"/>
    <xf numFmtId="0" fontId="5" fillId="3" borderId="2" xfId="0" applyFont="1" applyFill="1" applyBorder="1"/>
    <xf numFmtId="167" fontId="0" fillId="7" borderId="2" xfId="0" applyNumberFormat="1" applyFill="1" applyBorder="1"/>
    <xf numFmtId="167" fontId="5" fillId="4" borderId="3" xfId="0" applyNumberFormat="1" applyFont="1" applyFill="1" applyBorder="1"/>
    <xf numFmtId="167" fontId="0" fillId="8" borderId="2" xfId="0" applyNumberFormat="1" applyFill="1" applyBorder="1"/>
    <xf numFmtId="0" fontId="0" fillId="7" borderId="2" xfId="0" applyFill="1" applyBorder="1"/>
    <xf numFmtId="0" fontId="0" fillId="8" borderId="2" xfId="0" applyFill="1" applyBorder="1"/>
    <xf numFmtId="0" fontId="5" fillId="4" borderId="3" xfId="0" applyFont="1" applyFill="1" applyBorder="1"/>
    <xf numFmtId="0" fontId="8" fillId="9" borderId="2" xfId="0" applyFont="1" applyFill="1" applyBorder="1" applyAlignment="1">
      <alignment vertical="top" wrapText="1"/>
    </xf>
    <xf numFmtId="0" fontId="5" fillId="4" borderId="2" xfId="0" applyFont="1" applyFill="1" applyBorder="1"/>
    <xf numFmtId="0" fontId="8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0"/>
  <sheetViews>
    <sheetView tabSelected="1" workbookViewId="0">
      <pane ySplit="3" topLeftCell="A4" activePane="bottomLeft" state="frozen"/>
      <selection pane="bottomLeft"/>
    </sheetView>
  </sheetViews>
  <sheetFormatPr defaultRowHeight="15"/>
  <cols>
    <col min="1" max="1" width="32.7109375" customWidth="1"/>
    <col min="2" max="2" width="16.7109375" customWidth="1"/>
    <col min="3" max="7" width="13.7109375" customWidth="1"/>
  </cols>
  <sheetData>
    <row r="1" spans="1:2">
      <c r="A1" s="1" t="s">
        <v>0</v>
      </c>
    </row>
    <row r="2" spans="1:2">
      <c r="A2" s="2" t="s">
        <v>1</v>
      </c>
    </row>
    <row r="3" spans="1:2">
      <c r="A3" s="3" t="s">
        <v>2</v>
      </c>
    </row>
    <row r="5" spans="1:2">
      <c r="A5" s="4" t="s">
        <v>3</v>
      </c>
      <c r="B5" s="4"/>
    </row>
    <row r="6" spans="1:2">
      <c r="A6" t="s">
        <v>4</v>
      </c>
      <c r="B6" s="5">
        <v>49.45</v>
      </c>
    </row>
    <row r="7" spans="1:2">
      <c r="A7" t="s">
        <v>5</v>
      </c>
      <c r="B7" s="5">
        <v>535.4</v>
      </c>
    </row>
    <row r="8" spans="1:2">
      <c r="A8" t="s">
        <v>6</v>
      </c>
      <c r="B8" s="5">
        <v>829</v>
      </c>
    </row>
    <row r="9" spans="1:2">
      <c r="A9" t="s">
        <v>7</v>
      </c>
      <c r="B9" s="5">
        <v>29182</v>
      </c>
    </row>
    <row r="10" spans="1:2">
      <c r="A10" t="s">
        <v>8</v>
      </c>
      <c r="B10" s="6">
        <f>B9-B8</f>
        <v>0</v>
      </c>
    </row>
    <row r="11" spans="1:2">
      <c r="A11" t="s">
        <v>9</v>
      </c>
      <c r="B11" s="5">
        <v>4000</v>
      </c>
    </row>
    <row r="12" spans="1:2">
      <c r="A12" t="s">
        <v>10</v>
      </c>
      <c r="B12" s="7">
        <v>0.1</v>
      </c>
    </row>
    <row r="13" spans="1:2">
      <c r="A13" t="s">
        <v>11</v>
      </c>
      <c r="B13" s="7">
        <v>0.025</v>
      </c>
    </row>
    <row r="14" spans="1:2">
      <c r="A14" t="s">
        <v>12</v>
      </c>
      <c r="B14" s="7">
        <v>0.2</v>
      </c>
    </row>
    <row r="16" spans="1:2">
      <c r="A16" s="4" t="s">
        <v>13</v>
      </c>
    </row>
    <row r="17" spans="1:7">
      <c r="A17" s="8"/>
      <c r="B17" s="8" t="s">
        <v>14</v>
      </c>
      <c r="C17" s="8" t="s">
        <v>15</v>
      </c>
      <c r="D17" s="8" t="s">
        <v>16</v>
      </c>
      <c r="E17" s="8" t="s">
        <v>17</v>
      </c>
      <c r="F17" s="8" t="s">
        <v>18</v>
      </c>
    </row>
    <row r="18" spans="1:7">
      <c r="A18" t="s">
        <v>19</v>
      </c>
      <c r="B18" s="7">
        <v>0.02</v>
      </c>
      <c r="C18" s="7">
        <v>0.04</v>
      </c>
      <c r="D18" s="7">
        <v>0.055</v>
      </c>
      <c r="E18" s="7">
        <v>0.06</v>
      </c>
      <c r="F18" s="7">
        <v>0.06</v>
      </c>
    </row>
    <row r="20" spans="1:7">
      <c r="A20" s="4" t="s">
        <v>20</v>
      </c>
    </row>
    <row r="21" spans="1:7">
      <c r="A21" s="8"/>
      <c r="B21" s="8" t="s">
        <v>21</v>
      </c>
      <c r="C21" s="8" t="s">
        <v>14</v>
      </c>
      <c r="D21" s="8" t="s">
        <v>15</v>
      </c>
      <c r="E21" s="8" t="s">
        <v>16</v>
      </c>
      <c r="F21" s="8" t="s">
        <v>17</v>
      </c>
      <c r="G21" s="8" t="s">
        <v>18</v>
      </c>
    </row>
    <row r="22" spans="1:7">
      <c r="A22" t="s">
        <v>22</v>
      </c>
      <c r="B22" s="6">
        <v>21193</v>
      </c>
      <c r="C22" s="6">
        <f>B22*(1+C18)</f>
        <v>0</v>
      </c>
      <c r="D22" s="6">
        <f>C22*(1+D18)</f>
        <v>0</v>
      </c>
      <c r="E22" s="6">
        <f>D22*(1+E18)</f>
        <v>0</v>
      </c>
      <c r="F22" s="6">
        <f>E22*(1+F18)</f>
        <v>0</v>
      </c>
      <c r="G22" s="6">
        <f>F22*(1+G18)</f>
        <v>0</v>
      </c>
    </row>
    <row r="23" spans="1:7">
      <c r="A23" t="s">
        <v>23</v>
      </c>
      <c r="B23" s="6">
        <v>4000</v>
      </c>
      <c r="C23" s="6">
        <f>C22*$B$14</f>
        <v>0</v>
      </c>
      <c r="D23" s="6">
        <f>D22*$B$14</f>
        <v>0</v>
      </c>
      <c r="E23" s="6">
        <f>E22*$B$14</f>
        <v>0</v>
      </c>
      <c r="F23" s="6">
        <f>F22*$B$14</f>
        <v>0</v>
      </c>
      <c r="G23" s="6">
        <f>G22*$B$14</f>
        <v>0</v>
      </c>
    </row>
    <row r="24" spans="1:7">
      <c r="A24" t="s">
        <v>24</v>
      </c>
      <c r="C24" s="9">
        <f>1/(1+$B$12)^1</f>
        <v>0</v>
      </c>
      <c r="D24" s="9">
        <f>1/(1+$B$12)^2</f>
        <v>0</v>
      </c>
      <c r="E24" s="9">
        <f>1/(1+$B$12)^3</f>
        <v>0</v>
      </c>
      <c r="F24" s="9">
        <f>1/(1+$B$12)^4</f>
        <v>0</v>
      </c>
      <c r="G24" s="9">
        <f>1/(1+$B$12)^5</f>
        <v>0</v>
      </c>
    </row>
    <row r="25" spans="1:7">
      <c r="A25" t="s">
        <v>25</v>
      </c>
      <c r="C25" s="6">
        <f>C23*C24</f>
        <v>0</v>
      </c>
      <c r="D25" s="6">
        <f>D23*D24</f>
        <v>0</v>
      </c>
      <c r="E25" s="6">
        <f>E23*E24</f>
        <v>0</v>
      </c>
      <c r="F25" s="6">
        <f>F23*F24</f>
        <v>0</v>
      </c>
      <c r="G25" s="6">
        <f>G23*G24</f>
        <v>0</v>
      </c>
    </row>
    <row r="27" spans="1:7">
      <c r="A27" s="4" t="s">
        <v>26</v>
      </c>
      <c r="B27" s="4"/>
    </row>
    <row r="28" spans="1:7">
      <c r="A28" t="s">
        <v>27</v>
      </c>
      <c r="B28" s="6">
        <f>SUM(C25:G25)</f>
        <v>0</v>
      </c>
    </row>
    <row r="29" spans="1:7">
      <c r="A29" t="s">
        <v>28</v>
      </c>
      <c r="B29" s="6">
        <f>G23*(1+$B$13)</f>
        <v>0</v>
      </c>
    </row>
    <row r="30" spans="1:7">
      <c r="A30" t="s">
        <v>29</v>
      </c>
      <c r="B30" s="6">
        <f>B29/($B$12-$B$13)</f>
        <v>0</v>
      </c>
    </row>
    <row r="31" spans="1:7">
      <c r="A31" t="s">
        <v>30</v>
      </c>
      <c r="B31" s="6">
        <f>B30*G24</f>
        <v>0</v>
      </c>
    </row>
    <row r="32" spans="1:7">
      <c r="A32" t="s">
        <v>31</v>
      </c>
      <c r="B32" s="6">
        <f>B28+B31</f>
        <v>0</v>
      </c>
    </row>
    <row r="33" spans="1:5">
      <c r="A33" t="s">
        <v>32</v>
      </c>
      <c r="B33" s="6">
        <f>B10</f>
        <v>0</v>
      </c>
    </row>
    <row r="34" spans="1:5">
      <c r="A34" t="s">
        <v>33</v>
      </c>
      <c r="B34" s="6">
        <f>B32-B33</f>
        <v>0</v>
      </c>
    </row>
    <row r="35" spans="1:5">
      <c r="A35" s="10" t="s">
        <v>34</v>
      </c>
      <c r="B35" s="11">
        <f>B34/B7</f>
        <v>0</v>
      </c>
    </row>
    <row r="36" spans="1:5">
      <c r="A36" t="s">
        <v>35</v>
      </c>
      <c r="B36" s="12">
        <f>(B35-B6)/B6</f>
        <v>0</v>
      </c>
    </row>
    <row r="38" spans="1:5">
      <c r="A38" s="4" t="s">
        <v>36</v>
      </c>
      <c r="B38" s="4"/>
    </row>
    <row r="39" spans="1:5">
      <c r="A39" t="s">
        <v>37</v>
      </c>
      <c r="B39" s="13">
        <f>B30/B7</f>
        <v>0</v>
      </c>
    </row>
    <row r="40" spans="1:5">
      <c r="A40" t="s">
        <v>38</v>
      </c>
      <c r="B40" s="11">
        <f>B39/(1.15^5)</f>
        <v>0</v>
      </c>
    </row>
    <row r="41" spans="1:5">
      <c r="A41" t="s">
        <v>39</v>
      </c>
      <c r="B41" s="12">
        <f>(B6-B40)/B40</f>
        <v>0</v>
      </c>
    </row>
    <row r="43" spans="1:5">
      <c r="A43" s="4" t="s">
        <v>40</v>
      </c>
    </row>
    <row r="44" spans="1:5">
      <c r="A44" s="8" t="s">
        <v>41</v>
      </c>
      <c r="B44" s="8" t="s">
        <v>42</v>
      </c>
      <c r="C44" s="8" t="s">
        <v>43</v>
      </c>
      <c r="D44" s="8" t="s">
        <v>44</v>
      </c>
      <c r="E44" s="8" t="s">
        <v>45</v>
      </c>
    </row>
    <row r="45" spans="1:5">
      <c r="A45" t="s">
        <v>46</v>
      </c>
      <c r="B45" s="13">
        <v>129.37</v>
      </c>
      <c r="C45" s="12">
        <v>1.616</v>
      </c>
      <c r="D45" s="13">
        <v>107.41</v>
      </c>
      <c r="E45" s="14">
        <v>0.2</v>
      </c>
    </row>
    <row r="46" spans="1:5">
      <c r="A46" t="s">
        <v>47</v>
      </c>
      <c r="B46" s="13">
        <v>65.06</v>
      </c>
      <c r="C46" s="12">
        <v>0.316</v>
      </c>
      <c r="D46" s="13">
        <v>67.64</v>
      </c>
      <c r="E46" s="14">
        <v>0.5</v>
      </c>
    </row>
    <row r="47" spans="1:5">
      <c r="A47" t="s">
        <v>48</v>
      </c>
      <c r="B47" s="13">
        <v>20.97</v>
      </c>
      <c r="C47" s="15">
        <v>-0.5760000000000001</v>
      </c>
      <c r="D47" s="13">
        <v>40.82</v>
      </c>
      <c r="E47" s="14">
        <v>0.3</v>
      </c>
    </row>
    <row r="48" spans="1:5">
      <c r="A48" t="s">
        <v>49</v>
      </c>
      <c r="B48" s="13">
        <v>64.7</v>
      </c>
      <c r="C48" s="12">
        <v>0.308</v>
      </c>
      <c r="D48" t="s">
        <v>50</v>
      </c>
      <c r="E48" t="s">
        <v>50</v>
      </c>
    </row>
    <row r="50" spans="1:3">
      <c r="A50" t="s">
        <v>51</v>
      </c>
      <c r="B50" s="13">
        <v>49.45</v>
      </c>
      <c r="C50" s="16" t="s">
        <v>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cols>
    <col min="1" max="1" width="30.7109375" customWidth="1"/>
    <col min="2" max="7" width="13.7109375" customWidth="1"/>
  </cols>
  <sheetData>
    <row r="1" spans="1:7">
      <c r="A1" s="1" t="s">
        <v>53</v>
      </c>
    </row>
    <row r="2" spans="1:7">
      <c r="A2" s="2" t="s">
        <v>54</v>
      </c>
    </row>
    <row r="4" spans="1:7">
      <c r="A4" s="4" t="s">
        <v>55</v>
      </c>
      <c r="B4" s="4"/>
      <c r="C4" s="4"/>
      <c r="D4" s="4"/>
      <c r="E4" s="4"/>
      <c r="F4" s="4"/>
      <c r="G4" s="4"/>
    </row>
    <row r="5" spans="1:7">
      <c r="A5" s="10" t="s">
        <v>56</v>
      </c>
      <c r="B5" s="8" t="s">
        <v>57</v>
      </c>
      <c r="C5" s="8" t="s">
        <v>58</v>
      </c>
      <c r="D5" s="8" t="s">
        <v>59</v>
      </c>
      <c r="E5" s="8" t="s">
        <v>60</v>
      </c>
      <c r="F5" s="8" t="s">
        <v>61</v>
      </c>
    </row>
    <row r="6" spans="1:7">
      <c r="B6" s="14">
        <v>0.04</v>
      </c>
      <c r="C6" s="14">
        <v>0.06</v>
      </c>
      <c r="D6" s="14">
        <v>0.075</v>
      </c>
      <c r="E6" s="14">
        <v>0.08</v>
      </c>
      <c r="F6" s="14">
        <v>0.08</v>
      </c>
    </row>
    <row r="7" spans="1:7">
      <c r="A7" t="s">
        <v>62</v>
      </c>
      <c r="B7" s="14">
        <v>0.23</v>
      </c>
    </row>
    <row r="8" spans="1:7">
      <c r="A8" t="s">
        <v>63</v>
      </c>
      <c r="B8" s="14">
        <v>0.09</v>
      </c>
    </row>
    <row r="9" spans="1:7">
      <c r="A9" t="s">
        <v>64</v>
      </c>
      <c r="B9" s="14">
        <v>0.03</v>
      </c>
    </row>
    <row r="10" spans="1:7">
      <c r="A10" s="10" t="s">
        <v>22</v>
      </c>
      <c r="B10" s="6">
        <v>22041</v>
      </c>
      <c r="C10" s="6">
        <v>23363</v>
      </c>
      <c r="D10" s="6">
        <v>25115</v>
      </c>
      <c r="E10" s="6">
        <v>27125</v>
      </c>
      <c r="F10" s="6">
        <v>29295</v>
      </c>
    </row>
    <row r="11" spans="1:7">
      <c r="A11" s="10" t="s">
        <v>65</v>
      </c>
      <c r="B11" s="6">
        <v>5069</v>
      </c>
      <c r="C11" s="6">
        <v>5374</v>
      </c>
      <c r="D11" s="6">
        <v>5777</v>
      </c>
      <c r="E11" s="6">
        <v>6239</v>
      </c>
      <c r="F11" s="6">
        <v>6738</v>
      </c>
    </row>
    <row r="12" spans="1:7">
      <c r="A12" s="10" t="s">
        <v>66</v>
      </c>
      <c r="B12" s="9">
        <v>0.917</v>
      </c>
      <c r="C12" s="9">
        <v>0.842</v>
      </c>
      <c r="D12" s="9">
        <v>0.772</v>
      </c>
      <c r="E12" s="9">
        <v>0.708</v>
      </c>
      <c r="F12" s="9">
        <v>0.65</v>
      </c>
    </row>
    <row r="13" spans="1:7">
      <c r="A13" s="10" t="s">
        <v>25</v>
      </c>
      <c r="B13" s="6">
        <v>4651</v>
      </c>
      <c r="C13" s="6">
        <v>4523</v>
      </c>
      <c r="D13" s="6">
        <v>4461</v>
      </c>
      <c r="E13" s="6">
        <v>4420</v>
      </c>
      <c r="F13" s="6">
        <v>4379</v>
      </c>
    </row>
    <row r="14" spans="1:7">
      <c r="A14" t="s">
        <v>67</v>
      </c>
      <c r="B14" s="6">
        <v>22434</v>
      </c>
    </row>
    <row r="15" spans="1:7">
      <c r="A15" t="s">
        <v>29</v>
      </c>
      <c r="B15" s="6">
        <v>115667</v>
      </c>
    </row>
    <row r="16" spans="1:7">
      <c r="A16" t="s">
        <v>68</v>
      </c>
      <c r="B16" s="6">
        <v>75184</v>
      </c>
    </row>
    <row r="17" spans="1:7">
      <c r="A17" t="s">
        <v>31</v>
      </c>
      <c r="B17" s="6">
        <v>97618</v>
      </c>
    </row>
    <row r="18" spans="1:7">
      <c r="A18" t="s">
        <v>32</v>
      </c>
      <c r="B18" s="6">
        <v>28353</v>
      </c>
    </row>
    <row r="19" spans="1:7">
      <c r="A19" t="s">
        <v>33</v>
      </c>
      <c r="B19" s="6">
        <v>69265</v>
      </c>
    </row>
    <row r="20" spans="1:7">
      <c r="A20" s="10" t="s">
        <v>69</v>
      </c>
      <c r="B20" s="11">
        <v>129.37</v>
      </c>
    </row>
    <row r="21" spans="1:7">
      <c r="A21" s="10" t="s">
        <v>43</v>
      </c>
      <c r="B21" s="12">
        <v>1.616</v>
      </c>
    </row>
    <row r="22" spans="1:7">
      <c r="A22" t="s">
        <v>44</v>
      </c>
      <c r="B22" s="13">
        <v>107.41</v>
      </c>
    </row>
    <row r="24" spans="1:7">
      <c r="A24" s="4" t="s">
        <v>70</v>
      </c>
      <c r="B24" s="4"/>
      <c r="C24" s="4"/>
      <c r="D24" s="4"/>
      <c r="E24" s="4"/>
      <c r="F24" s="4"/>
      <c r="G24" s="4"/>
    </row>
    <row r="25" spans="1:7">
      <c r="A25" s="10" t="s">
        <v>56</v>
      </c>
      <c r="B25" s="8" t="s">
        <v>57</v>
      </c>
      <c r="C25" s="8" t="s">
        <v>58</v>
      </c>
      <c r="D25" s="8" t="s">
        <v>59</v>
      </c>
      <c r="E25" s="8" t="s">
        <v>60</v>
      </c>
      <c r="F25" s="8" t="s">
        <v>61</v>
      </c>
    </row>
    <row r="26" spans="1:7">
      <c r="B26" s="14">
        <v>0.02</v>
      </c>
      <c r="C26" s="14">
        <v>0.04</v>
      </c>
      <c r="D26" s="14">
        <v>0.055</v>
      </c>
      <c r="E26" s="14">
        <v>0.06</v>
      </c>
      <c r="F26" s="14">
        <v>0.06</v>
      </c>
    </row>
    <row r="27" spans="1:7">
      <c r="A27" t="s">
        <v>62</v>
      </c>
      <c r="B27" s="14">
        <v>0.2</v>
      </c>
    </row>
    <row r="28" spans="1:7">
      <c r="A28" t="s">
        <v>63</v>
      </c>
      <c r="B28" s="14">
        <v>0.1</v>
      </c>
    </row>
    <row r="29" spans="1:7">
      <c r="A29" t="s">
        <v>64</v>
      </c>
      <c r="B29" s="14">
        <v>0.025</v>
      </c>
    </row>
    <row r="30" spans="1:7">
      <c r="A30" s="10" t="s">
        <v>22</v>
      </c>
      <c r="B30" s="6">
        <v>21617</v>
      </c>
      <c r="C30" s="6">
        <v>22482</v>
      </c>
      <c r="D30" s="6">
        <v>23718</v>
      </c>
      <c r="E30" s="6">
        <v>25141</v>
      </c>
      <c r="F30" s="6">
        <v>26650</v>
      </c>
    </row>
    <row r="31" spans="1:7">
      <c r="A31" s="10" t="s">
        <v>65</v>
      </c>
      <c r="B31" s="6">
        <v>4323</v>
      </c>
      <c r="C31" s="6">
        <v>4496</v>
      </c>
      <c r="D31" s="6">
        <v>4744</v>
      </c>
      <c r="E31" s="6">
        <v>5028</v>
      </c>
      <c r="F31" s="6">
        <v>5330</v>
      </c>
    </row>
    <row r="32" spans="1:7">
      <c r="A32" s="10" t="s">
        <v>66</v>
      </c>
      <c r="B32" s="9">
        <v>0.909</v>
      </c>
      <c r="C32" s="9">
        <v>0.826</v>
      </c>
      <c r="D32" s="9">
        <v>0.751</v>
      </c>
      <c r="E32" s="9">
        <v>0.6830000000000001</v>
      </c>
      <c r="F32" s="9">
        <v>0.621</v>
      </c>
    </row>
    <row r="33" spans="1:7">
      <c r="A33" s="10" t="s">
        <v>25</v>
      </c>
      <c r="B33" s="6">
        <v>3930</v>
      </c>
      <c r="C33" s="6">
        <v>3716</v>
      </c>
      <c r="D33" s="6">
        <v>3564</v>
      </c>
      <c r="E33" s="6">
        <v>3434</v>
      </c>
      <c r="F33" s="6">
        <v>3309</v>
      </c>
    </row>
    <row r="34" spans="1:7">
      <c r="A34" t="s">
        <v>67</v>
      </c>
      <c r="B34" s="6">
        <v>17953</v>
      </c>
    </row>
    <row r="35" spans="1:7">
      <c r="A35" t="s">
        <v>29</v>
      </c>
      <c r="B35" s="6">
        <v>72840</v>
      </c>
    </row>
    <row r="36" spans="1:7">
      <c r="A36" t="s">
        <v>68</v>
      </c>
      <c r="B36" s="6">
        <v>45234</v>
      </c>
    </row>
    <row r="37" spans="1:7">
      <c r="A37" t="s">
        <v>31</v>
      </c>
      <c r="B37" s="6">
        <v>63187</v>
      </c>
    </row>
    <row r="38" spans="1:7">
      <c r="A38" t="s">
        <v>32</v>
      </c>
      <c r="B38" s="6">
        <v>28353</v>
      </c>
    </row>
    <row r="39" spans="1:7">
      <c r="A39" t="s">
        <v>33</v>
      </c>
      <c r="B39" s="6">
        <v>34834</v>
      </c>
    </row>
    <row r="40" spans="1:7">
      <c r="A40" s="10" t="s">
        <v>69</v>
      </c>
      <c r="B40" s="11">
        <v>65.06</v>
      </c>
    </row>
    <row r="41" spans="1:7">
      <c r="A41" s="10" t="s">
        <v>43</v>
      </c>
      <c r="B41" s="12">
        <v>0.316</v>
      </c>
    </row>
    <row r="42" spans="1:7">
      <c r="A42" t="s">
        <v>44</v>
      </c>
      <c r="B42" s="13">
        <v>67.64</v>
      </c>
    </row>
    <row r="44" spans="1:7">
      <c r="A44" s="4" t="s">
        <v>71</v>
      </c>
      <c r="B44" s="4"/>
      <c r="C44" s="4"/>
      <c r="D44" s="4"/>
      <c r="E44" s="4"/>
      <c r="F44" s="4"/>
      <c r="G44" s="4"/>
    </row>
    <row r="45" spans="1:7">
      <c r="A45" s="10" t="s">
        <v>56</v>
      </c>
      <c r="B45" s="8" t="s">
        <v>57</v>
      </c>
      <c r="C45" s="8" t="s">
        <v>58</v>
      </c>
      <c r="D45" s="8" t="s">
        <v>59</v>
      </c>
      <c r="E45" s="8" t="s">
        <v>60</v>
      </c>
      <c r="F45" s="8" t="s">
        <v>61</v>
      </c>
    </row>
    <row r="46" spans="1:7">
      <c r="B46" s="14">
        <v>0</v>
      </c>
      <c r="C46" s="14">
        <v>0.015</v>
      </c>
      <c r="D46" s="14">
        <v>0.025</v>
      </c>
      <c r="E46" s="14">
        <v>0.03</v>
      </c>
      <c r="F46" s="14">
        <v>0.03</v>
      </c>
    </row>
    <row r="47" spans="1:7">
      <c r="A47" t="s">
        <v>62</v>
      </c>
      <c r="B47" s="14">
        <v>0.175</v>
      </c>
    </row>
    <row r="48" spans="1:7">
      <c r="A48" t="s">
        <v>63</v>
      </c>
      <c r="B48" s="14">
        <v>0.115</v>
      </c>
    </row>
    <row r="49" spans="1:6">
      <c r="A49" t="s">
        <v>64</v>
      </c>
      <c r="B49" s="14">
        <v>0.02</v>
      </c>
    </row>
    <row r="50" spans="1:6">
      <c r="A50" s="10" t="s">
        <v>22</v>
      </c>
      <c r="B50" s="6">
        <v>21193</v>
      </c>
      <c r="C50" s="6">
        <v>21511</v>
      </c>
      <c r="D50" s="6">
        <v>22049</v>
      </c>
      <c r="E50" s="6">
        <v>22710</v>
      </c>
      <c r="F50" s="6">
        <v>23391</v>
      </c>
    </row>
    <row r="51" spans="1:6">
      <c r="A51" s="10" t="s">
        <v>65</v>
      </c>
      <c r="B51" s="6">
        <v>3709</v>
      </c>
      <c r="C51" s="6">
        <v>3764</v>
      </c>
      <c r="D51" s="6">
        <v>3859</v>
      </c>
      <c r="E51" s="6">
        <v>3974</v>
      </c>
      <c r="F51" s="6">
        <v>4094</v>
      </c>
    </row>
    <row r="52" spans="1:6">
      <c r="A52" s="10" t="s">
        <v>66</v>
      </c>
      <c r="B52" s="9">
        <v>0.897</v>
      </c>
      <c r="C52" s="9">
        <v>0.804</v>
      </c>
      <c r="D52" s="9">
        <v>0.721</v>
      </c>
      <c r="E52" s="9">
        <v>0.647</v>
      </c>
      <c r="F52" s="9">
        <v>0.58</v>
      </c>
    </row>
    <row r="53" spans="1:6">
      <c r="A53" s="10" t="s">
        <v>25</v>
      </c>
      <c r="B53" s="6">
        <v>3326</v>
      </c>
      <c r="C53" s="6">
        <v>3028</v>
      </c>
      <c r="D53" s="6">
        <v>2784</v>
      </c>
      <c r="E53" s="6">
        <v>2571</v>
      </c>
      <c r="F53" s="6">
        <v>2375</v>
      </c>
    </row>
    <row r="54" spans="1:6">
      <c r="A54" t="s">
        <v>67</v>
      </c>
      <c r="B54" s="6">
        <v>14084</v>
      </c>
    </row>
    <row r="55" spans="1:6">
      <c r="A55" t="s">
        <v>29</v>
      </c>
      <c r="B55" s="6">
        <v>43958</v>
      </c>
    </row>
    <row r="56" spans="1:6">
      <c r="A56" t="s">
        <v>68</v>
      </c>
      <c r="B56" s="6">
        <v>25496</v>
      </c>
    </row>
    <row r="57" spans="1:6">
      <c r="A57" t="s">
        <v>31</v>
      </c>
      <c r="B57" s="6">
        <v>39580</v>
      </c>
    </row>
    <row r="58" spans="1:6">
      <c r="A58" t="s">
        <v>32</v>
      </c>
      <c r="B58" s="6">
        <v>28353</v>
      </c>
    </row>
    <row r="59" spans="1:6">
      <c r="A59" t="s">
        <v>33</v>
      </c>
      <c r="B59" s="6">
        <v>11227</v>
      </c>
    </row>
    <row r="60" spans="1:6">
      <c r="A60" s="10" t="s">
        <v>69</v>
      </c>
      <c r="B60" s="17">
        <v>20.97</v>
      </c>
    </row>
    <row r="61" spans="1:6">
      <c r="A61" s="10" t="s">
        <v>43</v>
      </c>
      <c r="B61" s="15">
        <v>-0.5760000000000001</v>
      </c>
    </row>
    <row r="62" spans="1:6">
      <c r="A62" t="s">
        <v>44</v>
      </c>
      <c r="B62" s="13">
        <v>40.82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FormatPr defaultRowHeight="15"/>
  <cols>
    <col min="1" max="1" width="18.7109375" customWidth="1"/>
    <col min="2" max="6" width="13.7109375" customWidth="1"/>
  </cols>
  <sheetData>
    <row r="1" spans="1:6">
      <c r="A1" s="1" t="s">
        <v>72</v>
      </c>
    </row>
    <row r="2" spans="1:6">
      <c r="A2" s="2" t="s">
        <v>73</v>
      </c>
    </row>
    <row r="3" spans="1:6">
      <c r="A3" s="16" t="s">
        <v>74</v>
      </c>
    </row>
    <row r="5" spans="1:6">
      <c r="A5" s="8" t="s">
        <v>75</v>
      </c>
      <c r="B5" s="8" t="s">
        <v>76</v>
      </c>
      <c r="C5" s="8" t="s">
        <v>77</v>
      </c>
      <c r="D5" s="8" t="s">
        <v>78</v>
      </c>
      <c r="E5" s="8" t="s">
        <v>79</v>
      </c>
      <c r="F5" s="8" t="s">
        <v>80</v>
      </c>
    </row>
    <row r="6" spans="1:6">
      <c r="A6" s="18" t="s">
        <v>81</v>
      </c>
      <c r="B6" s="19">
        <v>88.3</v>
      </c>
      <c r="C6" s="19">
        <v>97.69</v>
      </c>
      <c r="D6" s="19">
        <v>108.77</v>
      </c>
      <c r="E6" s="19">
        <v>122.09</v>
      </c>
      <c r="F6" s="19">
        <v>138.37</v>
      </c>
    </row>
    <row r="7" spans="1:6">
      <c r="A7" s="18" t="s">
        <v>82</v>
      </c>
      <c r="B7" s="19">
        <v>69.05</v>
      </c>
      <c r="C7" s="19">
        <v>75.78</v>
      </c>
      <c r="D7" s="19">
        <v>83.52</v>
      </c>
      <c r="E7" s="19">
        <v>92.56999999999999</v>
      </c>
      <c r="F7" s="19">
        <v>103.26</v>
      </c>
    </row>
    <row r="8" spans="1:6">
      <c r="A8" s="18" t="s">
        <v>83</v>
      </c>
      <c r="B8" s="19">
        <v>54.4</v>
      </c>
      <c r="C8" s="19">
        <v>59.4</v>
      </c>
      <c r="D8" s="20">
        <v>65.06</v>
      </c>
      <c r="E8" s="19">
        <v>71.54000000000001</v>
      </c>
      <c r="F8" s="19">
        <v>79.02</v>
      </c>
    </row>
    <row r="9" spans="1:6">
      <c r="A9" s="18" t="s">
        <v>84</v>
      </c>
      <c r="B9" s="21">
        <v>42.78</v>
      </c>
      <c r="C9" s="21">
        <v>46.62</v>
      </c>
      <c r="D9" s="19">
        <v>50.89</v>
      </c>
      <c r="E9" s="19">
        <v>55.71</v>
      </c>
      <c r="F9" s="19">
        <v>61.18</v>
      </c>
    </row>
    <row r="10" spans="1:6">
      <c r="A10" s="18" t="s">
        <v>85</v>
      </c>
      <c r="B10" s="21">
        <v>33.43</v>
      </c>
      <c r="C10" s="21">
        <v>36.45</v>
      </c>
      <c r="D10" s="21">
        <v>39.77</v>
      </c>
      <c r="E10" s="21">
        <v>43.47</v>
      </c>
      <c r="F10" s="21">
        <v>47.61</v>
      </c>
    </row>
    <row r="13" spans="1:6">
      <c r="A13" s="10" t="s">
        <v>86</v>
      </c>
      <c r="B13" s="22" t="s">
        <v>87</v>
      </c>
    </row>
    <row r="14" spans="1:6">
      <c r="B14" s="23" t="s">
        <v>88</v>
      </c>
    </row>
    <row r="15" spans="1:6">
      <c r="B15" s="24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30.7109375" customWidth="1"/>
    <col min="2" max="3" width="14.7109375" customWidth="1"/>
    <col min="4" max="4" width="55.7109375" customWidth="1"/>
  </cols>
  <sheetData>
    <row r="1" spans="1:4">
      <c r="A1" s="1" t="s">
        <v>90</v>
      </c>
    </row>
    <row r="3" spans="1:4">
      <c r="A3" s="8" t="s">
        <v>91</v>
      </c>
      <c r="B3" s="8" t="s">
        <v>92</v>
      </c>
      <c r="C3" s="8" t="s">
        <v>93</v>
      </c>
      <c r="D3" s="8" t="s">
        <v>94</v>
      </c>
    </row>
    <row r="4" spans="1:4">
      <c r="A4" t="s">
        <v>95</v>
      </c>
      <c r="B4" s="14">
        <v>0.061</v>
      </c>
      <c r="C4" s="14">
        <v>0.07400000000000001</v>
      </c>
      <c r="D4" s="16" t="s">
        <v>96</v>
      </c>
    </row>
    <row r="5" spans="1:4">
      <c r="A5" t="s">
        <v>97</v>
      </c>
      <c r="B5" s="14">
        <v>0.175</v>
      </c>
      <c r="C5" s="14">
        <v>0.353</v>
      </c>
      <c r="D5" s="16" t="s">
        <v>98</v>
      </c>
    </row>
    <row r="6" spans="1:4">
      <c r="A6" t="s">
        <v>99</v>
      </c>
      <c r="B6" s="14">
        <v>-0.058</v>
      </c>
      <c r="C6" s="14">
        <v>-0.044</v>
      </c>
      <c r="D6" s="16" t="s">
        <v>100</v>
      </c>
    </row>
    <row r="7" spans="1:4">
      <c r="A7" t="s">
        <v>101</v>
      </c>
      <c r="B7" s="14">
        <v>0.111</v>
      </c>
      <c r="C7" s="14">
        <v>0.058</v>
      </c>
      <c r="D7" s="16" t="s">
        <v>102</v>
      </c>
    </row>
    <row r="9" spans="1:4">
      <c r="A9" s="10" t="s">
        <v>103</v>
      </c>
      <c r="B9" s="14">
        <v>0.061</v>
      </c>
      <c r="C9" t="s">
        <v>104</v>
      </c>
    </row>
    <row r="10" spans="1:4" ht="60" customHeight="1">
      <c r="A10" s="10" t="s">
        <v>105</v>
      </c>
      <c r="B10" s="25" t="s">
        <v>106</v>
      </c>
      <c r="C10" s="25"/>
      <c r="D10" s="25"/>
    </row>
    <row r="13" spans="1:4">
      <c r="A13" s="4" t="s">
        <v>107</v>
      </c>
    </row>
    <row r="14" spans="1:4">
      <c r="A14" t="s">
        <v>108</v>
      </c>
      <c r="B14" s="9">
        <v>21193</v>
      </c>
    </row>
    <row r="15" spans="1:4">
      <c r="A15" t="s">
        <v>109</v>
      </c>
      <c r="B15" s="9">
        <v>5818</v>
      </c>
    </row>
    <row r="16" spans="1:4">
      <c r="A16" t="s">
        <v>110</v>
      </c>
      <c r="B16" s="9">
        <v>3480</v>
      </c>
    </row>
    <row r="17" spans="1:2">
      <c r="A17" t="s">
        <v>111</v>
      </c>
      <c r="B17" s="9">
        <v>6.34</v>
      </c>
    </row>
    <row r="18" spans="1:2">
      <c r="A18" t="s">
        <v>112</v>
      </c>
      <c r="B18" s="9">
        <v>6062</v>
      </c>
    </row>
    <row r="19" spans="1:2">
      <c r="A19" t="s">
        <v>113</v>
      </c>
      <c r="B19" s="9">
        <v>1763</v>
      </c>
    </row>
    <row r="20" spans="1:2">
      <c r="A20" t="s">
        <v>114</v>
      </c>
      <c r="B20" s="9">
        <v>4299</v>
      </c>
    </row>
    <row r="21" spans="1:2">
      <c r="A21" t="s">
        <v>115</v>
      </c>
      <c r="B21" s="9">
        <v>25792</v>
      </c>
    </row>
    <row r="22" spans="1:2">
      <c r="A22" t="s">
        <v>116</v>
      </c>
      <c r="B22" s="9">
        <v>29182</v>
      </c>
    </row>
    <row r="23" spans="1:2">
      <c r="A23" t="s">
        <v>117</v>
      </c>
      <c r="B23" s="9">
        <v>829</v>
      </c>
    </row>
    <row r="24" spans="1:2">
      <c r="A24" t="s">
        <v>118</v>
      </c>
      <c r="B24" s="9">
        <v>28353</v>
      </c>
    </row>
    <row r="25" spans="1:2">
      <c r="A25" t="s">
        <v>119</v>
      </c>
      <c r="B25" s="9">
        <v>535.4</v>
      </c>
    </row>
    <row r="26" spans="1:2">
      <c r="A26" t="s">
        <v>120</v>
      </c>
      <c r="B26" s="9">
        <v>141</v>
      </c>
    </row>
  </sheetData>
  <mergeCells count="1">
    <mergeCell ref="B10:D1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20"/>
  <sheetViews>
    <sheetView workbookViewId="0"/>
  </sheetViews>
  <sheetFormatPr defaultRowHeight="15"/>
  <cols>
    <col min="1" max="1" width="30.7109375" customWidth="1"/>
    <col min="2" max="2" width="20.7109375" customWidth="1"/>
    <col min="3" max="3" width="35.7109375" customWidth="1"/>
    <col min="4" max="4" width="55.7109375" customWidth="1"/>
  </cols>
  <sheetData>
    <row r="1" spans="1:4">
      <c r="A1" s="1" t="s">
        <v>121</v>
      </c>
    </row>
    <row r="2" spans="1:4">
      <c r="A2" s="2" t="s">
        <v>122</v>
      </c>
    </row>
    <row r="4" spans="1:4">
      <c r="A4" s="18" t="s">
        <v>123</v>
      </c>
      <c r="B4" s="26" t="s">
        <v>124</v>
      </c>
      <c r="C4" s="26" t="s">
        <v>125</v>
      </c>
    </row>
    <row r="6" spans="1:4">
      <c r="A6" s="18" t="s">
        <v>91</v>
      </c>
      <c r="B6" s="18" t="s">
        <v>126</v>
      </c>
      <c r="C6" s="18" t="s">
        <v>127</v>
      </c>
      <c r="D6" s="18" t="s">
        <v>128</v>
      </c>
    </row>
    <row r="7" spans="1:4" ht="50" customHeight="1">
      <c r="A7" t="s">
        <v>129</v>
      </c>
      <c r="B7" t="s">
        <v>130</v>
      </c>
      <c r="C7" t="s">
        <v>131</v>
      </c>
      <c r="D7" s="27" t="s">
        <v>132</v>
      </c>
    </row>
    <row r="8" spans="1:4" ht="50" customHeight="1">
      <c r="A8" t="s">
        <v>133</v>
      </c>
      <c r="B8" t="s">
        <v>134</v>
      </c>
      <c r="C8" t="s">
        <v>135</v>
      </c>
      <c r="D8" s="27" t="s">
        <v>136</v>
      </c>
    </row>
    <row r="9" spans="1:4" ht="50" customHeight="1">
      <c r="A9" t="s">
        <v>137</v>
      </c>
      <c r="B9" t="s">
        <v>138</v>
      </c>
      <c r="C9" t="s">
        <v>139</v>
      </c>
      <c r="D9" s="27" t="s">
        <v>140</v>
      </c>
    </row>
    <row r="10" spans="1:4" ht="50" customHeight="1">
      <c r="A10" t="s">
        <v>141</v>
      </c>
      <c r="B10" t="s">
        <v>142</v>
      </c>
      <c r="C10" t="s">
        <v>143</v>
      </c>
      <c r="D10" s="27" t="s">
        <v>144</v>
      </c>
    </row>
    <row r="11" spans="1:4" ht="50" customHeight="1">
      <c r="A11" t="s">
        <v>145</v>
      </c>
      <c r="B11" t="s">
        <v>146</v>
      </c>
      <c r="C11" t="s">
        <v>147</v>
      </c>
      <c r="D11" s="27" t="s">
        <v>148</v>
      </c>
    </row>
    <row r="12" spans="1:4" ht="50" customHeight="1">
      <c r="A12" t="s">
        <v>149</v>
      </c>
      <c r="B12" t="s">
        <v>150</v>
      </c>
      <c r="C12" t="s">
        <v>151</v>
      </c>
      <c r="D12" s="27" t="s">
        <v>152</v>
      </c>
    </row>
    <row r="15" spans="1:4">
      <c r="A15" s="10" t="s">
        <v>153</v>
      </c>
    </row>
    <row r="16" spans="1:4" ht="100" customHeight="1">
      <c r="A16" s="27" t="s">
        <v>154</v>
      </c>
      <c r="B16" s="27"/>
      <c r="C16" s="27"/>
      <c r="D16" s="27"/>
    </row>
    <row r="17" spans="1:4">
      <c r="A17" s="27"/>
      <c r="B17" s="27"/>
      <c r="C17" s="27"/>
      <c r="D17" s="27"/>
    </row>
    <row r="18" spans="1:4">
      <c r="A18" s="27"/>
      <c r="B18" s="27"/>
      <c r="C18" s="27"/>
      <c r="D18" s="27"/>
    </row>
    <row r="19" spans="1:4">
      <c r="A19" s="27"/>
      <c r="B19" s="27"/>
      <c r="C19" s="27"/>
      <c r="D19" s="27"/>
    </row>
    <row r="20" spans="1:4">
      <c r="A20" s="27"/>
      <c r="B20" s="27"/>
      <c r="C20" s="27"/>
      <c r="D20" s="27"/>
    </row>
  </sheetData>
  <mergeCells count="1">
    <mergeCell ref="A16:D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DCF Model</vt:lpstr>
      <vt:lpstr>Scenario Details</vt:lpstr>
      <vt:lpstr>Sensitivity</vt:lpstr>
      <vt:lpstr>Historical</vt:lpstr>
      <vt:lpstr>Sanity Check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2026-06-29T05:28:49Z</dcterms:created>
  <dcterms:modified xsi:type="dcterms:W3CDTF">2026-06-29T05:28:49Z</dcterms:modified>
</cp:coreProperties>
</file>