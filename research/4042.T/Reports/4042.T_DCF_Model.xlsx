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<sst xmlns="http://schemas.openxmlformats.org/spreadsheetml/2006/main" count="372" uniqueCount="169">
  <si>
    <t xml:space="preserve">Ticker</t>
  </si>
  <si>
    <t xml:space="preserve">4042.T</t>
  </si>
  <si>
    <t xml:space="preserve">Company</t>
  </si>
  <si>
    <t xml:space="preserve">Tosoh Corporation</t>
  </si>
  <si>
    <t xml:space="preserve">Valuation date</t>
  </si>
  <si>
    <t xml:space="preserve">2026-10-31</t>
  </si>
  <si>
    <t xml:space="preserve">Current price</t>
  </si>
  <si>
    <t xml:space="preserve">Price as of</t>
  </si>
  <si>
    <t xml:space="preserve">2026-10-30T06:30:00Z (TSE regular close, Friday 30 Oct 2026; not an after-hours print)</t>
  </si>
  <si>
    <t xml:space="preserve">Balance sheet date</t>
  </si>
  <si>
    <t xml:space="preserve">2025-12-31</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</si>
  <si>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</si>
  <si>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</si>
  <si>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</si>
  <si>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</si>
  <si>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</si>
  <si>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</si>
  <si>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</si>
  <si>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</si>
  <si>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</si>
  <si>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</si>
  <si>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2026-10-30T23:10:48Z</t>
  </si>
  <si>
    <t xml:space="preserve">Drivers file</t>
  </si>
  <si>
    <t xml:space="preserve">4042.T_Drivers.json</t>
  </si>
  <si>
    <t xml:space="preserve">Convention</t>
  </si>
  <si>
    <t xml:space="preserve">Percents stored as percents; formulas divide by 100. Blue = input, green = link, black = formula.</t>
  </si>
  <si>
    <t xml:space="preserve">Methodology</t>
  </si>
  <si>
    <t xml:space="preserve">summary: Tosoh is valued as a mid-cycle cash-flow stream, not at its FY2022 peak or its FY2026 trough. The consolidated flows carry 100% of Organo, so the minority is charged inside the flows (43-45% combined tax and leakage) rather than at book in the bridge; investment securities are added once because their income is outside the EBITDA-based flows. The terminal value is capped at 15x owner FCF (the upper end of the house cyclical range; Gordon at 7.5%/1.5% would be 16.9x) -- a cap that works out to roughly 5x terminal EBITDA, below the stock's own ~6x today, so no re-rating is assumed. SBC is nil, so house and street coincide and band_position is null.
key_risks_to_valuation: Balance-sheet and guidance anchors are from the 2025-12-31 Q3 tanshin; FY2026 actuals and FY2027 guidance (May/Aug 2026) are not in the folder and could move Y1-Y2 materially; Chinese chlor-alkali/PVC/PE capacity additions keeping chemical-chain margins near zero for longer than the bear case assumes; Tosoh SMD: a second impairment or a slower US semiconductor recovery than the base assumes (Specialty held flat, not recovering); NCI leakage modelled at 17-19% of profit; if Engineering grows faster than the chemical chain, the leakage rises and group value per share falls even as consolidated profit grows; Capex intensity: the plan's decarbonisation (30% CO2 cut by 2028) and chlorine-derivative projects could hold capex at 7-8% of sales rather than fading to 5.5%; Naphtha and USD/JPY: a 10-yen stronger yen or a naphtha spike is worth several points of chemical-chain margin in either direction</t>
  </si>
  <si>
    <t xml:space="preserve">Data sources</t>
  </si>
  <si>
    <t xml:space="preserve">price: Yahoo Finance chart API at inputs.price_as_of; 52-week range 2139.5-3086.0 JPY
financials: 4042.T_Metrics.csv (FY2012-FY2025 annual, interims to 9M FY2026) from the FY2013-FY2025 yuho (English securities reports) and tanshin; balance sheet, share count and segment table from 4042.T_Quarterly_Q3-FY2026.txt (period to 2025-12-31); FY2025 cash flow, income statement, segment income and stock-option note from 4042.T_Annual_FY2025.txt
qualitative: 4042.T_Analysis.json (2026-10-31): segment mix, medium-term plan FY2026-28, two FY2026 guidance cuts, Tosoh SMD impairment, bull/bear axes</t>
  </si>
  <si>
    <t xml:space="preserve">Scenario narrative: bear</t>
  </si>
  <si>
    <t xml:space="preserve">Chinese overcapacity in caustic soda, PVC and polyethylene proves structural through 2030, US tariffs keep chloroprene and export volumes weak, and the two FY2026 guidance cuts turn out to be the first of several: petrochemical and chlor-alkali run at roughly zero operating income through the cycle, Specialty stays at FY2026 levels with a further SMD write-down possible, and only Engineering grows. Revenue falls again in FY2027 and then grows 1%; EBITDA margin sits at 12-12.5% (OI ~JPY75-80bn), capex cannot be cut below 5.5% of sales because of decarbonisation spend, and the JPY100 dividend is maintained by borrowing. Minority leakage rises because Organo is a bigger share of a smaller profit pool.</t>
  </si>
  <si>
    <t xml:space="preserve">Scenario narrative: base</t>
  </si>
  <si>
    <t xml:space="preserve">FY2026 lands on the twice-cut February guidance (sales JPY1,010bn, OI JPY90bn) with Nanyo maintenance and a lower naphtha price behind it. From FY2027 the chemical chain recovers to a mid-cycle rather than a peak: chlor-alkali and petrochemical earn thin but positive margins under persistent Chinese caustic/PVC/PE overcapacity, Specialty holds ~14% OI with Tosoh SMD flat, and Engineering keeps converting its semiconductor-fab water-treatment backlog at double-digit growth. Group EBITDA margin settles at 15.5% (OI ~JPY115-120bn), two-thirds of the way to the JPY170bn medium-term target, with capex normalising from JPY80bn to ~JPY60bn as the current project wave completes. Half of Organo's cash stays with its minority shareholders.</t>
  </si>
  <si>
    <t xml:space="preserve">Scenario narrative: bull</t>
  </si>
  <si>
    <t xml:space="preserve">The FY2026-28 plan is largely delivered a year late: naphtha stays low and the yen stays weak, chlorine-derivative and MDI pricing recovers as Chinese capacity additions slow, the US semiconductor capex cycle turns and refills Tosoh SMD's sputtering-target volumes (reversing the impairment's volume loss, not the charge), and Organo's Taiwan/US/Japan fab pipeline keeps growing at mid-teens. EBITDA margin reaches 18% (OI ~JPY150bn) by FY2029 and revenue compounds ~3% a year; the 50% payout plus further buybacks are funded from cash flow rather than borrowings.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</si>
  <si>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</si>
  <si>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</si>
  <si>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</si>
  <si>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</si>
  <si>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</si>
  <si>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</si>
  <si>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</si>
  <si>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</si>
  <si>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</si>
  <si>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</si>
  <si>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</si>
  <si>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</si>
  <si>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</si>
  <si>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</si>
  <si>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</si>
  <si>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</si>
  <si>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</si>
  <si>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</si>
  <si>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</si>
  <si>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</si>
  <si>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</si>
  <si>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</si>
  <si>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</si>
  <si>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</si>
  <si>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</si>
  <si>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</si>
  <si>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</si>
  <si>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</si>
  <si>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</si>
  <si>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</si>
  <si>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</si>
  <si>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</si>
  <si>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</si>
  <si>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</si>
  <si>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</si>
  <si>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</si>
  <si>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</si>
  <si>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</si>
  <si>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</si>
  <si>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</si>
  <si>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</si>
  <si>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</si>
  <si>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</si>
  <si>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</si>
  <si>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</si>
  <si>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</si>
  <si>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</si>
  <si>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</si>
  <si>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</si>
  <si>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</si>
  <si>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</si>
  <si>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</si>
  <si>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</si>
  <si>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</si>
  <si>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</si>
  <si>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</si>
  <si>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</si>
  <si>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</si>
  <si>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</si>
  <si>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</si>
  <si>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</si>
  <si>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</si>
  <si>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</si>
  <si>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</si>
  <si>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</si>
  <si>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</si>
  <si>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</si>
  <si>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</si>
  <si>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</si>
  <si>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</si>
  <si>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</si>
  <si>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</si>
  <si>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</si>
  <si>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</si>
  <si>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</si>
  <si>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</si>
  <si>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</si>
  <si>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</si>
  <si>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4042.T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</si>
  <si>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</si>
  <si>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</si>
  <si>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</si>
  <si>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</si>
  <si>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</si>
  <si>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</si>
  <si>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</si>
  <si>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</si>
  <si>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</si>
  <si>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</si>
  <si>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</si>
  <si>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</si>
  <si>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</si>
  <si>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</si>
  <si>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</si>
  <si>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</si>
  <si>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</si>
  <si>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</si>
  <si>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</si>
  <si>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</si>
  <si>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</si>
  <si>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</si>
  <si>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</si>
  <si>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</si>
  <si>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</si>
  <si>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</si>
  <si>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</si>
  <si>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</si>
  <si>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</si>
  <si>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</si>
  <si>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4042.T owner-FCF component DCF: base case (millions, JPY)</t>
  </si>
  <si>
    <t xml:space="preserve">4042.T owner-FCF component DCF: bull case (millions, JPY)</t>
  </si>
  <si>
    <t xml:space="preserve">4042.T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</si>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</sst>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2537.5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687131</v>
      </c>
      <c r="C2" s="0" t="n">
        <v>567614</v>
      </c>
      <c r="D2" s="0" t="n">
        <v>119517</v>
      </c>
      <c r="E2" s="0" t="n">
        <v>17.3936</v>
      </c>
      <c r="F2" s="0" t="n">
        <v>23737</v>
      </c>
      <c r="G2" s="0" t="n">
        <v>3.4545</v>
      </c>
      <c r="I2" s="0" t="n">
        <v>9379</v>
      </c>
      <c r="J2" s="0" t="n">
        <v>1.365</v>
      </c>
      <c r="K2" s="0" t="n">
        <v>31.34</v>
      </c>
      <c r="L2" s="0" t="n">
        <v>55322</v>
      </c>
      <c r="O2" s="0" t="n">
        <v>171068</v>
      </c>
      <c r="P2" s="0" t="n">
        <v>708721</v>
      </c>
      <c r="Q2" s="0" t="n">
        <v>508525</v>
      </c>
      <c r="R2" s="0" t="n">
        <v>343559</v>
      </c>
      <c r="S2" s="0" t="n">
        <v>67360</v>
      </c>
      <c r="T2" s="0" t="n">
        <v>299.2661</v>
      </c>
      <c r="AA2" s="0" t="s">
        <v>17</v>
      </c>
      <c r="AB2" s="0" t="s">
        <v>14</v>
      </c>
    </row>
    <row r="3" customFormat="false" ht="15" hidden="false" customHeight="false" outlineLevel="0" collapsed="false">
      <c r="A3" s="0" t="s">
        <v>64</v>
      </c>
      <c r="B3" s="0" t="n">
        <v>668494</v>
      </c>
      <c r="C3" s="0" t="n">
        <v>549913</v>
      </c>
      <c r="D3" s="0" t="n">
        <v>118581</v>
      </c>
      <c r="E3" s="0" t="n">
        <v>17.7385</v>
      </c>
      <c r="F3" s="0" t="n">
        <v>24464</v>
      </c>
      <c r="G3" s="0" t="n">
        <v>3.6596</v>
      </c>
      <c r="H3" s="0" t="n">
        <v>61407</v>
      </c>
      <c r="I3" s="0" t="n">
        <v>16867</v>
      </c>
      <c r="J3" s="0" t="n">
        <v>2.5231</v>
      </c>
      <c r="K3" s="0" t="n">
        <v>56.34</v>
      </c>
      <c r="L3" s="0" t="n">
        <v>36076</v>
      </c>
      <c r="M3" s="0" t="n">
        <v>24023</v>
      </c>
      <c r="N3" s="0" t="n">
        <v>12053</v>
      </c>
      <c r="O3" s="0" t="n">
        <v>188748</v>
      </c>
      <c r="P3" s="0" t="n">
        <v>735102</v>
      </c>
      <c r="Q3" s="0" t="n">
        <v>515816</v>
      </c>
      <c r="R3" s="0" t="n">
        <v>325995</v>
      </c>
      <c r="S3" s="0" t="n">
        <v>57358</v>
      </c>
      <c r="T3" s="0" t="n">
        <v>299.3788</v>
      </c>
      <c r="AA3" s="0" t="s">
        <v>17</v>
      </c>
      <c r="AB3" s="0" t="s">
        <v>14</v>
      </c>
    </row>
    <row r="4" customFormat="false" ht="15" hidden="false" customHeight="false" outlineLevel="0" collapsed="false">
      <c r="A4" s="0" t="s">
        <v>65</v>
      </c>
      <c r="B4" s="0" t="n">
        <v>772272</v>
      </c>
      <c r="F4" s="0" t="n">
        <v>41573</v>
      </c>
      <c r="G4" s="0" t="n">
        <v>5.3832</v>
      </c>
      <c r="H4" s="0" t="n">
        <v>76250</v>
      </c>
      <c r="I4" s="0" t="n">
        <v>29564</v>
      </c>
      <c r="J4" s="0" t="n">
        <v>3.8282</v>
      </c>
      <c r="K4" s="0" t="n">
        <v>98.7</v>
      </c>
      <c r="L4" s="0" t="n">
        <v>67238</v>
      </c>
      <c r="O4" s="0" t="n">
        <v>219411.696</v>
      </c>
      <c r="P4" s="0" t="n">
        <v>721749</v>
      </c>
      <c r="Q4" s="0" t="n">
        <v>471952</v>
      </c>
      <c r="R4" s="0" t="n">
        <v>286205</v>
      </c>
      <c r="S4" s="0" t="n">
        <v>55127</v>
      </c>
      <c r="T4" s="0" t="n">
        <v>299.5339</v>
      </c>
      <c r="AA4" s="0" t="s">
        <v>17</v>
      </c>
      <c r="AB4" s="0" t="s">
        <v>14</v>
      </c>
    </row>
    <row r="5" customFormat="false" ht="15" hidden="false" customHeight="false" outlineLevel="0" collapsed="false">
      <c r="A5" s="0" t="s">
        <v>66</v>
      </c>
      <c r="B5" s="0" t="n">
        <v>809684</v>
      </c>
      <c r="C5" s="0" t="n">
        <v>658305</v>
      </c>
      <c r="D5" s="0" t="n">
        <v>151379</v>
      </c>
      <c r="E5" s="0" t="n">
        <v>18.6961</v>
      </c>
      <c r="F5" s="0" t="n">
        <v>51397</v>
      </c>
      <c r="G5" s="0" t="n">
        <v>6.3478</v>
      </c>
      <c r="H5" s="0" t="n">
        <v>87047</v>
      </c>
      <c r="I5" s="0" t="n">
        <v>62297</v>
      </c>
      <c r="J5" s="0" t="n">
        <v>7.694</v>
      </c>
      <c r="K5" s="0" t="n">
        <v>207.94</v>
      </c>
      <c r="L5" s="0" t="n">
        <v>54107</v>
      </c>
      <c r="M5" s="0" t="n">
        <v>34134</v>
      </c>
      <c r="N5" s="0" t="n">
        <v>19973</v>
      </c>
      <c r="O5" s="0" t="n">
        <v>288960</v>
      </c>
      <c r="P5" s="0" t="n">
        <v>764206</v>
      </c>
      <c r="Q5" s="0" t="n">
        <v>443422</v>
      </c>
      <c r="R5" s="0" t="n">
        <v>271500</v>
      </c>
      <c r="S5" s="0" t="n">
        <v>55740</v>
      </c>
      <c r="T5" s="0" t="n">
        <v>299.5912</v>
      </c>
      <c r="AA5" s="0" t="s">
        <v>17</v>
      </c>
      <c r="AB5" s="0" t="s">
        <v>14</v>
      </c>
    </row>
    <row r="6" customFormat="false" ht="15" hidden="false" customHeight="false" outlineLevel="0" collapsed="false">
      <c r="A6" s="0" t="s">
        <v>67</v>
      </c>
      <c r="B6" s="0" t="n">
        <v>753736</v>
      </c>
      <c r="C6" s="0" t="n">
        <v>582578</v>
      </c>
      <c r="D6" s="0" t="n">
        <v>171158</v>
      </c>
      <c r="E6" s="0" t="n">
        <v>22.708</v>
      </c>
      <c r="F6" s="0" t="n">
        <v>69445</v>
      </c>
      <c r="G6" s="0" t="n">
        <v>9.2134</v>
      </c>
      <c r="H6" s="0" t="n">
        <v>104215</v>
      </c>
      <c r="I6" s="0" t="n">
        <v>39675</v>
      </c>
      <c r="J6" s="0" t="n">
        <v>5.2638</v>
      </c>
      <c r="K6" s="0" t="n">
        <v>125.22</v>
      </c>
      <c r="L6" s="0" t="n">
        <v>99884</v>
      </c>
      <c r="M6" s="0" t="n">
        <v>25706</v>
      </c>
      <c r="N6" s="0" t="n">
        <v>74178</v>
      </c>
      <c r="O6" s="0" t="n">
        <v>340157</v>
      </c>
      <c r="P6" s="0" t="n">
        <v>734770</v>
      </c>
      <c r="Q6" s="0" t="n">
        <v>361046</v>
      </c>
      <c r="R6" s="0" t="n">
        <v>199600</v>
      </c>
      <c r="S6" s="0" t="n">
        <v>74869</v>
      </c>
      <c r="T6" s="0" t="n">
        <v>316.8424</v>
      </c>
      <c r="AA6" s="0" t="s">
        <v>17</v>
      </c>
      <c r="AB6" s="0" t="s">
        <v>14</v>
      </c>
    </row>
    <row r="7" customFormat="false" ht="15" hidden="false" customHeight="false" outlineLevel="0" collapsed="false">
      <c r="A7" s="0" t="s">
        <v>68</v>
      </c>
      <c r="B7" s="0" t="n">
        <v>743028</v>
      </c>
      <c r="C7" s="0" t="n">
        <v>527743</v>
      </c>
      <c r="D7" s="0" t="n">
        <v>215285</v>
      </c>
      <c r="E7" s="0" t="n">
        <v>28.974</v>
      </c>
      <c r="F7" s="0" t="n">
        <v>111217</v>
      </c>
      <c r="G7" s="0" t="n">
        <v>14.9681</v>
      </c>
      <c r="H7" s="0" t="n">
        <v>141193</v>
      </c>
      <c r="I7" s="0" t="n">
        <v>75664</v>
      </c>
      <c r="J7" s="0" t="n">
        <v>10.1832</v>
      </c>
      <c r="K7" s="0" t="n">
        <v>233.12</v>
      </c>
      <c r="L7" s="0" t="n">
        <v>115716</v>
      </c>
      <c r="M7" s="0" t="n">
        <v>34550</v>
      </c>
      <c r="N7" s="0" t="n">
        <v>81166</v>
      </c>
      <c r="O7" s="0" t="n">
        <v>413210</v>
      </c>
      <c r="P7" s="0" t="n">
        <v>782624</v>
      </c>
      <c r="Q7" s="0" t="n">
        <v>334288</v>
      </c>
      <c r="R7" s="0" t="n">
        <v>139800</v>
      </c>
      <c r="S7" s="0" t="n">
        <v>85460</v>
      </c>
      <c r="T7" s="0" t="n">
        <v>324.571</v>
      </c>
      <c r="AA7" s="0" t="s">
        <v>17</v>
      </c>
      <c r="AB7" s="0" t="s">
        <v>14</v>
      </c>
    </row>
    <row r="8" customFormat="false" ht="15" hidden="false" customHeight="false" outlineLevel="0" collapsed="false">
      <c r="A8" s="0" t="s">
        <v>69</v>
      </c>
      <c r="B8" s="0" t="n">
        <v>822858</v>
      </c>
      <c r="C8" s="0" t="n">
        <v>581812</v>
      </c>
      <c r="D8" s="0" t="n">
        <v>241046</v>
      </c>
      <c r="E8" s="0" t="n">
        <v>29.2938</v>
      </c>
      <c r="F8" s="0" t="n">
        <v>130581</v>
      </c>
      <c r="G8" s="0" t="n">
        <v>15.8692</v>
      </c>
      <c r="H8" s="0" t="n">
        <v>163199</v>
      </c>
      <c r="I8" s="0" t="n">
        <v>88795</v>
      </c>
      <c r="J8" s="0" t="n">
        <v>10.791</v>
      </c>
      <c r="K8" s="0" t="n">
        <v>273.49</v>
      </c>
      <c r="L8" s="0" t="n">
        <v>115430</v>
      </c>
      <c r="M8" s="0" t="n">
        <v>41837</v>
      </c>
      <c r="N8" s="0" t="n">
        <v>73593</v>
      </c>
      <c r="O8" s="0" t="n">
        <v>490825</v>
      </c>
      <c r="P8" s="0" t="n">
        <v>852803</v>
      </c>
      <c r="Q8" s="0" t="n">
        <v>324736</v>
      </c>
      <c r="R8" s="0" t="n">
        <v>107800</v>
      </c>
      <c r="S8" s="0" t="n">
        <v>106179</v>
      </c>
      <c r="T8" s="0" t="n">
        <v>324.6737</v>
      </c>
      <c r="AA8" s="0" t="s">
        <v>17</v>
      </c>
      <c r="AB8" s="0" t="s">
        <v>14</v>
      </c>
    </row>
    <row r="9" customFormat="false" ht="15" hidden="false" customHeight="false" outlineLevel="0" collapsed="false">
      <c r="A9" s="0" t="s">
        <v>70</v>
      </c>
      <c r="B9" s="0" t="n">
        <v>861500</v>
      </c>
      <c r="F9" s="0" t="n">
        <v>105700</v>
      </c>
      <c r="G9" s="0" t="n">
        <v>12.2693</v>
      </c>
      <c r="H9" s="0" t="n">
        <v>137000</v>
      </c>
      <c r="I9" s="0" t="n">
        <v>78100</v>
      </c>
      <c r="J9" s="0" t="n">
        <v>9.0656</v>
      </c>
      <c r="K9" s="0" t="n">
        <v>240.62</v>
      </c>
      <c r="L9" s="0" t="n">
        <v>77500</v>
      </c>
      <c r="O9" s="0" t="n">
        <v>540971.2</v>
      </c>
      <c r="P9" s="0" t="n">
        <v>878200</v>
      </c>
      <c r="Q9" s="0" t="n">
        <v>298700</v>
      </c>
      <c r="R9" s="0" t="n">
        <v>101100</v>
      </c>
      <c r="S9" s="0" t="n">
        <v>92095</v>
      </c>
      <c r="T9" s="0" t="n">
        <v>324.5782</v>
      </c>
      <c r="AA9" s="0" t="s">
        <v>17</v>
      </c>
      <c r="AB9" s="0" t="s">
        <v>14</v>
      </c>
    </row>
    <row r="10" customFormat="false" ht="15" hidden="false" customHeight="false" outlineLevel="0" collapsed="false">
      <c r="A10" s="0" t="s">
        <v>71</v>
      </c>
      <c r="B10" s="0" t="n">
        <v>786083</v>
      </c>
      <c r="C10" s="0" t="n">
        <v>584836</v>
      </c>
      <c r="D10" s="0" t="n">
        <v>201247</v>
      </c>
      <c r="E10" s="0" t="n">
        <v>25.6012</v>
      </c>
      <c r="F10" s="0" t="n">
        <v>81658</v>
      </c>
      <c r="G10" s="0" t="n">
        <v>10.388</v>
      </c>
      <c r="H10" s="0" t="n">
        <v>116557</v>
      </c>
      <c r="I10" s="0" t="n">
        <v>55551</v>
      </c>
      <c r="J10" s="0" t="n">
        <v>7.0668</v>
      </c>
      <c r="K10" s="0" t="n">
        <v>171.03</v>
      </c>
      <c r="L10" s="0" t="n">
        <v>99924</v>
      </c>
      <c r="M10" s="0" t="n">
        <v>62403</v>
      </c>
      <c r="N10" s="0" t="n">
        <v>37521</v>
      </c>
      <c r="O10" s="0" t="n">
        <v>567546</v>
      </c>
      <c r="P10" s="0" t="n">
        <v>886592</v>
      </c>
      <c r="Q10" s="0" t="n">
        <v>276932</v>
      </c>
      <c r="R10" s="0" t="n">
        <v>95900</v>
      </c>
      <c r="S10" s="0" t="n">
        <v>97235</v>
      </c>
      <c r="T10" s="0" t="n">
        <v>324.8027</v>
      </c>
      <c r="V10" s="0" t="n">
        <v>56</v>
      </c>
      <c r="AA10" s="0" t="s">
        <v>17</v>
      </c>
      <c r="AB10" s="0" t="s">
        <v>14</v>
      </c>
    </row>
    <row r="11" customFormat="false" ht="15" hidden="false" customHeight="false" outlineLevel="0" collapsed="false">
      <c r="A11" s="0" t="s">
        <v>72</v>
      </c>
      <c r="B11" s="0" t="n">
        <v>732851</v>
      </c>
      <c r="C11" s="0" t="n">
        <v>528463</v>
      </c>
      <c r="D11" s="0" t="n">
        <v>204388</v>
      </c>
      <c r="E11" s="0" t="n">
        <v>27.8894</v>
      </c>
      <c r="F11" s="0" t="n">
        <v>87820</v>
      </c>
      <c r="G11" s="0" t="n">
        <v>11.9833</v>
      </c>
      <c r="H11" s="0" t="n">
        <v>128282</v>
      </c>
      <c r="I11" s="0" t="n">
        <v>63276</v>
      </c>
      <c r="J11" s="0" t="n">
        <v>8.6342</v>
      </c>
      <c r="K11" s="0" t="n">
        <v>197.89</v>
      </c>
      <c r="L11" s="0" t="n">
        <v>95107</v>
      </c>
      <c r="M11" s="0" t="n">
        <v>50152</v>
      </c>
      <c r="N11" s="0" t="n">
        <v>44955</v>
      </c>
      <c r="O11" s="0" t="n">
        <v>615571</v>
      </c>
      <c r="P11" s="0" t="n">
        <v>982776</v>
      </c>
      <c r="Q11" s="0" t="n">
        <v>321096</v>
      </c>
      <c r="R11" s="0" t="n">
        <v>126500</v>
      </c>
      <c r="S11" s="0" t="n">
        <v>148398</v>
      </c>
      <c r="T11" s="0" t="n">
        <v>319.7534</v>
      </c>
      <c r="V11" s="0" t="n">
        <v>60</v>
      </c>
      <c r="AA11" s="0" t="s">
        <v>17</v>
      </c>
      <c r="AB11" s="0" t="s">
        <v>14</v>
      </c>
    </row>
    <row r="12" customFormat="false" ht="15" hidden="false" customHeight="false" outlineLevel="0" collapsed="false">
      <c r="A12" s="0" t="s">
        <v>73</v>
      </c>
      <c r="B12" s="0" t="n">
        <v>918581</v>
      </c>
      <c r="C12" s="0" t="n">
        <v>646557</v>
      </c>
      <c r="D12" s="0" t="n">
        <v>272024</v>
      </c>
      <c r="E12" s="0" t="n">
        <v>29.6135</v>
      </c>
      <c r="F12" s="0" t="n">
        <v>144045</v>
      </c>
      <c r="G12" s="0" t="n">
        <v>15.6813</v>
      </c>
      <c r="H12" s="0" t="n">
        <v>184708</v>
      </c>
      <c r="I12" s="0" t="n">
        <v>107939</v>
      </c>
      <c r="J12" s="0" t="n">
        <v>11.7506</v>
      </c>
      <c r="K12" s="0" t="n">
        <v>339.23</v>
      </c>
      <c r="L12" s="0" t="n">
        <v>108616</v>
      </c>
      <c r="M12" s="0" t="n">
        <v>44483</v>
      </c>
      <c r="N12" s="0" t="n">
        <v>64133</v>
      </c>
      <c r="O12" s="0" t="n">
        <v>708916</v>
      </c>
      <c r="P12" s="0" t="n">
        <v>1087667</v>
      </c>
      <c r="Q12" s="0" t="n">
        <v>327943</v>
      </c>
      <c r="R12" s="0" t="n">
        <v>91905</v>
      </c>
      <c r="S12" s="0" t="n">
        <v>160813</v>
      </c>
      <c r="T12" s="0" t="n">
        <v>318.1882</v>
      </c>
      <c r="V12" s="0" t="n">
        <v>80</v>
      </c>
      <c r="AA12" s="0" t="s">
        <v>17</v>
      </c>
      <c r="AB12" s="0" t="s">
        <v>14</v>
      </c>
    </row>
    <row r="13" customFormat="false" ht="15" hidden="false" customHeight="false" outlineLevel="0" collapsed="false">
      <c r="A13" s="0" t="s">
        <v>74</v>
      </c>
      <c r="B13" s="0" t="n">
        <v>1064377</v>
      </c>
      <c r="C13" s="0" t="n">
        <v>845193</v>
      </c>
      <c r="D13" s="0" t="n">
        <v>219184</v>
      </c>
      <c r="E13" s="0" t="n">
        <v>20.5927</v>
      </c>
      <c r="F13" s="0" t="n">
        <v>74606</v>
      </c>
      <c r="G13" s="0" t="n">
        <v>7.0094</v>
      </c>
      <c r="H13" s="0" t="n">
        <v>117668</v>
      </c>
      <c r="I13" s="0" t="n">
        <v>50336</v>
      </c>
      <c r="J13" s="0" t="n">
        <v>4.7292</v>
      </c>
      <c r="K13" s="0" t="n">
        <v>158.14</v>
      </c>
      <c r="L13" s="0" t="n">
        <v>-16240</v>
      </c>
      <c r="M13" s="0" t="n">
        <v>79622</v>
      </c>
      <c r="N13" s="0" t="n">
        <v>-95862</v>
      </c>
      <c r="O13" s="0" t="n">
        <v>738804</v>
      </c>
      <c r="P13" s="0" t="n">
        <v>1194252</v>
      </c>
      <c r="Q13" s="0" t="n">
        <v>400053</v>
      </c>
      <c r="R13" s="0" t="n">
        <v>176730</v>
      </c>
      <c r="S13" s="0" t="n">
        <v>119422</v>
      </c>
      <c r="T13" s="0" t="n">
        <v>318.3002</v>
      </c>
      <c r="V13" s="0" t="n">
        <v>80</v>
      </c>
      <c r="AA13" s="0" t="s">
        <v>17</v>
      </c>
      <c r="AB13" s="0" t="s">
        <v>14</v>
      </c>
    </row>
    <row r="14" customFormat="false" ht="15" hidden="false" customHeight="false" outlineLevel="0" collapsed="false">
      <c r="A14" s="0" t="s">
        <v>75</v>
      </c>
      <c r="B14" s="0" t="n">
        <v>1005640</v>
      </c>
      <c r="C14" s="0" t="n">
        <v>779415</v>
      </c>
      <c r="D14" s="0" t="n">
        <v>226225</v>
      </c>
      <c r="E14" s="0" t="n">
        <v>22.4956</v>
      </c>
      <c r="F14" s="0" t="n">
        <v>79846</v>
      </c>
      <c r="G14" s="0" t="n">
        <v>7.9398</v>
      </c>
      <c r="H14" s="0" t="n">
        <v>124358</v>
      </c>
      <c r="I14" s="0" t="n">
        <v>57325</v>
      </c>
      <c r="J14" s="0" t="n">
        <v>5.7004</v>
      </c>
      <c r="K14" s="0" t="n">
        <v>180.07</v>
      </c>
      <c r="L14" s="0" t="n">
        <v>116974</v>
      </c>
      <c r="M14" s="0" t="n">
        <v>58713</v>
      </c>
      <c r="N14" s="0" t="n">
        <v>58261</v>
      </c>
      <c r="O14" s="0" t="n">
        <v>794516</v>
      </c>
      <c r="P14" s="0" t="n">
        <v>1289949</v>
      </c>
      <c r="Q14" s="0" t="n">
        <v>431183</v>
      </c>
      <c r="R14" s="0" t="n">
        <v>176335</v>
      </c>
      <c r="S14" s="0" t="n">
        <v>148971</v>
      </c>
      <c r="T14" s="0" t="n">
        <v>318.3484</v>
      </c>
      <c r="V14" s="0" t="n">
        <v>85</v>
      </c>
      <c r="AA14" s="0" t="s">
        <v>17</v>
      </c>
      <c r="AB14" s="0" t="s">
        <v>14</v>
      </c>
    </row>
    <row r="15" customFormat="false" ht="15" hidden="false" customHeight="false" outlineLevel="0" collapsed="false">
      <c r="A15" s="0" t="s">
        <v>76</v>
      </c>
      <c r="B15" s="0" t="n">
        <v>1063382</v>
      </c>
      <c r="C15" s="0" t="n">
        <v>804376</v>
      </c>
      <c r="D15" s="0" t="n">
        <v>259006</v>
      </c>
      <c r="E15" s="0" t="n">
        <v>24.3568</v>
      </c>
      <c r="F15" s="0" t="n">
        <v>98906</v>
      </c>
      <c r="G15" s="0" t="n">
        <v>9.3011</v>
      </c>
      <c r="H15" s="0" t="n">
        <v>146414</v>
      </c>
      <c r="I15" s="0" t="n">
        <v>58002</v>
      </c>
      <c r="J15" s="0" t="n">
        <v>5.4545</v>
      </c>
      <c r="K15" s="0" t="n">
        <v>182.13</v>
      </c>
      <c r="L15" s="0" t="n">
        <v>106244</v>
      </c>
      <c r="M15" s="0" t="n">
        <v>79897</v>
      </c>
      <c r="N15" s="0" t="n">
        <v>26347</v>
      </c>
      <c r="O15" s="0" t="n">
        <v>827068</v>
      </c>
      <c r="P15" s="0" t="n">
        <v>1327298</v>
      </c>
      <c r="Q15" s="0" t="n">
        <v>424880</v>
      </c>
      <c r="R15" s="0" t="n">
        <v>179104</v>
      </c>
      <c r="S15" s="0" t="n">
        <v>138849</v>
      </c>
      <c r="T15" s="0" t="n">
        <v>318.4648</v>
      </c>
      <c r="V15" s="0" t="n">
        <v>100</v>
      </c>
      <c r="AA15" s="0" t="s">
        <v>17</v>
      </c>
      <c r="AB15"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2537.5</v>
      </c>
    </row>
    <row r="3" customFormat="false" ht="15" hidden="false" customHeight="false" outlineLevel="0" collapsed="false">
      <c r="A3" s="0" t="s">
        <v>80</v>
      </c>
      <c r="B3" s="3" t="n">
        <v>310.363</v>
      </c>
    </row>
    <row r="4" customFormat="false" ht="15" hidden="false" customHeight="false" outlineLevel="0" collapsed="false">
      <c r="A4" s="0" t="s">
        <v>81</v>
      </c>
      <c r="B4" s="3" t="n">
        <v>71906</v>
      </c>
    </row>
    <row r="5" customFormat="false" ht="15" hidden="false" customHeight="false" outlineLevel="0" collapsed="false">
      <c r="A5" s="0" t="s">
        <v>82</v>
      </c>
      <c r="B5" s="3" t="n">
        <v>78021</v>
      </c>
    </row>
    <row r="6" customFormat="false" ht="15" hidden="false" customHeight="false" outlineLevel="0" collapsed="false">
      <c r="A6" s="0" t="s">
        <v>83</v>
      </c>
      <c r="B6" s="3" t="n">
        <v>15</v>
      </c>
    </row>
    <row r="7" customFormat="false" ht="15" hidden="false" customHeight="false" outlineLevel="0" collapsed="false">
      <c r="A7" s="0" t="s">
        <v>84</v>
      </c>
      <c r="B7" s="3" t="n">
        <v>1063382</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-5.5</v>
      </c>
      <c r="D13" s="3" t="n">
        <v>-2</v>
      </c>
      <c r="E13" s="3" t="n">
        <v>0</v>
      </c>
      <c r="F13" s="3" t="n">
        <v>1</v>
      </c>
      <c r="G13" s="3" t="n">
        <v>1</v>
      </c>
      <c r="H13" s="3" t="n">
        <v>1</v>
      </c>
      <c r="I13" s="3" t="n">
        <v>1</v>
      </c>
      <c r="J13" s="3" t="n">
        <v>1</v>
      </c>
      <c r="K13" s="3" t="n">
        <v>1</v>
      </c>
      <c r="L13" s="3" t="n">
        <v>1</v>
      </c>
    </row>
    <row r="14" customFormat="false" ht="15" hidden="false" customHeight="false" outlineLevel="0" collapsed="false">
      <c r="A14" s="0" t="s">
        <v>101</v>
      </c>
      <c r="C14" s="3" t="n">
        <v>13.3</v>
      </c>
      <c r="D14" s="3" t="n">
        <v>12.5</v>
      </c>
      <c r="E14" s="3" t="n">
        <v>12</v>
      </c>
      <c r="F14" s="3" t="n">
        <v>12</v>
      </c>
      <c r="G14" s="3" t="n">
        <v>12.5</v>
      </c>
      <c r="H14" s="3" t="n">
        <v>12.5</v>
      </c>
      <c r="I14" s="3" t="n">
        <v>12.5</v>
      </c>
      <c r="J14" s="3" t="n">
        <v>12.5</v>
      </c>
      <c r="K14" s="3" t="n">
        <v>12.5</v>
      </c>
      <c r="L14" s="3" t="n">
        <v>12.5</v>
      </c>
    </row>
    <row r="15" customFormat="false" ht="15" hidden="false" customHeight="false" outlineLevel="0" collapsed="false">
      <c r="A15" s="0" t="s">
        <v>102</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4.8</v>
      </c>
      <c r="D17" s="3" t="n">
        <v>5</v>
      </c>
      <c r="E17" s="3" t="n">
        <v>5.1</v>
      </c>
      <c r="F17" s="3" t="n">
        <v>5.2</v>
      </c>
      <c r="G17" s="3" t="n">
        <v>5.2</v>
      </c>
      <c r="H17" s="3" t="n">
        <v>5.2</v>
      </c>
      <c r="I17" s="3" t="n">
        <v>5</v>
      </c>
      <c r="J17" s="3" t="n">
        <v>5</v>
      </c>
      <c r="K17" s="3" t="n">
        <v>5</v>
      </c>
      <c r="L17" s="3" t="n">
        <v>5</v>
      </c>
    </row>
    <row r="18" customFormat="false" ht="15" hidden="false" customHeight="false" outlineLevel="0" collapsed="false">
      <c r="A18" s="0" t="s">
        <v>105</v>
      </c>
      <c r="C18" s="3" t="n">
        <v>7.5</v>
      </c>
      <c r="D18" s="3" t="n">
        <v>7</v>
      </c>
      <c r="E18" s="3" t="n">
        <v>6</v>
      </c>
      <c r="F18" s="3" t="n">
        <v>5.5</v>
      </c>
      <c r="G18" s="3" t="n">
        <v>5.5</v>
      </c>
      <c r="H18" s="3" t="n">
        <v>5.5</v>
      </c>
      <c r="I18" s="3" t="n">
        <v>5.5</v>
      </c>
      <c r="J18" s="3" t="n">
        <v>5.5</v>
      </c>
      <c r="K18" s="3" t="n">
        <v>5.5</v>
      </c>
      <c r="L18" s="3" t="n">
        <v>5.5</v>
      </c>
    </row>
    <row r="19" customFormat="false" ht="15" hidden="false" customHeight="false" outlineLevel="0" collapsed="false">
      <c r="A19" s="0" t="s">
        <v>106</v>
      </c>
      <c r="C19" s="3" t="n">
        <v>45</v>
      </c>
      <c r="D19" s="3" t="n">
        <v>45</v>
      </c>
      <c r="E19" s="3" t="n">
        <v>45</v>
      </c>
      <c r="F19" s="3" t="n">
        <v>45</v>
      </c>
      <c r="G19" s="3" t="n">
        <v>45</v>
      </c>
      <c r="H19" s="3" t="n">
        <v>45</v>
      </c>
      <c r="I19" s="3" t="n">
        <v>45</v>
      </c>
      <c r="J19" s="3" t="n">
        <v>45</v>
      </c>
      <c r="K19" s="3" t="n">
        <v>45</v>
      </c>
      <c r="L19" s="3" t="n">
        <v>45</v>
      </c>
    </row>
    <row r="20" customFormat="false" ht="15" hidden="false" customHeight="false" outlineLevel="0" collapsed="false">
      <c r="A20" s="0" t="s">
        <v>107</v>
      </c>
      <c r="B20" s="3" t="n">
        <v>7.5</v>
      </c>
    </row>
    <row r="21" customFormat="false" ht="15" hidden="false" customHeight="false" outlineLevel="0" collapsed="false">
      <c r="A21" s="0" t="s">
        <v>108</v>
      </c>
      <c r="B21" s="3" t="n">
        <v>1</v>
      </c>
    </row>
    <row r="22" customFormat="false" ht="15" hidden="false" customHeight="false" outlineLevel="0" collapsed="false">
      <c r="A22" s="0" t="s">
        <v>109</v>
      </c>
      <c r="B22" s="3" t="n">
        <v>15</v>
      </c>
    </row>
    <row r="23" customFormat="false" ht="15" hidden="false" customHeight="false" outlineLevel="0" collapsed="false">
      <c r="A23" s="0" t="s">
        <v>110</v>
      </c>
      <c r="B23" s="3" t="n">
        <v>-30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-5</v>
      </c>
      <c r="D27" s="3" t="n">
        <v>2.5</v>
      </c>
      <c r="E27" s="3" t="n">
        <v>3</v>
      </c>
      <c r="F27" s="3" t="n">
        <v>2.5</v>
      </c>
      <c r="G27" s="3" t="n">
        <v>2</v>
      </c>
      <c r="H27" s="3" t="n">
        <v>2</v>
      </c>
      <c r="I27" s="3" t="n">
        <v>1.5</v>
      </c>
      <c r="J27" s="3" t="n">
        <v>1.5</v>
      </c>
      <c r="K27" s="3" t="n">
        <v>1.5</v>
      </c>
      <c r="L27" s="3" t="n">
        <v>1.5</v>
      </c>
    </row>
    <row r="28" customFormat="false" ht="15" hidden="false" customHeight="false" outlineLevel="0" collapsed="false">
      <c r="A28" s="0" t="s">
        <v>101</v>
      </c>
      <c r="C28" s="3" t="n">
        <v>13.7</v>
      </c>
      <c r="D28" s="3" t="n">
        <v>14.3</v>
      </c>
      <c r="E28" s="3" t="n">
        <v>15</v>
      </c>
      <c r="F28" s="3" t="n">
        <v>15.5</v>
      </c>
      <c r="G28" s="3" t="n">
        <v>15.5</v>
      </c>
      <c r="H28" s="3" t="n">
        <v>15.5</v>
      </c>
      <c r="I28" s="3" t="n">
        <v>15.5</v>
      </c>
      <c r="J28" s="3" t="n">
        <v>15.5</v>
      </c>
      <c r="K28" s="3" t="n">
        <v>15.5</v>
      </c>
      <c r="L28" s="3" t="n">
        <v>15.5</v>
      </c>
    </row>
    <row r="29" customFormat="false" ht="15" hidden="false" customHeight="false" outlineLevel="0" collapsed="false">
      <c r="A29" s="0" t="s">
        <v>102</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4.75</v>
      </c>
      <c r="D31" s="3" t="n">
        <v>4.8</v>
      </c>
      <c r="E31" s="3" t="n">
        <v>4.9</v>
      </c>
      <c r="F31" s="3" t="n">
        <v>5</v>
      </c>
      <c r="G31" s="3" t="n">
        <v>5</v>
      </c>
      <c r="H31" s="3" t="n">
        <v>5</v>
      </c>
      <c r="I31" s="3" t="n">
        <v>5</v>
      </c>
      <c r="J31" s="3" t="n">
        <v>5</v>
      </c>
      <c r="K31" s="3" t="n">
        <v>5</v>
      </c>
      <c r="L31" s="3" t="n">
        <v>5</v>
      </c>
    </row>
    <row r="32" customFormat="false" ht="15" hidden="false" customHeight="false" outlineLevel="0" collapsed="false">
      <c r="A32" s="0" t="s">
        <v>105</v>
      </c>
      <c r="C32" s="3" t="n">
        <v>7.5</v>
      </c>
      <c r="D32" s="3" t="n">
        <v>7</v>
      </c>
      <c r="E32" s="3" t="n">
        <v>6.5</v>
      </c>
      <c r="F32" s="3" t="n">
        <v>6</v>
      </c>
      <c r="G32" s="3" t="n">
        <v>5.5</v>
      </c>
      <c r="H32" s="3" t="n">
        <v>5.5</v>
      </c>
      <c r="I32" s="3" t="n">
        <v>5.5</v>
      </c>
      <c r="J32" s="3" t="n">
        <v>5.5</v>
      </c>
      <c r="K32" s="3" t="n">
        <v>5.5</v>
      </c>
      <c r="L32" s="3" t="n">
        <v>5.5</v>
      </c>
    </row>
    <row r="33" customFormat="false" ht="15" hidden="false" customHeight="false" outlineLevel="0" collapsed="false">
      <c r="A33" s="0" t="s">
        <v>106</v>
      </c>
      <c r="C33" s="3" t="n">
        <v>43</v>
      </c>
      <c r="D33" s="3" t="n">
        <v>43</v>
      </c>
      <c r="E33" s="3" t="n">
        <v>43</v>
      </c>
      <c r="F33" s="3" t="n">
        <v>43</v>
      </c>
      <c r="G33" s="3" t="n">
        <v>43</v>
      </c>
      <c r="H33" s="3" t="n">
        <v>43</v>
      </c>
      <c r="I33" s="3" t="n">
        <v>43</v>
      </c>
      <c r="J33" s="3" t="n">
        <v>43</v>
      </c>
      <c r="K33" s="3" t="n">
        <v>43</v>
      </c>
      <c r="L33" s="3" t="n">
        <v>43</v>
      </c>
    </row>
    <row r="34" customFormat="false" ht="15" hidden="false" customHeight="false" outlineLevel="0" collapsed="false">
      <c r="A34" s="0" t="s">
        <v>107</v>
      </c>
      <c r="B34" s="3" t="n">
        <v>7.5</v>
      </c>
    </row>
    <row r="35" customFormat="false" ht="15" hidden="false" customHeight="false" outlineLevel="0" collapsed="false">
      <c r="A35" s="0" t="s">
        <v>108</v>
      </c>
      <c r="B35" s="3" t="n">
        <v>1.5</v>
      </c>
    </row>
    <row r="36" customFormat="false" ht="15" hidden="false" customHeight="false" outlineLevel="0" collapsed="false">
      <c r="A36" s="0" t="s">
        <v>109</v>
      </c>
      <c r="B36" s="3" t="n">
        <v>15</v>
      </c>
    </row>
    <row r="37" customFormat="false" ht="15" hidden="false" customHeight="false" outlineLevel="0" collapsed="false">
      <c r="A37" s="0" t="s">
        <v>110</v>
      </c>
      <c r="B37" s="3" t="n">
        <v>-30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-4</v>
      </c>
      <c r="D41" s="3" t="n">
        <v>4</v>
      </c>
      <c r="E41" s="3" t="n">
        <v>5</v>
      </c>
      <c r="F41" s="3" t="n">
        <v>4</v>
      </c>
      <c r="G41" s="3" t="n">
        <v>3</v>
      </c>
      <c r="H41" s="3" t="n">
        <v>3</v>
      </c>
      <c r="I41" s="3" t="n">
        <v>2.5</v>
      </c>
      <c r="J41" s="3" t="n">
        <v>2</v>
      </c>
      <c r="K41" s="3" t="n">
        <v>2</v>
      </c>
      <c r="L41" s="3" t="n">
        <v>2</v>
      </c>
    </row>
    <row r="42" customFormat="false" ht="15" hidden="false" customHeight="false" outlineLevel="0" collapsed="false">
      <c r="A42" s="0" t="s">
        <v>101</v>
      </c>
      <c r="C42" s="3" t="n">
        <v>13.9</v>
      </c>
      <c r="D42" s="3" t="n">
        <v>15.5</v>
      </c>
      <c r="E42" s="3" t="n">
        <v>17</v>
      </c>
      <c r="F42" s="3" t="n">
        <v>18</v>
      </c>
      <c r="G42" s="3" t="n">
        <v>18</v>
      </c>
      <c r="H42" s="3" t="n">
        <v>18</v>
      </c>
      <c r="I42" s="3" t="n">
        <v>18</v>
      </c>
      <c r="J42" s="3" t="n">
        <v>18</v>
      </c>
      <c r="K42" s="3" t="n">
        <v>18</v>
      </c>
      <c r="L42" s="3" t="n">
        <v>18</v>
      </c>
    </row>
    <row r="43" customFormat="false" ht="15" hidden="false" customHeight="false" outlineLevel="0" collapsed="false">
      <c r="A43" s="0" t="s">
        <v>102</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4.75</v>
      </c>
      <c r="D45" s="3" t="n">
        <v>4.8</v>
      </c>
      <c r="E45" s="3" t="n">
        <v>4.9</v>
      </c>
      <c r="F45" s="3" t="n">
        <v>5</v>
      </c>
      <c r="G45" s="3" t="n">
        <v>5</v>
      </c>
      <c r="H45" s="3" t="n">
        <v>5</v>
      </c>
      <c r="I45" s="3" t="n">
        <v>5</v>
      </c>
      <c r="J45" s="3" t="n">
        <v>5</v>
      </c>
      <c r="K45" s="3" t="n">
        <v>5</v>
      </c>
      <c r="L45" s="3" t="n">
        <v>5</v>
      </c>
    </row>
    <row r="46" customFormat="false" ht="15" hidden="false" customHeight="false" outlineLevel="0" collapsed="false">
      <c r="A46" s="0" t="s">
        <v>105</v>
      </c>
      <c r="C46" s="3" t="n">
        <v>7.5</v>
      </c>
      <c r="D46" s="3" t="n">
        <v>7</v>
      </c>
      <c r="E46" s="3" t="n">
        <v>6.5</v>
      </c>
      <c r="F46" s="3" t="n">
        <v>6</v>
      </c>
      <c r="G46" s="3" t="n">
        <v>6</v>
      </c>
      <c r="H46" s="3" t="n">
        <v>5.5</v>
      </c>
      <c r="I46" s="3" t="n">
        <v>5.5</v>
      </c>
      <c r="J46" s="3" t="n">
        <v>5.5</v>
      </c>
      <c r="K46" s="3" t="n">
        <v>5.5</v>
      </c>
      <c r="L46" s="3" t="n">
        <v>5.5</v>
      </c>
    </row>
    <row r="47" customFormat="false" ht="15" hidden="false" customHeight="false" outlineLevel="0" collapsed="false">
      <c r="A47" s="0" t="s">
        <v>106</v>
      </c>
      <c r="C47" s="3" t="n">
        <v>43</v>
      </c>
      <c r="D47" s="3" t="n">
        <v>43</v>
      </c>
      <c r="E47" s="3" t="n">
        <v>43</v>
      </c>
      <c r="F47" s="3" t="n">
        <v>43</v>
      </c>
      <c r="G47" s="3" t="n">
        <v>43</v>
      </c>
      <c r="H47" s="3" t="n">
        <v>43</v>
      </c>
      <c r="I47" s="3" t="n">
        <v>43</v>
      </c>
      <c r="J47" s="3" t="n">
        <v>43</v>
      </c>
      <c r="K47" s="3" t="n">
        <v>43</v>
      </c>
      <c r="L47" s="3" t="n">
        <v>43</v>
      </c>
    </row>
    <row r="48" customFormat="false" ht="15" hidden="false" customHeight="false" outlineLevel="0" collapsed="false">
      <c r="A48" s="0" t="s">
        <v>107</v>
      </c>
      <c r="B48" s="3" t="n">
        <v>7.5</v>
      </c>
    </row>
    <row r="49" customFormat="false" ht="15" hidden="false" customHeight="false" outlineLevel="0" collapsed="false">
      <c r="A49" s="0" t="s">
        <v>108</v>
      </c>
      <c r="B49" s="3" t="n">
        <v>2</v>
      </c>
    </row>
    <row r="50" customFormat="false" ht="15" hidden="false" customHeight="false" outlineLevel="0" collapsed="false">
      <c r="A50" s="0" t="s">
        <v>109</v>
      </c>
      <c r="B50" s="3" t="n">
        <v>15</v>
      </c>
    </row>
    <row r="51" customFormat="false" ht="15" hidden="false" customHeight="false" outlineLevel="0" collapsed="false">
      <c r="A51" s="0" t="s">
        <v>110</v>
      </c>
      <c r="B51" s="3" t="n">
        <v>-30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-5.5</v>
      </c>
      <c r="D5" s="4" t="n">
        <f aca="false">Assumptions!D13</f>
        <v>-2</v>
      </c>
      <c r="E5" s="4" t="n">
        <f aca="false">Assumptions!E13</f>
        <v>0</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1063382</v>
      </c>
      <c r="C6" s="0" t="n">
        <f aca="false">B6*(1+C5/100)</f>
        <v>1004895.99</v>
      </c>
      <c r="D6" s="0" t="n">
        <f aca="false">C6*(1+D5/100)</f>
        <v>984798.0702</v>
      </c>
      <c r="E6" s="0" t="n">
        <f aca="false">D6*(1+E5/100)</f>
        <v>984798.0702</v>
      </c>
      <c r="F6" s="0" t="n">
        <f aca="false">E6*(1+F5/100)</f>
        <v>994646.050902</v>
      </c>
      <c r="G6" s="0" t="n">
        <f aca="false">F6*(1+G5/100)</f>
        <v>1004592.51141102</v>
      </c>
      <c r="H6" s="0" t="n">
        <f aca="false">G6*(1+H5/100)</f>
        <v>1014638.43652513</v>
      </c>
      <c r="I6" s="0" t="n">
        <f aca="false">H6*(1+I5/100)</f>
        <v>1024784.82089038</v>
      </c>
      <c r="J6" s="0" t="n">
        <f aca="false">I6*(1+J5/100)</f>
        <v>1035032.66909929</v>
      </c>
      <c r="K6" s="0" t="n">
        <f aca="false">J6*(1+K5/100)</f>
        <v>1045382.99579028</v>
      </c>
      <c r="L6" s="0" t="n">
        <f aca="false">K6*(1+L5/100)</f>
        <v>1055836.82574818</v>
      </c>
    </row>
    <row r="7" customFormat="false" ht="15" hidden="false" customHeight="false" outlineLevel="0" collapsed="false">
      <c r="A7" s="0" t="s">
        <v>101</v>
      </c>
      <c r="C7" s="4" t="n">
        <f aca="false">Assumptions!C14</f>
        <v>13.3</v>
      </c>
      <c r="D7" s="4" t="n">
        <f aca="false">Assumptions!D14</f>
        <v>12.5</v>
      </c>
      <c r="E7" s="4" t="n">
        <f aca="false">Assumptions!E14</f>
        <v>12</v>
      </c>
      <c r="F7" s="4" t="n">
        <f aca="false">Assumptions!F14</f>
        <v>12</v>
      </c>
      <c r="G7" s="4" t="n">
        <f aca="false">Assumptions!G14</f>
        <v>12.5</v>
      </c>
      <c r="H7" s="4" t="n">
        <f aca="false">Assumptions!H14</f>
        <v>12.5</v>
      </c>
      <c r="I7" s="4" t="n">
        <f aca="false">Assumptions!I14</f>
        <v>12.5</v>
      </c>
      <c r="J7" s="4" t="n">
        <f aca="false">Assumptions!J14</f>
        <v>12.5</v>
      </c>
      <c r="K7" s="4" t="n">
        <f aca="false">Assumptions!K14</f>
        <v>12.5</v>
      </c>
      <c r="L7" s="4" t="n">
        <f aca="false">Assumptions!L14</f>
        <v>12.5</v>
      </c>
    </row>
    <row r="8" customFormat="false" ht="15" hidden="false" customHeight="false" outlineLevel="0" collapsed="false">
      <c r="A8" s="0" t="s">
        <v>43</v>
      </c>
      <c r="C8" s="0" t="n">
        <f aca="false">C6*C7/100</f>
        <v>133651.16667</v>
      </c>
      <c r="D8" s="0" t="n">
        <f aca="false">D6*D7/100</f>
        <v>123099.758775</v>
      </c>
      <c r="E8" s="0" t="n">
        <f aca="false">E6*E7/100</f>
        <v>118175.768424</v>
      </c>
      <c r="F8" s="0" t="n">
        <f aca="false">F6*F7/100</f>
        <v>119357.52610824</v>
      </c>
      <c r="G8" s="0" t="n">
        <f aca="false">G6*G7/100</f>
        <v>125574.063926378</v>
      </c>
      <c r="H8" s="0" t="n">
        <f aca="false">H6*H7/100</f>
        <v>126829.804565641</v>
      </c>
      <c r="I8" s="0" t="n">
        <f aca="false">I6*I7/100</f>
        <v>128098.102611298</v>
      </c>
      <c r="J8" s="0" t="n">
        <f aca="false">J6*J7/100</f>
        <v>129379.083637411</v>
      </c>
      <c r="K8" s="0" t="n">
        <f aca="false">K6*K7/100</f>
        <v>130672.874473785</v>
      </c>
      <c r="L8" s="0" t="n">
        <f aca="false">L6*L7/100</f>
        <v>131979.603218523</v>
      </c>
    </row>
    <row r="9" customFormat="false" ht="15" hidden="false" customHeight="false" outlineLevel="0" collapsed="false">
      <c r="A9" s="0" t="s">
        <v>102</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133651.16667</v>
      </c>
      <c r="D11" s="0" t="n">
        <f aca="false">D8+D10+D24</f>
        <v>123099.758775</v>
      </c>
      <c r="E11" s="0" t="n">
        <f aca="false">E8+E10+E24</f>
        <v>118175.768424</v>
      </c>
      <c r="F11" s="0" t="n">
        <f aca="false">F8+F10+F24</f>
        <v>119357.52610824</v>
      </c>
      <c r="G11" s="0" t="n">
        <f aca="false">G8+G10+G24</f>
        <v>125574.063926378</v>
      </c>
      <c r="H11" s="0" t="n">
        <f aca="false">H8+H10+H24</f>
        <v>126829.804565641</v>
      </c>
      <c r="I11" s="0" t="n">
        <f aca="false">I8+I10+I24</f>
        <v>128098.102611298</v>
      </c>
      <c r="J11" s="0" t="n">
        <f aca="false">J8+J10+J24</f>
        <v>129379.083637411</v>
      </c>
      <c r="K11" s="0" t="n">
        <f aca="false">K8+K10+K24</f>
        <v>130672.874473785</v>
      </c>
      <c r="L11" s="0" t="n">
        <f aca="false">L8+L10+L24</f>
        <v>131979.603218523</v>
      </c>
    </row>
    <row r="12" customFormat="false" ht="15" hidden="false" customHeight="false" outlineLevel="0" collapsed="false">
      <c r="A12" s="0" t="s">
        <v>119</v>
      </c>
      <c r="C12" s="4" t="n">
        <f aca="false">-C6*Assumptions!C17/100</f>
        <v>-48235.00752</v>
      </c>
      <c r="D12" s="4" t="n">
        <f aca="false">-D6*Assumptions!D17/100</f>
        <v>-49239.90351</v>
      </c>
      <c r="E12" s="4" t="n">
        <f aca="false">-E6*Assumptions!E17/100</f>
        <v>-50224.7015802</v>
      </c>
      <c r="F12" s="4" t="n">
        <f aca="false">-F6*Assumptions!F17/100</f>
        <v>-51721.594646904</v>
      </c>
      <c r="G12" s="4" t="n">
        <f aca="false">-G6*Assumptions!G17/100</f>
        <v>-52238.810593373</v>
      </c>
      <c r="H12" s="4" t="n">
        <f aca="false">-H6*Assumptions!H17/100</f>
        <v>-52761.1986993068</v>
      </c>
      <c r="I12" s="4" t="n">
        <f aca="false">-I6*Assumptions!I17/100</f>
        <v>-51239.2410445191</v>
      </c>
      <c r="J12" s="4" t="n">
        <f aca="false">-J6*Assumptions!J17/100</f>
        <v>-51751.6334549643</v>
      </c>
      <c r="K12" s="4" t="n">
        <f aca="false">-K6*Assumptions!K17/100</f>
        <v>-52269.1497895139</v>
      </c>
      <c r="L12" s="4" t="n">
        <f aca="false">-L6*Assumptions!L17/100</f>
        <v>-52791.8412874091</v>
      </c>
    </row>
    <row r="13" customFormat="false" ht="15" hidden="false" customHeight="false" outlineLevel="0" collapsed="false">
      <c r="A13" s="0" t="s">
        <v>120</v>
      </c>
      <c r="C13" s="0" t="n">
        <f aca="false">C11+C12</f>
        <v>85416.15915</v>
      </c>
      <c r="D13" s="0" t="n">
        <f aca="false">D11+D12</f>
        <v>73859.855265</v>
      </c>
      <c r="E13" s="0" t="n">
        <f aca="false">E11+E12</f>
        <v>67951.0668438</v>
      </c>
      <c r="F13" s="0" t="n">
        <f aca="false">F11+F12</f>
        <v>67635.931461336</v>
      </c>
      <c r="G13" s="0" t="n">
        <f aca="false">G11+G12</f>
        <v>73335.2533330045</v>
      </c>
      <c r="H13" s="0" t="n">
        <f aca="false">H11+H12</f>
        <v>74068.6058663345</v>
      </c>
      <c r="I13" s="0" t="n">
        <f aca="false">I11+I12</f>
        <v>76858.8615667786</v>
      </c>
      <c r="J13" s="0" t="n">
        <f aca="false">J11+J12</f>
        <v>77627.4501824464</v>
      </c>
      <c r="K13" s="0" t="n">
        <f aca="false">K11+K12</f>
        <v>78403.7246842709</v>
      </c>
      <c r="L13" s="0" t="n">
        <f aca="false">L11+L12</f>
        <v>79187.7619311136</v>
      </c>
    </row>
    <row r="14" customFormat="false" ht="15" hidden="false" customHeight="false" outlineLevel="0" collapsed="false">
      <c r="A14" s="0" t="s">
        <v>106</v>
      </c>
      <c r="C14" s="4" t="n">
        <f aca="false">Assumptions!C19</f>
        <v>45</v>
      </c>
      <c r="D14" s="4" t="n">
        <f aca="false">Assumptions!D19</f>
        <v>45</v>
      </c>
      <c r="E14" s="4" t="n">
        <f aca="false">Assumptions!E19</f>
        <v>45</v>
      </c>
      <c r="F14" s="4" t="n">
        <f aca="false">Assumptions!F19</f>
        <v>45</v>
      </c>
      <c r="G14" s="4" t="n">
        <f aca="false">Assumptions!G19</f>
        <v>45</v>
      </c>
      <c r="H14" s="4" t="n">
        <f aca="false">Assumptions!H19</f>
        <v>45</v>
      </c>
      <c r="I14" s="4" t="n">
        <f aca="false">Assumptions!I19</f>
        <v>45</v>
      </c>
      <c r="J14" s="4" t="n">
        <f aca="false">Assumptions!J19</f>
        <v>45</v>
      </c>
      <c r="K14" s="4" t="n">
        <f aca="false">Assumptions!K19</f>
        <v>45</v>
      </c>
      <c r="L14" s="4" t="n">
        <f aca="false">Assumptions!L19</f>
        <v>45</v>
      </c>
    </row>
    <row r="15" customFormat="false" ht="15" hidden="false" customHeight="false" outlineLevel="0" collapsed="false">
      <c r="A15" s="0" t="s">
        <v>121</v>
      </c>
      <c r="C15" s="0" t="n">
        <f aca="false">C13-MAX(0,C13)*C14/100</f>
        <v>46978.8875325</v>
      </c>
      <c r="D15" s="0" t="n">
        <f aca="false">D13-MAX(0,D13)*D14/100</f>
        <v>40622.92039575</v>
      </c>
      <c r="E15" s="0" t="n">
        <f aca="false">E13-MAX(0,E13)*E14/100</f>
        <v>37373.08676409</v>
      </c>
      <c r="F15" s="0" t="n">
        <f aca="false">F13-MAX(0,F13)*F14/100</f>
        <v>37199.7623037348</v>
      </c>
      <c r="G15" s="0" t="n">
        <f aca="false">G13-MAX(0,G13)*G14/100</f>
        <v>40334.3893331525</v>
      </c>
      <c r="H15" s="0" t="n">
        <f aca="false">H13-MAX(0,H13)*H14/100</f>
        <v>40737.733226484</v>
      </c>
      <c r="I15" s="0" t="n">
        <f aca="false">I13-MAX(0,I13)*I14/100</f>
        <v>42272.3738617282</v>
      </c>
      <c r="J15" s="0" t="n">
        <f aca="false">J13-MAX(0,J13)*J14/100</f>
        <v>42695.0976003455</v>
      </c>
      <c r="K15" s="0" t="n">
        <f aca="false">K13-MAX(0,K13)*K14/100</f>
        <v>43122.048576349</v>
      </c>
      <c r="L15" s="0" t="n">
        <f aca="false">L13-MAX(0,L13)*L14/100</f>
        <v>43553.2690621125</v>
      </c>
    </row>
    <row r="16" customFormat="false" ht="15" hidden="false" customHeight="false" outlineLevel="0" collapsed="false">
      <c r="A16" s="0" t="s">
        <v>122</v>
      </c>
      <c r="C16" s="0" t="n">
        <f aca="false">-C12</f>
        <v>48235.00752</v>
      </c>
      <c r="D16" s="0" t="n">
        <f aca="false">-D12</f>
        <v>49239.90351</v>
      </c>
      <c r="E16" s="0" t="n">
        <f aca="false">-E12</f>
        <v>50224.7015802</v>
      </c>
      <c r="F16" s="0" t="n">
        <f aca="false">-F12</f>
        <v>51721.594646904</v>
      </c>
      <c r="G16" s="0" t="n">
        <f aca="false">-G12</f>
        <v>52238.810593373</v>
      </c>
      <c r="H16" s="0" t="n">
        <f aca="false">-H12</f>
        <v>52761.1986993068</v>
      </c>
      <c r="I16" s="0" t="n">
        <f aca="false">-I12</f>
        <v>51239.2410445191</v>
      </c>
      <c r="J16" s="0" t="n">
        <f aca="false">-J12</f>
        <v>51751.6334549643</v>
      </c>
      <c r="K16" s="0" t="n">
        <f aca="false">-K12</f>
        <v>52269.1497895139</v>
      </c>
      <c r="L16" s="0" t="n">
        <f aca="false">-L12</f>
        <v>52791.8412874091</v>
      </c>
    </row>
    <row r="17" customFormat="false" ht="15" hidden="false" customHeight="false" outlineLevel="0" collapsed="false">
      <c r="A17" s="0" t="s">
        <v>123</v>
      </c>
      <c r="C17" s="4" t="n">
        <f aca="false">-C6*Assumptions!C18/100</f>
        <v>-75367.19925</v>
      </c>
      <c r="D17" s="4" t="n">
        <f aca="false">-D6*Assumptions!D18/100</f>
        <v>-68935.864914</v>
      </c>
      <c r="E17" s="4" t="n">
        <f aca="false">-E6*Assumptions!E18/100</f>
        <v>-59087.884212</v>
      </c>
      <c r="F17" s="4" t="n">
        <f aca="false">-F6*Assumptions!F18/100</f>
        <v>-54705.53279961</v>
      </c>
      <c r="G17" s="4" t="n">
        <f aca="false">-G6*Assumptions!G18/100</f>
        <v>-55252.5881276061</v>
      </c>
      <c r="H17" s="4" t="n">
        <f aca="false">-H6*Assumptions!H18/100</f>
        <v>-55805.1140088822</v>
      </c>
      <c r="I17" s="4" t="n">
        <f aca="false">-I6*Assumptions!I18/100</f>
        <v>-56363.165148971</v>
      </c>
      <c r="J17" s="4" t="n">
        <f aca="false">-J6*Assumptions!J18/100</f>
        <v>-56926.7968004607</v>
      </c>
      <c r="K17" s="4" t="n">
        <f aca="false">-K6*Assumptions!K18/100</f>
        <v>-57496.0647684653</v>
      </c>
      <c r="L17" s="4" t="n">
        <f aca="false">-L6*Assumptions!L18/100</f>
        <v>-58071.02541615</v>
      </c>
    </row>
    <row r="18" customFormat="false" ht="15" hidden="false" customHeight="false" outlineLevel="0" collapsed="false">
      <c r="A18" s="0" t="s">
        <v>124</v>
      </c>
      <c r="C18" s="4" t="n">
        <f aca="false">(C6-B6)*Assumptions!$B$23/100</f>
        <v>17545.803</v>
      </c>
      <c r="D18" s="4" t="n">
        <f aca="false">(D6-C6)*Assumptions!$B$23/100</f>
        <v>6029.37594000001</v>
      </c>
      <c r="E18" s="4" t="n">
        <f aca="false">(E6-D6)*Assumptions!$B$23/100</f>
        <v>-0</v>
      </c>
      <c r="F18" s="4" t="n">
        <f aca="false">(F6-E6)*Assumptions!$B$23/100</f>
        <v>-2954.39421059999</v>
      </c>
      <c r="G18" s="4" t="n">
        <f aca="false">(G6-F6)*Assumptions!$B$23/100</f>
        <v>-2983.93815270601</v>
      </c>
      <c r="H18" s="4" t="n">
        <f aca="false">(H6-G6)*Assumptions!$B$23/100</f>
        <v>-3013.77753423307</v>
      </c>
      <c r="I18" s="4" t="n">
        <f aca="false">(I6-H6)*Assumptions!$B$23/100</f>
        <v>-3043.91530957539</v>
      </c>
      <c r="J18" s="4" t="n">
        <f aca="false">(J6-I6)*Assumptions!$B$23/100</f>
        <v>-3074.35446267114</v>
      </c>
      <c r="K18" s="4" t="n">
        <f aca="false">(K6-J6)*Assumptions!$B$23/100</f>
        <v>-3105.09800729784</v>
      </c>
      <c r="L18" s="4" t="n">
        <f aca="false">(L6-K6)*Assumptions!$B$23/100</f>
        <v>-3136.14898737087</v>
      </c>
    </row>
    <row r="19" customFormat="false" ht="15" hidden="false" customHeight="false" outlineLevel="0" collapsed="false">
      <c r="A19" s="0" t="s">
        <v>125</v>
      </c>
      <c r="C19" s="0" t="n">
        <f aca="false">C15+C16+C17+C18</f>
        <v>37392.4988025</v>
      </c>
      <c r="D19" s="0" t="n">
        <f aca="false">D15+D16+D17+D18</f>
        <v>26956.33493175</v>
      </c>
      <c r="E19" s="0" t="n">
        <f aca="false">E15+E16+E17+E18</f>
        <v>28509.90413229</v>
      </c>
      <c r="F19" s="0" t="n">
        <f aca="false">F15+F16+F17+F18</f>
        <v>31261.4299404288</v>
      </c>
      <c r="G19" s="0" t="n">
        <f aca="false">G15+G16+G17+G18</f>
        <v>34336.6736462134</v>
      </c>
      <c r="H19" s="0" t="n">
        <f aca="false">H15+H16+H17+H18</f>
        <v>34680.0403826755</v>
      </c>
      <c r="I19" s="0" t="n">
        <f aca="false">I15+I16+I17+I18</f>
        <v>34104.534447701</v>
      </c>
      <c r="J19" s="0" t="n">
        <f aca="false">J15+J16+J17+J18</f>
        <v>34445.579792178</v>
      </c>
      <c r="K19" s="0" t="n">
        <f aca="false">K15+K16+K17+K18</f>
        <v>34790.0355900998</v>
      </c>
      <c r="L19" s="0" t="n">
        <f aca="false">L15+L16+L17+L18</f>
        <v>35137.9359460007</v>
      </c>
    </row>
    <row r="20" customFormat="false" ht="15" hidden="false" customHeight="false" outlineLevel="0" collapsed="false">
      <c r="A20" s="0" t="s">
        <v>126</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127</v>
      </c>
      <c r="C21" s="0" t="n">
        <f aca="false">C19*C20</f>
        <v>34783.7198162791</v>
      </c>
      <c r="D21" s="0" t="n">
        <f aca="false">D19*D20</f>
        <v>23326.1957224446</v>
      </c>
      <c r="E21" s="0" t="n">
        <f aca="false">E19*E20</f>
        <v>22949.3486669923</v>
      </c>
      <c r="F21" s="0" t="n">
        <f aca="false">F19*F20</f>
        <v>23408.5753009601</v>
      </c>
      <c r="G21" s="0" t="n">
        <f aca="false">G19*G20</f>
        <v>23917.5064344587</v>
      </c>
      <c r="H21" s="0" t="n">
        <f aca="false">H19*H20</f>
        <v>22471.3316267937</v>
      </c>
      <c r="I21" s="0" t="n">
        <f aca="false">I19*I20</f>
        <v>20556.6752811924</v>
      </c>
      <c r="J21" s="0" t="n">
        <f aca="false">J19*J20</f>
        <v>19313.7135200041</v>
      </c>
      <c r="K21" s="0" t="n">
        <f aca="false">K19*K20</f>
        <v>18145.9075862364</v>
      </c>
      <c r="L21" s="0" t="n">
        <f aca="false">L19*L20</f>
        <v>17048.7131740453</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7.5</v>
      </c>
    </row>
    <row r="28" customFormat="false" ht="15" hidden="false" customHeight="false" outlineLevel="0" collapsed="false">
      <c r="A28" s="0" t="s">
        <v>108</v>
      </c>
      <c r="B28" s="4" t="n">
        <f aca="false">Assumptions!$B$21</f>
        <v>1</v>
      </c>
    </row>
    <row r="29" customFormat="false" ht="15" hidden="false" customHeight="false" outlineLevel="0" collapsed="false">
      <c r="A29" s="0" t="s">
        <v>109</v>
      </c>
      <c r="B29" s="4" t="n">
        <f aca="false">Assumptions!$B$22</f>
        <v>15</v>
      </c>
    </row>
    <row r="30" customFormat="false" ht="15" hidden="false" customHeight="false" outlineLevel="0" collapsed="false">
      <c r="A30" s="0" t="s">
        <v>130</v>
      </c>
      <c r="B30" s="0" t="n">
        <f aca="false">SUM(C21:L21)</f>
        <v>225921.687129407</v>
      </c>
    </row>
    <row r="31" customFormat="false" ht="15" hidden="false" customHeight="false" outlineLevel="0" collapsed="false">
      <c r="A31" s="0" t="s">
        <v>131</v>
      </c>
      <c r="B31" s="0" t="n">
        <f aca="false">L19</f>
        <v>35137.9359460007</v>
      </c>
    </row>
    <row r="32" customFormat="false" ht="15" hidden="false" customHeight="false" outlineLevel="0" collapsed="false">
      <c r="A32" s="0" t="s">
        <v>132</v>
      </c>
      <c r="B32" s="0" t="n">
        <f aca="false">IF(B27&gt;B28,B31*(1+B28/100)/((B27-B28)/100),B31*B29)</f>
        <v>545989.466237857</v>
      </c>
    </row>
    <row r="33" customFormat="false" ht="15" hidden="false" customHeight="false" outlineLevel="0" collapsed="false">
      <c r="A33" s="0" t="s">
        <v>133</v>
      </c>
      <c r="B33" s="0" t="n">
        <f aca="false">B31*B29</f>
        <v>527069.03919001</v>
      </c>
    </row>
    <row r="34" customFormat="false" ht="15" hidden="false" customHeight="false" outlineLevel="0" collapsed="false">
      <c r="A34" s="0" t="s">
        <v>134</v>
      </c>
      <c r="B34" s="0" t="n">
        <f aca="false">MAX(0,MIN(B32,B33))</f>
        <v>527069.03919001</v>
      </c>
    </row>
    <row r="35" customFormat="false" ht="15" hidden="false" customHeight="false" outlineLevel="0" collapsed="false">
      <c r="A35" s="0" t="s">
        <v>135</v>
      </c>
      <c r="B35" s="0" t="n">
        <f aca="false">B34/(1+B27/100)^L4</f>
        <v>255730.69761068</v>
      </c>
    </row>
    <row r="36" customFormat="false" ht="15" hidden="false" customHeight="false" outlineLevel="0" collapsed="false">
      <c r="A36" s="0" t="s">
        <v>136</v>
      </c>
      <c r="B36" s="0" t="n">
        <f aca="false">B30+B35</f>
        <v>481652.384740086</v>
      </c>
    </row>
    <row r="37" customFormat="false" ht="15" hidden="false" customHeight="false" outlineLevel="0" collapsed="false">
      <c r="A37" s="0" t="s">
        <v>137</v>
      </c>
      <c r="B37" s="0" t="n">
        <f aca="false">B36+Assumptions!$B$5-Assumptions!$B$4</f>
        <v>487767.384740086</v>
      </c>
    </row>
    <row r="38" customFormat="false" ht="15" hidden="false" customHeight="false" outlineLevel="0" collapsed="false">
      <c r="A38" s="0" t="s">
        <v>138</v>
      </c>
      <c r="B38" s="0" t="n">
        <f aca="false">B37/Assumptions!$B$3*Assumptions!$B$10</f>
        <v>1571.60288030495</v>
      </c>
    </row>
    <row r="39" customFormat="false" ht="15" hidden="false" customHeight="false" outlineLevel="0" collapsed="false">
      <c r="A39" s="0" t="s">
        <v>139</v>
      </c>
      <c r="B39" s="4" t="n">
        <f aca="false">B38/Assumptions!$B$2-1</f>
        <v>-0.380649111209871</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1571.60288030495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253495.109324719</v>
      </c>
    </row>
    <row r="47" customFormat="false" ht="15" hidden="false" customHeight="false" outlineLevel="0" collapsed="false">
      <c r="A47" s="0" t="s">
        <v>144</v>
      </c>
      <c r="B47" s="0" t="n">
        <f aca="false">(SUMPRODUCT(C19:L19/(1+B45/100)^C4:L4)+B46/(1+B45/100)^L4+Assumptions!$B$5-Assumptions!$B$4)/Assumptions!$B$3*Assumptions!$B$10</f>
        <v>750.778326157731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-5</v>
      </c>
      <c r="D5" s="4" t="n">
        <f aca="false">Assumptions!D27</f>
        <v>2.5</v>
      </c>
      <c r="E5" s="4" t="n">
        <f aca="false">Assumptions!E27</f>
        <v>3</v>
      </c>
      <c r="F5" s="4" t="n">
        <f aca="false">Assumptions!F27</f>
        <v>2.5</v>
      </c>
      <c r="G5" s="4" t="n">
        <f aca="false">Assumptions!G27</f>
        <v>2</v>
      </c>
      <c r="H5" s="4" t="n">
        <f aca="false">Assumptions!H27</f>
        <v>2</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37</v>
      </c>
      <c r="B6" s="3" t="n">
        <v>1063382</v>
      </c>
      <c r="C6" s="0" t="n">
        <f aca="false">B6*(1+C5/100)</f>
        <v>1010212.9</v>
      </c>
      <c r="D6" s="0" t="n">
        <f aca="false">C6*(1+D5/100)</f>
        <v>1035468.2225</v>
      </c>
      <c r="E6" s="0" t="n">
        <f aca="false">D6*(1+E5/100)</f>
        <v>1066532.269175</v>
      </c>
      <c r="F6" s="0" t="n">
        <f aca="false">E6*(1+F5/100)</f>
        <v>1093195.57590437</v>
      </c>
      <c r="G6" s="0" t="n">
        <f aca="false">F6*(1+G5/100)</f>
        <v>1115059.48742246</v>
      </c>
      <c r="H6" s="0" t="n">
        <f aca="false">G6*(1+H5/100)</f>
        <v>1137360.67717091</v>
      </c>
      <c r="I6" s="0" t="n">
        <f aca="false">H6*(1+I5/100)</f>
        <v>1154421.08732848</v>
      </c>
      <c r="J6" s="0" t="n">
        <f aca="false">I6*(1+J5/100)</f>
        <v>1171737.4036384</v>
      </c>
      <c r="K6" s="0" t="n">
        <f aca="false">J6*(1+K5/100)</f>
        <v>1189313.46469298</v>
      </c>
      <c r="L6" s="0" t="n">
        <f aca="false">K6*(1+L5/100)</f>
        <v>1207153.16666337</v>
      </c>
    </row>
    <row r="7" customFormat="false" ht="15" hidden="false" customHeight="false" outlineLevel="0" collapsed="false">
      <c r="A7" s="0" t="s">
        <v>101</v>
      </c>
      <c r="C7" s="4" t="n">
        <f aca="false">Assumptions!C28</f>
        <v>13.7</v>
      </c>
      <c r="D7" s="4" t="n">
        <f aca="false">Assumptions!D28</f>
        <v>14.3</v>
      </c>
      <c r="E7" s="4" t="n">
        <f aca="false">Assumptions!E28</f>
        <v>15</v>
      </c>
      <c r="F7" s="4" t="n">
        <f aca="false">Assumptions!F28</f>
        <v>15.5</v>
      </c>
      <c r="G7" s="4" t="n">
        <f aca="false">Assumptions!G28</f>
        <v>15.5</v>
      </c>
      <c r="H7" s="4" t="n">
        <f aca="false">Assumptions!H28</f>
        <v>15.5</v>
      </c>
      <c r="I7" s="4" t="n">
        <f aca="false">Assumptions!I28</f>
        <v>15.5</v>
      </c>
      <c r="J7" s="4" t="n">
        <f aca="false">Assumptions!J28</f>
        <v>15.5</v>
      </c>
      <c r="K7" s="4" t="n">
        <f aca="false">Assumptions!K28</f>
        <v>15.5</v>
      </c>
      <c r="L7" s="4" t="n">
        <f aca="false">Assumptions!L28</f>
        <v>15.5</v>
      </c>
    </row>
    <row r="8" customFormat="false" ht="15" hidden="false" customHeight="false" outlineLevel="0" collapsed="false">
      <c r="A8" s="0" t="s">
        <v>43</v>
      </c>
      <c r="C8" s="0" t="n">
        <f aca="false">C6*C7/100</f>
        <v>138399.1673</v>
      </c>
      <c r="D8" s="0" t="n">
        <f aca="false">D6*D7/100</f>
        <v>148071.9558175</v>
      </c>
      <c r="E8" s="0" t="n">
        <f aca="false">E6*E7/100</f>
        <v>159979.84037625</v>
      </c>
      <c r="F8" s="0" t="n">
        <f aca="false">F6*F7/100</f>
        <v>169445.314265178</v>
      </c>
      <c r="G8" s="0" t="n">
        <f aca="false">G6*G7/100</f>
        <v>172834.220550482</v>
      </c>
      <c r="H8" s="0" t="n">
        <f aca="false">H6*H7/100</f>
        <v>176290.904961491</v>
      </c>
      <c r="I8" s="0" t="n">
        <f aca="false">I6*I7/100</f>
        <v>178935.268535914</v>
      </c>
      <c r="J8" s="0" t="n">
        <f aca="false">J6*J7/100</f>
        <v>181619.297563952</v>
      </c>
      <c r="K8" s="0" t="n">
        <f aca="false">K6*K7/100</f>
        <v>184343.587027412</v>
      </c>
      <c r="L8" s="0" t="n">
        <f aca="false">L6*L7/100</f>
        <v>187108.740832823</v>
      </c>
    </row>
    <row r="9" customFormat="false" ht="15" hidden="false" customHeight="false" outlineLevel="0" collapsed="false">
      <c r="A9" s="0" t="s">
        <v>102</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138399.1673</v>
      </c>
      <c r="D11" s="0" t="n">
        <f aca="false">D8+D10+D24</f>
        <v>148071.9558175</v>
      </c>
      <c r="E11" s="0" t="n">
        <f aca="false">E8+E10+E24</f>
        <v>159979.84037625</v>
      </c>
      <c r="F11" s="0" t="n">
        <f aca="false">F8+F10+F24</f>
        <v>169445.314265178</v>
      </c>
      <c r="G11" s="0" t="n">
        <f aca="false">G8+G10+G24</f>
        <v>172834.220550482</v>
      </c>
      <c r="H11" s="0" t="n">
        <f aca="false">H8+H10+H24</f>
        <v>176290.904961491</v>
      </c>
      <c r="I11" s="0" t="n">
        <f aca="false">I8+I10+I24</f>
        <v>178935.268535914</v>
      </c>
      <c r="J11" s="0" t="n">
        <f aca="false">J8+J10+J24</f>
        <v>181619.297563952</v>
      </c>
      <c r="K11" s="0" t="n">
        <f aca="false">K8+K10+K24</f>
        <v>184343.587027412</v>
      </c>
      <c r="L11" s="0" t="n">
        <f aca="false">L8+L10+L24</f>
        <v>187108.740832823</v>
      </c>
    </row>
    <row r="12" customFormat="false" ht="15" hidden="false" customHeight="false" outlineLevel="0" collapsed="false">
      <c r="A12" s="0" t="s">
        <v>119</v>
      </c>
      <c r="C12" s="4" t="n">
        <f aca="false">-C6*Assumptions!C31/100</f>
        <v>-47985.11275</v>
      </c>
      <c r="D12" s="4" t="n">
        <f aca="false">-D6*Assumptions!D31/100</f>
        <v>-49702.47468</v>
      </c>
      <c r="E12" s="4" t="n">
        <f aca="false">-E6*Assumptions!E31/100</f>
        <v>-52260.081189575</v>
      </c>
      <c r="F12" s="4" t="n">
        <f aca="false">-F6*Assumptions!F31/100</f>
        <v>-54659.7787952187</v>
      </c>
      <c r="G12" s="4" t="n">
        <f aca="false">-G6*Assumptions!G31/100</f>
        <v>-55752.9743711231</v>
      </c>
      <c r="H12" s="4" t="n">
        <f aca="false">-H6*Assumptions!H31/100</f>
        <v>-56868.0338585456</v>
      </c>
      <c r="I12" s="4" t="n">
        <f aca="false">-I6*Assumptions!I31/100</f>
        <v>-57721.0543664238</v>
      </c>
      <c r="J12" s="4" t="n">
        <f aca="false">-J6*Assumptions!J31/100</f>
        <v>-58586.8701819201</v>
      </c>
      <c r="K12" s="4" t="n">
        <f aca="false">-K6*Assumptions!K31/100</f>
        <v>-59465.6732346489</v>
      </c>
      <c r="L12" s="4" t="n">
        <f aca="false">-L6*Assumptions!L31/100</f>
        <v>-60357.6583331686</v>
      </c>
    </row>
    <row r="13" customFormat="false" ht="15" hidden="false" customHeight="false" outlineLevel="0" collapsed="false">
      <c r="A13" s="0" t="s">
        <v>120</v>
      </c>
      <c r="C13" s="0" t="n">
        <f aca="false">C11+C12</f>
        <v>90414.05455</v>
      </c>
      <c r="D13" s="0" t="n">
        <f aca="false">D11+D12</f>
        <v>98369.4811375</v>
      </c>
      <c r="E13" s="0" t="n">
        <f aca="false">E11+E12</f>
        <v>107719.759186675</v>
      </c>
      <c r="F13" s="0" t="n">
        <f aca="false">F11+F12</f>
        <v>114785.535469959</v>
      </c>
      <c r="G13" s="0" t="n">
        <f aca="false">G11+G12</f>
        <v>117081.246179359</v>
      </c>
      <c r="H13" s="0" t="n">
        <f aca="false">H11+H12</f>
        <v>119422.871102946</v>
      </c>
      <c r="I13" s="0" t="n">
        <f aca="false">I11+I12</f>
        <v>121214.21416949</v>
      </c>
      <c r="J13" s="0" t="n">
        <f aca="false">J11+J12</f>
        <v>123032.427382032</v>
      </c>
      <c r="K13" s="0" t="n">
        <f aca="false">K11+K12</f>
        <v>124877.913792763</v>
      </c>
      <c r="L13" s="0" t="n">
        <f aca="false">L11+L12</f>
        <v>126751.082499654</v>
      </c>
    </row>
    <row r="14" customFormat="false" ht="15" hidden="false" customHeight="false" outlineLevel="0" collapsed="false">
      <c r="A14" s="0" t="s">
        <v>106</v>
      </c>
      <c r="C14" s="4" t="n">
        <f aca="false">Assumptions!C33</f>
        <v>43</v>
      </c>
      <c r="D14" s="4" t="n">
        <f aca="false">Assumptions!D33</f>
        <v>43</v>
      </c>
      <c r="E14" s="4" t="n">
        <f aca="false">Assumptions!E33</f>
        <v>43</v>
      </c>
      <c r="F14" s="4" t="n">
        <f aca="false">Assumptions!F33</f>
        <v>43</v>
      </c>
      <c r="G14" s="4" t="n">
        <f aca="false">Assumptions!G33</f>
        <v>43</v>
      </c>
      <c r="H14" s="4" t="n">
        <f aca="false">Assumptions!H33</f>
        <v>43</v>
      </c>
      <c r="I14" s="4" t="n">
        <f aca="false">Assumptions!I33</f>
        <v>43</v>
      </c>
      <c r="J14" s="4" t="n">
        <f aca="false">Assumptions!J33</f>
        <v>43</v>
      </c>
      <c r="K14" s="4" t="n">
        <f aca="false">Assumptions!K33</f>
        <v>43</v>
      </c>
      <c r="L14" s="4" t="n">
        <f aca="false">Assumptions!L33</f>
        <v>43</v>
      </c>
    </row>
    <row r="15" customFormat="false" ht="15" hidden="false" customHeight="false" outlineLevel="0" collapsed="false">
      <c r="A15" s="0" t="s">
        <v>121</v>
      </c>
      <c r="C15" s="0" t="n">
        <f aca="false">C13-MAX(0,C13)*C14/100</f>
        <v>51536.0110935</v>
      </c>
      <c r="D15" s="0" t="n">
        <f aca="false">D13-MAX(0,D13)*D14/100</f>
        <v>56070.604248375</v>
      </c>
      <c r="E15" s="0" t="n">
        <f aca="false">E13-MAX(0,E13)*E14/100</f>
        <v>61400.2627364047</v>
      </c>
      <c r="F15" s="0" t="n">
        <f aca="false">F13-MAX(0,F13)*F14/100</f>
        <v>65427.7552178768</v>
      </c>
      <c r="G15" s="0" t="n">
        <f aca="false">G13-MAX(0,G13)*G14/100</f>
        <v>66736.3103222344</v>
      </c>
      <c r="H15" s="0" t="n">
        <f aca="false">H13-MAX(0,H13)*H14/100</f>
        <v>68071.0365286791</v>
      </c>
      <c r="I15" s="0" t="n">
        <f aca="false">I13-MAX(0,I13)*I14/100</f>
        <v>69092.1020766092</v>
      </c>
      <c r="J15" s="0" t="n">
        <f aca="false">J13-MAX(0,J13)*J14/100</f>
        <v>70128.4836077584</v>
      </c>
      <c r="K15" s="0" t="n">
        <f aca="false">K13-MAX(0,K13)*K14/100</f>
        <v>71180.4108618747</v>
      </c>
      <c r="L15" s="0" t="n">
        <f aca="false">L13-MAX(0,L13)*L14/100</f>
        <v>72248.1170248029</v>
      </c>
    </row>
    <row r="16" customFormat="false" ht="15" hidden="false" customHeight="false" outlineLevel="0" collapsed="false">
      <c r="A16" s="0" t="s">
        <v>122</v>
      </c>
      <c r="C16" s="0" t="n">
        <f aca="false">-C12</f>
        <v>47985.11275</v>
      </c>
      <c r="D16" s="0" t="n">
        <f aca="false">-D12</f>
        <v>49702.47468</v>
      </c>
      <c r="E16" s="0" t="n">
        <f aca="false">-E12</f>
        <v>52260.081189575</v>
      </c>
      <c r="F16" s="0" t="n">
        <f aca="false">-F12</f>
        <v>54659.7787952187</v>
      </c>
      <c r="G16" s="0" t="n">
        <f aca="false">-G12</f>
        <v>55752.9743711231</v>
      </c>
      <c r="H16" s="0" t="n">
        <f aca="false">-H12</f>
        <v>56868.0338585456</v>
      </c>
      <c r="I16" s="0" t="n">
        <f aca="false">-I12</f>
        <v>57721.0543664238</v>
      </c>
      <c r="J16" s="0" t="n">
        <f aca="false">-J12</f>
        <v>58586.8701819201</v>
      </c>
      <c r="K16" s="0" t="n">
        <f aca="false">-K12</f>
        <v>59465.6732346489</v>
      </c>
      <c r="L16" s="0" t="n">
        <f aca="false">-L12</f>
        <v>60357.6583331686</v>
      </c>
    </row>
    <row r="17" customFormat="false" ht="15" hidden="false" customHeight="false" outlineLevel="0" collapsed="false">
      <c r="A17" s="0" t="s">
        <v>123</v>
      </c>
      <c r="C17" s="4" t="n">
        <f aca="false">-C6*Assumptions!C32/100</f>
        <v>-75765.9675</v>
      </c>
      <c r="D17" s="4" t="n">
        <f aca="false">-D6*Assumptions!D32/100</f>
        <v>-72482.775575</v>
      </c>
      <c r="E17" s="4" t="n">
        <f aca="false">-E6*Assumptions!E32/100</f>
        <v>-69324.597496375</v>
      </c>
      <c r="F17" s="4" t="n">
        <f aca="false">-F6*Assumptions!F32/100</f>
        <v>-65591.7345542625</v>
      </c>
      <c r="G17" s="4" t="n">
        <f aca="false">-G6*Assumptions!G32/100</f>
        <v>-61328.2718082354</v>
      </c>
      <c r="H17" s="4" t="n">
        <f aca="false">-H6*Assumptions!H32/100</f>
        <v>-62554.8372444001</v>
      </c>
      <c r="I17" s="4" t="n">
        <f aca="false">-I6*Assumptions!I32/100</f>
        <v>-63493.1598030661</v>
      </c>
      <c r="J17" s="4" t="n">
        <f aca="false">-J6*Assumptions!J32/100</f>
        <v>-64445.5572001121</v>
      </c>
      <c r="K17" s="4" t="n">
        <f aca="false">-K6*Assumptions!K32/100</f>
        <v>-65412.2405581138</v>
      </c>
      <c r="L17" s="4" t="n">
        <f aca="false">-L6*Assumptions!L32/100</f>
        <v>-66393.4241664855</v>
      </c>
    </row>
    <row r="18" customFormat="false" ht="15" hidden="false" customHeight="false" outlineLevel="0" collapsed="false">
      <c r="A18" s="0" t="s">
        <v>124</v>
      </c>
      <c r="C18" s="4" t="n">
        <f aca="false">(C6-B6)*Assumptions!$B$37/100</f>
        <v>15950.73</v>
      </c>
      <c r="D18" s="4" t="n">
        <f aca="false">(D6-C6)*Assumptions!$B$37/100</f>
        <v>-7576.59674999997</v>
      </c>
      <c r="E18" s="4" t="n">
        <f aca="false">(E6-D6)*Assumptions!$B$37/100</f>
        <v>-9319.2140025</v>
      </c>
      <c r="F18" s="4" t="n">
        <f aca="false">(F6-E6)*Assumptions!$B$37/100</f>
        <v>-7998.99201881248</v>
      </c>
      <c r="G18" s="4" t="n">
        <f aca="false">(G6-F6)*Assumptions!$B$37/100</f>
        <v>-6559.17345542628</v>
      </c>
      <c r="H18" s="4" t="n">
        <f aca="false">(H6-G6)*Assumptions!$B$37/100</f>
        <v>-6690.35692453478</v>
      </c>
      <c r="I18" s="4" t="n">
        <f aca="false">(I6-H6)*Assumptions!$B$37/100</f>
        <v>-5118.12304726909</v>
      </c>
      <c r="J18" s="4" t="n">
        <f aca="false">(J6-I6)*Assumptions!$B$37/100</f>
        <v>-5194.89489297811</v>
      </c>
      <c r="K18" s="4" t="n">
        <f aca="false">(K6-J6)*Assumptions!$B$37/100</f>
        <v>-5272.81831637279</v>
      </c>
      <c r="L18" s="4" t="n">
        <f aca="false">(L6-K6)*Assumptions!$B$37/100</f>
        <v>-5351.91059111834</v>
      </c>
    </row>
    <row r="19" customFormat="false" ht="15" hidden="false" customHeight="false" outlineLevel="0" collapsed="false">
      <c r="A19" s="0" t="s">
        <v>125</v>
      </c>
      <c r="C19" s="0" t="n">
        <f aca="false">C15+C16+C17+C18</f>
        <v>39705.8863435</v>
      </c>
      <c r="D19" s="0" t="n">
        <f aca="false">D15+D16+D17+D18</f>
        <v>25713.706603375</v>
      </c>
      <c r="E19" s="0" t="n">
        <f aca="false">E15+E16+E17+E18</f>
        <v>35016.5324271047</v>
      </c>
      <c r="F19" s="0" t="n">
        <f aca="false">F15+F16+F17+F18</f>
        <v>46496.8074400206</v>
      </c>
      <c r="G19" s="0" t="n">
        <f aca="false">G15+G16+G17+G18</f>
        <v>54601.8394296958</v>
      </c>
      <c r="H19" s="0" t="n">
        <f aca="false">H15+H16+H17+H18</f>
        <v>55693.8762182897</v>
      </c>
      <c r="I19" s="0" t="n">
        <f aca="false">I15+I16+I17+I18</f>
        <v>58201.8735926978</v>
      </c>
      <c r="J19" s="0" t="n">
        <f aca="false">J15+J16+J17+J18</f>
        <v>59074.9016965883</v>
      </c>
      <c r="K19" s="0" t="n">
        <f aca="false">K15+K16+K17+K18</f>
        <v>59961.0252220371</v>
      </c>
      <c r="L19" s="0" t="n">
        <f aca="false">L15+L16+L17+L18</f>
        <v>60860.4406003677</v>
      </c>
    </row>
    <row r="20" customFormat="false" ht="15" hidden="false" customHeight="false" outlineLevel="0" collapsed="false">
      <c r="A20" s="0" t="s">
        <v>126</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127</v>
      </c>
      <c r="C21" s="0" t="n">
        <f aca="false">C19*C20</f>
        <v>36935.7082265117</v>
      </c>
      <c r="D21" s="0" t="n">
        <f aca="false">D19*D20</f>
        <v>22250.9089050298</v>
      </c>
      <c r="E21" s="0" t="n">
        <f aca="false">E19*E20</f>
        <v>28186.9278847737</v>
      </c>
      <c r="F21" s="0" t="n">
        <f aca="false">F19*F20</f>
        <v>34816.8340439975</v>
      </c>
      <c r="G21" s="0" t="n">
        <f aca="false">G19*G20</f>
        <v>38033.3825969496</v>
      </c>
      <c r="H21" s="0" t="n">
        <f aca="false">H19*H20</f>
        <v>36087.4886036173</v>
      </c>
      <c r="I21" s="0" t="n">
        <f aca="false">I19*I20</f>
        <v>35081.4645494377</v>
      </c>
      <c r="J21" s="0" t="n">
        <f aca="false">J19*J20</f>
        <v>33123.4293187714</v>
      </c>
      <c r="K21" s="0" t="n">
        <f aca="false">K19*K20</f>
        <v>31274.6797753981</v>
      </c>
      <c r="L21" s="0" t="n">
        <f aca="false">L19*L20</f>
        <v>29529.1162530503</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7.5</v>
      </c>
    </row>
    <row r="28" customFormat="false" ht="15" hidden="false" customHeight="false" outlineLevel="0" collapsed="false">
      <c r="A28" s="0" t="s">
        <v>108</v>
      </c>
      <c r="B28" s="4" t="n">
        <f aca="false">Assumptions!$B$35</f>
        <v>1.5</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325319.940157537</v>
      </c>
    </row>
    <row r="31" customFormat="false" ht="15" hidden="false" customHeight="false" outlineLevel="0" collapsed="false">
      <c r="A31" s="0" t="s">
        <v>131</v>
      </c>
      <c r="B31" s="0" t="n">
        <f aca="false">L19</f>
        <v>60860.4406003677</v>
      </c>
    </row>
    <row r="32" customFormat="false" ht="15" hidden="false" customHeight="false" outlineLevel="0" collapsed="false">
      <c r="A32" s="0" t="s">
        <v>132</v>
      </c>
      <c r="B32" s="0" t="n">
        <f aca="false">IF(B27&gt;B28,B31*(1+B28/100)/((B27-B28)/100),B31*B29)</f>
        <v>1029555.78682289</v>
      </c>
    </row>
    <row r="33" customFormat="false" ht="15" hidden="false" customHeight="false" outlineLevel="0" collapsed="false">
      <c r="A33" s="0" t="s">
        <v>133</v>
      </c>
      <c r="B33" s="0" t="n">
        <f aca="false">B31*B29</f>
        <v>912906.609005515</v>
      </c>
    </row>
    <row r="34" customFormat="false" ht="15" hidden="false" customHeight="false" outlineLevel="0" collapsed="false">
      <c r="A34" s="0" t="s">
        <v>134</v>
      </c>
      <c r="B34" s="0" t="n">
        <f aca="false">MAX(0,MIN(B32,B33))</f>
        <v>912906.609005515</v>
      </c>
    </row>
    <row r="35" customFormat="false" ht="15" hidden="false" customHeight="false" outlineLevel="0" collapsed="false">
      <c r="A35" s="0" t="s">
        <v>135</v>
      </c>
      <c r="B35" s="0" t="n">
        <f aca="false">B34/(1+B27/100)^L4</f>
        <v>442936.743795755</v>
      </c>
    </row>
    <row r="36" customFormat="false" ht="15" hidden="false" customHeight="false" outlineLevel="0" collapsed="false">
      <c r="A36" s="0" t="s">
        <v>136</v>
      </c>
      <c r="B36" s="0" t="n">
        <f aca="false">B30+B35</f>
        <v>768256.683953292</v>
      </c>
    </row>
    <row r="37" customFormat="false" ht="15" hidden="false" customHeight="false" outlineLevel="0" collapsed="false">
      <c r="A37" s="0" t="s">
        <v>137</v>
      </c>
      <c r="B37" s="0" t="n">
        <f aca="false">B36+Assumptions!$B$5-Assumptions!$B$4</f>
        <v>774371.683953292</v>
      </c>
    </row>
    <row r="38" customFormat="false" ht="15" hidden="false" customHeight="false" outlineLevel="0" collapsed="false">
      <c r="A38" s="0" t="s">
        <v>138</v>
      </c>
      <c r="B38" s="0" t="n">
        <f aca="false">B37/Assumptions!$B$3*Assumptions!$B$10</f>
        <v>2495.05154916434</v>
      </c>
    </row>
    <row r="39" customFormat="false" ht="15" hidden="false" customHeight="false" outlineLevel="0" collapsed="false">
      <c r="A39" s="0" t="s">
        <v>139</v>
      </c>
      <c r="B39" s="4" t="n">
        <f aca="false">B38/Assumptions!$B$2-1</f>
        <v>-0.0167284535312949</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2495.05154916434</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457580.34969906</v>
      </c>
    </row>
    <row r="47" customFormat="false" ht="15" hidden="false" customHeight="false" outlineLevel="0" collapsed="false">
      <c r="A47" s="0" t="s">
        <v>144</v>
      </c>
      <c r="B47" s="0" t="n">
        <f aca="false">(SUMPRODUCT(C19:L19/(1+B45/100)^C4:L4)+B46/(1+B45/100)^L4+Assumptions!$B$5-Assumptions!$B$4)/Assumptions!$B$3*Assumptions!$B$10</f>
        <v>1119.03077138928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-4</v>
      </c>
      <c r="D5" s="4" t="n">
        <f aca="false">Assumptions!D41</f>
        <v>4</v>
      </c>
      <c r="E5" s="4" t="n">
        <f aca="false">Assumptions!E41</f>
        <v>5</v>
      </c>
      <c r="F5" s="4" t="n">
        <f aca="false">Assumptions!F41</f>
        <v>4</v>
      </c>
      <c r="G5" s="4" t="n">
        <f aca="false">Assumptions!G41</f>
        <v>3</v>
      </c>
      <c r="H5" s="4" t="n">
        <f aca="false">Assumptions!H41</f>
        <v>3</v>
      </c>
      <c r="I5" s="4" t="n">
        <f aca="false">Assumptions!I41</f>
        <v>2.5</v>
      </c>
      <c r="J5" s="4" t="n">
        <f aca="false">Assumptions!J41</f>
        <v>2</v>
      </c>
      <c r="K5" s="4" t="n">
        <f aca="false">Assumptions!K41</f>
        <v>2</v>
      </c>
      <c r="L5" s="4" t="n">
        <f aca="false">Assumptions!L41</f>
        <v>2</v>
      </c>
    </row>
    <row r="6" customFormat="false" ht="15" hidden="false" customHeight="false" outlineLevel="0" collapsed="false">
      <c r="A6" s="0" t="s">
        <v>37</v>
      </c>
      <c r="B6" s="3" t="n">
        <v>1063382</v>
      </c>
      <c r="C6" s="0" t="n">
        <f aca="false">B6*(1+C5/100)</f>
        <v>1020846.72</v>
      </c>
      <c r="D6" s="0" t="n">
        <f aca="false">C6*(1+D5/100)</f>
        <v>1061680.5888</v>
      </c>
      <c r="E6" s="0" t="n">
        <f aca="false">D6*(1+E5/100)</f>
        <v>1114764.61824</v>
      </c>
      <c r="F6" s="0" t="n">
        <f aca="false">E6*(1+F5/100)</f>
        <v>1159355.2029696</v>
      </c>
      <c r="G6" s="0" t="n">
        <f aca="false">F6*(1+G5/100)</f>
        <v>1194135.85905869</v>
      </c>
      <c r="H6" s="0" t="n">
        <f aca="false">G6*(1+H5/100)</f>
        <v>1229959.93483045</v>
      </c>
      <c r="I6" s="0" t="n">
        <f aca="false">H6*(1+I5/100)</f>
        <v>1260708.93320121</v>
      </c>
      <c r="J6" s="0" t="n">
        <f aca="false">I6*(1+J5/100)</f>
        <v>1285923.11186523</v>
      </c>
      <c r="K6" s="0" t="n">
        <f aca="false">J6*(1+K5/100)</f>
        <v>1311641.57410254</v>
      </c>
      <c r="L6" s="0" t="n">
        <f aca="false">K6*(1+L5/100)</f>
        <v>1337874.40558459</v>
      </c>
    </row>
    <row r="7" customFormat="false" ht="15" hidden="false" customHeight="false" outlineLevel="0" collapsed="false">
      <c r="A7" s="0" t="s">
        <v>101</v>
      </c>
      <c r="C7" s="4" t="n">
        <f aca="false">Assumptions!C42</f>
        <v>13.9</v>
      </c>
      <c r="D7" s="4" t="n">
        <f aca="false">Assumptions!D42</f>
        <v>15.5</v>
      </c>
      <c r="E7" s="4" t="n">
        <f aca="false">Assumptions!E42</f>
        <v>17</v>
      </c>
      <c r="F7" s="4" t="n">
        <f aca="false">Assumptions!F42</f>
        <v>18</v>
      </c>
      <c r="G7" s="4" t="n">
        <f aca="false">Assumptions!G42</f>
        <v>18</v>
      </c>
      <c r="H7" s="4" t="n">
        <f aca="false">Assumptions!H42</f>
        <v>18</v>
      </c>
      <c r="I7" s="4" t="n">
        <f aca="false">Assumptions!I42</f>
        <v>18</v>
      </c>
      <c r="J7" s="4" t="n">
        <f aca="false">Assumptions!J42</f>
        <v>18</v>
      </c>
      <c r="K7" s="4" t="n">
        <f aca="false">Assumptions!K42</f>
        <v>18</v>
      </c>
      <c r="L7" s="4" t="n">
        <f aca="false">Assumptions!L42</f>
        <v>18</v>
      </c>
    </row>
    <row r="8" customFormat="false" ht="15" hidden="false" customHeight="false" outlineLevel="0" collapsed="false">
      <c r="A8" s="0" t="s">
        <v>43</v>
      </c>
      <c r="C8" s="0" t="n">
        <f aca="false">C6*C7/100</f>
        <v>141897.69408</v>
      </c>
      <c r="D8" s="0" t="n">
        <f aca="false">D6*D7/100</f>
        <v>164560.491264</v>
      </c>
      <c r="E8" s="0" t="n">
        <f aca="false">E6*E7/100</f>
        <v>189509.9851008</v>
      </c>
      <c r="F8" s="0" t="n">
        <f aca="false">F6*F7/100</f>
        <v>208683.936534528</v>
      </c>
      <c r="G8" s="0" t="n">
        <f aca="false">G6*G7/100</f>
        <v>214944.454630564</v>
      </c>
      <c r="H8" s="0" t="n">
        <f aca="false">H6*H7/100</f>
        <v>221392.788269481</v>
      </c>
      <c r="I8" s="0" t="n">
        <f aca="false">I6*I7/100</f>
        <v>226927.607976218</v>
      </c>
      <c r="J8" s="0" t="n">
        <f aca="false">J6*J7/100</f>
        <v>231466.160135742</v>
      </c>
      <c r="K8" s="0" t="n">
        <f aca="false">K6*K7/100</f>
        <v>236095.483338457</v>
      </c>
      <c r="L8" s="0" t="n">
        <f aca="false">L6*L7/100</f>
        <v>240817.393005226</v>
      </c>
    </row>
    <row r="9" customFormat="false" ht="15" hidden="false" customHeight="false" outlineLevel="0" collapsed="false">
      <c r="A9" s="0" t="s">
        <v>102</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141897.69408</v>
      </c>
      <c r="D11" s="0" t="n">
        <f aca="false">D8+D10+D24</f>
        <v>164560.491264</v>
      </c>
      <c r="E11" s="0" t="n">
        <f aca="false">E8+E10+E24</f>
        <v>189509.9851008</v>
      </c>
      <c r="F11" s="0" t="n">
        <f aca="false">F8+F10+F24</f>
        <v>208683.936534528</v>
      </c>
      <c r="G11" s="0" t="n">
        <f aca="false">G8+G10+G24</f>
        <v>214944.454630564</v>
      </c>
      <c r="H11" s="0" t="n">
        <f aca="false">H8+H10+H24</f>
        <v>221392.788269481</v>
      </c>
      <c r="I11" s="0" t="n">
        <f aca="false">I8+I10+I24</f>
        <v>226927.607976218</v>
      </c>
      <c r="J11" s="0" t="n">
        <f aca="false">J8+J10+J24</f>
        <v>231466.160135742</v>
      </c>
      <c r="K11" s="0" t="n">
        <f aca="false">K8+K10+K24</f>
        <v>236095.483338457</v>
      </c>
      <c r="L11" s="0" t="n">
        <f aca="false">L8+L10+L24</f>
        <v>240817.393005226</v>
      </c>
    </row>
    <row r="12" customFormat="false" ht="15" hidden="false" customHeight="false" outlineLevel="0" collapsed="false">
      <c r="A12" s="0" t="s">
        <v>119</v>
      </c>
      <c r="C12" s="4" t="n">
        <f aca="false">-C6*Assumptions!C45/100</f>
        <v>-48490.2192</v>
      </c>
      <c r="D12" s="4" t="n">
        <f aca="false">-D6*Assumptions!D45/100</f>
        <v>-50960.6682624</v>
      </c>
      <c r="E12" s="4" t="n">
        <f aca="false">-E6*Assumptions!E45/100</f>
        <v>-54623.46629376</v>
      </c>
      <c r="F12" s="4" t="n">
        <f aca="false">-F6*Assumptions!F45/100</f>
        <v>-57967.76014848</v>
      </c>
      <c r="G12" s="4" t="n">
        <f aca="false">-G6*Assumptions!G45/100</f>
        <v>-59706.7929529344</v>
      </c>
      <c r="H12" s="4" t="n">
        <f aca="false">-H6*Assumptions!H45/100</f>
        <v>-61497.9967415224</v>
      </c>
      <c r="I12" s="4" t="n">
        <f aca="false">-I6*Assumptions!I45/100</f>
        <v>-63035.4466600605</v>
      </c>
      <c r="J12" s="4" t="n">
        <f aca="false">-J6*Assumptions!J45/100</f>
        <v>-64296.1555932617</v>
      </c>
      <c r="K12" s="4" t="n">
        <f aca="false">-K6*Assumptions!K45/100</f>
        <v>-65582.0787051269</v>
      </c>
      <c r="L12" s="4" t="n">
        <f aca="false">-L6*Assumptions!L45/100</f>
        <v>-66893.7202792295</v>
      </c>
    </row>
    <row r="13" customFormat="false" ht="15" hidden="false" customHeight="false" outlineLevel="0" collapsed="false">
      <c r="A13" s="0" t="s">
        <v>120</v>
      </c>
      <c r="C13" s="0" t="n">
        <f aca="false">C11+C12</f>
        <v>93407.47488</v>
      </c>
      <c r="D13" s="0" t="n">
        <f aca="false">D11+D12</f>
        <v>113599.8230016</v>
      </c>
      <c r="E13" s="0" t="n">
        <f aca="false">E11+E12</f>
        <v>134886.51880704</v>
      </c>
      <c r="F13" s="0" t="n">
        <f aca="false">F11+F12</f>
        <v>150716.176386048</v>
      </c>
      <c r="G13" s="0" t="n">
        <f aca="false">G11+G12</f>
        <v>155237.661677629</v>
      </c>
      <c r="H13" s="0" t="n">
        <f aca="false">H11+H12</f>
        <v>159894.791527958</v>
      </c>
      <c r="I13" s="0" t="n">
        <f aca="false">I11+I12</f>
        <v>163892.161316157</v>
      </c>
      <c r="J13" s="0" t="n">
        <f aca="false">J11+J12</f>
        <v>167170.00454248</v>
      </c>
      <c r="K13" s="0" t="n">
        <f aca="false">K11+K12</f>
        <v>170513.40463333</v>
      </c>
      <c r="L13" s="0" t="n">
        <f aca="false">L11+L12</f>
        <v>173923.672725997</v>
      </c>
    </row>
    <row r="14" customFormat="false" ht="15" hidden="false" customHeight="false" outlineLevel="0" collapsed="false">
      <c r="A14" s="0" t="s">
        <v>106</v>
      </c>
      <c r="C14" s="4" t="n">
        <f aca="false">Assumptions!C47</f>
        <v>43</v>
      </c>
      <c r="D14" s="4" t="n">
        <f aca="false">Assumptions!D47</f>
        <v>43</v>
      </c>
      <c r="E14" s="4" t="n">
        <f aca="false">Assumptions!E47</f>
        <v>43</v>
      </c>
      <c r="F14" s="4" t="n">
        <f aca="false">Assumptions!F47</f>
        <v>43</v>
      </c>
      <c r="G14" s="4" t="n">
        <f aca="false">Assumptions!G47</f>
        <v>43</v>
      </c>
      <c r="H14" s="4" t="n">
        <f aca="false">Assumptions!H47</f>
        <v>43</v>
      </c>
      <c r="I14" s="4" t="n">
        <f aca="false">Assumptions!I47</f>
        <v>43</v>
      </c>
      <c r="J14" s="4" t="n">
        <f aca="false">Assumptions!J47</f>
        <v>43</v>
      </c>
      <c r="K14" s="4" t="n">
        <f aca="false">Assumptions!K47</f>
        <v>43</v>
      </c>
      <c r="L14" s="4" t="n">
        <f aca="false">Assumptions!L47</f>
        <v>43</v>
      </c>
    </row>
    <row r="15" customFormat="false" ht="15" hidden="false" customHeight="false" outlineLevel="0" collapsed="false">
      <c r="A15" s="0" t="s">
        <v>121</v>
      </c>
      <c r="C15" s="0" t="n">
        <f aca="false">C13-MAX(0,C13)*C14/100</f>
        <v>53242.2606816</v>
      </c>
      <c r="D15" s="0" t="n">
        <f aca="false">D13-MAX(0,D13)*D14/100</f>
        <v>64751.899110912</v>
      </c>
      <c r="E15" s="0" t="n">
        <f aca="false">E13-MAX(0,E13)*E14/100</f>
        <v>76885.3157200128</v>
      </c>
      <c r="F15" s="0" t="n">
        <f aca="false">F13-MAX(0,F13)*F14/100</f>
        <v>85908.2205400473</v>
      </c>
      <c r="G15" s="0" t="n">
        <f aca="false">G13-MAX(0,G13)*G14/100</f>
        <v>88485.4671562488</v>
      </c>
      <c r="H15" s="0" t="n">
        <f aca="false">H13-MAX(0,H13)*H14/100</f>
        <v>91140.0311709363</v>
      </c>
      <c r="I15" s="0" t="n">
        <f aca="false">I13-MAX(0,I13)*I14/100</f>
        <v>93418.5319502096</v>
      </c>
      <c r="J15" s="0" t="n">
        <f aca="false">J13-MAX(0,J13)*J14/100</f>
        <v>95286.9025892138</v>
      </c>
      <c r="K15" s="0" t="n">
        <f aca="false">K13-MAX(0,K13)*K14/100</f>
        <v>97192.6406409981</v>
      </c>
      <c r="L15" s="0" t="n">
        <f aca="false">L13-MAX(0,L13)*L14/100</f>
        <v>99136.4934538181</v>
      </c>
    </row>
    <row r="16" customFormat="false" ht="15" hidden="false" customHeight="false" outlineLevel="0" collapsed="false">
      <c r="A16" s="0" t="s">
        <v>122</v>
      </c>
      <c r="C16" s="0" t="n">
        <f aca="false">-C12</f>
        <v>48490.2192</v>
      </c>
      <c r="D16" s="0" t="n">
        <f aca="false">-D12</f>
        <v>50960.6682624</v>
      </c>
      <c r="E16" s="0" t="n">
        <f aca="false">-E12</f>
        <v>54623.46629376</v>
      </c>
      <c r="F16" s="0" t="n">
        <f aca="false">-F12</f>
        <v>57967.76014848</v>
      </c>
      <c r="G16" s="0" t="n">
        <f aca="false">-G12</f>
        <v>59706.7929529344</v>
      </c>
      <c r="H16" s="0" t="n">
        <f aca="false">-H12</f>
        <v>61497.9967415224</v>
      </c>
      <c r="I16" s="0" t="n">
        <f aca="false">-I12</f>
        <v>63035.4466600605</v>
      </c>
      <c r="J16" s="0" t="n">
        <f aca="false">-J12</f>
        <v>64296.1555932617</v>
      </c>
      <c r="K16" s="0" t="n">
        <f aca="false">-K12</f>
        <v>65582.0787051269</v>
      </c>
      <c r="L16" s="0" t="n">
        <f aca="false">-L12</f>
        <v>66893.7202792295</v>
      </c>
    </row>
    <row r="17" customFormat="false" ht="15" hidden="false" customHeight="false" outlineLevel="0" collapsed="false">
      <c r="A17" s="0" t="s">
        <v>123</v>
      </c>
      <c r="C17" s="4" t="n">
        <f aca="false">-C6*Assumptions!C46/100</f>
        <v>-76563.504</v>
      </c>
      <c r="D17" s="4" t="n">
        <f aca="false">-D6*Assumptions!D46/100</f>
        <v>-74317.641216</v>
      </c>
      <c r="E17" s="4" t="n">
        <f aca="false">-E6*Assumptions!E46/100</f>
        <v>-72459.7001856</v>
      </c>
      <c r="F17" s="4" t="n">
        <f aca="false">-F6*Assumptions!F46/100</f>
        <v>-69561.312178176</v>
      </c>
      <c r="G17" s="4" t="n">
        <f aca="false">-G6*Assumptions!G46/100</f>
        <v>-71648.1515435213</v>
      </c>
      <c r="H17" s="4" t="n">
        <f aca="false">-H6*Assumptions!H46/100</f>
        <v>-67647.7964156747</v>
      </c>
      <c r="I17" s="4" t="n">
        <f aca="false">-I6*Assumptions!I46/100</f>
        <v>-69338.9913260665</v>
      </c>
      <c r="J17" s="4" t="n">
        <f aca="false">-J6*Assumptions!J46/100</f>
        <v>-70725.7711525879</v>
      </c>
      <c r="K17" s="4" t="n">
        <f aca="false">-K6*Assumptions!K46/100</f>
        <v>-72140.2865756396</v>
      </c>
      <c r="L17" s="4" t="n">
        <f aca="false">-L6*Assumptions!L46/100</f>
        <v>-73583.0923071524</v>
      </c>
    </row>
    <row r="18" customFormat="false" ht="15" hidden="false" customHeight="false" outlineLevel="0" collapsed="false">
      <c r="A18" s="0" t="s">
        <v>124</v>
      </c>
      <c r="C18" s="4" t="n">
        <f aca="false">(C6-B6)*Assumptions!$B$51/100</f>
        <v>12760.584</v>
      </c>
      <c r="D18" s="4" t="n">
        <f aca="false">(D6-C6)*Assumptions!$B$51/100</f>
        <v>-12250.16064</v>
      </c>
      <c r="E18" s="4" t="n">
        <f aca="false">(E6-D6)*Assumptions!$B$51/100</f>
        <v>-15925.208832</v>
      </c>
      <c r="F18" s="4" t="n">
        <f aca="false">(F6-E6)*Assumptions!$B$51/100</f>
        <v>-13377.17541888</v>
      </c>
      <c r="G18" s="4" t="n">
        <f aca="false">(G6-F6)*Assumptions!$B$51/100</f>
        <v>-10434.1968267264</v>
      </c>
      <c r="H18" s="4" t="n">
        <f aca="false">(H6-G6)*Assumptions!$B$51/100</f>
        <v>-10747.2227315282</v>
      </c>
      <c r="I18" s="4" t="n">
        <f aca="false">(I6-H6)*Assumptions!$B$51/100</f>
        <v>-9224.69951122832</v>
      </c>
      <c r="J18" s="4" t="n">
        <f aca="false">(J6-I6)*Assumptions!$B$51/100</f>
        <v>-7564.25359920727</v>
      </c>
      <c r="K18" s="4" t="n">
        <f aca="false">(K6-J6)*Assumptions!$B$51/100</f>
        <v>-7715.53867119143</v>
      </c>
      <c r="L18" s="4" t="n">
        <f aca="false">(L6-K6)*Assumptions!$B$51/100</f>
        <v>-7869.84944461521</v>
      </c>
    </row>
    <row r="19" customFormat="false" ht="15" hidden="false" customHeight="false" outlineLevel="0" collapsed="false">
      <c r="A19" s="0" t="s">
        <v>125</v>
      </c>
      <c r="C19" s="0" t="n">
        <f aca="false">C15+C16+C17+C18</f>
        <v>37929.5598816</v>
      </c>
      <c r="D19" s="0" t="n">
        <f aca="false">D15+D16+D17+D18</f>
        <v>29144.765517312</v>
      </c>
      <c r="E19" s="0" t="n">
        <f aca="false">E15+E16+E17+E18</f>
        <v>43123.8729961728</v>
      </c>
      <c r="F19" s="0" t="n">
        <f aca="false">F15+F16+F17+F18</f>
        <v>60937.4930914714</v>
      </c>
      <c r="G19" s="0" t="n">
        <f aca="false">G15+G16+G17+G18</f>
        <v>66109.9117389355</v>
      </c>
      <c r="H19" s="0" t="n">
        <f aca="false">H15+H16+H17+H18</f>
        <v>74243.0087652558</v>
      </c>
      <c r="I19" s="0" t="n">
        <f aca="false">I15+I16+I17+I18</f>
        <v>77890.2877729753</v>
      </c>
      <c r="J19" s="0" t="n">
        <f aca="false">J15+J16+J17+J18</f>
        <v>81293.0334306804</v>
      </c>
      <c r="K19" s="0" t="n">
        <f aca="false">K15+K16+K17+K18</f>
        <v>82918.894099294</v>
      </c>
      <c r="L19" s="0" t="n">
        <f aca="false">L15+L16+L17+L18</f>
        <v>84577.2719812799</v>
      </c>
    </row>
    <row r="20" customFormat="false" ht="15" hidden="false" customHeight="false" outlineLevel="0" collapsed="false">
      <c r="A20" s="0" t="s">
        <v>126</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127</v>
      </c>
      <c r="C21" s="0" t="n">
        <f aca="false">C19*C20</f>
        <v>35283.3115177675</v>
      </c>
      <c r="D21" s="0" t="n">
        <f aca="false">D19*D20</f>
        <v>25219.9160777172</v>
      </c>
      <c r="E21" s="0" t="n">
        <f aca="false">E19*E20</f>
        <v>34713.0173664591</v>
      </c>
      <c r="F21" s="0" t="n">
        <f aca="false">F19*F20</f>
        <v>45630.0271101379</v>
      </c>
      <c r="G21" s="0" t="n">
        <f aca="false">G19*G20</f>
        <v>46049.4297056598</v>
      </c>
      <c r="H21" s="0" t="n">
        <f aca="false">H19*H20</f>
        <v>48106.6126949621</v>
      </c>
      <c r="I21" s="0" t="n">
        <f aca="false">I19*I20</f>
        <v>46948.7526875073</v>
      </c>
      <c r="J21" s="0" t="n">
        <f aca="false">J19*J20</f>
        <v>45581.1854039052</v>
      </c>
      <c r="K21" s="0" t="n">
        <f aca="false">K19*K20</f>
        <v>43249.1247553333</v>
      </c>
      <c r="L21" s="0" t="n">
        <f aca="false">L19*L20</f>
        <v>41036.3788376186</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7.5</v>
      </c>
    </row>
    <row r="28" customFormat="false" ht="15" hidden="false" customHeight="false" outlineLevel="0" collapsed="false">
      <c r="A28" s="0" t="s">
        <v>108</v>
      </c>
      <c r="B28" s="4" t="n">
        <f aca="false">Assumptions!$B$49</f>
        <v>2</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411817.756157068</v>
      </c>
    </row>
    <row r="31" customFormat="false" ht="15" hidden="false" customHeight="false" outlineLevel="0" collapsed="false">
      <c r="A31" s="0" t="s">
        <v>131</v>
      </c>
      <c r="B31" s="0" t="n">
        <f aca="false">L19</f>
        <v>84577.2719812799</v>
      </c>
    </row>
    <row r="32" customFormat="false" ht="15" hidden="false" customHeight="false" outlineLevel="0" collapsed="false">
      <c r="A32" s="0" t="s">
        <v>132</v>
      </c>
      <c r="B32" s="0" t="n">
        <f aca="false">IF(B27&gt;B28,B31*(1+B28/100)/((B27-B28)/100),B31*B29)</f>
        <v>1568523.95310737</v>
      </c>
    </row>
    <row r="33" customFormat="false" ht="15" hidden="false" customHeight="false" outlineLevel="0" collapsed="false">
      <c r="A33" s="0" t="s">
        <v>133</v>
      </c>
      <c r="B33" s="0" t="n">
        <f aca="false">B31*B29</f>
        <v>1268659.0797192</v>
      </c>
    </row>
    <row r="34" customFormat="false" ht="15" hidden="false" customHeight="false" outlineLevel="0" collapsed="false">
      <c r="A34" s="0" t="s">
        <v>134</v>
      </c>
      <c r="B34" s="0" t="n">
        <f aca="false">MAX(0,MIN(B32,B33))</f>
        <v>1268659.0797192</v>
      </c>
    </row>
    <row r="35" customFormat="false" ht="15" hidden="false" customHeight="false" outlineLevel="0" collapsed="false">
      <c r="A35" s="0" t="s">
        <v>135</v>
      </c>
      <c r="B35" s="0" t="n">
        <f aca="false">B34/(1+B27/100)^L4</f>
        <v>615545.682564279</v>
      </c>
    </row>
    <row r="36" customFormat="false" ht="15" hidden="false" customHeight="false" outlineLevel="0" collapsed="false">
      <c r="A36" s="0" t="s">
        <v>136</v>
      </c>
      <c r="B36" s="0" t="n">
        <f aca="false">B30+B35</f>
        <v>1027363.43872135</v>
      </c>
    </row>
    <row r="37" customFormat="false" ht="15" hidden="false" customHeight="false" outlineLevel="0" collapsed="false">
      <c r="A37" s="0" t="s">
        <v>137</v>
      </c>
      <c r="B37" s="0" t="n">
        <f aca="false">B36+Assumptions!$B$5-Assumptions!$B$4</f>
        <v>1033478.43872135</v>
      </c>
    </row>
    <row r="38" customFormat="false" ht="15" hidden="false" customHeight="false" outlineLevel="0" collapsed="false">
      <c r="A38" s="0" t="s">
        <v>138</v>
      </c>
      <c r="B38" s="0" t="n">
        <f aca="false">B37/Assumptions!$B$3*Assumptions!$B$10</f>
        <v>3329.90220716176</v>
      </c>
    </row>
    <row r="39" customFormat="false" ht="15" hidden="false" customHeight="false" outlineLevel="0" collapsed="false">
      <c r="A39" s="0" t="s">
        <v>139</v>
      </c>
      <c r="B39" s="4" t="n">
        <f aca="false">B38/Assumptions!$B$2-1</f>
        <v>0.31227673188641</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3329.90220716176</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663606.287853119</v>
      </c>
    </row>
    <row r="47" customFormat="false" ht="15" hidden="false" customHeight="false" outlineLevel="0" collapsed="false">
      <c r="A47" s="0" t="s">
        <v>144</v>
      </c>
      <c r="B47" s="0" t="n">
        <f aca="false">(SUMPRODUCT(C19:L19/(1+B45/100)^C4:L4)+B46/(1+B45/100)^L4+Assumptions!$B$5-Assumptions!$B$4)/Assumptions!$B$3*Assumptions!$B$10</f>
        <v>1461.71825461663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1571.60288030495</v>
      </c>
      <c r="C4" s="0" t="n">
        <f aca="false">B4/Assumptions!$B$2-1</f>
        <v>-0.380649111209871</v>
      </c>
      <c r="D4" s="4" t="n">
        <f aca="false">Assumptions!$B$24</f>
        <v>0.25</v>
      </c>
      <c r="E4" s="4" t="n">
        <f aca="false">DCF_Bear!$B$43</f>
        <v>1571.60288030495</v>
      </c>
      <c r="F4" s="4" t="n">
        <f aca="false">DCF_Bear!$B$47</f>
        <v>750.778326157731</v>
      </c>
    </row>
    <row r="5" customFormat="false" ht="15" hidden="false" customHeight="false" outlineLevel="0" collapsed="false">
      <c r="A5" s="0" t="s">
        <v>153</v>
      </c>
      <c r="B5" s="4" t="n">
        <f aca="false">DCF_Base!$B$38</f>
        <v>2495.05154916434</v>
      </c>
      <c r="C5" s="0" t="n">
        <f aca="false">B5/Assumptions!$B$2-1</f>
        <v>-0.0167284535312949</v>
      </c>
      <c r="D5" s="4" t="n">
        <f aca="false">Assumptions!$B$38</f>
        <v>0.5</v>
      </c>
      <c r="E5" s="4" t="n">
        <f aca="false">DCF_Base!$B$43</f>
        <v>2495.05154916434</v>
      </c>
      <c r="F5" s="4" t="n">
        <f aca="false">DCF_Base!$B$47</f>
        <v>1119.03077138928</v>
      </c>
    </row>
    <row r="6" customFormat="false" ht="15" hidden="false" customHeight="false" outlineLevel="0" collapsed="false">
      <c r="A6" s="0" t="s">
        <v>154</v>
      </c>
      <c r="B6" s="4" t="n">
        <f aca="false">DCF_Bull!$B$38</f>
        <v>3329.90220716176</v>
      </c>
      <c r="C6" s="0" t="n">
        <f aca="false">B6/Assumptions!$B$2-1</f>
        <v>0.31227673188641</v>
      </c>
      <c r="D6" s="4" t="n">
        <f aca="false">Assumptions!$B$52</f>
        <v>0.25</v>
      </c>
      <c r="E6" s="4" t="n">
        <f aca="false">DCF_Bull!$B$43</f>
        <v>3329.90220716176</v>
      </c>
      <c r="F6" s="4" t="n">
        <f aca="false">DCF_Bull!$B$47</f>
        <v>1461.71825461663</v>
      </c>
    </row>
    <row r="8" customFormat="false" ht="15" hidden="false" customHeight="false" outlineLevel="0" collapsed="false">
      <c r="A8" s="0" t="s">
        <v>155</v>
      </c>
      <c r="B8" s="0" t="n">
        <f aca="false">SUMPRODUCT(B4:B6,D4:D6)</f>
        <v>2472.90204644885</v>
      </c>
    </row>
    <row r="9" customFormat="false" ht="15" hidden="false" customHeight="false" outlineLevel="0" collapsed="false">
      <c r="A9" s="0" t="s">
        <v>156</v>
      </c>
      <c r="B9" s="0" t="n">
        <f aca="false">SUMPRODUCT(E4:E6,D4:D6)</f>
        <v>2472.90204644885</v>
      </c>
    </row>
    <row r="10" customFormat="false" ht="15" hidden="false" customHeight="false" outlineLevel="0" collapsed="false">
      <c r="A10" s="0" t="s">
        <v>157</v>
      </c>
      <c r="B10" s="0" t="n">
        <f aca="false">1-Assumptions!$B$2/B8</f>
        <v>-0.0261223260516588</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1112.63953088823</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2495.05154916434</v>
      </c>
      <c r="C15" s="3" t="n">
        <v>7.5</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2112.29450225254</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1847.45247308394</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1639.10234895061</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1471.068927816</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1119.03077138928</v>
      </c>
      <c r="C20" s="3" t="n">
        <v>15</v>
      </c>
    </row>
    <row r="22" customFormat="false" ht="15" hidden="false" customHeight="false" outlineLevel="0" collapsed="false">
      <c r="A22" s="2" t="s">
        <v>168</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2906.23060108353</v>
      </c>
      <c r="C24" s="0" t="n">
        <f aca="false">(SUMPRODUCT(DCF_Base!$C$19:$L$19/(1+$A$24/100)^DCF_Base!$C$4:$L$4)+MAX(0,MIN(IF($A$24&gt;$C$23,DCF_Base!$L$19*(1+$C$23/100)/(($A$24-$C$23)/100),DCF_Base!$L$19*DCF_Base!$B$29),DCF_Base!$L$19*DCF_Base!$B$29))/(1+$A$24/100)^DCF_Base!$L$4+Assumptions!$B$5-Assumptions!$B$4)/Assumptions!$B$3*Assumptions!$B$10</f>
        <v>2906.23060108353</v>
      </c>
      <c r="D24" s="0" t="n">
        <f aca="false">(SUMPRODUCT(DCF_Base!$C$19:$L$19/(1+$A$24/100)^DCF_Base!$C$4:$L$4)+MAX(0,MIN(IF($A$24&gt;$D$23,DCF_Base!$L$19*(1+$D$23/100)/(($A$24-$D$23)/100),DCF_Base!$L$19*DCF_Base!$B$29),DCF_Base!$L$19*DCF_Base!$B$29))/(1+$A$24/100)^DCF_Base!$L$4+Assumptions!$B$5-Assumptions!$B$4)/Assumptions!$B$3*Assumptions!$B$10</f>
        <v>2906.23060108353</v>
      </c>
      <c r="E24" s="0" t="n">
        <f aca="false">(SUMPRODUCT(DCF_Base!$C$19:$L$19/(1+$A$24/100)^DCF_Base!$C$4:$L$4)+MAX(0,MIN(IF($A$24&gt;$E$23,DCF_Base!$L$19*(1+$E$23/100)/(($A$24-$E$23)/100),DCF_Base!$L$19*DCF_Base!$B$29),DCF_Base!$L$19*DCF_Base!$B$29))/(1+$A$24/100)^DCF_Base!$L$4+Assumptions!$B$5-Assumptions!$B$4)/Assumptions!$B$3*Assumptions!$B$10</f>
        <v>2906.23060108353</v>
      </c>
      <c r="F24" s="0" t="n">
        <f aca="false">(SUMPRODUCT(DCF_Base!$C$19:$L$19/(1+$A$24/100)^DCF_Base!$C$4:$L$4)+MAX(0,MIN(IF($A$24&gt;$F$23,DCF_Base!$L$19*(1+$F$23/100)/(($A$24-$F$23)/100),DCF_Base!$L$19*DCF_Base!$B$29),DCF_Base!$L$19*DCF_Base!$B$29))/(1+$A$24/100)^DCF_Base!$L$4+Assumptions!$B$5-Assumptions!$B$4)/Assumptions!$B$3*Assumptions!$B$10</f>
        <v>2906.23060108353</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2690.8483080037</v>
      </c>
      <c r="C25" s="0" t="n">
        <f aca="false">(SUMPRODUCT(DCF_Base!$C$19:$L$19/(1+$A$25/100)^DCF_Base!$C$4:$L$4)+MAX(0,MIN(IF($A$25&gt;$C$23,DCF_Base!$L$19*(1+$C$23/100)/(($A$25-$C$23)/100),DCF_Base!$L$19*DCF_Base!$B$29),DCF_Base!$L$19*DCF_Base!$B$29))/(1+$A$25/100)^DCF_Base!$L$4+Assumptions!$B$5-Assumptions!$B$4)/Assumptions!$B$3*Assumptions!$B$10</f>
        <v>2690.8483080037</v>
      </c>
      <c r="D25" s="0" t="n">
        <f aca="false">(SUMPRODUCT(DCF_Base!$C$19:$L$19/(1+$A$25/100)^DCF_Base!$C$4:$L$4)+MAX(0,MIN(IF($A$25&gt;$D$23,DCF_Base!$L$19*(1+$D$23/100)/(($A$25-$D$23)/100),DCF_Base!$L$19*DCF_Base!$B$29),DCF_Base!$L$19*DCF_Base!$B$29))/(1+$A$25/100)^DCF_Base!$L$4+Assumptions!$B$5-Assumptions!$B$4)/Assumptions!$B$3*Assumptions!$B$10</f>
        <v>2690.8483080037</v>
      </c>
      <c r="E25" s="0" t="n">
        <f aca="false">(SUMPRODUCT(DCF_Base!$C$19:$L$19/(1+$A$25/100)^DCF_Base!$C$4:$L$4)+MAX(0,MIN(IF($A$25&gt;$E$23,DCF_Base!$L$19*(1+$E$23/100)/(($A$25-$E$23)/100),DCF_Base!$L$19*DCF_Base!$B$29),DCF_Base!$L$19*DCF_Base!$B$29))/(1+$A$25/100)^DCF_Base!$L$4+Assumptions!$B$5-Assumptions!$B$4)/Assumptions!$B$3*Assumptions!$B$10</f>
        <v>2690.8483080037</v>
      </c>
      <c r="F25" s="0" t="n">
        <f aca="false">(SUMPRODUCT(DCF_Base!$C$19:$L$19/(1+$A$25/100)^DCF_Base!$C$4:$L$4)+MAX(0,MIN(IF($A$25&gt;$F$23,DCF_Base!$L$19*(1+$F$23/100)/(($A$25-$F$23)/100),DCF_Base!$L$19*DCF_Base!$B$29),DCF_Base!$L$19*DCF_Base!$B$29))/(1+$A$25/100)^DCF_Base!$L$4+Assumptions!$B$5-Assumptions!$B$4)/Assumptions!$B$3*Assumptions!$B$10</f>
        <v>2690.8483080037</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2433.88767555333</v>
      </c>
      <c r="C26" s="0" t="n">
        <f aca="false">(SUMPRODUCT(DCF_Base!$C$19:$L$19/(1+$A$26/100)^DCF_Base!$C$4:$L$4)+MAX(0,MIN(IF($A$26&gt;$C$23,DCF_Base!$L$19*(1+$C$23/100)/(($A$26-$C$23)/100),DCF_Base!$L$19*DCF_Base!$B$29),DCF_Base!$L$19*DCF_Base!$B$29))/(1+$A$26/100)^DCF_Base!$L$4+Assumptions!$B$5-Assumptions!$B$4)/Assumptions!$B$3*Assumptions!$B$10</f>
        <v>2495.05154916434</v>
      </c>
      <c r="D26" s="0" t="n">
        <f aca="false">(SUMPRODUCT(DCF_Base!$C$19:$L$19/(1+$A$26/100)^DCF_Base!$C$4:$L$4)+MAX(0,MIN(IF($A$26&gt;$D$23,DCF_Base!$L$19*(1+$D$23/100)/(($A$26-$D$23)/100),DCF_Base!$L$19*DCF_Base!$B$29),DCF_Base!$L$19*DCF_Base!$B$29))/(1+$A$26/100)^DCF_Base!$L$4+Assumptions!$B$5-Assumptions!$B$4)/Assumptions!$B$3*Assumptions!$B$10</f>
        <v>2495.05154916434</v>
      </c>
      <c r="E26" s="0" t="n">
        <f aca="false">(SUMPRODUCT(DCF_Base!$C$19:$L$19/(1+$A$26/100)^DCF_Base!$C$4:$L$4)+MAX(0,MIN(IF($A$26&gt;$E$23,DCF_Base!$L$19*(1+$E$23/100)/(($A$26-$E$23)/100),DCF_Base!$L$19*DCF_Base!$B$29),DCF_Base!$L$19*DCF_Base!$B$29))/(1+$A$26/100)^DCF_Base!$L$4+Assumptions!$B$5-Assumptions!$B$4)/Assumptions!$B$3*Assumptions!$B$10</f>
        <v>2495.05154916434</v>
      </c>
      <c r="F26" s="0" t="n">
        <f aca="false">(SUMPRODUCT(DCF_Base!$C$19:$L$19/(1+$A$26/100)^DCF_Base!$C$4:$L$4)+MAX(0,MIN(IF($A$26&gt;$F$23,DCF_Base!$L$19*(1+$F$23/100)/(($A$26-$F$23)/100),DCF_Base!$L$19*DCF_Base!$B$29),DCF_Base!$L$19*DCF_Base!$B$29))/(1+$A$26/100)^DCF_Base!$L$4+Assumptions!$B$5-Assumptions!$B$4)/Assumptions!$B$3*Assumptions!$B$10</f>
        <v>2495.05154916434</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2105.44427493844</v>
      </c>
      <c r="C27" s="0" t="n">
        <f aca="false">(SUMPRODUCT(DCF_Base!$C$19:$L$19/(1+$A$27/100)^DCF_Base!$C$4:$L$4)+MAX(0,MIN(IF($A$27&gt;$C$23,DCF_Base!$L$19*(1+$C$23/100)/(($A$27-$C$23)/100),DCF_Base!$L$19*DCF_Base!$B$29),DCF_Base!$L$19*DCF_Base!$B$29))/(1+$A$27/100)^DCF_Base!$L$4+Assumptions!$B$5-Assumptions!$B$4)/Assumptions!$B$3*Assumptions!$B$10</f>
        <v>2183.86236513936</v>
      </c>
      <c r="D27" s="0" t="n">
        <f aca="false">(SUMPRODUCT(DCF_Base!$C$19:$L$19/(1+$A$27/100)^DCF_Base!$C$4:$L$4)+MAX(0,MIN(IF($A$27&gt;$D$23,DCF_Base!$L$19*(1+$D$23/100)/(($A$27-$D$23)/100),DCF_Base!$L$19*DCF_Base!$B$29),DCF_Base!$L$19*DCF_Base!$B$29))/(1+$A$27/100)^DCF_Base!$L$4+Assumptions!$B$5-Assumptions!$B$4)/Assumptions!$B$3*Assumptions!$B$10</f>
        <v>2273.4830396547</v>
      </c>
      <c r="E27" s="0" t="n">
        <f aca="false">(SUMPRODUCT(DCF_Base!$C$19:$L$19/(1+$A$27/100)^DCF_Base!$C$4:$L$4)+MAX(0,MIN(IF($A$27&gt;$E$23,DCF_Base!$L$19*(1+$E$23/100)/(($A$27-$E$23)/100),DCF_Base!$L$19*DCF_Base!$B$29),DCF_Base!$L$19*DCF_Base!$B$29))/(1+$A$27/100)^DCF_Base!$L$4+Assumptions!$B$5-Assumptions!$B$4)/Assumptions!$B$3*Assumptions!$B$10</f>
        <v>2316.84788216212</v>
      </c>
      <c r="F27" s="0" t="n">
        <f aca="false">(SUMPRODUCT(DCF_Base!$C$19:$L$19/(1+$A$27/100)^DCF_Base!$C$4:$L$4)+MAX(0,MIN(IF($A$27&gt;$F$23,DCF_Base!$L$19*(1+$F$23/100)/(($A$27-$F$23)/100),DCF_Base!$L$19*DCF_Base!$B$29),DCF_Base!$L$19*DCF_Base!$B$29))/(1+$A$27/100)^DCF_Base!$L$4+Assumptions!$B$5-Assumptions!$B$4)/Assumptions!$B$3*Assumptions!$B$10</f>
        <v>2316.84788216212</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1851.14623887643</v>
      </c>
      <c r="C28" s="0" t="n">
        <f aca="false">(SUMPRODUCT(DCF_Base!$C$19:$L$19/(1+$A$28/100)^DCF_Base!$C$4:$L$4)+MAX(0,MIN(IF($A$28&gt;$C$23,DCF_Base!$L$19*(1+$C$23/100)/(($A$28-$C$23)/100),DCF_Base!$L$19*DCF_Base!$B$29),DCF_Base!$L$19*DCF_Base!$B$29))/(1+$A$28/100)^DCF_Base!$L$4+Assumptions!$B$5-Assumptions!$B$4)/Assumptions!$B$3*Assumptions!$B$10</f>
        <v>1907.77625008225</v>
      </c>
      <c r="D28" s="0" t="n">
        <f aca="false">(SUMPRODUCT(DCF_Base!$C$19:$L$19/(1+$A$28/100)^DCF_Base!$C$4:$L$4)+MAX(0,MIN(IF($A$28&gt;$D$23,DCF_Base!$L$19*(1+$D$23/100)/(($A$28-$D$23)/100),DCF_Base!$L$19*DCF_Base!$B$29),DCF_Base!$L$19*DCF_Base!$B$29))/(1+$A$28/100)^DCF_Base!$L$4+Assumptions!$B$5-Assumptions!$B$4)/Assumptions!$B$3*Assumptions!$B$10</f>
        <v>1971.48501268879</v>
      </c>
      <c r="E28" s="0" t="n">
        <f aca="false">(SUMPRODUCT(DCF_Base!$C$19:$L$19/(1+$A$28/100)^DCF_Base!$C$4:$L$4)+MAX(0,MIN(IF($A$28&gt;$E$23,DCF_Base!$L$19*(1+$E$23/100)/(($A$28-$E$23)/100),DCF_Base!$L$19*DCF_Base!$B$29),DCF_Base!$L$19*DCF_Base!$B$29))/(1+$A$28/100)^DCF_Base!$L$4+Assumptions!$B$5-Assumptions!$B$4)/Assumptions!$B$3*Assumptions!$B$10</f>
        <v>2043.6882769762</v>
      </c>
      <c r="F28" s="0" t="n">
        <f aca="false">(SUMPRODUCT(DCF_Base!$C$19:$L$19/(1+$A$28/100)^DCF_Base!$C$4:$L$4)+MAX(0,MIN(IF($A$28&gt;$F$23,DCF_Base!$L$19*(1+$F$23/100)/(($A$28-$F$23)/100),DCF_Base!$L$19*DCF_Base!$B$29),DCF_Base!$L$19*DCF_Base!$B$29))/(1+$A$28/100)^DCF_Base!$L$4+Assumptions!$B$5-Assumptions!$B$4)/Assumptions!$B$3*Assumptions!$B$10</f>
        <v>2126.20629330467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2026-10-30T23:10:48Z</dcterms:created>
  <dc:creator>openpyxl</dc:creator>
  <dc:description/>
  <dc:language>en-NZ</dc:language>
  <cp:lastModifiedBy/>
  <dcterms:modified xsi:type="dcterms:W3CDTF">2026-10-30T23:10:48Z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