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<sst xmlns="http://schemas.openxmlformats.org/spreadsheetml/2006/main" count="359" uniqueCount="167">
  <si>
    <t xml:space="preserve">Ticker</t>
  </si>
  <si>
    <t xml:space="preserve">1818.HK</t>
  </si>
  <si>
    <t xml:space="preserve">Company</t>
  </si>
  <si>
    <t xml:space="preserve">Zhaojin Mining Industry Company Limited</t>
  </si>
  <si>
    <t xml:space="preserve">Valuation date</t>
  </si>
  <si>
    <t xml:space="preserve">2026-10-17</t>
  </si>
  <si>
    <t xml:space="preserve">Current price</t>
  </si>
  <si>
    <t xml:space="preserve">Price as of</t>
  </si>
  <si>
    <t xml:space="preserve">2026-10-16T08:08:14Z HKEX regular close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</si>
  <si>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</si>
  <si>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</si>
  <si>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</si>
  <si>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</si>
  <si>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</si>
  <si>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CNY</t>
  </si>
  <si>
    <t xml:space="preserve">Currency (quote)</t>
  </si>
  <si>
    <t xml:space="preserve">HKD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</si>
  <si>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</si>
  <si>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</si>
  <si>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</si>
  <si>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</si>
  <si>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</si>
  <si>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2026-10-16T19:38:21Z</t>
  </si>
  <si>
    <t xml:space="preserve">Drivers file</t>
  </si>
  <si>
    <t xml:space="preserve">1818.HK_Drivers.json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</si>
  <si>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</si>
  <si>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</si>
  <si>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</si>
  <si>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A gold miner is a gold-price deck times a volume path minus a cost base, so the valuation is a judgment about the deck first and the mines second. The house base case deliberately normalises gold below spot (~RMB820/g, ~US$3,800/oz) rather than capitalising a near-record price in perpetuity; the bull case is spot held, which is roughly what the current price already requires. Reserve life (~26 years recoverable, exploration replacing depletion) removes the need for a depletion run-off, so the engine is the standard owner-FCF DCF with sustaining capex held above D&amp;A, a cyclical terminal cap (14x, 12x bear), CNY WACC, perpetuals treated as debt, NCI charged through a leakage rate, and the wealth-management/finance-company book carried in the bridge at book. Every RMB50/g (~6%) on the long-run gold deck is worth roughly RMB1.0-1.1bn of annual EBITDA, i.e. about HK$2.5-3 per share at the base multiples: the deck is the whole argument.
key_risks_to_valuation: Gold price: base deck ~RMB820/g vs spot ~RMB898/g and an H1-2026 average of RMB1,058/g; the market price sits above the house base because it capitalises spot.; Mine suspensions: no resumption date disclosed for the two Zhaoyuan mines; a third incident or a Shandong-wide campaign (2021 precedent cut output 37%) breaks the base-case volume path.; Financial leverage: RMB14.0bn net debt + RMB5.4bn perpetuals (6.6bn after the Q3 issue) against ~RMB55bn market cap; bear-case equity value is roughly a quarter of base.; Hedging/trading book: AU(T+D) and SHFE futures plus RMB2-4bn of wealth-management products produce +872m (9M-2025) / -265m (9M-2026) swings excluded from the underlying margin; a large adverse mark would hit cash via margin calls.; NCI leakage: Ruihai (~30% external) is the growth engine, so the attributable share of incremental EBIT falls; the leakage path assumes 37% by Y5 -- if Ruihai dominates faster, attributable value is lower.; SOE governance and related-party concentrate trades with Shandong Zhaojin Group (renewed to 2027); 20% general share-issue mandate unexercised but live.; FX: HKD per-share values move with CNY/HKD; a 5% RMB depreciation cuts the HKD value ~5% with no change to the RMB model.</t>
  </si>
  <si>
    <t xml:space="preserve">Data sources</t>
  </si>
  <si>
    <t xml:space="preserve">price: Yahoo Finance chart API at inputs.price_as_of (HKEX regular close); 52-week range 15.82-42.36 HKD. FX: Yahoo CNYHKD=X at the date in inputs.fx_note, parity-checked against USDHKD/USDCNY.
financials: 1818.HK_Metrics.csv / core_metrics and kpis (IFRS, RMB millions) from the FY2018-FY2025 annual reports and H1-2024..H1-2026 interims; Q3-2026 PRC-GAAP quarterly announcement (15 Oct 2026) for the 9M-2026 run-rate and the 30 Sep 2026 share count/perpetuals; H1-2026 interim (30 Jun 2026) for every balance-sheet anchor; FY2025 annual report for JORC reserves (521.24 t recoverable, 1,504.68 t resources), SGE gold averages (RMB798.12/g Au9999 2025) and project status (Ruihai, Jintingling, Abujar AGN, LION Ltd).
qualitative: 1818.HK_Analysis.json (2026-10-17): bull/bear axes, safety-incident chronology, sell-side targets, guidance (no numeric FY2026 production target disclosed).</t>
  </si>
  <si>
    <t xml:space="preserve">Scenario narrative: bear</t>
  </si>
  <si>
    <t xml:space="preserve">Gold mean-reverts to ~RMB650/g (US$3,000/oz) as the Warsh Fed prices hikes and official-sector buying slows. A third safety incident or a prolonged Shandong inspection campaign keeps the Zhaoyuan mines idle into 2027 and caps domestic output structurally below FY2025; the gold-futures/AU(T+D) book records further fair-value losses (9M-2026: -265m). FY2027 revenue -5%, margin ~30-33%. With RMB14.0bn net debt plus 5.4bn perpetuals ahead of ordinary shareholders, equity value is highly geared to this case -- the bear value lands near a quarter of the base: the leverage, not the mine, is what the bear case exposes.</t>
  </si>
  <si>
    <t xml:space="preserve">Scenario narrative: base</t>
  </si>
  <si>
    <t xml:space="preserve">Gold deck: ~RMB850/g in FY2027 easing to ~RMB820/g (~US$3,800/oz at USDCNY 6.68) from FY2028, +2%/yr nominal after -- about 9% below spot and 3% above the FY2025 average, the midpoint between the two. The two suspended Zhaoyuan mines (fatal accidents Feb and May 2026; still suspended at 30 Jun 2026) resume during 2027 and domestic output returns to the FY2025 level by FY2028; Abujar (Cote d'Ivoire, overseas output +33% in H1-2026, cost US$1,838/oz) and Ruihai (82.6 Mt reserve, initial industrial production reached 2025) carry group mine output to ~23-24 t by FY2030. Underlying EBITDA margin recovers from ~36% (FY2026, suspension costs) to 40-41%. Capex stays above D&amp;A throughout. Combined tax + NCI leakage 35% -&gt; 37%. Terminal value binds at the 14x cap (Gordon at 8%/2.5% = 18.6x).</t>
  </si>
  <si>
    <t xml:space="preserve">Scenario narrative: bull</t>
  </si>
  <si>
    <t xml:space="preserve">Gold holds at or above spot (~RMB900/g) and compounds; the central-bank bid and a dovish Fed turn keep the 2026 correction shallow. Suspensions lift by early 2027 with no further incidents; FY2027 revenue +12% on a full domestic rebound plus Ruihai and Abujar growth; Ruihai at design capacity by 2029, LION Ltd commissioned. Margin 45-46%. The sell-side targets of HK$41-46 (Citi, Goldman, Macquarie, H1-2026) need roughly this deck AND a re-rating above the 14x cap.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</si>
  <si>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</si>
  <si>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</si>
  <si>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</si>
  <si>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</si>
  <si>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</si>
  <si>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</si>
  <si>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</si>
  <si>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</si>
  <si>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</si>
  <si>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</si>
  <si>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</si>
  <si>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</si>
  <si>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</si>
  <si>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</si>
  <si>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</si>
  <si>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</si>
  <si>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</si>
  <si>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</si>
  <si>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</si>
  <si>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</si>
  <si>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</si>
  <si>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</si>
  <si>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</si>
  <si>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</si>
  <si>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</si>
  <si>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</si>
  <si>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</si>
  <si>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NonControllingInterests</t>
  </si>
  <si>
    <t xml:space="preserve">ProfitIncludingNCI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</si>
  <si>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</si>
  <si>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</si>
  <si>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</si>
  <si>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</si>
  <si>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</si>
  <si>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</si>
  <si>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</si>
  <si>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</si>
  <si>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</si>
  <si>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</si>
  <si>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</si>
  <si>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</si>
  <si>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</si>
  <si>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</si>
  <si>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</si>
  <si>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</si>
  <si>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</si>
  <si>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</si>
  <si>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</si>
  <si>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CNY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</si>
  <si>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</si>
  <si>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</si>
  <si>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</si>
  <si>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</si>
  <si>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</si>
  <si>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</si>
  <si>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</si>
  <si>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</si>
  <si>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</si>
  <si>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</si>
  <si>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</si>
  <si>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</si>
  <si>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</si>
  <si>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</si>
  <si>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</si>
  <si>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</si>
  <si>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</si>
  <si>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</si>
  <si>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</si>
  <si>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</si>
  <si>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</si>
  <si>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</si>
  <si>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</si>
  <si>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</si>
  <si>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</si>
  <si>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</si>
  <si>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1818.HK owner-FCF component DCF: bear case (millions, CNY)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</si>
  <si>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</si>
  <si>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</si>
  <si>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</si>
  <si>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</si>
  <si>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</si>
  <si>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</si>
  <si>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</si>
  <si>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</si>
  <si>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</si>
  <si>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</si>
  <si>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</si>
  <si>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</si>
  <si>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</si>
  <si>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</si>
  <si>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</si>
  <si>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</si>
  <si>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</si>
  <si>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</si>
  <si>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</si>
  <si>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</si>
  <si>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</si>
  <si>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</si>
  <si>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</si>
  <si>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</si>
  <si>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</si>
  <si>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</si>
  <si>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</si>
  <si>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</si>
  <si>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</si>
  <si>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</si>
  <si>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1818.HK owner-FCF component DCF: base case (millions, CNY)</t>
  </si>
  <si>
    <t xml:space="preserve">1818.HK owner-FCF component DCF: bull case (millions, CNY)</t>
  </si>
  <si>
    <t xml:space="preserve">1818.HK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</si>
  <si>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</si>
  <si>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</si>
  <si>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</si>
  <si>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</si>
  <si>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</si>
  <si>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</si>
  <si>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</si>
  <si>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</si>
  <si>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</si>
  <si>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</si>
  <si>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</si>
  <si>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</si>
  <si>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</si>
  <si>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</si>
  <si>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8%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</si>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</sst>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18.19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35.0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  <c r="AC1" s="2" t="s">
        <v>64</v>
      </c>
      <c r="AD1" s="2" t="s">
        <v>65</v>
      </c>
    </row>
    <row r="2" customFormat="false" ht="15" hidden="false" customHeight="false" outlineLevel="0" collapsed="false">
      <c r="A2" s="0" t="s">
        <v>66</v>
      </c>
      <c r="B2" s="0" t="n">
        <v>6673.999</v>
      </c>
      <c r="C2" s="0" t="n">
        <v>4039.47</v>
      </c>
      <c r="D2" s="0" t="n">
        <v>2634.529</v>
      </c>
      <c r="E2" s="0" t="n">
        <v>39.4745</v>
      </c>
      <c r="F2" s="0" t="n">
        <v>1321.158</v>
      </c>
      <c r="G2" s="0" t="n">
        <v>19.7956</v>
      </c>
      <c r="H2" s="0" t="n">
        <v>2248.93</v>
      </c>
      <c r="I2" s="0" t="n">
        <v>643.951</v>
      </c>
      <c r="J2" s="0" t="n">
        <v>9.6487</v>
      </c>
      <c r="K2" s="0" t="n">
        <v>0.2</v>
      </c>
      <c r="L2" s="0" t="n">
        <v>1067.36</v>
      </c>
      <c r="M2" s="0" t="n">
        <v>1523.845</v>
      </c>
      <c r="N2" s="0" t="n">
        <v>-456.485</v>
      </c>
      <c r="O2" s="0" t="n">
        <v>16763.908</v>
      </c>
      <c r="P2" s="0" t="n">
        <v>33812.886</v>
      </c>
      <c r="Q2" s="0" t="n">
        <v>17048.978</v>
      </c>
      <c r="R2" s="0" t="n">
        <v>13194.225</v>
      </c>
      <c r="S2" s="0" t="n">
        <v>1847.169</v>
      </c>
      <c r="T2" s="0" t="n">
        <v>3270.393</v>
      </c>
      <c r="U2" s="0" t="n">
        <v>0</v>
      </c>
      <c r="AA2" s="0" t="s">
        <v>18</v>
      </c>
      <c r="AB2" s="0" t="s">
        <v>14</v>
      </c>
      <c r="AD2" s="0" t="n">
        <v>754.029</v>
      </c>
    </row>
    <row r="3" customFormat="false" ht="15" hidden="false" customHeight="false" outlineLevel="0" collapsed="false">
      <c r="A3" s="0" t="s">
        <v>67</v>
      </c>
      <c r="B3" s="0" t="n">
        <v>7177.057</v>
      </c>
      <c r="C3" s="0" t="n">
        <v>4694.849</v>
      </c>
      <c r="D3" s="0" t="n">
        <v>2482.208</v>
      </c>
      <c r="E3" s="0" t="n">
        <v>34.5853</v>
      </c>
      <c r="F3" s="0" t="n">
        <v>1237.228</v>
      </c>
      <c r="G3" s="0" t="n">
        <v>17.2387</v>
      </c>
      <c r="H3" s="0" t="n">
        <v>2268.417</v>
      </c>
      <c r="I3" s="0" t="n">
        <v>474.287</v>
      </c>
      <c r="J3" s="0" t="n">
        <v>6.6084</v>
      </c>
      <c r="K3" s="0" t="n">
        <v>0.15</v>
      </c>
      <c r="L3" s="0" t="n">
        <v>1706.34</v>
      </c>
      <c r="M3" s="0" t="n">
        <v>1932.179</v>
      </c>
      <c r="N3" s="0" t="n">
        <v>-225.839</v>
      </c>
      <c r="O3" s="0" t="n">
        <v>16807.565</v>
      </c>
      <c r="P3" s="0" t="n">
        <v>35887.179</v>
      </c>
      <c r="Q3" s="0" t="n">
        <v>19079.614</v>
      </c>
      <c r="R3" s="0" t="n">
        <v>14701.114</v>
      </c>
      <c r="S3" s="0" t="n">
        <v>1143.299</v>
      </c>
      <c r="T3" s="0" t="n">
        <v>3270.393</v>
      </c>
      <c r="U3" s="0" t="n">
        <v>0</v>
      </c>
      <c r="AA3" s="0" t="s">
        <v>18</v>
      </c>
      <c r="AB3" s="0" t="s">
        <v>14</v>
      </c>
      <c r="AD3" s="0" t="n">
        <v>576.303</v>
      </c>
    </row>
    <row r="4" customFormat="false" ht="15" hidden="false" customHeight="false" outlineLevel="0" collapsed="false">
      <c r="A4" s="0" t="s">
        <v>68</v>
      </c>
      <c r="B4" s="0" t="n">
        <v>6329.928</v>
      </c>
      <c r="C4" s="0" t="n">
        <v>4039.965</v>
      </c>
      <c r="D4" s="0" t="n">
        <v>2289.963</v>
      </c>
      <c r="E4" s="0" t="n">
        <v>36.1768</v>
      </c>
      <c r="F4" s="0" t="n">
        <v>1257.867</v>
      </c>
      <c r="G4" s="0" t="n">
        <v>19.8717</v>
      </c>
      <c r="H4" s="0" t="n">
        <v>2285.733</v>
      </c>
      <c r="I4" s="0" t="n">
        <v>479.27</v>
      </c>
      <c r="J4" s="0" t="n">
        <v>7.5715</v>
      </c>
      <c r="K4" s="0" t="n">
        <v>0.15</v>
      </c>
      <c r="L4" s="0" t="n">
        <v>1779.62</v>
      </c>
      <c r="M4" s="0" t="n">
        <v>1783.637</v>
      </c>
      <c r="N4" s="0" t="n">
        <v>-4.017</v>
      </c>
      <c r="O4" s="0" t="n">
        <v>17362.858</v>
      </c>
      <c r="P4" s="0" t="n">
        <v>40251.78</v>
      </c>
      <c r="Q4" s="0" t="n">
        <v>22888.922</v>
      </c>
      <c r="R4" s="0" t="n">
        <v>18495.018</v>
      </c>
      <c r="S4" s="0" t="n">
        <v>3508.307</v>
      </c>
      <c r="T4" s="0" t="n">
        <v>3270.393</v>
      </c>
      <c r="U4" s="0" t="n">
        <v>0</v>
      </c>
      <c r="AA4" s="0" t="s">
        <v>18</v>
      </c>
      <c r="AB4" s="0" t="s">
        <v>14</v>
      </c>
      <c r="AC4" s="0" t="n">
        <v>3413.271</v>
      </c>
      <c r="AD4" s="0" t="n">
        <v>438.235</v>
      </c>
    </row>
    <row r="5" customFormat="false" ht="15" hidden="false" customHeight="false" outlineLevel="0" collapsed="false">
      <c r="A5" s="0" t="s">
        <v>69</v>
      </c>
      <c r="B5" s="0" t="n">
        <v>7648.587</v>
      </c>
      <c r="C5" s="0" t="n">
        <v>4033.416</v>
      </c>
      <c r="D5" s="0" t="n">
        <v>3615.171</v>
      </c>
      <c r="E5" s="0" t="n">
        <v>47.2659</v>
      </c>
      <c r="F5" s="0" t="n">
        <v>2036.865</v>
      </c>
      <c r="G5" s="0" t="n">
        <v>26.6306</v>
      </c>
      <c r="H5" s="0" t="n">
        <v>3120.207</v>
      </c>
      <c r="I5" s="0" t="n">
        <v>1052.163</v>
      </c>
      <c r="J5" s="0" t="n">
        <v>13.7563</v>
      </c>
      <c r="K5" s="0" t="n">
        <v>0.32</v>
      </c>
      <c r="L5" s="0" t="n">
        <v>3633.74</v>
      </c>
      <c r="M5" s="0" t="n">
        <v>1382.299</v>
      </c>
      <c r="N5" s="0" t="n">
        <v>2251.441</v>
      </c>
      <c r="O5" s="0" t="n">
        <v>17056.971</v>
      </c>
      <c r="P5" s="0" t="n">
        <v>39689.617</v>
      </c>
      <c r="Q5" s="0" t="n">
        <v>22632.646</v>
      </c>
      <c r="R5" s="0" t="n">
        <v>17438.536</v>
      </c>
      <c r="S5" s="0" t="n">
        <v>1840.469</v>
      </c>
      <c r="T5" s="0" t="n">
        <v>3270.393</v>
      </c>
      <c r="U5" s="0" t="n">
        <v>0</v>
      </c>
      <c r="AA5" s="0" t="s">
        <v>18</v>
      </c>
      <c r="AB5" s="0" t="s">
        <v>14</v>
      </c>
      <c r="AC5" s="0" t="n">
        <v>3504.147</v>
      </c>
      <c r="AD5" s="0" t="n">
        <v>1234.798</v>
      </c>
    </row>
    <row r="6" customFormat="false" ht="15" hidden="false" customHeight="false" outlineLevel="0" collapsed="false">
      <c r="A6" s="0" t="s">
        <v>70</v>
      </c>
      <c r="B6" s="0" t="n">
        <v>6859.446</v>
      </c>
      <c r="C6" s="0" t="n">
        <v>4167.369</v>
      </c>
      <c r="D6" s="0" t="n">
        <v>2692.077</v>
      </c>
      <c r="E6" s="0" t="n">
        <v>39.2463</v>
      </c>
      <c r="F6" s="0" t="n">
        <v>889.55</v>
      </c>
      <c r="G6" s="0" t="n">
        <v>12.9682</v>
      </c>
      <c r="H6" s="0" t="n">
        <v>1780.25</v>
      </c>
      <c r="I6" s="0" t="n">
        <v>33.697</v>
      </c>
      <c r="J6" s="0" t="n">
        <v>0.4912</v>
      </c>
      <c r="K6" s="0" t="n">
        <v>0.01</v>
      </c>
      <c r="L6" s="0" t="n">
        <v>2804.57</v>
      </c>
      <c r="M6" s="0" t="n">
        <v>2377.737</v>
      </c>
      <c r="N6" s="0" t="n">
        <v>426.833</v>
      </c>
      <c r="O6" s="0" t="n">
        <v>19728.874</v>
      </c>
      <c r="P6" s="0" t="n">
        <v>43022.606</v>
      </c>
      <c r="Q6" s="0" t="n">
        <v>23293.732</v>
      </c>
      <c r="R6" s="0" t="n">
        <v>16894.114</v>
      </c>
      <c r="S6" s="0" t="n">
        <v>2998.213</v>
      </c>
      <c r="T6" s="0" t="n">
        <v>3270.393</v>
      </c>
      <c r="U6" s="0" t="n">
        <v>0</v>
      </c>
      <c r="AA6" s="0" t="s">
        <v>18</v>
      </c>
      <c r="AB6" s="0" t="s">
        <v>14</v>
      </c>
      <c r="AC6" s="0" t="n">
        <v>3426.532</v>
      </c>
      <c r="AD6" s="0" t="n">
        <v>191.033</v>
      </c>
    </row>
    <row r="7" customFormat="false" ht="15" hidden="false" customHeight="false" outlineLevel="0" collapsed="false">
      <c r="A7" s="0" t="s">
        <v>71</v>
      </c>
      <c r="B7" s="0" t="n">
        <v>7885.557</v>
      </c>
      <c r="C7" s="0" t="n">
        <v>5229.645</v>
      </c>
      <c r="D7" s="0" t="n">
        <v>2655.912</v>
      </c>
      <c r="E7" s="0" t="n">
        <v>33.6807</v>
      </c>
      <c r="F7" s="0" t="n">
        <v>1272.396</v>
      </c>
      <c r="G7" s="0" t="n">
        <v>16.1358</v>
      </c>
      <c r="H7" s="0" t="n">
        <v>2258.668</v>
      </c>
      <c r="I7" s="0" t="n">
        <v>401.952</v>
      </c>
      <c r="J7" s="0" t="n">
        <v>5.0973</v>
      </c>
      <c r="K7" s="0" t="n">
        <v>0.07</v>
      </c>
      <c r="L7" s="0" t="n">
        <v>692.967</v>
      </c>
      <c r="M7" s="0" t="n">
        <v>1825.122</v>
      </c>
      <c r="N7" s="0" t="n">
        <v>-1132.155</v>
      </c>
      <c r="O7" s="0" t="n">
        <v>20047.452</v>
      </c>
      <c r="P7" s="0" t="n">
        <v>45887.495</v>
      </c>
      <c r="Q7" s="0" t="n">
        <v>25840.043</v>
      </c>
      <c r="R7" s="0" t="n">
        <v>18792.134</v>
      </c>
      <c r="S7" s="0" t="n">
        <v>3583.213</v>
      </c>
      <c r="T7" s="0" t="n">
        <v>3270.393</v>
      </c>
      <c r="U7" s="0" t="n">
        <v>0</v>
      </c>
      <c r="AA7" s="0" t="s">
        <v>18</v>
      </c>
      <c r="AB7" s="0" t="s">
        <v>14</v>
      </c>
      <c r="AC7" s="0" t="n">
        <v>3437.509</v>
      </c>
      <c r="AD7" s="0" t="n">
        <v>560.186</v>
      </c>
    </row>
    <row r="8" customFormat="false" ht="15" hidden="false" customHeight="false" outlineLevel="0" collapsed="false">
      <c r="A8" s="0" t="s">
        <v>72</v>
      </c>
      <c r="B8" s="0" t="n">
        <v>8423.618</v>
      </c>
      <c r="C8" s="0" t="n">
        <v>5053.333</v>
      </c>
      <c r="D8" s="0" t="n">
        <v>3370.285</v>
      </c>
      <c r="E8" s="0" t="n">
        <v>40.0099</v>
      </c>
      <c r="F8" s="0" t="n">
        <v>1734.219</v>
      </c>
      <c r="G8" s="0" t="n">
        <v>20.5876</v>
      </c>
      <c r="H8" s="0" t="n">
        <v>2730.449</v>
      </c>
      <c r="I8" s="0" t="n">
        <v>686.43</v>
      </c>
      <c r="J8" s="0" t="n">
        <v>8.1489</v>
      </c>
      <c r="K8" s="0" t="n">
        <v>0.14</v>
      </c>
      <c r="L8" s="0" t="n">
        <v>1832.5</v>
      </c>
      <c r="M8" s="0" t="n">
        <v>1775.741</v>
      </c>
      <c r="N8" s="0" t="n">
        <v>56.759</v>
      </c>
      <c r="O8" s="0" t="n">
        <v>22244.326</v>
      </c>
      <c r="P8" s="0" t="n">
        <v>46867.396</v>
      </c>
      <c r="Q8" s="0" t="n">
        <v>24623.07</v>
      </c>
      <c r="R8" s="0" t="n">
        <v>17782.32</v>
      </c>
      <c r="S8" s="0" t="n">
        <v>2916.103</v>
      </c>
      <c r="T8" s="0" t="n">
        <v>3270.393</v>
      </c>
      <c r="U8" s="0" t="n">
        <v>0</v>
      </c>
      <c r="AA8" s="0" t="s">
        <v>18</v>
      </c>
      <c r="AB8" s="0" t="s">
        <v>14</v>
      </c>
      <c r="AC8" s="0" t="n">
        <v>3382.366</v>
      </c>
      <c r="AD8" s="0" t="n">
        <v>838.418</v>
      </c>
    </row>
    <row r="9" customFormat="false" ht="15" hidden="false" customHeight="false" outlineLevel="0" collapsed="false">
      <c r="A9" s="0" t="s">
        <v>73</v>
      </c>
      <c r="B9" s="0" t="n">
        <v>11550.68</v>
      </c>
      <c r="C9" s="0" t="n">
        <v>7028.727</v>
      </c>
      <c r="D9" s="0" t="n">
        <v>4521.953</v>
      </c>
      <c r="E9" s="0" t="n">
        <v>39.1488</v>
      </c>
      <c r="F9" s="0" t="n">
        <v>2773.482</v>
      </c>
      <c r="G9" s="0" t="n">
        <v>24.0114</v>
      </c>
      <c r="H9" s="0" t="n">
        <v>4128.268</v>
      </c>
      <c r="I9" s="0" t="n">
        <v>1450.799</v>
      </c>
      <c r="J9" s="0" t="n">
        <v>12.5603</v>
      </c>
      <c r="K9" s="0" t="n">
        <v>0.35</v>
      </c>
      <c r="L9" s="0" t="n">
        <v>2597.16</v>
      </c>
      <c r="M9" s="0" t="n">
        <v>2059.753</v>
      </c>
      <c r="N9" s="0" t="n">
        <v>537.407</v>
      </c>
      <c r="O9" s="0" t="n">
        <v>25192.291</v>
      </c>
      <c r="P9" s="0" t="n">
        <v>53567.945</v>
      </c>
      <c r="Q9" s="0" t="n">
        <v>28375.654</v>
      </c>
      <c r="R9" s="0" t="n">
        <v>20039.174</v>
      </c>
      <c r="S9" s="0" t="n">
        <v>2029.825</v>
      </c>
      <c r="T9" s="0" t="n">
        <v>3402.393</v>
      </c>
      <c r="U9" s="0" t="n">
        <v>0</v>
      </c>
      <c r="AA9" s="0" t="s">
        <v>18</v>
      </c>
      <c r="AB9" s="0" t="s">
        <v>14</v>
      </c>
      <c r="AC9" s="0" t="n">
        <v>4008.689</v>
      </c>
      <c r="AD9" s="0" t="n">
        <v>1851.333</v>
      </c>
    </row>
    <row r="10" customFormat="false" ht="15" hidden="false" customHeight="false" outlineLevel="0" collapsed="false">
      <c r="A10" s="0" t="s">
        <v>74</v>
      </c>
      <c r="B10" s="0" t="n">
        <v>18055.551</v>
      </c>
      <c r="C10" s="0" t="n">
        <v>10485.262</v>
      </c>
      <c r="D10" s="0" t="n">
        <v>7570.289</v>
      </c>
      <c r="E10" s="0" t="n">
        <v>41.9278</v>
      </c>
      <c r="F10" s="0" t="n">
        <v>6071.274</v>
      </c>
      <c r="G10" s="0" t="n">
        <v>33.6255</v>
      </c>
      <c r="H10" s="0" t="n">
        <v>7869.409</v>
      </c>
      <c r="I10" s="0" t="n">
        <v>3613.992</v>
      </c>
      <c r="J10" s="0" t="n">
        <v>20.016</v>
      </c>
      <c r="K10" s="0" t="n">
        <v>0.96</v>
      </c>
      <c r="L10" s="0" t="n">
        <v>6438.28</v>
      </c>
      <c r="M10" s="0" t="n">
        <v>2898.92</v>
      </c>
      <c r="N10" s="0" t="n">
        <v>3539.36</v>
      </c>
      <c r="O10" s="0" t="n">
        <v>29097.465</v>
      </c>
      <c r="P10" s="0" t="n">
        <v>57284.67</v>
      </c>
      <c r="Q10" s="0" t="n">
        <v>28187.205</v>
      </c>
      <c r="R10" s="0" t="n">
        <v>18763.097</v>
      </c>
      <c r="S10" s="0" t="n">
        <v>1824.913</v>
      </c>
      <c r="T10" s="0" t="n">
        <v>3542.393</v>
      </c>
      <c r="U10" s="0" t="n">
        <v>0</v>
      </c>
      <c r="AA10" s="0" t="s">
        <v>18</v>
      </c>
      <c r="AB10" s="0" t="s">
        <v>14</v>
      </c>
      <c r="AD10" s="0" t="n">
        <v>4439.749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75</v>
      </c>
      <c r="B1" s="2" t="s">
        <v>76</v>
      </c>
    </row>
    <row r="2" customFormat="false" ht="15" hidden="false" customHeight="false" outlineLevel="0" collapsed="false">
      <c r="A2" s="0" t="s">
        <v>77</v>
      </c>
      <c r="B2" s="3" t="n">
        <v>18.19</v>
      </c>
    </row>
    <row r="3" customFormat="false" ht="15" hidden="false" customHeight="false" outlineLevel="0" collapsed="false">
      <c r="A3" s="0" t="s">
        <v>78</v>
      </c>
      <c r="B3" s="3" t="n">
        <v>3542.393</v>
      </c>
    </row>
    <row r="4" customFormat="false" ht="15" hidden="false" customHeight="false" outlineLevel="0" collapsed="false">
      <c r="A4" s="0" t="s">
        <v>79</v>
      </c>
      <c r="B4" s="3" t="n">
        <v>13977.57</v>
      </c>
    </row>
    <row r="5" customFormat="false" ht="15" hidden="false" customHeight="false" outlineLevel="0" collapsed="false">
      <c r="A5" s="0" t="s">
        <v>80</v>
      </c>
      <c r="B5" s="3" t="n">
        <v>-3561.768</v>
      </c>
    </row>
    <row r="6" customFormat="false" ht="15" hidden="false" customHeight="false" outlineLevel="0" collapsed="false">
      <c r="A6" s="0" t="s">
        <v>81</v>
      </c>
      <c r="B6" s="3" t="n">
        <v>15</v>
      </c>
    </row>
    <row r="7" customFormat="false" ht="15" hidden="false" customHeight="false" outlineLevel="0" collapsed="false">
      <c r="A7" s="0" t="s">
        <v>82</v>
      </c>
      <c r="B7" s="3" t="n">
        <v>18055.551</v>
      </c>
    </row>
    <row r="8" customFormat="false" ht="15" hidden="false" customHeight="false" outlineLevel="0" collapsed="false">
      <c r="A8" s="0" t="s">
        <v>83</v>
      </c>
      <c r="B8" s="3" t="s">
        <v>74</v>
      </c>
    </row>
    <row r="9" customFormat="false" ht="15" hidden="false" customHeight="false" outlineLevel="0" collapsed="false">
      <c r="A9" s="0" t="s">
        <v>84</v>
      </c>
      <c r="B9" s="3" t="s">
        <v>85</v>
      </c>
    </row>
    <row r="10" customFormat="false" ht="15" hidden="false" customHeight="false" outlineLevel="0" collapsed="false">
      <c r="A10" s="0" t="s">
        <v>86</v>
      </c>
      <c r="B10" s="3" t="n">
        <v>1.1724</v>
      </c>
    </row>
    <row r="12" customFormat="false" ht="15" hidden="false" customHeight="false" outlineLevel="0" collapsed="false">
      <c r="A12" s="2" t="s">
        <v>87</v>
      </c>
      <c r="C12" s="2" t="s">
        <v>88</v>
      </c>
      <c r="D12" s="2" t="s">
        <v>89</v>
      </c>
      <c r="E12" s="2" t="s">
        <v>90</v>
      </c>
      <c r="F12" s="2" t="s">
        <v>91</v>
      </c>
      <c r="G12" s="2" t="s">
        <v>92</v>
      </c>
      <c r="H12" s="2" t="s">
        <v>93</v>
      </c>
      <c r="I12" s="2" t="s">
        <v>94</v>
      </c>
      <c r="J12" s="2" t="s">
        <v>95</v>
      </c>
      <c r="K12" s="2" t="s">
        <v>96</v>
      </c>
      <c r="L12" s="2" t="s">
        <v>97</v>
      </c>
    </row>
    <row r="13" customFormat="false" ht="15" hidden="false" customHeight="false" outlineLevel="0" collapsed="false">
      <c r="A13" s="0" t="s">
        <v>98</v>
      </c>
      <c r="C13" s="3" t="n">
        <v>0</v>
      </c>
      <c r="D13" s="3" t="n">
        <v>-5</v>
      </c>
      <c r="E13" s="3" t="n">
        <v>0</v>
      </c>
      <c r="F13" s="3" t="n">
        <v>2</v>
      </c>
      <c r="G13" s="3" t="n">
        <v>2</v>
      </c>
      <c r="H13" s="3" t="n">
        <v>2</v>
      </c>
      <c r="I13" s="3" t="n">
        <v>2</v>
      </c>
      <c r="J13" s="3" t="n">
        <v>2</v>
      </c>
      <c r="K13" s="3" t="n">
        <v>2</v>
      </c>
      <c r="L13" s="3" t="n">
        <v>2</v>
      </c>
    </row>
    <row r="14" customFormat="false" ht="15" hidden="false" customHeight="false" outlineLevel="0" collapsed="false">
      <c r="A14" s="0" t="s">
        <v>99</v>
      </c>
      <c r="C14" s="3" t="n">
        <v>34</v>
      </c>
      <c r="D14" s="3" t="n">
        <v>30</v>
      </c>
      <c r="E14" s="3" t="n">
        <v>32</v>
      </c>
      <c r="F14" s="3" t="n">
        <v>33</v>
      </c>
      <c r="G14" s="3" t="n">
        <v>33</v>
      </c>
      <c r="H14" s="3" t="n">
        <v>33</v>
      </c>
      <c r="I14" s="3" t="n">
        <v>33</v>
      </c>
      <c r="J14" s="3" t="n">
        <v>33</v>
      </c>
      <c r="K14" s="3" t="n">
        <v>33</v>
      </c>
      <c r="L14" s="3" t="n">
        <v>33</v>
      </c>
    </row>
    <row r="15" customFormat="false" ht="15" hidden="false" customHeight="false" outlineLevel="0" collapsed="false">
      <c r="A15" s="0" t="s">
        <v>100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</row>
    <row r="16" customFormat="false" ht="15" hidden="false" customHeight="false" outlineLevel="0" collapsed="false">
      <c r="A16" s="0" t="s">
        <v>101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102</v>
      </c>
      <c r="C17" s="3" t="n">
        <v>9</v>
      </c>
      <c r="D17" s="3" t="n">
        <v>10</v>
      </c>
      <c r="E17" s="3" t="n">
        <v>10</v>
      </c>
      <c r="F17" s="3" t="n">
        <v>10</v>
      </c>
      <c r="G17" s="3" t="n">
        <v>10</v>
      </c>
      <c r="H17" s="3" t="n">
        <v>10</v>
      </c>
      <c r="I17" s="3" t="n">
        <v>10</v>
      </c>
      <c r="J17" s="3" t="n">
        <v>10</v>
      </c>
      <c r="K17" s="3" t="n">
        <v>10</v>
      </c>
      <c r="L17" s="3" t="n">
        <v>10</v>
      </c>
    </row>
    <row r="18" customFormat="false" ht="15" hidden="false" customHeight="false" outlineLevel="0" collapsed="false">
      <c r="A18" s="0" t="s">
        <v>103</v>
      </c>
      <c r="C18" s="3" t="n">
        <v>10</v>
      </c>
      <c r="D18" s="3" t="n">
        <v>13</v>
      </c>
      <c r="E18" s="3" t="n">
        <v>13</v>
      </c>
      <c r="F18" s="3" t="n">
        <v>12</v>
      </c>
      <c r="G18" s="3" t="n">
        <v>12</v>
      </c>
      <c r="H18" s="3" t="n">
        <v>11.5</v>
      </c>
      <c r="I18" s="3" t="n">
        <v>11</v>
      </c>
      <c r="J18" s="3" t="n">
        <v>11</v>
      </c>
      <c r="K18" s="3" t="n">
        <v>11</v>
      </c>
      <c r="L18" s="3" t="n">
        <v>11</v>
      </c>
    </row>
    <row r="19" customFormat="false" ht="15" hidden="false" customHeight="false" outlineLevel="0" collapsed="false">
      <c r="A19" s="0" t="s">
        <v>104</v>
      </c>
      <c r="C19" s="3" t="n">
        <v>35</v>
      </c>
      <c r="D19" s="3" t="n">
        <v>35</v>
      </c>
      <c r="E19" s="3" t="n">
        <v>35.5</v>
      </c>
      <c r="F19" s="3" t="n">
        <v>36</v>
      </c>
      <c r="G19" s="3" t="n">
        <v>36.5</v>
      </c>
      <c r="H19" s="3" t="n">
        <v>37</v>
      </c>
      <c r="I19" s="3" t="n">
        <v>37</v>
      </c>
      <c r="J19" s="3" t="n">
        <v>37</v>
      </c>
      <c r="K19" s="3" t="n">
        <v>37</v>
      </c>
      <c r="L19" s="3" t="n">
        <v>37</v>
      </c>
    </row>
    <row r="20" customFormat="false" ht="15" hidden="false" customHeight="false" outlineLevel="0" collapsed="false">
      <c r="A20" s="0" t="s">
        <v>105</v>
      </c>
      <c r="B20" s="3" t="n">
        <v>8</v>
      </c>
    </row>
    <row r="21" customFormat="false" ht="15" hidden="false" customHeight="false" outlineLevel="0" collapsed="false">
      <c r="A21" s="0" t="s">
        <v>106</v>
      </c>
      <c r="B21" s="3" t="n">
        <v>2</v>
      </c>
    </row>
    <row r="22" customFormat="false" ht="15" hidden="false" customHeight="false" outlineLevel="0" collapsed="false">
      <c r="A22" s="0" t="s">
        <v>107</v>
      </c>
      <c r="B22" s="3" t="n">
        <v>12</v>
      </c>
    </row>
    <row r="23" customFormat="false" ht="15" hidden="false" customHeight="false" outlineLevel="0" collapsed="false">
      <c r="A23" s="0" t="s">
        <v>108</v>
      </c>
      <c r="B23" s="3" t="n">
        <v>-5</v>
      </c>
    </row>
    <row r="24" customFormat="false" ht="15" hidden="false" customHeight="false" outlineLevel="0" collapsed="false">
      <c r="A24" s="0" t="s">
        <v>109</v>
      </c>
      <c r="B24" s="3" t="n">
        <v>0.25</v>
      </c>
    </row>
    <row r="26" customFormat="false" ht="15" hidden="false" customHeight="false" outlineLevel="0" collapsed="false">
      <c r="A26" s="2" t="s">
        <v>110</v>
      </c>
      <c r="C26" s="2" t="s">
        <v>88</v>
      </c>
      <c r="D26" s="2" t="s">
        <v>89</v>
      </c>
      <c r="E26" s="2" t="s">
        <v>90</v>
      </c>
      <c r="F26" s="2" t="s">
        <v>91</v>
      </c>
      <c r="G26" s="2" t="s">
        <v>92</v>
      </c>
      <c r="H26" s="2" t="s">
        <v>93</v>
      </c>
      <c r="I26" s="2" t="s">
        <v>94</v>
      </c>
      <c r="J26" s="2" t="s">
        <v>95</v>
      </c>
      <c r="K26" s="2" t="s">
        <v>96</v>
      </c>
      <c r="L26" s="2" t="s">
        <v>97</v>
      </c>
    </row>
    <row r="27" customFormat="false" ht="15" hidden="false" customHeight="false" outlineLevel="0" collapsed="false">
      <c r="A27" s="0" t="s">
        <v>98</v>
      </c>
      <c r="C27" s="3" t="n">
        <v>3</v>
      </c>
      <c r="D27" s="3" t="n">
        <v>6</v>
      </c>
      <c r="E27" s="3" t="n">
        <v>5</v>
      </c>
      <c r="F27" s="3" t="n">
        <v>4</v>
      </c>
      <c r="G27" s="3" t="n">
        <v>3.5</v>
      </c>
      <c r="H27" s="3" t="n">
        <v>3</v>
      </c>
      <c r="I27" s="3" t="n">
        <v>3</v>
      </c>
      <c r="J27" s="3" t="n">
        <v>2.5</v>
      </c>
      <c r="K27" s="3" t="n">
        <v>2.5</v>
      </c>
      <c r="L27" s="3" t="n">
        <v>2.5</v>
      </c>
    </row>
    <row r="28" customFormat="false" ht="15" hidden="false" customHeight="false" outlineLevel="0" collapsed="false">
      <c r="A28" s="0" t="s">
        <v>99</v>
      </c>
      <c r="C28" s="3" t="n">
        <v>36</v>
      </c>
      <c r="D28" s="3" t="n">
        <v>40</v>
      </c>
      <c r="E28" s="3" t="n">
        <v>41</v>
      </c>
      <c r="F28" s="3" t="n">
        <v>41</v>
      </c>
      <c r="G28" s="3" t="n">
        <v>41</v>
      </c>
      <c r="H28" s="3" t="n">
        <v>41</v>
      </c>
      <c r="I28" s="3" t="n">
        <v>40.5</v>
      </c>
      <c r="J28" s="3" t="n">
        <v>40.5</v>
      </c>
      <c r="K28" s="3" t="n">
        <v>40</v>
      </c>
      <c r="L28" s="3" t="n">
        <v>40</v>
      </c>
    </row>
    <row r="29" customFormat="false" ht="15" hidden="false" customHeight="false" outlineLevel="0" collapsed="false">
      <c r="A29" s="0" t="s">
        <v>100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</row>
    <row r="30" customFormat="false" ht="15" hidden="false" customHeight="false" outlineLevel="0" collapsed="false">
      <c r="A30" s="0" t="s">
        <v>101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102</v>
      </c>
      <c r="C31" s="3" t="n">
        <v>9</v>
      </c>
      <c r="D31" s="3" t="n">
        <v>9.5</v>
      </c>
      <c r="E31" s="3" t="n">
        <v>9.5</v>
      </c>
      <c r="F31" s="3" t="n">
        <v>9.5</v>
      </c>
      <c r="G31" s="3" t="n">
        <v>9.5</v>
      </c>
      <c r="H31" s="3" t="n">
        <v>9.5</v>
      </c>
      <c r="I31" s="3" t="n">
        <v>9.5</v>
      </c>
      <c r="J31" s="3" t="n">
        <v>9.5</v>
      </c>
      <c r="K31" s="3" t="n">
        <v>9.5</v>
      </c>
      <c r="L31" s="3" t="n">
        <v>9.5</v>
      </c>
    </row>
    <row r="32" customFormat="false" ht="15" hidden="false" customHeight="false" outlineLevel="0" collapsed="false">
      <c r="A32" s="0" t="s">
        <v>103</v>
      </c>
      <c r="C32" s="3" t="n">
        <v>10</v>
      </c>
      <c r="D32" s="3" t="n">
        <v>13</v>
      </c>
      <c r="E32" s="3" t="n">
        <v>13</v>
      </c>
      <c r="F32" s="3" t="n">
        <v>13</v>
      </c>
      <c r="G32" s="3" t="n">
        <v>12</v>
      </c>
      <c r="H32" s="3" t="n">
        <v>12</v>
      </c>
      <c r="I32" s="3" t="n">
        <v>11.5</v>
      </c>
      <c r="J32" s="3" t="n">
        <v>11</v>
      </c>
      <c r="K32" s="3" t="n">
        <v>11</v>
      </c>
      <c r="L32" s="3" t="n">
        <v>11</v>
      </c>
    </row>
    <row r="33" customFormat="false" ht="15" hidden="false" customHeight="false" outlineLevel="0" collapsed="false">
      <c r="A33" s="0" t="s">
        <v>104</v>
      </c>
      <c r="C33" s="3" t="n">
        <v>35</v>
      </c>
      <c r="D33" s="3" t="n">
        <v>35</v>
      </c>
      <c r="E33" s="3" t="n">
        <v>35.5</v>
      </c>
      <c r="F33" s="3" t="n">
        <v>36</v>
      </c>
      <c r="G33" s="3" t="n">
        <v>36.5</v>
      </c>
      <c r="H33" s="3" t="n">
        <v>37</v>
      </c>
      <c r="I33" s="3" t="n">
        <v>37</v>
      </c>
      <c r="J33" s="3" t="n">
        <v>37</v>
      </c>
      <c r="K33" s="3" t="n">
        <v>37</v>
      </c>
      <c r="L33" s="3" t="n">
        <v>37</v>
      </c>
    </row>
    <row r="34" customFormat="false" ht="15" hidden="false" customHeight="false" outlineLevel="0" collapsed="false">
      <c r="A34" s="0" t="s">
        <v>105</v>
      </c>
      <c r="B34" s="3" t="n">
        <v>8</v>
      </c>
    </row>
    <row r="35" customFormat="false" ht="15" hidden="false" customHeight="false" outlineLevel="0" collapsed="false">
      <c r="A35" s="0" t="s">
        <v>106</v>
      </c>
      <c r="B35" s="3" t="n">
        <v>2.5</v>
      </c>
    </row>
    <row r="36" customFormat="false" ht="15" hidden="false" customHeight="false" outlineLevel="0" collapsed="false">
      <c r="A36" s="0" t="s">
        <v>107</v>
      </c>
      <c r="B36" s="3" t="n">
        <v>14</v>
      </c>
    </row>
    <row r="37" customFormat="false" ht="15" hidden="false" customHeight="false" outlineLevel="0" collapsed="false">
      <c r="A37" s="0" t="s">
        <v>108</v>
      </c>
      <c r="B37" s="3" t="n">
        <v>-5</v>
      </c>
    </row>
    <row r="38" customFormat="false" ht="15" hidden="false" customHeight="false" outlineLevel="0" collapsed="false">
      <c r="A38" s="0" t="s">
        <v>109</v>
      </c>
      <c r="B38" s="3" t="n">
        <v>0.5</v>
      </c>
    </row>
    <row r="40" customFormat="false" ht="15" hidden="false" customHeight="false" outlineLevel="0" collapsed="false">
      <c r="A40" s="2" t="s">
        <v>111</v>
      </c>
      <c r="C40" s="2" t="s">
        <v>88</v>
      </c>
      <c r="D40" s="2" t="s">
        <v>89</v>
      </c>
      <c r="E40" s="2" t="s">
        <v>90</v>
      </c>
      <c r="F40" s="2" t="s">
        <v>91</v>
      </c>
      <c r="G40" s="2" t="s">
        <v>92</v>
      </c>
      <c r="H40" s="2" t="s">
        <v>93</v>
      </c>
      <c r="I40" s="2" t="s">
        <v>94</v>
      </c>
      <c r="J40" s="2" t="s">
        <v>95</v>
      </c>
      <c r="K40" s="2" t="s">
        <v>96</v>
      </c>
      <c r="L40" s="2" t="s">
        <v>97</v>
      </c>
    </row>
    <row r="41" customFormat="false" ht="15" hidden="false" customHeight="false" outlineLevel="0" collapsed="false">
      <c r="A41" s="0" t="s">
        <v>98</v>
      </c>
      <c r="C41" s="3" t="n">
        <v>5</v>
      </c>
      <c r="D41" s="3" t="n">
        <v>12</v>
      </c>
      <c r="E41" s="3" t="n">
        <v>9</v>
      </c>
      <c r="F41" s="3" t="n">
        <v>7</v>
      </c>
      <c r="G41" s="3" t="n">
        <v>5</v>
      </c>
      <c r="H41" s="3" t="n">
        <v>4</v>
      </c>
      <c r="I41" s="3" t="n">
        <v>3.5</v>
      </c>
      <c r="J41" s="3" t="n">
        <v>3</v>
      </c>
      <c r="K41" s="3" t="n">
        <v>3</v>
      </c>
      <c r="L41" s="3" t="n">
        <v>3</v>
      </c>
    </row>
    <row r="42" customFormat="false" ht="15" hidden="false" customHeight="false" outlineLevel="0" collapsed="false">
      <c r="A42" s="0" t="s">
        <v>99</v>
      </c>
      <c r="C42" s="3" t="n">
        <v>37</v>
      </c>
      <c r="D42" s="3" t="n">
        <v>44</v>
      </c>
      <c r="E42" s="3" t="n">
        <v>46</v>
      </c>
      <c r="F42" s="3" t="n">
        <v>46</v>
      </c>
      <c r="G42" s="3" t="n">
        <v>46</v>
      </c>
      <c r="H42" s="3" t="n">
        <v>45.5</v>
      </c>
      <c r="I42" s="3" t="n">
        <v>45</v>
      </c>
      <c r="J42" s="3" t="n">
        <v>45</v>
      </c>
      <c r="K42" s="3" t="n">
        <v>45</v>
      </c>
      <c r="L42" s="3" t="n">
        <v>45</v>
      </c>
    </row>
    <row r="43" customFormat="false" ht="15" hidden="false" customHeight="false" outlineLevel="0" collapsed="false">
      <c r="A43" s="0" t="s">
        <v>100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</row>
    <row r="44" customFormat="false" ht="15" hidden="false" customHeight="false" outlineLevel="0" collapsed="false">
      <c r="A44" s="0" t="s">
        <v>101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102</v>
      </c>
      <c r="C45" s="3" t="n">
        <v>9</v>
      </c>
      <c r="D45" s="3" t="n">
        <v>9.5</v>
      </c>
      <c r="E45" s="3" t="n">
        <v>9.5</v>
      </c>
      <c r="F45" s="3" t="n">
        <v>9.5</v>
      </c>
      <c r="G45" s="3" t="n">
        <v>9.5</v>
      </c>
      <c r="H45" s="3" t="n">
        <v>9.5</v>
      </c>
      <c r="I45" s="3" t="n">
        <v>9.5</v>
      </c>
      <c r="J45" s="3" t="n">
        <v>9.5</v>
      </c>
      <c r="K45" s="3" t="n">
        <v>9.5</v>
      </c>
      <c r="L45" s="3" t="n">
        <v>9.5</v>
      </c>
    </row>
    <row r="46" customFormat="false" ht="15" hidden="false" customHeight="false" outlineLevel="0" collapsed="false">
      <c r="A46" s="0" t="s">
        <v>103</v>
      </c>
      <c r="C46" s="3" t="n">
        <v>10</v>
      </c>
      <c r="D46" s="3" t="n">
        <v>13</v>
      </c>
      <c r="E46" s="3" t="n">
        <v>13</v>
      </c>
      <c r="F46" s="3" t="n">
        <v>12.5</v>
      </c>
      <c r="G46" s="3" t="n">
        <v>12</v>
      </c>
      <c r="H46" s="3" t="n">
        <v>11.5</v>
      </c>
      <c r="I46" s="3" t="n">
        <v>11</v>
      </c>
      <c r="J46" s="3" t="n">
        <v>11</v>
      </c>
      <c r="K46" s="3" t="n">
        <v>11</v>
      </c>
      <c r="L46" s="3" t="n">
        <v>11</v>
      </c>
    </row>
    <row r="47" customFormat="false" ht="15" hidden="false" customHeight="false" outlineLevel="0" collapsed="false">
      <c r="A47" s="0" t="s">
        <v>104</v>
      </c>
      <c r="C47" s="3" t="n">
        <v>35</v>
      </c>
      <c r="D47" s="3" t="n">
        <v>35</v>
      </c>
      <c r="E47" s="3" t="n">
        <v>35.5</v>
      </c>
      <c r="F47" s="3" t="n">
        <v>36</v>
      </c>
      <c r="G47" s="3" t="n">
        <v>36.5</v>
      </c>
      <c r="H47" s="3" t="n">
        <v>37</v>
      </c>
      <c r="I47" s="3" t="n">
        <v>37</v>
      </c>
      <c r="J47" s="3" t="n">
        <v>37</v>
      </c>
      <c r="K47" s="3" t="n">
        <v>37</v>
      </c>
      <c r="L47" s="3" t="n">
        <v>37</v>
      </c>
    </row>
    <row r="48" customFormat="false" ht="15" hidden="false" customHeight="false" outlineLevel="0" collapsed="false">
      <c r="A48" s="0" t="s">
        <v>105</v>
      </c>
      <c r="B48" s="3" t="n">
        <v>8</v>
      </c>
    </row>
    <row r="49" customFormat="false" ht="15" hidden="false" customHeight="false" outlineLevel="0" collapsed="false">
      <c r="A49" s="0" t="s">
        <v>106</v>
      </c>
      <c r="B49" s="3" t="n">
        <v>3</v>
      </c>
    </row>
    <row r="50" customFormat="false" ht="15" hidden="false" customHeight="false" outlineLevel="0" collapsed="false">
      <c r="A50" s="0" t="s">
        <v>107</v>
      </c>
      <c r="B50" s="3" t="n">
        <v>14</v>
      </c>
    </row>
    <row r="51" customFormat="false" ht="15" hidden="false" customHeight="false" outlineLevel="0" collapsed="false">
      <c r="A51" s="0" t="s">
        <v>108</v>
      </c>
      <c r="B51" s="3" t="n">
        <v>-5</v>
      </c>
    </row>
    <row r="52" customFormat="false" ht="15" hidden="false" customHeight="false" outlineLevel="0" collapsed="false">
      <c r="A52" s="0" t="s">
        <v>109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112</v>
      </c>
    </row>
    <row r="3" customFormat="false" ht="15" hidden="false" customHeight="false" outlineLevel="0" collapsed="false">
      <c r="A3" s="0" t="s">
        <v>113</v>
      </c>
      <c r="B3" s="0" t="s">
        <v>74</v>
      </c>
      <c r="C3" s="2" t="s">
        <v>88</v>
      </c>
      <c r="D3" s="2" t="s">
        <v>89</v>
      </c>
      <c r="E3" s="2" t="s">
        <v>90</v>
      </c>
      <c r="F3" s="2" t="s">
        <v>91</v>
      </c>
      <c r="G3" s="2" t="s">
        <v>92</v>
      </c>
      <c r="H3" s="2" t="s">
        <v>93</v>
      </c>
      <c r="I3" s="2" t="s">
        <v>94</v>
      </c>
      <c r="J3" s="2" t="s">
        <v>95</v>
      </c>
      <c r="K3" s="2" t="s">
        <v>96</v>
      </c>
      <c r="L3" s="2" t="s">
        <v>97</v>
      </c>
    </row>
    <row r="4" customFormat="false" ht="15" hidden="false" customHeight="false" outlineLevel="0" collapsed="false">
      <c r="A4" s="0" t="s">
        <v>114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98</v>
      </c>
      <c r="C5" s="4" t="n">
        <f aca="false">Assumptions!C13</f>
        <v>0</v>
      </c>
      <c r="D5" s="4" t="n">
        <f aca="false">Assumptions!D13</f>
        <v>-5</v>
      </c>
      <c r="E5" s="4" t="n">
        <f aca="false">Assumptions!E13</f>
        <v>0</v>
      </c>
      <c r="F5" s="4" t="n">
        <f aca="false">Assumptions!F13</f>
        <v>2</v>
      </c>
      <c r="G5" s="4" t="n">
        <f aca="false">Assumptions!G13</f>
        <v>2</v>
      </c>
      <c r="H5" s="4" t="n">
        <f aca="false">Assumptions!H13</f>
        <v>2</v>
      </c>
      <c r="I5" s="4" t="n">
        <f aca="false">Assumptions!I13</f>
        <v>2</v>
      </c>
      <c r="J5" s="4" t="n">
        <f aca="false">Assumptions!J13</f>
        <v>2</v>
      </c>
      <c r="K5" s="4" t="n">
        <f aca="false">Assumptions!K13</f>
        <v>2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38</v>
      </c>
      <c r="B6" s="3" t="n">
        <v>18055.551</v>
      </c>
      <c r="C6" s="0" t="n">
        <f aca="false">B6*(1+C5/100)</f>
        <v>18055.551</v>
      </c>
      <c r="D6" s="0" t="n">
        <f aca="false">C6*(1+D5/100)</f>
        <v>17152.77345</v>
      </c>
      <c r="E6" s="0" t="n">
        <f aca="false">D6*(1+E5/100)</f>
        <v>17152.77345</v>
      </c>
      <c r="F6" s="0" t="n">
        <f aca="false">E6*(1+F5/100)</f>
        <v>17495.828919</v>
      </c>
      <c r="G6" s="0" t="n">
        <f aca="false">F6*(1+G5/100)</f>
        <v>17845.74549738</v>
      </c>
      <c r="H6" s="0" t="n">
        <f aca="false">G6*(1+H5/100)</f>
        <v>18202.6604073276</v>
      </c>
      <c r="I6" s="0" t="n">
        <f aca="false">H6*(1+I5/100)</f>
        <v>18566.7136154742</v>
      </c>
      <c r="J6" s="0" t="n">
        <f aca="false">I6*(1+J5/100)</f>
        <v>18938.0478877836</v>
      </c>
      <c r="K6" s="0" t="n">
        <f aca="false">J6*(1+K5/100)</f>
        <v>19316.8088455393</v>
      </c>
      <c r="L6" s="0" t="n">
        <f aca="false">K6*(1+L5/100)</f>
        <v>19703.1450224501</v>
      </c>
    </row>
    <row r="7" customFormat="false" ht="15" hidden="false" customHeight="false" outlineLevel="0" collapsed="false">
      <c r="A7" s="0" t="s">
        <v>99</v>
      </c>
      <c r="C7" s="4" t="n">
        <f aca="false">Assumptions!C14</f>
        <v>34</v>
      </c>
      <c r="D7" s="4" t="n">
        <f aca="false">Assumptions!D14</f>
        <v>30</v>
      </c>
      <c r="E7" s="4" t="n">
        <f aca="false">Assumptions!E14</f>
        <v>32</v>
      </c>
      <c r="F7" s="4" t="n">
        <f aca="false">Assumptions!F14</f>
        <v>33</v>
      </c>
      <c r="G7" s="4" t="n">
        <f aca="false">Assumptions!G14</f>
        <v>33</v>
      </c>
      <c r="H7" s="4" t="n">
        <f aca="false">Assumptions!H14</f>
        <v>33</v>
      </c>
      <c r="I7" s="4" t="n">
        <f aca="false">Assumptions!I14</f>
        <v>33</v>
      </c>
      <c r="J7" s="4" t="n">
        <f aca="false">Assumptions!J14</f>
        <v>33</v>
      </c>
      <c r="K7" s="4" t="n">
        <f aca="false">Assumptions!K14</f>
        <v>33</v>
      </c>
      <c r="L7" s="4" t="n">
        <f aca="false">Assumptions!L14</f>
        <v>33</v>
      </c>
    </row>
    <row r="8" customFormat="false" ht="15" hidden="false" customHeight="false" outlineLevel="0" collapsed="false">
      <c r="A8" s="0" t="s">
        <v>44</v>
      </c>
      <c r="C8" s="0" t="n">
        <f aca="false">C6*C7/100</f>
        <v>6138.88734</v>
      </c>
      <c r="D8" s="0" t="n">
        <f aca="false">D6*D7/100</f>
        <v>5145.832035</v>
      </c>
      <c r="E8" s="0" t="n">
        <f aca="false">E6*E7/100</f>
        <v>5488.887504</v>
      </c>
      <c r="F8" s="0" t="n">
        <f aca="false">F6*F7/100</f>
        <v>5773.62354327</v>
      </c>
      <c r="G8" s="0" t="n">
        <f aca="false">G6*G7/100</f>
        <v>5889.0960141354</v>
      </c>
      <c r="H8" s="0" t="n">
        <f aca="false">H6*H7/100</f>
        <v>6006.87793441811</v>
      </c>
      <c r="I8" s="0" t="n">
        <f aca="false">I6*I7/100</f>
        <v>6127.01549310647</v>
      </c>
      <c r="J8" s="0" t="n">
        <f aca="false">J6*J7/100</f>
        <v>6249.5558029686</v>
      </c>
      <c r="K8" s="0" t="n">
        <f aca="false">K6*K7/100</f>
        <v>6374.54691902797</v>
      </c>
      <c r="L8" s="0" t="n">
        <f aca="false">L6*L7/100</f>
        <v>6502.03785740853</v>
      </c>
    </row>
    <row r="9" customFormat="false" ht="15" hidden="false" customHeight="false" outlineLevel="0" collapsed="false">
      <c r="A9" s="0" t="s">
        <v>100</v>
      </c>
      <c r="C9" s="4" t="n">
        <f aca="false">Assumptions!C15</f>
        <v>0</v>
      </c>
      <c r="D9" s="4" t="n">
        <f aca="false">Assumptions!D15</f>
        <v>0</v>
      </c>
      <c r="E9" s="4" t="n">
        <f aca="false">Assumptions!E15</f>
        <v>0</v>
      </c>
      <c r="F9" s="4" t="n">
        <f aca="false">Assumptions!F15</f>
        <v>0</v>
      </c>
      <c r="G9" s="4" t="n">
        <f aca="false">Assumptions!G15</f>
        <v>0</v>
      </c>
      <c r="H9" s="4" t="n">
        <f aca="false">Assumptions!H15</f>
        <v>0</v>
      </c>
      <c r="I9" s="4" t="n">
        <f aca="false">Assumptions!I15</f>
        <v>0</v>
      </c>
      <c r="J9" s="4" t="n">
        <f aca="false">Assumptions!J15</f>
        <v>0</v>
      </c>
      <c r="K9" s="4" t="n">
        <f aca="false">Assumptions!K15</f>
        <v>0</v>
      </c>
      <c r="L9" s="4" t="n">
        <f aca="false">Assumptions!L15</f>
        <v>0</v>
      </c>
    </row>
    <row r="10" customFormat="false" ht="15" hidden="false" customHeight="false" outlineLevel="0" collapsed="false">
      <c r="A10" s="0" t="s">
        <v>115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116</v>
      </c>
      <c r="C11" s="0" t="n">
        <f aca="false">C8+C10+C24</f>
        <v>6138.88734</v>
      </c>
      <c r="D11" s="0" t="n">
        <f aca="false">D8+D10+D24</f>
        <v>5145.832035</v>
      </c>
      <c r="E11" s="0" t="n">
        <f aca="false">E8+E10+E24</f>
        <v>5488.887504</v>
      </c>
      <c r="F11" s="0" t="n">
        <f aca="false">F8+F10+F24</f>
        <v>5773.62354327</v>
      </c>
      <c r="G11" s="0" t="n">
        <f aca="false">G8+G10+G24</f>
        <v>5889.0960141354</v>
      </c>
      <c r="H11" s="0" t="n">
        <f aca="false">H8+H10+H24</f>
        <v>6006.87793441811</v>
      </c>
      <c r="I11" s="0" t="n">
        <f aca="false">I8+I10+I24</f>
        <v>6127.01549310647</v>
      </c>
      <c r="J11" s="0" t="n">
        <f aca="false">J8+J10+J24</f>
        <v>6249.5558029686</v>
      </c>
      <c r="K11" s="0" t="n">
        <f aca="false">K8+K10+K24</f>
        <v>6374.54691902797</v>
      </c>
      <c r="L11" s="0" t="n">
        <f aca="false">L8+L10+L24</f>
        <v>6502.03785740853</v>
      </c>
    </row>
    <row r="12" customFormat="false" ht="15" hidden="false" customHeight="false" outlineLevel="0" collapsed="false">
      <c r="A12" s="0" t="s">
        <v>117</v>
      </c>
      <c r="C12" s="4" t="n">
        <f aca="false">-C6*Assumptions!C17/100</f>
        <v>-1624.99959</v>
      </c>
      <c r="D12" s="4" t="n">
        <f aca="false">-D6*Assumptions!D17/100</f>
        <v>-1715.277345</v>
      </c>
      <c r="E12" s="4" t="n">
        <f aca="false">-E6*Assumptions!E17/100</f>
        <v>-1715.277345</v>
      </c>
      <c r="F12" s="4" t="n">
        <f aca="false">-F6*Assumptions!F17/100</f>
        <v>-1749.5828919</v>
      </c>
      <c r="G12" s="4" t="n">
        <f aca="false">-G6*Assumptions!G17/100</f>
        <v>-1784.574549738</v>
      </c>
      <c r="H12" s="4" t="n">
        <f aca="false">-H6*Assumptions!H17/100</f>
        <v>-1820.26604073276</v>
      </c>
      <c r="I12" s="4" t="n">
        <f aca="false">-I6*Assumptions!I17/100</f>
        <v>-1856.67136154742</v>
      </c>
      <c r="J12" s="4" t="n">
        <f aca="false">-J6*Assumptions!J17/100</f>
        <v>-1893.80478877836</v>
      </c>
      <c r="K12" s="4" t="n">
        <f aca="false">-K6*Assumptions!K17/100</f>
        <v>-1931.68088455393</v>
      </c>
      <c r="L12" s="4" t="n">
        <f aca="false">-L6*Assumptions!L17/100</f>
        <v>-1970.31450224501</v>
      </c>
    </row>
    <row r="13" customFormat="false" ht="15" hidden="false" customHeight="false" outlineLevel="0" collapsed="false">
      <c r="A13" s="0" t="s">
        <v>118</v>
      </c>
      <c r="C13" s="0" t="n">
        <f aca="false">C11+C12</f>
        <v>4513.88775</v>
      </c>
      <c r="D13" s="0" t="n">
        <f aca="false">D11+D12</f>
        <v>3430.55469</v>
      </c>
      <c r="E13" s="0" t="n">
        <f aca="false">E11+E12</f>
        <v>3773.610159</v>
      </c>
      <c r="F13" s="0" t="n">
        <f aca="false">F11+F12</f>
        <v>4024.04065137</v>
      </c>
      <c r="G13" s="0" t="n">
        <f aca="false">G11+G12</f>
        <v>4104.5214643974</v>
      </c>
      <c r="H13" s="0" t="n">
        <f aca="false">H11+H12</f>
        <v>4186.61189368535</v>
      </c>
      <c r="I13" s="0" t="n">
        <f aca="false">I11+I12</f>
        <v>4270.34413155906</v>
      </c>
      <c r="J13" s="0" t="n">
        <f aca="false">J11+J12</f>
        <v>4355.75101419024</v>
      </c>
      <c r="K13" s="0" t="n">
        <f aca="false">K11+K12</f>
        <v>4442.86603447404</v>
      </c>
      <c r="L13" s="0" t="n">
        <f aca="false">L11+L12</f>
        <v>4531.72335516352</v>
      </c>
    </row>
    <row r="14" customFormat="false" ht="15" hidden="false" customHeight="false" outlineLevel="0" collapsed="false">
      <c r="A14" s="0" t="s">
        <v>104</v>
      </c>
      <c r="C14" s="4" t="n">
        <f aca="false">Assumptions!C19</f>
        <v>35</v>
      </c>
      <c r="D14" s="4" t="n">
        <f aca="false">Assumptions!D19</f>
        <v>35</v>
      </c>
      <c r="E14" s="4" t="n">
        <f aca="false">Assumptions!E19</f>
        <v>35.5</v>
      </c>
      <c r="F14" s="4" t="n">
        <f aca="false">Assumptions!F19</f>
        <v>36</v>
      </c>
      <c r="G14" s="4" t="n">
        <f aca="false">Assumptions!G19</f>
        <v>36.5</v>
      </c>
      <c r="H14" s="4" t="n">
        <f aca="false">Assumptions!H19</f>
        <v>37</v>
      </c>
      <c r="I14" s="4" t="n">
        <f aca="false">Assumptions!I19</f>
        <v>37</v>
      </c>
      <c r="J14" s="4" t="n">
        <f aca="false">Assumptions!J19</f>
        <v>37</v>
      </c>
      <c r="K14" s="4" t="n">
        <f aca="false">Assumptions!K19</f>
        <v>37</v>
      </c>
      <c r="L14" s="4" t="n">
        <f aca="false">Assumptions!L19</f>
        <v>37</v>
      </c>
    </row>
    <row r="15" customFormat="false" ht="15" hidden="false" customHeight="false" outlineLevel="0" collapsed="false">
      <c r="A15" s="0" t="s">
        <v>119</v>
      </c>
      <c r="C15" s="0" t="n">
        <f aca="false">C13-MAX(0,C13)*C14/100</f>
        <v>2934.0270375</v>
      </c>
      <c r="D15" s="0" t="n">
        <f aca="false">D13-MAX(0,D13)*D14/100</f>
        <v>2229.8605485</v>
      </c>
      <c r="E15" s="0" t="n">
        <f aca="false">E13-MAX(0,E13)*E14/100</f>
        <v>2433.978552555</v>
      </c>
      <c r="F15" s="0" t="n">
        <f aca="false">F13-MAX(0,F13)*F14/100</f>
        <v>2575.3860168768</v>
      </c>
      <c r="G15" s="0" t="n">
        <f aca="false">G13-MAX(0,G13)*G14/100</f>
        <v>2606.37112989235</v>
      </c>
      <c r="H15" s="0" t="n">
        <f aca="false">H13-MAX(0,H13)*H14/100</f>
        <v>2637.56549302177</v>
      </c>
      <c r="I15" s="0" t="n">
        <f aca="false">I13-MAX(0,I13)*I14/100</f>
        <v>2690.3168028822</v>
      </c>
      <c r="J15" s="0" t="n">
        <f aca="false">J13-MAX(0,J13)*J14/100</f>
        <v>2744.12313893985</v>
      </c>
      <c r="K15" s="0" t="n">
        <f aca="false">K13-MAX(0,K13)*K14/100</f>
        <v>2799.00560171865</v>
      </c>
      <c r="L15" s="0" t="n">
        <f aca="false">L13-MAX(0,L13)*L14/100</f>
        <v>2854.98571375302</v>
      </c>
    </row>
    <row r="16" customFormat="false" ht="15" hidden="false" customHeight="false" outlineLevel="0" collapsed="false">
      <c r="A16" s="0" t="s">
        <v>120</v>
      </c>
      <c r="C16" s="0" t="n">
        <f aca="false">-C12</f>
        <v>1624.99959</v>
      </c>
      <c r="D16" s="0" t="n">
        <f aca="false">-D12</f>
        <v>1715.277345</v>
      </c>
      <c r="E16" s="0" t="n">
        <f aca="false">-E12</f>
        <v>1715.277345</v>
      </c>
      <c r="F16" s="0" t="n">
        <f aca="false">-F12</f>
        <v>1749.5828919</v>
      </c>
      <c r="G16" s="0" t="n">
        <f aca="false">-G12</f>
        <v>1784.574549738</v>
      </c>
      <c r="H16" s="0" t="n">
        <f aca="false">-H12</f>
        <v>1820.26604073276</v>
      </c>
      <c r="I16" s="0" t="n">
        <f aca="false">-I12</f>
        <v>1856.67136154742</v>
      </c>
      <c r="J16" s="0" t="n">
        <f aca="false">-J12</f>
        <v>1893.80478877836</v>
      </c>
      <c r="K16" s="0" t="n">
        <f aca="false">-K12</f>
        <v>1931.68088455393</v>
      </c>
      <c r="L16" s="0" t="n">
        <f aca="false">-L12</f>
        <v>1970.31450224501</v>
      </c>
    </row>
    <row r="17" customFormat="false" ht="15" hidden="false" customHeight="false" outlineLevel="0" collapsed="false">
      <c r="A17" s="0" t="s">
        <v>121</v>
      </c>
      <c r="C17" s="4" t="n">
        <f aca="false">-C6*Assumptions!C18/100</f>
        <v>-1805.5551</v>
      </c>
      <c r="D17" s="4" t="n">
        <f aca="false">-D6*Assumptions!D18/100</f>
        <v>-2229.8605485</v>
      </c>
      <c r="E17" s="4" t="n">
        <f aca="false">-E6*Assumptions!E18/100</f>
        <v>-2229.8605485</v>
      </c>
      <c r="F17" s="4" t="n">
        <f aca="false">-F6*Assumptions!F18/100</f>
        <v>-2099.49947028</v>
      </c>
      <c r="G17" s="4" t="n">
        <f aca="false">-G6*Assumptions!G18/100</f>
        <v>-2141.4894596856</v>
      </c>
      <c r="H17" s="4" t="n">
        <f aca="false">-H6*Assumptions!H18/100</f>
        <v>-2093.30594684267</v>
      </c>
      <c r="I17" s="4" t="n">
        <f aca="false">-I6*Assumptions!I18/100</f>
        <v>-2042.33849770216</v>
      </c>
      <c r="J17" s="4" t="n">
        <f aca="false">-J6*Assumptions!J18/100</f>
        <v>-2083.1852676562</v>
      </c>
      <c r="K17" s="4" t="n">
        <f aca="false">-K6*Assumptions!K18/100</f>
        <v>-2124.84897300932</v>
      </c>
      <c r="L17" s="4" t="n">
        <f aca="false">-L6*Assumptions!L18/100</f>
        <v>-2167.34595246951</v>
      </c>
    </row>
    <row r="18" customFormat="false" ht="15" hidden="false" customHeight="false" outlineLevel="0" collapsed="false">
      <c r="A18" s="0" t="s">
        <v>122</v>
      </c>
      <c r="C18" s="4" t="n">
        <f aca="false">(C6-B6)*Assumptions!$B$23/100</f>
        <v>-0</v>
      </c>
      <c r="D18" s="4" t="n">
        <f aca="false">(D6-C6)*Assumptions!$B$23/100</f>
        <v>45.1388775000001</v>
      </c>
      <c r="E18" s="4" t="n">
        <f aca="false">(E6-D6)*Assumptions!$B$23/100</f>
        <v>-0</v>
      </c>
      <c r="F18" s="4" t="n">
        <f aca="false">(F6-E6)*Assumptions!$B$23/100</f>
        <v>-17.15277345</v>
      </c>
      <c r="G18" s="4" t="n">
        <f aca="false">(G6-F6)*Assumptions!$B$23/100</f>
        <v>-17.4958289190001</v>
      </c>
      <c r="H18" s="4" t="n">
        <f aca="false">(H6-G6)*Assumptions!$B$23/100</f>
        <v>-17.8457454973801</v>
      </c>
      <c r="I18" s="4" t="n">
        <f aca="false">(I6-H6)*Assumptions!$B$23/100</f>
        <v>-18.2026604073277</v>
      </c>
      <c r="J18" s="4" t="n">
        <f aca="false">(J6-I6)*Assumptions!$B$23/100</f>
        <v>-18.5667136154741</v>
      </c>
      <c r="K18" s="4" t="n">
        <f aca="false">(K6-J6)*Assumptions!$B$23/100</f>
        <v>-18.9380478877836</v>
      </c>
      <c r="L18" s="4" t="n">
        <f aca="false">(L6-K6)*Assumptions!$B$23/100</f>
        <v>-19.3168088455393</v>
      </c>
    </row>
    <row r="19" customFormat="false" ht="15" hidden="false" customHeight="false" outlineLevel="0" collapsed="false">
      <c r="A19" s="0" t="s">
        <v>123</v>
      </c>
      <c r="C19" s="0" t="n">
        <f aca="false">C15+C16+C17+C18</f>
        <v>2753.4715275</v>
      </c>
      <c r="D19" s="0" t="n">
        <f aca="false">D15+D16+D17+D18</f>
        <v>1760.4162225</v>
      </c>
      <c r="E19" s="0" t="n">
        <f aca="false">E15+E16+E17+E18</f>
        <v>1919.395349055</v>
      </c>
      <c r="F19" s="0" t="n">
        <f aca="false">F15+F16+F17+F18</f>
        <v>2208.3166650468</v>
      </c>
      <c r="G19" s="0" t="n">
        <f aca="false">G15+G16+G17+G18</f>
        <v>2231.96039102575</v>
      </c>
      <c r="H19" s="0" t="n">
        <f aca="false">H15+H16+H17+H18</f>
        <v>2346.67984141447</v>
      </c>
      <c r="I19" s="0" t="n">
        <f aca="false">I15+I16+I17+I18</f>
        <v>2486.44700632014</v>
      </c>
      <c r="J19" s="0" t="n">
        <f aca="false">J15+J16+J17+J18</f>
        <v>2536.17594644654</v>
      </c>
      <c r="K19" s="0" t="n">
        <f aca="false">K15+K16+K17+K18</f>
        <v>2586.89946537547</v>
      </c>
      <c r="L19" s="0" t="n">
        <f aca="false">L15+L16+L17+L18</f>
        <v>2638.63745468298</v>
      </c>
    </row>
    <row r="20" customFormat="false" ht="15" hidden="false" customHeight="false" outlineLevel="0" collapsed="false">
      <c r="A20" s="0" t="s">
        <v>124</v>
      </c>
      <c r="C20" s="0" t="n">
        <f aca="false">1/(1+$B$27/100)^C4</f>
        <v>0.925925925925926</v>
      </c>
      <c r="D20" s="0" t="n">
        <f aca="false">1/(1+$B$27/100)^D4</f>
        <v>0.857338820301783</v>
      </c>
      <c r="E20" s="0" t="n">
        <f aca="false">1/(1+$B$27/100)^E4</f>
        <v>0.79383224102017</v>
      </c>
      <c r="F20" s="0" t="n">
        <f aca="false">1/(1+$B$27/100)^F4</f>
        <v>0.735029852796453</v>
      </c>
      <c r="G20" s="0" t="n">
        <f aca="false">1/(1+$B$27/100)^G4</f>
        <v>0.680583197033753</v>
      </c>
      <c r="H20" s="0" t="n">
        <f aca="false">1/(1+$B$27/100)^H4</f>
        <v>0.630169626883105</v>
      </c>
      <c r="I20" s="0" t="n">
        <f aca="false">1/(1+$B$27/100)^I4</f>
        <v>0.583490395262134</v>
      </c>
      <c r="J20" s="0" t="n">
        <f aca="false">1/(1+$B$27/100)^J4</f>
        <v>0.540268884501976</v>
      </c>
      <c r="K20" s="0" t="n">
        <f aca="false">1/(1+$B$27/100)^K4</f>
        <v>0.500248967131459</v>
      </c>
      <c r="L20" s="0" t="n">
        <f aca="false">1/(1+$B$27/100)^L4</f>
        <v>0.463193488084684</v>
      </c>
    </row>
    <row r="21" customFormat="false" ht="15" hidden="false" customHeight="false" outlineLevel="0" collapsed="false">
      <c r="A21" s="0" t="s">
        <v>125</v>
      </c>
      <c r="C21" s="0" t="n">
        <f aca="false">C19*C20</f>
        <v>2549.51067361111</v>
      </c>
      <c r="D21" s="0" t="n">
        <f aca="false">D19*D20</f>
        <v>1509.27316743827</v>
      </c>
      <c r="E21" s="0" t="n">
        <f aca="false">E19*E20</f>
        <v>1523.67791134402</v>
      </c>
      <c r="F21" s="0" t="n">
        <f aca="false">F19*F20</f>
        <v>1623.1786732373</v>
      </c>
      <c r="G21" s="0" t="n">
        <f aca="false">G19*G20</f>
        <v>1519.03473857701</v>
      </c>
      <c r="H21" s="0" t="n">
        <f aca="false">H19*H20</f>
        <v>1478.80636007826</v>
      </c>
      <c r="I21" s="0" t="n">
        <f aca="false">I19*I20</f>
        <v>1450.81794651609</v>
      </c>
      <c r="J21" s="0" t="n">
        <f aca="false">J19*J20</f>
        <v>1370.21694948741</v>
      </c>
      <c r="K21" s="0" t="n">
        <f aca="false">K19*K20</f>
        <v>1294.093785627</v>
      </c>
      <c r="L21" s="0" t="n">
        <f aca="false">L19*L20</f>
        <v>1222.1996864255</v>
      </c>
    </row>
    <row r="23" customFormat="false" ht="15" hidden="false" customHeight="false" outlineLevel="0" collapsed="false">
      <c r="A23" s="0" t="s">
        <v>101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126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127</v>
      </c>
    </row>
    <row r="27" customFormat="false" ht="15" hidden="false" customHeight="false" outlineLevel="0" collapsed="false">
      <c r="A27" s="0" t="s">
        <v>105</v>
      </c>
      <c r="B27" s="4" t="n">
        <f aca="false">Assumptions!$B$20</f>
        <v>8</v>
      </c>
    </row>
    <row r="28" customFormat="false" ht="15" hidden="false" customHeight="false" outlineLevel="0" collapsed="false">
      <c r="A28" s="0" t="s">
        <v>106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107</v>
      </c>
      <c r="B29" s="4" t="n">
        <f aca="false">Assumptions!$B$22</f>
        <v>12</v>
      </c>
    </row>
    <row r="30" customFormat="false" ht="15" hidden="false" customHeight="false" outlineLevel="0" collapsed="false">
      <c r="A30" s="0" t="s">
        <v>128</v>
      </c>
      <c r="B30" s="0" t="n">
        <f aca="false">SUM(C21:L21)</f>
        <v>15540.809892342</v>
      </c>
    </row>
    <row r="31" customFormat="false" ht="15" hidden="false" customHeight="false" outlineLevel="0" collapsed="false">
      <c r="A31" s="0" t="s">
        <v>129</v>
      </c>
      <c r="B31" s="0" t="n">
        <f aca="false">L19</f>
        <v>2638.63745468298</v>
      </c>
    </row>
    <row r="32" customFormat="false" ht="15" hidden="false" customHeight="false" outlineLevel="0" collapsed="false">
      <c r="A32" s="0" t="s">
        <v>130</v>
      </c>
      <c r="B32" s="0" t="n">
        <f aca="false">IF(B27&gt;B28,B31*(1+B28/100)/((B27-B28)/100),B31*B29)</f>
        <v>44856.8367296106</v>
      </c>
    </row>
    <row r="33" customFormat="false" ht="15" hidden="false" customHeight="false" outlineLevel="0" collapsed="false">
      <c r="A33" s="0" t="s">
        <v>131</v>
      </c>
      <c r="B33" s="0" t="n">
        <f aca="false">B31*B29</f>
        <v>31663.6494561957</v>
      </c>
    </row>
    <row r="34" customFormat="false" ht="15" hidden="false" customHeight="false" outlineLevel="0" collapsed="false">
      <c r="A34" s="0" t="s">
        <v>132</v>
      </c>
      <c r="B34" s="0" t="n">
        <f aca="false">MAX(0,MIN(B32,B33))</f>
        <v>31663.6494561957</v>
      </c>
    </row>
    <row r="35" customFormat="false" ht="15" hidden="false" customHeight="false" outlineLevel="0" collapsed="false">
      <c r="A35" s="0" t="s">
        <v>133</v>
      </c>
      <c r="B35" s="0" t="n">
        <f aca="false">B34/(1+B27/100)^L4</f>
        <v>14666.396237106</v>
      </c>
    </row>
    <row r="36" customFormat="false" ht="15" hidden="false" customHeight="false" outlineLevel="0" collapsed="false">
      <c r="A36" s="0" t="s">
        <v>134</v>
      </c>
      <c r="B36" s="0" t="n">
        <f aca="false">B30+B35</f>
        <v>30207.206129448</v>
      </c>
    </row>
    <row r="37" customFormat="false" ht="15" hidden="false" customHeight="false" outlineLevel="0" collapsed="false">
      <c r="A37" s="0" t="s">
        <v>135</v>
      </c>
      <c r="B37" s="0" t="n">
        <f aca="false">B36+Assumptions!$B$5-Assumptions!$B$4</f>
        <v>12667.868129448</v>
      </c>
    </row>
    <row r="38" customFormat="false" ht="15" hidden="false" customHeight="false" outlineLevel="0" collapsed="false">
      <c r="A38" s="0" t="s">
        <v>136</v>
      </c>
      <c r="B38" s="0" t="n">
        <f aca="false">B37/Assumptions!$B$3*Assumptions!$B$10</f>
        <v>4.19259201194358</v>
      </c>
    </row>
    <row r="39" customFormat="false" ht="15" hidden="false" customHeight="false" outlineLevel="0" collapsed="false">
      <c r="A39" s="0" t="s">
        <v>137</v>
      </c>
      <c r="B39" s="4" t="n">
        <f aca="false">B38/Assumptions!$B$2-1</f>
        <v>-0.769511159321409</v>
      </c>
    </row>
    <row r="41" customFormat="false" ht="15" hidden="false" customHeight="false" outlineLevel="0" collapsed="false">
      <c r="A41" s="0" t="s">
        <v>138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139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140</v>
      </c>
      <c r="B43" s="0" t="n">
        <f aca="false">(B37+B41+B42)/Assumptions!$B$3*Assumptions!$B$10</f>
        <v>4.19259201194358</v>
      </c>
    </row>
    <row r="45" customFormat="false" ht="15" hidden="false" customHeight="false" outlineLevel="0" collapsed="false">
      <c r="A45" s="0" t="s">
        <v>81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141</v>
      </c>
      <c r="B46" s="0" t="n">
        <f aca="false">MAX(0,MIN(IF(B45&gt;B28,B31*(1+B28/100)/((B45-B28)/100),B31*B29),B31*B29))</f>
        <v>20703.1554136665</v>
      </c>
    </row>
    <row r="47" customFormat="false" ht="15" hidden="false" customHeight="false" outlineLevel="0" collapsed="false">
      <c r="A47" s="0" t="s">
        <v>142</v>
      </c>
      <c r="B47" s="0" t="n">
        <f aca="false">(SUMPRODUCT(C19:L19/(1+B45/100)^C4:L4)+B46/(1+B45/100)^L4+Assumptions!$B$5-Assumptions!$B$4)/Assumptions!$B$3*Assumptions!$B$10</f>
        <v>-0.296578290703001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143</v>
      </c>
    </row>
    <row r="3" customFormat="false" ht="15" hidden="false" customHeight="false" outlineLevel="0" collapsed="false">
      <c r="A3" s="0" t="s">
        <v>113</v>
      </c>
      <c r="B3" s="0" t="s">
        <v>74</v>
      </c>
      <c r="C3" s="2" t="s">
        <v>88</v>
      </c>
      <c r="D3" s="2" t="s">
        <v>89</v>
      </c>
      <c r="E3" s="2" t="s">
        <v>90</v>
      </c>
      <c r="F3" s="2" t="s">
        <v>91</v>
      </c>
      <c r="G3" s="2" t="s">
        <v>92</v>
      </c>
      <c r="H3" s="2" t="s">
        <v>93</v>
      </c>
      <c r="I3" s="2" t="s">
        <v>94</v>
      </c>
      <c r="J3" s="2" t="s">
        <v>95</v>
      </c>
      <c r="K3" s="2" t="s">
        <v>96</v>
      </c>
      <c r="L3" s="2" t="s">
        <v>97</v>
      </c>
    </row>
    <row r="4" customFormat="false" ht="15" hidden="false" customHeight="false" outlineLevel="0" collapsed="false">
      <c r="A4" s="0" t="s">
        <v>114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98</v>
      </c>
      <c r="C5" s="4" t="n">
        <f aca="false">Assumptions!C27</f>
        <v>3</v>
      </c>
      <c r="D5" s="4" t="n">
        <f aca="false">Assumptions!D27</f>
        <v>6</v>
      </c>
      <c r="E5" s="4" t="n">
        <f aca="false">Assumptions!E27</f>
        <v>5</v>
      </c>
      <c r="F5" s="4" t="n">
        <f aca="false">Assumptions!F27</f>
        <v>4</v>
      </c>
      <c r="G5" s="4" t="n">
        <f aca="false">Assumptions!G27</f>
        <v>3.5</v>
      </c>
      <c r="H5" s="4" t="n">
        <f aca="false">Assumptions!H27</f>
        <v>3</v>
      </c>
      <c r="I5" s="4" t="n">
        <f aca="false">Assumptions!I27</f>
        <v>3</v>
      </c>
      <c r="J5" s="4" t="n">
        <f aca="false">Assumptions!J27</f>
        <v>2.5</v>
      </c>
      <c r="K5" s="4" t="n">
        <f aca="false">Assumptions!K27</f>
        <v>2.5</v>
      </c>
      <c r="L5" s="4" t="n">
        <f aca="false">Assumptions!L27</f>
        <v>2.5</v>
      </c>
    </row>
    <row r="6" customFormat="false" ht="15" hidden="false" customHeight="false" outlineLevel="0" collapsed="false">
      <c r="A6" s="0" t="s">
        <v>38</v>
      </c>
      <c r="B6" s="3" t="n">
        <v>18055.551</v>
      </c>
      <c r="C6" s="0" t="n">
        <f aca="false">B6*(1+C5/100)</f>
        <v>18597.21753</v>
      </c>
      <c r="D6" s="0" t="n">
        <f aca="false">C6*(1+D5/100)</f>
        <v>19713.0505818</v>
      </c>
      <c r="E6" s="0" t="n">
        <f aca="false">D6*(1+E5/100)</f>
        <v>20698.70311089</v>
      </c>
      <c r="F6" s="0" t="n">
        <f aca="false">E6*(1+F5/100)</f>
        <v>21526.6512353256</v>
      </c>
      <c r="G6" s="0" t="n">
        <f aca="false">F6*(1+G5/100)</f>
        <v>22280.084028562</v>
      </c>
      <c r="H6" s="0" t="n">
        <f aca="false">G6*(1+H5/100)</f>
        <v>22948.4865494189</v>
      </c>
      <c r="I6" s="0" t="n">
        <f aca="false">H6*(1+I5/100)</f>
        <v>23636.9411459014</v>
      </c>
      <c r="J6" s="0" t="n">
        <f aca="false">I6*(1+J5/100)</f>
        <v>24227.864674549</v>
      </c>
      <c r="K6" s="0" t="n">
        <f aca="false">J6*(1+K5/100)</f>
        <v>24833.5612914127</v>
      </c>
      <c r="L6" s="0" t="n">
        <f aca="false">K6*(1+L5/100)</f>
        <v>25454.400323698</v>
      </c>
    </row>
    <row r="7" customFormat="false" ht="15" hidden="false" customHeight="false" outlineLevel="0" collapsed="false">
      <c r="A7" s="0" t="s">
        <v>99</v>
      </c>
      <c r="C7" s="4" t="n">
        <f aca="false">Assumptions!C28</f>
        <v>36</v>
      </c>
      <c r="D7" s="4" t="n">
        <f aca="false">Assumptions!D28</f>
        <v>40</v>
      </c>
      <c r="E7" s="4" t="n">
        <f aca="false">Assumptions!E28</f>
        <v>41</v>
      </c>
      <c r="F7" s="4" t="n">
        <f aca="false">Assumptions!F28</f>
        <v>41</v>
      </c>
      <c r="G7" s="4" t="n">
        <f aca="false">Assumptions!G28</f>
        <v>41</v>
      </c>
      <c r="H7" s="4" t="n">
        <f aca="false">Assumptions!H28</f>
        <v>41</v>
      </c>
      <c r="I7" s="4" t="n">
        <f aca="false">Assumptions!I28</f>
        <v>40.5</v>
      </c>
      <c r="J7" s="4" t="n">
        <f aca="false">Assumptions!J28</f>
        <v>40.5</v>
      </c>
      <c r="K7" s="4" t="n">
        <f aca="false">Assumptions!K28</f>
        <v>40</v>
      </c>
      <c r="L7" s="4" t="n">
        <f aca="false">Assumptions!L28</f>
        <v>40</v>
      </c>
    </row>
    <row r="8" customFormat="false" ht="15" hidden="false" customHeight="false" outlineLevel="0" collapsed="false">
      <c r="A8" s="0" t="s">
        <v>44</v>
      </c>
      <c r="C8" s="0" t="n">
        <f aca="false">C6*C7/100</f>
        <v>6694.9983108</v>
      </c>
      <c r="D8" s="0" t="n">
        <f aca="false">D6*D7/100</f>
        <v>7885.22023272</v>
      </c>
      <c r="E8" s="0" t="n">
        <f aca="false">E6*E7/100</f>
        <v>8486.4682754649</v>
      </c>
      <c r="F8" s="0" t="n">
        <f aca="false">F6*F7/100</f>
        <v>8825.9270064835</v>
      </c>
      <c r="G8" s="0" t="n">
        <f aca="false">G6*G7/100</f>
        <v>9134.83445171042</v>
      </c>
      <c r="H8" s="0" t="n">
        <f aca="false">H6*H7/100</f>
        <v>9408.87948526173</v>
      </c>
      <c r="I8" s="0" t="n">
        <f aca="false">I6*I7/100</f>
        <v>9572.96116409008</v>
      </c>
      <c r="J8" s="0" t="n">
        <f aca="false">J6*J7/100</f>
        <v>9812.28519319233</v>
      </c>
      <c r="K8" s="0" t="n">
        <f aca="false">K6*K7/100</f>
        <v>9933.42451656507</v>
      </c>
      <c r="L8" s="0" t="n">
        <f aca="false">L6*L7/100</f>
        <v>10181.7601294792</v>
      </c>
    </row>
    <row r="9" customFormat="false" ht="15" hidden="false" customHeight="false" outlineLevel="0" collapsed="false">
      <c r="A9" s="0" t="s">
        <v>100</v>
      </c>
      <c r="C9" s="4" t="n">
        <f aca="false">Assumptions!C29</f>
        <v>0</v>
      </c>
      <c r="D9" s="4" t="n">
        <f aca="false">Assumptions!D29</f>
        <v>0</v>
      </c>
      <c r="E9" s="4" t="n">
        <f aca="false">Assumptions!E29</f>
        <v>0</v>
      </c>
      <c r="F9" s="4" t="n">
        <f aca="false">Assumptions!F29</f>
        <v>0</v>
      </c>
      <c r="G9" s="4" t="n">
        <f aca="false">Assumptions!G29</f>
        <v>0</v>
      </c>
      <c r="H9" s="4" t="n">
        <f aca="false">Assumptions!H29</f>
        <v>0</v>
      </c>
      <c r="I9" s="4" t="n">
        <f aca="false">Assumptions!I29</f>
        <v>0</v>
      </c>
      <c r="J9" s="4" t="n">
        <f aca="false">Assumptions!J29</f>
        <v>0</v>
      </c>
      <c r="K9" s="4" t="n">
        <f aca="false">Assumptions!K29</f>
        <v>0</v>
      </c>
      <c r="L9" s="4" t="n">
        <f aca="false">Assumptions!L29</f>
        <v>0</v>
      </c>
    </row>
    <row r="10" customFormat="false" ht="15" hidden="false" customHeight="false" outlineLevel="0" collapsed="false">
      <c r="A10" s="0" t="s">
        <v>115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116</v>
      </c>
      <c r="C11" s="0" t="n">
        <f aca="false">C8+C10+C24</f>
        <v>6694.9983108</v>
      </c>
      <c r="D11" s="0" t="n">
        <f aca="false">D8+D10+D24</f>
        <v>7885.22023272</v>
      </c>
      <c r="E11" s="0" t="n">
        <f aca="false">E8+E10+E24</f>
        <v>8486.4682754649</v>
      </c>
      <c r="F11" s="0" t="n">
        <f aca="false">F8+F10+F24</f>
        <v>8825.9270064835</v>
      </c>
      <c r="G11" s="0" t="n">
        <f aca="false">G8+G10+G24</f>
        <v>9134.83445171042</v>
      </c>
      <c r="H11" s="0" t="n">
        <f aca="false">H8+H10+H24</f>
        <v>9408.87948526173</v>
      </c>
      <c r="I11" s="0" t="n">
        <f aca="false">I8+I10+I24</f>
        <v>9572.96116409008</v>
      </c>
      <c r="J11" s="0" t="n">
        <f aca="false">J8+J10+J24</f>
        <v>9812.28519319233</v>
      </c>
      <c r="K11" s="0" t="n">
        <f aca="false">K8+K10+K24</f>
        <v>9933.42451656507</v>
      </c>
      <c r="L11" s="0" t="n">
        <f aca="false">L8+L10+L24</f>
        <v>10181.7601294792</v>
      </c>
    </row>
    <row r="12" customFormat="false" ht="15" hidden="false" customHeight="false" outlineLevel="0" collapsed="false">
      <c r="A12" s="0" t="s">
        <v>117</v>
      </c>
      <c r="C12" s="4" t="n">
        <f aca="false">-C6*Assumptions!C31/100</f>
        <v>-1673.7495777</v>
      </c>
      <c r="D12" s="4" t="n">
        <f aca="false">-D6*Assumptions!D31/100</f>
        <v>-1872.739805271</v>
      </c>
      <c r="E12" s="4" t="n">
        <f aca="false">-E6*Assumptions!E31/100</f>
        <v>-1966.37679553455</v>
      </c>
      <c r="F12" s="4" t="n">
        <f aca="false">-F6*Assumptions!F31/100</f>
        <v>-2045.03186735593</v>
      </c>
      <c r="G12" s="4" t="n">
        <f aca="false">-G6*Assumptions!G31/100</f>
        <v>-2116.60798271339</v>
      </c>
      <c r="H12" s="4" t="n">
        <f aca="false">-H6*Assumptions!H31/100</f>
        <v>-2180.10622219479</v>
      </c>
      <c r="I12" s="4" t="n">
        <f aca="false">-I6*Assumptions!I31/100</f>
        <v>-2245.50940886064</v>
      </c>
      <c r="J12" s="4" t="n">
        <f aca="false">-J6*Assumptions!J31/100</f>
        <v>-2301.64714408215</v>
      </c>
      <c r="K12" s="4" t="n">
        <f aca="false">-K6*Assumptions!K31/100</f>
        <v>-2359.18832268421</v>
      </c>
      <c r="L12" s="4" t="n">
        <f aca="false">-L6*Assumptions!L31/100</f>
        <v>-2418.16803075131</v>
      </c>
    </row>
    <row r="13" customFormat="false" ht="15" hidden="false" customHeight="false" outlineLevel="0" collapsed="false">
      <c r="A13" s="0" t="s">
        <v>118</v>
      </c>
      <c r="C13" s="0" t="n">
        <f aca="false">C11+C12</f>
        <v>5021.2487331</v>
      </c>
      <c r="D13" s="0" t="n">
        <f aca="false">D11+D12</f>
        <v>6012.480427449</v>
      </c>
      <c r="E13" s="0" t="n">
        <f aca="false">E11+E12</f>
        <v>6520.09147993035</v>
      </c>
      <c r="F13" s="0" t="n">
        <f aca="false">F11+F12</f>
        <v>6780.89513912756</v>
      </c>
      <c r="G13" s="0" t="n">
        <f aca="false">G11+G12</f>
        <v>7018.22646899703</v>
      </c>
      <c r="H13" s="0" t="n">
        <f aca="false">H11+H12</f>
        <v>7228.77326306694</v>
      </c>
      <c r="I13" s="0" t="n">
        <f aca="false">I11+I12</f>
        <v>7327.45175522944</v>
      </c>
      <c r="J13" s="0" t="n">
        <f aca="false">J11+J12</f>
        <v>7510.63804911018</v>
      </c>
      <c r="K13" s="0" t="n">
        <f aca="false">K11+K12</f>
        <v>7574.23619388087</v>
      </c>
      <c r="L13" s="0" t="n">
        <f aca="false">L11+L12</f>
        <v>7763.59209872789</v>
      </c>
    </row>
    <row r="14" customFormat="false" ht="15" hidden="false" customHeight="false" outlineLevel="0" collapsed="false">
      <c r="A14" s="0" t="s">
        <v>104</v>
      </c>
      <c r="C14" s="4" t="n">
        <f aca="false">Assumptions!C33</f>
        <v>35</v>
      </c>
      <c r="D14" s="4" t="n">
        <f aca="false">Assumptions!D33</f>
        <v>35</v>
      </c>
      <c r="E14" s="4" t="n">
        <f aca="false">Assumptions!E33</f>
        <v>35.5</v>
      </c>
      <c r="F14" s="4" t="n">
        <f aca="false">Assumptions!F33</f>
        <v>36</v>
      </c>
      <c r="G14" s="4" t="n">
        <f aca="false">Assumptions!G33</f>
        <v>36.5</v>
      </c>
      <c r="H14" s="4" t="n">
        <f aca="false">Assumptions!H33</f>
        <v>37</v>
      </c>
      <c r="I14" s="4" t="n">
        <f aca="false">Assumptions!I33</f>
        <v>37</v>
      </c>
      <c r="J14" s="4" t="n">
        <f aca="false">Assumptions!J33</f>
        <v>37</v>
      </c>
      <c r="K14" s="4" t="n">
        <f aca="false">Assumptions!K33</f>
        <v>37</v>
      </c>
      <c r="L14" s="4" t="n">
        <f aca="false">Assumptions!L33</f>
        <v>37</v>
      </c>
    </row>
    <row r="15" customFormat="false" ht="15" hidden="false" customHeight="false" outlineLevel="0" collapsed="false">
      <c r="A15" s="0" t="s">
        <v>119</v>
      </c>
      <c r="C15" s="0" t="n">
        <f aca="false">C13-MAX(0,C13)*C14/100</f>
        <v>3263.811676515</v>
      </c>
      <c r="D15" s="0" t="n">
        <f aca="false">D13-MAX(0,D13)*D14/100</f>
        <v>3908.11227784185</v>
      </c>
      <c r="E15" s="0" t="n">
        <f aca="false">E13-MAX(0,E13)*E14/100</f>
        <v>4205.45900455508</v>
      </c>
      <c r="F15" s="0" t="n">
        <f aca="false">F13-MAX(0,F13)*F14/100</f>
        <v>4339.77288904164</v>
      </c>
      <c r="G15" s="0" t="n">
        <f aca="false">G13-MAX(0,G13)*G14/100</f>
        <v>4456.57380781311</v>
      </c>
      <c r="H15" s="0" t="n">
        <f aca="false">H13-MAX(0,H13)*H14/100</f>
        <v>4554.12715573217</v>
      </c>
      <c r="I15" s="0" t="n">
        <f aca="false">I13-MAX(0,I13)*I14/100</f>
        <v>4616.29460579455</v>
      </c>
      <c r="J15" s="0" t="n">
        <f aca="false">J13-MAX(0,J13)*J14/100</f>
        <v>4731.70197093941</v>
      </c>
      <c r="K15" s="0" t="n">
        <f aca="false">K13-MAX(0,K13)*K14/100</f>
        <v>4771.76880214495</v>
      </c>
      <c r="L15" s="0" t="n">
        <f aca="false">L13-MAX(0,L13)*L14/100</f>
        <v>4891.06302219857</v>
      </c>
    </row>
    <row r="16" customFormat="false" ht="15" hidden="false" customHeight="false" outlineLevel="0" collapsed="false">
      <c r="A16" s="0" t="s">
        <v>120</v>
      </c>
      <c r="C16" s="0" t="n">
        <f aca="false">-C12</f>
        <v>1673.7495777</v>
      </c>
      <c r="D16" s="0" t="n">
        <f aca="false">-D12</f>
        <v>1872.739805271</v>
      </c>
      <c r="E16" s="0" t="n">
        <f aca="false">-E12</f>
        <v>1966.37679553455</v>
      </c>
      <c r="F16" s="0" t="n">
        <f aca="false">-F12</f>
        <v>2045.03186735593</v>
      </c>
      <c r="G16" s="0" t="n">
        <f aca="false">-G12</f>
        <v>2116.60798271339</v>
      </c>
      <c r="H16" s="0" t="n">
        <f aca="false">-H12</f>
        <v>2180.10622219479</v>
      </c>
      <c r="I16" s="0" t="n">
        <f aca="false">-I12</f>
        <v>2245.50940886064</v>
      </c>
      <c r="J16" s="0" t="n">
        <f aca="false">-J12</f>
        <v>2301.64714408215</v>
      </c>
      <c r="K16" s="0" t="n">
        <f aca="false">-K12</f>
        <v>2359.18832268421</v>
      </c>
      <c r="L16" s="0" t="n">
        <f aca="false">-L12</f>
        <v>2418.16803075131</v>
      </c>
    </row>
    <row r="17" customFormat="false" ht="15" hidden="false" customHeight="false" outlineLevel="0" collapsed="false">
      <c r="A17" s="0" t="s">
        <v>121</v>
      </c>
      <c r="C17" s="4" t="n">
        <f aca="false">-C6*Assumptions!C32/100</f>
        <v>-1859.721753</v>
      </c>
      <c r="D17" s="4" t="n">
        <f aca="false">-D6*Assumptions!D32/100</f>
        <v>-2562.696575634</v>
      </c>
      <c r="E17" s="4" t="n">
        <f aca="false">-E6*Assumptions!E32/100</f>
        <v>-2690.8314044157</v>
      </c>
      <c r="F17" s="4" t="n">
        <f aca="false">-F6*Assumptions!F32/100</f>
        <v>-2798.46466059233</v>
      </c>
      <c r="G17" s="4" t="n">
        <f aca="false">-G6*Assumptions!G32/100</f>
        <v>-2673.61008342744</v>
      </c>
      <c r="H17" s="4" t="n">
        <f aca="false">-H6*Assumptions!H32/100</f>
        <v>-2753.81838593026</v>
      </c>
      <c r="I17" s="4" t="n">
        <f aca="false">-I6*Assumptions!I32/100</f>
        <v>-2718.24823177866</v>
      </c>
      <c r="J17" s="4" t="n">
        <f aca="false">-J6*Assumptions!J32/100</f>
        <v>-2665.06511420039</v>
      </c>
      <c r="K17" s="4" t="n">
        <f aca="false">-K6*Assumptions!K32/100</f>
        <v>-2731.6917420554</v>
      </c>
      <c r="L17" s="4" t="n">
        <f aca="false">-L6*Assumptions!L32/100</f>
        <v>-2799.98403560678</v>
      </c>
    </row>
    <row r="18" customFormat="false" ht="15" hidden="false" customHeight="false" outlineLevel="0" collapsed="false">
      <c r="A18" s="0" t="s">
        <v>122</v>
      </c>
      <c r="C18" s="4" t="n">
        <f aca="false">(C6-B6)*Assumptions!$B$37/100</f>
        <v>-27.0833265000001</v>
      </c>
      <c r="D18" s="4" t="n">
        <f aca="false">(D6-C6)*Assumptions!$B$37/100</f>
        <v>-55.79165259</v>
      </c>
      <c r="E18" s="4" t="n">
        <f aca="false">(E6-D6)*Assumptions!$B$37/100</f>
        <v>-49.2826264545001</v>
      </c>
      <c r="F18" s="4" t="n">
        <f aca="false">(F6-E6)*Assumptions!$B$37/100</f>
        <v>-41.39740622178</v>
      </c>
      <c r="G18" s="4" t="n">
        <f aca="false">(G6-F6)*Assumptions!$B$37/100</f>
        <v>-37.6716396618198</v>
      </c>
      <c r="H18" s="4" t="n">
        <f aca="false">(H6-G6)*Assumptions!$B$37/100</f>
        <v>-33.420126042843</v>
      </c>
      <c r="I18" s="4" t="n">
        <f aca="false">(I6-H6)*Assumptions!$B$37/100</f>
        <v>-34.4227298241283</v>
      </c>
      <c r="J18" s="4" t="n">
        <f aca="false">(J6-I6)*Assumptions!$B$37/100</f>
        <v>-29.5461764323767</v>
      </c>
      <c r="K18" s="4" t="n">
        <f aca="false">(K6-J6)*Assumptions!$B$37/100</f>
        <v>-30.2848308431861</v>
      </c>
      <c r="L18" s="4" t="n">
        <f aca="false">(L6-K6)*Assumptions!$B$37/100</f>
        <v>-31.0419516142658</v>
      </c>
    </row>
    <row r="19" customFormat="false" ht="15" hidden="false" customHeight="false" outlineLevel="0" collapsed="false">
      <c r="A19" s="0" t="s">
        <v>123</v>
      </c>
      <c r="C19" s="0" t="n">
        <f aca="false">C15+C16+C17+C18</f>
        <v>3050.756174715</v>
      </c>
      <c r="D19" s="0" t="n">
        <f aca="false">D15+D16+D17+D18</f>
        <v>3162.36385488885</v>
      </c>
      <c r="E19" s="0" t="n">
        <f aca="false">E15+E16+E17+E18</f>
        <v>3431.72176921943</v>
      </c>
      <c r="F19" s="0" t="n">
        <f aca="false">F15+F16+F17+F18</f>
        <v>3544.94268958347</v>
      </c>
      <c r="G19" s="0" t="n">
        <f aca="false">G15+G16+G17+G18</f>
        <v>3861.90006743724</v>
      </c>
      <c r="H19" s="0" t="n">
        <f aca="false">H15+H16+H17+H18</f>
        <v>3946.99486595386</v>
      </c>
      <c r="I19" s="0" t="n">
        <f aca="false">I15+I16+I17+I18</f>
        <v>4109.13305305239</v>
      </c>
      <c r="J19" s="0" t="n">
        <f aca="false">J15+J16+J17+J18</f>
        <v>4338.7378243888</v>
      </c>
      <c r="K19" s="0" t="n">
        <f aca="false">K15+K16+K17+K18</f>
        <v>4368.98055193057</v>
      </c>
      <c r="L19" s="0" t="n">
        <f aca="false">L15+L16+L17+L18</f>
        <v>4478.20506572884</v>
      </c>
    </row>
    <row r="20" customFormat="false" ht="15" hidden="false" customHeight="false" outlineLevel="0" collapsed="false">
      <c r="A20" s="0" t="s">
        <v>124</v>
      </c>
      <c r="C20" s="0" t="n">
        <f aca="false">1/(1+$B$27/100)^C4</f>
        <v>0.925925925925926</v>
      </c>
      <c r="D20" s="0" t="n">
        <f aca="false">1/(1+$B$27/100)^D4</f>
        <v>0.857338820301783</v>
      </c>
      <c r="E20" s="0" t="n">
        <f aca="false">1/(1+$B$27/100)^E4</f>
        <v>0.79383224102017</v>
      </c>
      <c r="F20" s="0" t="n">
        <f aca="false">1/(1+$B$27/100)^F4</f>
        <v>0.735029852796453</v>
      </c>
      <c r="G20" s="0" t="n">
        <f aca="false">1/(1+$B$27/100)^G4</f>
        <v>0.680583197033753</v>
      </c>
      <c r="H20" s="0" t="n">
        <f aca="false">1/(1+$B$27/100)^H4</f>
        <v>0.630169626883105</v>
      </c>
      <c r="I20" s="0" t="n">
        <f aca="false">1/(1+$B$27/100)^I4</f>
        <v>0.583490395262134</v>
      </c>
      <c r="J20" s="0" t="n">
        <f aca="false">1/(1+$B$27/100)^J4</f>
        <v>0.540268884501976</v>
      </c>
      <c r="K20" s="0" t="n">
        <f aca="false">1/(1+$B$27/100)^K4</f>
        <v>0.500248967131459</v>
      </c>
      <c r="L20" s="0" t="n">
        <f aca="false">1/(1+$B$27/100)^L4</f>
        <v>0.463193488084684</v>
      </c>
    </row>
    <row r="21" customFormat="false" ht="15" hidden="false" customHeight="false" outlineLevel="0" collapsed="false">
      <c r="A21" s="0" t="s">
        <v>125</v>
      </c>
      <c r="C21" s="0" t="n">
        <f aca="false">C19*C20</f>
        <v>2824.77423584722</v>
      </c>
      <c r="D21" s="0" t="n">
        <f aca="false">D19*D20</f>
        <v>2711.21729671541</v>
      </c>
      <c r="E21" s="0" t="n">
        <f aca="false">E19*E20</f>
        <v>2724.21138261716</v>
      </c>
      <c r="F21" s="0" t="n">
        <f aca="false">F19*F20</f>
        <v>2605.6387032964</v>
      </c>
      <c r="G21" s="0" t="n">
        <f aca="false">G19*G20</f>
        <v>2628.34429452131</v>
      </c>
      <c r="H21" s="0" t="n">
        <f aca="false">H19*H20</f>
        <v>2487.27628198767</v>
      </c>
      <c r="I21" s="0" t="n">
        <f aca="false">I19*I20</f>
        <v>2397.63966931024</v>
      </c>
      <c r="J21" s="0" t="n">
        <f aca="false">J19*J20</f>
        <v>2344.08504452907</v>
      </c>
      <c r="K21" s="0" t="n">
        <f aca="false">K19*K20</f>
        <v>2185.5780085207</v>
      </c>
      <c r="L21" s="0" t="n">
        <f aca="false">L19*L20</f>
        <v>2074.27542475344</v>
      </c>
    </row>
    <row r="23" customFormat="false" ht="15" hidden="false" customHeight="false" outlineLevel="0" collapsed="false">
      <c r="A23" s="0" t="s">
        <v>101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126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127</v>
      </c>
    </row>
    <row r="27" customFormat="false" ht="15" hidden="false" customHeight="false" outlineLevel="0" collapsed="false">
      <c r="A27" s="0" t="s">
        <v>105</v>
      </c>
      <c r="B27" s="4" t="n">
        <f aca="false">Assumptions!$B$34</f>
        <v>8</v>
      </c>
    </row>
    <row r="28" customFormat="false" ht="15" hidden="false" customHeight="false" outlineLevel="0" collapsed="false">
      <c r="A28" s="0" t="s">
        <v>106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107</v>
      </c>
      <c r="B29" s="4" t="n">
        <f aca="false">Assumptions!$B$36</f>
        <v>14</v>
      </c>
    </row>
    <row r="30" customFormat="false" ht="15" hidden="false" customHeight="false" outlineLevel="0" collapsed="false">
      <c r="A30" s="0" t="s">
        <v>128</v>
      </c>
      <c r="B30" s="0" t="n">
        <f aca="false">SUM(C21:L21)</f>
        <v>24983.0403420986</v>
      </c>
    </row>
    <row r="31" customFormat="false" ht="15" hidden="false" customHeight="false" outlineLevel="0" collapsed="false">
      <c r="A31" s="0" t="s">
        <v>129</v>
      </c>
      <c r="B31" s="0" t="n">
        <f aca="false">L19</f>
        <v>4478.20506572884</v>
      </c>
    </row>
    <row r="32" customFormat="false" ht="15" hidden="false" customHeight="false" outlineLevel="0" collapsed="false">
      <c r="A32" s="0" t="s">
        <v>130</v>
      </c>
      <c r="B32" s="0" t="n">
        <f aca="false">IF(B27&gt;B28,B31*(1+B28/100)/((B27-B28)/100),B31*B29)</f>
        <v>83457.4580431283</v>
      </c>
    </row>
    <row r="33" customFormat="false" ht="15" hidden="false" customHeight="false" outlineLevel="0" collapsed="false">
      <c r="A33" s="0" t="s">
        <v>131</v>
      </c>
      <c r="B33" s="0" t="n">
        <f aca="false">B31*B29</f>
        <v>62694.8709202037</v>
      </c>
    </row>
    <row r="34" customFormat="false" ht="15" hidden="false" customHeight="false" outlineLevel="0" collapsed="false">
      <c r="A34" s="0" t="s">
        <v>132</v>
      </c>
      <c r="B34" s="0" t="n">
        <f aca="false">MAX(0,MIN(B32,B33))</f>
        <v>62694.8709202037</v>
      </c>
    </row>
    <row r="35" customFormat="false" ht="15" hidden="false" customHeight="false" outlineLevel="0" collapsed="false">
      <c r="A35" s="0" t="s">
        <v>133</v>
      </c>
      <c r="B35" s="0" t="n">
        <f aca="false">B34/(1+B27/100)^L4</f>
        <v>29039.8559465482</v>
      </c>
    </row>
    <row r="36" customFormat="false" ht="15" hidden="false" customHeight="false" outlineLevel="0" collapsed="false">
      <c r="A36" s="0" t="s">
        <v>134</v>
      </c>
      <c r="B36" s="0" t="n">
        <f aca="false">B30+B35</f>
        <v>54022.8962886468</v>
      </c>
    </row>
    <row r="37" customFormat="false" ht="15" hidden="false" customHeight="false" outlineLevel="0" collapsed="false">
      <c r="A37" s="0" t="s">
        <v>135</v>
      </c>
      <c r="B37" s="0" t="n">
        <f aca="false">B36+Assumptions!$B$5-Assumptions!$B$4</f>
        <v>36483.5582886468</v>
      </c>
    </row>
    <row r="38" customFormat="false" ht="15" hidden="false" customHeight="false" outlineLevel="0" collapsed="false">
      <c r="A38" s="0" t="s">
        <v>136</v>
      </c>
      <c r="B38" s="0" t="n">
        <f aca="false">B37/Assumptions!$B$3*Assumptions!$B$10</f>
        <v>12.0746974538425</v>
      </c>
    </row>
    <row r="39" customFormat="false" ht="15" hidden="false" customHeight="false" outlineLevel="0" collapsed="false">
      <c r="A39" s="0" t="s">
        <v>137</v>
      </c>
      <c r="B39" s="4" t="n">
        <f aca="false">B38/Assumptions!$B$2-1</f>
        <v>-0.336190354379192</v>
      </c>
    </row>
    <row r="41" customFormat="false" ht="15" hidden="false" customHeight="false" outlineLevel="0" collapsed="false">
      <c r="A41" s="0" t="s">
        <v>138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139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140</v>
      </c>
      <c r="B43" s="0" t="n">
        <f aca="false">(B37+B41+B42)/Assumptions!$B$3*Assumptions!$B$10</f>
        <v>12.0746974538425</v>
      </c>
    </row>
    <row r="45" customFormat="false" ht="15" hidden="false" customHeight="false" outlineLevel="0" collapsed="false">
      <c r="A45" s="0" t="s">
        <v>81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141</v>
      </c>
      <c r="B46" s="0" t="n">
        <f aca="false">MAX(0,MIN(IF(B45&gt;B28,B31*(1+B28/100)/((B45-B28)/100),B31*B29),B31*B29))</f>
        <v>36721.2815389765</v>
      </c>
    </row>
    <row r="47" customFormat="false" ht="15" hidden="false" customHeight="false" outlineLevel="0" collapsed="false">
      <c r="A47" s="0" t="s">
        <v>142</v>
      </c>
      <c r="B47" s="0" t="n">
        <f aca="false">(SUMPRODUCT(C19:L19/(1+B45/100)^C4:L4)+B46/(1+B45/100)^L4+Assumptions!$B$5-Assumptions!$B$4)/Assumptions!$B$3*Assumptions!$B$10</f>
        <v>3.2445327710861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144</v>
      </c>
    </row>
    <row r="3" customFormat="false" ht="15" hidden="false" customHeight="false" outlineLevel="0" collapsed="false">
      <c r="A3" s="0" t="s">
        <v>113</v>
      </c>
      <c r="B3" s="0" t="s">
        <v>74</v>
      </c>
      <c r="C3" s="2" t="s">
        <v>88</v>
      </c>
      <c r="D3" s="2" t="s">
        <v>89</v>
      </c>
      <c r="E3" s="2" t="s">
        <v>90</v>
      </c>
      <c r="F3" s="2" t="s">
        <v>91</v>
      </c>
      <c r="G3" s="2" t="s">
        <v>92</v>
      </c>
      <c r="H3" s="2" t="s">
        <v>93</v>
      </c>
      <c r="I3" s="2" t="s">
        <v>94</v>
      </c>
      <c r="J3" s="2" t="s">
        <v>95</v>
      </c>
      <c r="K3" s="2" t="s">
        <v>96</v>
      </c>
      <c r="L3" s="2" t="s">
        <v>97</v>
      </c>
    </row>
    <row r="4" customFormat="false" ht="15" hidden="false" customHeight="false" outlineLevel="0" collapsed="false">
      <c r="A4" s="0" t="s">
        <v>114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98</v>
      </c>
      <c r="C5" s="4" t="n">
        <f aca="false">Assumptions!C41</f>
        <v>5</v>
      </c>
      <c r="D5" s="4" t="n">
        <f aca="false">Assumptions!D41</f>
        <v>12</v>
      </c>
      <c r="E5" s="4" t="n">
        <f aca="false">Assumptions!E41</f>
        <v>9</v>
      </c>
      <c r="F5" s="4" t="n">
        <f aca="false">Assumptions!F41</f>
        <v>7</v>
      </c>
      <c r="G5" s="4" t="n">
        <f aca="false">Assumptions!G41</f>
        <v>5</v>
      </c>
      <c r="H5" s="4" t="n">
        <f aca="false">Assumptions!H41</f>
        <v>4</v>
      </c>
      <c r="I5" s="4" t="n">
        <f aca="false">Assumptions!I41</f>
        <v>3.5</v>
      </c>
      <c r="J5" s="4" t="n">
        <f aca="false">Assumptions!J41</f>
        <v>3</v>
      </c>
      <c r="K5" s="4" t="n">
        <f aca="false">Assumptions!K41</f>
        <v>3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38</v>
      </c>
      <c r="B6" s="3" t="n">
        <v>18055.551</v>
      </c>
      <c r="C6" s="0" t="n">
        <f aca="false">B6*(1+C5/100)</f>
        <v>18958.32855</v>
      </c>
      <c r="D6" s="0" t="n">
        <f aca="false">C6*(1+D5/100)</f>
        <v>21233.327976</v>
      </c>
      <c r="E6" s="0" t="n">
        <f aca="false">D6*(1+E5/100)</f>
        <v>23144.32749384</v>
      </c>
      <c r="F6" s="0" t="n">
        <f aca="false">E6*(1+F5/100)</f>
        <v>24764.4304184088</v>
      </c>
      <c r="G6" s="0" t="n">
        <f aca="false">F6*(1+G5/100)</f>
        <v>26002.6519393292</v>
      </c>
      <c r="H6" s="0" t="n">
        <f aca="false">G6*(1+H5/100)</f>
        <v>27042.7580169024</v>
      </c>
      <c r="I6" s="0" t="n">
        <f aca="false">H6*(1+I5/100)</f>
        <v>27989.254547494</v>
      </c>
      <c r="J6" s="0" t="n">
        <f aca="false">I6*(1+J5/100)</f>
        <v>28828.9321839188</v>
      </c>
      <c r="K6" s="0" t="n">
        <f aca="false">J6*(1+K5/100)</f>
        <v>29693.8001494364</v>
      </c>
      <c r="L6" s="0" t="n">
        <f aca="false">K6*(1+L5/100)</f>
        <v>30584.6141539195</v>
      </c>
    </row>
    <row r="7" customFormat="false" ht="15" hidden="false" customHeight="false" outlineLevel="0" collapsed="false">
      <c r="A7" s="0" t="s">
        <v>99</v>
      </c>
      <c r="C7" s="4" t="n">
        <f aca="false">Assumptions!C42</f>
        <v>37</v>
      </c>
      <c r="D7" s="4" t="n">
        <f aca="false">Assumptions!D42</f>
        <v>44</v>
      </c>
      <c r="E7" s="4" t="n">
        <f aca="false">Assumptions!E42</f>
        <v>46</v>
      </c>
      <c r="F7" s="4" t="n">
        <f aca="false">Assumptions!F42</f>
        <v>46</v>
      </c>
      <c r="G7" s="4" t="n">
        <f aca="false">Assumptions!G42</f>
        <v>46</v>
      </c>
      <c r="H7" s="4" t="n">
        <f aca="false">Assumptions!H42</f>
        <v>45.5</v>
      </c>
      <c r="I7" s="4" t="n">
        <f aca="false">Assumptions!I42</f>
        <v>45</v>
      </c>
      <c r="J7" s="4" t="n">
        <f aca="false">Assumptions!J42</f>
        <v>45</v>
      </c>
      <c r="K7" s="4" t="n">
        <f aca="false">Assumptions!K42</f>
        <v>45</v>
      </c>
      <c r="L7" s="4" t="n">
        <f aca="false">Assumptions!L42</f>
        <v>45</v>
      </c>
    </row>
    <row r="8" customFormat="false" ht="15" hidden="false" customHeight="false" outlineLevel="0" collapsed="false">
      <c r="A8" s="0" t="s">
        <v>44</v>
      </c>
      <c r="C8" s="0" t="n">
        <f aca="false">C6*C7/100</f>
        <v>7014.5815635</v>
      </c>
      <c r="D8" s="0" t="n">
        <f aca="false">D6*D7/100</f>
        <v>9342.66430944</v>
      </c>
      <c r="E8" s="0" t="n">
        <f aca="false">E6*E7/100</f>
        <v>10646.3906471664</v>
      </c>
      <c r="F8" s="0" t="n">
        <f aca="false">F6*F7/100</f>
        <v>11391.6379924681</v>
      </c>
      <c r="G8" s="0" t="n">
        <f aca="false">G6*G7/100</f>
        <v>11961.2198920915</v>
      </c>
      <c r="H8" s="0" t="n">
        <f aca="false">H6*H7/100</f>
        <v>12304.4548976906</v>
      </c>
      <c r="I8" s="0" t="n">
        <f aca="false">I6*I7/100</f>
        <v>12595.1645463723</v>
      </c>
      <c r="J8" s="0" t="n">
        <f aca="false">J6*J7/100</f>
        <v>12973.0194827635</v>
      </c>
      <c r="K8" s="0" t="n">
        <f aca="false">K6*K7/100</f>
        <v>13362.2100672464</v>
      </c>
      <c r="L8" s="0" t="n">
        <f aca="false">L6*L7/100</f>
        <v>13763.0763692638</v>
      </c>
    </row>
    <row r="9" customFormat="false" ht="15" hidden="false" customHeight="false" outlineLevel="0" collapsed="false">
      <c r="A9" s="0" t="s">
        <v>100</v>
      </c>
      <c r="C9" s="4" t="n">
        <f aca="false">Assumptions!C43</f>
        <v>0</v>
      </c>
      <c r="D9" s="4" t="n">
        <f aca="false">Assumptions!D43</f>
        <v>0</v>
      </c>
      <c r="E9" s="4" t="n">
        <f aca="false">Assumptions!E43</f>
        <v>0</v>
      </c>
      <c r="F9" s="4" t="n">
        <f aca="false">Assumptions!F43</f>
        <v>0</v>
      </c>
      <c r="G9" s="4" t="n">
        <f aca="false">Assumptions!G43</f>
        <v>0</v>
      </c>
      <c r="H9" s="4" t="n">
        <f aca="false">Assumptions!H43</f>
        <v>0</v>
      </c>
      <c r="I9" s="4" t="n">
        <f aca="false">Assumptions!I43</f>
        <v>0</v>
      </c>
      <c r="J9" s="4" t="n">
        <f aca="false">Assumptions!J43</f>
        <v>0</v>
      </c>
      <c r="K9" s="4" t="n">
        <f aca="false">Assumptions!K43</f>
        <v>0</v>
      </c>
      <c r="L9" s="4" t="n">
        <f aca="false">Assumptions!L43</f>
        <v>0</v>
      </c>
    </row>
    <row r="10" customFormat="false" ht="15" hidden="false" customHeight="false" outlineLevel="0" collapsed="false">
      <c r="A10" s="0" t="s">
        <v>115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116</v>
      </c>
      <c r="C11" s="0" t="n">
        <f aca="false">C8+C10+C24</f>
        <v>7014.5815635</v>
      </c>
      <c r="D11" s="0" t="n">
        <f aca="false">D8+D10+D24</f>
        <v>9342.66430944</v>
      </c>
      <c r="E11" s="0" t="n">
        <f aca="false">E8+E10+E24</f>
        <v>10646.3906471664</v>
      </c>
      <c r="F11" s="0" t="n">
        <f aca="false">F8+F10+F24</f>
        <v>11391.6379924681</v>
      </c>
      <c r="G11" s="0" t="n">
        <f aca="false">G8+G10+G24</f>
        <v>11961.2198920915</v>
      </c>
      <c r="H11" s="0" t="n">
        <f aca="false">H8+H10+H24</f>
        <v>12304.4548976906</v>
      </c>
      <c r="I11" s="0" t="n">
        <f aca="false">I8+I10+I24</f>
        <v>12595.1645463723</v>
      </c>
      <c r="J11" s="0" t="n">
        <f aca="false">J8+J10+J24</f>
        <v>12973.0194827635</v>
      </c>
      <c r="K11" s="0" t="n">
        <f aca="false">K8+K10+K24</f>
        <v>13362.2100672464</v>
      </c>
      <c r="L11" s="0" t="n">
        <f aca="false">L8+L10+L24</f>
        <v>13763.0763692638</v>
      </c>
    </row>
    <row r="12" customFormat="false" ht="15" hidden="false" customHeight="false" outlineLevel="0" collapsed="false">
      <c r="A12" s="0" t="s">
        <v>117</v>
      </c>
      <c r="C12" s="4" t="n">
        <f aca="false">-C6*Assumptions!C45/100</f>
        <v>-1706.2495695</v>
      </c>
      <c r="D12" s="4" t="n">
        <f aca="false">-D6*Assumptions!D45/100</f>
        <v>-2017.16615772</v>
      </c>
      <c r="E12" s="4" t="n">
        <f aca="false">-E6*Assumptions!E45/100</f>
        <v>-2198.7111119148</v>
      </c>
      <c r="F12" s="4" t="n">
        <f aca="false">-F6*Assumptions!F45/100</f>
        <v>-2352.62088974884</v>
      </c>
      <c r="G12" s="4" t="n">
        <f aca="false">-G6*Assumptions!G45/100</f>
        <v>-2470.25193423628</v>
      </c>
      <c r="H12" s="4" t="n">
        <f aca="false">-H6*Assumptions!H45/100</f>
        <v>-2569.06201160573</v>
      </c>
      <c r="I12" s="4" t="n">
        <f aca="false">-I6*Assumptions!I45/100</f>
        <v>-2658.97918201193</v>
      </c>
      <c r="J12" s="4" t="n">
        <f aca="false">-J6*Assumptions!J45/100</f>
        <v>-2738.74855747229</v>
      </c>
      <c r="K12" s="4" t="n">
        <f aca="false">-K6*Assumptions!K45/100</f>
        <v>-2820.91101419646</v>
      </c>
      <c r="L12" s="4" t="n">
        <f aca="false">-L6*Assumptions!L45/100</f>
        <v>-2905.53834462235</v>
      </c>
    </row>
    <row r="13" customFormat="false" ht="15" hidden="false" customHeight="false" outlineLevel="0" collapsed="false">
      <c r="A13" s="0" t="s">
        <v>118</v>
      </c>
      <c r="C13" s="0" t="n">
        <f aca="false">C11+C12</f>
        <v>5308.331994</v>
      </c>
      <c r="D13" s="0" t="n">
        <f aca="false">D11+D12</f>
        <v>7325.49815172</v>
      </c>
      <c r="E13" s="0" t="n">
        <f aca="false">E11+E12</f>
        <v>8447.6795352516</v>
      </c>
      <c r="F13" s="0" t="n">
        <f aca="false">F11+F12</f>
        <v>9039.01710271921</v>
      </c>
      <c r="G13" s="0" t="n">
        <f aca="false">G11+G12</f>
        <v>9490.96795785517</v>
      </c>
      <c r="H13" s="0" t="n">
        <f aca="false">H11+H12</f>
        <v>9735.39288608487</v>
      </c>
      <c r="I13" s="0" t="n">
        <f aca="false">I11+I12</f>
        <v>9936.18536436037</v>
      </c>
      <c r="J13" s="0" t="n">
        <f aca="false">J11+J12</f>
        <v>10234.2709252912</v>
      </c>
      <c r="K13" s="0" t="n">
        <f aca="false">K11+K12</f>
        <v>10541.2990530499</v>
      </c>
      <c r="L13" s="0" t="n">
        <f aca="false">L11+L12</f>
        <v>10857.5380246414</v>
      </c>
    </row>
    <row r="14" customFormat="false" ht="15" hidden="false" customHeight="false" outlineLevel="0" collapsed="false">
      <c r="A14" s="0" t="s">
        <v>104</v>
      </c>
      <c r="C14" s="4" t="n">
        <f aca="false">Assumptions!C47</f>
        <v>35</v>
      </c>
      <c r="D14" s="4" t="n">
        <f aca="false">Assumptions!D47</f>
        <v>35</v>
      </c>
      <c r="E14" s="4" t="n">
        <f aca="false">Assumptions!E47</f>
        <v>35.5</v>
      </c>
      <c r="F14" s="4" t="n">
        <f aca="false">Assumptions!F47</f>
        <v>36</v>
      </c>
      <c r="G14" s="4" t="n">
        <f aca="false">Assumptions!G47</f>
        <v>36.5</v>
      </c>
      <c r="H14" s="4" t="n">
        <f aca="false">Assumptions!H47</f>
        <v>37</v>
      </c>
      <c r="I14" s="4" t="n">
        <f aca="false">Assumptions!I47</f>
        <v>37</v>
      </c>
      <c r="J14" s="4" t="n">
        <f aca="false">Assumptions!J47</f>
        <v>37</v>
      </c>
      <c r="K14" s="4" t="n">
        <f aca="false">Assumptions!K47</f>
        <v>37</v>
      </c>
      <c r="L14" s="4" t="n">
        <f aca="false">Assumptions!L47</f>
        <v>37</v>
      </c>
    </row>
    <row r="15" customFormat="false" ht="15" hidden="false" customHeight="false" outlineLevel="0" collapsed="false">
      <c r="A15" s="0" t="s">
        <v>119</v>
      </c>
      <c r="C15" s="0" t="n">
        <f aca="false">C13-MAX(0,C13)*C14/100</f>
        <v>3450.4157961</v>
      </c>
      <c r="D15" s="0" t="n">
        <f aca="false">D13-MAX(0,D13)*D14/100</f>
        <v>4761.573798618</v>
      </c>
      <c r="E15" s="0" t="n">
        <f aca="false">E13-MAX(0,E13)*E14/100</f>
        <v>5448.75330023728</v>
      </c>
      <c r="F15" s="0" t="n">
        <f aca="false">F13-MAX(0,F13)*F14/100</f>
        <v>5784.9709457403</v>
      </c>
      <c r="G15" s="0" t="n">
        <f aca="false">G13-MAX(0,G13)*G14/100</f>
        <v>6026.76465323804</v>
      </c>
      <c r="H15" s="0" t="n">
        <f aca="false">H13-MAX(0,H13)*H14/100</f>
        <v>6133.29751823347</v>
      </c>
      <c r="I15" s="0" t="n">
        <f aca="false">I13-MAX(0,I13)*I14/100</f>
        <v>6259.79677954703</v>
      </c>
      <c r="J15" s="0" t="n">
        <f aca="false">J13-MAX(0,J13)*J14/100</f>
        <v>6447.59068293344</v>
      </c>
      <c r="K15" s="0" t="n">
        <f aca="false">K13-MAX(0,K13)*K14/100</f>
        <v>6641.01840342145</v>
      </c>
      <c r="L15" s="0" t="n">
        <f aca="false">L13-MAX(0,L13)*L14/100</f>
        <v>6840.24895552409</v>
      </c>
    </row>
    <row r="16" customFormat="false" ht="15" hidden="false" customHeight="false" outlineLevel="0" collapsed="false">
      <c r="A16" s="0" t="s">
        <v>120</v>
      </c>
      <c r="C16" s="0" t="n">
        <f aca="false">-C12</f>
        <v>1706.2495695</v>
      </c>
      <c r="D16" s="0" t="n">
        <f aca="false">-D12</f>
        <v>2017.16615772</v>
      </c>
      <c r="E16" s="0" t="n">
        <f aca="false">-E12</f>
        <v>2198.7111119148</v>
      </c>
      <c r="F16" s="0" t="n">
        <f aca="false">-F12</f>
        <v>2352.62088974884</v>
      </c>
      <c r="G16" s="0" t="n">
        <f aca="false">-G12</f>
        <v>2470.25193423628</v>
      </c>
      <c r="H16" s="0" t="n">
        <f aca="false">-H12</f>
        <v>2569.06201160573</v>
      </c>
      <c r="I16" s="0" t="n">
        <f aca="false">-I12</f>
        <v>2658.97918201193</v>
      </c>
      <c r="J16" s="0" t="n">
        <f aca="false">-J12</f>
        <v>2738.74855747229</v>
      </c>
      <c r="K16" s="0" t="n">
        <f aca="false">-K12</f>
        <v>2820.91101419646</v>
      </c>
      <c r="L16" s="0" t="n">
        <f aca="false">-L12</f>
        <v>2905.53834462235</v>
      </c>
    </row>
    <row r="17" customFormat="false" ht="15" hidden="false" customHeight="false" outlineLevel="0" collapsed="false">
      <c r="A17" s="0" t="s">
        <v>121</v>
      </c>
      <c r="C17" s="4" t="n">
        <f aca="false">-C6*Assumptions!C46/100</f>
        <v>-1895.832855</v>
      </c>
      <c r="D17" s="4" t="n">
        <f aca="false">-D6*Assumptions!D46/100</f>
        <v>-2760.33263688</v>
      </c>
      <c r="E17" s="4" t="n">
        <f aca="false">-E6*Assumptions!E46/100</f>
        <v>-3008.7625741992</v>
      </c>
      <c r="F17" s="4" t="n">
        <f aca="false">-F6*Assumptions!F46/100</f>
        <v>-3095.5538023011</v>
      </c>
      <c r="G17" s="4" t="n">
        <f aca="false">-G6*Assumptions!G46/100</f>
        <v>-3120.31823271951</v>
      </c>
      <c r="H17" s="4" t="n">
        <f aca="false">-H6*Assumptions!H46/100</f>
        <v>-3109.91717194378</v>
      </c>
      <c r="I17" s="4" t="n">
        <f aca="false">-I6*Assumptions!I46/100</f>
        <v>-3078.81800022434</v>
      </c>
      <c r="J17" s="4" t="n">
        <f aca="false">-J6*Assumptions!J46/100</f>
        <v>-3171.18254023107</v>
      </c>
      <c r="K17" s="4" t="n">
        <f aca="false">-K6*Assumptions!K46/100</f>
        <v>-3266.318016438</v>
      </c>
      <c r="L17" s="4" t="n">
        <f aca="false">-L6*Assumptions!L46/100</f>
        <v>-3364.30755693114</v>
      </c>
    </row>
    <row r="18" customFormat="false" ht="15" hidden="false" customHeight="false" outlineLevel="0" collapsed="false">
      <c r="A18" s="0" t="s">
        <v>122</v>
      </c>
      <c r="C18" s="4" t="n">
        <f aca="false">(C6-B6)*Assumptions!$B$51/100</f>
        <v>-45.1388775000001</v>
      </c>
      <c r="D18" s="4" t="n">
        <f aca="false">(D6-C6)*Assumptions!$B$51/100</f>
        <v>-113.7499713</v>
      </c>
      <c r="E18" s="4" t="n">
        <f aca="false">(E6-D6)*Assumptions!$B$51/100</f>
        <v>-95.5499758920001</v>
      </c>
      <c r="F18" s="4" t="n">
        <f aca="false">(F6-E6)*Assumptions!$B$51/100</f>
        <v>-81.00514622844</v>
      </c>
      <c r="G18" s="4" t="n">
        <f aca="false">(G6-F6)*Assumptions!$B$51/100</f>
        <v>-61.911076046022</v>
      </c>
      <c r="H18" s="4" t="n">
        <f aca="false">(H6-G6)*Assumptions!$B$51/100</f>
        <v>-52.0053038786586</v>
      </c>
      <c r="I18" s="4" t="n">
        <f aca="false">(I6-H6)*Assumptions!$B$51/100</f>
        <v>-47.3248265295792</v>
      </c>
      <c r="J18" s="4" t="n">
        <f aca="false">(J6-I6)*Assumptions!$B$51/100</f>
        <v>-41.9838818212411</v>
      </c>
      <c r="K18" s="4" t="n">
        <f aca="false">(K6-J6)*Assumptions!$B$51/100</f>
        <v>-43.2433982758783</v>
      </c>
      <c r="L18" s="4" t="n">
        <f aca="false">(L6-K6)*Assumptions!$B$51/100</f>
        <v>-44.5407002241545</v>
      </c>
    </row>
    <row r="19" customFormat="false" ht="15" hidden="false" customHeight="false" outlineLevel="0" collapsed="false">
      <c r="A19" s="0" t="s">
        <v>123</v>
      </c>
      <c r="C19" s="0" t="n">
        <f aca="false">C15+C16+C17+C18</f>
        <v>3215.6936331</v>
      </c>
      <c r="D19" s="0" t="n">
        <f aca="false">D15+D16+D17+D18</f>
        <v>3904.657348158</v>
      </c>
      <c r="E19" s="0" t="n">
        <f aca="false">E15+E16+E17+E18</f>
        <v>4543.15186206088</v>
      </c>
      <c r="F19" s="0" t="n">
        <f aca="false">F15+F16+F17+F18</f>
        <v>4961.03288695959</v>
      </c>
      <c r="G19" s="0" t="n">
        <f aca="false">G15+G16+G17+G18</f>
        <v>5314.78727870878</v>
      </c>
      <c r="H19" s="0" t="n">
        <f aca="false">H15+H16+H17+H18</f>
        <v>5540.43705401676</v>
      </c>
      <c r="I19" s="0" t="n">
        <f aca="false">I15+I16+I17+I18</f>
        <v>5792.63313480504</v>
      </c>
      <c r="J19" s="0" t="n">
        <f aca="false">J15+J16+J17+J18</f>
        <v>5973.17281835342</v>
      </c>
      <c r="K19" s="0" t="n">
        <f aca="false">K15+K16+K17+K18</f>
        <v>6152.36800290402</v>
      </c>
      <c r="L19" s="0" t="n">
        <f aca="false">L15+L16+L17+L18</f>
        <v>6336.93904299114</v>
      </c>
    </row>
    <row r="20" customFormat="false" ht="15" hidden="false" customHeight="false" outlineLevel="0" collapsed="false">
      <c r="A20" s="0" t="s">
        <v>124</v>
      </c>
      <c r="C20" s="0" t="n">
        <f aca="false">1/(1+$B$27/100)^C4</f>
        <v>0.925925925925926</v>
      </c>
      <c r="D20" s="0" t="n">
        <f aca="false">1/(1+$B$27/100)^D4</f>
        <v>0.857338820301783</v>
      </c>
      <c r="E20" s="0" t="n">
        <f aca="false">1/(1+$B$27/100)^E4</f>
        <v>0.79383224102017</v>
      </c>
      <c r="F20" s="0" t="n">
        <f aca="false">1/(1+$B$27/100)^F4</f>
        <v>0.735029852796453</v>
      </c>
      <c r="G20" s="0" t="n">
        <f aca="false">1/(1+$B$27/100)^G4</f>
        <v>0.680583197033753</v>
      </c>
      <c r="H20" s="0" t="n">
        <f aca="false">1/(1+$B$27/100)^H4</f>
        <v>0.630169626883105</v>
      </c>
      <c r="I20" s="0" t="n">
        <f aca="false">1/(1+$B$27/100)^I4</f>
        <v>0.583490395262134</v>
      </c>
      <c r="J20" s="0" t="n">
        <f aca="false">1/(1+$B$27/100)^J4</f>
        <v>0.540268884501976</v>
      </c>
      <c r="K20" s="0" t="n">
        <f aca="false">1/(1+$B$27/100)^K4</f>
        <v>0.500248967131459</v>
      </c>
      <c r="L20" s="0" t="n">
        <f aca="false">1/(1+$B$27/100)^L4</f>
        <v>0.463193488084684</v>
      </c>
    </row>
    <row r="21" customFormat="false" ht="15" hidden="false" customHeight="false" outlineLevel="0" collapsed="false">
      <c r="A21" s="0" t="s">
        <v>125</v>
      </c>
      <c r="C21" s="0" t="n">
        <f aca="false">C19*C20</f>
        <v>2977.49410472222</v>
      </c>
      <c r="D21" s="0" t="n">
        <f aca="false">D19*D20</f>
        <v>3347.61432455247</v>
      </c>
      <c r="E21" s="0" t="n">
        <f aca="false">E19*E20</f>
        <v>3606.50042395475</v>
      </c>
      <c r="F21" s="0" t="n">
        <f aca="false">F19*F20</f>
        <v>3646.50727262027</v>
      </c>
      <c r="G21" s="0" t="n">
        <f aca="false">G19*G20</f>
        <v>3617.15491769794</v>
      </c>
      <c r="H21" s="0" t="n">
        <f aca="false">H19*H20</f>
        <v>3491.41515109907</v>
      </c>
      <c r="I21" s="0" t="n">
        <f aca="false">I19*I20</f>
        <v>3379.94579743593</v>
      </c>
      <c r="J21" s="0" t="n">
        <f aca="false">J19*J20</f>
        <v>3227.11941550933</v>
      </c>
      <c r="K21" s="0" t="n">
        <f aca="false">K19*K20</f>
        <v>3077.71573886537</v>
      </c>
      <c r="L21" s="0" t="n">
        <f aca="false">L19*L20</f>
        <v>2935.22889910309</v>
      </c>
    </row>
    <row r="23" customFormat="false" ht="15" hidden="false" customHeight="false" outlineLevel="0" collapsed="false">
      <c r="A23" s="0" t="s">
        <v>101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126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127</v>
      </c>
    </row>
    <row r="27" customFormat="false" ht="15" hidden="false" customHeight="false" outlineLevel="0" collapsed="false">
      <c r="A27" s="0" t="s">
        <v>105</v>
      </c>
      <c r="B27" s="4" t="n">
        <f aca="false">Assumptions!$B$48</f>
        <v>8</v>
      </c>
    </row>
    <row r="28" customFormat="false" ht="15" hidden="false" customHeight="false" outlineLevel="0" collapsed="false">
      <c r="A28" s="0" t="s">
        <v>106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107</v>
      </c>
      <c r="B29" s="4" t="n">
        <f aca="false">Assumptions!$B$50</f>
        <v>14</v>
      </c>
    </row>
    <row r="30" customFormat="false" ht="15" hidden="false" customHeight="false" outlineLevel="0" collapsed="false">
      <c r="A30" s="0" t="s">
        <v>128</v>
      </c>
      <c r="B30" s="0" t="n">
        <f aca="false">SUM(C21:L21)</f>
        <v>33306.6960455604</v>
      </c>
    </row>
    <row r="31" customFormat="false" ht="15" hidden="false" customHeight="false" outlineLevel="0" collapsed="false">
      <c r="A31" s="0" t="s">
        <v>129</v>
      </c>
      <c r="B31" s="0" t="n">
        <f aca="false">L19</f>
        <v>6336.93904299114</v>
      </c>
    </row>
    <row r="32" customFormat="false" ht="15" hidden="false" customHeight="false" outlineLevel="0" collapsed="false">
      <c r="A32" s="0" t="s">
        <v>130</v>
      </c>
      <c r="B32" s="0" t="n">
        <f aca="false">IF(B27&gt;B28,B31*(1+B28/100)/((B27-B28)/100),B31*B29)</f>
        <v>130540.944285618</v>
      </c>
    </row>
    <row r="33" customFormat="false" ht="15" hidden="false" customHeight="false" outlineLevel="0" collapsed="false">
      <c r="A33" s="0" t="s">
        <v>131</v>
      </c>
      <c r="B33" s="0" t="n">
        <f aca="false">B31*B29</f>
        <v>88717.146601876</v>
      </c>
    </row>
    <row r="34" customFormat="false" ht="15" hidden="false" customHeight="false" outlineLevel="0" collapsed="false">
      <c r="A34" s="0" t="s">
        <v>132</v>
      </c>
      <c r="B34" s="0" t="n">
        <f aca="false">MAX(0,MIN(B32,B33))</f>
        <v>88717.146601876</v>
      </c>
    </row>
    <row r="35" customFormat="false" ht="15" hidden="false" customHeight="false" outlineLevel="0" collapsed="false">
      <c r="A35" s="0" t="s">
        <v>133</v>
      </c>
      <c r="B35" s="0" t="n">
        <f aca="false">B34/(1+B27/100)^L4</f>
        <v>41093.2045874432</v>
      </c>
    </row>
    <row r="36" customFormat="false" ht="15" hidden="false" customHeight="false" outlineLevel="0" collapsed="false">
      <c r="A36" s="0" t="s">
        <v>134</v>
      </c>
      <c r="B36" s="0" t="n">
        <f aca="false">B30+B35</f>
        <v>74399.9006330037</v>
      </c>
    </row>
    <row r="37" customFormat="false" ht="15" hidden="false" customHeight="false" outlineLevel="0" collapsed="false">
      <c r="A37" s="0" t="s">
        <v>135</v>
      </c>
      <c r="B37" s="0" t="n">
        <f aca="false">B36+Assumptions!$B$5-Assumptions!$B$4</f>
        <v>56860.5626330037</v>
      </c>
    </row>
    <row r="38" customFormat="false" ht="15" hidden="false" customHeight="false" outlineLevel="0" collapsed="false">
      <c r="A38" s="0" t="s">
        <v>136</v>
      </c>
      <c r="B38" s="0" t="n">
        <f aca="false">B37/Assumptions!$B$3*Assumptions!$B$10</f>
        <v>18.8187261071636</v>
      </c>
    </row>
    <row r="39" customFormat="false" ht="15" hidden="false" customHeight="false" outlineLevel="0" collapsed="false">
      <c r="A39" s="0" t="s">
        <v>137</v>
      </c>
      <c r="B39" s="4" t="n">
        <f aca="false">B38/Assumptions!$B$2-1</f>
        <v>0.0345643819221317</v>
      </c>
    </row>
    <row r="41" customFormat="false" ht="15" hidden="false" customHeight="false" outlineLevel="0" collapsed="false">
      <c r="A41" s="0" t="s">
        <v>138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139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140</v>
      </c>
      <c r="B43" s="0" t="n">
        <f aca="false">(B37+B41+B42)/Assumptions!$B$3*Assumptions!$B$10</f>
        <v>18.8187261071636</v>
      </c>
    </row>
    <row r="45" customFormat="false" ht="15" hidden="false" customHeight="false" outlineLevel="0" collapsed="false">
      <c r="A45" s="0" t="s">
        <v>81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141</v>
      </c>
      <c r="B46" s="0" t="n">
        <f aca="false">MAX(0,MIN(IF(B45&gt;B28,B31*(1+B28/100)/((B45-B28)/100),B31*B29),B31*B29))</f>
        <v>54392.0601190073</v>
      </c>
    </row>
    <row r="47" customFormat="false" ht="15" hidden="false" customHeight="false" outlineLevel="0" collapsed="false">
      <c r="A47" s="0" t="s">
        <v>142</v>
      </c>
      <c r="B47" s="0" t="n">
        <f aca="false">(SUMPRODUCT(C19:L19/(1+B45/100)^C4:L4)+B46/(1+B45/100)^L4+Assumptions!$B$5-Assumptions!$B$4)/Assumptions!$B$3*Assumptions!$B$10</f>
        <v>6.60642197206153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145</v>
      </c>
    </row>
    <row r="3" customFormat="false" ht="15" hidden="false" customHeight="false" outlineLevel="0" collapsed="false">
      <c r="A3" s="2" t="s">
        <v>146</v>
      </c>
      <c r="B3" s="2" t="s">
        <v>147</v>
      </c>
      <c r="C3" s="2" t="s">
        <v>137</v>
      </c>
      <c r="D3" s="2" t="s">
        <v>148</v>
      </c>
      <c r="E3" s="2" t="s">
        <v>140</v>
      </c>
      <c r="F3" s="2" t="s">
        <v>149</v>
      </c>
    </row>
    <row r="4" customFormat="false" ht="15" hidden="false" customHeight="false" outlineLevel="0" collapsed="false">
      <c r="A4" s="0" t="s">
        <v>150</v>
      </c>
      <c r="B4" s="4" t="n">
        <f aca="false">DCF_Bear!$B$38</f>
        <v>4.19259201194358</v>
      </c>
      <c r="C4" s="0" t="n">
        <f aca="false">B4/Assumptions!$B$2-1</f>
        <v>-0.769511159321409</v>
      </c>
      <c r="D4" s="4" t="n">
        <f aca="false">Assumptions!$B$24</f>
        <v>0.25</v>
      </c>
      <c r="E4" s="4" t="n">
        <f aca="false">DCF_Bear!$B$43</f>
        <v>4.19259201194358</v>
      </c>
      <c r="F4" s="4" t="n">
        <f aca="false">DCF_Bear!$B$47</f>
        <v>-0.296578290703001</v>
      </c>
    </row>
    <row r="5" customFormat="false" ht="15" hidden="false" customHeight="false" outlineLevel="0" collapsed="false">
      <c r="A5" s="0" t="s">
        <v>151</v>
      </c>
      <c r="B5" s="4" t="n">
        <f aca="false">DCF_Base!$B$38</f>
        <v>12.0746974538425</v>
      </c>
      <c r="C5" s="0" t="n">
        <f aca="false">B5/Assumptions!$B$2-1</f>
        <v>-0.336190354379192</v>
      </c>
      <c r="D5" s="4" t="n">
        <f aca="false">Assumptions!$B$38</f>
        <v>0.5</v>
      </c>
      <c r="E5" s="4" t="n">
        <f aca="false">DCF_Base!$B$43</f>
        <v>12.0746974538425</v>
      </c>
      <c r="F5" s="4" t="n">
        <f aca="false">DCF_Base!$B$47</f>
        <v>3.2445327710861</v>
      </c>
    </row>
    <row r="6" customFormat="false" ht="15" hidden="false" customHeight="false" outlineLevel="0" collapsed="false">
      <c r="A6" s="0" t="s">
        <v>152</v>
      </c>
      <c r="B6" s="4" t="n">
        <f aca="false">DCF_Bull!$B$38</f>
        <v>18.8187261071636</v>
      </c>
      <c r="C6" s="0" t="n">
        <f aca="false">B6/Assumptions!$B$2-1</f>
        <v>0.0345643819221317</v>
      </c>
      <c r="D6" s="4" t="n">
        <f aca="false">Assumptions!$B$52</f>
        <v>0.25</v>
      </c>
      <c r="E6" s="4" t="n">
        <f aca="false">DCF_Bull!$B$43</f>
        <v>18.8187261071636</v>
      </c>
      <c r="F6" s="4" t="n">
        <f aca="false">DCF_Bull!$B$47</f>
        <v>6.60642197206153</v>
      </c>
    </row>
    <row r="8" customFormat="false" ht="15" hidden="false" customHeight="false" outlineLevel="0" collapsed="false">
      <c r="A8" s="0" t="s">
        <v>153</v>
      </c>
      <c r="B8" s="0" t="n">
        <f aca="false">SUMPRODUCT(B4:B6,D4:D6)</f>
        <v>11.790178256698</v>
      </c>
    </row>
    <row r="9" customFormat="false" ht="15" hidden="false" customHeight="false" outlineLevel="0" collapsed="false">
      <c r="A9" s="0" t="s">
        <v>154</v>
      </c>
      <c r="B9" s="0" t="n">
        <f aca="false">SUMPRODUCT(E4:E6,D4:D6)</f>
        <v>11.790178256698</v>
      </c>
    </row>
    <row r="10" customFormat="false" ht="15" hidden="false" customHeight="false" outlineLevel="0" collapsed="false">
      <c r="A10" s="0" t="s">
        <v>155</v>
      </c>
      <c r="B10" s="0" t="n">
        <f aca="false">1-Assumptions!$B$2/B8</f>
        <v>-0.54280958302443</v>
      </c>
    </row>
    <row r="11" customFormat="false" ht="15" hidden="false" customHeight="false" outlineLevel="0" collapsed="false">
      <c r="A11" s="0" t="s">
        <v>156</v>
      </c>
      <c r="B11" s="0" t="str">
        <f aca="false">IF(ABS(B9-B8)&gt;0.01*ABS(B8),(Assumptions!$B$2-B8)/(B9-B8)*100,"n/a")</f>
        <v>n/a</v>
      </c>
    </row>
    <row r="12" customFormat="false" ht="15" hidden="false" customHeight="false" outlineLevel="0" collapsed="false">
      <c r="A12" s="0" t="s">
        <v>157</v>
      </c>
      <c r="B12" s="0" t="n">
        <f aca="false">SUMPRODUCT(F4:F6,D4:D6)</f>
        <v>3.19972730588268</v>
      </c>
    </row>
    <row r="14" customFormat="false" ht="15" hidden="false" customHeight="false" outlineLevel="0" collapsed="false">
      <c r="A14" s="2" t="s">
        <v>158</v>
      </c>
      <c r="C14" s="0" t="s">
        <v>159</v>
      </c>
    </row>
    <row r="15" customFormat="false" ht="15" hidden="false" customHeight="false" outlineLevel="0" collapsed="false">
      <c r="A15" s="0" t="s">
        <v>160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12.0746974538425</v>
      </c>
      <c r="C15" s="3" t="n">
        <v>8</v>
      </c>
    </row>
    <row r="16" customFormat="false" ht="15" hidden="false" customHeight="false" outlineLevel="0" collapsed="false">
      <c r="A16" s="0" t="s">
        <v>161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10.8414895750036</v>
      </c>
      <c r="C16" s="3" t="n">
        <v>9</v>
      </c>
    </row>
    <row r="17" customFormat="false" ht="15" hidden="false" customHeight="false" outlineLevel="0" collapsed="false">
      <c r="A17" s="0" t="s">
        <v>162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9.52551610756047</v>
      </c>
      <c r="C17" s="3" t="n">
        <v>10</v>
      </c>
    </row>
    <row r="18" customFormat="false" ht="15" hidden="false" customHeight="false" outlineLevel="0" collapsed="false">
      <c r="A18" s="0" t="s">
        <v>163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7.67430851325682</v>
      </c>
      <c r="C18" s="3" t="n">
        <v>11</v>
      </c>
    </row>
    <row r="19" customFormat="false" ht="15" hidden="false" customHeight="false" outlineLevel="0" collapsed="false">
      <c r="A19" s="0" t="s">
        <v>164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6.21464993329953</v>
      </c>
      <c r="C19" s="3" t="n">
        <v>12</v>
      </c>
    </row>
    <row r="20" customFormat="false" ht="15" hidden="false" customHeight="false" outlineLevel="0" collapsed="false">
      <c r="A20" s="0" t="s">
        <v>165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3.2445327710861</v>
      </c>
      <c r="C20" s="3" t="n">
        <v>15</v>
      </c>
    </row>
    <row r="22" customFormat="false" ht="15" hidden="false" customHeight="false" outlineLevel="0" collapsed="false">
      <c r="A22" s="2" t="s">
        <v>166</v>
      </c>
    </row>
    <row r="23" customFormat="false" ht="15" hidden="false" customHeight="false" outlineLevel="0" collapsed="false">
      <c r="B23" s="3" t="n">
        <v>1.5</v>
      </c>
      <c r="C23" s="3" t="n">
        <v>2</v>
      </c>
      <c r="D23" s="3" t="n">
        <v>2.5</v>
      </c>
      <c r="E23" s="3" t="n">
        <v>3</v>
      </c>
      <c r="F23" s="3" t="n">
        <v>3.5</v>
      </c>
    </row>
    <row r="24" customFormat="false" ht="15" hidden="false" customHeight="false" outlineLevel="0" collapsed="false">
      <c r="A24" s="3" t="n">
        <v>6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14.9134706202363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14.9134706202363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14.9134706202363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14.9134706202363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14.9134706202363</v>
      </c>
    </row>
    <row r="25" customFormat="false" ht="15" hidden="false" customHeight="false" outlineLevel="0" collapsed="false">
      <c r="A25" s="3" t="n">
        <v>7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13.4275520653757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13.4275520653757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13.4275520653757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13.4275520653757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13.4275520653757</v>
      </c>
    </row>
    <row r="26" customFormat="false" ht="15" hidden="false" customHeight="false" outlineLevel="0" collapsed="false">
      <c r="A26" s="3" t="n">
        <v>8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12.0746974538425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12.0746974538425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12.0746974538425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12.0746974538425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12.0746974538425</v>
      </c>
    </row>
    <row r="27" customFormat="false" ht="15" hidden="false" customHeight="false" outlineLevel="0" collapsed="false">
      <c r="A27" s="3" t="n">
        <v>9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10.5493268226459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10.8414895750036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10.8414895750036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10.8414895750036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10.8414895750036</v>
      </c>
    </row>
    <row r="28" customFormat="false" ht="15" hidden="false" customHeight="false" outlineLevel="0" collapsed="false">
      <c r="A28" s="3" t="n">
        <v>10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8.53953478059878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9.00171352761208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9.52551610756047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9.71598977299625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9.71598977299625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2026-10-16T19:38:21Z</dcterms:created>
  <dc:creator>openpyxl</dc:creator>
  <dc:description/>
  <dc:language>en-NZ</dc:language>
  <cp:lastModifiedBy/>
  <dcterms:modified xsi:type="dcterms:W3CDTF">2026-10-16T19:38:21Z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