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<sst xmlns="http://schemas.openxmlformats.org/spreadsheetml/2006/main" count="359" uniqueCount="166">
  <si>
    <t xml:space="preserve">Ticker</t>
  </si>
  <si>
    <t xml:space="preserve">0144.HK</t>
  </si>
  <si>
    <t xml:space="preserve">Company</t>
  </si>
  <si>
    <t xml:space="preserve">China Merchants Port Holdings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</si>
  <si>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</si>
  <si>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</si>
  <si>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</si>
  <si>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</si>
  <si>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(HKEX, Friday); Yahoo Finance chart API</t>
  </si>
  <si>
    <t xml:space="preserve">Balance sheet date</t>
  </si>
  <si>
    <t xml:space="preserve">2026-06-30</t>
  </si>
  <si>
    <t xml:space="preserve">Model</t>
  </si>
  <si>
    <t xml:space="preserve">Sum-of-parts: owner-FCF DCF of consolidated port operations plus equity-accounted associates and JVs valued separately in the equity bridge (listed at market, unlisted at an earnings multiple)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</si>
  <si>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</si>
  <si>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</si>
  <si>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</si>
  <si>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</si>
  <si>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</si>
  <si>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</si>
  <si>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</si>
  <si>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</si>
  <si>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2026-10-10T21:11:31Z</t>
  </si>
  <si>
    <t xml:space="preserve">Drivers file</t>
  </si>
  <si>
    <t xml:space="preserve">0144.HK_Drivers.json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</si>
  <si>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</si>
  <si>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</si>
  <si>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</si>
  <si>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Sum of two parts. The consolidated port business is valued as an unlevered owner-FCF stream at an 8% HKD WACC, with associate dividends stripped out of the flows. The associate and JV stakes, about half of profit, are valued once in the bridge: SIPG at its quoted price, other listed associates at disclosed market value, and unlisted associates/JVs at 12x normalised earnings (~0.4x their book value). NCI is deducted at its ~28% economic share of the consolidated EV, not at book. Scenario dispersion therefore reflects the consolidated operations only; the associate block is a fixed ~HK$14.7/share in every scenario.
key_risks_to_valuation: Associate block is fixed across scenarios: every 10% move in the associate stakes (~HK$61.7bn) is ~HK$1.47 per share and is not captured by the bear/bull spread.; Unlisted associates valued at 12x a normalised ~1.45bn share of profit; at the 0.79x of book the listed associates trade on, they would be worth ~HK$16bn more (~HK$3.9/share).; NCI deducted at 28% of base EV (24.6bn) rather than 17.3bn book (~HK$1.7/share higher at book); because it is fixed across scenarios the bear is understated by ~HK$1.9/share and the bull overstated by ~HK$1.5/share versus a proportional NCI charge.; Terminal cap (12x base, 13x bull, 10x bear) binds over Gordon (17x at 8%/2%); finite concession lives (TCP to 2048) argue against higher multiples, and the stock has never traded above 0.92x book at a year-end in FY2017-25.; Scrip-dividend dilution resumed would add non-SBC share growth (count rose 28% FY2017-23).; FX: RMB, BRL, LKR and frontier currencies translate into HKD; the SIPG mark uses CNYHKD 1.1721.; Re-rating dependence: base IV is ~0.95x June-2026 book (HK$27.72/share) and ~16.5x TTM attributable EPS (HK$1.60), against FY2017-25 year-end ranges of 0.39-0.92x book (average 0.56x) and ~5-11x earnings. No-re-rate memo: at the stock's own 0.56x average P/B the value is ~HK$15.5/share, below today's price. The upside in this model is the market's SOE/China holdco discount closing, not faster growth.
no_rerate_memo: basis: FY2017-25 average year-end P/B 0.56x x June-2026 BVPS HK$27.72
value_per_share: 15.5
note: Memo only, not a replacement for the house value. The gap to the house base (~HK$10.9/share) is the price of the re-rating thesis.
sanity_check_note: sanity_check.py passed on P/B and P/S only (P/E and EV/EBITDA not evaluated: SBC and EBITDA are NULL in the metrics). A first build with 14x/15x/12x terminal caps implied 1.05x book, above the 10-year maximum; caps were lowered to 12x/13x/10x for finite concession lives before shipping. No post-check fix pass was needed. Final build: implied P/B 1.005x on FY2025 book (0.95x on June-2026 book) against a 0.92x ten-year maximum; check passed.</t>
  </si>
  <si>
    <t xml:space="preserve">Data sources</t>
  </si>
  <si>
    <t xml:space="preserve">price: Yahoo Finance chart API at inputs.price_as_of; 52-week range 12.26-17.85
financials: 0144.HK_Metrics.csv (FY2017-FY2025, H1 FY2023-H1 FY2026); FY2025 Annual Report statements and notes 5, 20, 22, 32; H1 FY2026 interim report balance sheet, cash flow and MD&amp;A
qualitative: 0144.HK_Analysis.json (bull/bear points, risks)
associates: SIPG 600018.SS and CNYHKD=X from Yahoo Finance, 2026-10-09/10</t>
  </si>
  <si>
    <t xml:space="preserve">Scenario narrative: bear</t>
  </si>
  <si>
    <t xml:space="preserve">US-China tariff escalation and carrier-alliance reshuffles (KMCT Kaohsiung -25% on route changes) cut transshipment and gateway volumes, China property weakness keeps bulk cargo falling, and a frontier-market concession event (Sri Lanka sovereign stress, Red Sea/Horn of Africa disruption, Nigeria/Togo) impairs an overseas terminal. Revenue flat after FY2026, margin compresses to 53%, capex stays heavier at 11%, cash tax rises to 22%. Associate values are held at market in all scenarios, so a further SIPG de-rating is an additional unmodelled downside of ~HK$1 per share per 10%.</t>
  </si>
  <si>
    <t xml:space="preserve">Scenario narrative: base</t>
  </si>
  <si>
    <t xml:space="preserve">China container volumes grow low-single-digit, the frontier terminals (Hambantota +80% in FY2025, Djibouti, Lomé, Indonesia NPH) keep adding throughput but at a slowing rate, and TCP Brazil holds share. Consolidated revenue +10% in FY2026 on the H1 run-rate, fading to ~2.5% by year 9. EBITDA margin ~57%, capex ~10% of revenue. Associates are carried at today's market price for SIPG and ~12x normalised earnings for the rest, i.e. no recovery or further decline is assumed in the associate book.</t>
  </si>
  <si>
    <t xml:space="preserve">Scenario narrative: bull</t>
  </si>
  <si>
    <t xml:space="preserve">Belt-and-Road trade keeps outgrowing China's overall trade (51.9% share in 2025), the frontier concessions ramp to utilisation with operating leverage (margin to 60%), and container-tariff pressure from fleet oversupply proves short-lived. Growth 12% in FY2026 and 4-7% for five years. Associate upside (SIPG profit recovering from the FY2025 -22% drop, Terminal Link) is NOT in the flows; it would add roughly HK$1 per share for every 10% re-rating of the associate stakes.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</si>
  <si>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</si>
  <si>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</si>
  <si>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</si>
  <si>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</si>
  <si>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</si>
  <si>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</si>
  <si>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</si>
  <si>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</si>
  <si>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</si>
  <si>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</si>
  <si>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</si>
  <si>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</si>
  <si>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</si>
  <si>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</si>
  <si>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</si>
  <si>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</si>
  <si>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</si>
  <si>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</si>
  <si>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</si>
  <si>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</si>
  <si>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</si>
  <si>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</si>
  <si>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</si>
  <si>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</si>
  <si>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</si>
  <si>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</si>
  <si>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</si>
  <si>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ProfitForPeriodTotal</t>
  </si>
  <si>
    <t xml:space="preserve">TotalEquityInclNCI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</si>
  <si>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</si>
  <si>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</si>
  <si>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</si>
  <si>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</si>
  <si>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</si>
  <si>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</si>
  <si>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</si>
  <si>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</si>
  <si>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</si>
  <si>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</si>
  <si>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</si>
  <si>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</si>
  <si>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</si>
  <si>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</si>
  <si>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</si>
  <si>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</si>
  <si>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</si>
  <si>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</si>
  <si>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</si>
  <si>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</si>
  <si>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</si>
  <si>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</si>
  <si>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</si>
  <si>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</si>
  <si>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</si>
  <si>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</si>
  <si>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</si>
  <si>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</si>
  <si>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</si>
  <si>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</si>
  <si>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</si>
  <si>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</si>
  <si>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</si>
  <si>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</si>
  <si>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</si>
  <si>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</si>
  <si>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</si>
  <si>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</si>
  <si>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</si>
  <si>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</si>
  <si>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</si>
  <si>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</si>
  <si>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</si>
  <si>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</si>
  <si>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</si>
  <si>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</si>
  <si>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0144.HK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</si>
  <si>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</si>
  <si>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</si>
  <si>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</si>
  <si>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</si>
  <si>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</si>
  <si>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</si>
  <si>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</si>
  <si>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</si>
  <si>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</si>
  <si>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</si>
  <si>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</si>
  <si>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</si>
  <si>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</si>
  <si>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</si>
  <si>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</si>
  <si>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</si>
  <si>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</si>
  <si>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</si>
  <si>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</si>
  <si>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</si>
  <si>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</si>
  <si>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</si>
  <si>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</si>
  <si>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</si>
  <si>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</si>
  <si>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</si>
  <si>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</si>
  <si>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</si>
  <si>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</si>
  <si>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</si>
  <si>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0144.HK owner-FCF component DCF: base case (millions, HKD)</t>
  </si>
  <si>
    <t xml:space="preserve">0144.HK owner-FCF component DCF: bull case (millions, HKD)</t>
  </si>
  <si>
    <t xml:space="preserve">0144.HK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</si>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</sst>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17.18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68.6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8692</v>
      </c>
      <c r="C2" s="0" t="n">
        <v>5251</v>
      </c>
      <c r="D2" s="0" t="n">
        <v>3441</v>
      </c>
      <c r="E2" s="0" t="n">
        <v>39.6</v>
      </c>
      <c r="I2" s="0" t="n">
        <v>6028</v>
      </c>
      <c r="J2" s="0" t="n">
        <v>69.4</v>
      </c>
      <c r="K2" s="0" t="n">
        <v>1.839</v>
      </c>
      <c r="L2" s="0" t="n">
        <v>5757</v>
      </c>
      <c r="M2" s="0" t="n">
        <v>1752</v>
      </c>
      <c r="N2" s="0" t="n">
        <v>4005</v>
      </c>
      <c r="O2" s="0" t="n">
        <v>73447</v>
      </c>
      <c r="P2" s="0" t="n">
        <v>131951</v>
      </c>
      <c r="Q2" s="0" t="n">
        <v>42310</v>
      </c>
      <c r="R2" s="0" t="n">
        <v>28560</v>
      </c>
      <c r="S2" s="0" t="n">
        <v>9247</v>
      </c>
      <c r="T2" s="0" t="n">
        <v>3277.619</v>
      </c>
      <c r="AA2" s="0" t="s">
        <v>17</v>
      </c>
      <c r="AB2" s="0" t="s">
        <v>14</v>
      </c>
      <c r="AC2" s="0" t="n">
        <v>6701</v>
      </c>
    </row>
    <row r="3" customFormat="false" ht="15" hidden="false" customHeight="false" outlineLevel="0" collapsed="false">
      <c r="A3" s="0" t="s">
        <v>66</v>
      </c>
      <c r="B3" s="0" t="n">
        <v>10160</v>
      </c>
      <c r="C3" s="0" t="n">
        <v>5771</v>
      </c>
      <c r="D3" s="0" t="n">
        <v>4389</v>
      </c>
      <c r="E3" s="0" t="n">
        <v>43.2</v>
      </c>
      <c r="I3" s="0" t="n">
        <v>7245</v>
      </c>
      <c r="J3" s="0" t="n">
        <v>71.3</v>
      </c>
      <c r="K3" s="0" t="n">
        <v>2.1954</v>
      </c>
      <c r="L3" s="0" t="n">
        <v>6222</v>
      </c>
      <c r="M3" s="0" t="n">
        <v>2564</v>
      </c>
      <c r="N3" s="0" t="n">
        <v>3658</v>
      </c>
      <c r="O3" s="0" t="n">
        <v>75321</v>
      </c>
      <c r="P3" s="0" t="n">
        <v>139937</v>
      </c>
      <c r="Q3" s="0" t="n">
        <v>51933</v>
      </c>
      <c r="R3" s="0" t="n">
        <v>38856</v>
      </c>
      <c r="S3" s="0" t="n">
        <v>7175</v>
      </c>
      <c r="T3" s="0" t="n">
        <v>3299.846</v>
      </c>
      <c r="AA3" s="0" t="s">
        <v>17</v>
      </c>
      <c r="AB3" s="0" t="s">
        <v>14</v>
      </c>
      <c r="AC3" s="0" t="n">
        <v>7955</v>
      </c>
      <c r="AD3" s="0" t="n">
        <v>88004</v>
      </c>
    </row>
    <row r="4" customFormat="false" ht="15" hidden="false" customHeight="false" outlineLevel="0" collapsed="false">
      <c r="A4" s="0" t="s">
        <v>67</v>
      </c>
      <c r="B4" s="0" t="n">
        <v>8898</v>
      </c>
      <c r="C4" s="0" t="n">
        <v>5182</v>
      </c>
      <c r="D4" s="0" t="n">
        <v>3716</v>
      </c>
      <c r="E4" s="0" t="n">
        <v>41.8</v>
      </c>
      <c r="I4" s="0" t="n">
        <v>8362</v>
      </c>
      <c r="J4" s="0" t="n">
        <v>94</v>
      </c>
      <c r="K4" s="0" t="n">
        <v>2.4784</v>
      </c>
      <c r="L4" s="0" t="n">
        <v>6310</v>
      </c>
      <c r="M4" s="0" t="n">
        <v>2677</v>
      </c>
      <c r="N4" s="0" t="n">
        <v>3633</v>
      </c>
      <c r="O4" s="0" t="n">
        <v>79783</v>
      </c>
      <c r="P4" s="0" t="n">
        <v>149082</v>
      </c>
      <c r="Q4" s="0" t="n">
        <v>54948</v>
      </c>
      <c r="R4" s="0" t="n">
        <v>38414</v>
      </c>
      <c r="S4" s="0" t="n">
        <v>7800</v>
      </c>
      <c r="T4" s="0" t="n">
        <v>3374.097</v>
      </c>
      <c r="AA4" s="0" t="s">
        <v>17</v>
      </c>
      <c r="AB4" s="0" t="s">
        <v>14</v>
      </c>
      <c r="AC4" s="0" t="n">
        <v>9238</v>
      </c>
      <c r="AD4" s="0" t="n">
        <v>94134</v>
      </c>
    </row>
    <row r="5" customFormat="false" ht="15" hidden="false" customHeight="false" outlineLevel="0" collapsed="false">
      <c r="A5" s="0" t="s">
        <v>68</v>
      </c>
      <c r="B5" s="0" t="n">
        <v>8945</v>
      </c>
      <c r="C5" s="0" t="n">
        <v>5201</v>
      </c>
      <c r="D5" s="0" t="n">
        <v>3744</v>
      </c>
      <c r="E5" s="0" t="n">
        <v>41.9</v>
      </c>
      <c r="I5" s="0" t="n">
        <v>5151</v>
      </c>
      <c r="J5" s="0" t="n">
        <v>57.6</v>
      </c>
      <c r="K5" s="0" t="n">
        <v>1.4625</v>
      </c>
      <c r="L5" s="0" t="n">
        <v>5822</v>
      </c>
      <c r="M5" s="0" t="n">
        <v>1789</v>
      </c>
      <c r="N5" s="0" t="n">
        <v>4033</v>
      </c>
      <c r="O5" s="0" t="n">
        <v>87889</v>
      </c>
      <c r="P5" s="0" t="n">
        <v>170064</v>
      </c>
      <c r="Q5" s="0" t="n">
        <v>56429</v>
      </c>
      <c r="R5" s="0" t="n">
        <v>39192</v>
      </c>
      <c r="S5" s="0" t="n">
        <v>11290</v>
      </c>
      <c r="T5" s="0" t="n">
        <v>3522.493</v>
      </c>
      <c r="AA5" s="0" t="s">
        <v>17</v>
      </c>
      <c r="AB5" s="0" t="s">
        <v>14</v>
      </c>
      <c r="AC5" s="0" t="n">
        <v>6081</v>
      </c>
      <c r="AD5" s="0" t="n">
        <v>113635</v>
      </c>
    </row>
    <row r="6" customFormat="false" ht="15" hidden="false" customHeight="false" outlineLevel="0" collapsed="false">
      <c r="A6" s="0" t="s">
        <v>69</v>
      </c>
      <c r="B6" s="0" t="n">
        <v>11850</v>
      </c>
      <c r="C6" s="0" t="n">
        <v>6493</v>
      </c>
      <c r="D6" s="0" t="n">
        <v>5357</v>
      </c>
      <c r="E6" s="0" t="n">
        <v>45.2</v>
      </c>
      <c r="I6" s="0" t="n">
        <v>8144</v>
      </c>
      <c r="J6" s="0" t="n">
        <v>68.7</v>
      </c>
      <c r="K6" s="0" t="n">
        <v>2.1987</v>
      </c>
      <c r="L6" s="0" t="n">
        <v>8785</v>
      </c>
      <c r="M6" s="0" t="n">
        <v>1834</v>
      </c>
      <c r="N6" s="0" t="n">
        <v>6951</v>
      </c>
      <c r="O6" s="0" t="n">
        <v>98262</v>
      </c>
      <c r="P6" s="0" t="n">
        <v>178690</v>
      </c>
      <c r="Q6" s="0" t="n">
        <v>53892</v>
      </c>
      <c r="R6" s="0" t="n">
        <v>36782</v>
      </c>
      <c r="S6" s="0" t="n">
        <v>9980</v>
      </c>
      <c r="T6" s="0" t="n">
        <v>3703.86</v>
      </c>
      <c r="AA6" s="0" t="s">
        <v>17</v>
      </c>
      <c r="AB6" s="0" t="s">
        <v>14</v>
      </c>
      <c r="AC6" s="0" t="n">
        <v>9385</v>
      </c>
      <c r="AD6" s="0" t="n">
        <v>124798</v>
      </c>
    </row>
    <row r="7" customFormat="false" ht="15" hidden="false" customHeight="false" outlineLevel="0" collapsed="false">
      <c r="A7" s="0" t="s">
        <v>70</v>
      </c>
      <c r="B7" s="0" t="n">
        <v>12545</v>
      </c>
      <c r="C7" s="0" t="n">
        <v>6977</v>
      </c>
      <c r="D7" s="0" t="n">
        <v>5568</v>
      </c>
      <c r="E7" s="0" t="n">
        <v>44.4</v>
      </c>
      <c r="I7" s="0" t="n">
        <v>7781</v>
      </c>
      <c r="J7" s="0" t="n">
        <v>62</v>
      </c>
      <c r="K7" s="0" t="n">
        <v>2.0152</v>
      </c>
      <c r="L7" s="0" t="n">
        <v>8781</v>
      </c>
      <c r="M7" s="0" t="n">
        <v>1514</v>
      </c>
      <c r="N7" s="0" t="n">
        <v>7267</v>
      </c>
      <c r="O7" s="0" t="n">
        <v>96969</v>
      </c>
      <c r="P7" s="0" t="n">
        <v>172155</v>
      </c>
      <c r="Q7" s="0" t="n">
        <v>49579</v>
      </c>
      <c r="R7" s="0" t="n">
        <v>34529</v>
      </c>
      <c r="S7" s="0" t="n">
        <v>9629</v>
      </c>
      <c r="T7" s="0" t="n">
        <v>3861.103</v>
      </c>
      <c r="AA7" s="0" t="s">
        <v>17</v>
      </c>
      <c r="AB7" s="0" t="s">
        <v>14</v>
      </c>
      <c r="AC7" s="0" t="n">
        <v>9029</v>
      </c>
      <c r="AD7" s="0" t="n">
        <v>122576</v>
      </c>
    </row>
    <row r="8" customFormat="false" ht="15" hidden="false" customHeight="false" outlineLevel="0" collapsed="false">
      <c r="A8" s="0" t="s">
        <v>71</v>
      </c>
      <c r="B8" s="0" t="n">
        <v>11482</v>
      </c>
      <c r="C8" s="0" t="n">
        <v>6327</v>
      </c>
      <c r="D8" s="0" t="n">
        <v>5155</v>
      </c>
      <c r="E8" s="0" t="n">
        <v>44.9</v>
      </c>
      <c r="I8" s="0" t="n">
        <v>6233</v>
      </c>
      <c r="J8" s="0" t="n">
        <v>54.3</v>
      </c>
      <c r="K8" s="0" t="n">
        <v>1.5322</v>
      </c>
      <c r="L8" s="0" t="n">
        <v>7238</v>
      </c>
      <c r="M8" s="0" t="n">
        <v>1309</v>
      </c>
      <c r="N8" s="0" t="n">
        <v>5929</v>
      </c>
      <c r="O8" s="0" t="n">
        <v>102155</v>
      </c>
      <c r="P8" s="0" t="n">
        <v>172314</v>
      </c>
      <c r="Q8" s="0" t="n">
        <v>51469</v>
      </c>
      <c r="R8" s="0" t="n">
        <v>36308</v>
      </c>
      <c r="S8" s="0" t="n">
        <v>12331</v>
      </c>
      <c r="T8" s="0" t="n">
        <v>4068.06</v>
      </c>
      <c r="AA8" s="0" t="s">
        <v>17</v>
      </c>
      <c r="AB8" s="0" t="s">
        <v>14</v>
      </c>
      <c r="AC8" s="0" t="n">
        <v>7385</v>
      </c>
      <c r="AD8" s="0" t="n">
        <v>120845</v>
      </c>
    </row>
    <row r="9" customFormat="false" ht="15" hidden="false" customHeight="false" outlineLevel="0" collapsed="false">
      <c r="A9" s="0" t="s">
        <v>72</v>
      </c>
      <c r="B9" s="0" t="n">
        <v>11842</v>
      </c>
      <c r="C9" s="0" t="n">
        <v>6346</v>
      </c>
      <c r="D9" s="0" t="n">
        <v>5496</v>
      </c>
      <c r="E9" s="0" t="n">
        <v>46.4</v>
      </c>
      <c r="I9" s="0" t="n">
        <v>7919</v>
      </c>
      <c r="J9" s="0" t="n">
        <v>66.9</v>
      </c>
      <c r="K9" s="0" t="n">
        <v>1.886</v>
      </c>
      <c r="L9" s="0" t="n">
        <v>8547</v>
      </c>
      <c r="M9" s="0" t="n">
        <v>1199</v>
      </c>
      <c r="N9" s="0" t="n">
        <v>7348</v>
      </c>
      <c r="O9" s="0" t="n">
        <v>103825</v>
      </c>
      <c r="P9" s="0" t="n">
        <v>169474</v>
      </c>
      <c r="Q9" s="0" t="n">
        <v>48042</v>
      </c>
      <c r="R9" s="0" t="n">
        <v>32948</v>
      </c>
      <c r="S9" s="0" t="n">
        <v>11410</v>
      </c>
      <c r="T9" s="0" t="n">
        <v>4198.009</v>
      </c>
      <c r="AA9" s="0" t="s">
        <v>17</v>
      </c>
      <c r="AB9" s="0" t="s">
        <v>14</v>
      </c>
      <c r="AC9" s="0" t="n">
        <v>9081</v>
      </c>
      <c r="AD9" s="0" t="n">
        <v>121432</v>
      </c>
    </row>
    <row r="10" customFormat="false" ht="15" hidden="false" customHeight="false" outlineLevel="0" collapsed="false">
      <c r="A10" s="0" t="s">
        <v>73</v>
      </c>
      <c r="B10" s="0" t="n">
        <v>13354</v>
      </c>
      <c r="C10" s="0" t="n">
        <v>6849</v>
      </c>
      <c r="D10" s="0" t="n">
        <v>6505</v>
      </c>
      <c r="E10" s="0" t="n">
        <v>48.7</v>
      </c>
      <c r="I10" s="0" t="n">
        <v>6457</v>
      </c>
      <c r="J10" s="0" t="n">
        <v>48.4</v>
      </c>
      <c r="K10" s="0" t="n">
        <v>1.538</v>
      </c>
      <c r="L10" s="0" t="n">
        <v>9472</v>
      </c>
      <c r="M10" s="0" t="n">
        <v>873</v>
      </c>
      <c r="N10" s="0" t="n">
        <v>8599</v>
      </c>
      <c r="O10" s="0" t="n">
        <v>110403</v>
      </c>
      <c r="P10" s="0" t="n">
        <v>177534</v>
      </c>
      <c r="Q10" s="0" t="n">
        <v>50496</v>
      </c>
      <c r="R10" s="0" t="n">
        <v>34775</v>
      </c>
      <c r="S10" s="0" t="n">
        <v>11743</v>
      </c>
      <c r="T10" s="0" t="n">
        <v>4198.009</v>
      </c>
      <c r="AA10" s="0" t="s">
        <v>17</v>
      </c>
      <c r="AB10" s="0" t="s">
        <v>14</v>
      </c>
      <c r="AC10" s="0" t="n">
        <v>7688</v>
      </c>
      <c r="AD10" s="0" t="n">
        <v>127038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17.18</v>
      </c>
    </row>
    <row r="3" customFormat="false" ht="15" hidden="false" customHeight="false" outlineLevel="0" collapsed="false">
      <c r="A3" s="0" t="s">
        <v>77</v>
      </c>
      <c r="B3" s="3" t="n">
        <v>4198.009</v>
      </c>
    </row>
    <row r="4" customFormat="false" ht="15" hidden="false" customHeight="false" outlineLevel="0" collapsed="false">
      <c r="A4" s="0" t="s">
        <v>78</v>
      </c>
      <c r="B4" s="3" t="n">
        <v>20164</v>
      </c>
    </row>
    <row r="5" customFormat="false" ht="15" hidden="false" customHeight="false" outlineLevel="0" collapsed="false">
      <c r="A5" s="0" t="s">
        <v>79</v>
      </c>
      <c r="B5" s="3" t="n">
        <v>43291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13354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6</v>
      </c>
      <c r="D13" s="3" t="n">
        <v>0</v>
      </c>
      <c r="E13" s="3" t="n">
        <v>1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56</v>
      </c>
      <c r="D14" s="3" t="n">
        <v>55</v>
      </c>
      <c r="E14" s="3" t="n">
        <v>54</v>
      </c>
      <c r="F14" s="3" t="n">
        <v>53.5</v>
      </c>
      <c r="G14" s="3" t="n">
        <v>53</v>
      </c>
      <c r="H14" s="3" t="n">
        <v>53</v>
      </c>
      <c r="I14" s="3" t="n">
        <v>53</v>
      </c>
      <c r="J14" s="3" t="n">
        <v>53</v>
      </c>
      <c r="K14" s="3" t="n">
        <v>53</v>
      </c>
      <c r="L14" s="3" t="n">
        <v>53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17</v>
      </c>
      <c r="D17" s="3" t="n">
        <v>17</v>
      </c>
      <c r="E17" s="3" t="n">
        <v>17</v>
      </c>
      <c r="F17" s="3" t="n">
        <v>17</v>
      </c>
      <c r="G17" s="3" t="n">
        <v>17</v>
      </c>
      <c r="H17" s="3" t="n">
        <v>17</v>
      </c>
      <c r="I17" s="3" t="n">
        <v>17</v>
      </c>
      <c r="J17" s="3" t="n">
        <v>17</v>
      </c>
      <c r="K17" s="3" t="n">
        <v>17</v>
      </c>
      <c r="L17" s="3" t="n">
        <v>17</v>
      </c>
    </row>
    <row r="18" customFormat="false" ht="15" hidden="false" customHeight="false" outlineLevel="0" collapsed="false">
      <c r="A18" s="0" t="s">
        <v>102</v>
      </c>
      <c r="C18" s="3" t="n">
        <v>11</v>
      </c>
      <c r="D18" s="3" t="n">
        <v>11</v>
      </c>
      <c r="E18" s="3" t="n">
        <v>11</v>
      </c>
      <c r="F18" s="3" t="n">
        <v>11</v>
      </c>
      <c r="G18" s="3" t="n">
        <v>11</v>
      </c>
      <c r="H18" s="3" t="n">
        <v>11</v>
      </c>
      <c r="I18" s="3" t="n">
        <v>11</v>
      </c>
      <c r="J18" s="3" t="n">
        <v>11</v>
      </c>
      <c r="K18" s="3" t="n">
        <v>11</v>
      </c>
      <c r="L18" s="3" t="n">
        <v>11</v>
      </c>
    </row>
    <row r="19" customFormat="false" ht="15" hidden="false" customHeight="false" outlineLevel="0" collapsed="false">
      <c r="A19" s="0" t="s">
        <v>103</v>
      </c>
      <c r="C19" s="3" t="n">
        <v>19</v>
      </c>
      <c r="D19" s="3" t="n">
        <v>20</v>
      </c>
      <c r="E19" s="3" t="n">
        <v>21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104</v>
      </c>
      <c r="B20" s="3" t="n">
        <v>8</v>
      </c>
    </row>
    <row r="21" customFormat="false" ht="15" hidden="false" customHeight="false" outlineLevel="0" collapsed="false">
      <c r="A21" s="0" t="s">
        <v>105</v>
      </c>
      <c r="B21" s="3" t="n">
        <v>1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10</v>
      </c>
      <c r="D27" s="3" t="n">
        <v>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57</v>
      </c>
      <c r="D28" s="3" t="n">
        <v>57</v>
      </c>
      <c r="E28" s="3" t="n">
        <v>57</v>
      </c>
      <c r="F28" s="3" t="n">
        <v>57</v>
      </c>
      <c r="G28" s="3" t="n">
        <v>57</v>
      </c>
      <c r="H28" s="3" t="n">
        <v>57</v>
      </c>
      <c r="I28" s="3" t="n">
        <v>57</v>
      </c>
      <c r="J28" s="3" t="n">
        <v>57</v>
      </c>
      <c r="K28" s="3" t="n">
        <v>57</v>
      </c>
      <c r="L28" s="3" t="n">
        <v>57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17</v>
      </c>
      <c r="D31" s="3" t="n">
        <v>17</v>
      </c>
      <c r="E31" s="3" t="n">
        <v>17</v>
      </c>
      <c r="F31" s="3" t="n">
        <v>17</v>
      </c>
      <c r="G31" s="3" t="n">
        <v>17</v>
      </c>
      <c r="H31" s="3" t="n">
        <v>17</v>
      </c>
      <c r="I31" s="3" t="n">
        <v>17</v>
      </c>
      <c r="J31" s="3" t="n">
        <v>17</v>
      </c>
      <c r="K31" s="3" t="n">
        <v>17</v>
      </c>
      <c r="L31" s="3" t="n">
        <v>17</v>
      </c>
    </row>
    <row r="32" customFormat="false" ht="15" hidden="false" customHeight="false" outlineLevel="0" collapsed="false">
      <c r="A32" s="0" t="s">
        <v>102</v>
      </c>
      <c r="C32" s="3" t="n">
        <v>10</v>
      </c>
      <c r="D32" s="3" t="n">
        <v>10</v>
      </c>
      <c r="E32" s="3" t="n">
        <v>10</v>
      </c>
      <c r="F32" s="3" t="n">
        <v>10</v>
      </c>
      <c r="G32" s="3" t="n">
        <v>10</v>
      </c>
      <c r="H32" s="3" t="n">
        <v>10</v>
      </c>
      <c r="I32" s="3" t="n">
        <v>10</v>
      </c>
      <c r="J32" s="3" t="n">
        <v>10</v>
      </c>
      <c r="K32" s="3" t="n">
        <v>10</v>
      </c>
      <c r="L32" s="3" t="n">
        <v>10</v>
      </c>
    </row>
    <row r="33" customFormat="false" ht="15" hidden="false" customHeight="false" outlineLevel="0" collapsed="false">
      <c r="A33" s="0" t="s">
        <v>103</v>
      </c>
      <c r="C33" s="3" t="n">
        <v>18</v>
      </c>
      <c r="D33" s="3" t="n">
        <v>18.5</v>
      </c>
      <c r="E33" s="3" t="n">
        <v>19</v>
      </c>
      <c r="F33" s="3" t="n">
        <v>19.5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104</v>
      </c>
      <c r="B34" s="3" t="n">
        <v>8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12</v>
      </c>
      <c r="D41" s="3" t="n">
        <v>7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58</v>
      </c>
      <c r="D42" s="3" t="n">
        <v>58.5</v>
      </c>
      <c r="E42" s="3" t="n">
        <v>59</v>
      </c>
      <c r="F42" s="3" t="n">
        <v>59.5</v>
      </c>
      <c r="G42" s="3" t="n">
        <v>60</v>
      </c>
      <c r="H42" s="3" t="n">
        <v>60</v>
      </c>
      <c r="I42" s="3" t="n">
        <v>60</v>
      </c>
      <c r="J42" s="3" t="n">
        <v>60</v>
      </c>
      <c r="K42" s="3" t="n">
        <v>60</v>
      </c>
      <c r="L42" s="3" t="n">
        <v>60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17</v>
      </c>
      <c r="D45" s="3" t="n">
        <v>17</v>
      </c>
      <c r="E45" s="3" t="n">
        <v>17</v>
      </c>
      <c r="F45" s="3" t="n">
        <v>17</v>
      </c>
      <c r="G45" s="3" t="n">
        <v>17</v>
      </c>
      <c r="H45" s="3" t="n">
        <v>17</v>
      </c>
      <c r="I45" s="3" t="n">
        <v>17</v>
      </c>
      <c r="J45" s="3" t="n">
        <v>17</v>
      </c>
      <c r="K45" s="3" t="n">
        <v>17</v>
      </c>
      <c r="L45" s="3" t="n">
        <v>17</v>
      </c>
    </row>
    <row r="46" customFormat="false" ht="15" hidden="false" customHeight="false" outlineLevel="0" collapsed="false">
      <c r="A46" s="0" t="s">
        <v>102</v>
      </c>
      <c r="C46" s="3" t="n">
        <v>10</v>
      </c>
      <c r="D46" s="3" t="n">
        <v>10</v>
      </c>
      <c r="E46" s="3" t="n">
        <v>9.5</v>
      </c>
      <c r="F46" s="3" t="n">
        <v>9.5</v>
      </c>
      <c r="G46" s="3" t="n">
        <v>9.5</v>
      </c>
      <c r="H46" s="3" t="n">
        <v>9.5</v>
      </c>
      <c r="I46" s="3" t="n">
        <v>9.5</v>
      </c>
      <c r="J46" s="3" t="n">
        <v>9.5</v>
      </c>
      <c r="K46" s="3" t="n">
        <v>9.5</v>
      </c>
      <c r="L46" s="3" t="n">
        <v>9.5</v>
      </c>
    </row>
    <row r="47" customFormat="false" ht="15" hidden="false" customHeight="false" outlineLevel="0" collapsed="false">
      <c r="A47" s="0" t="s">
        <v>103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104</v>
      </c>
      <c r="B48" s="3" t="n">
        <v>8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13</v>
      </c>
    </row>
    <row r="51" customFormat="false" ht="15" hidden="false" customHeight="false" outlineLevel="0" collapsed="false">
      <c r="A51" s="0" t="s">
        <v>107</v>
      </c>
      <c r="B51" s="3" t="n">
        <v>-5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6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13354</v>
      </c>
      <c r="C6" s="0" t="n">
        <f aca="false">B6*(1+C5/100)</f>
        <v>14155.24</v>
      </c>
      <c r="D6" s="0" t="n">
        <f aca="false">C6*(1+D5/100)</f>
        <v>14155.24</v>
      </c>
      <c r="E6" s="0" t="n">
        <f aca="false">D6*(1+E5/100)</f>
        <v>14296.7924</v>
      </c>
      <c r="F6" s="0" t="n">
        <f aca="false">E6*(1+F5/100)</f>
        <v>14439.760324</v>
      </c>
      <c r="G6" s="0" t="n">
        <f aca="false">F6*(1+G5/100)</f>
        <v>14656.35672886</v>
      </c>
      <c r="H6" s="0" t="n">
        <f aca="false">G6*(1+H5/100)</f>
        <v>14876.2020797929</v>
      </c>
      <c r="I6" s="0" t="n">
        <f aca="false">H6*(1+I5/100)</f>
        <v>15099.3451109898</v>
      </c>
      <c r="J6" s="0" t="n">
        <f aca="false">I6*(1+J5/100)</f>
        <v>15325.8352876546</v>
      </c>
      <c r="K6" s="0" t="n">
        <f aca="false">J6*(1+K5/100)</f>
        <v>15555.7228169695</v>
      </c>
      <c r="L6" s="0" t="n">
        <f aca="false">K6*(1+L5/100)</f>
        <v>15789.058659224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56</v>
      </c>
      <c r="D7" s="4" t="n">
        <f aca="false">Assumptions!D14</f>
        <v>55</v>
      </c>
      <c r="E7" s="4" t="n">
        <f aca="false">Assumptions!E14</f>
        <v>54</v>
      </c>
      <c r="F7" s="4" t="n">
        <f aca="false">Assumptions!F14</f>
        <v>53.5</v>
      </c>
      <c r="G7" s="4" t="n">
        <f aca="false">Assumptions!G14</f>
        <v>53</v>
      </c>
      <c r="H7" s="4" t="n">
        <f aca="false">Assumptions!H14</f>
        <v>53</v>
      </c>
      <c r="I7" s="4" t="n">
        <f aca="false">Assumptions!I14</f>
        <v>53</v>
      </c>
      <c r="J7" s="4" t="n">
        <f aca="false">Assumptions!J14</f>
        <v>53</v>
      </c>
      <c r="K7" s="4" t="n">
        <f aca="false">Assumptions!K14</f>
        <v>53</v>
      </c>
      <c r="L7" s="4" t="n">
        <f aca="false">Assumptions!L14</f>
        <v>53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7926.9344</v>
      </c>
      <c r="D8" s="0" t="n">
        <f aca="false">D6*D7/100</f>
        <v>7785.382</v>
      </c>
      <c r="E8" s="0" t="n">
        <f aca="false">E6*E7/100</f>
        <v>7720.267896</v>
      </c>
      <c r="F8" s="0" t="n">
        <f aca="false">F6*F7/100</f>
        <v>7725.27177334</v>
      </c>
      <c r="G8" s="0" t="n">
        <f aca="false">G6*G7/100</f>
        <v>7767.8690662958</v>
      </c>
      <c r="H8" s="0" t="n">
        <f aca="false">H6*H7/100</f>
        <v>7884.38710229024</v>
      </c>
      <c r="I8" s="0" t="n">
        <f aca="false">I6*I7/100</f>
        <v>8002.65290882459</v>
      </c>
      <c r="J8" s="0" t="n">
        <f aca="false">J6*J7/100</f>
        <v>8122.69270245696</v>
      </c>
      <c r="K8" s="0" t="n">
        <f aca="false">K6*K7/100</f>
        <v>8244.53309299381</v>
      </c>
      <c r="L8" s="0" t="n">
        <f aca="false">L6*L7/100</f>
        <v>8368.20108938872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7926.9344</v>
      </c>
      <c r="D11" s="0" t="n">
        <f aca="false">D8+D10+D24</f>
        <v>7785.382</v>
      </c>
      <c r="E11" s="0" t="n">
        <f aca="false">E8+E10+E24</f>
        <v>7720.267896</v>
      </c>
      <c r="F11" s="0" t="n">
        <f aca="false">F8+F10+F24</f>
        <v>7725.27177334</v>
      </c>
      <c r="G11" s="0" t="n">
        <f aca="false">G8+G10+G24</f>
        <v>7767.8690662958</v>
      </c>
      <c r="H11" s="0" t="n">
        <f aca="false">H8+H10+H24</f>
        <v>7884.38710229024</v>
      </c>
      <c r="I11" s="0" t="n">
        <f aca="false">I8+I10+I24</f>
        <v>8002.65290882459</v>
      </c>
      <c r="J11" s="0" t="n">
        <f aca="false">J8+J10+J24</f>
        <v>8122.69270245696</v>
      </c>
      <c r="K11" s="0" t="n">
        <f aca="false">K8+K10+K24</f>
        <v>8244.53309299381</v>
      </c>
      <c r="L11" s="0" t="n">
        <f aca="false">L8+L10+L24</f>
        <v>8368.20108938872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-2406.3908</v>
      </c>
      <c r="D12" s="4" t="n">
        <f aca="false">-D6*Assumptions!D17/100</f>
        <v>-2406.3908</v>
      </c>
      <c r="E12" s="4" t="n">
        <f aca="false">-E6*Assumptions!E17/100</f>
        <v>-2430.454708</v>
      </c>
      <c r="F12" s="4" t="n">
        <f aca="false">-F6*Assumptions!F17/100</f>
        <v>-2454.75925508</v>
      </c>
      <c r="G12" s="4" t="n">
        <f aca="false">-G6*Assumptions!G17/100</f>
        <v>-2491.5806439062</v>
      </c>
      <c r="H12" s="4" t="n">
        <f aca="false">-H6*Assumptions!H17/100</f>
        <v>-2528.95435356479</v>
      </c>
      <c r="I12" s="4" t="n">
        <f aca="false">-I6*Assumptions!I17/100</f>
        <v>-2566.88866886826</v>
      </c>
      <c r="J12" s="4" t="n">
        <f aca="false">-J6*Assumptions!J17/100</f>
        <v>-2605.39199890129</v>
      </c>
      <c r="K12" s="4" t="n">
        <f aca="false">-K6*Assumptions!K17/100</f>
        <v>-2644.47287888481</v>
      </c>
      <c r="L12" s="4" t="n">
        <f aca="false">-L6*Assumptions!L17/100</f>
        <v>-2684.13997206808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5520.5436</v>
      </c>
      <c r="D13" s="0" t="n">
        <f aca="false">D11+D12</f>
        <v>5378.9912</v>
      </c>
      <c r="E13" s="0" t="n">
        <f aca="false">E11+E12</f>
        <v>5289.813188</v>
      </c>
      <c r="F13" s="0" t="n">
        <f aca="false">F11+F12</f>
        <v>5270.51251826</v>
      </c>
      <c r="G13" s="0" t="n">
        <f aca="false">G11+G12</f>
        <v>5276.2884223896</v>
      </c>
      <c r="H13" s="0" t="n">
        <f aca="false">H11+H12</f>
        <v>5355.43274872544</v>
      </c>
      <c r="I13" s="0" t="n">
        <f aca="false">I11+I12</f>
        <v>5435.76423995633</v>
      </c>
      <c r="J13" s="0" t="n">
        <f aca="false">J11+J12</f>
        <v>5517.30070355567</v>
      </c>
      <c r="K13" s="0" t="n">
        <f aca="false">K11+K12</f>
        <v>5600.060214109</v>
      </c>
      <c r="L13" s="0" t="n">
        <f aca="false">L11+L12</f>
        <v>5684.06111732064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19</v>
      </c>
      <c r="D14" s="4" t="n">
        <f aca="false">Assumptions!D19</f>
        <v>20</v>
      </c>
      <c r="E14" s="4" t="n">
        <f aca="false">Assumptions!E19</f>
        <v>21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4471.640316</v>
      </c>
      <c r="D15" s="0" t="n">
        <f aca="false">D13-MAX(0,D13)*D14/100</f>
        <v>4303.19296</v>
      </c>
      <c r="E15" s="0" t="n">
        <f aca="false">E13-MAX(0,E13)*E14/100</f>
        <v>4178.95241852</v>
      </c>
      <c r="F15" s="0" t="n">
        <f aca="false">F13-MAX(0,F13)*F14/100</f>
        <v>4110.9997642428</v>
      </c>
      <c r="G15" s="0" t="n">
        <f aca="false">G13-MAX(0,G13)*G14/100</f>
        <v>4115.50496946389</v>
      </c>
      <c r="H15" s="0" t="n">
        <f aca="false">H13-MAX(0,H13)*H14/100</f>
        <v>4177.23754400585</v>
      </c>
      <c r="I15" s="0" t="n">
        <f aca="false">I13-MAX(0,I13)*I14/100</f>
        <v>4239.89610716593</v>
      </c>
      <c r="J15" s="0" t="n">
        <f aca="false">J13-MAX(0,J13)*J14/100</f>
        <v>4303.49454877342</v>
      </c>
      <c r="K15" s="0" t="n">
        <f aca="false">K13-MAX(0,K13)*K14/100</f>
        <v>4368.04696700502</v>
      </c>
      <c r="L15" s="0" t="n">
        <f aca="false">L13-MAX(0,L13)*L14/100</f>
        <v>4433.5676715101</v>
      </c>
    </row>
    <row r="16" customFormat="false" ht="15" hidden="false" customHeight="false" outlineLevel="0" collapsed="false">
      <c r="A16" s="0" t="s">
        <v>119</v>
      </c>
      <c r="C16" s="0" t="n">
        <f aca="false">-C12</f>
        <v>2406.3908</v>
      </c>
      <c r="D16" s="0" t="n">
        <f aca="false">-D12</f>
        <v>2406.3908</v>
      </c>
      <c r="E16" s="0" t="n">
        <f aca="false">-E12</f>
        <v>2430.454708</v>
      </c>
      <c r="F16" s="0" t="n">
        <f aca="false">-F12</f>
        <v>2454.75925508</v>
      </c>
      <c r="G16" s="0" t="n">
        <f aca="false">-G12</f>
        <v>2491.5806439062</v>
      </c>
      <c r="H16" s="0" t="n">
        <f aca="false">-H12</f>
        <v>2528.95435356479</v>
      </c>
      <c r="I16" s="0" t="n">
        <f aca="false">-I12</f>
        <v>2566.88866886826</v>
      </c>
      <c r="J16" s="0" t="n">
        <f aca="false">-J12</f>
        <v>2605.39199890129</v>
      </c>
      <c r="K16" s="0" t="n">
        <f aca="false">-K12</f>
        <v>2644.47287888481</v>
      </c>
      <c r="L16" s="0" t="n">
        <f aca="false">-L12</f>
        <v>2684.13997206808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-1557.0764</v>
      </c>
      <c r="D17" s="4" t="n">
        <f aca="false">-D6*Assumptions!D18/100</f>
        <v>-1557.0764</v>
      </c>
      <c r="E17" s="4" t="n">
        <f aca="false">-E6*Assumptions!E18/100</f>
        <v>-1572.647164</v>
      </c>
      <c r="F17" s="4" t="n">
        <f aca="false">-F6*Assumptions!F18/100</f>
        <v>-1588.37363564</v>
      </c>
      <c r="G17" s="4" t="n">
        <f aca="false">-G6*Assumptions!G18/100</f>
        <v>-1612.1992401746</v>
      </c>
      <c r="H17" s="4" t="n">
        <f aca="false">-H6*Assumptions!H18/100</f>
        <v>-1636.38222877722</v>
      </c>
      <c r="I17" s="4" t="n">
        <f aca="false">-I6*Assumptions!I18/100</f>
        <v>-1660.92796220888</v>
      </c>
      <c r="J17" s="4" t="n">
        <f aca="false">-J6*Assumptions!J18/100</f>
        <v>-1685.84188164201</v>
      </c>
      <c r="K17" s="4" t="n">
        <f aca="false">-K6*Assumptions!K18/100</f>
        <v>-1711.12950986664</v>
      </c>
      <c r="L17" s="4" t="n">
        <f aca="false">-L6*Assumptions!L18/100</f>
        <v>-1736.79645251464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-40.0620000000001</v>
      </c>
      <c r="D18" s="4" t="n">
        <f aca="false">(D6-C6)*Assumptions!$B$23/100</f>
        <v>-0</v>
      </c>
      <c r="E18" s="4" t="n">
        <f aca="false">(E6-D6)*Assumptions!$B$23/100</f>
        <v>-7.07762000000002</v>
      </c>
      <c r="F18" s="4" t="n">
        <f aca="false">(F6-E6)*Assumptions!$B$23/100</f>
        <v>-7.14839620000002</v>
      </c>
      <c r="G18" s="4" t="n">
        <f aca="false">(G6-F6)*Assumptions!$B$23/100</f>
        <v>-10.8298202429999</v>
      </c>
      <c r="H18" s="4" t="n">
        <f aca="false">(H6-G6)*Assumptions!$B$23/100</f>
        <v>-10.992267546645</v>
      </c>
      <c r="I18" s="4" t="n">
        <f aca="false">(I6-H6)*Assumptions!$B$23/100</f>
        <v>-11.1571515598446</v>
      </c>
      <c r="J18" s="4" t="n">
        <f aca="false">(J6-I6)*Assumptions!$B$23/100</f>
        <v>-11.3245088332423</v>
      </c>
      <c r="K18" s="4" t="n">
        <f aca="false">(K6-J6)*Assumptions!$B$23/100</f>
        <v>-11.4943764657409</v>
      </c>
      <c r="L18" s="4" t="n">
        <f aca="false">(L6-K6)*Assumptions!$B$23/100</f>
        <v>-11.666792112727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5280.892716</v>
      </c>
      <c r="D19" s="0" t="n">
        <f aca="false">D15+D16+D17+D18</f>
        <v>5152.50736</v>
      </c>
      <c r="E19" s="0" t="n">
        <f aca="false">E15+E16+E17+E18</f>
        <v>5029.68234252</v>
      </c>
      <c r="F19" s="0" t="n">
        <f aca="false">F15+F16+F17+F18</f>
        <v>4970.2369874828</v>
      </c>
      <c r="G19" s="0" t="n">
        <f aca="false">G15+G16+G17+G18</f>
        <v>4984.05655295249</v>
      </c>
      <c r="H19" s="0" t="n">
        <f aca="false">H15+H16+H17+H18</f>
        <v>5058.81740124678</v>
      </c>
      <c r="I19" s="0" t="n">
        <f aca="false">I15+I16+I17+I18</f>
        <v>5134.69966226548</v>
      </c>
      <c r="J19" s="0" t="n">
        <f aca="false">J15+J16+J17+J18</f>
        <v>5211.72015719946</v>
      </c>
      <c r="K19" s="0" t="n">
        <f aca="false">K15+K16+K17+K18</f>
        <v>5289.89595955745</v>
      </c>
      <c r="L19" s="0" t="n">
        <f aca="false">L15+L16+L17+L18</f>
        <v>5369.24439895081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4889.71547777778</v>
      </c>
      <c r="D21" s="0" t="n">
        <f aca="false">D19*D20</f>
        <v>4417.44458161866</v>
      </c>
      <c r="E21" s="0" t="n">
        <f aca="false">E19*E20</f>
        <v>3992.72400558223</v>
      </c>
      <c r="F21" s="0" t="n">
        <f aca="false">F19*F20</f>
        <v>3653.27256127297</v>
      </c>
      <c r="G21" s="0" t="n">
        <f aca="false">G19*G20</f>
        <v>3392.06514300543</v>
      </c>
      <c r="H21" s="0" t="n">
        <f aca="false">H19*H20</f>
        <v>3187.91307421344</v>
      </c>
      <c r="I21" s="0" t="n">
        <f aca="false">I19*I20</f>
        <v>2996.04793548763</v>
      </c>
      <c r="J21" s="0" t="n">
        <f aca="false">J19*J20</f>
        <v>2815.73023566661</v>
      </c>
      <c r="K21" s="0" t="n">
        <f aca="false">K19*K20</f>
        <v>2646.26499000149</v>
      </c>
      <c r="L21" s="0" t="n">
        <f aca="false">L19*L20</f>
        <v>2486.99904152918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34478.1770461554</v>
      </c>
    </row>
    <row r="31" customFormat="false" ht="15" hidden="false" customHeight="false" outlineLevel="0" collapsed="false">
      <c r="A31" s="0" t="s">
        <v>128</v>
      </c>
      <c r="B31" s="0" t="n">
        <f aca="false">L19</f>
        <v>5369.24439895081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77470.5263277188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53692.4439895081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53692.4439895081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24869.9904152918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59348.1674614472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82475.1674614472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19.6462578954564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0.143554010212831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19.6462578954564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38735.2631638594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13.927723680217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10</v>
      </c>
      <c r="D5" s="4" t="n">
        <f aca="false">Assumptions!D27</f>
        <v>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13354</v>
      </c>
      <c r="C6" s="0" t="n">
        <f aca="false">B6*(1+C5/100)</f>
        <v>14689.4</v>
      </c>
      <c r="D6" s="0" t="n">
        <f aca="false">C6*(1+D5/100)</f>
        <v>15423.87</v>
      </c>
      <c r="E6" s="0" t="n">
        <f aca="false">D6*(1+E5/100)</f>
        <v>16040.8248</v>
      </c>
      <c r="F6" s="0" t="n">
        <f aca="false">E6*(1+F5/100)</f>
        <v>16682.457792</v>
      </c>
      <c r="G6" s="0" t="n">
        <f aca="false">F6*(1+G5/100)</f>
        <v>17266.34381472</v>
      </c>
      <c r="H6" s="0" t="n">
        <f aca="false">G6*(1+H5/100)</f>
        <v>17870.6658482352</v>
      </c>
      <c r="I6" s="0" t="n">
        <f aca="false">H6*(1+I5/100)</f>
        <v>18406.7858236823</v>
      </c>
      <c r="J6" s="0" t="n">
        <f aca="false">I6*(1+J5/100)</f>
        <v>18958.9893983927</v>
      </c>
      <c r="K6" s="0" t="n">
        <f aca="false">J6*(1+K5/100)</f>
        <v>19432.9641333525</v>
      </c>
      <c r="L6" s="0" t="n">
        <f aca="false">K6*(1+L5/100)</f>
        <v>19918.7882366864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57</v>
      </c>
      <c r="D7" s="4" t="n">
        <f aca="false">Assumptions!D28</f>
        <v>57</v>
      </c>
      <c r="E7" s="4" t="n">
        <f aca="false">Assumptions!E28</f>
        <v>57</v>
      </c>
      <c r="F7" s="4" t="n">
        <f aca="false">Assumptions!F28</f>
        <v>57</v>
      </c>
      <c r="G7" s="4" t="n">
        <f aca="false">Assumptions!G28</f>
        <v>57</v>
      </c>
      <c r="H7" s="4" t="n">
        <f aca="false">Assumptions!H28</f>
        <v>57</v>
      </c>
      <c r="I7" s="4" t="n">
        <f aca="false">Assumptions!I28</f>
        <v>57</v>
      </c>
      <c r="J7" s="4" t="n">
        <f aca="false">Assumptions!J28</f>
        <v>57</v>
      </c>
      <c r="K7" s="4" t="n">
        <f aca="false">Assumptions!K28</f>
        <v>57</v>
      </c>
      <c r="L7" s="4" t="n">
        <f aca="false">Assumptions!L28</f>
        <v>57</v>
      </c>
    </row>
    <row r="8" customFormat="false" ht="15" hidden="false" customHeight="false" outlineLevel="0" collapsed="false">
      <c r="A8" s="0" t="s">
        <v>43</v>
      </c>
      <c r="C8" s="0" t="n">
        <f aca="false">C6*C7/100</f>
        <v>8372.958</v>
      </c>
      <c r="D8" s="0" t="n">
        <f aca="false">D6*D7/100</f>
        <v>8791.6059</v>
      </c>
      <c r="E8" s="0" t="n">
        <f aca="false">E6*E7/100</f>
        <v>9143.270136</v>
      </c>
      <c r="F8" s="0" t="n">
        <f aca="false">F6*F7/100</f>
        <v>9509.00094144</v>
      </c>
      <c r="G8" s="0" t="n">
        <f aca="false">G6*G7/100</f>
        <v>9841.8159743904</v>
      </c>
      <c r="H8" s="0" t="n">
        <f aca="false">H6*H7/100</f>
        <v>10186.2795334941</v>
      </c>
      <c r="I8" s="0" t="n">
        <f aca="false">I6*I7/100</f>
        <v>10491.8679194989</v>
      </c>
      <c r="J8" s="0" t="n">
        <f aca="false">J6*J7/100</f>
        <v>10806.6239570839</v>
      </c>
      <c r="K8" s="0" t="n">
        <f aca="false">K6*K7/100</f>
        <v>11076.789556011</v>
      </c>
      <c r="L8" s="0" t="n">
        <f aca="false">L6*L7/100</f>
        <v>11353.7092949112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8372.958</v>
      </c>
      <c r="D11" s="0" t="n">
        <f aca="false">D8+D10+D24</f>
        <v>8791.6059</v>
      </c>
      <c r="E11" s="0" t="n">
        <f aca="false">E8+E10+E24</f>
        <v>9143.270136</v>
      </c>
      <c r="F11" s="0" t="n">
        <f aca="false">F8+F10+F24</f>
        <v>9509.00094144</v>
      </c>
      <c r="G11" s="0" t="n">
        <f aca="false">G8+G10+G24</f>
        <v>9841.8159743904</v>
      </c>
      <c r="H11" s="0" t="n">
        <f aca="false">H8+H10+H24</f>
        <v>10186.2795334941</v>
      </c>
      <c r="I11" s="0" t="n">
        <f aca="false">I8+I10+I24</f>
        <v>10491.8679194989</v>
      </c>
      <c r="J11" s="0" t="n">
        <f aca="false">J8+J10+J24</f>
        <v>10806.6239570839</v>
      </c>
      <c r="K11" s="0" t="n">
        <f aca="false">K8+K10+K24</f>
        <v>11076.789556011</v>
      </c>
      <c r="L11" s="0" t="n">
        <f aca="false">L8+L10+L24</f>
        <v>11353.7092949112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-2497.198</v>
      </c>
      <c r="D12" s="4" t="n">
        <f aca="false">-D6*Assumptions!D31/100</f>
        <v>-2622.0579</v>
      </c>
      <c r="E12" s="4" t="n">
        <f aca="false">-E6*Assumptions!E31/100</f>
        <v>-2726.940216</v>
      </c>
      <c r="F12" s="4" t="n">
        <f aca="false">-F6*Assumptions!F31/100</f>
        <v>-2836.01782464</v>
      </c>
      <c r="G12" s="4" t="n">
        <f aca="false">-G6*Assumptions!G31/100</f>
        <v>-2935.2784485024</v>
      </c>
      <c r="H12" s="4" t="n">
        <f aca="false">-H6*Assumptions!H31/100</f>
        <v>-3038.01319419998</v>
      </c>
      <c r="I12" s="4" t="n">
        <f aca="false">-I6*Assumptions!I31/100</f>
        <v>-3129.15359002598</v>
      </c>
      <c r="J12" s="4" t="n">
        <f aca="false">-J6*Assumptions!J31/100</f>
        <v>-3223.02819772676</v>
      </c>
      <c r="K12" s="4" t="n">
        <f aca="false">-K6*Assumptions!K31/100</f>
        <v>-3303.60390266993</v>
      </c>
      <c r="L12" s="4" t="n">
        <f aca="false">-L6*Assumptions!L31/100</f>
        <v>-3386.19400023668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5875.76</v>
      </c>
      <c r="D13" s="0" t="n">
        <f aca="false">D11+D12</f>
        <v>6169.548</v>
      </c>
      <c r="E13" s="0" t="n">
        <f aca="false">E11+E12</f>
        <v>6416.32992</v>
      </c>
      <c r="F13" s="0" t="n">
        <f aca="false">F11+F12</f>
        <v>6672.9831168</v>
      </c>
      <c r="G13" s="0" t="n">
        <f aca="false">G11+G12</f>
        <v>6906.537525888</v>
      </c>
      <c r="H13" s="0" t="n">
        <f aca="false">H11+H12</f>
        <v>7148.26633929408</v>
      </c>
      <c r="I13" s="0" t="n">
        <f aca="false">I11+I12</f>
        <v>7362.71432947291</v>
      </c>
      <c r="J13" s="0" t="n">
        <f aca="false">J11+J12</f>
        <v>7583.59575935709</v>
      </c>
      <c r="K13" s="0" t="n">
        <f aca="false">K11+K12</f>
        <v>7773.18565334102</v>
      </c>
      <c r="L13" s="0" t="n">
        <f aca="false">L11+L12</f>
        <v>7967.51529467454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18</v>
      </c>
      <c r="D14" s="4" t="n">
        <f aca="false">Assumptions!D33</f>
        <v>18.5</v>
      </c>
      <c r="E14" s="4" t="n">
        <f aca="false">Assumptions!E33</f>
        <v>19</v>
      </c>
      <c r="F14" s="4" t="n">
        <f aca="false">Assumptions!F33</f>
        <v>19.5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4818.1232</v>
      </c>
      <c r="D15" s="0" t="n">
        <f aca="false">D13-MAX(0,D13)*D14/100</f>
        <v>5028.18162</v>
      </c>
      <c r="E15" s="0" t="n">
        <f aca="false">E13-MAX(0,E13)*E14/100</f>
        <v>5197.2272352</v>
      </c>
      <c r="F15" s="0" t="n">
        <f aca="false">F13-MAX(0,F13)*F14/100</f>
        <v>5371.751409024</v>
      </c>
      <c r="G15" s="0" t="n">
        <f aca="false">G13-MAX(0,G13)*G14/100</f>
        <v>5525.2300207104</v>
      </c>
      <c r="H15" s="0" t="n">
        <f aca="false">H13-MAX(0,H13)*H14/100</f>
        <v>5718.61307143527</v>
      </c>
      <c r="I15" s="0" t="n">
        <f aca="false">I13-MAX(0,I13)*I14/100</f>
        <v>5890.17146357832</v>
      </c>
      <c r="J15" s="0" t="n">
        <f aca="false">J13-MAX(0,J13)*J14/100</f>
        <v>6066.87660748567</v>
      </c>
      <c r="K15" s="0" t="n">
        <f aca="false">K13-MAX(0,K13)*K14/100</f>
        <v>6218.54852267282</v>
      </c>
      <c r="L15" s="0" t="n">
        <f aca="false">L13-MAX(0,L13)*L14/100</f>
        <v>6374.01223573964</v>
      </c>
    </row>
    <row r="16" customFormat="false" ht="15" hidden="false" customHeight="false" outlineLevel="0" collapsed="false">
      <c r="A16" s="0" t="s">
        <v>119</v>
      </c>
      <c r="C16" s="0" t="n">
        <f aca="false">-C12</f>
        <v>2497.198</v>
      </c>
      <c r="D16" s="0" t="n">
        <f aca="false">-D12</f>
        <v>2622.0579</v>
      </c>
      <c r="E16" s="0" t="n">
        <f aca="false">-E12</f>
        <v>2726.940216</v>
      </c>
      <c r="F16" s="0" t="n">
        <f aca="false">-F12</f>
        <v>2836.01782464</v>
      </c>
      <c r="G16" s="0" t="n">
        <f aca="false">-G12</f>
        <v>2935.2784485024</v>
      </c>
      <c r="H16" s="0" t="n">
        <f aca="false">-H12</f>
        <v>3038.01319419998</v>
      </c>
      <c r="I16" s="0" t="n">
        <f aca="false">-I12</f>
        <v>3129.15359002598</v>
      </c>
      <c r="J16" s="0" t="n">
        <f aca="false">-J12</f>
        <v>3223.02819772676</v>
      </c>
      <c r="K16" s="0" t="n">
        <f aca="false">-K12</f>
        <v>3303.60390266993</v>
      </c>
      <c r="L16" s="0" t="n">
        <f aca="false">-L12</f>
        <v>3386.19400023668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-1468.94</v>
      </c>
      <c r="D17" s="4" t="n">
        <f aca="false">-D6*Assumptions!D32/100</f>
        <v>-1542.387</v>
      </c>
      <c r="E17" s="4" t="n">
        <f aca="false">-E6*Assumptions!E32/100</f>
        <v>-1604.08248</v>
      </c>
      <c r="F17" s="4" t="n">
        <f aca="false">-F6*Assumptions!F32/100</f>
        <v>-1668.2457792</v>
      </c>
      <c r="G17" s="4" t="n">
        <f aca="false">-G6*Assumptions!G32/100</f>
        <v>-1726.634381472</v>
      </c>
      <c r="H17" s="4" t="n">
        <f aca="false">-H6*Assumptions!H32/100</f>
        <v>-1787.06658482352</v>
      </c>
      <c r="I17" s="4" t="n">
        <f aca="false">-I6*Assumptions!I32/100</f>
        <v>-1840.67858236823</v>
      </c>
      <c r="J17" s="4" t="n">
        <f aca="false">-J6*Assumptions!J32/100</f>
        <v>-1895.89893983927</v>
      </c>
      <c r="K17" s="4" t="n">
        <f aca="false">-K6*Assumptions!K32/100</f>
        <v>-1943.29641333525</v>
      </c>
      <c r="L17" s="4" t="n">
        <f aca="false">-L6*Assumptions!L32/100</f>
        <v>-1991.87882366864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-66.7700000000001</v>
      </c>
      <c r="D18" s="4" t="n">
        <f aca="false">(D6-C6)*Assumptions!$B$37/100</f>
        <v>-36.7235000000001</v>
      </c>
      <c r="E18" s="4" t="n">
        <f aca="false">(E6-D6)*Assumptions!$B$37/100</f>
        <v>-30.8477400000001</v>
      </c>
      <c r="F18" s="4" t="n">
        <f aca="false">(F6-E6)*Assumptions!$B$37/100</f>
        <v>-32.0816496</v>
      </c>
      <c r="G18" s="4" t="n">
        <f aca="false">(G6-F6)*Assumptions!$B$37/100</f>
        <v>-29.1943011359999</v>
      </c>
      <c r="H18" s="4" t="n">
        <f aca="false">(H6-G6)*Assumptions!$B$37/100</f>
        <v>-30.21610167576</v>
      </c>
      <c r="I18" s="4" t="n">
        <f aca="false">(I6-H6)*Assumptions!$B$37/100</f>
        <v>-26.8059987723529</v>
      </c>
      <c r="J18" s="4" t="n">
        <f aca="false">(J6-I6)*Assumptions!$B$37/100</f>
        <v>-27.6101787355234</v>
      </c>
      <c r="K18" s="4" t="n">
        <f aca="false">(K6-J6)*Assumptions!$B$37/100</f>
        <v>-23.6987367479909</v>
      </c>
      <c r="L18" s="4" t="n">
        <f aca="false">(L6-K6)*Assumptions!$B$37/100</f>
        <v>-24.2912051666906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5779.6112</v>
      </c>
      <c r="D19" s="0" t="n">
        <f aca="false">D15+D16+D17+D18</f>
        <v>6071.12902</v>
      </c>
      <c r="E19" s="0" t="n">
        <f aca="false">E15+E16+E17+E18</f>
        <v>6289.2372312</v>
      </c>
      <c r="F19" s="0" t="n">
        <f aca="false">F15+F16+F17+F18</f>
        <v>6507.441804864</v>
      </c>
      <c r="G19" s="0" t="n">
        <f aca="false">G15+G16+G17+G18</f>
        <v>6704.6797866048</v>
      </c>
      <c r="H19" s="0" t="n">
        <f aca="false">H15+H16+H17+H18</f>
        <v>6939.34357913597</v>
      </c>
      <c r="I19" s="0" t="n">
        <f aca="false">I15+I16+I17+I18</f>
        <v>7151.84047246373</v>
      </c>
      <c r="J19" s="0" t="n">
        <f aca="false">J15+J16+J17+J18</f>
        <v>7366.39568663764</v>
      </c>
      <c r="K19" s="0" t="n">
        <f aca="false">K15+K16+K17+K18</f>
        <v>7555.1572752595</v>
      </c>
      <c r="L19" s="0" t="n">
        <f aca="false">L15+L16+L17+L18</f>
        <v>7744.03620714099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5351.49185185185</v>
      </c>
      <c r="D21" s="0" t="n">
        <f aca="false">D19*D20</f>
        <v>5205.01459190672</v>
      </c>
      <c r="E21" s="0" t="n">
        <f aca="false">E19*E20</f>
        <v>4992.59928555098</v>
      </c>
      <c r="F21" s="0" t="n">
        <f aca="false">F19*F20</f>
        <v>4783.16399191067</v>
      </c>
      <c r="G21" s="0" t="n">
        <f aca="false">G19*G20</f>
        <v>4563.09240425508</v>
      </c>
      <c r="H21" s="0" t="n">
        <f aca="false">H19*H20</f>
        <v>4372.96355407778</v>
      </c>
      <c r="I21" s="0" t="n">
        <f aca="false">I19*I20</f>
        <v>4173.03022412959</v>
      </c>
      <c r="J21" s="0" t="n">
        <f aca="false">J19*J20</f>
        <v>3979.83438041988</v>
      </c>
      <c r="K21" s="0" t="n">
        <f aca="false">K19*K20</f>
        <v>3779.45962346429</v>
      </c>
      <c r="L21" s="0" t="n">
        <f aca="false">L19*L20</f>
        <v>3586.98714263972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44787.6370502066</v>
      </c>
    </row>
    <row r="31" customFormat="false" ht="15" hidden="false" customHeight="false" outlineLevel="0" collapsed="false">
      <c r="A31" s="0" t="s">
        <v>128</v>
      </c>
      <c r="B31" s="0" t="n">
        <f aca="false">L19</f>
        <v>7744.03620714099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131648.615521397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92928.4344856919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92928.4344856919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43043.8457116767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87831.4827618832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110958.482761883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26.431216026903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0.538487545221365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26.431216026903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60760.8994714139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16.9391134905353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12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13354</v>
      </c>
      <c r="C6" s="0" t="n">
        <f aca="false">B6*(1+C5/100)</f>
        <v>14956.48</v>
      </c>
      <c r="D6" s="0" t="n">
        <f aca="false">C6*(1+D5/100)</f>
        <v>16003.4336</v>
      </c>
      <c r="E6" s="0" t="n">
        <f aca="false">D6*(1+E5/100)</f>
        <v>16963.639616</v>
      </c>
      <c r="F6" s="0" t="n">
        <f aca="false">E6*(1+F5/100)</f>
        <v>17896.63979488</v>
      </c>
      <c r="G6" s="0" t="n">
        <f aca="false">F6*(1+G5/100)</f>
        <v>18791.471784624</v>
      </c>
      <c r="H6" s="0" t="n">
        <f aca="false">G6*(1+H5/100)</f>
        <v>19637.0880149321</v>
      </c>
      <c r="I6" s="0" t="n">
        <f aca="false">H6*(1+I5/100)</f>
        <v>20422.5715355294</v>
      </c>
      <c r="J6" s="0" t="n">
        <f aca="false">I6*(1+J5/100)</f>
        <v>21137.3615392729</v>
      </c>
      <c r="K6" s="0" t="n">
        <f aca="false">J6*(1+K5/100)</f>
        <v>21771.4823854511</v>
      </c>
      <c r="L6" s="0" t="n">
        <f aca="false">K6*(1+L5/100)</f>
        <v>22424.6268570146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58</v>
      </c>
      <c r="D7" s="4" t="n">
        <f aca="false">Assumptions!D42</f>
        <v>58.5</v>
      </c>
      <c r="E7" s="4" t="n">
        <f aca="false">Assumptions!E42</f>
        <v>59</v>
      </c>
      <c r="F7" s="4" t="n">
        <f aca="false">Assumptions!F42</f>
        <v>59.5</v>
      </c>
      <c r="G7" s="4" t="n">
        <f aca="false">Assumptions!G42</f>
        <v>60</v>
      </c>
      <c r="H7" s="4" t="n">
        <f aca="false">Assumptions!H42</f>
        <v>60</v>
      </c>
      <c r="I7" s="4" t="n">
        <f aca="false">Assumptions!I42</f>
        <v>60</v>
      </c>
      <c r="J7" s="4" t="n">
        <f aca="false">Assumptions!J42</f>
        <v>60</v>
      </c>
      <c r="K7" s="4" t="n">
        <f aca="false">Assumptions!K42</f>
        <v>60</v>
      </c>
      <c r="L7" s="4" t="n">
        <f aca="false">Assumptions!L42</f>
        <v>60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8674.7584</v>
      </c>
      <c r="D8" s="0" t="n">
        <f aca="false">D6*D7/100</f>
        <v>9362.008656</v>
      </c>
      <c r="E8" s="0" t="n">
        <f aca="false">E6*E7/100</f>
        <v>10008.54737344</v>
      </c>
      <c r="F8" s="0" t="n">
        <f aca="false">F6*F7/100</f>
        <v>10648.5006779536</v>
      </c>
      <c r="G8" s="0" t="n">
        <f aca="false">G6*G7/100</f>
        <v>11274.8830707744</v>
      </c>
      <c r="H8" s="0" t="n">
        <f aca="false">H6*H7/100</f>
        <v>11782.2528089593</v>
      </c>
      <c r="I8" s="0" t="n">
        <f aca="false">I6*I7/100</f>
        <v>12253.5429213176</v>
      </c>
      <c r="J8" s="0" t="n">
        <f aca="false">J6*J7/100</f>
        <v>12682.4169235637</v>
      </c>
      <c r="K8" s="0" t="n">
        <f aca="false">K6*K7/100</f>
        <v>13062.8894312706</v>
      </c>
      <c r="L8" s="0" t="n">
        <f aca="false">L6*L7/100</f>
        <v>13454.7761142088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8674.7584</v>
      </c>
      <c r="D11" s="0" t="n">
        <f aca="false">D8+D10+D24</f>
        <v>9362.008656</v>
      </c>
      <c r="E11" s="0" t="n">
        <f aca="false">E8+E10+E24</f>
        <v>10008.54737344</v>
      </c>
      <c r="F11" s="0" t="n">
        <f aca="false">F8+F10+F24</f>
        <v>10648.5006779536</v>
      </c>
      <c r="G11" s="0" t="n">
        <f aca="false">G8+G10+G24</f>
        <v>11274.8830707744</v>
      </c>
      <c r="H11" s="0" t="n">
        <f aca="false">H8+H10+H24</f>
        <v>11782.2528089593</v>
      </c>
      <c r="I11" s="0" t="n">
        <f aca="false">I8+I10+I24</f>
        <v>12253.5429213176</v>
      </c>
      <c r="J11" s="0" t="n">
        <f aca="false">J8+J10+J24</f>
        <v>12682.4169235637</v>
      </c>
      <c r="K11" s="0" t="n">
        <f aca="false">K8+K10+K24</f>
        <v>13062.8894312706</v>
      </c>
      <c r="L11" s="0" t="n">
        <f aca="false">L8+L10+L24</f>
        <v>13454.7761142088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-2542.6016</v>
      </c>
      <c r="D12" s="4" t="n">
        <f aca="false">-D6*Assumptions!D45/100</f>
        <v>-2720.583712</v>
      </c>
      <c r="E12" s="4" t="n">
        <f aca="false">-E6*Assumptions!E45/100</f>
        <v>-2883.81873472</v>
      </c>
      <c r="F12" s="4" t="n">
        <f aca="false">-F6*Assumptions!F45/100</f>
        <v>-3042.4287651296</v>
      </c>
      <c r="G12" s="4" t="n">
        <f aca="false">-G6*Assumptions!G45/100</f>
        <v>-3194.55020338608</v>
      </c>
      <c r="H12" s="4" t="n">
        <f aca="false">-H6*Assumptions!H45/100</f>
        <v>-3338.30496253845</v>
      </c>
      <c r="I12" s="4" t="n">
        <f aca="false">-I6*Assumptions!I45/100</f>
        <v>-3471.83716103999</v>
      </c>
      <c r="J12" s="4" t="n">
        <f aca="false">-J6*Assumptions!J45/100</f>
        <v>-3593.35146167639</v>
      </c>
      <c r="K12" s="4" t="n">
        <f aca="false">-K6*Assumptions!K45/100</f>
        <v>-3701.15200552668</v>
      </c>
      <c r="L12" s="4" t="n">
        <f aca="false">-L6*Assumptions!L45/100</f>
        <v>-3812.18656569248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6132.1568</v>
      </c>
      <c r="D13" s="0" t="n">
        <f aca="false">D11+D12</f>
        <v>6641.424944</v>
      </c>
      <c r="E13" s="0" t="n">
        <f aca="false">E11+E12</f>
        <v>7124.72863872</v>
      </c>
      <c r="F13" s="0" t="n">
        <f aca="false">F11+F12</f>
        <v>7606.071912824</v>
      </c>
      <c r="G13" s="0" t="n">
        <f aca="false">G11+G12</f>
        <v>8080.33286738832</v>
      </c>
      <c r="H13" s="0" t="n">
        <f aca="false">H11+H12</f>
        <v>8443.9478464208</v>
      </c>
      <c r="I13" s="0" t="n">
        <f aca="false">I11+I12</f>
        <v>8781.70576027763</v>
      </c>
      <c r="J13" s="0" t="n">
        <f aca="false">J11+J12</f>
        <v>9089.06546188735</v>
      </c>
      <c r="K13" s="0" t="n">
        <f aca="false">K11+K12</f>
        <v>9361.73742574396</v>
      </c>
      <c r="L13" s="0" t="n">
        <f aca="false">L11+L12</f>
        <v>9642.58954851628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5028.368576</v>
      </c>
      <c r="D15" s="0" t="n">
        <f aca="false">D13-MAX(0,D13)*D14/100</f>
        <v>5445.96845408</v>
      </c>
      <c r="E15" s="0" t="n">
        <f aca="false">E13-MAX(0,E13)*E14/100</f>
        <v>5842.2774837504</v>
      </c>
      <c r="F15" s="0" t="n">
        <f aca="false">F13-MAX(0,F13)*F14/100</f>
        <v>6236.97896851568</v>
      </c>
      <c r="G15" s="0" t="n">
        <f aca="false">G13-MAX(0,G13)*G14/100</f>
        <v>6625.87295125842</v>
      </c>
      <c r="H15" s="0" t="n">
        <f aca="false">H13-MAX(0,H13)*H14/100</f>
        <v>6924.03723406505</v>
      </c>
      <c r="I15" s="0" t="n">
        <f aca="false">I13-MAX(0,I13)*I14/100</f>
        <v>7200.99872342765</v>
      </c>
      <c r="J15" s="0" t="n">
        <f aca="false">J13-MAX(0,J13)*J14/100</f>
        <v>7453.03367874762</v>
      </c>
      <c r="K15" s="0" t="n">
        <f aca="false">K13-MAX(0,K13)*K14/100</f>
        <v>7676.62468911005</v>
      </c>
      <c r="L15" s="0" t="n">
        <f aca="false">L13-MAX(0,L13)*L14/100</f>
        <v>7906.92342978335</v>
      </c>
    </row>
    <row r="16" customFormat="false" ht="15" hidden="false" customHeight="false" outlineLevel="0" collapsed="false">
      <c r="A16" s="0" t="s">
        <v>119</v>
      </c>
      <c r="C16" s="0" t="n">
        <f aca="false">-C12</f>
        <v>2542.6016</v>
      </c>
      <c r="D16" s="0" t="n">
        <f aca="false">-D12</f>
        <v>2720.583712</v>
      </c>
      <c r="E16" s="0" t="n">
        <f aca="false">-E12</f>
        <v>2883.81873472</v>
      </c>
      <c r="F16" s="0" t="n">
        <f aca="false">-F12</f>
        <v>3042.4287651296</v>
      </c>
      <c r="G16" s="0" t="n">
        <f aca="false">-G12</f>
        <v>3194.55020338608</v>
      </c>
      <c r="H16" s="0" t="n">
        <f aca="false">-H12</f>
        <v>3338.30496253845</v>
      </c>
      <c r="I16" s="0" t="n">
        <f aca="false">-I12</f>
        <v>3471.83716103999</v>
      </c>
      <c r="J16" s="0" t="n">
        <f aca="false">-J12</f>
        <v>3593.35146167639</v>
      </c>
      <c r="K16" s="0" t="n">
        <f aca="false">-K12</f>
        <v>3701.15200552668</v>
      </c>
      <c r="L16" s="0" t="n">
        <f aca="false">-L12</f>
        <v>3812.18656569248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-1495.648</v>
      </c>
      <c r="D17" s="4" t="n">
        <f aca="false">-D6*Assumptions!D46/100</f>
        <v>-1600.34336</v>
      </c>
      <c r="E17" s="4" t="n">
        <f aca="false">-E6*Assumptions!E46/100</f>
        <v>-1611.54576352</v>
      </c>
      <c r="F17" s="4" t="n">
        <f aca="false">-F6*Assumptions!F46/100</f>
        <v>-1700.1807805136</v>
      </c>
      <c r="G17" s="4" t="n">
        <f aca="false">-G6*Assumptions!G46/100</f>
        <v>-1785.18981953928</v>
      </c>
      <c r="H17" s="4" t="n">
        <f aca="false">-H6*Assumptions!H46/100</f>
        <v>-1865.52336141855</v>
      </c>
      <c r="I17" s="4" t="n">
        <f aca="false">-I6*Assumptions!I46/100</f>
        <v>-1940.14429587529</v>
      </c>
      <c r="J17" s="4" t="n">
        <f aca="false">-J6*Assumptions!J46/100</f>
        <v>-2008.04934623093</v>
      </c>
      <c r="K17" s="4" t="n">
        <f aca="false">-K6*Assumptions!K46/100</f>
        <v>-2068.29082661785</v>
      </c>
      <c r="L17" s="4" t="n">
        <f aca="false">-L6*Assumptions!L46/100</f>
        <v>-2130.33955141639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-80.1240000000001</v>
      </c>
      <c r="D18" s="4" t="n">
        <f aca="false">(D6-C6)*Assumptions!$B$51/100</f>
        <v>-52.34768</v>
      </c>
      <c r="E18" s="4" t="n">
        <f aca="false">(E6-D6)*Assumptions!$B$51/100</f>
        <v>-48.0103008000001</v>
      </c>
      <c r="F18" s="4" t="n">
        <f aca="false">(F6-E6)*Assumptions!$B$51/100</f>
        <v>-46.650008944</v>
      </c>
      <c r="G18" s="4" t="n">
        <f aca="false">(G6-F6)*Assumptions!$B$51/100</f>
        <v>-44.7415994872001</v>
      </c>
      <c r="H18" s="4" t="n">
        <f aca="false">(H6-G6)*Assumptions!$B$51/100</f>
        <v>-42.2808115154039</v>
      </c>
      <c r="I18" s="4" t="n">
        <f aca="false">(I6-H6)*Assumptions!$B$51/100</f>
        <v>-39.2741760298643</v>
      </c>
      <c r="J18" s="4" t="n">
        <f aca="false">(J6-I6)*Assumptions!$B$51/100</f>
        <v>-35.7395001871762</v>
      </c>
      <c r="K18" s="4" t="n">
        <f aca="false">(K6-J6)*Assumptions!$B$51/100</f>
        <v>-31.7060423089093</v>
      </c>
      <c r="L18" s="4" t="n">
        <f aca="false">(L6-K6)*Assumptions!$B$51/100</f>
        <v>-32.6572235781767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5995.198176</v>
      </c>
      <c r="D19" s="0" t="n">
        <f aca="false">D15+D16+D17+D18</f>
        <v>6513.86112608</v>
      </c>
      <c r="E19" s="0" t="n">
        <f aca="false">E15+E16+E17+E18</f>
        <v>7066.5401541504</v>
      </c>
      <c r="F19" s="0" t="n">
        <f aca="false">F15+F16+F17+F18</f>
        <v>7532.57694418768</v>
      </c>
      <c r="G19" s="0" t="n">
        <f aca="false">G15+G16+G17+G18</f>
        <v>7990.49173561802</v>
      </c>
      <c r="H19" s="0" t="n">
        <f aca="false">H15+H16+H17+H18</f>
        <v>8354.53802366956</v>
      </c>
      <c r="I19" s="0" t="n">
        <f aca="false">I15+I16+I17+I18</f>
        <v>8693.41741256249</v>
      </c>
      <c r="J19" s="0" t="n">
        <f aca="false">J15+J16+J17+J18</f>
        <v>9002.59629400591</v>
      </c>
      <c r="K19" s="0" t="n">
        <f aca="false">K15+K16+K17+K18</f>
        <v>9277.77982570997</v>
      </c>
      <c r="L19" s="0" t="n">
        <f aca="false">L15+L16+L17+L18</f>
        <v>9556.11322048127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5551.10942222222</v>
      </c>
      <c r="D21" s="0" t="n">
        <f aca="false">D19*D20</f>
        <v>5584.58601344307</v>
      </c>
      <c r="E21" s="0" t="n">
        <f aca="false">E19*E20</f>
        <v>5609.64740682823</v>
      </c>
      <c r="F21" s="0" t="n">
        <f aca="false">F19*F20</f>
        <v>5536.66892246423</v>
      </c>
      <c r="G21" s="0" t="n">
        <f aca="false">G19*G20</f>
        <v>5438.1944112987</v>
      </c>
      <c r="H21" s="0" t="n">
        <f aca="false">H19*H20</f>
        <v>5264.77610915655</v>
      </c>
      <c r="I21" s="0" t="n">
        <f aca="false">I19*I20</f>
        <v>5072.5255622348</v>
      </c>
      <c r="J21" s="0" t="n">
        <f aca="false">J19*J20</f>
        <v>4863.8226573842</v>
      </c>
      <c r="K21" s="0" t="n">
        <f aca="false">K19*K20</f>
        <v>4641.1997750845</v>
      </c>
      <c r="L21" s="0" t="n">
        <f aca="false">L19*L20</f>
        <v>4426.32941512689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51988.8596952434</v>
      </c>
    </row>
    <row r="31" customFormat="false" ht="15" hidden="false" customHeight="false" outlineLevel="0" collapsed="false">
      <c r="A31" s="0" t="s">
        <v>128</v>
      </c>
      <c r="B31" s="0" t="n">
        <f aca="false">L19</f>
        <v>9556.11322048127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178091.200927151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124229.471866257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124229.471866257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57542.2823966495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109531.142091893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132658.142091893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31.6002519508398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0.839362744519195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31.6002519508398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78360.1284079464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19.1479750236713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19.6462578954564</v>
      </c>
      <c r="C4" s="0" t="n">
        <f aca="false">B4/Assumptions!$B$2-1</f>
        <v>0.143554010212831</v>
      </c>
      <c r="D4" s="4" t="n">
        <f aca="false">Assumptions!$B$24</f>
        <v>0.25</v>
      </c>
      <c r="E4" s="4" t="n">
        <f aca="false">DCF_Bear!$B$43</f>
        <v>19.6462578954564</v>
      </c>
      <c r="F4" s="4" t="n">
        <f aca="false">DCF_Bear!$B$47</f>
        <v>13.927723680217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26.431216026903</v>
      </c>
      <c r="C5" s="0" t="n">
        <f aca="false">B5/Assumptions!$B$2-1</f>
        <v>0.538487545221365</v>
      </c>
      <c r="D5" s="4" t="n">
        <f aca="false">Assumptions!$B$38</f>
        <v>0.5</v>
      </c>
      <c r="E5" s="4" t="n">
        <f aca="false">DCF_Base!$B$43</f>
        <v>26.431216026903</v>
      </c>
      <c r="F5" s="4" t="n">
        <f aca="false">DCF_Base!$B$47</f>
        <v>16.9391134905353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31.6002519508398</v>
      </c>
      <c r="C6" s="0" t="n">
        <f aca="false">B6/Assumptions!$B$2-1</f>
        <v>0.839362744519195</v>
      </c>
      <c r="D6" s="4" t="n">
        <f aca="false">Assumptions!$B$52</f>
        <v>0.25</v>
      </c>
      <c r="E6" s="4" t="n">
        <f aca="false">DCF_Bull!$B$43</f>
        <v>31.6002519508398</v>
      </c>
      <c r="F6" s="4" t="n">
        <f aca="false">DCF_Bull!$B$47</f>
        <v>19.1479750236713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26.0272354750256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26.0272354750256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0.339922212772653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16.7384814212397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26.431216026903</v>
      </c>
      <c r="C15" s="3" t="n">
        <v>8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25.0390366351002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23.7667192189634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22.1694015247128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20.4668494066018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16.9391134905353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29.6295036563292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29.6295036563292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29.6295036563292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29.6295036563292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29.6295036563292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27.9564370181059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27.9564370181059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27.9564370181059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27.9564370181059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27.9564370181059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26.431216026903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26.431216026903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26.431216026903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26.431216026903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26.431216026903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25.0390366351002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25.0390366351002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25.0390366351002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25.0390366351002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25.0390366351002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23.2135567727409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23.7248834037029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23.7667192189634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23.7667192189634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23.7667192189634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2026-10-10T21:11:31Z</dcterms:created>
  <dc:creator>openpyxl</dc:creator>
  <dc:description/>
  <dc:language>en-NZ</dc:language>
  <cp:lastModifiedBy/>
  <dcterms:modified xsi:type="dcterms:W3CDTF">2026-10-10T21:11:31Z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