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  <color rgb="00666666"/>
      <sz val="10"/>
    </font>
    <font/>
    <font>
      <color rgb="000061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164" fontId="0" fillId="4" borderId="0" pivotButton="0" quotePrefix="0" xfId="0"/>
    <xf numFmtId="10" fontId="0" fillId="4" borderId="0" pivotButton="0" quotePrefix="0" xfId="0"/>
    <xf numFmtId="9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5" fillId="0" borderId="0" pivotButton="0" quotePrefix="0" xfId="0"/>
    <xf numFmtId="165" fontId="2" fillId="5" borderId="0" pivotButton="0" quotePrefix="0" xfId="0"/>
    <xf numFmtId="165" fontId="0" fillId="0" borderId="0" pivotButton="0" quotePrefix="0" xfId="0"/>
    <xf numFmtId="165" fontId="6" fillId="0" borderId="0" pivotButton="0" quotePrefix="0" xfId="0"/>
    <xf numFmtId="9" fontId="0" fillId="0" borderId="0" pivotButton="0" quotePrefix="0" xfId="0"/>
    <xf numFmtId="165" fontId="2" fillId="0" borderId="0" pivotButton="0" quotePrefix="0" xfId="0"/>
    <xf numFmtId="164" fontId="2" fillId="0" borderId="0" pivotButton="0" quotePrefix="0" xfId="0"/>
    <xf numFmtId="165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MOVe Logistics Group (MOV.NZ) -- DCF Model</t>
        </is>
      </c>
    </row>
    <row r="3" ht="30" customHeight="1">
      <c r="A3" s="2" t="inlineStr">
        <is>
          <t>Version</t>
        </is>
      </c>
      <c r="B3" s="3" t="inlineStr">
        <is>
          <t>1.0 -- fresh build (no prior MOV.NZ_DCF.json existed).</t>
        </is>
      </c>
    </row>
    <row r="4" ht="30" customHeight="1">
      <c r="A4" s="2" t="inlineStr">
        <is>
          <t>Built by</t>
        </is>
      </c>
      <c r="B4" s="3" t="inlineStr">
        <is>
          <t>dcf-analyst agent (Claude, Sonnet 5), 2026-08-20, at the user's request.</t>
        </is>
      </c>
    </row>
    <row r="5" ht="30" customHeight="1">
      <c r="A5" s="2" t="inlineStr">
        <is>
          <t>Methodology</t>
        </is>
      </c>
      <c r="B5" s="3" t="inlineStr">
        <is>
          <t>Owner-FCF DCF, .claude/skills/dcf-methods/references/owner-fcf.md, plus section 7 non-US/cyclical adaptations (currency, leases, SBC-zero market).</t>
        </is>
      </c>
    </row>
    <row r="6" ht="30" customHeight="1">
      <c r="A6" s="2" t="inlineStr">
        <is>
          <t>Model routing</t>
        </is>
      </c>
      <c r="B6" s="3" t="inlineStr">
        <is>
          <t>Operating company (NZ domestic freight/logistics) -- not a bank/REIT/LIC/holdco -- routes to Owner-FCF DCF per SKILL.md. No prior MEMORY.md entry for MOV.NZ existed to constrain the choice.</t>
        </is>
      </c>
    </row>
    <row r="7" ht="30" customHeight="1">
      <c r="A7" s="2" t="inlineStr">
        <is>
          <t>Price data vintage</t>
        </is>
      </c>
      <c r="B7" s="3" t="inlineStr">
        <is>
          <t>NZD 0.205, Yahoo Finance regularMarketTime 2026-08-20T03:42:36Z (regular NZX session, not after-hours).</t>
        </is>
      </c>
    </row>
    <row r="8" ht="30" customHeight="1">
      <c r="A8" s="2" t="inlineStr">
        <is>
          <t>Balance sheet vintage</t>
        </is>
      </c>
      <c r="B8" s="3" t="inlineStr">
        <is>
          <t>31-Dec-2025 (H1-2026 interim report) -- net debt (bank borrowings $21.418m less cash $8.14m) and share count refreshed to this date, NOT the older 30-Jun-2025 annual balance sheet.</t>
        </is>
      </c>
    </row>
    <row r="9" ht="30" customHeight="1">
      <c r="A9" s="2" t="inlineStr">
        <is>
          <t>Share count</t>
        </is>
      </c>
      <c r="B9" s="3" t="inlineStr">
        <is>
          <t>127,614,019 fully diluted weighted-average shares, unchanged since FY2023. Dilutive LTI awards currently anti-dilutive given losses -- excluded. Held FLAT across all 10 projection years (annual_share_growth_pct = 0%).</t>
        </is>
      </c>
    </row>
    <row r="10" ht="30" customHeight="1">
      <c r="A10" s="2" t="inlineStr">
        <is>
          <t>Guidance basis</t>
        </is>
      </c>
      <c r="B10" s="3" t="inlineStr">
        <is>
          <t>FY2026 guidance per H1-2026 results (26-Feb-2026) and 24-Jul-2026 pre-results trading update: positive full-year Normalised EBT achieved; positive free cash flow restored; net debt reduced. FY26 audited results due 25-Aug-2026 (after this valuation date) -- REFRESH after that print.</t>
        </is>
      </c>
    </row>
    <row r="11" ht="30" customHeight="1">
      <c r="A11" s="2" t="inlineStr">
        <is>
          <t>Lease treatment</t>
        </is>
      </c>
      <c r="B11" s="3" t="inlineStr">
        <is>
          <t>Section 7(b) treatment (B): 'leases as operating cost'. Lease principal repayments (IFRS 16, sit in financing per the cash flow statement) are DEDUCTED from owner FCF as a capex-like fleet-renewal cost -- consistent with MOV's largely-leased truck fleet and near-zero PPE capex ($0.186m FY2025). Lease liabilities ($146.98m at H1-2026) are EXCLUDED from net_debt, which is bank borrowings only ($21.418m).</t>
        </is>
      </c>
    </row>
    <row r="12" ht="30" customHeight="1">
      <c r="A12" s="2" t="inlineStr">
        <is>
          <t>SBC treatment</t>
        </is>
      </c>
      <c r="B12" s="3" t="inlineStr">
        <is>
          <t>SBC is genuinely immaterial ($47k FY2025, $0 FY2024) -- SBC-zero market per section 7(e). Kept as an explicit 0% row rather than deleted. House and street bases coincide; band_position is null, not a degenerate 0%.</t>
        </is>
      </c>
    </row>
    <row r="13" ht="30" customHeight="1">
      <c r="A13" s="2" t="inlineStr">
        <is>
          <t>WACC</t>
        </is>
      </c>
      <c r="B13" s="3" t="inlineStr">
        <is>
          <t>Single 16.5% WACC used across ALL THREE scenarios (bear/base/bull) per section 7(f) 'charge risk once' -- cyclicality, customer concentration and going-concern risk are priced in the scenario flows and the probability weights (30% bear), not doubled into a per-scenario discount rate.</t>
        </is>
      </c>
    </row>
    <row r="14" ht="30" customHeight="1">
      <c r="A14" s="2" t="inlineStr">
        <is>
          <t>Terminal value</t>
        </is>
      </c>
      <c r="B14" s="3" t="inlineStr">
        <is>
          <t>max(0, min(Gordon, cap multiple x Year-10 FCF)). Base case: Gordon bound (7.03x implied exit multiple, below the 8x cap). Bear case: cap bound (6.0x) since terminal-year FCF is small and positive.</t>
        </is>
      </c>
    </row>
    <row r="15" ht="30" customHeight="1">
      <c r="A15" s="2" t="inlineStr">
        <is>
          <t>Horizon</t>
        </is>
      </c>
      <c r="B15" s="3" t="inlineStr">
        <is>
          <t>10 years -- required because owner-FCF margin is still ramping through Year 10 in all three scenarios (base matures toward ~6.2% only by Y10); a 5-year horizon would capitalise an immature margin.</t>
        </is>
      </c>
    </row>
    <row r="16" ht="30" customHeight="1">
      <c r="A16" s="2" t="inlineStr">
        <is>
          <t>Historical growth NOT used</t>
        </is>
      </c>
      <c r="B16" s="3" t="inlineStr">
        <is>
          <t>All historical revenue/equity/EPS/FCF CAGRs are negative (business in structural decline through the distress period FY2022-25). Forward drivers are instead built bottom-up from FY2026 guidance and the H1-2026 print -- see historical_growth.growth_rate_source in the JSON.</t>
        </is>
      </c>
    </row>
    <row r="17" ht="30" customHeight="1">
      <c r="A17" s="2" t="inlineStr">
        <is>
          <t>Whose judgment</t>
        </is>
      </c>
      <c r="B17" s="3" t="inlineStr">
        <is>
          <t>All scenario driver paths (growth, margin, WACC, terminal growth/cap, probability weights) are this agent's judgment, set 2026-08-20, informed by the FY2025 Annual Report, H1-2026 interim report and MOV.NZ_Analysis.json. No prior human override exists for this ticker.</t>
        </is>
      </c>
    </row>
    <row r="18" ht="30" customHeight="1">
      <c r="A18" s="2" t="inlineStr">
        <is>
          <t>What to refresh next</t>
        </is>
      </c>
      <c r="B18" s="3" t="inlineStr">
        <is>
          <t>FY2026 audited results (due 25-Aug-2026, five days after this valuation) will crystallise the actual FY26 NEBT/FCF magnitude that Y1 of this model currently estimates from partial-year guidance -- refresh Y1-Y2 drivers against the audited figures as soon as available. Also refresh price, net debt and share count to the FY2026 annual balance sheet.</t>
        </is>
      </c>
    </row>
    <row r="19" ht="30" customHeight="1">
      <c r="A19" s="2" t="inlineStr">
        <is>
          <t>Cell colour legend</t>
        </is>
      </c>
      <c r="B19" s="3" t="inlineStr">
        <is>
          <t>Blue fill = hardcoded input. Yellow fill = key lever (driver row). Black text, no fill = formula. Green font = cross-sheet link.</t>
        </is>
      </c>
    </row>
    <row r="20" ht="30" customHeight="1">
      <c r="A20" s="2" t="inlineStr">
        <is>
          <t>Staleness warning</t>
        </is>
      </c>
      <c r="B20" s="3" t="inlineStr">
        <is>
          <t>All figures in this workbook go stale. Do not treat the intrinsic values as current without checking price_as_of and balance_sheet_date above against today's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MOV.NZ -- Reported History (NZD millions, unless noted)</t>
        </is>
      </c>
    </row>
    <row r="3">
      <c r="A3" s="4" t="inlineStr">
        <is>
          <t>Metric</t>
        </is>
      </c>
      <c r="B3" s="4" t="inlineStr">
        <is>
          <t>FY2019</t>
        </is>
      </c>
      <c r="C3" s="4" t="inlineStr">
        <is>
          <t>FY2020</t>
        </is>
      </c>
      <c r="D3" s="4" t="inlineStr">
        <is>
          <t>FY2021</t>
        </is>
      </c>
      <c r="E3" s="4" t="inlineStr">
        <is>
          <t>FY2022</t>
        </is>
      </c>
      <c r="F3" s="4" t="inlineStr">
        <is>
          <t>FY2023</t>
        </is>
      </c>
      <c r="G3" s="4" t="inlineStr">
        <is>
          <t>FY2024</t>
        </is>
      </c>
      <c r="H3" s="4" t="inlineStr">
        <is>
          <t>FY2025</t>
        </is>
      </c>
      <c r="I3" s="4" t="inlineStr">
        <is>
          <t>H1-2026</t>
        </is>
      </c>
    </row>
    <row r="4">
      <c r="A4" s="2" t="inlineStr">
        <is>
          <t>Revenue</t>
        </is>
      </c>
      <c r="B4" s="5" t="n">
        <v>355.139</v>
      </c>
      <c r="C4" s="5" t="n">
        <v>333.811</v>
      </c>
      <c r="D4" s="5" t="n">
        <v>353.247</v>
      </c>
      <c r="E4" s="5" t="n">
        <v>360.121</v>
      </c>
      <c r="F4" s="5" t="n">
        <v>343.873</v>
      </c>
      <c r="G4" s="5" t="n">
        <v>293.866</v>
      </c>
      <c r="H4" s="5" t="n">
        <v>286.256</v>
      </c>
      <c r="I4" s="5" t="n">
        <v>141.4</v>
      </c>
    </row>
    <row r="5">
      <c r="A5" s="2" t="inlineStr">
        <is>
          <t>EBITDA (reported)</t>
        </is>
      </c>
      <c r="B5" s="5" t="n">
        <v>25.401</v>
      </c>
      <c r="C5" s="5" t="n">
        <v>57.416</v>
      </c>
      <c r="D5" s="5" t="n">
        <v>61.314</v>
      </c>
      <c r="E5" s="5" t="n">
        <v>56.191</v>
      </c>
      <c r="F5" s="5" t="n">
        <v>47.348</v>
      </c>
      <c r="G5" s="5" t="n">
        <v>27.631</v>
      </c>
      <c r="H5" s="5" t="n">
        <v>42.067</v>
      </c>
      <c r="I5" s="5" t="n">
        <v>23.384</v>
      </c>
    </row>
    <row r="6">
      <c r="A6" s="2" t="inlineStr">
        <is>
          <t>Net income (attrib. owners)</t>
        </is>
      </c>
      <c r="B6" s="5" t="n">
        <v>4.004</v>
      </c>
      <c r="C6" s="5" t="n">
        <v>2.015</v>
      </c>
      <c r="D6" s="5" t="n">
        <v>0.869</v>
      </c>
      <c r="E6" s="5" t="n">
        <v>-4.208</v>
      </c>
      <c r="F6" s="5" t="n">
        <v>-7.19</v>
      </c>
      <c r="G6" s="5" t="n">
        <v>-48.063</v>
      </c>
      <c r="H6" s="5" t="n">
        <v>-15.576</v>
      </c>
      <c r="I6" s="5" t="n">
        <v>-0.907</v>
      </c>
    </row>
    <row r="7">
      <c r="A7" s="2" t="inlineStr">
        <is>
          <t>Shareholders' equity</t>
        </is>
      </c>
      <c r="B7" s="5" t="n">
        <v>34.322</v>
      </c>
      <c r="C7" s="5" t="n">
        <v>36.926</v>
      </c>
      <c r="D7" s="5" t="n">
        <v>37.967</v>
      </c>
      <c r="E7" s="5" t="n">
        <v>72.99299999999999</v>
      </c>
      <c r="F7" s="5" t="n">
        <v>74.90300000000001</v>
      </c>
      <c r="G7" s="5" t="n">
        <v>27.163</v>
      </c>
      <c r="H7" s="5" t="n">
        <v>11.402</v>
      </c>
      <c r="I7" s="5" t="n">
        <v>10.58</v>
      </c>
    </row>
    <row r="8">
      <c r="A8" s="2" t="inlineStr">
        <is>
          <t>Reported FCF (CSV definition)</t>
        </is>
      </c>
      <c r="B8" s="5" t="n">
        <v>-4.241</v>
      </c>
      <c r="C8" s="5" t="n">
        <v>25.238</v>
      </c>
      <c r="D8" s="5" t="n">
        <v>36.607</v>
      </c>
      <c r="E8" s="5" t="n">
        <v>29.233</v>
      </c>
      <c r="F8" s="5" t="n">
        <v>19.272</v>
      </c>
      <c r="G8" s="5" t="n">
        <v>16.818</v>
      </c>
      <c r="H8" s="5" t="n">
        <v>25.14</v>
      </c>
      <c r="I8" s="5" t="n">
        <v>16.34</v>
      </c>
    </row>
    <row r="9">
      <c r="A9" s="2" t="inlineStr">
        <is>
          <t>Lease principal repaid (IFRS16)</t>
        </is>
      </c>
      <c r="B9" s="5" t="n"/>
      <c r="C9" s="5" t="n">
        <v>22.956</v>
      </c>
      <c r="D9" s="5" t="n">
        <v>28.099</v>
      </c>
      <c r="E9" s="5" t="n">
        <v>28.266</v>
      </c>
      <c r="F9" s="5" t="n">
        <v>27.318</v>
      </c>
      <c r="G9" s="5" t="n">
        <v>29.521</v>
      </c>
      <c r="H9" s="5" t="n">
        <v>30.964</v>
      </c>
      <c r="I9" s="5" t="n">
        <v>14.918</v>
      </c>
    </row>
    <row r="10">
      <c r="A10" s="2" t="inlineStr">
        <is>
          <t>Owner FCF (reported - lease principal)</t>
        </is>
      </c>
      <c r="B10" s="5" t="n"/>
      <c r="C10" s="5" t="n">
        <v>2.282</v>
      </c>
      <c r="D10" s="5" t="n">
        <v>8.507999999999999</v>
      </c>
      <c r="E10" s="5" t="n">
        <v>0.967</v>
      </c>
      <c r="F10" s="5" t="n">
        <v>-8.045999999999999</v>
      </c>
      <c r="G10" s="5" t="n">
        <v>-12.703</v>
      </c>
      <c r="H10" s="5" t="n">
        <v>-5.824</v>
      </c>
      <c r="I10" s="5" t="n">
        <v>1.422</v>
      </c>
    </row>
    <row r="11">
      <c r="A11" s="2" t="inlineStr">
        <is>
          <t>Shares outstanding (m)</t>
        </is>
      </c>
      <c r="B11" s="5" t="n">
        <v>84.32899999999999</v>
      </c>
      <c r="C11" s="5" t="n">
        <v>87.685</v>
      </c>
      <c r="D11" s="5" t="n">
        <v>87.685</v>
      </c>
      <c r="E11" s="5" t="n">
        <v>106.049</v>
      </c>
      <c r="F11" s="5" t="n">
        <v>127.614</v>
      </c>
      <c r="G11" s="5" t="n">
        <v>127.614</v>
      </c>
      <c r="H11" s="5" t="n">
        <v>127.614</v>
      </c>
      <c r="I11" s="5" t="n">
        <v>127.614</v>
      </c>
    </row>
    <row r="12">
      <c r="A12" s="2" t="inlineStr">
        <is>
          <t>Bank borrowings (total_debt)</t>
        </is>
      </c>
      <c r="B12" s="5" t="n"/>
      <c r="C12" s="5" t="n"/>
      <c r="D12" s="5" t="n"/>
      <c r="E12" s="5" t="n"/>
      <c r="F12" s="5" t="n">
        <v>24.323</v>
      </c>
      <c r="G12" s="5" t="n">
        <v>26.665</v>
      </c>
      <c r="H12" s="5" t="n">
        <v>23.21</v>
      </c>
      <c r="I12" s="5" t="n">
        <v>21.418</v>
      </c>
    </row>
    <row r="13">
      <c r="A13" s="2" t="inlineStr">
        <is>
          <t>Cash</t>
        </is>
      </c>
      <c r="B13" s="5" t="n">
        <v>6.389</v>
      </c>
      <c r="C13" s="5" t="n">
        <v>11.882</v>
      </c>
      <c r="D13" s="5" t="n">
        <v>13.214</v>
      </c>
      <c r="E13" s="5" t="n">
        <v>14.94</v>
      </c>
      <c r="F13" s="5" t="n">
        <v>8.744</v>
      </c>
      <c r="G13" s="5" t="n">
        <v>9.704000000000001</v>
      </c>
      <c r="H13" s="5" t="n">
        <v>6.482</v>
      </c>
      <c r="I13" s="5" t="n">
        <v>8.140000000000001</v>
      </c>
    </row>
    <row r="14">
      <c r="A14" s="2" t="inlineStr">
        <is>
          <t>Lease liabilities (memo, excl. from net debt)</t>
        </is>
      </c>
      <c r="B14" s="5" t="n"/>
      <c r="C14" s="5" t="n"/>
      <c r="D14" s="5" t="n"/>
      <c r="E14" s="5" t="n"/>
      <c r="F14" s="5" t="n"/>
      <c r="G14" s="5" t="n">
        <v>184.625</v>
      </c>
      <c r="H14" s="5" t="n">
        <v>163.079</v>
      </c>
      <c r="I14" s="5" t="n">
        <v>146.976</v>
      </c>
    </row>
    <row r="16">
      <c r="A16" s="6" t="inlineStr">
        <is>
          <t>Source: MOV.NZ_Metrics.csv (core_metrics, NZD millions) for Revenue/EBITDA/NetIncome/Equity/ReportedFCF/Shares/TotalDebt/Cash.</t>
        </is>
      </c>
    </row>
    <row r="17">
      <c r="A17" s="6" t="inlineStr">
        <is>
          <t>Note: Lease principal repaid: FY2020-25 Annual Report cash flow statements (financing activities, 'Repayment of lease liability (NZ IFRS 16)'); H1-2026 interim report.</t>
        </is>
      </c>
    </row>
    <row r="18">
      <c r="A18" s="6" t="inlineStr">
        <is>
          <t>Note: Owner FCF = Reported FCF - Lease principal repaid (section 7(b) treatment B: leases as operating cost).</t>
        </is>
      </c>
    </row>
    <row r="19">
      <c r="A19" s="6" t="inlineStr">
        <is>
          <t>Note: H1-2026 = six months to 31-Dec-2025, most recent filing at valuation date. Balance-sheet figures (borrowings/cash/lease liabilities) are AS AT the period-end column, not flow figures.</t>
        </is>
      </c>
    </row>
    <row r="20">
      <c r="A20" s="6" t="inlineStr">
        <is>
          <t>Note: Bank borrowings pre-FY2023: not separately disclosed at the granularity captured in core_metrics; TotalDebt column starts FY2023.</t>
        </is>
      </c>
    </row>
    <row r="22">
      <c r="A22" s="2" t="inlineStr">
        <is>
          <t>SBC / buyback status</t>
        </is>
      </c>
    </row>
    <row r="23">
      <c r="A23" s="7" t="inlineStr">
        <is>
          <t>SBC FY2025: $47k (0.016% of revenue). FY2024: $0. SBC-zero market -- section 7(e). No buyback programme; buyback_cash = 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70" customWidth="1" min="3" max="3"/>
  </cols>
  <sheetData>
    <row r="1">
      <c r="A1" s="1" t="inlineStr">
        <is>
          <t>Global Assumptions</t>
        </is>
      </c>
    </row>
    <row r="3">
      <c r="A3" s="2" t="inlineStr">
        <is>
          <t>WACC (all scenarios)</t>
        </is>
      </c>
      <c r="B3" s="5" t="n">
        <v>0.165</v>
      </c>
      <c r="C3" s="7" t="inlineStr">
        <is>
          <t>Single rate, all 3 scenarios -- section 7(f) 'charge risk once'. NZ risk-free ~4.5% + ERP ~6.5% + micro-cap/going-concern premium ~5.5pp.</t>
        </is>
      </c>
    </row>
    <row r="4">
      <c r="A4" s="2" t="inlineStr">
        <is>
          <t>Hurdle rate (entry price)</t>
        </is>
      </c>
      <c r="B4" s="5" t="n">
        <v>0.15</v>
      </c>
      <c r="C4" s="7" t="inlineStr">
        <is>
          <t>House standard 15% IRR hurdle.</t>
        </is>
      </c>
    </row>
    <row r="5">
      <c r="A5" s="2" t="inlineStr">
        <is>
          <t>D&amp;A -- see per-scenario path</t>
        </is>
      </c>
      <c r="C5" s="7" t="inlineStr">
        <is>
          <t>D&amp;A is mostly ROU-asset depreciation (non-cash); modelled as % of revenue, declining path per scenario tab.</t>
        </is>
      </c>
    </row>
    <row r="6">
      <c r="A6" s="2" t="inlineStr">
        <is>
          <t>Capex % of revenue (PPE only)</t>
        </is>
      </c>
      <c r="B6" s="5" t="n">
        <v>0.0015</v>
      </c>
      <c r="C6" s="7" t="inlineStr">
        <is>
          <t>FY2025 actual PPE purchases were only $0.186m (0.065% of revenue) -- fleet is mostly leased, not owned. Held near-flat at 0.15%.</t>
        </is>
      </c>
    </row>
    <row r="7">
      <c r="A7" s="2" t="inlineStr">
        <is>
          <t>WC capture % (of revenue change)</t>
        </is>
      </c>
      <c r="B7" s="5" t="n">
        <v>0.1</v>
      </c>
      <c r="C7" s="7" t="inlineStr">
        <is>
          <t>Modest working-capital drag/tailwind scaling with revenue growth -- trade receivables/payables move loosely with volume in a freight business.</t>
        </is>
      </c>
    </row>
    <row r="8">
      <c r="A8" s="2" t="inlineStr">
        <is>
          <t>Net debt (bank-only)</t>
        </is>
      </c>
      <c r="B8" s="5" t="n">
        <v>13.278</v>
      </c>
      <c r="C8" s="7" t="inlineStr">
        <is>
          <t>Equals Borrowings $21.418m minus Cash $8.140m, both at 31-Dec-2025 (H1-2026). Lease liabilities ($146.976m) EXCLUDED -- see Model_Info lease treatment.</t>
        </is>
      </c>
    </row>
    <row r="9">
      <c r="A9" s="2" t="inlineStr">
        <is>
          <t>Diluted shares (m)</t>
        </is>
      </c>
      <c r="B9" s="5" t="n">
        <v>127.614</v>
      </c>
      <c r="C9" s="7" t="inlineStr">
        <is>
          <t>Weighted-average, FY2025 Annual Report / H1-2026 interim. Flat, no dilution (LTI awards anti-dilutive).</t>
        </is>
      </c>
    </row>
    <row r="10">
      <c r="A10" s="2" t="inlineStr">
        <is>
          <t>Price (NZD)</t>
        </is>
      </c>
      <c r="B10" s="5" t="n">
        <v>0.205</v>
      </c>
      <c r="C10" s="7" t="inlineStr">
        <is>
          <t>Yahoo Finance, 2026-08-20T03:42:36Z, regular NZX session.</t>
        </is>
      </c>
    </row>
    <row r="11">
      <c r="A11" s="2" t="inlineStr">
        <is>
          <t>Terminal cap multiple -- base</t>
        </is>
      </c>
      <c r="B11" s="5" t="n">
        <v>8</v>
      </c>
      <c r="C11" s="7" t="inlineStr">
        <is>
          <t>Below house 12-15x cyclical default: chronically low-multiple micro-cap, real going-concern history.</t>
        </is>
      </c>
    </row>
    <row r="12">
      <c r="A12" s="2" t="inlineStr">
        <is>
          <t>Terminal cap multiple -- bull</t>
        </is>
      </c>
      <c r="B12" s="5" t="n">
        <v>9</v>
      </c>
      <c r="C12" s="7" t="inlineStr"/>
    </row>
    <row r="13">
      <c r="A13" s="2" t="inlineStr">
        <is>
          <t>Terminal cap multiple -- bear</t>
        </is>
      </c>
      <c r="B13" s="5" t="n">
        <v>6</v>
      </c>
      <c r="C13" s="7" t="inlineStr"/>
    </row>
    <row r="15">
      <c r="A15" s="2" t="inlineStr">
        <is>
          <t>Scenario terminal growth &amp; probability weights</t>
        </is>
      </c>
    </row>
    <row r="16">
      <c r="A16" s="4" t="inlineStr">
        <is>
          <t>Scenario</t>
        </is>
      </c>
      <c r="B16" s="4" t="inlineStr">
        <is>
          <t>Terminal growth</t>
        </is>
      </c>
      <c r="C16" s="4" t="inlineStr">
        <is>
          <t>Weight</t>
        </is>
      </c>
    </row>
    <row r="17">
      <c r="A17" t="inlineStr">
        <is>
          <t>Bear</t>
        </is>
      </c>
      <c r="B17" s="5" t="n">
        <v>0.015</v>
      </c>
      <c r="C17" s="5" t="n">
        <v>0.3</v>
      </c>
    </row>
    <row r="18">
      <c r="A18" t="inlineStr">
        <is>
          <t>Base</t>
        </is>
      </c>
      <c r="B18" s="5" t="n">
        <v>0.02</v>
      </c>
      <c r="C18" s="5" t="n">
        <v>0.45</v>
      </c>
    </row>
    <row r="19">
      <c r="A19" t="inlineStr">
        <is>
          <t>Bull</t>
        </is>
      </c>
      <c r="B19" s="5" t="n">
        <v>0.025</v>
      </c>
      <c r="C19" s="5" t="n">
        <v>0.25</v>
      </c>
    </row>
    <row r="20">
      <c r="A20" s="2" t="inlineStr">
        <is>
          <t>SUM (must = 100%)</t>
        </is>
      </c>
      <c r="C20" s="2">
        <f>SUM(C17:C19)</f>
        <v/>
      </c>
    </row>
    <row r="22">
      <c r="A22" s="2" t="inlineStr">
        <is>
          <t>Scenario narratives</t>
        </is>
      </c>
    </row>
    <row r="23" ht="60" customHeight="1">
      <c r="A23" s="2" t="inlineStr">
        <is>
          <t>Base</t>
        </is>
      </c>
      <c r="B23" s="7" t="inlineStr">
        <is>
          <t>The Accelerate programme's ~$27m annualised cost-out holds; three of four divisions stay profitable, Warehousing stabilises without a full turnaround; NZ demand recovers slowly. EBITDA margin matures at 16.0%, below the FY2021 COVID-freight-boom peak of 17.4%.</t>
        </is>
      </c>
    </row>
    <row r="24" ht="60" customHeight="1">
      <c r="A24" s="2" t="inlineStr">
        <is>
          <t>Bull</t>
        </is>
      </c>
      <c r="B24" s="7" t="inlineStr">
        <is>
          <t>New Horizons roadmap delivers in full: Warehousing reset succeeds, Oceans shipping scales, Specialist pipeline ramps from FY27, Cook Strait ferry tailwind materialises. EBITDA margin matures at 19%, above the FY2021 peak.</t>
        </is>
      </c>
    </row>
    <row r="25" ht="60" customHeight="1">
      <c r="A25" s="2" t="inlineStr">
        <is>
          <t>Bear</t>
        </is>
      </c>
      <c r="B25" s="7" t="inlineStr">
        <is>
          <t>Going-concern-relapse scenario: recession persists, Warehousing decline continues, competitor pricing spreads into Freight &amp; Fuel, key customer relationship pressured. Revenue shrinks through Y1-4, margin falls toward the FY2024 9.4% trough before a partial recovery to only 13%.</t>
        </is>
      </c>
    </row>
  </sheetData>
  <mergeCells count="3">
    <mergeCell ref="B23:F23"/>
    <mergeCell ref="B25:F25"/>
    <mergeCell ref="B24:F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MOV.NZ -- Bear Case DCF (NZD millions except per-share)</t>
        </is>
      </c>
    </row>
    <row r="3">
      <c r="A3" t="inlineStr">
        <is>
          <t>Year</t>
        </is>
      </c>
      <c r="B3" s="8" t="inlineStr">
        <is>
          <t>2025A</t>
        </is>
      </c>
      <c r="C3" s="8" t="inlineStr">
        <is>
          <t>Y1E</t>
        </is>
      </c>
      <c r="D3" s="8" t="inlineStr">
        <is>
          <t>Y2E</t>
        </is>
      </c>
      <c r="E3" s="8" t="inlineStr">
        <is>
          <t>Y3E</t>
        </is>
      </c>
      <c r="F3" s="8" t="inlineStr">
        <is>
          <t>Y4E</t>
        </is>
      </c>
      <c r="G3" s="8" t="inlineStr">
        <is>
          <t>Y5E</t>
        </is>
      </c>
      <c r="H3" s="8" t="inlineStr">
        <is>
          <t>Y6E</t>
        </is>
      </c>
      <c r="I3" s="8" t="inlineStr">
        <is>
          <t>Y7E</t>
        </is>
      </c>
      <c r="J3" s="8" t="inlineStr">
        <is>
          <t>Y8E</t>
        </is>
      </c>
      <c r="K3" s="8" t="inlineStr">
        <is>
          <t>Y9E</t>
        </is>
      </c>
      <c r="L3" s="8" t="inlineStr">
        <is>
          <t>Y10E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9" t="n">
        <v>-0.04</v>
      </c>
      <c r="D5" s="9" t="n">
        <v>-0.03</v>
      </c>
      <c r="E5" s="9" t="n">
        <v>-0.02</v>
      </c>
      <c r="F5" s="9" t="n">
        <v>-0.01</v>
      </c>
      <c r="G5" s="9" t="n">
        <v>0</v>
      </c>
      <c r="H5" s="9" t="n">
        <v>0.005</v>
      </c>
      <c r="I5" s="9" t="n">
        <v>0.01</v>
      </c>
      <c r="J5" s="9" t="n">
        <v>0.01</v>
      </c>
      <c r="K5" s="9" t="n">
        <v>0.01</v>
      </c>
      <c r="L5" s="9" t="n">
        <v>0.01</v>
      </c>
    </row>
    <row r="6">
      <c r="A6" t="inlineStr">
        <is>
          <t>Revenue</t>
        </is>
      </c>
      <c r="B6" s="5" t="n">
        <v>286.256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EBITDA margin</t>
        </is>
      </c>
      <c r="C7" s="9" t="n">
        <v>0.13</v>
      </c>
      <c r="D7" s="9" t="n">
        <v>0.12</v>
      </c>
      <c r="E7" s="9" t="n">
        <v>0.115</v>
      </c>
      <c r="F7" s="9" t="n">
        <v>0.115</v>
      </c>
      <c r="G7" s="9" t="n">
        <v>0.12</v>
      </c>
      <c r="H7" s="9" t="n">
        <v>0.123</v>
      </c>
      <c r="I7" s="9" t="n">
        <v>0.125</v>
      </c>
      <c r="J7" s="9" t="n">
        <v>0.127</v>
      </c>
      <c r="K7" s="9" t="n">
        <v>0.13</v>
      </c>
      <c r="L7" s="9" t="n">
        <v>0.13</v>
      </c>
    </row>
    <row r="8">
      <c r="A8" t="inlineStr">
        <is>
          <t>Adjusted 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</row>
    <row r="10">
      <c r="A10" t="inlineStr">
        <is>
          <t>SBC $ (negative)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D&amp;A % of revenue</t>
        </is>
      </c>
      <c r="C12" s="9" t="n">
        <v>0.145</v>
      </c>
      <c r="D12" s="9" t="n">
        <v>0.145</v>
      </c>
      <c r="E12" s="9" t="n">
        <v>0.143</v>
      </c>
      <c r="F12" s="9" t="n">
        <v>0.14</v>
      </c>
      <c r="G12" s="9" t="n">
        <v>0.138</v>
      </c>
      <c r="H12" s="9" t="n">
        <v>0.136</v>
      </c>
      <c r="I12" s="9" t="n">
        <v>0.134</v>
      </c>
      <c r="J12" s="9" t="n">
        <v>0.132</v>
      </c>
      <c r="K12" s="9" t="n">
        <v>0.13</v>
      </c>
      <c r="L12" s="9" t="n">
        <v>0.13</v>
      </c>
    </row>
    <row r="13">
      <c r="A13" t="inlineStr">
        <is>
          <t>D&amp;A $ (negative)</t>
        </is>
      </c>
      <c r="C13">
        <f>-C6*C12</f>
        <v/>
      </c>
      <c r="D13">
        <f>-D6*D12</f>
        <v/>
      </c>
      <c r="E13">
        <f>-E6*E12</f>
        <v/>
      </c>
      <c r="F13">
        <f>-F6*F12</f>
        <v/>
      </c>
      <c r="G13">
        <f>-G6*G12</f>
        <v/>
      </c>
      <c r="H13">
        <f>-H6*H12</f>
        <v/>
      </c>
      <c r="I13">
        <f>-I6*I12</f>
        <v/>
      </c>
      <c r="J13">
        <f>-J6*J12</f>
        <v/>
      </c>
      <c r="K13">
        <f>-K6*K12</f>
        <v/>
      </c>
      <c r="L13">
        <f>-L6*L12</f>
        <v/>
      </c>
    </row>
    <row r="14">
      <c r="A14" t="inlineStr">
        <is>
          <t>EBIT (SBC expensed)</t>
        </is>
      </c>
      <c r="C14">
        <f>C11+C13</f>
        <v/>
      </c>
      <c r="D14">
        <f>D11+D13</f>
        <v/>
      </c>
      <c r="E14">
        <f>E11+E13</f>
        <v/>
      </c>
      <c r="F14">
        <f>F11+F13</f>
        <v/>
      </c>
      <c r="G14">
        <f>G11+G13</f>
        <v/>
      </c>
      <c r="H14">
        <f>H11+H13</f>
        <v/>
      </c>
      <c r="I14">
        <f>I11+I13</f>
        <v/>
      </c>
      <c r="J14">
        <f>J11+J13</f>
        <v/>
      </c>
      <c r="K14">
        <f>K11+K13</f>
        <v/>
      </c>
      <c r="L14">
        <f>L11+L13</f>
        <v/>
      </c>
    </row>
    <row r="15">
      <c r="A15" t="inlineStr">
        <is>
          <t>Interest on bank debt % of rev</t>
        </is>
      </c>
      <c r="C15" s="10" t="n">
        <v>0.013</v>
      </c>
      <c r="D15" s="10" t="n">
        <v>0.015</v>
      </c>
      <c r="E15" s="10" t="n">
        <v>0.016</v>
      </c>
      <c r="F15" s="10" t="n">
        <v>0.015</v>
      </c>
      <c r="G15" s="10" t="n">
        <v>0.014</v>
      </c>
      <c r="H15" s="10" t="n">
        <v>0.013</v>
      </c>
      <c r="I15" s="10" t="n">
        <v>0.012</v>
      </c>
      <c r="J15" s="10" t="n">
        <v>0.011</v>
      </c>
      <c r="K15" s="10" t="n">
        <v>0.01</v>
      </c>
      <c r="L15" s="10" t="n">
        <v>0.01</v>
      </c>
    </row>
    <row r="16">
      <c r="A16" t="inlineStr">
        <is>
          <t>Interest $ (negative)</t>
        </is>
      </c>
      <c r="C16">
        <f>-C6*C15</f>
        <v/>
      </c>
      <c r="D16">
        <f>-D6*D15</f>
        <v/>
      </c>
      <c r="E16">
        <f>-E6*E15</f>
        <v/>
      </c>
      <c r="F16">
        <f>-F6*F15</f>
        <v/>
      </c>
      <c r="G16">
        <f>-G6*G15</f>
        <v/>
      </c>
      <c r="H16">
        <f>-H6*H15</f>
        <v/>
      </c>
      <c r="I16">
        <f>-I6*I15</f>
        <v/>
      </c>
      <c r="J16">
        <f>-J6*J15</f>
        <v/>
      </c>
      <c r="K16">
        <f>-K6*K15</f>
        <v/>
      </c>
      <c r="L16">
        <f>-L6*L15</f>
        <v/>
      </c>
    </row>
    <row r="17">
      <c r="A17" t="inlineStr">
        <is>
          <t>Pretax income</t>
        </is>
      </c>
      <c r="C17">
        <f>C14+C16</f>
        <v/>
      </c>
      <c r="D17">
        <f>D14+D16</f>
        <v/>
      </c>
      <c r="E17">
        <f>E14+E16</f>
        <v/>
      </c>
      <c r="F17">
        <f>F14+F16</f>
        <v/>
      </c>
      <c r="G17">
        <f>G14+G16</f>
        <v/>
      </c>
      <c r="H17">
        <f>H14+H16</f>
        <v/>
      </c>
      <c r="I17">
        <f>I14+I16</f>
        <v/>
      </c>
      <c r="J17">
        <f>J14+J16</f>
        <v/>
      </c>
      <c r="K17">
        <f>K14+K16</f>
        <v/>
      </c>
      <c r="L17">
        <f>L14+L16</f>
        <v/>
      </c>
    </row>
    <row r="18">
      <c r="A18" t="inlineStr">
        <is>
          <t>Cash tax rate</t>
        </is>
      </c>
      <c r="C18" s="11" t="n">
        <v>0</v>
      </c>
      <c r="D18" s="11" t="n">
        <v>0</v>
      </c>
      <c r="E18" s="11" t="n">
        <v>0</v>
      </c>
      <c r="F18" s="11" t="n">
        <v>0</v>
      </c>
      <c r="G18" s="11" t="n">
        <v>0.05</v>
      </c>
      <c r="H18" s="11" t="n">
        <v>0.1</v>
      </c>
      <c r="I18" s="11" t="n">
        <v>0.15</v>
      </c>
      <c r="J18" s="11" t="n">
        <v>0.2</v>
      </c>
      <c r="K18" s="11" t="n">
        <v>0.25</v>
      </c>
      <c r="L18" s="11" t="n">
        <v>0.28</v>
      </c>
    </row>
    <row r="19">
      <c r="A19" t="inlineStr">
        <is>
          <t>NOPAT</t>
        </is>
      </c>
      <c r="C19">
        <f>C17*(1-C18)</f>
        <v/>
      </c>
      <c r="D19">
        <f>D17*(1-D18)</f>
        <v/>
      </c>
      <c r="E19">
        <f>E17*(1-E18)</f>
        <v/>
      </c>
      <c r="F19">
        <f>F17*(1-F18)</f>
        <v/>
      </c>
      <c r="G19">
        <f>G17*(1-G18)</f>
        <v/>
      </c>
      <c r="H19">
        <f>H17*(1-H18)</f>
        <v/>
      </c>
      <c r="I19">
        <f>I17*(1-I18)</f>
        <v/>
      </c>
      <c r="J19">
        <f>J17*(1-J18)</f>
        <v/>
      </c>
      <c r="K19">
        <f>K17*(1-K18)</f>
        <v/>
      </c>
      <c r="L19">
        <f>L17*(1-L18)</f>
        <v/>
      </c>
    </row>
    <row r="20">
      <c r="A20" t="inlineStr">
        <is>
          <t>add back D&amp;A</t>
        </is>
      </c>
      <c r="C20">
        <f>-C13</f>
        <v/>
      </c>
      <c r="D20">
        <f>-D13</f>
        <v/>
      </c>
      <c r="E20">
        <f>-E13</f>
        <v/>
      </c>
      <c r="F20">
        <f>-F13</f>
        <v/>
      </c>
      <c r="G20">
        <f>-G13</f>
        <v/>
      </c>
      <c r="H20">
        <f>-H13</f>
        <v/>
      </c>
      <c r="I20">
        <f>-I13</f>
        <v/>
      </c>
      <c r="J20">
        <f>-J13</f>
        <v/>
      </c>
      <c r="K20">
        <f>-K13</f>
        <v/>
      </c>
      <c r="L20">
        <f>-L13</f>
        <v/>
      </c>
    </row>
    <row r="21">
      <c r="A21" t="inlineStr">
        <is>
          <t>Lease principal % of revenue</t>
        </is>
      </c>
      <c r="C21" s="10" t="n">
        <v>0.11</v>
      </c>
      <c r="D21" s="10" t="n">
        <v>0.112</v>
      </c>
      <c r="E21" s="10" t="n">
        <v>0.11</v>
      </c>
      <c r="F21" s="10" t="n">
        <v>0.108</v>
      </c>
      <c r="G21" s="10" t="n">
        <v>0.106</v>
      </c>
      <c r="H21" s="10" t="n">
        <v>0.104</v>
      </c>
      <c r="I21" s="10" t="n">
        <v>0.102</v>
      </c>
      <c r="J21" s="10" t="n">
        <v>0.1</v>
      </c>
      <c r="K21" s="10" t="n">
        <v>0.098</v>
      </c>
      <c r="L21" s="10" t="n">
        <v>0.09699999999999999</v>
      </c>
    </row>
    <row r="22">
      <c r="A22" t="inlineStr">
        <is>
          <t>less lease principal</t>
        </is>
      </c>
      <c r="C22">
        <f>-C6*C21</f>
        <v/>
      </c>
      <c r="D22">
        <f>-D6*D21</f>
        <v/>
      </c>
      <c r="E22">
        <f>-E6*E21</f>
        <v/>
      </c>
      <c r="F22">
        <f>-F6*F21</f>
        <v/>
      </c>
      <c r="G22">
        <f>-G6*G21</f>
        <v/>
      </c>
      <c r="H22">
        <f>-H6*H21</f>
        <v/>
      </c>
      <c r="I22">
        <f>-I6*I21</f>
        <v/>
      </c>
      <c r="J22">
        <f>-J6*J21</f>
        <v/>
      </c>
      <c r="K22">
        <f>-K6*K21</f>
        <v/>
      </c>
      <c r="L22">
        <f>-L6*L21</f>
        <v/>
      </c>
    </row>
    <row r="23">
      <c r="A23" t="inlineStr">
        <is>
          <t>less PPE capex</t>
        </is>
      </c>
      <c r="C23">
        <f>-C6*Assumptions!$B$6</f>
        <v/>
      </c>
      <c r="D23">
        <f>-D6*Assumptions!$B$6</f>
        <v/>
      </c>
      <c r="E23">
        <f>-E6*Assumptions!$B$6</f>
        <v/>
      </c>
      <c r="F23">
        <f>-F6*Assumptions!$B$6</f>
        <v/>
      </c>
      <c r="G23">
        <f>-G6*Assumptions!$B$6</f>
        <v/>
      </c>
      <c r="H23">
        <f>-H6*Assumptions!$B$6</f>
        <v/>
      </c>
      <c r="I23">
        <f>-I6*Assumptions!$B$6</f>
        <v/>
      </c>
      <c r="J23">
        <f>-J6*Assumptions!$B$6</f>
        <v/>
      </c>
      <c r="K23">
        <f>-K6*Assumptions!$B$6</f>
        <v/>
      </c>
      <c r="L23">
        <f>-L6*Assumptions!$B$6</f>
        <v/>
      </c>
    </row>
    <row r="24">
      <c r="A24" t="inlineStr">
        <is>
          <t>add WC (capture x rev change)</t>
        </is>
      </c>
      <c r="C24">
        <f>Assumptions!$B$7*(C6-B6)</f>
        <v/>
      </c>
      <c r="D24">
        <f>Assumptions!$B$7*(D6-C6)</f>
        <v/>
      </c>
      <c r="E24">
        <f>Assumptions!$B$7*(E6-D6)</f>
        <v/>
      </c>
      <c r="F24">
        <f>Assumptions!$B$7*(F6-E6)</f>
        <v/>
      </c>
      <c r="G24">
        <f>Assumptions!$B$7*(G6-F6)</f>
        <v/>
      </c>
      <c r="H24">
        <f>Assumptions!$B$7*(H6-G6)</f>
        <v/>
      </c>
      <c r="I24">
        <f>Assumptions!$B$7*(I6-H6)</f>
        <v/>
      </c>
      <c r="J24">
        <f>Assumptions!$B$7*(J6-I6)</f>
        <v/>
      </c>
      <c r="K24">
        <f>Assumptions!$B$7*(K6-J6)</f>
        <v/>
      </c>
      <c r="L24">
        <f>Assumptions!$B$7*(L6-K6)</f>
        <v/>
      </c>
    </row>
    <row r="25">
      <c r="A25" t="inlineStr">
        <is>
          <t>less residual restructuring cash cost</t>
        </is>
      </c>
      <c r="C25" s="12" t="n">
        <v>-3</v>
      </c>
      <c r="D25" s="12" t="n">
        <v>-2</v>
      </c>
      <c r="E25" s="12" t="n">
        <v>-1</v>
      </c>
      <c r="F25" s="12" t="n">
        <v>-0.5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</row>
    <row r="26">
      <c r="A26" s="2" t="inlineStr">
        <is>
          <t>Unlevered owner FCF</t>
        </is>
      </c>
      <c r="C26" s="2">
        <f>C19+C20+C22+C23+C24+C25</f>
        <v/>
      </c>
      <c r="D26" s="2">
        <f>D19+D20+D22+D23+D24+D25</f>
        <v/>
      </c>
      <c r="E26" s="2">
        <f>E19+E20+E22+E23+E24+E25</f>
        <v/>
      </c>
      <c r="F26" s="2">
        <f>F19+F20+F22+F23+F24+F25</f>
        <v/>
      </c>
      <c r="G26" s="2">
        <f>G19+G20+G22+G23+G24+G25</f>
        <v/>
      </c>
      <c r="H26" s="2">
        <f>H19+H20+H22+H23+H24+H25</f>
        <v/>
      </c>
      <c r="I26" s="2">
        <f>I19+I20+I22+I23+I24+I25</f>
        <v/>
      </c>
      <c r="J26" s="2">
        <f>J19+J20+J22+J23+J24+J25</f>
        <v/>
      </c>
      <c r="K26" s="2">
        <f>K19+K20+K22+K23+K24+K25</f>
        <v/>
      </c>
      <c r="L26" s="2">
        <f>L19+L20+L22+L23+L24+L25</f>
        <v/>
      </c>
    </row>
    <row r="27">
      <c r="A27" t="inlineStr">
        <is>
          <t>Discount factor</t>
        </is>
      </c>
      <c r="C27">
        <f>1/(1+Assumptions!$B$3)^C4</f>
        <v/>
      </c>
      <c r="D27">
        <f>1/(1+Assumptions!$B$3)^D4</f>
        <v/>
      </c>
      <c r="E27">
        <f>1/(1+Assumptions!$B$3)^E4</f>
        <v/>
      </c>
      <c r="F27">
        <f>1/(1+Assumptions!$B$3)^F4</f>
        <v/>
      </c>
      <c r="G27">
        <f>1/(1+Assumptions!$B$3)^G4</f>
        <v/>
      </c>
      <c r="H27">
        <f>1/(1+Assumptions!$B$3)^H4</f>
        <v/>
      </c>
      <c r="I27">
        <f>1/(1+Assumptions!$B$3)^I4</f>
        <v/>
      </c>
      <c r="J27">
        <f>1/(1+Assumptions!$B$3)^J4</f>
        <v/>
      </c>
      <c r="K27">
        <f>1/(1+Assumptions!$B$3)^K4</f>
        <v/>
      </c>
      <c r="L27">
        <f>1/(1+Assumptions!$B$3)^L4</f>
        <v/>
      </c>
    </row>
    <row r="28">
      <c r="A28" t="inlineStr">
        <is>
          <t>PV of FCF</t>
        </is>
      </c>
      <c r="C28">
        <f>C26*C27</f>
        <v/>
      </c>
      <c r="D28">
        <f>D26*D27</f>
        <v/>
      </c>
      <c r="E28">
        <f>E26*E27</f>
        <v/>
      </c>
      <c r="F28">
        <f>F26*F27</f>
        <v/>
      </c>
      <c r="G28">
        <f>G26*G27</f>
        <v/>
      </c>
      <c r="H28">
        <f>H26*H27</f>
        <v/>
      </c>
      <c r="I28">
        <f>I26*I27</f>
        <v/>
      </c>
      <c r="J28">
        <f>J26*J27</f>
        <v/>
      </c>
      <c r="K28">
        <f>K26*K27</f>
        <v/>
      </c>
      <c r="L28">
        <f>L26*L27</f>
        <v/>
      </c>
    </row>
    <row r="30">
      <c r="A30" t="inlineStr">
        <is>
          <t>Memo: implied owner-FCF margin</t>
        </is>
      </c>
      <c r="C30" s="13">
        <f>C26/C6</f>
        <v/>
      </c>
      <c r="D30" s="13">
        <f>D26/D6</f>
        <v/>
      </c>
      <c r="E30" s="13">
        <f>E26/E6</f>
        <v/>
      </c>
      <c r="F30" s="13">
        <f>F26/F6</f>
        <v/>
      </c>
      <c r="G30" s="13">
        <f>G26/G6</f>
        <v/>
      </c>
      <c r="H30" s="13">
        <f>H26/H6</f>
        <v/>
      </c>
      <c r="I30" s="13">
        <f>I26/I6</f>
        <v/>
      </c>
      <c r="J30" s="13">
        <f>J26/J6</f>
        <v/>
      </c>
      <c r="K30" s="13">
        <f>K26/K6</f>
        <v/>
      </c>
      <c r="L30" s="13">
        <f>L26/L6</f>
        <v/>
      </c>
    </row>
    <row r="32">
      <c r="A32" s="14" t="inlineStr">
        <is>
          <t>Sum PV of FCF (Y1-Y10)</t>
        </is>
      </c>
      <c r="B32">
        <f>SUM(C28:L28)</f>
        <v/>
      </c>
    </row>
    <row r="33">
      <c r="A33" s="14" t="inlineStr">
        <is>
          <t>Terminal growth</t>
        </is>
      </c>
      <c r="B33" s="13">
        <f>Assumptions!$B$17</f>
        <v/>
      </c>
    </row>
    <row r="34">
      <c r="A34" s="14" t="inlineStr">
        <is>
          <t>Terminal FCF (Y11)</t>
        </is>
      </c>
      <c r="B34">
        <f>L26*(1+B33)</f>
        <v/>
      </c>
    </row>
    <row r="35">
      <c r="A35" s="14" t="inlineStr">
        <is>
          <t>Gordon TV</t>
        </is>
      </c>
      <c r="B35">
        <f>IF(Assumptions!$B$3&gt;B33, B34/(Assumptions!$B$3-B33), "n/a")</f>
        <v/>
      </c>
    </row>
    <row r="36">
      <c r="A36" s="14" t="inlineStr">
        <is>
          <t>Cap TV</t>
        </is>
      </c>
      <c r="B36">
        <f>Assumptions!$B$13*L26</f>
        <v/>
      </c>
    </row>
    <row r="37">
      <c r="A37" s="2" t="inlineStr">
        <is>
          <t>TV used = MAX(0,MIN(Gordon,Cap))</t>
        </is>
      </c>
      <c r="B37" s="2">
        <f>IF(L26&gt;0, MAX(0,MIN(IF(ISNUMBER(B35),B35,B36),B36)), 0)</f>
        <v/>
      </c>
    </row>
    <row r="38">
      <c r="A38" s="14" t="inlineStr">
        <is>
          <t>Implied exit multiple (TV/Y10 FCF)</t>
        </is>
      </c>
      <c r="B38">
        <f>IF(L26&gt;0,B37/L26,"n/a")</f>
        <v/>
      </c>
    </row>
    <row r="39">
      <c r="A39" s="14" t="inlineStr">
        <is>
          <t>PV of TV</t>
        </is>
      </c>
      <c r="B39">
        <f>B37*L27</f>
        <v/>
      </c>
    </row>
    <row r="40">
      <c r="A40" s="2" t="inlineStr">
        <is>
          <t>Enterprise value</t>
        </is>
      </c>
      <c r="B40">
        <f>B32+B39</f>
        <v/>
      </c>
    </row>
    <row r="41">
      <c r="A41" s="14" t="inlineStr">
        <is>
          <t>less net debt (bank-only)</t>
        </is>
      </c>
      <c r="B41">
        <f>-Assumptions!$B$8</f>
        <v/>
      </c>
    </row>
    <row r="42">
      <c r="A42" s="2" t="inlineStr">
        <is>
          <t>Equity value</t>
        </is>
      </c>
      <c r="B42">
        <f>B40+B41</f>
        <v/>
      </c>
    </row>
    <row r="43">
      <c r="A43" s="14" t="inlineStr">
        <is>
          <t>Diluted shares (m)</t>
        </is>
      </c>
      <c r="B43">
        <f>Assumptions!$B$9</f>
        <v/>
      </c>
    </row>
    <row r="44">
      <c r="A44" s="2" t="inlineStr">
        <is>
          <t>Value per share (INTRINSIC VALUE)</t>
        </is>
      </c>
      <c r="B44" s="15">
        <f>B42/B43</f>
        <v/>
      </c>
    </row>
    <row r="45">
      <c r="A45" s="14" t="inlineStr">
        <is>
          <t>Upside vs current price</t>
        </is>
      </c>
      <c r="B45" s="13">
        <f>B44/Assumptions!$B$10-1</f>
        <v/>
      </c>
    </row>
    <row r="46">
      <c r="A46" s="14" t="inlineStr">
        <is>
          <t>Terminal value % of EV</t>
        </is>
      </c>
      <c r="B46" s="13">
        <f>B39/B40</f>
        <v/>
      </c>
    </row>
    <row r="48">
      <c r="A48" t="inlineStr">
        <is>
          <t>Street memo: PV explicit SBC (all zero, SBC-zero market)</t>
        </is>
      </c>
      <c r="B48">
        <f>SUMPRODUCT(-C10:L10,1/(1+Assumptions!$B$3)^C4:L4)</f>
        <v/>
      </c>
    </row>
    <row r="49">
      <c r="A49" t="inlineStr">
        <is>
          <t>Street memo: PV terminal SBC (zero)</t>
        </is>
      </c>
      <c r="B49">
        <f>IF(C9=0,0,"n/a")</f>
        <v/>
      </c>
    </row>
    <row r="50">
      <c r="A50" t="inlineStr">
        <is>
          <t>Street value per share (= house, SBC-zero)</t>
        </is>
      </c>
      <c r="B50" s="16">
        <f>(B42+B48+IF(ISNUMBER(B49),B49,0))/B43</f>
        <v/>
      </c>
    </row>
    <row r="52">
      <c r="A52" s="6" t="inlineStr">
        <is>
          <t>Note: Only rows 5, 7, 9, 12, 15, 18, 21, 25 are hardcoded drivers (yellow). Everything else is a formula.</t>
        </is>
      </c>
    </row>
    <row r="53">
      <c r="A53" s="6" t="inlineStr">
        <is>
          <t>Note: SBC row 9-10 held at 0% throughout -- SBC-zero market (section 7e); street value = house value.</t>
        </is>
      </c>
    </row>
    <row r="54">
      <c r="A54" s="6" t="inlineStr">
        <is>
          <t>Note: Row 22 (lease principal) is the section 7(b) treatment-B deduction: MOV's largely-leased fleet means lease principal, not PPE capex, is the real fleet-renewal cash cost.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MOV.NZ -- Base Case DCF (NZD millions except per-share)</t>
        </is>
      </c>
    </row>
    <row r="3">
      <c r="A3" t="inlineStr">
        <is>
          <t>Year</t>
        </is>
      </c>
      <c r="B3" s="8" t="inlineStr">
        <is>
          <t>2025A</t>
        </is>
      </c>
      <c r="C3" s="8" t="inlineStr">
        <is>
          <t>Y1E</t>
        </is>
      </c>
      <c r="D3" s="8" t="inlineStr">
        <is>
          <t>Y2E</t>
        </is>
      </c>
      <c r="E3" s="8" t="inlineStr">
        <is>
          <t>Y3E</t>
        </is>
      </c>
      <c r="F3" s="8" t="inlineStr">
        <is>
          <t>Y4E</t>
        </is>
      </c>
      <c r="G3" s="8" t="inlineStr">
        <is>
          <t>Y5E</t>
        </is>
      </c>
      <c r="H3" s="8" t="inlineStr">
        <is>
          <t>Y6E</t>
        </is>
      </c>
      <c r="I3" s="8" t="inlineStr">
        <is>
          <t>Y7E</t>
        </is>
      </c>
      <c r="J3" s="8" t="inlineStr">
        <is>
          <t>Y8E</t>
        </is>
      </c>
      <c r="K3" s="8" t="inlineStr">
        <is>
          <t>Y9E</t>
        </is>
      </c>
      <c r="L3" s="8" t="inlineStr">
        <is>
          <t>Y10E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9" t="n">
        <v>-0.0101</v>
      </c>
      <c r="D5" s="9" t="n">
        <v>0.015</v>
      </c>
      <c r="E5" s="9" t="n">
        <v>0.025</v>
      </c>
      <c r="F5" s="9" t="n">
        <v>0.03</v>
      </c>
      <c r="G5" s="9" t="n">
        <v>0.03</v>
      </c>
      <c r="H5" s="9" t="n">
        <v>0.0275</v>
      </c>
      <c r="I5" s="9" t="n">
        <v>0.025</v>
      </c>
      <c r="J5" s="9" t="n">
        <v>0.025</v>
      </c>
      <c r="K5" s="9" t="n">
        <v>0.025</v>
      </c>
      <c r="L5" s="9" t="n">
        <v>0.025</v>
      </c>
    </row>
    <row r="6">
      <c r="A6" t="inlineStr">
        <is>
          <t>Revenue</t>
        </is>
      </c>
      <c r="B6" s="5" t="n">
        <v>286.256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EBITDA margin</t>
        </is>
      </c>
      <c r="C7" s="9" t="n">
        <v>0.15</v>
      </c>
      <c r="D7" s="9" t="n">
        <v>0.152</v>
      </c>
      <c r="E7" s="9" t="n">
        <v>0.155</v>
      </c>
      <c r="F7" s="9" t="n">
        <v>0.158</v>
      </c>
      <c r="G7" s="9" t="n">
        <v>0.16</v>
      </c>
      <c r="H7" s="9" t="n">
        <v>0.16</v>
      </c>
      <c r="I7" s="9" t="n">
        <v>0.16</v>
      </c>
      <c r="J7" s="9" t="n">
        <v>0.16</v>
      </c>
      <c r="K7" s="9" t="n">
        <v>0.16</v>
      </c>
      <c r="L7" s="9" t="n">
        <v>0.16</v>
      </c>
    </row>
    <row r="8">
      <c r="A8" t="inlineStr">
        <is>
          <t>Adjusted 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</row>
    <row r="10">
      <c r="A10" t="inlineStr">
        <is>
          <t>SBC $ (negative)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D&amp;A % of revenue</t>
        </is>
      </c>
      <c r="C12" s="9" t="n">
        <v>0.142</v>
      </c>
      <c r="D12" s="9" t="n">
        <v>0.139</v>
      </c>
      <c r="E12" s="9" t="n">
        <v>0.136</v>
      </c>
      <c r="F12" s="9" t="n">
        <v>0.133</v>
      </c>
      <c r="G12" s="9" t="n">
        <v>0.13</v>
      </c>
      <c r="H12" s="9" t="n">
        <v>0.128</v>
      </c>
      <c r="I12" s="9" t="n">
        <v>0.126</v>
      </c>
      <c r="J12" s="9" t="n">
        <v>0.124</v>
      </c>
      <c r="K12" s="9" t="n">
        <v>0.122</v>
      </c>
      <c r="L12" s="9" t="n">
        <v>0.12</v>
      </c>
    </row>
    <row r="13">
      <c r="A13" t="inlineStr">
        <is>
          <t>D&amp;A $ (negative)</t>
        </is>
      </c>
      <c r="C13">
        <f>-C6*C12</f>
        <v/>
      </c>
      <c r="D13">
        <f>-D6*D12</f>
        <v/>
      </c>
      <c r="E13">
        <f>-E6*E12</f>
        <v/>
      </c>
      <c r="F13">
        <f>-F6*F12</f>
        <v/>
      </c>
      <c r="G13">
        <f>-G6*G12</f>
        <v/>
      </c>
      <c r="H13">
        <f>-H6*H12</f>
        <v/>
      </c>
      <c r="I13">
        <f>-I6*I12</f>
        <v/>
      </c>
      <c r="J13">
        <f>-J6*J12</f>
        <v/>
      </c>
      <c r="K13">
        <f>-K6*K12</f>
        <v/>
      </c>
      <c r="L13">
        <f>-L6*L12</f>
        <v/>
      </c>
    </row>
    <row r="14">
      <c r="A14" t="inlineStr">
        <is>
          <t>EBIT (SBC expensed)</t>
        </is>
      </c>
      <c r="C14">
        <f>C11+C13</f>
        <v/>
      </c>
      <c r="D14">
        <f>D11+D13</f>
        <v/>
      </c>
      <c r="E14">
        <f>E11+E13</f>
        <v/>
      </c>
      <c r="F14">
        <f>F11+F13</f>
        <v/>
      </c>
      <c r="G14">
        <f>G11+G13</f>
        <v/>
      </c>
      <c r="H14">
        <f>H11+H13</f>
        <v/>
      </c>
      <c r="I14">
        <f>I11+I13</f>
        <v/>
      </c>
      <c r="J14">
        <f>J11+J13</f>
        <v/>
      </c>
      <c r="K14">
        <f>K11+K13</f>
        <v/>
      </c>
      <c r="L14">
        <f>L11+L13</f>
        <v/>
      </c>
    </row>
    <row r="15">
      <c r="A15" t="inlineStr">
        <is>
          <t>Interest on bank debt % of rev</t>
        </is>
      </c>
      <c r="C15" s="10" t="n">
        <v>0.0095</v>
      </c>
      <c r="D15" s="10" t="n">
        <v>0.008500000000000001</v>
      </c>
      <c r="E15" s="10" t="n">
        <v>0.0075</v>
      </c>
      <c r="F15" s="10" t="n">
        <v>0.006500000000000001</v>
      </c>
      <c r="G15" s="10" t="n">
        <v>0.006</v>
      </c>
      <c r="H15" s="10" t="n">
        <v>0.005500000000000001</v>
      </c>
      <c r="I15" s="10" t="n">
        <v>0.005</v>
      </c>
      <c r="J15" s="10" t="n">
        <v>0.005</v>
      </c>
      <c r="K15" s="10" t="n">
        <v>0.005</v>
      </c>
      <c r="L15" s="10" t="n">
        <v>0.005</v>
      </c>
    </row>
    <row r="16">
      <c r="A16" t="inlineStr">
        <is>
          <t>Interest $ (negative)</t>
        </is>
      </c>
      <c r="C16">
        <f>-C6*C15</f>
        <v/>
      </c>
      <c r="D16">
        <f>-D6*D15</f>
        <v/>
      </c>
      <c r="E16">
        <f>-E6*E15</f>
        <v/>
      </c>
      <c r="F16">
        <f>-F6*F15</f>
        <v/>
      </c>
      <c r="G16">
        <f>-G6*G15</f>
        <v/>
      </c>
      <c r="H16">
        <f>-H6*H15</f>
        <v/>
      </c>
      <c r="I16">
        <f>-I6*I15</f>
        <v/>
      </c>
      <c r="J16">
        <f>-J6*J15</f>
        <v/>
      </c>
      <c r="K16">
        <f>-K6*K15</f>
        <v/>
      </c>
      <c r="L16">
        <f>-L6*L15</f>
        <v/>
      </c>
    </row>
    <row r="17">
      <c r="A17" t="inlineStr">
        <is>
          <t>Pretax income</t>
        </is>
      </c>
      <c r="C17">
        <f>C14+C16</f>
        <v/>
      </c>
      <c r="D17">
        <f>D14+D16</f>
        <v/>
      </c>
      <c r="E17">
        <f>E14+E16</f>
        <v/>
      </c>
      <c r="F17">
        <f>F14+F16</f>
        <v/>
      </c>
      <c r="G17">
        <f>G14+G16</f>
        <v/>
      </c>
      <c r="H17">
        <f>H14+H16</f>
        <v/>
      </c>
      <c r="I17">
        <f>I14+I16</f>
        <v/>
      </c>
      <c r="J17">
        <f>J14+J16</f>
        <v/>
      </c>
      <c r="K17">
        <f>K14+K16</f>
        <v/>
      </c>
      <c r="L17">
        <f>L14+L16</f>
        <v/>
      </c>
    </row>
    <row r="18">
      <c r="A18" t="inlineStr">
        <is>
          <t>Cash tax rate</t>
        </is>
      </c>
      <c r="C18" s="11" t="n">
        <v>0</v>
      </c>
      <c r="D18" s="11" t="n">
        <v>0</v>
      </c>
      <c r="E18" s="11" t="n">
        <v>0.05</v>
      </c>
      <c r="F18" s="11" t="n">
        <v>0.1</v>
      </c>
      <c r="G18" s="11" t="n">
        <v>0.15</v>
      </c>
      <c r="H18" s="11" t="n">
        <v>0.2</v>
      </c>
      <c r="I18" s="11" t="n">
        <v>0.25</v>
      </c>
      <c r="J18" s="11" t="n">
        <v>0.28</v>
      </c>
      <c r="K18" s="11" t="n">
        <v>0.28</v>
      </c>
      <c r="L18" s="11" t="n">
        <v>0.28</v>
      </c>
    </row>
    <row r="19">
      <c r="A19" t="inlineStr">
        <is>
          <t>NOPAT</t>
        </is>
      </c>
      <c r="C19">
        <f>C17*(1-C18)</f>
        <v/>
      </c>
      <c r="D19">
        <f>D17*(1-D18)</f>
        <v/>
      </c>
      <c r="E19">
        <f>E17*(1-E18)</f>
        <v/>
      </c>
      <c r="F19">
        <f>F17*(1-F18)</f>
        <v/>
      </c>
      <c r="G19">
        <f>G17*(1-G18)</f>
        <v/>
      </c>
      <c r="H19">
        <f>H17*(1-H18)</f>
        <v/>
      </c>
      <c r="I19">
        <f>I17*(1-I18)</f>
        <v/>
      </c>
      <c r="J19">
        <f>J17*(1-J18)</f>
        <v/>
      </c>
      <c r="K19">
        <f>K17*(1-K18)</f>
        <v/>
      </c>
      <c r="L19">
        <f>L17*(1-L18)</f>
        <v/>
      </c>
    </row>
    <row r="20">
      <c r="A20" t="inlineStr">
        <is>
          <t>add back D&amp;A</t>
        </is>
      </c>
      <c r="C20">
        <f>-C13</f>
        <v/>
      </c>
      <c r="D20">
        <f>-D13</f>
        <v/>
      </c>
      <c r="E20">
        <f>-E13</f>
        <v/>
      </c>
      <c r="F20">
        <f>-F13</f>
        <v/>
      </c>
      <c r="G20">
        <f>-G13</f>
        <v/>
      </c>
      <c r="H20">
        <f>-H13</f>
        <v/>
      </c>
      <c r="I20">
        <f>-I13</f>
        <v/>
      </c>
      <c r="J20">
        <f>-J13</f>
        <v/>
      </c>
      <c r="K20">
        <f>-K13</f>
        <v/>
      </c>
      <c r="L20">
        <f>-L13</f>
        <v/>
      </c>
    </row>
    <row r="21">
      <c r="A21" t="inlineStr">
        <is>
          <t>Lease principal % of revenue</t>
        </is>
      </c>
      <c r="C21" s="10" t="n">
        <v>0.1075</v>
      </c>
      <c r="D21" s="10" t="n">
        <v>0.1065</v>
      </c>
      <c r="E21" s="10" t="n">
        <v>0.1055</v>
      </c>
      <c r="F21" s="10" t="n">
        <v>0.104</v>
      </c>
      <c r="G21" s="10" t="n">
        <v>0.1025</v>
      </c>
      <c r="H21" s="10" t="n">
        <v>0.101</v>
      </c>
      <c r="I21" s="10" t="n">
        <v>0.09949999999999999</v>
      </c>
      <c r="J21" s="10" t="n">
        <v>0.098</v>
      </c>
      <c r="K21" s="10" t="n">
        <v>0.0965</v>
      </c>
      <c r="L21" s="10" t="n">
        <v>0.095</v>
      </c>
    </row>
    <row r="22">
      <c r="A22" t="inlineStr">
        <is>
          <t>less lease principal</t>
        </is>
      </c>
      <c r="C22">
        <f>-C6*C21</f>
        <v/>
      </c>
      <c r="D22">
        <f>-D6*D21</f>
        <v/>
      </c>
      <c r="E22">
        <f>-E6*E21</f>
        <v/>
      </c>
      <c r="F22">
        <f>-F6*F21</f>
        <v/>
      </c>
      <c r="G22">
        <f>-G6*G21</f>
        <v/>
      </c>
      <c r="H22">
        <f>-H6*H21</f>
        <v/>
      </c>
      <c r="I22">
        <f>-I6*I21</f>
        <v/>
      </c>
      <c r="J22">
        <f>-J6*J21</f>
        <v/>
      </c>
      <c r="K22">
        <f>-K6*K21</f>
        <v/>
      </c>
      <c r="L22">
        <f>-L6*L21</f>
        <v/>
      </c>
    </row>
    <row r="23">
      <c r="A23" t="inlineStr">
        <is>
          <t>less PPE capex</t>
        </is>
      </c>
      <c r="C23">
        <f>-C6*Assumptions!$B$6</f>
        <v/>
      </c>
      <c r="D23">
        <f>-D6*Assumptions!$B$6</f>
        <v/>
      </c>
      <c r="E23">
        <f>-E6*Assumptions!$B$6</f>
        <v/>
      </c>
      <c r="F23">
        <f>-F6*Assumptions!$B$6</f>
        <v/>
      </c>
      <c r="G23">
        <f>-G6*Assumptions!$B$6</f>
        <v/>
      </c>
      <c r="H23">
        <f>-H6*Assumptions!$B$6</f>
        <v/>
      </c>
      <c r="I23">
        <f>-I6*Assumptions!$B$6</f>
        <v/>
      </c>
      <c r="J23">
        <f>-J6*Assumptions!$B$6</f>
        <v/>
      </c>
      <c r="K23">
        <f>-K6*Assumptions!$B$6</f>
        <v/>
      </c>
      <c r="L23">
        <f>-L6*Assumptions!$B$6</f>
        <v/>
      </c>
    </row>
    <row r="24">
      <c r="A24" t="inlineStr">
        <is>
          <t>add WC (capture x rev change)</t>
        </is>
      </c>
      <c r="C24">
        <f>Assumptions!$B$7*(C6-B6)</f>
        <v/>
      </c>
      <c r="D24">
        <f>Assumptions!$B$7*(D6-C6)</f>
        <v/>
      </c>
      <c r="E24">
        <f>Assumptions!$B$7*(E6-D6)</f>
        <v/>
      </c>
      <c r="F24">
        <f>Assumptions!$B$7*(F6-E6)</f>
        <v/>
      </c>
      <c r="G24">
        <f>Assumptions!$B$7*(G6-F6)</f>
        <v/>
      </c>
      <c r="H24">
        <f>Assumptions!$B$7*(H6-G6)</f>
        <v/>
      </c>
      <c r="I24">
        <f>Assumptions!$B$7*(I6-H6)</f>
        <v/>
      </c>
      <c r="J24">
        <f>Assumptions!$B$7*(J6-I6)</f>
        <v/>
      </c>
      <c r="K24">
        <f>Assumptions!$B$7*(K6-J6)</f>
        <v/>
      </c>
      <c r="L24">
        <f>Assumptions!$B$7*(L6-K6)</f>
        <v/>
      </c>
    </row>
    <row r="25">
      <c r="A25" t="inlineStr">
        <is>
          <t>less residual restructuring cash cost</t>
        </is>
      </c>
      <c r="C25" s="12" t="n">
        <v>-2</v>
      </c>
      <c r="D25" s="12" t="n">
        <v>-0.8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</row>
    <row r="26">
      <c r="A26" s="2" t="inlineStr">
        <is>
          <t>Unlevered owner FCF</t>
        </is>
      </c>
      <c r="C26" s="2">
        <f>C19+C20+C22+C23+C24+C25</f>
        <v/>
      </c>
      <c r="D26" s="2">
        <f>D19+D20+D22+D23+D24+D25</f>
        <v/>
      </c>
      <c r="E26" s="2">
        <f>E19+E20+E22+E23+E24+E25</f>
        <v/>
      </c>
      <c r="F26" s="2">
        <f>F19+F20+F22+F23+F24+F25</f>
        <v/>
      </c>
      <c r="G26" s="2">
        <f>G19+G20+G22+G23+G24+G25</f>
        <v/>
      </c>
      <c r="H26" s="2">
        <f>H19+H20+H22+H23+H24+H25</f>
        <v/>
      </c>
      <c r="I26" s="2">
        <f>I19+I20+I22+I23+I24+I25</f>
        <v/>
      </c>
      <c r="J26" s="2">
        <f>J19+J20+J22+J23+J24+J25</f>
        <v/>
      </c>
      <c r="K26" s="2">
        <f>K19+K20+K22+K23+K24+K25</f>
        <v/>
      </c>
      <c r="L26" s="2">
        <f>L19+L20+L22+L23+L24+L25</f>
        <v/>
      </c>
    </row>
    <row r="27">
      <c r="A27" t="inlineStr">
        <is>
          <t>Discount factor</t>
        </is>
      </c>
      <c r="C27">
        <f>1/(1+Assumptions!$B$3)^C4</f>
        <v/>
      </c>
      <c r="D27">
        <f>1/(1+Assumptions!$B$3)^D4</f>
        <v/>
      </c>
      <c r="E27">
        <f>1/(1+Assumptions!$B$3)^E4</f>
        <v/>
      </c>
      <c r="F27">
        <f>1/(1+Assumptions!$B$3)^F4</f>
        <v/>
      </c>
      <c r="G27">
        <f>1/(1+Assumptions!$B$3)^G4</f>
        <v/>
      </c>
      <c r="H27">
        <f>1/(1+Assumptions!$B$3)^H4</f>
        <v/>
      </c>
      <c r="I27">
        <f>1/(1+Assumptions!$B$3)^I4</f>
        <v/>
      </c>
      <c r="J27">
        <f>1/(1+Assumptions!$B$3)^J4</f>
        <v/>
      </c>
      <c r="K27">
        <f>1/(1+Assumptions!$B$3)^K4</f>
        <v/>
      </c>
      <c r="L27">
        <f>1/(1+Assumptions!$B$3)^L4</f>
        <v/>
      </c>
    </row>
    <row r="28">
      <c r="A28" t="inlineStr">
        <is>
          <t>PV of FCF</t>
        </is>
      </c>
      <c r="C28">
        <f>C26*C27</f>
        <v/>
      </c>
      <c r="D28">
        <f>D26*D27</f>
        <v/>
      </c>
      <c r="E28">
        <f>E26*E27</f>
        <v/>
      </c>
      <c r="F28">
        <f>F26*F27</f>
        <v/>
      </c>
      <c r="G28">
        <f>G26*G27</f>
        <v/>
      </c>
      <c r="H28">
        <f>H26*H27</f>
        <v/>
      </c>
      <c r="I28">
        <f>I26*I27</f>
        <v/>
      </c>
      <c r="J28">
        <f>J26*J27</f>
        <v/>
      </c>
      <c r="K28">
        <f>K26*K27</f>
        <v/>
      </c>
      <c r="L28">
        <f>L26*L27</f>
        <v/>
      </c>
    </row>
    <row r="30">
      <c r="A30" t="inlineStr">
        <is>
          <t>Memo: implied owner-FCF margin</t>
        </is>
      </c>
      <c r="C30" s="13">
        <f>C26/C6</f>
        <v/>
      </c>
      <c r="D30" s="13">
        <f>D26/D6</f>
        <v/>
      </c>
      <c r="E30" s="13">
        <f>E26/E6</f>
        <v/>
      </c>
      <c r="F30" s="13">
        <f>F26/F6</f>
        <v/>
      </c>
      <c r="G30" s="13">
        <f>G26/G6</f>
        <v/>
      </c>
      <c r="H30" s="13">
        <f>H26/H6</f>
        <v/>
      </c>
      <c r="I30" s="13">
        <f>I26/I6</f>
        <v/>
      </c>
      <c r="J30" s="13">
        <f>J26/J6</f>
        <v/>
      </c>
      <c r="K30" s="13">
        <f>K26/K6</f>
        <v/>
      </c>
      <c r="L30" s="13">
        <f>L26/L6</f>
        <v/>
      </c>
    </row>
    <row r="32">
      <c r="A32" s="14" t="inlineStr">
        <is>
          <t>Sum PV of FCF (Y1-Y10)</t>
        </is>
      </c>
      <c r="B32">
        <f>SUM(C28:L28)</f>
        <v/>
      </c>
    </row>
    <row r="33">
      <c r="A33" s="14" t="inlineStr">
        <is>
          <t>Terminal growth</t>
        </is>
      </c>
      <c r="B33" s="13">
        <f>Assumptions!$B$18</f>
        <v/>
      </c>
    </row>
    <row r="34">
      <c r="A34" s="14" t="inlineStr">
        <is>
          <t>Terminal FCF (Y11)</t>
        </is>
      </c>
      <c r="B34">
        <f>L26*(1+B33)</f>
        <v/>
      </c>
    </row>
    <row r="35">
      <c r="A35" s="14" t="inlineStr">
        <is>
          <t>Gordon TV</t>
        </is>
      </c>
      <c r="B35">
        <f>IF(Assumptions!$B$3&gt;B33, B34/(Assumptions!$B$3-B33), "n/a")</f>
        <v/>
      </c>
    </row>
    <row r="36">
      <c r="A36" s="14" t="inlineStr">
        <is>
          <t>Cap TV</t>
        </is>
      </c>
      <c r="B36">
        <f>Assumptions!$B$11*L26</f>
        <v/>
      </c>
    </row>
    <row r="37">
      <c r="A37" s="2" t="inlineStr">
        <is>
          <t>TV used = MAX(0,MIN(Gordon,Cap))</t>
        </is>
      </c>
      <c r="B37" s="2">
        <f>IF(L26&gt;0, MAX(0,MIN(IF(ISNUMBER(B35),B35,B36),B36)), 0)</f>
        <v/>
      </c>
    </row>
    <row r="38">
      <c r="A38" s="14" t="inlineStr">
        <is>
          <t>Implied exit multiple (TV/Y10 FCF)</t>
        </is>
      </c>
      <c r="B38">
        <f>IF(L26&gt;0,B37/L26,"n/a")</f>
        <v/>
      </c>
    </row>
    <row r="39">
      <c r="A39" s="14" t="inlineStr">
        <is>
          <t>PV of TV</t>
        </is>
      </c>
      <c r="B39">
        <f>B37*L27</f>
        <v/>
      </c>
    </row>
    <row r="40">
      <c r="A40" s="2" t="inlineStr">
        <is>
          <t>Enterprise value</t>
        </is>
      </c>
      <c r="B40">
        <f>B32+B39</f>
        <v/>
      </c>
    </row>
    <row r="41">
      <c r="A41" s="14" t="inlineStr">
        <is>
          <t>less net debt (bank-only)</t>
        </is>
      </c>
      <c r="B41">
        <f>-Assumptions!$B$8</f>
        <v/>
      </c>
    </row>
    <row r="42">
      <c r="A42" s="2" t="inlineStr">
        <is>
          <t>Equity value</t>
        </is>
      </c>
      <c r="B42">
        <f>B40+B41</f>
        <v/>
      </c>
    </row>
    <row r="43">
      <c r="A43" s="14" t="inlineStr">
        <is>
          <t>Diluted shares (m)</t>
        </is>
      </c>
      <c r="B43">
        <f>Assumptions!$B$9</f>
        <v/>
      </c>
    </row>
    <row r="44">
      <c r="A44" s="2" t="inlineStr">
        <is>
          <t>Value per share (INTRINSIC VALUE)</t>
        </is>
      </c>
      <c r="B44" s="15">
        <f>B42/B43</f>
        <v/>
      </c>
    </row>
    <row r="45">
      <c r="A45" s="14" t="inlineStr">
        <is>
          <t>Upside vs current price</t>
        </is>
      </c>
      <c r="B45" s="13">
        <f>B44/Assumptions!$B$10-1</f>
        <v/>
      </c>
    </row>
    <row r="46">
      <c r="A46" s="14" t="inlineStr">
        <is>
          <t>Terminal value % of EV</t>
        </is>
      </c>
      <c r="B46" s="13">
        <f>B39/B40</f>
        <v/>
      </c>
    </row>
    <row r="48">
      <c r="A48" t="inlineStr">
        <is>
          <t>Street memo: PV explicit SBC (all zero, SBC-zero market)</t>
        </is>
      </c>
      <c r="B48">
        <f>SUMPRODUCT(-C10:L10,1/(1+Assumptions!$B$3)^C4:L4)</f>
        <v/>
      </c>
    </row>
    <row r="49">
      <c r="A49" t="inlineStr">
        <is>
          <t>Street memo: PV terminal SBC (zero)</t>
        </is>
      </c>
      <c r="B49">
        <f>IF(C9=0,0,"n/a")</f>
        <v/>
      </c>
    </row>
    <row r="50">
      <c r="A50" t="inlineStr">
        <is>
          <t>Street value per share (= house, SBC-zero)</t>
        </is>
      </c>
      <c r="B50" s="16">
        <f>(B42+B48+IF(ISNUMBER(B49),B49,0))/B43</f>
        <v/>
      </c>
    </row>
    <row r="52">
      <c r="A52" s="6" t="inlineStr">
        <is>
          <t>Note: Only rows 5, 7, 9, 12, 15, 18, 21, 25 are hardcoded drivers (yellow). Everything else is a formula.</t>
        </is>
      </c>
    </row>
    <row r="53">
      <c r="A53" s="6" t="inlineStr">
        <is>
          <t>Note: SBC row 9-10 held at 0% throughout -- SBC-zero market (section 7e); street value = house value.</t>
        </is>
      </c>
    </row>
    <row r="54">
      <c r="A54" s="6" t="inlineStr">
        <is>
          <t>Note: Row 22 (lease principal) is the section 7(b) treatment-B deduction: MOV's largely-leased fleet means lease principal, not PPE capex, is the real fleet-renewal cash 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MOV.NZ -- Bull Case DCF (NZD millions except per-share)</t>
        </is>
      </c>
    </row>
    <row r="3">
      <c r="A3" t="inlineStr">
        <is>
          <t>Year</t>
        </is>
      </c>
      <c r="B3" s="8" t="inlineStr">
        <is>
          <t>2025A</t>
        </is>
      </c>
      <c r="C3" s="8" t="inlineStr">
        <is>
          <t>Y1E</t>
        </is>
      </c>
      <c r="D3" s="8" t="inlineStr">
        <is>
          <t>Y2E</t>
        </is>
      </c>
      <c r="E3" s="8" t="inlineStr">
        <is>
          <t>Y3E</t>
        </is>
      </c>
      <c r="F3" s="8" t="inlineStr">
        <is>
          <t>Y4E</t>
        </is>
      </c>
      <c r="G3" s="8" t="inlineStr">
        <is>
          <t>Y5E</t>
        </is>
      </c>
      <c r="H3" s="8" t="inlineStr">
        <is>
          <t>Y6E</t>
        </is>
      </c>
      <c r="I3" s="8" t="inlineStr">
        <is>
          <t>Y7E</t>
        </is>
      </c>
      <c r="J3" s="8" t="inlineStr">
        <is>
          <t>Y8E</t>
        </is>
      </c>
      <c r="K3" s="8" t="inlineStr">
        <is>
          <t>Y9E</t>
        </is>
      </c>
      <c r="L3" s="8" t="inlineStr">
        <is>
          <t>Y10E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9" t="n">
        <v>0.01</v>
      </c>
      <c r="D5" s="9" t="n">
        <v>0.04</v>
      </c>
      <c r="E5" s="9" t="n">
        <v>0.055</v>
      </c>
      <c r="F5" s="9" t="n">
        <v>0.06</v>
      </c>
      <c r="G5" s="9" t="n">
        <v>0.06</v>
      </c>
      <c r="H5" s="9" t="n">
        <v>0.05</v>
      </c>
      <c r="I5" s="9" t="n">
        <v>0.04</v>
      </c>
      <c r="J5" s="9" t="n">
        <v>0.035</v>
      </c>
      <c r="K5" s="9" t="n">
        <v>0.03</v>
      </c>
      <c r="L5" s="9" t="n">
        <v>0.03</v>
      </c>
    </row>
    <row r="6">
      <c r="A6" t="inlineStr">
        <is>
          <t>Revenue</t>
        </is>
      </c>
      <c r="B6" s="5" t="n">
        <v>286.256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EBITDA margin</t>
        </is>
      </c>
      <c r="C7" s="9" t="n">
        <v>0.155</v>
      </c>
      <c r="D7" s="9" t="n">
        <v>0.163</v>
      </c>
      <c r="E7" s="9" t="n">
        <v>0.17</v>
      </c>
      <c r="F7" s="9" t="n">
        <v>0.175</v>
      </c>
      <c r="G7" s="9" t="n">
        <v>0.18</v>
      </c>
      <c r="H7" s="9" t="n">
        <v>0.183</v>
      </c>
      <c r="I7" s="9" t="n">
        <v>0.185</v>
      </c>
      <c r="J7" s="9" t="n">
        <v>0.187</v>
      </c>
      <c r="K7" s="9" t="n">
        <v>0.19</v>
      </c>
      <c r="L7" s="9" t="n">
        <v>0.19</v>
      </c>
    </row>
    <row r="8">
      <c r="A8" t="inlineStr">
        <is>
          <t>Adjusted 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</row>
    <row r="10">
      <c r="A10" t="inlineStr">
        <is>
          <t>SBC $ (negative)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D&amp;A % of revenue</t>
        </is>
      </c>
      <c r="C12" s="9" t="n">
        <v>0.14</v>
      </c>
      <c r="D12" s="9" t="n">
        <v>0.135</v>
      </c>
      <c r="E12" s="9" t="n">
        <v>0.13</v>
      </c>
      <c r="F12" s="9" t="n">
        <v>0.126</v>
      </c>
      <c r="G12" s="9" t="n">
        <v>0.122</v>
      </c>
      <c r="H12" s="9" t="n">
        <v>0.12</v>
      </c>
      <c r="I12" s="9" t="n">
        <v>0.118</v>
      </c>
      <c r="J12" s="9" t="n">
        <v>0.116</v>
      </c>
      <c r="K12" s="9" t="n">
        <v>0.114</v>
      </c>
      <c r="L12" s="9" t="n">
        <v>0.112</v>
      </c>
    </row>
    <row r="13">
      <c r="A13" t="inlineStr">
        <is>
          <t>D&amp;A $ (negative)</t>
        </is>
      </c>
      <c r="C13">
        <f>-C6*C12</f>
        <v/>
      </c>
      <c r="D13">
        <f>-D6*D12</f>
        <v/>
      </c>
      <c r="E13">
        <f>-E6*E12</f>
        <v/>
      </c>
      <c r="F13">
        <f>-F6*F12</f>
        <v/>
      </c>
      <c r="G13">
        <f>-G6*G12</f>
        <v/>
      </c>
      <c r="H13">
        <f>-H6*H12</f>
        <v/>
      </c>
      <c r="I13">
        <f>-I6*I12</f>
        <v/>
      </c>
      <c r="J13">
        <f>-J6*J12</f>
        <v/>
      </c>
      <c r="K13">
        <f>-K6*K12</f>
        <v/>
      </c>
      <c r="L13">
        <f>-L6*L12</f>
        <v/>
      </c>
    </row>
    <row r="14">
      <c r="A14" t="inlineStr">
        <is>
          <t>EBIT (SBC expensed)</t>
        </is>
      </c>
      <c r="C14">
        <f>C11+C13</f>
        <v/>
      </c>
      <c r="D14">
        <f>D11+D13</f>
        <v/>
      </c>
      <c r="E14">
        <f>E11+E13</f>
        <v/>
      </c>
      <c r="F14">
        <f>F11+F13</f>
        <v/>
      </c>
      <c r="G14">
        <f>G11+G13</f>
        <v/>
      </c>
      <c r="H14">
        <f>H11+H13</f>
        <v/>
      </c>
      <c r="I14">
        <f>I11+I13</f>
        <v/>
      </c>
      <c r="J14">
        <f>J11+J13</f>
        <v/>
      </c>
      <c r="K14">
        <f>K11+K13</f>
        <v/>
      </c>
      <c r="L14">
        <f>L11+L13</f>
        <v/>
      </c>
    </row>
    <row r="15">
      <c r="A15" t="inlineStr">
        <is>
          <t>Interest on bank debt % of rev</t>
        </is>
      </c>
      <c r="C15" s="10" t="n">
        <v>0.009000000000000001</v>
      </c>
      <c r="D15" s="10" t="n">
        <v>0.006999999999999999</v>
      </c>
      <c r="E15" s="10" t="n">
        <v>0.005500000000000001</v>
      </c>
      <c r="F15" s="10" t="n">
        <v>0.004500000000000001</v>
      </c>
      <c r="G15" s="10" t="n">
        <v>0.004</v>
      </c>
      <c r="H15" s="10" t="n">
        <v>0.0035</v>
      </c>
      <c r="I15" s="10" t="n">
        <v>0.003</v>
      </c>
      <c r="J15" s="10" t="n">
        <v>0.003</v>
      </c>
      <c r="K15" s="10" t="n">
        <v>0.003</v>
      </c>
      <c r="L15" s="10" t="n">
        <v>0.003</v>
      </c>
    </row>
    <row r="16">
      <c r="A16" t="inlineStr">
        <is>
          <t>Interest $ (negative)</t>
        </is>
      </c>
      <c r="C16">
        <f>-C6*C15</f>
        <v/>
      </c>
      <c r="D16">
        <f>-D6*D15</f>
        <v/>
      </c>
      <c r="E16">
        <f>-E6*E15</f>
        <v/>
      </c>
      <c r="F16">
        <f>-F6*F15</f>
        <v/>
      </c>
      <c r="G16">
        <f>-G6*G15</f>
        <v/>
      </c>
      <c r="H16">
        <f>-H6*H15</f>
        <v/>
      </c>
      <c r="I16">
        <f>-I6*I15</f>
        <v/>
      </c>
      <c r="J16">
        <f>-J6*J15</f>
        <v/>
      </c>
      <c r="K16">
        <f>-K6*K15</f>
        <v/>
      </c>
      <c r="L16">
        <f>-L6*L15</f>
        <v/>
      </c>
    </row>
    <row r="17">
      <c r="A17" t="inlineStr">
        <is>
          <t>Pretax income</t>
        </is>
      </c>
      <c r="C17">
        <f>C14+C16</f>
        <v/>
      </c>
      <c r="D17">
        <f>D14+D16</f>
        <v/>
      </c>
      <c r="E17">
        <f>E14+E16</f>
        <v/>
      </c>
      <c r="F17">
        <f>F14+F16</f>
        <v/>
      </c>
      <c r="G17">
        <f>G14+G16</f>
        <v/>
      </c>
      <c r="H17">
        <f>H14+H16</f>
        <v/>
      </c>
      <c r="I17">
        <f>I14+I16</f>
        <v/>
      </c>
      <c r="J17">
        <f>J14+J16</f>
        <v/>
      </c>
      <c r="K17">
        <f>K14+K16</f>
        <v/>
      </c>
      <c r="L17">
        <f>L14+L16</f>
        <v/>
      </c>
    </row>
    <row r="18">
      <c r="A18" t="inlineStr">
        <is>
          <t>Cash tax rate</t>
        </is>
      </c>
      <c r="C18" s="11" t="n">
        <v>0</v>
      </c>
      <c r="D18" s="11" t="n">
        <v>0</v>
      </c>
      <c r="E18" s="11" t="n">
        <v>0.08</v>
      </c>
      <c r="F18" s="11" t="n">
        <v>0.15</v>
      </c>
      <c r="G18" s="11" t="n">
        <v>0.2</v>
      </c>
      <c r="H18" s="11" t="n">
        <v>0.25</v>
      </c>
      <c r="I18" s="11" t="n">
        <v>0.28</v>
      </c>
      <c r="J18" s="11" t="n">
        <v>0.28</v>
      </c>
      <c r="K18" s="11" t="n">
        <v>0.28</v>
      </c>
      <c r="L18" s="11" t="n">
        <v>0.28</v>
      </c>
    </row>
    <row r="19">
      <c r="A19" t="inlineStr">
        <is>
          <t>NOPAT</t>
        </is>
      </c>
      <c r="C19">
        <f>C17*(1-C18)</f>
        <v/>
      </c>
      <c r="D19">
        <f>D17*(1-D18)</f>
        <v/>
      </c>
      <c r="E19">
        <f>E17*(1-E18)</f>
        <v/>
      </c>
      <c r="F19">
        <f>F17*(1-F18)</f>
        <v/>
      </c>
      <c r="G19">
        <f>G17*(1-G18)</f>
        <v/>
      </c>
      <c r="H19">
        <f>H17*(1-H18)</f>
        <v/>
      </c>
      <c r="I19">
        <f>I17*(1-I18)</f>
        <v/>
      </c>
      <c r="J19">
        <f>J17*(1-J18)</f>
        <v/>
      </c>
      <c r="K19">
        <f>K17*(1-K18)</f>
        <v/>
      </c>
      <c r="L19">
        <f>L17*(1-L18)</f>
        <v/>
      </c>
    </row>
    <row r="20">
      <c r="A20" t="inlineStr">
        <is>
          <t>add back D&amp;A</t>
        </is>
      </c>
      <c r="C20">
        <f>-C13</f>
        <v/>
      </c>
      <c r="D20">
        <f>-D13</f>
        <v/>
      </c>
      <c r="E20">
        <f>-E13</f>
        <v/>
      </c>
      <c r="F20">
        <f>-F13</f>
        <v/>
      </c>
      <c r="G20">
        <f>-G13</f>
        <v/>
      </c>
      <c r="H20">
        <f>-H13</f>
        <v/>
      </c>
      <c r="I20">
        <f>-I13</f>
        <v/>
      </c>
      <c r="J20">
        <f>-J13</f>
        <v/>
      </c>
      <c r="K20">
        <f>-K13</f>
        <v/>
      </c>
      <c r="L20">
        <f>-L13</f>
        <v/>
      </c>
    </row>
    <row r="21">
      <c r="A21" t="inlineStr">
        <is>
          <t>Lease principal % of revenue</t>
        </is>
      </c>
      <c r="C21" s="10" t="n">
        <v>0.106</v>
      </c>
      <c r="D21" s="10" t="n">
        <v>0.103</v>
      </c>
      <c r="E21" s="10" t="n">
        <v>0.1</v>
      </c>
      <c r="F21" s="10" t="n">
        <v>0.09699999999999999</v>
      </c>
      <c r="G21" s="10" t="n">
        <v>0.094</v>
      </c>
      <c r="H21" s="10" t="n">
        <v>0.092</v>
      </c>
      <c r="I21" s="10" t="n">
        <v>0.09</v>
      </c>
      <c r="J21" s="10" t="n">
        <v>0.08800000000000001</v>
      </c>
      <c r="K21" s="10" t="n">
        <v>0.08599999999999999</v>
      </c>
      <c r="L21" s="10" t="n">
        <v>0.08500000000000001</v>
      </c>
    </row>
    <row r="22">
      <c r="A22" t="inlineStr">
        <is>
          <t>less lease principal</t>
        </is>
      </c>
      <c r="C22">
        <f>-C6*C21</f>
        <v/>
      </c>
      <c r="D22">
        <f>-D6*D21</f>
        <v/>
      </c>
      <c r="E22">
        <f>-E6*E21</f>
        <v/>
      </c>
      <c r="F22">
        <f>-F6*F21</f>
        <v/>
      </c>
      <c r="G22">
        <f>-G6*G21</f>
        <v/>
      </c>
      <c r="H22">
        <f>-H6*H21</f>
        <v/>
      </c>
      <c r="I22">
        <f>-I6*I21</f>
        <v/>
      </c>
      <c r="J22">
        <f>-J6*J21</f>
        <v/>
      </c>
      <c r="K22">
        <f>-K6*K21</f>
        <v/>
      </c>
      <c r="L22">
        <f>-L6*L21</f>
        <v/>
      </c>
    </row>
    <row r="23">
      <c r="A23" t="inlineStr">
        <is>
          <t>less PPE capex</t>
        </is>
      </c>
      <c r="C23">
        <f>-C6*Assumptions!$B$6</f>
        <v/>
      </c>
      <c r="D23">
        <f>-D6*Assumptions!$B$6</f>
        <v/>
      </c>
      <c r="E23">
        <f>-E6*Assumptions!$B$6</f>
        <v/>
      </c>
      <c r="F23">
        <f>-F6*Assumptions!$B$6</f>
        <v/>
      </c>
      <c r="G23">
        <f>-G6*Assumptions!$B$6</f>
        <v/>
      </c>
      <c r="H23">
        <f>-H6*Assumptions!$B$6</f>
        <v/>
      </c>
      <c r="I23">
        <f>-I6*Assumptions!$B$6</f>
        <v/>
      </c>
      <c r="J23">
        <f>-J6*Assumptions!$B$6</f>
        <v/>
      </c>
      <c r="K23">
        <f>-K6*Assumptions!$B$6</f>
        <v/>
      </c>
      <c r="L23">
        <f>-L6*Assumptions!$B$6</f>
        <v/>
      </c>
    </row>
    <row r="24">
      <c r="A24" t="inlineStr">
        <is>
          <t>add WC (capture x rev change)</t>
        </is>
      </c>
      <c r="C24">
        <f>Assumptions!$B$7*(C6-B6)</f>
        <v/>
      </c>
      <c r="D24">
        <f>Assumptions!$B$7*(D6-C6)</f>
        <v/>
      </c>
      <c r="E24">
        <f>Assumptions!$B$7*(E6-D6)</f>
        <v/>
      </c>
      <c r="F24">
        <f>Assumptions!$B$7*(F6-E6)</f>
        <v/>
      </c>
      <c r="G24">
        <f>Assumptions!$B$7*(G6-F6)</f>
        <v/>
      </c>
      <c r="H24">
        <f>Assumptions!$B$7*(H6-G6)</f>
        <v/>
      </c>
      <c r="I24">
        <f>Assumptions!$B$7*(I6-H6)</f>
        <v/>
      </c>
      <c r="J24">
        <f>Assumptions!$B$7*(J6-I6)</f>
        <v/>
      </c>
      <c r="K24">
        <f>Assumptions!$B$7*(K6-J6)</f>
        <v/>
      </c>
      <c r="L24">
        <f>Assumptions!$B$7*(L6-K6)</f>
        <v/>
      </c>
    </row>
    <row r="25">
      <c r="A25" t="inlineStr">
        <is>
          <t>less residual restructuring cash cost</t>
        </is>
      </c>
      <c r="C25" s="12" t="n">
        <v>-1.5</v>
      </c>
      <c r="D25" s="12" t="n">
        <v>-0.5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</row>
    <row r="26">
      <c r="A26" s="2" t="inlineStr">
        <is>
          <t>Unlevered owner FCF</t>
        </is>
      </c>
      <c r="C26" s="2">
        <f>C19+C20+C22+C23+C24+C25</f>
        <v/>
      </c>
      <c r="D26" s="2">
        <f>D19+D20+D22+D23+D24+D25</f>
        <v/>
      </c>
      <c r="E26" s="2">
        <f>E19+E20+E22+E23+E24+E25</f>
        <v/>
      </c>
      <c r="F26" s="2">
        <f>F19+F20+F22+F23+F24+F25</f>
        <v/>
      </c>
      <c r="G26" s="2">
        <f>G19+G20+G22+G23+G24+G25</f>
        <v/>
      </c>
      <c r="H26" s="2">
        <f>H19+H20+H22+H23+H24+H25</f>
        <v/>
      </c>
      <c r="I26" s="2">
        <f>I19+I20+I22+I23+I24+I25</f>
        <v/>
      </c>
      <c r="J26" s="2">
        <f>J19+J20+J22+J23+J24+J25</f>
        <v/>
      </c>
      <c r="K26" s="2">
        <f>K19+K20+K22+K23+K24+K25</f>
        <v/>
      </c>
      <c r="L26" s="2">
        <f>L19+L20+L22+L23+L24+L25</f>
        <v/>
      </c>
    </row>
    <row r="27">
      <c r="A27" t="inlineStr">
        <is>
          <t>Discount factor</t>
        </is>
      </c>
      <c r="C27">
        <f>1/(1+Assumptions!$B$3)^C4</f>
        <v/>
      </c>
      <c r="D27">
        <f>1/(1+Assumptions!$B$3)^D4</f>
        <v/>
      </c>
      <c r="E27">
        <f>1/(1+Assumptions!$B$3)^E4</f>
        <v/>
      </c>
      <c r="F27">
        <f>1/(1+Assumptions!$B$3)^F4</f>
        <v/>
      </c>
      <c r="G27">
        <f>1/(1+Assumptions!$B$3)^G4</f>
        <v/>
      </c>
      <c r="H27">
        <f>1/(1+Assumptions!$B$3)^H4</f>
        <v/>
      </c>
      <c r="I27">
        <f>1/(1+Assumptions!$B$3)^I4</f>
        <v/>
      </c>
      <c r="J27">
        <f>1/(1+Assumptions!$B$3)^J4</f>
        <v/>
      </c>
      <c r="K27">
        <f>1/(1+Assumptions!$B$3)^K4</f>
        <v/>
      </c>
      <c r="L27">
        <f>1/(1+Assumptions!$B$3)^L4</f>
        <v/>
      </c>
    </row>
    <row r="28">
      <c r="A28" t="inlineStr">
        <is>
          <t>PV of FCF</t>
        </is>
      </c>
      <c r="C28">
        <f>C26*C27</f>
        <v/>
      </c>
      <c r="D28">
        <f>D26*D27</f>
        <v/>
      </c>
      <c r="E28">
        <f>E26*E27</f>
        <v/>
      </c>
      <c r="F28">
        <f>F26*F27</f>
        <v/>
      </c>
      <c r="G28">
        <f>G26*G27</f>
        <v/>
      </c>
      <c r="H28">
        <f>H26*H27</f>
        <v/>
      </c>
      <c r="I28">
        <f>I26*I27</f>
        <v/>
      </c>
      <c r="J28">
        <f>J26*J27</f>
        <v/>
      </c>
      <c r="K28">
        <f>K26*K27</f>
        <v/>
      </c>
      <c r="L28">
        <f>L26*L27</f>
        <v/>
      </c>
    </row>
    <row r="30">
      <c r="A30" t="inlineStr">
        <is>
          <t>Memo: implied owner-FCF margin</t>
        </is>
      </c>
      <c r="C30" s="13">
        <f>C26/C6</f>
        <v/>
      </c>
      <c r="D30" s="13">
        <f>D26/D6</f>
        <v/>
      </c>
      <c r="E30" s="13">
        <f>E26/E6</f>
        <v/>
      </c>
      <c r="F30" s="13">
        <f>F26/F6</f>
        <v/>
      </c>
      <c r="G30" s="13">
        <f>G26/G6</f>
        <v/>
      </c>
      <c r="H30" s="13">
        <f>H26/H6</f>
        <v/>
      </c>
      <c r="I30" s="13">
        <f>I26/I6</f>
        <v/>
      </c>
      <c r="J30" s="13">
        <f>J26/J6</f>
        <v/>
      </c>
      <c r="K30" s="13">
        <f>K26/K6</f>
        <v/>
      </c>
      <c r="L30" s="13">
        <f>L26/L6</f>
        <v/>
      </c>
    </row>
    <row r="32">
      <c r="A32" s="14" t="inlineStr">
        <is>
          <t>Sum PV of FCF (Y1-Y10)</t>
        </is>
      </c>
      <c r="B32">
        <f>SUM(C28:L28)</f>
        <v/>
      </c>
    </row>
    <row r="33">
      <c r="A33" s="14" t="inlineStr">
        <is>
          <t>Terminal growth</t>
        </is>
      </c>
      <c r="B33" s="13">
        <f>Assumptions!$B$19</f>
        <v/>
      </c>
    </row>
    <row r="34">
      <c r="A34" s="14" t="inlineStr">
        <is>
          <t>Terminal FCF (Y11)</t>
        </is>
      </c>
      <c r="B34">
        <f>L26*(1+B33)</f>
        <v/>
      </c>
    </row>
    <row r="35">
      <c r="A35" s="14" t="inlineStr">
        <is>
          <t>Gordon TV</t>
        </is>
      </c>
      <c r="B35">
        <f>IF(Assumptions!$B$3&gt;B33, B34/(Assumptions!$B$3-B33), "n/a")</f>
        <v/>
      </c>
    </row>
    <row r="36">
      <c r="A36" s="14" t="inlineStr">
        <is>
          <t>Cap TV</t>
        </is>
      </c>
      <c r="B36">
        <f>Assumptions!$B$12*L26</f>
        <v/>
      </c>
    </row>
    <row r="37">
      <c r="A37" s="2" t="inlineStr">
        <is>
          <t>TV used = MAX(0,MIN(Gordon,Cap))</t>
        </is>
      </c>
      <c r="B37" s="2">
        <f>IF(L26&gt;0, MAX(0,MIN(IF(ISNUMBER(B35),B35,B36),B36)), 0)</f>
        <v/>
      </c>
    </row>
    <row r="38">
      <c r="A38" s="14" t="inlineStr">
        <is>
          <t>Implied exit multiple (TV/Y10 FCF)</t>
        </is>
      </c>
      <c r="B38">
        <f>IF(L26&gt;0,B37/L26,"n/a")</f>
        <v/>
      </c>
    </row>
    <row r="39">
      <c r="A39" s="14" t="inlineStr">
        <is>
          <t>PV of TV</t>
        </is>
      </c>
      <c r="B39">
        <f>B37*L27</f>
        <v/>
      </c>
    </row>
    <row r="40">
      <c r="A40" s="2" t="inlineStr">
        <is>
          <t>Enterprise value</t>
        </is>
      </c>
      <c r="B40">
        <f>B32+B39</f>
        <v/>
      </c>
    </row>
    <row r="41">
      <c r="A41" s="14" t="inlineStr">
        <is>
          <t>less net debt (bank-only)</t>
        </is>
      </c>
      <c r="B41">
        <f>-Assumptions!$B$8</f>
        <v/>
      </c>
    </row>
    <row r="42">
      <c r="A42" s="2" t="inlineStr">
        <is>
          <t>Equity value</t>
        </is>
      </c>
      <c r="B42">
        <f>B40+B41</f>
        <v/>
      </c>
    </row>
    <row r="43">
      <c r="A43" s="14" t="inlineStr">
        <is>
          <t>Diluted shares (m)</t>
        </is>
      </c>
      <c r="B43">
        <f>Assumptions!$B$9</f>
        <v/>
      </c>
    </row>
    <row r="44">
      <c r="A44" s="2" t="inlineStr">
        <is>
          <t>Value per share (INTRINSIC VALUE)</t>
        </is>
      </c>
      <c r="B44" s="15">
        <f>B42/B43</f>
        <v/>
      </c>
    </row>
    <row r="45">
      <c r="A45" s="14" t="inlineStr">
        <is>
          <t>Upside vs current price</t>
        </is>
      </c>
      <c r="B45" s="13">
        <f>B44/Assumptions!$B$10-1</f>
        <v/>
      </c>
    </row>
    <row r="46">
      <c r="A46" s="14" t="inlineStr">
        <is>
          <t>Terminal value % of EV</t>
        </is>
      </c>
      <c r="B46" s="13">
        <f>B39/B40</f>
        <v/>
      </c>
    </row>
    <row r="48">
      <c r="A48" t="inlineStr">
        <is>
          <t>Street memo: PV explicit SBC (all zero, SBC-zero market)</t>
        </is>
      </c>
      <c r="B48">
        <f>SUMPRODUCT(-C10:L10,1/(1+Assumptions!$B$3)^C4:L4)</f>
        <v/>
      </c>
    </row>
    <row r="49">
      <c r="A49" t="inlineStr">
        <is>
          <t>Street memo: PV terminal SBC (zero)</t>
        </is>
      </c>
      <c r="B49">
        <f>IF(C9=0,0,"n/a")</f>
        <v/>
      </c>
    </row>
    <row r="50">
      <c r="A50" t="inlineStr">
        <is>
          <t>Street value per share (= house, SBC-zero)</t>
        </is>
      </c>
      <c r="B50" s="16">
        <f>(B42+B48+IF(ISNUMBER(B49),B49,0))/B43</f>
        <v/>
      </c>
    </row>
    <row r="52">
      <c r="A52" s="6" t="inlineStr">
        <is>
          <t>Note: Only rows 5, 7, 9, 12, 15, 18, 21, 25 are hardcoded drivers (yellow). Everything else is a formula.</t>
        </is>
      </c>
    </row>
    <row r="53">
      <c r="A53" s="6" t="inlineStr">
        <is>
          <t>Note: SBC row 9-10 held at 0% throughout -- SBC-zero market (section 7e); street value = house value.</t>
        </is>
      </c>
    </row>
    <row r="54">
      <c r="A54" s="6" t="inlineStr">
        <is>
          <t>Note: Row 22 (lease principal) is the section 7(b) treatment-B deduction: MOV's largely-leased fleet means lease principal, not PPE capex, is the real fleet-renewal cash cost.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FCF Quality: Reported -&gt; Owner FCF Reconciliation</t>
        </is>
      </c>
    </row>
    <row r="3">
      <c r="A3" s="4" t="inlineStr"/>
      <c r="B3" s="4" t="inlineStr">
        <is>
          <t>FY2020</t>
        </is>
      </c>
      <c r="C3" s="4" t="inlineStr">
        <is>
          <t>FY2021</t>
        </is>
      </c>
      <c r="D3" s="4" t="inlineStr">
        <is>
          <t>FY2022</t>
        </is>
      </c>
      <c r="E3" s="4" t="inlineStr">
        <is>
          <t>FY2023</t>
        </is>
      </c>
      <c r="F3" s="4" t="inlineStr">
        <is>
          <t>FY2024</t>
        </is>
      </c>
      <c r="G3" s="4" t="inlineStr">
        <is>
          <t>FY2025</t>
        </is>
      </c>
      <c r="H3" s="4" t="inlineStr">
        <is>
          <t>H1-2026</t>
        </is>
      </c>
    </row>
    <row r="4">
      <c r="A4" s="2" t="inlineStr">
        <is>
          <t>Reported FCF (company/CSV definition)</t>
        </is>
      </c>
      <c r="B4" t="n">
        <v>25.238</v>
      </c>
      <c r="C4" t="n">
        <v>36.607</v>
      </c>
      <c r="D4" t="n">
        <v>29.233</v>
      </c>
      <c r="E4" t="n">
        <v>19.272</v>
      </c>
      <c r="F4" t="n">
        <v>16.818</v>
      </c>
      <c r="G4" t="n">
        <v>25.14</v>
      </c>
      <c r="H4" t="n">
        <v>16.34</v>
      </c>
    </row>
    <row r="5">
      <c r="A5" s="14" t="inlineStr">
        <is>
          <t>less: SBC incl. equity-award taxes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-0.047</v>
      </c>
      <c r="H5" t="n">
        <v>0</v>
      </c>
    </row>
    <row r="6">
      <c r="A6" s="14" t="inlineStr">
        <is>
          <t>less: lease principal repaid (IFRS16)</t>
        </is>
      </c>
      <c r="B6" t="n">
        <v>-22.956</v>
      </c>
      <c r="C6" t="n">
        <v>-28.099</v>
      </c>
      <c r="D6" t="n">
        <v>-28.266</v>
      </c>
      <c r="E6" t="n">
        <v>-27.318</v>
      </c>
      <c r="F6" t="n">
        <v>-29.521</v>
      </c>
      <c r="G6" t="n">
        <v>-30.964</v>
      </c>
      <c r="H6" t="n">
        <v>-14.918</v>
      </c>
    </row>
    <row r="7">
      <c r="A7" s="14" t="inlineStr">
        <is>
          <t>less: interest income</t>
        </is>
      </c>
      <c r="B7" t="n">
        <v>-0.1</v>
      </c>
      <c r="C7" t="n">
        <v>-0.1</v>
      </c>
      <c r="D7" t="n">
        <v>-0.1</v>
      </c>
      <c r="E7" t="n">
        <v>-0.1</v>
      </c>
      <c r="F7" t="n">
        <v>-0.1</v>
      </c>
      <c r="G7" t="n">
        <v>-0.269</v>
      </c>
      <c r="H7" t="n">
        <v>-0.08599999999999999</v>
      </c>
    </row>
    <row r="8">
      <c r="A8" s="2" t="inlineStr">
        <is>
          <t>Equals Owner FCF</t>
        </is>
      </c>
      <c r="B8" s="2">
        <f>SUM(B4:B7)</f>
        <v/>
      </c>
      <c r="C8" s="2">
        <f>SUM(C4:C7)</f>
        <v/>
      </c>
      <c r="D8" s="2">
        <f>SUM(D4:D7)</f>
        <v/>
      </c>
      <c r="E8" s="2">
        <f>SUM(E4:E7)</f>
        <v/>
      </c>
      <c r="F8" s="2">
        <f>SUM(F4:F7)</f>
        <v/>
      </c>
      <c r="G8" s="2">
        <f>SUM(G4:G7)</f>
        <v/>
      </c>
      <c r="H8" s="2">
        <f>SUM(H4:H7)</f>
        <v/>
      </c>
    </row>
    <row r="10">
      <c r="A10" s="2" t="inlineStr">
        <is>
          <t>Reported FCF margin</t>
        </is>
      </c>
    </row>
    <row r="11">
      <c r="B11" s="13">
        <f>B4/333.811</f>
        <v/>
      </c>
      <c r="C11" s="13">
        <f>C4/353.247</f>
        <v/>
      </c>
      <c r="D11" s="13">
        <f>D4/360.121</f>
        <v/>
      </c>
      <c r="E11" s="13">
        <f>E4/343.873</f>
        <v/>
      </c>
      <c r="F11" s="13">
        <f>F4/293.866</f>
        <v/>
      </c>
      <c r="G11" s="13">
        <f>G4/286.256</f>
        <v/>
      </c>
      <c r="H11" s="13">
        <f>H4/141.4</f>
        <v/>
      </c>
    </row>
    <row r="12">
      <c r="A12" s="2" t="inlineStr">
        <is>
          <t>Owner FCF margin</t>
        </is>
      </c>
      <c r="B12" s="13">
        <f>B8/333.811</f>
        <v/>
      </c>
      <c r="C12" s="13">
        <f>C8/353.247</f>
        <v/>
      </c>
      <c r="D12" s="13">
        <f>D8/360.121</f>
        <v/>
      </c>
      <c r="E12" s="13">
        <f>E8/343.873</f>
        <v/>
      </c>
      <c r="F12" s="13">
        <f>F8/293.866</f>
        <v/>
      </c>
      <c r="G12" s="13">
        <f>G8/286.256</f>
        <v/>
      </c>
      <c r="H12" s="13">
        <f>H8/141.4</f>
        <v/>
      </c>
    </row>
    <row r="14">
      <c r="A14" s="7" t="inlineStr">
        <is>
          <t>Memo: interest income is trivial for MOV.NZ (net debt positive, not net cash) -- included for completeness only, not material.</t>
        </is>
      </c>
    </row>
    <row r="15">
      <c r="A15" s="7" t="inlineStr">
        <is>
          <t>Memo: cash tax paid was minimal throughout ($0.6-1.9m/yr on losses) -- not flagged as abnormal since it reflects genuine loss-making years, ramped to 28% statutory in projections as profitability returns.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MOV.NZ -- Valuation Summary</t>
        </is>
      </c>
    </row>
    <row r="3">
      <c r="A3" s="4" t="inlineStr">
        <is>
          <t>Scenario</t>
        </is>
      </c>
      <c r="B3" s="4" t="inlineStr">
        <is>
          <t>Value/share</t>
        </is>
      </c>
      <c r="C3" s="4" t="inlineStr">
        <is>
          <t>Upside vs price</t>
        </is>
      </c>
      <c r="D3" s="4" t="inlineStr">
        <is>
          <t>Probability</t>
        </is>
      </c>
      <c r="E3" s="4" t="inlineStr">
        <is>
          <t>Street value/share</t>
        </is>
      </c>
    </row>
    <row r="4">
      <c r="A4" t="inlineStr">
        <is>
          <t>Bear</t>
        </is>
      </c>
      <c r="B4" s="17">
        <f>DCF_Bear!$B$44</f>
        <v/>
      </c>
      <c r="C4" s="13">
        <f>B4/Assumptions!$B$10-1</f>
        <v/>
      </c>
      <c r="D4" s="18">
        <f>Assumptions!$C$17</f>
        <v/>
      </c>
      <c r="E4" s="16">
        <f>DCF_Bear!$B$50</f>
        <v/>
      </c>
    </row>
    <row r="5">
      <c r="A5" t="inlineStr">
        <is>
          <t>Base</t>
        </is>
      </c>
      <c r="B5" s="17">
        <f>DCF_Base!$B$44</f>
        <v/>
      </c>
      <c r="C5" s="13">
        <f>B5/Assumptions!$B$10-1</f>
        <v/>
      </c>
      <c r="D5" s="18">
        <f>Assumptions!$C$18</f>
        <v/>
      </c>
      <c r="E5" s="16">
        <f>DCF_Base!$B$50</f>
        <v/>
      </c>
    </row>
    <row r="6">
      <c r="A6" t="inlineStr">
        <is>
          <t>Bull</t>
        </is>
      </c>
      <c r="B6" s="17">
        <f>DCF_Bull!$B$44</f>
        <v/>
      </c>
      <c r="C6" s="13">
        <f>B6/Assumptions!$B$10-1</f>
        <v/>
      </c>
      <c r="D6" s="18">
        <f>Assumptions!$C$19</f>
        <v/>
      </c>
      <c r="E6" s="16">
        <f>DCF_Bull!$B$50</f>
        <v/>
      </c>
    </row>
    <row r="7">
      <c r="A7" s="2" t="inlineStr">
        <is>
          <t>Probability-weighted IV</t>
        </is>
      </c>
      <c r="B7" s="19">
        <f>SUMPRODUCT(B4:B6,D4:D6)</f>
        <v/>
      </c>
    </row>
    <row r="8">
      <c r="A8" t="inlineStr">
        <is>
          <t>Margin of safety</t>
        </is>
      </c>
      <c r="B8" s="13">
        <f>1-Assumptions!$B$10/B7</f>
        <v/>
      </c>
    </row>
    <row r="9">
      <c r="A9" t="inlineStr">
        <is>
          <t>Street weighted value/share</t>
        </is>
      </c>
      <c r="B9" s="16">
        <f>SUMPRODUCT(E4:E6,D4:D6)</f>
        <v/>
      </c>
    </row>
    <row r="10">
      <c r="A10" t="inlineStr">
        <is>
          <t>Band position (house/street)</t>
        </is>
      </c>
      <c r="B10" t="inlineStr">
        <is>
          <t>n/a -- SBC-zero market, house = street</t>
        </is>
      </c>
    </row>
    <row r="12">
      <c r="A12" s="2" t="inlineStr">
        <is>
          <t>Required-return table (Base case)</t>
        </is>
      </c>
    </row>
    <row r="13">
      <c r="A13" s="4" t="inlineStr">
        <is>
          <t>Required return</t>
        </is>
      </c>
      <c r="B13" s="4" t="inlineStr">
        <is>
          <t>Value/share</t>
        </is>
      </c>
    </row>
    <row r="14">
      <c r="A14" s="13" t="n">
        <v>0.09</v>
      </c>
      <c r="B14" s="16">
        <f>(SUMPRODUCT(DCF_Base!$C$26:$L$26,1/(1+A14)^DCF_Base!$C$4:$L$4)+MAX(0,MIN(IF(0.09&gt;DCF_Base!$B$33,DCF_Base!$L$26*(1+DCF_Base!$B$33)/(A14-DCF_Base!$B$33),DCF_Base!$B$36),DCF_Base!$B$36))/(1+A14)^10-Assumptions!$B$8)/Assumptions!$B$9</f>
        <v/>
      </c>
    </row>
    <row r="15">
      <c r="A15" s="13" t="n">
        <v>0.1</v>
      </c>
      <c r="B15" s="16">
        <f>(SUMPRODUCT(DCF_Base!$C$26:$L$26,1/(1+A15)^DCF_Base!$C$4:$L$4)+MAX(0,MIN(IF(0.1&gt;DCF_Base!$B$33,DCF_Base!$L$26*(1+DCF_Base!$B$33)/(A15-DCF_Base!$B$33),DCF_Base!$B$36),DCF_Base!$B$36))/(1+A15)^10-Assumptions!$B$8)/Assumptions!$B$9</f>
        <v/>
      </c>
    </row>
    <row r="16">
      <c r="A16" s="13" t="n">
        <v>0.11</v>
      </c>
      <c r="B16" s="16">
        <f>(SUMPRODUCT(DCF_Base!$C$26:$L$26,1/(1+A16)^DCF_Base!$C$4:$L$4)+MAX(0,MIN(IF(0.11&gt;DCF_Base!$B$33,DCF_Base!$L$26*(1+DCF_Base!$B$33)/(A16-DCF_Base!$B$33),DCF_Base!$B$36),DCF_Base!$B$36))/(1+A16)^10-Assumptions!$B$8)/Assumptions!$B$9</f>
        <v/>
      </c>
    </row>
    <row r="17">
      <c r="A17" s="13" t="n">
        <v>0.12</v>
      </c>
      <c r="B17" s="16">
        <f>(SUMPRODUCT(DCF_Base!$C$26:$L$26,1/(1+A17)^DCF_Base!$C$4:$L$4)+MAX(0,MIN(IF(0.12&gt;DCF_Base!$B$33,DCF_Base!$L$26*(1+DCF_Base!$B$33)/(A17-DCF_Base!$B$33),DCF_Base!$B$36),DCF_Base!$B$36))/(1+A17)^10-Assumptions!$B$8)/Assumptions!$B$9</f>
        <v/>
      </c>
    </row>
    <row r="18">
      <c r="A18" s="13" t="n">
        <v>0.15</v>
      </c>
      <c r="B18" s="16">
        <f>(SUMPRODUCT(DCF_Base!$C$26:$L$26,1/(1+A18)^DCF_Base!$C$4:$L$4)+MAX(0,MIN(IF(0.15&gt;DCF_Base!$B$33,DCF_Base!$L$26*(1+DCF_Base!$B$33)/(A18-DCF_Base!$B$33),DCF_Base!$B$36),DCF_Base!$B$36))/(1+A18)^10-Assumptions!$B$8)/Assumptions!$B$9</f>
        <v/>
      </c>
    </row>
    <row r="19">
      <c r="A19" s="13" t="n">
        <v>0.165</v>
      </c>
      <c r="B19" s="16">
        <f>(SUMPRODUCT(DCF_Base!$C$26:$L$26,1/(1+A19)^DCF_Base!$C$4:$L$4)+MAX(0,MIN(IF(0.165&gt;DCF_Base!$B$33,DCF_Base!$L$26*(1+DCF_Base!$B$33)/(A19-DCF_Base!$B$33),DCF_Base!$B$36),DCF_Base!$B$36))/(1+A19)^10-Assumptions!$B$8)/Assumptions!$B$9</f>
        <v/>
      </c>
    </row>
    <row r="21">
      <c r="A21" s="2" t="inlineStr">
        <is>
          <t>Entry price (15% hurdle IRR)</t>
        </is>
      </c>
    </row>
    <row r="22">
      <c r="A22" s="4" t="inlineStr">
        <is>
          <t>Scenario</t>
        </is>
      </c>
      <c r="B22" s="4" t="inlineStr">
        <is>
          <t>Entry price</t>
        </is>
      </c>
      <c r="C22" s="4" t="inlineStr">
        <is>
          <t>Discount vs price</t>
        </is>
      </c>
    </row>
    <row r="23">
      <c r="A23" t="inlineStr">
        <is>
          <t>Bear</t>
        </is>
      </c>
      <c r="B23" s="16">
        <f>(SUMPRODUCT(DCF_Bear!$C$26:$L$26,1/(1+Assumptions!$B$4)^DCF_Bear!$C$4:$L$4)+DCF_Bear!$B$37/(1+Assumptions!$B$4)^10-Assumptions!$B$8)/Assumptions!$B$9</f>
        <v/>
      </c>
      <c r="C23" s="13">
        <f>B23/Assumptions!$B$10-1</f>
        <v/>
      </c>
    </row>
    <row r="24">
      <c r="A24" t="inlineStr">
        <is>
          <t>Base</t>
        </is>
      </c>
      <c r="B24" s="16">
        <f>(SUMPRODUCT(DCF_Base!$C$26:$L$26,1/(1+Assumptions!$B$4)^DCF_Base!$C$4:$L$4)+DCF_Base!$B$37/(1+Assumptions!$B$4)^10-Assumptions!$B$8)/Assumptions!$B$9</f>
        <v/>
      </c>
      <c r="C24" s="13">
        <f>B24/Assumptions!$B$10-1</f>
        <v/>
      </c>
    </row>
    <row r="25">
      <c r="A25" t="inlineStr">
        <is>
          <t>Bull</t>
        </is>
      </c>
      <c r="B25" s="16">
        <f>(SUMPRODUCT(DCF_Bull!$C$26:$L$26,1/(1+Assumptions!$B$4)^DCF_Bull!$C$4:$L$4)+DCF_Bull!$B$37/(1+Assumptions!$B$4)^10-Assumptions!$B$8)/Assumptions!$B$9</f>
        <v/>
      </c>
      <c r="C25" s="13">
        <f>B25/Assumptions!$B$10-1</f>
        <v/>
      </c>
    </row>
    <row r="26">
      <c r="A26" s="2" t="inlineStr">
        <is>
          <t>Weighted entry price</t>
        </is>
      </c>
      <c r="B26" s="19">
        <f>SUMPRODUCT(B23:B25,D4:D6)</f>
        <v/>
      </c>
    </row>
    <row r="28">
      <c r="A28" s="2" t="inlineStr">
        <is>
          <t>Sensitivity: WACC x Terminal Growth (Base case)</t>
        </is>
      </c>
    </row>
    <row r="29">
      <c r="A29" t="inlineStr">
        <is>
          <t>WACC \ g</t>
        </is>
      </c>
      <c r="B29" s="20" t="n">
        <v>0.01</v>
      </c>
      <c r="C29" s="20" t="n">
        <v>0.015</v>
      </c>
      <c r="D29" s="20" t="n">
        <v>0.02</v>
      </c>
      <c r="E29" s="20" t="n">
        <v>0.025</v>
      </c>
      <c r="F29" s="20" t="n">
        <v>0.03</v>
      </c>
    </row>
    <row r="30">
      <c r="A30" s="13" t="n">
        <v>0.145</v>
      </c>
      <c r="B30" s="16">
        <f>IF(0.145&gt;B29,(SUMPRODUCT(DCF_Base!$C$26:$L$26,1/(1+0.145)^DCF_Base!$C$4:$L$4)+MAX(0,MIN(DCF_Base!$L$26*(1+B29)/(0.145-B29),DCF_Base!$B$36))/(1+0.145)^10-Assumptions!$B$8)/Assumptions!$B$9,"n/a")</f>
        <v/>
      </c>
      <c r="C30" s="16">
        <f>IF(0.145&gt;C29,(SUMPRODUCT(DCF_Base!$C$26:$L$26,1/(1+0.145)^DCF_Base!$C$4:$L$4)+MAX(0,MIN(DCF_Base!$L$26*(1+C29)/(0.145-C29),DCF_Base!$B$36))/(1+0.145)^10-Assumptions!$B$8)/Assumptions!$B$9,"n/a")</f>
        <v/>
      </c>
      <c r="D30" s="16">
        <f>IF(0.145&gt;D29,(SUMPRODUCT(DCF_Base!$C$26:$L$26,1/(1+0.145)^DCF_Base!$C$4:$L$4)+MAX(0,MIN(DCF_Base!$L$26*(1+D29)/(0.145-D29),DCF_Base!$B$36))/(1+0.145)^10-Assumptions!$B$8)/Assumptions!$B$9,"n/a")</f>
        <v/>
      </c>
      <c r="E30" s="16">
        <f>IF(0.145&gt;E29,(SUMPRODUCT(DCF_Base!$C$26:$L$26,1/(1+0.145)^DCF_Base!$C$4:$L$4)+MAX(0,MIN(DCF_Base!$L$26*(1+E29)/(0.145-E29),DCF_Base!$B$36))/(1+0.145)^10-Assumptions!$B$8)/Assumptions!$B$9,"n/a")</f>
        <v/>
      </c>
      <c r="F30" s="16">
        <f>IF(0.145&gt;F29,(SUMPRODUCT(DCF_Base!$C$26:$L$26,1/(1+0.145)^DCF_Base!$C$4:$L$4)+MAX(0,MIN(DCF_Base!$L$26*(1+F29)/(0.145-F29),DCF_Base!$B$36))/(1+0.145)^10-Assumptions!$B$8)/Assumptions!$B$9,"n/a")</f>
        <v/>
      </c>
    </row>
    <row r="31">
      <c r="A31" s="13" t="n">
        <v>0.155</v>
      </c>
      <c r="B31" s="16">
        <f>IF(0.155&gt;B29,(SUMPRODUCT(DCF_Base!$C$26:$L$26,1/(1+0.155)^DCF_Base!$C$4:$L$4)+MAX(0,MIN(DCF_Base!$L$26*(1+B29)/(0.155-B29),DCF_Base!$B$36))/(1+0.155)^10-Assumptions!$B$8)/Assumptions!$B$9,"n/a")</f>
        <v/>
      </c>
      <c r="C31" s="16">
        <f>IF(0.155&gt;C29,(SUMPRODUCT(DCF_Base!$C$26:$L$26,1/(1+0.155)^DCF_Base!$C$4:$L$4)+MAX(0,MIN(DCF_Base!$L$26*(1+C29)/(0.155-C29),DCF_Base!$B$36))/(1+0.155)^10-Assumptions!$B$8)/Assumptions!$B$9,"n/a")</f>
        <v/>
      </c>
      <c r="D31" s="16">
        <f>IF(0.155&gt;D29,(SUMPRODUCT(DCF_Base!$C$26:$L$26,1/(1+0.155)^DCF_Base!$C$4:$L$4)+MAX(0,MIN(DCF_Base!$L$26*(1+D29)/(0.155-D29),DCF_Base!$B$36))/(1+0.155)^10-Assumptions!$B$8)/Assumptions!$B$9,"n/a")</f>
        <v/>
      </c>
      <c r="E31" s="16">
        <f>IF(0.155&gt;E29,(SUMPRODUCT(DCF_Base!$C$26:$L$26,1/(1+0.155)^DCF_Base!$C$4:$L$4)+MAX(0,MIN(DCF_Base!$L$26*(1+E29)/(0.155-E29),DCF_Base!$B$36))/(1+0.155)^10-Assumptions!$B$8)/Assumptions!$B$9,"n/a")</f>
        <v/>
      </c>
      <c r="F31" s="16">
        <f>IF(0.155&gt;F29,(SUMPRODUCT(DCF_Base!$C$26:$L$26,1/(1+0.155)^DCF_Base!$C$4:$L$4)+MAX(0,MIN(DCF_Base!$L$26*(1+F29)/(0.155-F29),DCF_Base!$B$36))/(1+0.155)^10-Assumptions!$B$8)/Assumptions!$B$9,"n/a")</f>
        <v/>
      </c>
    </row>
    <row r="32">
      <c r="A32" s="13" t="n">
        <v>0.165</v>
      </c>
      <c r="B32" s="21">
        <f>IF(0.165&gt;B29,(SUMPRODUCT(DCF_Base!$C$26:$L$26,1/(1+0.165)^DCF_Base!$C$4:$L$4)+MAX(0,MIN(DCF_Base!$L$26*(1+B29)/(0.165-B29),DCF_Base!$B$36))/(1+0.165)^10-Assumptions!$B$8)/Assumptions!$B$9,"n/a")</f>
        <v/>
      </c>
      <c r="C32" s="21">
        <f>IF(0.165&gt;C29,(SUMPRODUCT(DCF_Base!$C$26:$L$26,1/(1+0.165)^DCF_Base!$C$4:$L$4)+MAX(0,MIN(DCF_Base!$L$26*(1+C29)/(0.165-C29),DCF_Base!$B$36))/(1+0.165)^10-Assumptions!$B$8)/Assumptions!$B$9,"n/a")</f>
        <v/>
      </c>
      <c r="D32" s="21">
        <f>IF(0.165&gt;D29,(SUMPRODUCT(DCF_Base!$C$26:$L$26,1/(1+0.165)^DCF_Base!$C$4:$L$4)+MAX(0,MIN(DCF_Base!$L$26*(1+D29)/(0.165-D29),DCF_Base!$B$36))/(1+0.165)^10-Assumptions!$B$8)/Assumptions!$B$9,"n/a")</f>
        <v/>
      </c>
      <c r="E32" s="21">
        <f>IF(0.165&gt;E29,(SUMPRODUCT(DCF_Base!$C$26:$L$26,1/(1+0.165)^DCF_Base!$C$4:$L$4)+MAX(0,MIN(DCF_Base!$L$26*(1+E29)/(0.165-E29),DCF_Base!$B$36))/(1+0.165)^10-Assumptions!$B$8)/Assumptions!$B$9,"n/a")</f>
        <v/>
      </c>
      <c r="F32" s="21">
        <f>IF(0.165&gt;F29,(SUMPRODUCT(DCF_Base!$C$26:$L$26,1/(1+0.165)^DCF_Base!$C$4:$L$4)+MAX(0,MIN(DCF_Base!$L$26*(1+F29)/(0.165-F29),DCF_Base!$B$36))/(1+0.165)^10-Assumptions!$B$8)/Assumptions!$B$9,"n/a")</f>
        <v/>
      </c>
    </row>
    <row r="33">
      <c r="A33" s="13" t="n">
        <v>0.175</v>
      </c>
      <c r="B33" s="16">
        <f>IF(0.175&gt;B29,(SUMPRODUCT(DCF_Base!$C$26:$L$26,1/(1+0.175)^DCF_Base!$C$4:$L$4)+MAX(0,MIN(DCF_Base!$L$26*(1+B29)/(0.175-B29),DCF_Base!$B$36))/(1+0.175)^10-Assumptions!$B$8)/Assumptions!$B$9,"n/a")</f>
        <v/>
      </c>
      <c r="C33" s="16">
        <f>IF(0.175&gt;C29,(SUMPRODUCT(DCF_Base!$C$26:$L$26,1/(1+0.175)^DCF_Base!$C$4:$L$4)+MAX(0,MIN(DCF_Base!$L$26*(1+C29)/(0.175-C29),DCF_Base!$B$36))/(1+0.175)^10-Assumptions!$B$8)/Assumptions!$B$9,"n/a")</f>
        <v/>
      </c>
      <c r="D33" s="16">
        <f>IF(0.175&gt;D29,(SUMPRODUCT(DCF_Base!$C$26:$L$26,1/(1+0.175)^DCF_Base!$C$4:$L$4)+MAX(0,MIN(DCF_Base!$L$26*(1+D29)/(0.175-D29),DCF_Base!$B$36))/(1+0.175)^10-Assumptions!$B$8)/Assumptions!$B$9,"n/a")</f>
        <v/>
      </c>
      <c r="E33" s="16">
        <f>IF(0.175&gt;E29,(SUMPRODUCT(DCF_Base!$C$26:$L$26,1/(1+0.175)^DCF_Base!$C$4:$L$4)+MAX(0,MIN(DCF_Base!$L$26*(1+E29)/(0.175-E29),DCF_Base!$B$36))/(1+0.175)^10-Assumptions!$B$8)/Assumptions!$B$9,"n/a")</f>
        <v/>
      </c>
      <c r="F33" s="16">
        <f>IF(0.175&gt;F29,(SUMPRODUCT(DCF_Base!$C$26:$L$26,1/(1+0.175)^DCF_Base!$C$4:$L$4)+MAX(0,MIN(DCF_Base!$L$26*(1+F29)/(0.175-F29),DCF_Base!$B$36))/(1+0.175)^10-Assumptions!$B$8)/Assumptions!$B$9,"n/a")</f>
        <v/>
      </c>
    </row>
    <row r="34">
      <c r="A34" s="13" t="n">
        <v>0.185</v>
      </c>
      <c r="B34" s="16">
        <f>IF(0.185&gt;B29,(SUMPRODUCT(DCF_Base!$C$26:$L$26,1/(1+0.185)^DCF_Base!$C$4:$L$4)+MAX(0,MIN(DCF_Base!$L$26*(1+B29)/(0.185-B29),DCF_Base!$B$36))/(1+0.185)^10-Assumptions!$B$8)/Assumptions!$B$9,"n/a")</f>
        <v/>
      </c>
      <c r="C34" s="16">
        <f>IF(0.185&gt;C29,(SUMPRODUCT(DCF_Base!$C$26:$L$26,1/(1+0.185)^DCF_Base!$C$4:$L$4)+MAX(0,MIN(DCF_Base!$L$26*(1+C29)/(0.185-C29),DCF_Base!$B$36))/(1+0.185)^10-Assumptions!$B$8)/Assumptions!$B$9,"n/a")</f>
        <v/>
      </c>
      <c r="D34" s="16">
        <f>IF(0.185&gt;D29,(SUMPRODUCT(DCF_Base!$C$26:$L$26,1/(1+0.185)^DCF_Base!$C$4:$L$4)+MAX(0,MIN(DCF_Base!$L$26*(1+D29)/(0.185-D29),DCF_Base!$B$36))/(1+0.185)^10-Assumptions!$B$8)/Assumptions!$B$9,"n/a")</f>
        <v/>
      </c>
      <c r="E34" s="16">
        <f>IF(0.185&gt;E29,(SUMPRODUCT(DCF_Base!$C$26:$L$26,1/(1+0.185)^DCF_Base!$C$4:$L$4)+MAX(0,MIN(DCF_Base!$L$26*(1+E29)/(0.185-E29),DCF_Base!$B$36))/(1+0.185)^10-Assumptions!$B$8)/Assumptions!$B$9,"n/a")</f>
        <v/>
      </c>
      <c r="F34" s="16">
        <f>IF(0.185&gt;F29,(SUMPRODUCT(DCF_Base!$C$26:$L$26,1/(1+0.185)^DCF_Base!$C$4:$L$4)+MAX(0,MIN(DCF_Base!$L$26*(1+F29)/(0.185-F29),DCF_Base!$B$36))/(1+0.185)^10-Assumptions!$B$8)/Assumptions!$B$9,"n/a")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2026-08-20T04:14:39Z</dcterms:created>
  <dcterms:modified xsi:type="dcterms:W3CDTF">2026-08-20T04:14:39Z</dcterms:modified>
</cp:coreProperties>
</file>