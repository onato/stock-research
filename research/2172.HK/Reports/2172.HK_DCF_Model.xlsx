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<sst xmlns="http://schemas.openxmlformats.org/spreadsheetml/2006/main" count="346" uniqueCount="162">
  <si>
    <t xml:space="preserve">Ticker</t>
  </si>
  <si>
    <t xml:space="preserve">2172.HK</t>
  </si>
  <si>
    <t xml:space="preserve">Company</t>
  </si>
  <si>
    <t xml:space="preserve">MicroPort NeuroScientific Corporation</t>
  </si>
  <si>
    <t xml:space="preserve">Valuation date</t>
  </si>
  <si>
    <t xml:space="preserve">2026-10-18</t>
  </si>
  <si>
    <t xml:space="preserve">Current price</t>
  </si>
  <si>
    <t xml:space="preserve">Price as of</t>
  </si>
  <si>
    <t xml:space="preserve">2026-08-31T08:08:46Z last regular-session trade before SUSPENSION. Trading has been suspended since 2026-09-01 09:00 HKT (HKEX exchange notice). Yahoo serves this frozen quote with zero volume through 2026-10-16. It is not a live price.</t>
  </si>
  <si>
    <t xml:space="preserve">Balance sheet date</t>
  </si>
  <si>
    <t xml:space="preserve">2025-12-31</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</si>
  <si>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</si>
  <si>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</si>
  <si>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</si>
  <si>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</si>
  <si>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</si>
  <si>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</si>
  <si>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</si>
  <si>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</si>
  <si>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</si>
  <si>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</si>
  <si>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</si>
  <si>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2026-10-17T22:05:05Z</t>
  </si>
  <si>
    <t xml:space="preserve">Drivers file</t>
  </si>
  <si>
    <t xml:space="preserve">2172.HK_Drivers.json</t>
  </si>
  <si>
    <t xml:space="preserve">Convention</t>
  </si>
  <si>
    <t xml:space="preserve">Percents stored as percents; formulas divide by 100. Blue = input, green = link, black = formula.</t>
  </si>
  <si>
    <t xml:space="preserve">Methodology</t>
  </si>
  <si>
    <t xml:space="preserve">summary: This is a net-cash, profitable Chinese neurovascular device franchise valued on owner FCF in CNY and converted to HKD. About a quarter of the market cap is liquid assets. The valuation turns on (1) whether VBP price resets are offset by volume and overseas growth, and (2) the outcome of the 2026 related-party lease investigation that suspended trading. The quoted price is a frozen pre-suspension trade, so any upside is not realisable until trading resumes.
key_risks_to_valuation: Trading suspended since 2026-09-01 pending an investigation into a shareholder-linked lease; possible restatement, governance changes, and the HKEX 18-month delisting rule if not remedied; Further VBP rounds on neurovascular consumables cutting prices faster than volumes grow (H1 FY2025 revenue -6%); Trade receivables doubled in FY2025 (RMB144m to RMB321m); if the build is not collected, FY2025 earnings quality is weaker than reported; HNTE 15% tax preference contingent; loss lifts cash tax toward 25%; Government grants (4.5% of revenue) are discretionary and fade; FX: CNY flows against an HKD quote; the RMB is up ~8% vs HKD since 2025, which flatters the HKD value</t>
  </si>
  <si>
    <t xml:space="preserve">Data sources</t>
  </si>
  <si>
    <t xml:space="preserve">price: Yahoo Finance chart API at inputs.price_as_of. That is the frozen last trade before the 2026-09-01 suspension; the 52-week range was 8.005-14.53.
financials: FY2021-FY2025 annual reports and H1 FY2024/FY2025 interims (research/2172.HK/Extracted), via 2172.HK_Metrics.csv and core_metrics. FY2025 statements were read directly for EBITDA, lease, D&amp;A, receivables and treasury-share detail.
qualitative: HKEXnews announcements: inside information on the delayed 2026 interim results and the suspension (2026-08-31), the exchange suspension notice (2026-09-01), the share buyback update (2026-06-02), the FY2025 final dividend notice (2026-07-22), the September 2026 monthly return (2026-10-05), and the NUWISMEN / Artemis Dream NMPA green-path announcements. FY2025 AR MD&amp;A covers VBP and overseas.
fx: Yahoo CNYHKD=X 2026-10-16, cross-checked against CNY=X and HKD=X</t>
  </si>
  <si>
    <t xml:space="preserve">Scenario narrative: bear</t>
  </si>
  <si>
    <t xml:space="preserve">The investigation finds value leaking to a shareholder-linked lessor through above-market rent, an outsized security deposit and capitalised renovation costs. That forces a restatement, board changes and a prolonged suspension. Under the HKEX rule a suspension longer than 18 months can lead to delisting, which would trap minority holders. On the business side, further VBP rounds cut prices faster than volume grows: FY2026 revenue falls (as H1 FY2025 did, -6%), margin compresses toward 36%, the HNTE tax preference is lost, and the receivable build that depressed FY2025 OCF proves to be channel stuffing ahead of tenders.</t>
  </si>
  <si>
    <t xml:space="preserve">Scenario narrative: base</t>
  </si>
  <si>
    <t xml:space="preserve">VBP is a volume-for-price trade that roughly nets out. Provincial and inter-provincial alliance tenders (Hebei-led alliance, Henan, Anhui, Guangdong) cut unit prices on flow diverters, intracranial stents and coils, but the group's core products win the bids and gain hospital penetration. Overseas (36 countries, 13% of revenue, +39%) compounds. Growth recovers from FY2025's +3.8% to high single digits and fades to 3%. Adjusted EBITDA margin erodes from 48.5% to 44% as price resets and grants fade. The lease investigation ends in a modest restatement or rent renegotiation, and trading resumes without lasting damage to the franchise.</t>
  </si>
  <si>
    <t xml:space="preserve">Scenario narrative: bull</t>
  </si>
  <si>
    <t xml:space="preserve">Next-generation launches lead domestic share gains as the market shifts from imported to domestic devices under VBP: Tubridge flow diverters, the Artemis Dream drug-eluting intracranial stent and the NUWISMEN liquid embolic (both on the NMPA innovative green path in 2026), and WAVE-track aspiration. Overseas becomes a second growth engine. Revenue compounds in the low teens for five years and margin holds near 47-48% on mix and operating leverage. The related-party lease is found to be on arm's-length terms and resumption is quick.</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</si>
  <si>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</si>
  <si>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</si>
  <si>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</si>
  <si>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</si>
  <si>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</si>
  <si>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</si>
  <si>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</si>
  <si>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</si>
  <si>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</si>
  <si>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</si>
  <si>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</si>
  <si>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</si>
  <si>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</si>
  <si>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</si>
  <si>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</si>
  <si>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</si>
  <si>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</si>
  <si>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</si>
  <si>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</si>
  <si>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</si>
  <si>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</si>
  <si>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</si>
  <si>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</si>
  <si>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</si>
  <si>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</si>
  <si>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</si>
  <si>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</si>
  <si>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NetIncomeInclNCI</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</si>
  <si>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</si>
  <si>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</si>
  <si>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</si>
  <si>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</si>
  <si>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</si>
  <si>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</si>
  <si>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</si>
  <si>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</si>
  <si>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</si>
  <si>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</si>
  <si>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</si>
  <si>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</si>
  <si>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</si>
  <si>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</si>
  <si>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</si>
  <si>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</si>
  <si>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</si>
  <si>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</si>
  <si>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</si>
  <si>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</si>
  <si>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</si>
  <si>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</si>
  <si>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</si>
  <si>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</si>
  <si>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</si>
  <si>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</si>
  <si>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</si>
  <si>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</si>
  <si>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</si>
  <si>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</si>
  <si>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</si>
  <si>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</si>
  <si>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</si>
  <si>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</si>
  <si>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</si>
  <si>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</si>
  <si>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</si>
  <si>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</si>
  <si>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</si>
  <si>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</si>
  <si>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</si>
  <si>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</si>
  <si>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2172.HK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</si>
  <si>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</si>
  <si>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</si>
  <si>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</si>
  <si>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</si>
  <si>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</si>
  <si>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</si>
  <si>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</si>
  <si>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</si>
  <si>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</si>
  <si>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</si>
  <si>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</si>
  <si>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</si>
  <si>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</si>
  <si>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</si>
  <si>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</si>
  <si>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</si>
  <si>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</si>
  <si>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</si>
  <si>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</si>
  <si>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</si>
  <si>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</si>
  <si>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</si>
  <si>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</si>
  <si>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</si>
  <si>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</si>
  <si>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</si>
  <si>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</si>
  <si>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</si>
  <si>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</si>
  <si>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</si>
  <si>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2172.HK owner-FCF component DCF: base case (millions, CNY)</t>
  </si>
  <si>
    <t xml:space="preserve">2172.HK owner-FCF component DCF: bull case (millions, CNY)</t>
  </si>
  <si>
    <t xml:space="preserve">2172.HK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</si>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</sst>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8.055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46.2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row>
    <row r="2" customFormat="false" ht="15" hidden="false" customHeight="false" outlineLevel="0" collapsed="false">
      <c r="A2" s="0" t="s">
        <v>65</v>
      </c>
      <c r="B2" s="0" t="n">
        <v>382.799</v>
      </c>
      <c r="C2" s="0" t="n">
        <v>84.445</v>
      </c>
      <c r="D2" s="0" t="n">
        <v>298.354</v>
      </c>
      <c r="E2" s="0" t="n">
        <v>77.9</v>
      </c>
      <c r="F2" s="0" t="n">
        <v>84.729</v>
      </c>
      <c r="G2" s="0" t="n">
        <v>22.1</v>
      </c>
      <c r="H2" s="0" t="n">
        <v>116.452</v>
      </c>
      <c r="I2" s="0" t="n">
        <v>24.17</v>
      </c>
      <c r="J2" s="0" t="n">
        <v>6.3</v>
      </c>
      <c r="K2" s="0" t="n">
        <v>0.05</v>
      </c>
      <c r="L2" s="0" t="n">
        <v>157.406</v>
      </c>
      <c r="M2" s="0" t="n">
        <v>57.98</v>
      </c>
      <c r="N2" s="0" t="n">
        <v>99.426</v>
      </c>
      <c r="O2" s="0" t="n">
        <v>-174.94</v>
      </c>
      <c r="P2" s="0" t="n">
        <v>1340.342</v>
      </c>
      <c r="Q2" s="0" t="n">
        <v>1515.282</v>
      </c>
      <c r="R2" s="0" t="n">
        <v>109.698</v>
      </c>
      <c r="S2" s="0" t="n">
        <v>593.287</v>
      </c>
      <c r="T2" s="0" t="n">
        <v>495.452</v>
      </c>
      <c r="U2" s="0" t="n">
        <v>1.459</v>
      </c>
      <c r="AA2" s="0" t="s">
        <v>18</v>
      </c>
      <c r="AB2" s="0" t="s">
        <v>14</v>
      </c>
      <c r="AC2" s="0" t="n">
        <v>24.17</v>
      </c>
    </row>
    <row r="3" customFormat="false" ht="15" hidden="false" customHeight="false" outlineLevel="0" collapsed="false">
      <c r="A3" s="0" t="s">
        <v>66</v>
      </c>
      <c r="B3" s="0" t="n">
        <v>547.35</v>
      </c>
      <c r="C3" s="0" t="n">
        <v>154.35</v>
      </c>
      <c r="D3" s="0" t="n">
        <v>393</v>
      </c>
      <c r="E3" s="0" t="n">
        <v>71.8</v>
      </c>
      <c r="F3" s="0" t="n">
        <v>121.715</v>
      </c>
      <c r="G3" s="0" t="n">
        <v>22.2</v>
      </c>
      <c r="H3" s="0" t="n">
        <v>178.416</v>
      </c>
      <c r="I3" s="0" t="n">
        <v>-21.765</v>
      </c>
      <c r="J3" s="0" t="n">
        <v>-4</v>
      </c>
      <c r="K3" s="0" t="n">
        <v>-0.04</v>
      </c>
      <c r="L3" s="0" t="n">
        <v>223.798</v>
      </c>
      <c r="M3" s="0" t="n">
        <v>47.945</v>
      </c>
      <c r="N3" s="0" t="n">
        <v>175.853</v>
      </c>
      <c r="O3" s="0" t="n">
        <v>1472.803</v>
      </c>
      <c r="P3" s="0" t="n">
        <v>1817</v>
      </c>
      <c r="Q3" s="0" t="n">
        <v>331.349</v>
      </c>
      <c r="R3" s="0" t="n">
        <v>85.244</v>
      </c>
      <c r="S3" s="0" t="n">
        <v>827.929</v>
      </c>
      <c r="T3" s="0" t="n">
        <v>517.543</v>
      </c>
      <c r="U3" s="0" t="n">
        <v>12.141</v>
      </c>
      <c r="AA3" s="0" t="s">
        <v>18</v>
      </c>
      <c r="AB3" s="0" t="s">
        <v>14</v>
      </c>
      <c r="AC3" s="0" t="n">
        <v>-24.678</v>
      </c>
    </row>
    <row r="4" customFormat="false" ht="15" hidden="false" customHeight="false" outlineLevel="0" collapsed="false">
      <c r="A4" s="0" t="s">
        <v>67</v>
      </c>
      <c r="B4" s="0" t="n">
        <v>665.624</v>
      </c>
      <c r="C4" s="0" t="n">
        <v>153.833</v>
      </c>
      <c r="D4" s="0" t="n">
        <v>511.791</v>
      </c>
      <c r="E4" s="0" t="n">
        <v>76.9</v>
      </c>
      <c r="F4" s="0" t="n">
        <v>219.822</v>
      </c>
      <c r="G4" s="0" t="n">
        <v>33</v>
      </c>
      <c r="H4" s="0" t="n">
        <v>275.914</v>
      </c>
      <c r="I4" s="0" t="n">
        <v>145.548</v>
      </c>
      <c r="J4" s="0" t="n">
        <v>21.9</v>
      </c>
      <c r="K4" s="0" t="n">
        <v>0.25</v>
      </c>
      <c r="L4" s="0" t="n">
        <v>153.778</v>
      </c>
      <c r="M4" s="0" t="n">
        <v>42.175</v>
      </c>
      <c r="N4" s="0" t="n">
        <v>111.603</v>
      </c>
      <c r="O4" s="0" t="n">
        <v>1635.505</v>
      </c>
      <c r="P4" s="0" t="n">
        <v>1960.641</v>
      </c>
      <c r="Q4" s="0" t="n">
        <v>322.39</v>
      </c>
      <c r="R4" s="0" t="n">
        <v>61.36</v>
      </c>
      <c r="S4" s="0" t="n">
        <v>721.175</v>
      </c>
      <c r="T4" s="0" t="n">
        <v>582.658</v>
      </c>
      <c r="U4" s="0" t="n">
        <v>6.743</v>
      </c>
      <c r="AA4" s="0" t="s">
        <v>18</v>
      </c>
      <c r="AB4" s="0" t="s">
        <v>14</v>
      </c>
      <c r="AC4" s="0" t="n">
        <v>134.581</v>
      </c>
    </row>
    <row r="5" customFormat="false" ht="15" hidden="false" customHeight="false" outlineLevel="0" collapsed="false">
      <c r="A5" s="0" t="s">
        <v>68</v>
      </c>
      <c r="B5" s="0" t="n">
        <v>761.762</v>
      </c>
      <c r="C5" s="0" t="n">
        <v>205.835</v>
      </c>
      <c r="D5" s="0" t="n">
        <v>555.927</v>
      </c>
      <c r="E5" s="0" t="n">
        <v>73</v>
      </c>
      <c r="F5" s="0" t="n">
        <v>326.821</v>
      </c>
      <c r="G5" s="0" t="n">
        <v>42.9</v>
      </c>
      <c r="H5" s="0" t="n">
        <v>385.79</v>
      </c>
      <c r="I5" s="0" t="n">
        <v>254.165</v>
      </c>
      <c r="J5" s="0" t="n">
        <v>33.4</v>
      </c>
      <c r="K5" s="0" t="n">
        <v>0.44</v>
      </c>
      <c r="L5" s="0" t="n">
        <v>284.41</v>
      </c>
      <c r="M5" s="0" t="n">
        <v>52.566</v>
      </c>
      <c r="N5" s="0" t="n">
        <v>231.844</v>
      </c>
      <c r="O5" s="0" t="n">
        <v>1710.563</v>
      </c>
      <c r="P5" s="0" t="n">
        <v>2042.536</v>
      </c>
      <c r="Q5" s="0" t="n">
        <v>335.701</v>
      </c>
      <c r="R5" s="0" t="n">
        <v>37.122</v>
      </c>
      <c r="S5" s="0" t="n">
        <v>622.581</v>
      </c>
      <c r="T5" s="0" t="n">
        <v>579.057</v>
      </c>
      <c r="U5" s="0" t="n">
        <v>6.221</v>
      </c>
      <c r="AA5" s="0" t="s">
        <v>18</v>
      </c>
      <c r="AB5" s="0" t="s">
        <v>14</v>
      </c>
      <c r="AC5" s="0" t="n">
        <v>248.855</v>
      </c>
    </row>
    <row r="6" customFormat="false" ht="15" hidden="false" customHeight="false" outlineLevel="0" collapsed="false">
      <c r="A6" s="0" t="s">
        <v>69</v>
      </c>
      <c r="B6" s="0" t="n">
        <v>790.483</v>
      </c>
      <c r="C6" s="0" t="n">
        <v>209.762</v>
      </c>
      <c r="D6" s="0" t="n">
        <v>580.721</v>
      </c>
      <c r="E6" s="0" t="n">
        <v>73.5</v>
      </c>
      <c r="F6" s="0" t="n">
        <v>317.496</v>
      </c>
      <c r="G6" s="0" t="n">
        <v>40.2</v>
      </c>
      <c r="H6" s="0" t="n">
        <v>375.988</v>
      </c>
      <c r="I6" s="0" t="n">
        <v>184.51</v>
      </c>
      <c r="J6" s="0" t="n">
        <v>23.3</v>
      </c>
      <c r="K6" s="0" t="n">
        <v>0.32</v>
      </c>
      <c r="L6" s="0" t="n">
        <v>202.023</v>
      </c>
      <c r="M6" s="0" t="n">
        <v>47.663</v>
      </c>
      <c r="N6" s="0" t="n">
        <v>154.36</v>
      </c>
      <c r="O6" s="0" t="n">
        <v>1797.54</v>
      </c>
      <c r="P6" s="0" t="n">
        <v>2107.92</v>
      </c>
      <c r="Q6" s="0" t="n">
        <v>314.867</v>
      </c>
      <c r="R6" s="0" t="n">
        <v>15.94</v>
      </c>
      <c r="S6" s="0" t="n">
        <v>611.254</v>
      </c>
      <c r="T6" s="0" t="n">
        <v>571.008</v>
      </c>
      <c r="U6" s="0" t="n">
        <v>18.698</v>
      </c>
      <c r="AA6" s="0" t="s">
        <v>18</v>
      </c>
      <c r="AB6" s="0" t="s">
        <v>14</v>
      </c>
      <c r="AC6" s="0" t="n">
        <v>183.751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70</v>
      </c>
      <c r="B1" s="2" t="s">
        <v>71</v>
      </c>
    </row>
    <row r="2" customFormat="false" ht="15" hidden="false" customHeight="false" outlineLevel="0" collapsed="false">
      <c r="A2" s="0" t="s">
        <v>72</v>
      </c>
      <c r="B2" s="3" t="n">
        <v>8.055</v>
      </c>
    </row>
    <row r="3" customFormat="false" ht="15" hidden="false" customHeight="false" outlineLevel="0" collapsed="false">
      <c r="A3" s="0" t="s">
        <v>73</v>
      </c>
      <c r="B3" s="3" t="n">
        <v>569</v>
      </c>
    </row>
    <row r="4" customFormat="false" ht="15" hidden="false" customHeight="false" outlineLevel="0" collapsed="false">
      <c r="A4" s="0" t="s">
        <v>74</v>
      </c>
      <c r="B4" s="3" t="n">
        <v>-1070.119</v>
      </c>
    </row>
    <row r="5" customFormat="false" ht="15" hidden="false" customHeight="false" outlineLevel="0" collapsed="false">
      <c r="A5" s="0" t="s">
        <v>75</v>
      </c>
      <c r="B5" s="3" t="n">
        <v>-105</v>
      </c>
    </row>
    <row r="6" customFormat="false" ht="15" hidden="false" customHeight="false" outlineLevel="0" collapsed="false">
      <c r="A6" s="0" t="s">
        <v>76</v>
      </c>
      <c r="B6" s="3" t="n">
        <v>15</v>
      </c>
    </row>
    <row r="7" customFormat="false" ht="15" hidden="false" customHeight="false" outlineLevel="0" collapsed="false">
      <c r="A7" s="0" t="s">
        <v>77</v>
      </c>
      <c r="B7" s="3" t="n">
        <v>790.483</v>
      </c>
    </row>
    <row r="8" customFormat="false" ht="15" hidden="false" customHeight="false" outlineLevel="0" collapsed="false">
      <c r="A8" s="0" t="s">
        <v>78</v>
      </c>
      <c r="B8" s="3" t="s">
        <v>69</v>
      </c>
    </row>
    <row r="9" customFormat="false" ht="15" hidden="false" customHeight="false" outlineLevel="0" collapsed="false">
      <c r="A9" s="0" t="s">
        <v>79</v>
      </c>
      <c r="B9" s="3" t="s">
        <v>80</v>
      </c>
    </row>
    <row r="10" customFormat="false" ht="15" hidden="false" customHeight="false" outlineLevel="0" collapsed="false">
      <c r="A10" s="0" t="s">
        <v>81</v>
      </c>
      <c r="B10" s="3" t="n">
        <v>1.1724</v>
      </c>
    </row>
    <row r="12" customFormat="false" ht="15" hidden="false" customHeight="false" outlineLevel="0" collapsed="false">
      <c r="A12" s="2" t="s">
        <v>82</v>
      </c>
      <c r="C12" s="2" t="s">
        <v>83</v>
      </c>
      <c r="D12" s="2" t="s">
        <v>84</v>
      </c>
      <c r="E12" s="2" t="s">
        <v>85</v>
      </c>
      <c r="F12" s="2" t="s">
        <v>86</v>
      </c>
      <c r="G12" s="2" t="s">
        <v>87</v>
      </c>
      <c r="H12" s="2" t="s">
        <v>88</v>
      </c>
      <c r="I12" s="2" t="s">
        <v>89</v>
      </c>
      <c r="J12" s="2" t="s">
        <v>90</v>
      </c>
      <c r="K12" s="2" t="s">
        <v>91</v>
      </c>
      <c r="L12" s="2" t="s">
        <v>92</v>
      </c>
    </row>
    <row r="13" customFormat="false" ht="15" hidden="false" customHeight="false" outlineLevel="0" collapsed="false">
      <c r="A13" s="0" t="s">
        <v>93</v>
      </c>
      <c r="C13" s="3" t="n">
        <v>-3</v>
      </c>
      <c r="D13" s="3" t="n">
        <v>2</v>
      </c>
      <c r="E13" s="3" t="n">
        <v>3</v>
      </c>
      <c r="F13" s="3" t="n">
        <v>4</v>
      </c>
      <c r="G13" s="3" t="n">
        <v>4</v>
      </c>
      <c r="H13" s="3" t="n">
        <v>4</v>
      </c>
      <c r="I13" s="3" t="n">
        <v>3</v>
      </c>
      <c r="J13" s="3" t="n">
        <v>3</v>
      </c>
      <c r="K13" s="3" t="n">
        <v>3</v>
      </c>
      <c r="L13" s="3" t="n">
        <v>2.5</v>
      </c>
    </row>
    <row r="14" customFormat="false" ht="15" hidden="false" customHeight="false" outlineLevel="0" collapsed="false">
      <c r="A14" s="0" t="s">
        <v>94</v>
      </c>
      <c r="C14" s="3" t="n">
        <v>43</v>
      </c>
      <c r="D14" s="3" t="n">
        <v>41.5</v>
      </c>
      <c r="E14" s="3" t="n">
        <v>40</v>
      </c>
      <c r="F14" s="3" t="n">
        <v>39</v>
      </c>
      <c r="G14" s="3" t="n">
        <v>38</v>
      </c>
      <c r="H14" s="3" t="n">
        <v>37.5</v>
      </c>
      <c r="I14" s="3" t="n">
        <v>37</v>
      </c>
      <c r="J14" s="3" t="n">
        <v>36.5</v>
      </c>
      <c r="K14" s="3" t="n">
        <v>36</v>
      </c>
      <c r="L14" s="3" t="n">
        <v>36</v>
      </c>
    </row>
    <row r="15" customFormat="false" ht="15" hidden="false" customHeight="false" outlineLevel="0" collapsed="false">
      <c r="A15" s="0" t="s">
        <v>95</v>
      </c>
      <c r="C15" s="3" t="n">
        <v>2.4</v>
      </c>
      <c r="D15" s="3" t="n">
        <v>2.4</v>
      </c>
      <c r="E15" s="3" t="n">
        <v>2.4</v>
      </c>
      <c r="F15" s="3" t="n">
        <v>2.3</v>
      </c>
      <c r="G15" s="3" t="n">
        <v>2.3</v>
      </c>
      <c r="H15" s="3" t="n">
        <v>2.3</v>
      </c>
      <c r="I15" s="3" t="n">
        <v>2.2</v>
      </c>
      <c r="J15" s="3" t="n">
        <v>2.2</v>
      </c>
      <c r="K15" s="3" t="n">
        <v>2.2</v>
      </c>
      <c r="L15" s="3" t="n">
        <v>2.2</v>
      </c>
    </row>
    <row r="16" customFormat="false" ht="15" hidden="false" customHeight="false" outlineLevel="0" collapsed="false">
      <c r="A16" s="0" t="s">
        <v>96</v>
      </c>
      <c r="C16" s="3" t="n">
        <v>4</v>
      </c>
      <c r="D16" s="3" t="n">
        <v>4</v>
      </c>
      <c r="E16" s="3" t="n">
        <v>4</v>
      </c>
      <c r="F16" s="3" t="n">
        <v>4</v>
      </c>
      <c r="G16" s="3" t="n">
        <v>4</v>
      </c>
      <c r="H16" s="3" t="n">
        <v>4</v>
      </c>
      <c r="I16" s="3" t="n">
        <v>4</v>
      </c>
      <c r="J16" s="3" t="n">
        <v>4</v>
      </c>
      <c r="K16" s="3" t="n">
        <v>4</v>
      </c>
      <c r="L16" s="3" t="n">
        <v>4</v>
      </c>
    </row>
    <row r="17" customFormat="false" ht="15" hidden="false" customHeight="false" outlineLevel="0" collapsed="false">
      <c r="A17" s="0" t="s">
        <v>97</v>
      </c>
      <c r="C17" s="3" t="n">
        <v>4.5</v>
      </c>
      <c r="D17" s="3" t="n">
        <v>4.6</v>
      </c>
      <c r="E17" s="3" t="n">
        <v>4.7</v>
      </c>
      <c r="F17" s="3" t="n">
        <v>4.8</v>
      </c>
      <c r="G17" s="3" t="n">
        <v>4.9</v>
      </c>
      <c r="H17" s="3" t="n">
        <v>5</v>
      </c>
      <c r="I17" s="3" t="n">
        <v>5</v>
      </c>
      <c r="J17" s="3" t="n">
        <v>5</v>
      </c>
      <c r="K17" s="3" t="n">
        <v>5</v>
      </c>
      <c r="L17" s="3" t="n">
        <v>5</v>
      </c>
    </row>
    <row r="18" customFormat="false" ht="15" hidden="false" customHeight="false" outlineLevel="0" collapsed="false">
      <c r="A18" s="0" t="s">
        <v>98</v>
      </c>
      <c r="C18" s="3" t="n">
        <v>6.5</v>
      </c>
      <c r="D18" s="3" t="n">
        <v>6.5</v>
      </c>
      <c r="E18" s="3" t="n">
        <v>6.5</v>
      </c>
      <c r="F18" s="3" t="n">
        <v>6.5</v>
      </c>
      <c r="G18" s="3" t="n">
        <v>6.5</v>
      </c>
      <c r="H18" s="3" t="n">
        <v>6.5</v>
      </c>
      <c r="I18" s="3" t="n">
        <v>6.5</v>
      </c>
      <c r="J18" s="3" t="n">
        <v>6.5</v>
      </c>
      <c r="K18" s="3" t="n">
        <v>6.5</v>
      </c>
      <c r="L18" s="3" t="n">
        <v>6.5</v>
      </c>
    </row>
    <row r="19" customFormat="false" ht="15" hidden="false" customHeight="false" outlineLevel="0" collapsed="false">
      <c r="A19" s="0" t="s">
        <v>99</v>
      </c>
      <c r="C19" s="3" t="n">
        <v>17</v>
      </c>
      <c r="D19" s="3" t="n">
        <v>17</v>
      </c>
      <c r="E19" s="3" t="n">
        <v>18</v>
      </c>
      <c r="F19" s="3" t="n">
        <v>19</v>
      </c>
      <c r="G19" s="3" t="n">
        <v>20</v>
      </c>
      <c r="H19" s="3" t="n">
        <v>21</v>
      </c>
      <c r="I19" s="3" t="n">
        <v>22</v>
      </c>
      <c r="J19" s="3" t="n">
        <v>23</v>
      </c>
      <c r="K19" s="3" t="n">
        <v>24</v>
      </c>
      <c r="L19" s="3" t="n">
        <v>25</v>
      </c>
    </row>
    <row r="20" customFormat="false" ht="15" hidden="false" customHeight="false" outlineLevel="0" collapsed="false">
      <c r="A20" s="0" t="s">
        <v>100</v>
      </c>
      <c r="B20" s="3" t="n">
        <v>9.5</v>
      </c>
    </row>
    <row r="21" customFormat="false" ht="15" hidden="false" customHeight="false" outlineLevel="0" collapsed="false">
      <c r="A21" s="0" t="s">
        <v>101</v>
      </c>
      <c r="B21" s="3" t="n">
        <v>2</v>
      </c>
    </row>
    <row r="22" customFormat="false" ht="15" hidden="false" customHeight="false" outlineLevel="0" collapsed="false">
      <c r="A22" s="0" t="s">
        <v>102</v>
      </c>
      <c r="B22" s="3" t="n">
        <v>12</v>
      </c>
    </row>
    <row r="23" customFormat="false" ht="15" hidden="false" customHeight="false" outlineLevel="0" collapsed="false">
      <c r="A23" s="0" t="s">
        <v>103</v>
      </c>
      <c r="B23" s="3" t="n">
        <v>-40</v>
      </c>
    </row>
    <row r="24" customFormat="false" ht="15" hidden="false" customHeight="false" outlineLevel="0" collapsed="false">
      <c r="A24" s="0" t="s">
        <v>104</v>
      </c>
      <c r="B24" s="3" t="n">
        <v>0.3</v>
      </c>
    </row>
    <row r="26" customFormat="false" ht="15" hidden="false" customHeight="false" outlineLevel="0" collapsed="false">
      <c r="A26" s="2" t="s">
        <v>105</v>
      </c>
      <c r="C26" s="2" t="s">
        <v>83</v>
      </c>
      <c r="D26" s="2" t="s">
        <v>84</v>
      </c>
      <c r="E26" s="2" t="s">
        <v>85</v>
      </c>
      <c r="F26" s="2" t="s">
        <v>86</v>
      </c>
      <c r="G26" s="2" t="s">
        <v>87</v>
      </c>
      <c r="H26" s="2" t="s">
        <v>88</v>
      </c>
      <c r="I26" s="2" t="s">
        <v>89</v>
      </c>
      <c r="J26" s="2" t="s">
        <v>90</v>
      </c>
      <c r="K26" s="2" t="s">
        <v>91</v>
      </c>
      <c r="L26" s="2" t="s">
        <v>92</v>
      </c>
    </row>
    <row r="27" customFormat="false" ht="15" hidden="false" customHeight="false" outlineLevel="0" collapsed="false">
      <c r="A27" s="0" t="s">
        <v>93</v>
      </c>
      <c r="C27" s="3" t="n">
        <v>6</v>
      </c>
      <c r="D27" s="3" t="n">
        <v>8</v>
      </c>
      <c r="E27" s="3" t="n">
        <v>9</v>
      </c>
      <c r="F27" s="3" t="n">
        <v>9</v>
      </c>
      <c r="G27" s="3" t="n">
        <v>8</v>
      </c>
      <c r="H27" s="3" t="n">
        <v>7</v>
      </c>
      <c r="I27" s="3" t="n">
        <v>6</v>
      </c>
      <c r="J27" s="3" t="n">
        <v>5</v>
      </c>
      <c r="K27" s="3" t="n">
        <v>4</v>
      </c>
      <c r="L27" s="3" t="n">
        <v>3</v>
      </c>
    </row>
    <row r="28" customFormat="false" ht="15" hidden="false" customHeight="false" outlineLevel="0" collapsed="false">
      <c r="A28" s="0" t="s">
        <v>94</v>
      </c>
      <c r="C28" s="3" t="n">
        <v>47.5</v>
      </c>
      <c r="D28" s="3" t="n">
        <v>47</v>
      </c>
      <c r="E28" s="3" t="n">
        <v>46.5</v>
      </c>
      <c r="F28" s="3" t="n">
        <v>46</v>
      </c>
      <c r="G28" s="3" t="n">
        <v>45.5</v>
      </c>
      <c r="H28" s="3" t="n">
        <v>45</v>
      </c>
      <c r="I28" s="3" t="n">
        <v>44.5</v>
      </c>
      <c r="J28" s="3" t="n">
        <v>44</v>
      </c>
      <c r="K28" s="3" t="n">
        <v>44</v>
      </c>
      <c r="L28" s="3" t="n">
        <v>44</v>
      </c>
    </row>
    <row r="29" customFormat="false" ht="15" hidden="false" customHeight="false" outlineLevel="0" collapsed="false">
      <c r="A29" s="0" t="s">
        <v>95</v>
      </c>
      <c r="C29" s="3" t="n">
        <v>2.4</v>
      </c>
      <c r="D29" s="3" t="n">
        <v>2.4</v>
      </c>
      <c r="E29" s="3" t="n">
        <v>2.3</v>
      </c>
      <c r="F29" s="3" t="n">
        <v>2.3</v>
      </c>
      <c r="G29" s="3" t="n">
        <v>2.2</v>
      </c>
      <c r="H29" s="3" t="n">
        <v>2.2</v>
      </c>
      <c r="I29" s="3" t="n">
        <v>2.1</v>
      </c>
      <c r="J29" s="3" t="n">
        <v>2.1</v>
      </c>
      <c r="K29" s="3" t="n">
        <v>2</v>
      </c>
      <c r="L29" s="3" t="n">
        <v>2</v>
      </c>
    </row>
    <row r="30" customFormat="false" ht="15" hidden="false" customHeight="false" outlineLevel="0" collapsed="false">
      <c r="A30" s="0" t="s">
        <v>96</v>
      </c>
      <c r="C30" s="3" t="n">
        <v>3.5</v>
      </c>
      <c r="D30" s="3" t="n">
        <v>3.5</v>
      </c>
      <c r="E30" s="3" t="n">
        <v>3.4</v>
      </c>
      <c r="F30" s="3" t="n">
        <v>3.3</v>
      </c>
      <c r="G30" s="3" t="n">
        <v>3.2</v>
      </c>
      <c r="H30" s="3" t="n">
        <v>3.1</v>
      </c>
      <c r="I30" s="3" t="n">
        <v>3</v>
      </c>
      <c r="J30" s="3" t="n">
        <v>3</v>
      </c>
      <c r="K30" s="3" t="n">
        <v>3</v>
      </c>
      <c r="L30" s="3" t="n">
        <v>3</v>
      </c>
    </row>
    <row r="31" customFormat="false" ht="15" hidden="false" customHeight="false" outlineLevel="0" collapsed="false">
      <c r="A31" s="0" t="s">
        <v>97</v>
      </c>
      <c r="C31" s="3" t="n">
        <v>4.5</v>
      </c>
      <c r="D31" s="3" t="n">
        <v>4.6</v>
      </c>
      <c r="E31" s="3" t="n">
        <v>4.7</v>
      </c>
      <c r="F31" s="3" t="n">
        <v>4.8</v>
      </c>
      <c r="G31" s="3" t="n">
        <v>4.9</v>
      </c>
      <c r="H31" s="3" t="n">
        <v>5</v>
      </c>
      <c r="I31" s="3" t="n">
        <v>5</v>
      </c>
      <c r="J31" s="3" t="n">
        <v>5</v>
      </c>
      <c r="K31" s="3" t="n">
        <v>5</v>
      </c>
      <c r="L31" s="3" t="n">
        <v>5</v>
      </c>
    </row>
    <row r="32" customFormat="false" ht="15" hidden="false" customHeight="false" outlineLevel="0" collapsed="false">
      <c r="A32" s="0" t="s">
        <v>98</v>
      </c>
      <c r="C32" s="3" t="n">
        <v>6.5</v>
      </c>
      <c r="D32" s="3" t="n">
        <v>6.5</v>
      </c>
      <c r="E32" s="3" t="n">
        <v>6.3</v>
      </c>
      <c r="F32" s="3" t="n">
        <v>6.1</v>
      </c>
      <c r="G32" s="3" t="n">
        <v>5.9</v>
      </c>
      <c r="H32" s="3" t="n">
        <v>5.7</v>
      </c>
      <c r="I32" s="3" t="n">
        <v>5.5</v>
      </c>
      <c r="J32" s="3" t="n">
        <v>5.5</v>
      </c>
      <c r="K32" s="3" t="n">
        <v>5.5</v>
      </c>
      <c r="L32" s="3" t="n">
        <v>5.5</v>
      </c>
    </row>
    <row r="33" customFormat="false" ht="15" hidden="false" customHeight="false" outlineLevel="0" collapsed="false">
      <c r="A33" s="0" t="s">
        <v>99</v>
      </c>
      <c r="C33" s="3" t="n">
        <v>16</v>
      </c>
      <c r="D33" s="3" t="n">
        <v>16</v>
      </c>
      <c r="E33" s="3" t="n">
        <v>16.5</v>
      </c>
      <c r="F33" s="3" t="n">
        <v>16.5</v>
      </c>
      <c r="G33" s="3" t="n">
        <v>17</v>
      </c>
      <c r="H33" s="3" t="n">
        <v>17</v>
      </c>
      <c r="I33" s="3" t="n">
        <v>17</v>
      </c>
      <c r="J33" s="3" t="n">
        <v>17</v>
      </c>
      <c r="K33" s="3" t="n">
        <v>17</v>
      </c>
      <c r="L33" s="3" t="n">
        <v>17</v>
      </c>
    </row>
    <row r="34" customFormat="false" ht="15" hidden="false" customHeight="false" outlineLevel="0" collapsed="false">
      <c r="A34" s="0" t="s">
        <v>100</v>
      </c>
      <c r="B34" s="3" t="n">
        <v>9.5</v>
      </c>
    </row>
    <row r="35" customFormat="false" ht="15" hidden="false" customHeight="false" outlineLevel="0" collapsed="false">
      <c r="A35" s="0" t="s">
        <v>101</v>
      </c>
      <c r="B35" s="3" t="n">
        <v>2.5</v>
      </c>
    </row>
    <row r="36" customFormat="false" ht="15" hidden="false" customHeight="false" outlineLevel="0" collapsed="false">
      <c r="A36" s="0" t="s">
        <v>102</v>
      </c>
      <c r="B36" s="3" t="n">
        <v>15</v>
      </c>
    </row>
    <row r="37" customFormat="false" ht="15" hidden="false" customHeight="false" outlineLevel="0" collapsed="false">
      <c r="A37" s="0" t="s">
        <v>103</v>
      </c>
      <c r="B37" s="3" t="n">
        <v>-35</v>
      </c>
    </row>
    <row r="38" customFormat="false" ht="15" hidden="false" customHeight="false" outlineLevel="0" collapsed="false">
      <c r="A38" s="0" t="s">
        <v>104</v>
      </c>
      <c r="B38" s="3" t="n">
        <v>0.5</v>
      </c>
    </row>
    <row r="40" customFormat="false" ht="15" hidden="false" customHeight="false" outlineLevel="0" collapsed="false">
      <c r="A40" s="2" t="s">
        <v>106</v>
      </c>
      <c r="C40" s="2" t="s">
        <v>83</v>
      </c>
      <c r="D40" s="2" t="s">
        <v>84</v>
      </c>
      <c r="E40" s="2" t="s">
        <v>85</v>
      </c>
      <c r="F40" s="2" t="s">
        <v>86</v>
      </c>
      <c r="G40" s="2" t="s">
        <v>87</v>
      </c>
      <c r="H40" s="2" t="s">
        <v>88</v>
      </c>
      <c r="I40" s="2" t="s">
        <v>89</v>
      </c>
      <c r="J40" s="2" t="s">
        <v>90</v>
      </c>
      <c r="K40" s="2" t="s">
        <v>91</v>
      </c>
      <c r="L40" s="2" t="s">
        <v>92</v>
      </c>
    </row>
    <row r="41" customFormat="false" ht="15" hidden="false" customHeight="false" outlineLevel="0" collapsed="false">
      <c r="A41" s="0" t="s">
        <v>93</v>
      </c>
      <c r="C41" s="3" t="n">
        <v>10</v>
      </c>
      <c r="D41" s="3" t="n">
        <v>13</v>
      </c>
      <c r="E41" s="3" t="n">
        <v>14</v>
      </c>
      <c r="F41" s="3" t="n">
        <v>13</v>
      </c>
      <c r="G41" s="3" t="n">
        <v>12</v>
      </c>
      <c r="H41" s="3" t="n">
        <v>10</v>
      </c>
      <c r="I41" s="3" t="n">
        <v>8</v>
      </c>
      <c r="J41" s="3" t="n">
        <v>6</v>
      </c>
      <c r="K41" s="3" t="n">
        <v>5</v>
      </c>
      <c r="L41" s="3" t="n">
        <v>4</v>
      </c>
    </row>
    <row r="42" customFormat="false" ht="15" hidden="false" customHeight="false" outlineLevel="0" collapsed="false">
      <c r="A42" s="0" t="s">
        <v>94</v>
      </c>
      <c r="C42" s="3" t="n">
        <v>48.5</v>
      </c>
      <c r="D42" s="3" t="n">
        <v>48.5</v>
      </c>
      <c r="E42" s="3" t="n">
        <v>48.5</v>
      </c>
      <c r="F42" s="3" t="n">
        <v>48</v>
      </c>
      <c r="G42" s="3" t="n">
        <v>48</v>
      </c>
      <c r="H42" s="3" t="n">
        <v>47.5</v>
      </c>
      <c r="I42" s="3" t="n">
        <v>47.5</v>
      </c>
      <c r="J42" s="3" t="n">
        <v>47</v>
      </c>
      <c r="K42" s="3" t="n">
        <v>47</v>
      </c>
      <c r="L42" s="3" t="n">
        <v>47</v>
      </c>
    </row>
    <row r="43" customFormat="false" ht="15" hidden="false" customHeight="false" outlineLevel="0" collapsed="false">
      <c r="A43" s="0" t="s">
        <v>95</v>
      </c>
      <c r="C43" s="3" t="n">
        <v>2.4</v>
      </c>
      <c r="D43" s="3" t="n">
        <v>2.4</v>
      </c>
      <c r="E43" s="3" t="n">
        <v>2.3</v>
      </c>
      <c r="F43" s="3" t="n">
        <v>2.3</v>
      </c>
      <c r="G43" s="3" t="n">
        <v>2.2</v>
      </c>
      <c r="H43" s="3" t="n">
        <v>2.2</v>
      </c>
      <c r="I43" s="3" t="n">
        <v>2.1</v>
      </c>
      <c r="J43" s="3" t="n">
        <v>2.1</v>
      </c>
      <c r="K43" s="3" t="n">
        <v>2</v>
      </c>
      <c r="L43" s="3" t="n">
        <v>2</v>
      </c>
    </row>
    <row r="44" customFormat="false" ht="15" hidden="false" customHeight="false" outlineLevel="0" collapsed="false">
      <c r="A44" s="0" t="s">
        <v>96</v>
      </c>
      <c r="C44" s="3" t="n">
        <v>3.3</v>
      </c>
      <c r="D44" s="3" t="n">
        <v>3.2</v>
      </c>
      <c r="E44" s="3" t="n">
        <v>3.1</v>
      </c>
      <c r="F44" s="3" t="n">
        <v>3</v>
      </c>
      <c r="G44" s="3" t="n">
        <v>2.9</v>
      </c>
      <c r="H44" s="3" t="n">
        <v>2.8</v>
      </c>
      <c r="I44" s="3" t="n">
        <v>2.7</v>
      </c>
      <c r="J44" s="3" t="n">
        <v>2.7</v>
      </c>
      <c r="K44" s="3" t="n">
        <v>2.7</v>
      </c>
      <c r="L44" s="3" t="n">
        <v>2.7</v>
      </c>
    </row>
    <row r="45" customFormat="false" ht="15" hidden="false" customHeight="false" outlineLevel="0" collapsed="false">
      <c r="A45" s="0" t="s">
        <v>97</v>
      </c>
      <c r="C45" s="3" t="n">
        <v>4.5</v>
      </c>
      <c r="D45" s="3" t="n">
        <v>4.6</v>
      </c>
      <c r="E45" s="3" t="n">
        <v>4.7</v>
      </c>
      <c r="F45" s="3" t="n">
        <v>4.8</v>
      </c>
      <c r="G45" s="3" t="n">
        <v>4.9</v>
      </c>
      <c r="H45" s="3" t="n">
        <v>5</v>
      </c>
      <c r="I45" s="3" t="n">
        <v>5</v>
      </c>
      <c r="J45" s="3" t="n">
        <v>5</v>
      </c>
      <c r="K45" s="3" t="n">
        <v>5</v>
      </c>
      <c r="L45" s="3" t="n">
        <v>5</v>
      </c>
    </row>
    <row r="46" customFormat="false" ht="15" hidden="false" customHeight="false" outlineLevel="0" collapsed="false">
      <c r="A46" s="0" t="s">
        <v>98</v>
      </c>
      <c r="C46" s="3" t="n">
        <v>6.5</v>
      </c>
      <c r="D46" s="3" t="n">
        <v>6.5</v>
      </c>
      <c r="E46" s="3" t="n">
        <v>6.3</v>
      </c>
      <c r="F46" s="3" t="n">
        <v>6.1</v>
      </c>
      <c r="G46" s="3" t="n">
        <v>5.9</v>
      </c>
      <c r="H46" s="3" t="n">
        <v>5.7</v>
      </c>
      <c r="I46" s="3" t="n">
        <v>5.5</v>
      </c>
      <c r="J46" s="3" t="n">
        <v>5.5</v>
      </c>
      <c r="K46" s="3" t="n">
        <v>5.5</v>
      </c>
      <c r="L46" s="3" t="n">
        <v>5.5</v>
      </c>
    </row>
    <row r="47" customFormat="false" ht="15" hidden="false" customHeight="false" outlineLevel="0" collapsed="false">
      <c r="A47" s="0" t="s">
        <v>99</v>
      </c>
      <c r="C47" s="3" t="n">
        <v>15</v>
      </c>
      <c r="D47" s="3" t="n">
        <v>15</v>
      </c>
      <c r="E47" s="3" t="n">
        <v>15.5</v>
      </c>
      <c r="F47" s="3" t="n">
        <v>15.5</v>
      </c>
      <c r="G47" s="3" t="n">
        <v>16</v>
      </c>
      <c r="H47" s="3" t="n">
        <v>16</v>
      </c>
      <c r="I47" s="3" t="n">
        <v>16</v>
      </c>
      <c r="J47" s="3" t="n">
        <v>16</v>
      </c>
      <c r="K47" s="3" t="n">
        <v>16</v>
      </c>
      <c r="L47" s="3" t="n">
        <v>16</v>
      </c>
    </row>
    <row r="48" customFormat="false" ht="15" hidden="false" customHeight="false" outlineLevel="0" collapsed="false">
      <c r="A48" s="0" t="s">
        <v>100</v>
      </c>
      <c r="B48" s="3" t="n">
        <v>9.5</v>
      </c>
    </row>
    <row r="49" customFormat="false" ht="15" hidden="false" customHeight="false" outlineLevel="0" collapsed="false">
      <c r="A49" s="0" t="s">
        <v>101</v>
      </c>
      <c r="B49" s="3" t="n">
        <v>3</v>
      </c>
    </row>
    <row r="50" customFormat="false" ht="15" hidden="false" customHeight="false" outlineLevel="0" collapsed="false">
      <c r="A50" s="0" t="s">
        <v>102</v>
      </c>
      <c r="B50" s="3" t="n">
        <v>16</v>
      </c>
    </row>
    <row r="51" customFormat="false" ht="15" hidden="false" customHeight="false" outlineLevel="0" collapsed="false">
      <c r="A51" s="0" t="s">
        <v>103</v>
      </c>
      <c r="B51" s="3" t="n">
        <v>-30</v>
      </c>
    </row>
    <row r="52" customFormat="false" ht="15" hidden="false" customHeight="false" outlineLevel="0" collapsed="false">
      <c r="A52" s="0" t="s">
        <v>104</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107</v>
      </c>
    </row>
    <row r="3" customFormat="false" ht="15" hidden="false" customHeight="false" outlineLevel="0" collapsed="false">
      <c r="A3" s="0" t="s">
        <v>108</v>
      </c>
      <c r="B3" s="0" t="s">
        <v>69</v>
      </c>
      <c r="C3" s="2" t="s">
        <v>83</v>
      </c>
      <c r="D3" s="2" t="s">
        <v>84</v>
      </c>
      <c r="E3" s="2" t="s">
        <v>85</v>
      </c>
      <c r="F3" s="2" t="s">
        <v>86</v>
      </c>
      <c r="G3" s="2" t="s">
        <v>87</v>
      </c>
      <c r="H3" s="2" t="s">
        <v>88</v>
      </c>
      <c r="I3" s="2" t="s">
        <v>89</v>
      </c>
      <c r="J3" s="2" t="s">
        <v>90</v>
      </c>
      <c r="K3" s="2" t="s">
        <v>91</v>
      </c>
      <c r="L3" s="2" t="s">
        <v>92</v>
      </c>
    </row>
    <row r="4" customFormat="false" ht="15" hidden="false" customHeight="false" outlineLevel="0" collapsed="false">
      <c r="A4" s="0" t="s">
        <v>109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93</v>
      </c>
      <c r="C5" s="4" t="n">
        <f aca="false">Assumptions!C13</f>
        <v>-3</v>
      </c>
      <c r="D5" s="4" t="n">
        <f aca="false">Assumptions!D13</f>
        <v>2</v>
      </c>
      <c r="E5" s="4" t="n">
        <f aca="false">Assumptions!E13</f>
        <v>3</v>
      </c>
      <c r="F5" s="4" t="n">
        <f aca="false">Assumptions!F13</f>
        <v>4</v>
      </c>
      <c r="G5" s="4" t="n">
        <f aca="false">Assumptions!G13</f>
        <v>4</v>
      </c>
      <c r="H5" s="4" t="n">
        <f aca="false">Assumptions!H13</f>
        <v>4</v>
      </c>
      <c r="I5" s="4" t="n">
        <f aca="false">Assumptions!I13</f>
        <v>3</v>
      </c>
      <c r="J5" s="4" t="n">
        <f aca="false">Assumptions!J13</f>
        <v>3</v>
      </c>
      <c r="K5" s="4" t="n">
        <f aca="false">Assumptions!K13</f>
        <v>3</v>
      </c>
      <c r="L5" s="4" t="n">
        <f aca="false">Assumptions!L13</f>
        <v>2.5</v>
      </c>
    </row>
    <row r="6" customFormat="false" ht="15" hidden="false" customHeight="false" outlineLevel="0" collapsed="false">
      <c r="A6" s="0" t="s">
        <v>38</v>
      </c>
      <c r="B6" s="3" t="n">
        <v>790.483</v>
      </c>
      <c r="C6" s="0" t="n">
        <f aca="false">B6*(1+C5/100)</f>
        <v>766.76851</v>
      </c>
      <c r="D6" s="0" t="n">
        <f aca="false">C6*(1+D5/100)</f>
        <v>782.1038802</v>
      </c>
      <c r="E6" s="0" t="n">
        <f aca="false">D6*(1+E5/100)</f>
        <v>805.566996606</v>
      </c>
      <c r="F6" s="0" t="n">
        <f aca="false">E6*(1+F5/100)</f>
        <v>837.78967647024</v>
      </c>
      <c r="G6" s="0" t="n">
        <f aca="false">F6*(1+G5/100)</f>
        <v>871.30126352905</v>
      </c>
      <c r="H6" s="0" t="n">
        <f aca="false">G6*(1+H5/100)</f>
        <v>906.153314070212</v>
      </c>
      <c r="I6" s="0" t="n">
        <f aca="false">H6*(1+I5/100)</f>
        <v>933.337913492318</v>
      </c>
      <c r="J6" s="0" t="n">
        <f aca="false">I6*(1+J5/100)</f>
        <v>961.338050897088</v>
      </c>
      <c r="K6" s="0" t="n">
        <f aca="false">J6*(1+K5/100)</f>
        <v>990.178192424</v>
      </c>
      <c r="L6" s="0" t="n">
        <f aca="false">K6*(1+L5/100)</f>
        <v>1014.9326472346</v>
      </c>
    </row>
    <row r="7" customFormat="false" ht="15" hidden="false" customHeight="false" outlineLevel="0" collapsed="false">
      <c r="A7" s="0" t="s">
        <v>94</v>
      </c>
      <c r="C7" s="4" t="n">
        <f aca="false">Assumptions!C14</f>
        <v>43</v>
      </c>
      <c r="D7" s="4" t="n">
        <f aca="false">Assumptions!D14</f>
        <v>41.5</v>
      </c>
      <c r="E7" s="4" t="n">
        <f aca="false">Assumptions!E14</f>
        <v>40</v>
      </c>
      <c r="F7" s="4" t="n">
        <f aca="false">Assumptions!F14</f>
        <v>39</v>
      </c>
      <c r="G7" s="4" t="n">
        <f aca="false">Assumptions!G14</f>
        <v>38</v>
      </c>
      <c r="H7" s="4" t="n">
        <f aca="false">Assumptions!H14</f>
        <v>37.5</v>
      </c>
      <c r="I7" s="4" t="n">
        <f aca="false">Assumptions!I14</f>
        <v>37</v>
      </c>
      <c r="J7" s="4" t="n">
        <f aca="false">Assumptions!J14</f>
        <v>36.5</v>
      </c>
      <c r="K7" s="4" t="n">
        <f aca="false">Assumptions!K14</f>
        <v>36</v>
      </c>
      <c r="L7" s="4" t="n">
        <f aca="false">Assumptions!L14</f>
        <v>36</v>
      </c>
    </row>
    <row r="8" customFormat="false" ht="15" hidden="false" customHeight="false" outlineLevel="0" collapsed="false">
      <c r="A8" s="0" t="s">
        <v>44</v>
      </c>
      <c r="C8" s="0" t="n">
        <f aca="false">C6*C7/100</f>
        <v>329.7104593</v>
      </c>
      <c r="D8" s="0" t="n">
        <f aca="false">D6*D7/100</f>
        <v>324.573110283</v>
      </c>
      <c r="E8" s="0" t="n">
        <f aca="false">E6*E7/100</f>
        <v>322.2267986424</v>
      </c>
      <c r="F8" s="0" t="n">
        <f aca="false">F6*F7/100</f>
        <v>326.737973823394</v>
      </c>
      <c r="G8" s="0" t="n">
        <f aca="false">G6*G7/100</f>
        <v>331.094480141039</v>
      </c>
      <c r="H8" s="0" t="n">
        <f aca="false">H6*H7/100</f>
        <v>339.807492776329</v>
      </c>
      <c r="I8" s="0" t="n">
        <f aca="false">I6*I7/100</f>
        <v>345.335027992158</v>
      </c>
      <c r="J8" s="0" t="n">
        <f aca="false">J6*J7/100</f>
        <v>350.888388577437</v>
      </c>
      <c r="K8" s="0" t="n">
        <f aca="false">K6*K7/100</f>
        <v>356.46414927264</v>
      </c>
      <c r="L8" s="0" t="n">
        <f aca="false">L6*L7/100</f>
        <v>365.375753004456</v>
      </c>
    </row>
    <row r="9" customFormat="false" ht="15" hidden="false" customHeight="false" outlineLevel="0" collapsed="false">
      <c r="A9" s="0" t="s">
        <v>95</v>
      </c>
      <c r="C9" s="4" t="n">
        <f aca="false">Assumptions!C15</f>
        <v>2.4</v>
      </c>
      <c r="D9" s="4" t="n">
        <f aca="false">Assumptions!D15</f>
        <v>2.4</v>
      </c>
      <c r="E9" s="4" t="n">
        <f aca="false">Assumptions!E15</f>
        <v>2.4</v>
      </c>
      <c r="F9" s="4" t="n">
        <f aca="false">Assumptions!F15</f>
        <v>2.3</v>
      </c>
      <c r="G9" s="4" t="n">
        <f aca="false">Assumptions!G15</f>
        <v>2.3</v>
      </c>
      <c r="H9" s="4" t="n">
        <f aca="false">Assumptions!H15</f>
        <v>2.3</v>
      </c>
      <c r="I9" s="4" t="n">
        <f aca="false">Assumptions!I15</f>
        <v>2.2</v>
      </c>
      <c r="J9" s="4" t="n">
        <f aca="false">Assumptions!J15</f>
        <v>2.2</v>
      </c>
      <c r="K9" s="4" t="n">
        <f aca="false">Assumptions!K15</f>
        <v>2.2</v>
      </c>
      <c r="L9" s="4" t="n">
        <f aca="false">Assumptions!L15</f>
        <v>2.2</v>
      </c>
    </row>
    <row r="10" customFormat="false" ht="15" hidden="false" customHeight="false" outlineLevel="0" collapsed="false">
      <c r="A10" s="0" t="s">
        <v>110</v>
      </c>
      <c r="C10" s="0" t="n">
        <f aca="false">-C6*C9/100</f>
        <v>-18.40244424</v>
      </c>
      <c r="D10" s="0" t="n">
        <f aca="false">-D6*D9/100</f>
        <v>-18.7704931248</v>
      </c>
      <c r="E10" s="0" t="n">
        <f aca="false">-E6*E9/100</f>
        <v>-19.333607918544</v>
      </c>
      <c r="F10" s="0" t="n">
        <f aca="false">-F6*F9/100</f>
        <v>-19.2691625588155</v>
      </c>
      <c r="G10" s="0" t="n">
        <f aca="false">-G6*G9/100</f>
        <v>-20.0399290611681</v>
      </c>
      <c r="H10" s="0" t="n">
        <f aca="false">-H6*H9/100</f>
        <v>-20.8415262236149</v>
      </c>
      <c r="I10" s="0" t="n">
        <f aca="false">-I6*I9/100</f>
        <v>-20.533434096831</v>
      </c>
      <c r="J10" s="0" t="n">
        <f aca="false">-J6*J9/100</f>
        <v>-21.1494371197359</v>
      </c>
      <c r="K10" s="0" t="n">
        <f aca="false">-K6*K9/100</f>
        <v>-21.783920233328</v>
      </c>
      <c r="L10" s="0" t="n">
        <f aca="false">-L6*L9/100</f>
        <v>-22.3285182391612</v>
      </c>
    </row>
    <row r="11" customFormat="false" ht="15" hidden="false" customHeight="false" outlineLevel="0" collapsed="false">
      <c r="A11" s="0" t="s">
        <v>111</v>
      </c>
      <c r="C11" s="0" t="n">
        <f aca="false">C8+C10+C24</f>
        <v>280.63727466</v>
      </c>
      <c r="D11" s="0" t="n">
        <f aca="false">D8+D10+D24</f>
        <v>274.5184619502</v>
      </c>
      <c r="E11" s="0" t="n">
        <f aca="false">E8+E10+E24</f>
        <v>270.670510859616</v>
      </c>
      <c r="F11" s="0" t="n">
        <f aca="false">F8+F10+F24</f>
        <v>273.957224205769</v>
      </c>
      <c r="G11" s="0" t="n">
        <f aca="false">G8+G10+G24</f>
        <v>276.202500538709</v>
      </c>
      <c r="H11" s="0" t="n">
        <f aca="false">H8+H10+H24</f>
        <v>282.719833989906</v>
      </c>
      <c r="I11" s="0" t="n">
        <f aca="false">I8+I10+I24</f>
        <v>287.468077355634</v>
      </c>
      <c r="J11" s="0" t="n">
        <f aca="false">J8+J10+J24</f>
        <v>291.285429421818</v>
      </c>
      <c r="K11" s="0" t="n">
        <f aca="false">K8+K10+K24</f>
        <v>295.073101342352</v>
      </c>
      <c r="L11" s="0" t="n">
        <f aca="false">L8+L10+L24</f>
        <v>302.449928875911</v>
      </c>
    </row>
    <row r="12" customFormat="false" ht="15" hidden="false" customHeight="false" outlineLevel="0" collapsed="false">
      <c r="A12" s="0" t="s">
        <v>112</v>
      </c>
      <c r="C12" s="4" t="n">
        <f aca="false">-C6*Assumptions!C17/100</f>
        <v>-34.50458295</v>
      </c>
      <c r="D12" s="4" t="n">
        <f aca="false">-D6*Assumptions!D17/100</f>
        <v>-35.9767784892</v>
      </c>
      <c r="E12" s="4" t="n">
        <f aca="false">-E6*Assumptions!E17/100</f>
        <v>-37.861648840482</v>
      </c>
      <c r="F12" s="4" t="n">
        <f aca="false">-F6*Assumptions!F17/100</f>
        <v>-40.2139044705715</v>
      </c>
      <c r="G12" s="4" t="n">
        <f aca="false">-G6*Assumptions!G17/100</f>
        <v>-42.6937619129234</v>
      </c>
      <c r="H12" s="4" t="n">
        <f aca="false">-H6*Assumptions!H17/100</f>
        <v>-45.3076657035106</v>
      </c>
      <c r="I12" s="4" t="n">
        <f aca="false">-I6*Assumptions!I17/100</f>
        <v>-46.6668956746159</v>
      </c>
      <c r="J12" s="4" t="n">
        <f aca="false">-J6*Assumptions!J17/100</f>
        <v>-48.0669025448544</v>
      </c>
      <c r="K12" s="4" t="n">
        <f aca="false">-K6*Assumptions!K17/100</f>
        <v>-49.5089096212</v>
      </c>
      <c r="L12" s="4" t="n">
        <f aca="false">-L6*Assumptions!L17/100</f>
        <v>-50.74663236173</v>
      </c>
    </row>
    <row r="13" customFormat="false" ht="15" hidden="false" customHeight="false" outlineLevel="0" collapsed="false">
      <c r="A13" s="0" t="s">
        <v>113</v>
      </c>
      <c r="C13" s="0" t="n">
        <f aca="false">C11+C12</f>
        <v>246.13269171</v>
      </c>
      <c r="D13" s="0" t="n">
        <f aca="false">D11+D12</f>
        <v>238.541683461</v>
      </c>
      <c r="E13" s="0" t="n">
        <f aca="false">E11+E12</f>
        <v>232.808862019134</v>
      </c>
      <c r="F13" s="0" t="n">
        <f aca="false">F11+F12</f>
        <v>233.743319735197</v>
      </c>
      <c r="G13" s="0" t="n">
        <f aca="false">G11+G12</f>
        <v>233.508738625785</v>
      </c>
      <c r="H13" s="0" t="n">
        <f aca="false">H11+H12</f>
        <v>237.412168286395</v>
      </c>
      <c r="I13" s="0" t="n">
        <f aca="false">I11+I12</f>
        <v>240.801181681018</v>
      </c>
      <c r="J13" s="0" t="n">
        <f aca="false">J11+J12</f>
        <v>243.218526876963</v>
      </c>
      <c r="K13" s="0" t="n">
        <f aca="false">K11+K12</f>
        <v>245.564191721152</v>
      </c>
      <c r="L13" s="0" t="n">
        <f aca="false">L11+L12</f>
        <v>251.703296514181</v>
      </c>
    </row>
    <row r="14" customFormat="false" ht="15" hidden="false" customHeight="false" outlineLevel="0" collapsed="false">
      <c r="A14" s="0" t="s">
        <v>99</v>
      </c>
      <c r="C14" s="4" t="n">
        <f aca="false">Assumptions!C19</f>
        <v>17</v>
      </c>
      <c r="D14" s="4" t="n">
        <f aca="false">Assumptions!D19</f>
        <v>17</v>
      </c>
      <c r="E14" s="4" t="n">
        <f aca="false">Assumptions!E19</f>
        <v>18</v>
      </c>
      <c r="F14" s="4" t="n">
        <f aca="false">Assumptions!F19</f>
        <v>19</v>
      </c>
      <c r="G14" s="4" t="n">
        <f aca="false">Assumptions!G19</f>
        <v>20</v>
      </c>
      <c r="H14" s="4" t="n">
        <f aca="false">Assumptions!H19</f>
        <v>21</v>
      </c>
      <c r="I14" s="4" t="n">
        <f aca="false">Assumptions!I19</f>
        <v>22</v>
      </c>
      <c r="J14" s="4" t="n">
        <f aca="false">Assumptions!J19</f>
        <v>23</v>
      </c>
      <c r="K14" s="4" t="n">
        <f aca="false">Assumptions!K19</f>
        <v>24</v>
      </c>
      <c r="L14" s="4" t="n">
        <f aca="false">Assumptions!L19</f>
        <v>25</v>
      </c>
    </row>
    <row r="15" customFormat="false" ht="15" hidden="false" customHeight="false" outlineLevel="0" collapsed="false">
      <c r="A15" s="0" t="s">
        <v>114</v>
      </c>
      <c r="C15" s="0" t="n">
        <f aca="false">C13-MAX(0,C13)*C14/100</f>
        <v>204.2901341193</v>
      </c>
      <c r="D15" s="0" t="n">
        <f aca="false">D13-MAX(0,D13)*D14/100</f>
        <v>197.98959727263</v>
      </c>
      <c r="E15" s="0" t="n">
        <f aca="false">E13-MAX(0,E13)*E14/100</f>
        <v>190.90326685569</v>
      </c>
      <c r="F15" s="0" t="n">
        <f aca="false">F13-MAX(0,F13)*F14/100</f>
        <v>189.33208898551</v>
      </c>
      <c r="G15" s="0" t="n">
        <f aca="false">G13-MAX(0,G13)*G14/100</f>
        <v>186.806990900628</v>
      </c>
      <c r="H15" s="0" t="n">
        <f aca="false">H13-MAX(0,H13)*H14/100</f>
        <v>187.555612946252</v>
      </c>
      <c r="I15" s="0" t="n">
        <f aca="false">I13-MAX(0,I13)*I14/100</f>
        <v>187.824921711194</v>
      </c>
      <c r="J15" s="0" t="n">
        <f aca="false">J13-MAX(0,J13)*J14/100</f>
        <v>187.278265695262</v>
      </c>
      <c r="K15" s="0" t="n">
        <f aca="false">K13-MAX(0,K13)*K14/100</f>
        <v>186.628785708076</v>
      </c>
      <c r="L15" s="0" t="n">
        <f aca="false">L13-MAX(0,L13)*L14/100</f>
        <v>188.777472385636</v>
      </c>
    </row>
    <row r="16" customFormat="false" ht="15" hidden="false" customHeight="false" outlineLevel="0" collapsed="false">
      <c r="A16" s="0" t="s">
        <v>115</v>
      </c>
      <c r="C16" s="0" t="n">
        <f aca="false">-C12</f>
        <v>34.50458295</v>
      </c>
      <c r="D16" s="0" t="n">
        <f aca="false">-D12</f>
        <v>35.9767784892</v>
      </c>
      <c r="E16" s="0" t="n">
        <f aca="false">-E12</f>
        <v>37.861648840482</v>
      </c>
      <c r="F16" s="0" t="n">
        <f aca="false">-F12</f>
        <v>40.2139044705715</v>
      </c>
      <c r="G16" s="0" t="n">
        <f aca="false">-G12</f>
        <v>42.6937619129234</v>
      </c>
      <c r="H16" s="0" t="n">
        <f aca="false">-H12</f>
        <v>45.3076657035106</v>
      </c>
      <c r="I16" s="0" t="n">
        <f aca="false">-I12</f>
        <v>46.6668956746159</v>
      </c>
      <c r="J16" s="0" t="n">
        <f aca="false">-J12</f>
        <v>48.0669025448544</v>
      </c>
      <c r="K16" s="0" t="n">
        <f aca="false">-K12</f>
        <v>49.5089096212</v>
      </c>
      <c r="L16" s="0" t="n">
        <f aca="false">-L12</f>
        <v>50.74663236173</v>
      </c>
    </row>
    <row r="17" customFormat="false" ht="15" hidden="false" customHeight="false" outlineLevel="0" collapsed="false">
      <c r="A17" s="0" t="s">
        <v>116</v>
      </c>
      <c r="C17" s="4" t="n">
        <f aca="false">-C6*Assumptions!C18/100</f>
        <v>-49.83995315</v>
      </c>
      <c r="D17" s="4" t="n">
        <f aca="false">-D6*Assumptions!D18/100</f>
        <v>-50.836752213</v>
      </c>
      <c r="E17" s="4" t="n">
        <f aca="false">-E6*Assumptions!E18/100</f>
        <v>-52.36185477939</v>
      </c>
      <c r="F17" s="4" t="n">
        <f aca="false">-F6*Assumptions!F18/100</f>
        <v>-54.4563289705656</v>
      </c>
      <c r="G17" s="4" t="n">
        <f aca="false">-G6*Assumptions!G18/100</f>
        <v>-56.6345821293882</v>
      </c>
      <c r="H17" s="4" t="n">
        <f aca="false">-H6*Assumptions!H18/100</f>
        <v>-58.8999654145638</v>
      </c>
      <c r="I17" s="4" t="n">
        <f aca="false">-I6*Assumptions!I18/100</f>
        <v>-60.6669643770007</v>
      </c>
      <c r="J17" s="4" t="n">
        <f aca="false">-J6*Assumptions!J18/100</f>
        <v>-62.4869733083107</v>
      </c>
      <c r="K17" s="4" t="n">
        <f aca="false">-K6*Assumptions!K18/100</f>
        <v>-64.36158250756</v>
      </c>
      <c r="L17" s="4" t="n">
        <f aca="false">-L6*Assumptions!L18/100</f>
        <v>-65.970622070249</v>
      </c>
    </row>
    <row r="18" customFormat="false" ht="15" hidden="false" customHeight="false" outlineLevel="0" collapsed="false">
      <c r="A18" s="0" t="s">
        <v>117</v>
      </c>
      <c r="C18" s="4" t="n">
        <f aca="false">(C6-B6)*Assumptions!$B$23/100</f>
        <v>9.48579600000003</v>
      </c>
      <c r="D18" s="4" t="n">
        <f aca="false">(D6-C6)*Assumptions!$B$23/100</f>
        <v>-6.13414808000002</v>
      </c>
      <c r="E18" s="4" t="n">
        <f aca="false">(E6-D6)*Assumptions!$B$23/100</f>
        <v>-9.38524656240002</v>
      </c>
      <c r="F18" s="4" t="n">
        <f aca="false">(F6-E6)*Assumptions!$B$23/100</f>
        <v>-12.889071945696</v>
      </c>
      <c r="G18" s="4" t="n">
        <f aca="false">(G6-F6)*Assumptions!$B$23/100</f>
        <v>-13.4046348235238</v>
      </c>
      <c r="H18" s="4" t="n">
        <f aca="false">(H6-G6)*Assumptions!$B$23/100</f>
        <v>-13.9408202164648</v>
      </c>
      <c r="I18" s="4" t="n">
        <f aca="false">(I6-H6)*Assumptions!$B$23/100</f>
        <v>-10.8738397688426</v>
      </c>
      <c r="J18" s="4" t="n">
        <f aca="false">(J6-I6)*Assumptions!$B$23/100</f>
        <v>-11.2000549619078</v>
      </c>
      <c r="K18" s="4" t="n">
        <f aca="false">(K6-J6)*Assumptions!$B$23/100</f>
        <v>-11.5360566107651</v>
      </c>
      <c r="L18" s="4" t="n">
        <f aca="false">(L6-K6)*Assumptions!$B$23/100</f>
        <v>-9.90178192423996</v>
      </c>
    </row>
    <row r="19" customFormat="false" ht="15" hidden="false" customHeight="false" outlineLevel="0" collapsed="false">
      <c r="A19" s="0" t="s">
        <v>118</v>
      </c>
      <c r="C19" s="0" t="n">
        <f aca="false">C15+C16+C17+C18</f>
        <v>198.4405599193</v>
      </c>
      <c r="D19" s="0" t="n">
        <f aca="false">D15+D16+D17+D18</f>
        <v>176.99547546883</v>
      </c>
      <c r="E19" s="0" t="n">
        <f aca="false">E15+E16+E17+E18</f>
        <v>167.017814354382</v>
      </c>
      <c r="F19" s="0" t="n">
        <f aca="false">F15+F16+F17+F18</f>
        <v>162.200592539819</v>
      </c>
      <c r="G19" s="0" t="n">
        <f aca="false">G15+G16+G17+G18</f>
        <v>159.46153586064</v>
      </c>
      <c r="H19" s="0" t="n">
        <f aca="false">H15+H16+H17+H18</f>
        <v>160.022493018734</v>
      </c>
      <c r="I19" s="0" t="n">
        <f aca="false">I15+I16+I17+I18</f>
        <v>162.951013239967</v>
      </c>
      <c r="J19" s="0" t="n">
        <f aca="false">J15+J16+J17+J18</f>
        <v>161.658139969898</v>
      </c>
      <c r="K19" s="0" t="n">
        <f aca="false">K15+K16+K17+K18</f>
        <v>160.240056210951</v>
      </c>
      <c r="L19" s="0" t="n">
        <f aca="false">L15+L16+L17+L18</f>
        <v>163.651700752877</v>
      </c>
    </row>
    <row r="20" customFormat="false" ht="15" hidden="false" customHeight="false" outlineLevel="0" collapsed="false">
      <c r="A20" s="0" t="s">
        <v>119</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120</v>
      </c>
      <c r="C21" s="0" t="n">
        <f aca="false">C19*C20</f>
        <v>181.224255634064</v>
      </c>
      <c r="D21" s="0" t="n">
        <f aca="false">D19*D20</f>
        <v>147.616167693609</v>
      </c>
      <c r="E21" s="0" t="n">
        <f aca="false">E19*E20</f>
        <v>127.20976154951</v>
      </c>
      <c r="F21" s="0" t="n">
        <f aca="false">F19*F20</f>
        <v>112.822562558512</v>
      </c>
      <c r="G21" s="0" t="n">
        <f aca="false">G19*G20</f>
        <v>101.294379127014</v>
      </c>
      <c r="H21" s="0" t="n">
        <f aca="false">H19*H20</f>
        <v>92.8317028610718</v>
      </c>
      <c r="I21" s="0" t="n">
        <f aca="false">I19*I20</f>
        <v>86.3293023045706</v>
      </c>
      <c r="J21" s="0" t="n">
        <f aca="false">J19*J20</f>
        <v>78.2140228866596</v>
      </c>
      <c r="K21" s="0" t="n">
        <f aca="false">K19*K20</f>
        <v>70.8017538817238</v>
      </c>
      <c r="L21" s="0" t="n">
        <f aca="false">L19*L20</f>
        <v>66.035782937824</v>
      </c>
    </row>
    <row r="23" customFormat="false" ht="15" hidden="false" customHeight="false" outlineLevel="0" collapsed="false">
      <c r="A23" s="0" t="s">
        <v>96</v>
      </c>
      <c r="C23" s="4" t="n">
        <f aca="false">Assumptions!C16</f>
        <v>4</v>
      </c>
      <c r="D23" s="4" t="n">
        <f aca="false">Assumptions!D16</f>
        <v>4</v>
      </c>
      <c r="E23" s="4" t="n">
        <f aca="false">Assumptions!E16</f>
        <v>4</v>
      </c>
      <c r="F23" s="4" t="n">
        <f aca="false">Assumptions!F16</f>
        <v>4</v>
      </c>
      <c r="G23" s="4" t="n">
        <f aca="false">Assumptions!G16</f>
        <v>4</v>
      </c>
      <c r="H23" s="4" t="n">
        <f aca="false">Assumptions!H16</f>
        <v>4</v>
      </c>
      <c r="I23" s="4" t="n">
        <f aca="false">Assumptions!I16</f>
        <v>4</v>
      </c>
      <c r="J23" s="4" t="n">
        <f aca="false">Assumptions!J16</f>
        <v>4</v>
      </c>
      <c r="K23" s="4" t="n">
        <f aca="false">Assumptions!K16</f>
        <v>4</v>
      </c>
      <c r="L23" s="4" t="n">
        <f aca="false">Assumptions!L16</f>
        <v>4</v>
      </c>
    </row>
    <row r="24" customFormat="false" ht="15" hidden="false" customHeight="false" outlineLevel="0" collapsed="false">
      <c r="A24" s="0" t="s">
        <v>121</v>
      </c>
      <c r="C24" s="0" t="n">
        <f aca="false">-C6*C23/100</f>
        <v>-30.6707404</v>
      </c>
      <c r="D24" s="0" t="n">
        <f aca="false">-D6*D23/100</f>
        <v>-31.284155208</v>
      </c>
      <c r="E24" s="0" t="n">
        <f aca="false">-E6*E23/100</f>
        <v>-32.22267986424</v>
      </c>
      <c r="F24" s="0" t="n">
        <f aca="false">-F6*F23/100</f>
        <v>-33.5115870588096</v>
      </c>
      <c r="G24" s="0" t="n">
        <f aca="false">-G6*G23/100</f>
        <v>-34.852050541162</v>
      </c>
      <c r="H24" s="0" t="n">
        <f aca="false">-H6*H23/100</f>
        <v>-36.2461325628085</v>
      </c>
      <c r="I24" s="0" t="n">
        <f aca="false">-I6*I23/100</f>
        <v>-37.3335165396927</v>
      </c>
      <c r="J24" s="0" t="n">
        <f aca="false">-J6*J23/100</f>
        <v>-38.4535220358835</v>
      </c>
      <c r="K24" s="0" t="n">
        <f aca="false">-K6*K23/100</f>
        <v>-39.60712769696</v>
      </c>
      <c r="L24" s="0" t="n">
        <f aca="false">-L6*L23/100</f>
        <v>-40.597305889384</v>
      </c>
    </row>
    <row r="26" customFormat="false" ht="15" hidden="false" customHeight="false" outlineLevel="0" collapsed="false">
      <c r="A26" s="2" t="s">
        <v>122</v>
      </c>
    </row>
    <row r="27" customFormat="false" ht="15" hidden="false" customHeight="false" outlineLevel="0" collapsed="false">
      <c r="A27" s="0" t="s">
        <v>100</v>
      </c>
      <c r="B27" s="4" t="n">
        <f aca="false">Assumptions!$B$20</f>
        <v>9.5</v>
      </c>
    </row>
    <row r="28" customFormat="false" ht="15" hidden="false" customHeight="false" outlineLevel="0" collapsed="false">
      <c r="A28" s="0" t="s">
        <v>101</v>
      </c>
      <c r="B28" s="4" t="n">
        <f aca="false">Assumptions!$B$21</f>
        <v>2</v>
      </c>
    </row>
    <row r="29" customFormat="false" ht="15" hidden="false" customHeight="false" outlineLevel="0" collapsed="false">
      <c r="A29" s="0" t="s">
        <v>102</v>
      </c>
      <c r="B29" s="4" t="n">
        <f aca="false">Assumptions!$B$22</f>
        <v>12</v>
      </c>
    </row>
    <row r="30" customFormat="false" ht="15" hidden="false" customHeight="false" outlineLevel="0" collapsed="false">
      <c r="A30" s="0" t="s">
        <v>123</v>
      </c>
      <c r="B30" s="0" t="n">
        <f aca="false">SUM(C21:L21)</f>
        <v>1064.37969143456</v>
      </c>
    </row>
    <row r="31" customFormat="false" ht="15" hidden="false" customHeight="false" outlineLevel="0" collapsed="false">
      <c r="A31" s="0" t="s">
        <v>124</v>
      </c>
      <c r="B31" s="0" t="n">
        <f aca="false">L19</f>
        <v>163.651700752877</v>
      </c>
    </row>
    <row r="32" customFormat="false" ht="15" hidden="false" customHeight="false" outlineLevel="0" collapsed="false">
      <c r="A32" s="0" t="s">
        <v>125</v>
      </c>
      <c r="B32" s="0" t="n">
        <f aca="false">IF(B27&gt;B28,B31*(1+B28/100)/((B27-B28)/100),B31*B29)</f>
        <v>2225.66313023912</v>
      </c>
    </row>
    <row r="33" customFormat="false" ht="15" hidden="false" customHeight="false" outlineLevel="0" collapsed="false">
      <c r="A33" s="0" t="s">
        <v>126</v>
      </c>
      <c r="B33" s="0" t="n">
        <f aca="false">B31*B29</f>
        <v>1963.82040903452</v>
      </c>
    </row>
    <row r="34" customFormat="false" ht="15" hidden="false" customHeight="false" outlineLevel="0" collapsed="false">
      <c r="A34" s="0" t="s">
        <v>127</v>
      </c>
      <c r="B34" s="0" t="n">
        <f aca="false">MAX(0,MIN(B32,B33))</f>
        <v>1963.82040903452</v>
      </c>
    </row>
    <row r="35" customFormat="false" ht="15" hidden="false" customHeight="false" outlineLevel="0" collapsed="false">
      <c r="A35" s="0" t="s">
        <v>128</v>
      </c>
      <c r="B35" s="0" t="n">
        <f aca="false">B34/(1+B27/100)^L4</f>
        <v>792.429395253888</v>
      </c>
    </row>
    <row r="36" customFormat="false" ht="15" hidden="false" customHeight="false" outlineLevel="0" collapsed="false">
      <c r="A36" s="0" t="s">
        <v>129</v>
      </c>
      <c r="B36" s="0" t="n">
        <f aca="false">B30+B35</f>
        <v>1856.80908668845</v>
      </c>
    </row>
    <row r="37" customFormat="false" ht="15" hidden="false" customHeight="false" outlineLevel="0" collapsed="false">
      <c r="A37" s="0" t="s">
        <v>130</v>
      </c>
      <c r="B37" s="0" t="n">
        <f aca="false">B36+Assumptions!$B$5-Assumptions!$B$4</f>
        <v>2821.92808668845</v>
      </c>
    </row>
    <row r="38" customFormat="false" ht="15" hidden="false" customHeight="false" outlineLevel="0" collapsed="false">
      <c r="A38" s="0" t="s">
        <v>131</v>
      </c>
      <c r="B38" s="0" t="n">
        <f aca="false">B37/Assumptions!$B$3*Assumptions!$B$10</f>
        <v>5.81446131605191</v>
      </c>
    </row>
    <row r="39" customFormat="false" ht="15" hidden="false" customHeight="false" outlineLevel="0" collapsed="false">
      <c r="A39" s="0" t="s">
        <v>132</v>
      </c>
      <c r="B39" s="4" t="n">
        <f aca="false">B38/Assumptions!$B$2-1</f>
        <v>-0.278155019732848</v>
      </c>
    </row>
    <row r="41" customFormat="false" ht="15" hidden="false" customHeight="false" outlineLevel="0" collapsed="false">
      <c r="A41" s="0" t="s">
        <v>133</v>
      </c>
      <c r="B41" s="0" t="n">
        <f aca="false">SUMPRODUCT(-C10:L10/(1+$B$27/100)^C4:L4)</f>
        <v>125.155761930314</v>
      </c>
    </row>
    <row r="42" customFormat="false" ht="15" hidden="false" customHeight="false" outlineLevel="0" collapsed="false">
      <c r="A42" s="0" t="s">
        <v>134</v>
      </c>
      <c r="B42" s="0" t="n">
        <f aca="false">IF(B27&gt;B28,-L10*(1+B28/100)/((B27-B28)/100),-L10*20)/(1+B27/100)^L4</f>
        <v>122.534284745859</v>
      </c>
    </row>
    <row r="43" customFormat="false" ht="15" hidden="false" customHeight="false" outlineLevel="0" collapsed="false">
      <c r="A43" s="0" t="s">
        <v>135</v>
      </c>
      <c r="B43" s="0" t="n">
        <f aca="false">(B37+B41+B42)/Assumptions!$B$3*Assumptions!$B$10</f>
        <v>6.32481599219101</v>
      </c>
    </row>
    <row r="45" customFormat="false" ht="15" hidden="false" customHeight="false" outlineLevel="0" collapsed="false">
      <c r="A45" s="0" t="s">
        <v>76</v>
      </c>
      <c r="B45" s="4" t="n">
        <f aca="false">Assumptions!$B$6</f>
        <v>15</v>
      </c>
    </row>
    <row r="46" customFormat="false" ht="15" hidden="false" customHeight="false" outlineLevel="0" collapsed="false">
      <c r="A46" s="0" t="s">
        <v>136</v>
      </c>
      <c r="B46" s="0" t="n">
        <f aca="false">MAX(0,MIN(IF(B45&gt;B28,B31*(1+B28/100)/((B45-B28)/100),B31*B29),B31*B29))</f>
        <v>1284.0364212918</v>
      </c>
    </row>
    <row r="47" customFormat="false" ht="15" hidden="false" customHeight="false" outlineLevel="0" collapsed="false">
      <c r="A47" s="0" t="s">
        <v>137</v>
      </c>
      <c r="B47" s="0" t="n">
        <f aca="false">(SUMPRODUCT(C19:L19/(1+B45/100)^C4:L4)+B46/(1+B45/100)^L4+Assumptions!$B$5-Assumptions!$B$4)/Assumptions!$B$3*Assumptions!$B$10</f>
        <v>4.40944091304103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138</v>
      </c>
    </row>
    <row r="3" customFormat="false" ht="15" hidden="false" customHeight="false" outlineLevel="0" collapsed="false">
      <c r="A3" s="0" t="s">
        <v>108</v>
      </c>
      <c r="B3" s="0" t="s">
        <v>69</v>
      </c>
      <c r="C3" s="2" t="s">
        <v>83</v>
      </c>
      <c r="D3" s="2" t="s">
        <v>84</v>
      </c>
      <c r="E3" s="2" t="s">
        <v>85</v>
      </c>
      <c r="F3" s="2" t="s">
        <v>86</v>
      </c>
      <c r="G3" s="2" t="s">
        <v>87</v>
      </c>
      <c r="H3" s="2" t="s">
        <v>88</v>
      </c>
      <c r="I3" s="2" t="s">
        <v>89</v>
      </c>
      <c r="J3" s="2" t="s">
        <v>90</v>
      </c>
      <c r="K3" s="2" t="s">
        <v>91</v>
      </c>
      <c r="L3" s="2" t="s">
        <v>92</v>
      </c>
    </row>
    <row r="4" customFormat="false" ht="15" hidden="false" customHeight="false" outlineLevel="0" collapsed="false">
      <c r="A4" s="0" t="s">
        <v>109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93</v>
      </c>
      <c r="C5" s="4" t="n">
        <f aca="false">Assumptions!C27</f>
        <v>6</v>
      </c>
      <c r="D5" s="4" t="n">
        <f aca="false">Assumptions!D27</f>
        <v>8</v>
      </c>
      <c r="E5" s="4" t="n">
        <f aca="false">Assumptions!E27</f>
        <v>9</v>
      </c>
      <c r="F5" s="4" t="n">
        <f aca="false">Assumptions!F27</f>
        <v>9</v>
      </c>
      <c r="G5" s="4" t="n">
        <f aca="false">Assumptions!G27</f>
        <v>8</v>
      </c>
      <c r="H5" s="4" t="n">
        <f aca="false">Assumptions!H27</f>
        <v>7</v>
      </c>
      <c r="I5" s="4" t="n">
        <f aca="false">Assumptions!I27</f>
        <v>6</v>
      </c>
      <c r="J5" s="4" t="n">
        <f aca="false">Assumptions!J27</f>
        <v>5</v>
      </c>
      <c r="K5" s="4" t="n">
        <f aca="false">Assumptions!K27</f>
        <v>4</v>
      </c>
      <c r="L5" s="4" t="n">
        <f aca="false">Assumptions!L27</f>
        <v>3</v>
      </c>
    </row>
    <row r="6" customFormat="false" ht="15" hidden="false" customHeight="false" outlineLevel="0" collapsed="false">
      <c r="A6" s="0" t="s">
        <v>38</v>
      </c>
      <c r="B6" s="3" t="n">
        <v>790.483</v>
      </c>
      <c r="C6" s="0" t="n">
        <f aca="false">B6*(1+C5/100)</f>
        <v>837.91198</v>
      </c>
      <c r="D6" s="0" t="n">
        <f aca="false">C6*(1+D5/100)</f>
        <v>904.9449384</v>
      </c>
      <c r="E6" s="0" t="n">
        <f aca="false">D6*(1+E5/100)</f>
        <v>986.389982856</v>
      </c>
      <c r="F6" s="0" t="n">
        <f aca="false">E6*(1+F5/100)</f>
        <v>1075.16508131304</v>
      </c>
      <c r="G6" s="0" t="n">
        <f aca="false">F6*(1+G5/100)</f>
        <v>1161.17828781808</v>
      </c>
      <c r="H6" s="0" t="n">
        <f aca="false">G6*(1+H5/100)</f>
        <v>1242.46076796535</v>
      </c>
      <c r="I6" s="0" t="n">
        <f aca="false">H6*(1+I5/100)</f>
        <v>1317.00841404327</v>
      </c>
      <c r="J6" s="0" t="n">
        <f aca="false">I6*(1+J5/100)</f>
        <v>1382.85883474543</v>
      </c>
      <c r="K6" s="0" t="n">
        <f aca="false">J6*(1+K5/100)</f>
        <v>1438.17318813525</v>
      </c>
      <c r="L6" s="0" t="n">
        <f aca="false">K6*(1+L5/100)</f>
        <v>1481.31838377931</v>
      </c>
    </row>
    <row r="7" customFormat="false" ht="15" hidden="false" customHeight="false" outlineLevel="0" collapsed="false">
      <c r="A7" s="0" t="s">
        <v>94</v>
      </c>
      <c r="C7" s="4" t="n">
        <f aca="false">Assumptions!C28</f>
        <v>47.5</v>
      </c>
      <c r="D7" s="4" t="n">
        <f aca="false">Assumptions!D28</f>
        <v>47</v>
      </c>
      <c r="E7" s="4" t="n">
        <f aca="false">Assumptions!E28</f>
        <v>46.5</v>
      </c>
      <c r="F7" s="4" t="n">
        <f aca="false">Assumptions!F28</f>
        <v>46</v>
      </c>
      <c r="G7" s="4" t="n">
        <f aca="false">Assumptions!G28</f>
        <v>45.5</v>
      </c>
      <c r="H7" s="4" t="n">
        <f aca="false">Assumptions!H28</f>
        <v>45</v>
      </c>
      <c r="I7" s="4" t="n">
        <f aca="false">Assumptions!I28</f>
        <v>44.5</v>
      </c>
      <c r="J7" s="4" t="n">
        <f aca="false">Assumptions!J28</f>
        <v>44</v>
      </c>
      <c r="K7" s="4" t="n">
        <f aca="false">Assumptions!K28</f>
        <v>44</v>
      </c>
      <c r="L7" s="4" t="n">
        <f aca="false">Assumptions!L28</f>
        <v>44</v>
      </c>
    </row>
    <row r="8" customFormat="false" ht="15" hidden="false" customHeight="false" outlineLevel="0" collapsed="false">
      <c r="A8" s="0" t="s">
        <v>44</v>
      </c>
      <c r="C8" s="0" t="n">
        <f aca="false">C6*C7/100</f>
        <v>398.0081905</v>
      </c>
      <c r="D8" s="0" t="n">
        <f aca="false">D6*D7/100</f>
        <v>425.324121048</v>
      </c>
      <c r="E8" s="0" t="n">
        <f aca="false">E6*E7/100</f>
        <v>458.67134202804</v>
      </c>
      <c r="F8" s="0" t="n">
        <f aca="false">F6*F7/100</f>
        <v>494.575937403998</v>
      </c>
      <c r="G8" s="0" t="n">
        <f aca="false">G6*G7/100</f>
        <v>528.336120957228</v>
      </c>
      <c r="H8" s="0" t="n">
        <f aca="false">H6*H7/100</f>
        <v>559.107345584407</v>
      </c>
      <c r="I8" s="0" t="n">
        <f aca="false">I6*I7/100</f>
        <v>586.068744249255</v>
      </c>
      <c r="J8" s="0" t="n">
        <f aca="false">J6*J7/100</f>
        <v>608.457887287991</v>
      </c>
      <c r="K8" s="0" t="n">
        <f aca="false">K6*K7/100</f>
        <v>632.796202779511</v>
      </c>
      <c r="L8" s="0" t="n">
        <f aca="false">L6*L7/100</f>
        <v>651.780088862896</v>
      </c>
    </row>
    <row r="9" customFormat="false" ht="15" hidden="false" customHeight="false" outlineLevel="0" collapsed="false">
      <c r="A9" s="0" t="s">
        <v>95</v>
      </c>
      <c r="C9" s="4" t="n">
        <f aca="false">Assumptions!C29</f>
        <v>2.4</v>
      </c>
      <c r="D9" s="4" t="n">
        <f aca="false">Assumptions!D29</f>
        <v>2.4</v>
      </c>
      <c r="E9" s="4" t="n">
        <f aca="false">Assumptions!E29</f>
        <v>2.3</v>
      </c>
      <c r="F9" s="4" t="n">
        <f aca="false">Assumptions!F29</f>
        <v>2.3</v>
      </c>
      <c r="G9" s="4" t="n">
        <f aca="false">Assumptions!G29</f>
        <v>2.2</v>
      </c>
      <c r="H9" s="4" t="n">
        <f aca="false">Assumptions!H29</f>
        <v>2.2</v>
      </c>
      <c r="I9" s="4" t="n">
        <f aca="false">Assumptions!I29</f>
        <v>2.1</v>
      </c>
      <c r="J9" s="4" t="n">
        <f aca="false">Assumptions!J29</f>
        <v>2.1</v>
      </c>
      <c r="K9" s="4" t="n">
        <f aca="false">Assumptions!K29</f>
        <v>2</v>
      </c>
      <c r="L9" s="4" t="n">
        <f aca="false">Assumptions!L29</f>
        <v>2</v>
      </c>
    </row>
    <row r="10" customFormat="false" ht="15" hidden="false" customHeight="false" outlineLevel="0" collapsed="false">
      <c r="A10" s="0" t="s">
        <v>110</v>
      </c>
      <c r="C10" s="0" t="n">
        <f aca="false">-C6*C9/100</f>
        <v>-20.10988752</v>
      </c>
      <c r="D10" s="0" t="n">
        <f aca="false">-D6*D9/100</f>
        <v>-21.7186785216</v>
      </c>
      <c r="E10" s="0" t="n">
        <f aca="false">-E6*E9/100</f>
        <v>-22.686969605688</v>
      </c>
      <c r="F10" s="0" t="n">
        <f aca="false">-F6*F9/100</f>
        <v>-24.7287968701999</v>
      </c>
      <c r="G10" s="0" t="n">
        <f aca="false">-G6*G9/100</f>
        <v>-25.5459223319978</v>
      </c>
      <c r="H10" s="0" t="n">
        <f aca="false">-H6*H9/100</f>
        <v>-27.3341368952377</v>
      </c>
      <c r="I10" s="0" t="n">
        <f aca="false">-I6*I9/100</f>
        <v>-27.6571766949087</v>
      </c>
      <c r="J10" s="0" t="n">
        <f aca="false">-J6*J9/100</f>
        <v>-29.0400355296541</v>
      </c>
      <c r="K10" s="0" t="n">
        <f aca="false">-K6*K9/100</f>
        <v>-28.763463762705</v>
      </c>
      <c r="L10" s="0" t="n">
        <f aca="false">-L6*L9/100</f>
        <v>-29.6263676755862</v>
      </c>
    </row>
    <row r="11" customFormat="false" ht="15" hidden="false" customHeight="false" outlineLevel="0" collapsed="false">
      <c r="A11" s="0" t="s">
        <v>111</v>
      </c>
      <c r="C11" s="0" t="n">
        <f aca="false">C8+C10+C24</f>
        <v>348.57138368</v>
      </c>
      <c r="D11" s="0" t="n">
        <f aca="false">D8+D10+D24</f>
        <v>371.9323696824</v>
      </c>
      <c r="E11" s="0" t="n">
        <f aca="false">E8+E10+E24</f>
        <v>402.447113005248</v>
      </c>
      <c r="F11" s="0" t="n">
        <f aca="false">F8+F10+F24</f>
        <v>434.366692850468</v>
      </c>
      <c r="G11" s="0" t="n">
        <f aca="false">G8+G10+G24</f>
        <v>465.632493415052</v>
      </c>
      <c r="H11" s="0" t="n">
        <f aca="false">H8+H10+H24</f>
        <v>493.256924882244</v>
      </c>
      <c r="I11" s="0" t="n">
        <f aca="false">I8+I10+I24</f>
        <v>518.901315133049</v>
      </c>
      <c r="J11" s="0" t="n">
        <f aca="false">J8+J10+J24</f>
        <v>537.932086715974</v>
      </c>
      <c r="K11" s="0" t="n">
        <f aca="false">K8+K10+K24</f>
        <v>560.887543372748</v>
      </c>
      <c r="L11" s="0" t="n">
        <f aca="false">L8+L10+L24</f>
        <v>577.714169673931</v>
      </c>
    </row>
    <row r="12" customFormat="false" ht="15" hidden="false" customHeight="false" outlineLevel="0" collapsed="false">
      <c r="A12" s="0" t="s">
        <v>112</v>
      </c>
      <c r="C12" s="4" t="n">
        <f aca="false">-C6*Assumptions!C31/100</f>
        <v>-37.7060391</v>
      </c>
      <c r="D12" s="4" t="n">
        <f aca="false">-D6*Assumptions!D31/100</f>
        <v>-41.6274671664</v>
      </c>
      <c r="E12" s="4" t="n">
        <f aca="false">-E6*Assumptions!E31/100</f>
        <v>-46.360329194232</v>
      </c>
      <c r="F12" s="4" t="n">
        <f aca="false">-F6*Assumptions!F31/100</f>
        <v>-51.6079239030259</v>
      </c>
      <c r="G12" s="4" t="n">
        <f aca="false">-G6*Assumptions!G31/100</f>
        <v>-56.8977361030861</v>
      </c>
      <c r="H12" s="4" t="n">
        <f aca="false">-H6*Assumptions!H31/100</f>
        <v>-62.1230383982675</v>
      </c>
      <c r="I12" s="4" t="n">
        <f aca="false">-I6*Assumptions!I31/100</f>
        <v>-65.8504207021635</v>
      </c>
      <c r="J12" s="4" t="n">
        <f aca="false">-J6*Assumptions!J31/100</f>
        <v>-69.1429417372717</v>
      </c>
      <c r="K12" s="4" t="n">
        <f aca="false">-K6*Assumptions!K31/100</f>
        <v>-71.9086594067626</v>
      </c>
      <c r="L12" s="4" t="n">
        <f aca="false">-L6*Assumptions!L31/100</f>
        <v>-74.0659191889655</v>
      </c>
    </row>
    <row r="13" customFormat="false" ht="15" hidden="false" customHeight="false" outlineLevel="0" collapsed="false">
      <c r="A13" s="0" t="s">
        <v>113</v>
      </c>
      <c r="C13" s="0" t="n">
        <f aca="false">C11+C12</f>
        <v>310.86534458</v>
      </c>
      <c r="D13" s="0" t="n">
        <f aca="false">D11+D12</f>
        <v>330.304902516</v>
      </c>
      <c r="E13" s="0" t="n">
        <f aca="false">E11+E12</f>
        <v>356.086783811016</v>
      </c>
      <c r="F13" s="0" t="n">
        <f aca="false">F11+F12</f>
        <v>382.758768947442</v>
      </c>
      <c r="G13" s="0" t="n">
        <f aca="false">G11+G12</f>
        <v>408.734757311966</v>
      </c>
      <c r="H13" s="0" t="n">
        <f aca="false">H11+H12</f>
        <v>431.133886483976</v>
      </c>
      <c r="I13" s="0" t="n">
        <f aca="false">I11+I12</f>
        <v>453.050894430885</v>
      </c>
      <c r="J13" s="0" t="n">
        <f aca="false">J11+J12</f>
        <v>468.789144978702</v>
      </c>
      <c r="K13" s="0" t="n">
        <f aca="false">K11+K12</f>
        <v>488.978883965985</v>
      </c>
      <c r="L13" s="0" t="n">
        <f aca="false">L11+L12</f>
        <v>503.648250484965</v>
      </c>
    </row>
    <row r="14" customFormat="false" ht="15" hidden="false" customHeight="false" outlineLevel="0" collapsed="false">
      <c r="A14" s="0" t="s">
        <v>99</v>
      </c>
      <c r="C14" s="4" t="n">
        <f aca="false">Assumptions!C33</f>
        <v>16</v>
      </c>
      <c r="D14" s="4" t="n">
        <f aca="false">Assumptions!D33</f>
        <v>16</v>
      </c>
      <c r="E14" s="4" t="n">
        <f aca="false">Assumptions!E33</f>
        <v>16.5</v>
      </c>
      <c r="F14" s="4" t="n">
        <f aca="false">Assumptions!F33</f>
        <v>16.5</v>
      </c>
      <c r="G14" s="4" t="n">
        <f aca="false">Assumptions!G33</f>
        <v>17</v>
      </c>
      <c r="H14" s="4" t="n">
        <f aca="false">Assumptions!H33</f>
        <v>17</v>
      </c>
      <c r="I14" s="4" t="n">
        <f aca="false">Assumptions!I33</f>
        <v>17</v>
      </c>
      <c r="J14" s="4" t="n">
        <f aca="false">Assumptions!J33</f>
        <v>17</v>
      </c>
      <c r="K14" s="4" t="n">
        <f aca="false">Assumptions!K33</f>
        <v>17</v>
      </c>
      <c r="L14" s="4" t="n">
        <f aca="false">Assumptions!L33</f>
        <v>17</v>
      </c>
    </row>
    <row r="15" customFormat="false" ht="15" hidden="false" customHeight="false" outlineLevel="0" collapsed="false">
      <c r="A15" s="0" t="s">
        <v>114</v>
      </c>
      <c r="C15" s="0" t="n">
        <f aca="false">C13-MAX(0,C13)*C14/100</f>
        <v>261.1268894472</v>
      </c>
      <c r="D15" s="0" t="n">
        <f aca="false">D13-MAX(0,D13)*D14/100</f>
        <v>277.45611811344</v>
      </c>
      <c r="E15" s="0" t="n">
        <f aca="false">E13-MAX(0,E13)*E14/100</f>
        <v>297.332464482198</v>
      </c>
      <c r="F15" s="0" t="n">
        <f aca="false">F13-MAX(0,F13)*F14/100</f>
        <v>319.603572071114</v>
      </c>
      <c r="G15" s="0" t="n">
        <f aca="false">G13-MAX(0,G13)*G14/100</f>
        <v>339.249848568931</v>
      </c>
      <c r="H15" s="0" t="n">
        <f aca="false">H13-MAX(0,H13)*H14/100</f>
        <v>357.8411257817</v>
      </c>
      <c r="I15" s="0" t="n">
        <f aca="false">I13-MAX(0,I13)*I14/100</f>
        <v>376.032242377635</v>
      </c>
      <c r="J15" s="0" t="n">
        <f aca="false">J13-MAX(0,J13)*J14/100</f>
        <v>389.094990332323</v>
      </c>
      <c r="K15" s="0" t="n">
        <f aca="false">K13-MAX(0,K13)*K14/100</f>
        <v>405.852473691768</v>
      </c>
      <c r="L15" s="0" t="n">
        <f aca="false">L13-MAX(0,L13)*L14/100</f>
        <v>418.028047902521</v>
      </c>
    </row>
    <row r="16" customFormat="false" ht="15" hidden="false" customHeight="false" outlineLevel="0" collapsed="false">
      <c r="A16" s="0" t="s">
        <v>115</v>
      </c>
      <c r="C16" s="0" t="n">
        <f aca="false">-C12</f>
        <v>37.7060391</v>
      </c>
      <c r="D16" s="0" t="n">
        <f aca="false">-D12</f>
        <v>41.6274671664</v>
      </c>
      <c r="E16" s="0" t="n">
        <f aca="false">-E12</f>
        <v>46.360329194232</v>
      </c>
      <c r="F16" s="0" t="n">
        <f aca="false">-F12</f>
        <v>51.6079239030259</v>
      </c>
      <c r="G16" s="0" t="n">
        <f aca="false">-G12</f>
        <v>56.8977361030861</v>
      </c>
      <c r="H16" s="0" t="n">
        <f aca="false">-H12</f>
        <v>62.1230383982675</v>
      </c>
      <c r="I16" s="0" t="n">
        <f aca="false">-I12</f>
        <v>65.8504207021635</v>
      </c>
      <c r="J16" s="0" t="n">
        <f aca="false">-J12</f>
        <v>69.1429417372717</v>
      </c>
      <c r="K16" s="0" t="n">
        <f aca="false">-K12</f>
        <v>71.9086594067626</v>
      </c>
      <c r="L16" s="0" t="n">
        <f aca="false">-L12</f>
        <v>74.0659191889655</v>
      </c>
    </row>
    <row r="17" customFormat="false" ht="15" hidden="false" customHeight="false" outlineLevel="0" collapsed="false">
      <c r="A17" s="0" t="s">
        <v>116</v>
      </c>
      <c r="C17" s="4" t="n">
        <f aca="false">-C6*Assumptions!C32/100</f>
        <v>-54.4642787</v>
      </c>
      <c r="D17" s="4" t="n">
        <f aca="false">-D6*Assumptions!D32/100</f>
        <v>-58.821420996</v>
      </c>
      <c r="E17" s="4" t="n">
        <f aca="false">-E6*Assumptions!E32/100</f>
        <v>-62.142568919928</v>
      </c>
      <c r="F17" s="4" t="n">
        <f aca="false">-F6*Assumptions!F32/100</f>
        <v>-65.5850699600955</v>
      </c>
      <c r="G17" s="4" t="n">
        <f aca="false">-G6*Assumptions!G32/100</f>
        <v>-68.5095189812669</v>
      </c>
      <c r="H17" s="4" t="n">
        <f aca="false">-H6*Assumptions!H32/100</f>
        <v>-70.8202637740249</v>
      </c>
      <c r="I17" s="4" t="n">
        <f aca="false">-I6*Assumptions!I32/100</f>
        <v>-72.4354627723799</v>
      </c>
      <c r="J17" s="4" t="n">
        <f aca="false">-J6*Assumptions!J32/100</f>
        <v>-76.0572359109989</v>
      </c>
      <c r="K17" s="4" t="n">
        <f aca="false">-K6*Assumptions!K32/100</f>
        <v>-79.0995253474388</v>
      </c>
      <c r="L17" s="4" t="n">
        <f aca="false">-L6*Assumptions!L32/100</f>
        <v>-81.472511107862</v>
      </c>
    </row>
    <row r="18" customFormat="false" ht="15" hidden="false" customHeight="false" outlineLevel="0" collapsed="false">
      <c r="A18" s="0" t="s">
        <v>117</v>
      </c>
      <c r="C18" s="4" t="n">
        <f aca="false">(C6-B6)*Assumptions!$B$37/100</f>
        <v>-16.600143</v>
      </c>
      <c r="D18" s="4" t="n">
        <f aca="false">(D6-C6)*Assumptions!$B$37/100</f>
        <v>-23.46153544</v>
      </c>
      <c r="E18" s="4" t="n">
        <f aca="false">(E6-D6)*Assumptions!$B$37/100</f>
        <v>-28.5057655596</v>
      </c>
      <c r="F18" s="4" t="n">
        <f aca="false">(F6-E6)*Assumptions!$B$37/100</f>
        <v>-31.071284459964</v>
      </c>
      <c r="G18" s="4" t="n">
        <f aca="false">(G6-F6)*Assumptions!$B$37/100</f>
        <v>-30.1046222767652</v>
      </c>
      <c r="H18" s="4" t="n">
        <f aca="false">(H6-G6)*Assumptions!$B$37/100</f>
        <v>-28.4488680515431</v>
      </c>
      <c r="I18" s="4" t="n">
        <f aca="false">(I6-H6)*Assumptions!$B$37/100</f>
        <v>-26.0916761272723</v>
      </c>
      <c r="J18" s="4" t="n">
        <f aca="false">(J6-I6)*Assumptions!$B$37/100</f>
        <v>-23.0476472457572</v>
      </c>
      <c r="K18" s="4" t="n">
        <f aca="false">(K6-J6)*Assumptions!$B$37/100</f>
        <v>-19.3600236864361</v>
      </c>
      <c r="L18" s="4" t="n">
        <f aca="false">(L6-K6)*Assumptions!$B$37/100</f>
        <v>-15.1008184754202</v>
      </c>
    </row>
    <row r="19" customFormat="false" ht="15" hidden="false" customHeight="false" outlineLevel="0" collapsed="false">
      <c r="A19" s="0" t="s">
        <v>118</v>
      </c>
      <c r="C19" s="0" t="n">
        <f aca="false">C15+C16+C17+C18</f>
        <v>227.7685068472</v>
      </c>
      <c r="D19" s="0" t="n">
        <f aca="false">D15+D16+D17+D18</f>
        <v>236.80062884384</v>
      </c>
      <c r="E19" s="0" t="n">
        <f aca="false">E15+E16+E17+E18</f>
        <v>253.044459196902</v>
      </c>
      <c r="F19" s="0" t="n">
        <f aca="false">F15+F16+F17+F18</f>
        <v>274.555141554081</v>
      </c>
      <c r="G19" s="0" t="n">
        <f aca="false">G15+G16+G17+G18</f>
        <v>297.533443413985</v>
      </c>
      <c r="H19" s="0" t="n">
        <f aca="false">H15+H16+H17+H18</f>
        <v>320.6950323544</v>
      </c>
      <c r="I19" s="0" t="n">
        <f aca="false">I15+I16+I17+I18</f>
        <v>343.355524180146</v>
      </c>
      <c r="J19" s="0" t="n">
        <f aca="false">J15+J16+J17+J18</f>
        <v>359.133048912838</v>
      </c>
      <c r="K19" s="0" t="n">
        <f aca="false">K15+K16+K17+K18</f>
        <v>379.301584064656</v>
      </c>
      <c r="L19" s="0" t="n">
        <f aca="false">L15+L16+L17+L18</f>
        <v>395.520637508204</v>
      </c>
    </row>
    <row r="20" customFormat="false" ht="15" hidden="false" customHeight="false" outlineLevel="0" collapsed="false">
      <c r="A20" s="0" t="s">
        <v>119</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120</v>
      </c>
      <c r="C21" s="0" t="n">
        <f aca="false">C19*C20</f>
        <v>208.007768810228</v>
      </c>
      <c r="D21" s="0" t="n">
        <f aca="false">D19*D20</f>
        <v>197.49432150609</v>
      </c>
      <c r="E21" s="0" t="n">
        <f aca="false">E19*E20</f>
        <v>192.732286913789</v>
      </c>
      <c r="F21" s="0" t="n">
        <f aca="false">F19*F20</f>
        <v>190.97349860878</v>
      </c>
      <c r="G21" s="0" t="n">
        <f aca="false">G19*G20</f>
        <v>189.001474603139</v>
      </c>
      <c r="H21" s="0" t="n">
        <f aca="false">H19*H20</f>
        <v>186.040508374408</v>
      </c>
      <c r="I21" s="0" t="n">
        <f aca="false">I19*I20</f>
        <v>181.905237994691</v>
      </c>
      <c r="J21" s="0" t="n">
        <f aca="false">J19*J20</f>
        <v>173.757043797826</v>
      </c>
      <c r="K21" s="0" t="n">
        <f aca="false">K19*K20</f>
        <v>167.593659394002</v>
      </c>
      <c r="L21" s="0" t="n">
        <f aca="false">L19*L20</f>
        <v>159.59818838279</v>
      </c>
    </row>
    <row r="23" customFormat="false" ht="15" hidden="false" customHeight="false" outlineLevel="0" collapsed="false">
      <c r="A23" s="0" t="s">
        <v>96</v>
      </c>
      <c r="C23" s="4" t="n">
        <f aca="false">Assumptions!C30</f>
        <v>3.5</v>
      </c>
      <c r="D23" s="4" t="n">
        <f aca="false">Assumptions!D30</f>
        <v>3.5</v>
      </c>
      <c r="E23" s="4" t="n">
        <f aca="false">Assumptions!E30</f>
        <v>3.4</v>
      </c>
      <c r="F23" s="4" t="n">
        <f aca="false">Assumptions!F30</f>
        <v>3.3</v>
      </c>
      <c r="G23" s="4" t="n">
        <f aca="false">Assumptions!G30</f>
        <v>3.2</v>
      </c>
      <c r="H23" s="4" t="n">
        <f aca="false">Assumptions!H30</f>
        <v>3.1</v>
      </c>
      <c r="I23" s="4" t="n">
        <f aca="false">Assumptions!I30</f>
        <v>3</v>
      </c>
      <c r="J23" s="4" t="n">
        <f aca="false">Assumptions!J30</f>
        <v>3</v>
      </c>
      <c r="K23" s="4" t="n">
        <f aca="false">Assumptions!K30</f>
        <v>3</v>
      </c>
      <c r="L23" s="4" t="n">
        <f aca="false">Assumptions!L30</f>
        <v>3</v>
      </c>
    </row>
    <row r="24" customFormat="false" ht="15" hidden="false" customHeight="false" outlineLevel="0" collapsed="false">
      <c r="A24" s="0" t="s">
        <v>121</v>
      </c>
      <c r="C24" s="0" t="n">
        <f aca="false">-C6*C23/100</f>
        <v>-29.3269193</v>
      </c>
      <c r="D24" s="0" t="n">
        <f aca="false">-D6*D23/100</f>
        <v>-31.673072844</v>
      </c>
      <c r="E24" s="0" t="n">
        <f aca="false">-E6*E23/100</f>
        <v>-33.537259417104</v>
      </c>
      <c r="F24" s="0" t="n">
        <f aca="false">-F6*F23/100</f>
        <v>-35.4804476833303</v>
      </c>
      <c r="G24" s="0" t="n">
        <f aca="false">-G6*G23/100</f>
        <v>-37.1577052101787</v>
      </c>
      <c r="H24" s="0" t="n">
        <f aca="false">-H6*H23/100</f>
        <v>-38.5162838069258</v>
      </c>
      <c r="I24" s="0" t="n">
        <f aca="false">-I6*I23/100</f>
        <v>-39.5102524212981</v>
      </c>
      <c r="J24" s="0" t="n">
        <f aca="false">-J6*J23/100</f>
        <v>-41.485765042363</v>
      </c>
      <c r="K24" s="0" t="n">
        <f aca="false">-K6*K23/100</f>
        <v>-43.1451956440575</v>
      </c>
      <c r="L24" s="0" t="n">
        <f aca="false">-L6*L23/100</f>
        <v>-44.4395515133793</v>
      </c>
    </row>
    <row r="26" customFormat="false" ht="15" hidden="false" customHeight="false" outlineLevel="0" collapsed="false">
      <c r="A26" s="2" t="s">
        <v>122</v>
      </c>
    </row>
    <row r="27" customFormat="false" ht="15" hidden="false" customHeight="false" outlineLevel="0" collapsed="false">
      <c r="A27" s="0" t="s">
        <v>100</v>
      </c>
      <c r="B27" s="4" t="n">
        <f aca="false">Assumptions!$B$34</f>
        <v>9.5</v>
      </c>
    </row>
    <row r="28" customFormat="false" ht="15" hidden="false" customHeight="false" outlineLevel="0" collapsed="false">
      <c r="A28" s="0" t="s">
        <v>101</v>
      </c>
      <c r="B28" s="4" t="n">
        <f aca="false">Assumptions!$B$35</f>
        <v>2.5</v>
      </c>
    </row>
    <row r="29" customFormat="false" ht="15" hidden="false" customHeight="false" outlineLevel="0" collapsed="false">
      <c r="A29" s="0" t="s">
        <v>102</v>
      </c>
      <c r="B29" s="4" t="n">
        <f aca="false">Assumptions!$B$36</f>
        <v>15</v>
      </c>
    </row>
    <row r="30" customFormat="false" ht="15" hidden="false" customHeight="false" outlineLevel="0" collapsed="false">
      <c r="A30" s="0" t="s">
        <v>123</v>
      </c>
      <c r="B30" s="0" t="n">
        <f aca="false">SUM(C21:L21)</f>
        <v>1847.10398838574</v>
      </c>
    </row>
    <row r="31" customFormat="false" ht="15" hidden="false" customHeight="false" outlineLevel="0" collapsed="false">
      <c r="A31" s="0" t="s">
        <v>124</v>
      </c>
      <c r="B31" s="0" t="n">
        <f aca="false">L19</f>
        <v>395.520637508204</v>
      </c>
    </row>
    <row r="32" customFormat="false" ht="15" hidden="false" customHeight="false" outlineLevel="0" collapsed="false">
      <c r="A32" s="0" t="s">
        <v>125</v>
      </c>
      <c r="B32" s="0" t="n">
        <f aca="false">IF(B27&gt;B28,B31*(1+B28/100)/((B27-B28)/100),B31*B29)</f>
        <v>5791.55219208442</v>
      </c>
    </row>
    <row r="33" customFormat="false" ht="15" hidden="false" customHeight="false" outlineLevel="0" collapsed="false">
      <c r="A33" s="0" t="s">
        <v>126</v>
      </c>
      <c r="B33" s="0" t="n">
        <f aca="false">B31*B29</f>
        <v>5932.80956262307</v>
      </c>
    </row>
    <row r="34" customFormat="false" ht="15" hidden="false" customHeight="false" outlineLevel="0" collapsed="false">
      <c r="A34" s="0" t="s">
        <v>127</v>
      </c>
      <c r="B34" s="0" t="n">
        <f aca="false">MAX(0,MIN(B32,B33))</f>
        <v>5791.55219208442</v>
      </c>
    </row>
    <row r="35" customFormat="false" ht="15" hidden="false" customHeight="false" outlineLevel="0" collapsed="false">
      <c r="A35" s="0" t="s">
        <v>128</v>
      </c>
      <c r="B35" s="0" t="n">
        <f aca="false">B34/(1+B27/100)^L4</f>
        <v>2336.97347274799</v>
      </c>
    </row>
    <row r="36" customFormat="false" ht="15" hidden="false" customHeight="false" outlineLevel="0" collapsed="false">
      <c r="A36" s="0" t="s">
        <v>129</v>
      </c>
      <c r="B36" s="0" t="n">
        <f aca="false">B30+B35</f>
        <v>4184.07746113374</v>
      </c>
    </row>
    <row r="37" customFormat="false" ht="15" hidden="false" customHeight="false" outlineLevel="0" collapsed="false">
      <c r="A37" s="0" t="s">
        <v>130</v>
      </c>
      <c r="B37" s="0" t="n">
        <f aca="false">B36+Assumptions!$B$5-Assumptions!$B$4</f>
        <v>5149.19646113373</v>
      </c>
    </row>
    <row r="38" customFormat="false" ht="15" hidden="false" customHeight="false" outlineLevel="0" collapsed="false">
      <c r="A38" s="0" t="s">
        <v>131</v>
      </c>
      <c r="B38" s="0" t="n">
        <f aca="false">B37/Assumptions!$B$3*Assumptions!$B$10</f>
        <v>10.6096975940829</v>
      </c>
    </row>
    <row r="39" customFormat="false" ht="15" hidden="false" customHeight="false" outlineLevel="0" collapsed="false">
      <c r="A39" s="0" t="s">
        <v>132</v>
      </c>
      <c r="B39" s="4" t="n">
        <f aca="false">B38/Assumptions!$B$2-1</f>
        <v>0.317156746627304</v>
      </c>
    </row>
    <row r="41" customFormat="false" ht="15" hidden="false" customHeight="false" outlineLevel="0" collapsed="false">
      <c r="A41" s="0" t="s">
        <v>133</v>
      </c>
      <c r="B41" s="0" t="n">
        <f aca="false">SUMPRODUCT(-C10:L10/(1+$B$27/100)^C4:L4)</f>
        <v>156.410008506207</v>
      </c>
    </row>
    <row r="42" customFormat="false" ht="15" hidden="false" customHeight="false" outlineLevel="0" collapsed="false">
      <c r="A42" s="0" t="s">
        <v>134</v>
      </c>
      <c r="B42" s="0" t="n">
        <f aca="false">IF(B27&gt;B28,-L10*(1+B28/100)/((B27-B28)/100),-L10*20)/(1+B27/100)^L4</f>
        <v>175.050373573205</v>
      </c>
    </row>
    <row r="43" customFormat="false" ht="15" hidden="false" customHeight="false" outlineLevel="0" collapsed="false">
      <c r="A43" s="0" t="s">
        <v>135</v>
      </c>
      <c r="B43" s="0" t="n">
        <f aca="false">(B37+B41+B42)/Assumptions!$B$3*Assumptions!$B$10</f>
        <v>11.2926574393376</v>
      </c>
    </row>
    <row r="45" customFormat="false" ht="15" hidden="false" customHeight="false" outlineLevel="0" collapsed="false">
      <c r="A45" s="0" t="s">
        <v>76</v>
      </c>
      <c r="B45" s="4" t="n">
        <f aca="false">Assumptions!$B$6</f>
        <v>15</v>
      </c>
    </row>
    <row r="46" customFormat="false" ht="15" hidden="false" customHeight="false" outlineLevel="0" collapsed="false">
      <c r="A46" s="0" t="s">
        <v>136</v>
      </c>
      <c r="B46" s="0" t="n">
        <f aca="false">MAX(0,MIN(IF(B45&gt;B28,B31*(1+B28/100)/((B45-B28)/100),B31*B29),B31*B29))</f>
        <v>3243.26922756728</v>
      </c>
    </row>
    <row r="47" customFormat="false" ht="15" hidden="false" customHeight="false" outlineLevel="0" collapsed="false">
      <c r="A47" s="0" t="s">
        <v>137</v>
      </c>
      <c r="B47" s="0" t="n">
        <f aca="false">(SUMPRODUCT(C19:L19/(1+B45/100)^C4:L4)+B46/(1+B45/100)^L4+Assumptions!$B$5-Assumptions!$B$4)/Assumptions!$B$3*Assumptions!$B$10</f>
        <v>6.60566052121511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139</v>
      </c>
    </row>
    <row r="3" customFormat="false" ht="15" hidden="false" customHeight="false" outlineLevel="0" collapsed="false">
      <c r="A3" s="0" t="s">
        <v>108</v>
      </c>
      <c r="B3" s="0" t="s">
        <v>69</v>
      </c>
      <c r="C3" s="2" t="s">
        <v>83</v>
      </c>
      <c r="D3" s="2" t="s">
        <v>84</v>
      </c>
      <c r="E3" s="2" t="s">
        <v>85</v>
      </c>
      <c r="F3" s="2" t="s">
        <v>86</v>
      </c>
      <c r="G3" s="2" t="s">
        <v>87</v>
      </c>
      <c r="H3" s="2" t="s">
        <v>88</v>
      </c>
      <c r="I3" s="2" t="s">
        <v>89</v>
      </c>
      <c r="J3" s="2" t="s">
        <v>90</v>
      </c>
      <c r="K3" s="2" t="s">
        <v>91</v>
      </c>
      <c r="L3" s="2" t="s">
        <v>92</v>
      </c>
    </row>
    <row r="4" customFormat="false" ht="15" hidden="false" customHeight="false" outlineLevel="0" collapsed="false">
      <c r="A4" s="0" t="s">
        <v>109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93</v>
      </c>
      <c r="C5" s="4" t="n">
        <f aca="false">Assumptions!C41</f>
        <v>10</v>
      </c>
      <c r="D5" s="4" t="n">
        <f aca="false">Assumptions!D41</f>
        <v>13</v>
      </c>
      <c r="E5" s="4" t="n">
        <f aca="false">Assumptions!E41</f>
        <v>14</v>
      </c>
      <c r="F5" s="4" t="n">
        <f aca="false">Assumptions!F41</f>
        <v>13</v>
      </c>
      <c r="G5" s="4" t="n">
        <f aca="false">Assumptions!G41</f>
        <v>12</v>
      </c>
      <c r="H5" s="4" t="n">
        <f aca="false">Assumptions!H41</f>
        <v>10</v>
      </c>
      <c r="I5" s="4" t="n">
        <f aca="false">Assumptions!I41</f>
        <v>8</v>
      </c>
      <c r="J5" s="4" t="n">
        <f aca="false">Assumptions!J41</f>
        <v>6</v>
      </c>
      <c r="K5" s="4" t="n">
        <f aca="false">Assumptions!K41</f>
        <v>5</v>
      </c>
      <c r="L5" s="4" t="n">
        <f aca="false">Assumptions!L41</f>
        <v>4</v>
      </c>
    </row>
    <row r="6" customFormat="false" ht="15" hidden="false" customHeight="false" outlineLevel="0" collapsed="false">
      <c r="A6" s="0" t="s">
        <v>38</v>
      </c>
      <c r="B6" s="3" t="n">
        <v>790.483</v>
      </c>
      <c r="C6" s="0" t="n">
        <f aca="false">B6*(1+C5/100)</f>
        <v>869.5313</v>
      </c>
      <c r="D6" s="0" t="n">
        <f aca="false">C6*(1+D5/100)</f>
        <v>982.570369</v>
      </c>
      <c r="E6" s="0" t="n">
        <f aca="false">D6*(1+E5/100)</f>
        <v>1120.13022066</v>
      </c>
      <c r="F6" s="0" t="n">
        <f aca="false">E6*(1+F5/100)</f>
        <v>1265.7471493458</v>
      </c>
      <c r="G6" s="0" t="n">
        <f aca="false">F6*(1+G5/100)</f>
        <v>1417.6368072673</v>
      </c>
      <c r="H6" s="0" t="n">
        <f aca="false">G6*(1+H5/100)</f>
        <v>1559.40048799403</v>
      </c>
      <c r="I6" s="0" t="n">
        <f aca="false">H6*(1+I5/100)</f>
        <v>1684.15252703355</v>
      </c>
      <c r="J6" s="0" t="n">
        <f aca="false">I6*(1+J5/100)</f>
        <v>1785.20167865556</v>
      </c>
      <c r="K6" s="0" t="n">
        <f aca="false">J6*(1+K5/100)</f>
        <v>1874.46176258834</v>
      </c>
      <c r="L6" s="0" t="n">
        <f aca="false">K6*(1+L5/100)</f>
        <v>1949.44023309187</v>
      </c>
    </row>
    <row r="7" customFormat="false" ht="15" hidden="false" customHeight="false" outlineLevel="0" collapsed="false">
      <c r="A7" s="0" t="s">
        <v>94</v>
      </c>
      <c r="C7" s="4" t="n">
        <f aca="false">Assumptions!C42</f>
        <v>48.5</v>
      </c>
      <c r="D7" s="4" t="n">
        <f aca="false">Assumptions!D42</f>
        <v>48.5</v>
      </c>
      <c r="E7" s="4" t="n">
        <f aca="false">Assumptions!E42</f>
        <v>48.5</v>
      </c>
      <c r="F7" s="4" t="n">
        <f aca="false">Assumptions!F42</f>
        <v>48</v>
      </c>
      <c r="G7" s="4" t="n">
        <f aca="false">Assumptions!G42</f>
        <v>48</v>
      </c>
      <c r="H7" s="4" t="n">
        <f aca="false">Assumptions!H42</f>
        <v>47.5</v>
      </c>
      <c r="I7" s="4" t="n">
        <f aca="false">Assumptions!I42</f>
        <v>47.5</v>
      </c>
      <c r="J7" s="4" t="n">
        <f aca="false">Assumptions!J42</f>
        <v>47</v>
      </c>
      <c r="K7" s="4" t="n">
        <f aca="false">Assumptions!K42</f>
        <v>47</v>
      </c>
      <c r="L7" s="4" t="n">
        <f aca="false">Assumptions!L42</f>
        <v>47</v>
      </c>
    </row>
    <row r="8" customFormat="false" ht="15" hidden="false" customHeight="false" outlineLevel="0" collapsed="false">
      <c r="A8" s="0" t="s">
        <v>44</v>
      </c>
      <c r="C8" s="0" t="n">
        <f aca="false">C6*C7/100</f>
        <v>421.7226805</v>
      </c>
      <c r="D8" s="0" t="n">
        <f aca="false">D6*D7/100</f>
        <v>476.546628965</v>
      </c>
      <c r="E8" s="0" t="n">
        <f aca="false">E6*E7/100</f>
        <v>543.2631570201</v>
      </c>
      <c r="F8" s="0" t="n">
        <f aca="false">F6*F7/100</f>
        <v>607.558631685984</v>
      </c>
      <c r="G8" s="0" t="n">
        <f aca="false">G6*G7/100</f>
        <v>680.465667488302</v>
      </c>
      <c r="H8" s="0" t="n">
        <f aca="false">H6*H7/100</f>
        <v>740.715231797162</v>
      </c>
      <c r="I8" s="0" t="n">
        <f aca="false">I6*I7/100</f>
        <v>799.972450340935</v>
      </c>
      <c r="J8" s="0" t="n">
        <f aca="false">J6*J7/100</f>
        <v>839.044788968114</v>
      </c>
      <c r="K8" s="0" t="n">
        <f aca="false">K6*K7/100</f>
        <v>880.997028416519</v>
      </c>
      <c r="L8" s="0" t="n">
        <f aca="false">L6*L7/100</f>
        <v>916.23690955318</v>
      </c>
    </row>
    <row r="9" customFormat="false" ht="15" hidden="false" customHeight="false" outlineLevel="0" collapsed="false">
      <c r="A9" s="0" t="s">
        <v>95</v>
      </c>
      <c r="C9" s="4" t="n">
        <f aca="false">Assumptions!C43</f>
        <v>2.4</v>
      </c>
      <c r="D9" s="4" t="n">
        <f aca="false">Assumptions!D43</f>
        <v>2.4</v>
      </c>
      <c r="E9" s="4" t="n">
        <f aca="false">Assumptions!E43</f>
        <v>2.3</v>
      </c>
      <c r="F9" s="4" t="n">
        <f aca="false">Assumptions!F43</f>
        <v>2.3</v>
      </c>
      <c r="G9" s="4" t="n">
        <f aca="false">Assumptions!G43</f>
        <v>2.2</v>
      </c>
      <c r="H9" s="4" t="n">
        <f aca="false">Assumptions!H43</f>
        <v>2.2</v>
      </c>
      <c r="I9" s="4" t="n">
        <f aca="false">Assumptions!I43</f>
        <v>2.1</v>
      </c>
      <c r="J9" s="4" t="n">
        <f aca="false">Assumptions!J43</f>
        <v>2.1</v>
      </c>
      <c r="K9" s="4" t="n">
        <f aca="false">Assumptions!K43</f>
        <v>2</v>
      </c>
      <c r="L9" s="4" t="n">
        <f aca="false">Assumptions!L43</f>
        <v>2</v>
      </c>
    </row>
    <row r="10" customFormat="false" ht="15" hidden="false" customHeight="false" outlineLevel="0" collapsed="false">
      <c r="A10" s="0" t="s">
        <v>110</v>
      </c>
      <c r="C10" s="0" t="n">
        <f aca="false">-C6*C9/100</f>
        <v>-20.8687512</v>
      </c>
      <c r="D10" s="0" t="n">
        <f aca="false">-D6*D9/100</f>
        <v>-23.581688856</v>
      </c>
      <c r="E10" s="0" t="n">
        <f aca="false">-E6*E9/100</f>
        <v>-25.76299507518</v>
      </c>
      <c r="F10" s="0" t="n">
        <f aca="false">-F6*F9/100</f>
        <v>-29.1121844349534</v>
      </c>
      <c r="G10" s="0" t="n">
        <f aca="false">-G6*G9/100</f>
        <v>-31.1880097598805</v>
      </c>
      <c r="H10" s="0" t="n">
        <f aca="false">-H6*H9/100</f>
        <v>-34.3068107358686</v>
      </c>
      <c r="I10" s="0" t="n">
        <f aca="false">-I6*I9/100</f>
        <v>-35.3672030677045</v>
      </c>
      <c r="J10" s="0" t="n">
        <f aca="false">-J6*J9/100</f>
        <v>-37.4892352517668</v>
      </c>
      <c r="K10" s="0" t="n">
        <f aca="false">-K6*K9/100</f>
        <v>-37.4892352517668</v>
      </c>
      <c r="L10" s="0" t="n">
        <f aca="false">-L6*L9/100</f>
        <v>-38.9888046618375</v>
      </c>
    </row>
    <row r="11" customFormat="false" ht="15" hidden="false" customHeight="false" outlineLevel="0" collapsed="false">
      <c r="A11" s="0" t="s">
        <v>111</v>
      </c>
      <c r="C11" s="0" t="n">
        <f aca="false">C8+C10+C24</f>
        <v>372.1593964</v>
      </c>
      <c r="D11" s="0" t="n">
        <f aca="false">D8+D10+D24</f>
        <v>421.522688301</v>
      </c>
      <c r="E11" s="0" t="n">
        <f aca="false">E8+E10+E24</f>
        <v>482.77612510446</v>
      </c>
      <c r="F11" s="0" t="n">
        <f aca="false">F8+F10+F24</f>
        <v>540.474032770657</v>
      </c>
      <c r="G11" s="0" t="n">
        <f aca="false">G8+G10+G24</f>
        <v>608.16619031767</v>
      </c>
      <c r="H11" s="0" t="n">
        <f aca="false">H8+H10+H24</f>
        <v>662.745207397461</v>
      </c>
      <c r="I11" s="0" t="n">
        <f aca="false">I8+I10+I24</f>
        <v>719.133129043325</v>
      </c>
      <c r="J11" s="0" t="n">
        <f aca="false">J8+J10+J24</f>
        <v>753.355108392647</v>
      </c>
      <c r="K11" s="0" t="n">
        <f aca="false">K8+K10+K24</f>
        <v>792.897325574867</v>
      </c>
      <c r="L11" s="0" t="n">
        <f aca="false">L8+L10+L24</f>
        <v>824.613218597862</v>
      </c>
    </row>
    <row r="12" customFormat="false" ht="15" hidden="false" customHeight="false" outlineLevel="0" collapsed="false">
      <c r="A12" s="0" t="s">
        <v>112</v>
      </c>
      <c r="C12" s="4" t="n">
        <f aca="false">-C6*Assumptions!C45/100</f>
        <v>-39.1289085</v>
      </c>
      <c r="D12" s="4" t="n">
        <f aca="false">-D6*Assumptions!D45/100</f>
        <v>-45.198236974</v>
      </c>
      <c r="E12" s="4" t="n">
        <f aca="false">-E6*Assumptions!E45/100</f>
        <v>-52.64612037102</v>
      </c>
      <c r="F12" s="4" t="n">
        <f aca="false">-F6*Assumptions!F45/100</f>
        <v>-60.7558631685984</v>
      </c>
      <c r="G12" s="4" t="n">
        <f aca="false">-G6*Assumptions!G45/100</f>
        <v>-69.4642035560975</v>
      </c>
      <c r="H12" s="4" t="n">
        <f aca="false">-H6*Assumptions!H45/100</f>
        <v>-77.9700243997013</v>
      </c>
      <c r="I12" s="4" t="n">
        <f aca="false">-I6*Assumptions!I45/100</f>
        <v>-84.2076263516774</v>
      </c>
      <c r="J12" s="4" t="n">
        <f aca="false">-J6*Assumptions!J45/100</f>
        <v>-89.260083932778</v>
      </c>
      <c r="K12" s="4" t="n">
        <f aca="false">-K6*Assumptions!K45/100</f>
        <v>-93.7230881294169</v>
      </c>
      <c r="L12" s="4" t="n">
        <f aca="false">-L6*Assumptions!L45/100</f>
        <v>-97.4720116545936</v>
      </c>
    </row>
    <row r="13" customFormat="false" ht="15" hidden="false" customHeight="false" outlineLevel="0" collapsed="false">
      <c r="A13" s="0" t="s">
        <v>113</v>
      </c>
      <c r="C13" s="0" t="n">
        <f aca="false">C11+C12</f>
        <v>333.0304879</v>
      </c>
      <c r="D13" s="0" t="n">
        <f aca="false">D11+D12</f>
        <v>376.324451327</v>
      </c>
      <c r="E13" s="0" t="n">
        <f aca="false">E11+E12</f>
        <v>430.13000473344</v>
      </c>
      <c r="F13" s="0" t="n">
        <f aca="false">F11+F12</f>
        <v>479.718169602058</v>
      </c>
      <c r="G13" s="0" t="n">
        <f aca="false">G11+G12</f>
        <v>538.701986761573</v>
      </c>
      <c r="H13" s="0" t="n">
        <f aca="false">H11+H12</f>
        <v>584.77518299776</v>
      </c>
      <c r="I13" s="0" t="n">
        <f aca="false">I11+I12</f>
        <v>634.925502691648</v>
      </c>
      <c r="J13" s="0" t="n">
        <f aca="false">J11+J12</f>
        <v>664.095024459869</v>
      </c>
      <c r="K13" s="0" t="n">
        <f aca="false">K11+K12</f>
        <v>699.17423744545</v>
      </c>
      <c r="L13" s="0" t="n">
        <f aca="false">L11+L12</f>
        <v>727.141206943268</v>
      </c>
    </row>
    <row r="14" customFormat="false" ht="15" hidden="false" customHeight="false" outlineLevel="0" collapsed="false">
      <c r="A14" s="0" t="s">
        <v>99</v>
      </c>
      <c r="C14" s="4" t="n">
        <f aca="false">Assumptions!C47</f>
        <v>15</v>
      </c>
      <c r="D14" s="4" t="n">
        <f aca="false">Assumptions!D47</f>
        <v>15</v>
      </c>
      <c r="E14" s="4" t="n">
        <f aca="false">Assumptions!E47</f>
        <v>15.5</v>
      </c>
      <c r="F14" s="4" t="n">
        <f aca="false">Assumptions!F47</f>
        <v>15.5</v>
      </c>
      <c r="G14" s="4" t="n">
        <f aca="false">Assumptions!G47</f>
        <v>16</v>
      </c>
      <c r="H14" s="4" t="n">
        <f aca="false">Assumptions!H47</f>
        <v>16</v>
      </c>
      <c r="I14" s="4" t="n">
        <f aca="false">Assumptions!I47</f>
        <v>16</v>
      </c>
      <c r="J14" s="4" t="n">
        <f aca="false">Assumptions!J47</f>
        <v>16</v>
      </c>
      <c r="K14" s="4" t="n">
        <f aca="false">Assumptions!K47</f>
        <v>16</v>
      </c>
      <c r="L14" s="4" t="n">
        <f aca="false">Assumptions!L47</f>
        <v>16</v>
      </c>
    </row>
    <row r="15" customFormat="false" ht="15" hidden="false" customHeight="false" outlineLevel="0" collapsed="false">
      <c r="A15" s="0" t="s">
        <v>114</v>
      </c>
      <c r="C15" s="0" t="n">
        <f aca="false">C13-MAX(0,C13)*C14/100</f>
        <v>283.075914715</v>
      </c>
      <c r="D15" s="0" t="n">
        <f aca="false">D13-MAX(0,D13)*D14/100</f>
        <v>319.87578362795</v>
      </c>
      <c r="E15" s="0" t="n">
        <f aca="false">E13-MAX(0,E13)*E14/100</f>
        <v>363.459853999757</v>
      </c>
      <c r="F15" s="0" t="n">
        <f aca="false">F13-MAX(0,F13)*F14/100</f>
        <v>405.361853313739</v>
      </c>
      <c r="G15" s="0" t="n">
        <f aca="false">G13-MAX(0,G13)*G14/100</f>
        <v>452.509668879721</v>
      </c>
      <c r="H15" s="0" t="n">
        <f aca="false">H13-MAX(0,H13)*H14/100</f>
        <v>491.211153718118</v>
      </c>
      <c r="I15" s="0" t="n">
        <f aca="false">I13-MAX(0,I13)*I14/100</f>
        <v>533.337422260984</v>
      </c>
      <c r="J15" s="0" t="n">
        <f aca="false">J13-MAX(0,J13)*J14/100</f>
        <v>557.83982054629</v>
      </c>
      <c r="K15" s="0" t="n">
        <f aca="false">K13-MAX(0,K13)*K14/100</f>
        <v>587.306359454178</v>
      </c>
      <c r="L15" s="0" t="n">
        <f aca="false">L13-MAX(0,L13)*L14/100</f>
        <v>610.798613832345</v>
      </c>
    </row>
    <row r="16" customFormat="false" ht="15" hidden="false" customHeight="false" outlineLevel="0" collapsed="false">
      <c r="A16" s="0" t="s">
        <v>115</v>
      </c>
      <c r="C16" s="0" t="n">
        <f aca="false">-C12</f>
        <v>39.1289085</v>
      </c>
      <c r="D16" s="0" t="n">
        <f aca="false">-D12</f>
        <v>45.198236974</v>
      </c>
      <c r="E16" s="0" t="n">
        <f aca="false">-E12</f>
        <v>52.64612037102</v>
      </c>
      <c r="F16" s="0" t="n">
        <f aca="false">-F12</f>
        <v>60.7558631685984</v>
      </c>
      <c r="G16" s="0" t="n">
        <f aca="false">-G12</f>
        <v>69.4642035560975</v>
      </c>
      <c r="H16" s="0" t="n">
        <f aca="false">-H12</f>
        <v>77.9700243997013</v>
      </c>
      <c r="I16" s="0" t="n">
        <f aca="false">-I12</f>
        <v>84.2076263516774</v>
      </c>
      <c r="J16" s="0" t="n">
        <f aca="false">-J12</f>
        <v>89.260083932778</v>
      </c>
      <c r="K16" s="0" t="n">
        <f aca="false">-K12</f>
        <v>93.7230881294169</v>
      </c>
      <c r="L16" s="0" t="n">
        <f aca="false">-L12</f>
        <v>97.4720116545936</v>
      </c>
    </row>
    <row r="17" customFormat="false" ht="15" hidden="false" customHeight="false" outlineLevel="0" collapsed="false">
      <c r="A17" s="0" t="s">
        <v>116</v>
      </c>
      <c r="C17" s="4" t="n">
        <f aca="false">-C6*Assumptions!C46/100</f>
        <v>-56.5195345</v>
      </c>
      <c r="D17" s="4" t="n">
        <f aca="false">-D6*Assumptions!D46/100</f>
        <v>-63.867073985</v>
      </c>
      <c r="E17" s="4" t="n">
        <f aca="false">-E6*Assumptions!E46/100</f>
        <v>-70.56820390158</v>
      </c>
      <c r="F17" s="4" t="n">
        <f aca="false">-F6*Assumptions!F46/100</f>
        <v>-77.2105761100938</v>
      </c>
      <c r="G17" s="4" t="n">
        <f aca="false">-G6*Assumptions!G46/100</f>
        <v>-83.6405716287705</v>
      </c>
      <c r="H17" s="4" t="n">
        <f aca="false">-H6*Assumptions!H46/100</f>
        <v>-88.8858278156595</v>
      </c>
      <c r="I17" s="4" t="n">
        <f aca="false">-I6*Assumptions!I46/100</f>
        <v>-92.6283889868451</v>
      </c>
      <c r="J17" s="4" t="n">
        <f aca="false">-J6*Assumptions!J46/100</f>
        <v>-98.1860923260558</v>
      </c>
      <c r="K17" s="4" t="n">
        <f aca="false">-K6*Assumptions!K46/100</f>
        <v>-103.095396942359</v>
      </c>
      <c r="L17" s="4" t="n">
        <f aca="false">-L6*Assumptions!L46/100</f>
        <v>-107.219212820053</v>
      </c>
    </row>
    <row r="18" customFormat="false" ht="15" hidden="false" customHeight="false" outlineLevel="0" collapsed="false">
      <c r="A18" s="0" t="s">
        <v>117</v>
      </c>
      <c r="C18" s="4" t="n">
        <f aca="false">(C6-B6)*Assumptions!$B$51/100</f>
        <v>-23.71449</v>
      </c>
      <c r="D18" s="4" t="n">
        <f aca="false">(D6-C6)*Assumptions!$B$51/100</f>
        <v>-33.9117207</v>
      </c>
      <c r="E18" s="4" t="n">
        <f aca="false">(E6-D6)*Assumptions!$B$51/100</f>
        <v>-41.2679554980001</v>
      </c>
      <c r="F18" s="4" t="n">
        <f aca="false">(F6-E6)*Assumptions!$B$51/100</f>
        <v>-43.68507860574</v>
      </c>
      <c r="G18" s="4" t="n">
        <f aca="false">(G6-F6)*Assumptions!$B$51/100</f>
        <v>-45.5668973764488</v>
      </c>
      <c r="H18" s="4" t="n">
        <f aca="false">(H6-G6)*Assumptions!$B$51/100</f>
        <v>-42.5291042180189</v>
      </c>
      <c r="I18" s="4" t="n">
        <f aca="false">(I6-H6)*Assumptions!$B$51/100</f>
        <v>-37.4256117118566</v>
      </c>
      <c r="J18" s="4" t="n">
        <f aca="false">(J6-I6)*Assumptions!$B$51/100</f>
        <v>-30.3147454866039</v>
      </c>
      <c r="K18" s="4" t="n">
        <f aca="false">(K6-J6)*Assumptions!$B$51/100</f>
        <v>-26.7780251798334</v>
      </c>
      <c r="L18" s="4" t="n">
        <f aca="false">(L6-K6)*Assumptions!$B$51/100</f>
        <v>-22.4935411510601</v>
      </c>
    </row>
    <row r="19" customFormat="false" ht="15" hidden="false" customHeight="false" outlineLevel="0" collapsed="false">
      <c r="A19" s="0" t="s">
        <v>118</v>
      </c>
      <c r="C19" s="0" t="n">
        <f aca="false">C15+C16+C17+C18</f>
        <v>241.970798715</v>
      </c>
      <c r="D19" s="0" t="n">
        <f aca="false">D15+D16+D17+D18</f>
        <v>267.29522591695</v>
      </c>
      <c r="E19" s="0" t="n">
        <f aca="false">E15+E16+E17+E18</f>
        <v>304.269814971197</v>
      </c>
      <c r="F19" s="0" t="n">
        <f aca="false">F15+F16+F17+F18</f>
        <v>345.222061766504</v>
      </c>
      <c r="G19" s="0" t="n">
        <f aca="false">G15+G16+G17+G18</f>
        <v>392.766403430599</v>
      </c>
      <c r="H19" s="0" t="n">
        <f aca="false">H15+H16+H17+H18</f>
        <v>437.766246084141</v>
      </c>
      <c r="I19" s="0" t="n">
        <f aca="false">I15+I16+I17+I18</f>
        <v>487.49104791396</v>
      </c>
      <c r="J19" s="0" t="n">
        <f aca="false">J15+J16+J17+J18</f>
        <v>518.599066666408</v>
      </c>
      <c r="K19" s="0" t="n">
        <f aca="false">K15+K16+K17+K18</f>
        <v>551.156025461403</v>
      </c>
      <c r="L19" s="0" t="n">
        <f aca="false">L15+L16+L17+L18</f>
        <v>578.557871515826</v>
      </c>
    </row>
    <row r="20" customFormat="false" ht="15" hidden="false" customHeight="false" outlineLevel="0" collapsed="false">
      <c r="A20" s="0" t="s">
        <v>119</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120</v>
      </c>
      <c r="C21" s="0" t="n">
        <f aca="false">C19*C20</f>
        <v>220.977898369863</v>
      </c>
      <c r="D21" s="0" t="n">
        <f aca="false">D19*D20</f>
        <v>222.927149906758</v>
      </c>
      <c r="E21" s="0" t="n">
        <f aca="false">E19*E20</f>
        <v>231.748276426801</v>
      </c>
      <c r="F21" s="0" t="n">
        <f aca="false">F19*F20</f>
        <v>240.127591708201</v>
      </c>
      <c r="G21" s="0" t="n">
        <f aca="false">G19*G20</f>
        <v>249.496085452373</v>
      </c>
      <c r="H21" s="0" t="n">
        <f aca="false">H19*H20</f>
        <v>253.955461588341</v>
      </c>
      <c r="I21" s="0" t="n">
        <f aca="false">I19*I20</f>
        <v>258.26634157936</v>
      </c>
      <c r="J21" s="0" t="n">
        <f aca="false">J19*J20</f>
        <v>250.910466227063</v>
      </c>
      <c r="K21" s="0" t="n">
        <f aca="false">K19*K20</f>
        <v>243.52720654176</v>
      </c>
      <c r="L21" s="0" t="n">
        <f aca="false">L19*L20</f>
        <v>233.456309006413</v>
      </c>
    </row>
    <row r="23" customFormat="false" ht="15" hidden="false" customHeight="false" outlineLevel="0" collapsed="false">
      <c r="A23" s="0" t="s">
        <v>96</v>
      </c>
      <c r="C23" s="4" t="n">
        <f aca="false">Assumptions!C44</f>
        <v>3.3</v>
      </c>
      <c r="D23" s="4" t="n">
        <f aca="false">Assumptions!D44</f>
        <v>3.2</v>
      </c>
      <c r="E23" s="4" t="n">
        <f aca="false">Assumptions!E44</f>
        <v>3.1</v>
      </c>
      <c r="F23" s="4" t="n">
        <f aca="false">Assumptions!F44</f>
        <v>3</v>
      </c>
      <c r="G23" s="4" t="n">
        <f aca="false">Assumptions!G44</f>
        <v>2.9</v>
      </c>
      <c r="H23" s="4" t="n">
        <f aca="false">Assumptions!H44</f>
        <v>2.8</v>
      </c>
      <c r="I23" s="4" t="n">
        <f aca="false">Assumptions!I44</f>
        <v>2.7</v>
      </c>
      <c r="J23" s="4" t="n">
        <f aca="false">Assumptions!J44</f>
        <v>2.7</v>
      </c>
      <c r="K23" s="4" t="n">
        <f aca="false">Assumptions!K44</f>
        <v>2.7</v>
      </c>
      <c r="L23" s="4" t="n">
        <f aca="false">Assumptions!L44</f>
        <v>2.7</v>
      </c>
    </row>
    <row r="24" customFormat="false" ht="15" hidden="false" customHeight="false" outlineLevel="0" collapsed="false">
      <c r="A24" s="0" t="s">
        <v>121</v>
      </c>
      <c r="C24" s="0" t="n">
        <f aca="false">-C6*C23/100</f>
        <v>-28.6945329</v>
      </c>
      <c r="D24" s="0" t="n">
        <f aca="false">-D6*D23/100</f>
        <v>-31.442251808</v>
      </c>
      <c r="E24" s="0" t="n">
        <f aca="false">-E6*E23/100</f>
        <v>-34.72403684046</v>
      </c>
      <c r="F24" s="0" t="n">
        <f aca="false">-F6*F23/100</f>
        <v>-37.972414480374</v>
      </c>
      <c r="G24" s="0" t="n">
        <f aca="false">-G6*G23/100</f>
        <v>-41.1114674107516</v>
      </c>
      <c r="H24" s="0" t="n">
        <f aca="false">-H6*H23/100</f>
        <v>-43.6632136638327</v>
      </c>
      <c r="I24" s="0" t="n">
        <f aca="false">-I6*I23/100</f>
        <v>-45.4721182299058</v>
      </c>
      <c r="J24" s="0" t="n">
        <f aca="false">-J6*J23/100</f>
        <v>-48.2004453237001</v>
      </c>
      <c r="K24" s="0" t="n">
        <f aca="false">-K6*K23/100</f>
        <v>-50.6104675898852</v>
      </c>
      <c r="L24" s="0" t="n">
        <f aca="false">-L6*L23/100</f>
        <v>-52.6348862934806</v>
      </c>
    </row>
    <row r="26" customFormat="false" ht="15" hidden="false" customHeight="false" outlineLevel="0" collapsed="false">
      <c r="A26" s="2" t="s">
        <v>122</v>
      </c>
    </row>
    <row r="27" customFormat="false" ht="15" hidden="false" customHeight="false" outlineLevel="0" collapsed="false">
      <c r="A27" s="0" t="s">
        <v>100</v>
      </c>
      <c r="B27" s="4" t="n">
        <f aca="false">Assumptions!$B$48</f>
        <v>9.5</v>
      </c>
    </row>
    <row r="28" customFormat="false" ht="15" hidden="false" customHeight="false" outlineLevel="0" collapsed="false">
      <c r="A28" s="0" t="s">
        <v>101</v>
      </c>
      <c r="B28" s="4" t="n">
        <f aca="false">Assumptions!$B$49</f>
        <v>3</v>
      </c>
    </row>
    <row r="29" customFormat="false" ht="15" hidden="false" customHeight="false" outlineLevel="0" collapsed="false">
      <c r="A29" s="0" t="s">
        <v>102</v>
      </c>
      <c r="B29" s="4" t="n">
        <f aca="false">Assumptions!$B$50</f>
        <v>16</v>
      </c>
    </row>
    <row r="30" customFormat="false" ht="15" hidden="false" customHeight="false" outlineLevel="0" collapsed="false">
      <c r="A30" s="0" t="s">
        <v>123</v>
      </c>
      <c r="B30" s="0" t="n">
        <f aca="false">SUM(C21:L21)</f>
        <v>2405.39278680693</v>
      </c>
    </row>
    <row r="31" customFormat="false" ht="15" hidden="false" customHeight="false" outlineLevel="0" collapsed="false">
      <c r="A31" s="0" t="s">
        <v>124</v>
      </c>
      <c r="B31" s="0" t="n">
        <f aca="false">L19</f>
        <v>578.557871515826</v>
      </c>
    </row>
    <row r="32" customFormat="false" ht="15" hidden="false" customHeight="false" outlineLevel="0" collapsed="false">
      <c r="A32" s="0" t="s">
        <v>125</v>
      </c>
      <c r="B32" s="0" t="n">
        <f aca="false">IF(B27&gt;B28,B31*(1+B28/100)/((B27-B28)/100),B31*B29)</f>
        <v>9167.91704094309</v>
      </c>
    </row>
    <row r="33" customFormat="false" ht="15" hidden="false" customHeight="false" outlineLevel="0" collapsed="false">
      <c r="A33" s="0" t="s">
        <v>126</v>
      </c>
      <c r="B33" s="0" t="n">
        <f aca="false">B31*B29</f>
        <v>9256.92594425322</v>
      </c>
    </row>
    <row r="34" customFormat="false" ht="15" hidden="false" customHeight="false" outlineLevel="0" collapsed="false">
      <c r="A34" s="0" t="s">
        <v>127</v>
      </c>
      <c r="B34" s="0" t="n">
        <f aca="false">MAX(0,MIN(B32,B33))</f>
        <v>9167.91704094309</v>
      </c>
    </row>
    <row r="35" customFormat="false" ht="15" hidden="false" customHeight="false" outlineLevel="0" collapsed="false">
      <c r="A35" s="0" t="s">
        <v>128</v>
      </c>
      <c r="B35" s="0" t="n">
        <f aca="false">B34/(1+B27/100)^L4</f>
        <v>3699.38458887085</v>
      </c>
    </row>
    <row r="36" customFormat="false" ht="15" hidden="false" customHeight="false" outlineLevel="0" collapsed="false">
      <c r="A36" s="0" t="s">
        <v>129</v>
      </c>
      <c r="B36" s="0" t="n">
        <f aca="false">B30+B35</f>
        <v>6104.77737567778</v>
      </c>
    </row>
    <row r="37" customFormat="false" ht="15" hidden="false" customHeight="false" outlineLevel="0" collapsed="false">
      <c r="A37" s="0" t="s">
        <v>130</v>
      </c>
      <c r="B37" s="0" t="n">
        <f aca="false">B36+Assumptions!$B$5-Assumptions!$B$4</f>
        <v>7069.89637567778</v>
      </c>
    </row>
    <row r="38" customFormat="false" ht="15" hidden="false" customHeight="false" outlineLevel="0" collapsed="false">
      <c r="A38" s="0" t="s">
        <v>131</v>
      </c>
      <c r="B38" s="0" t="n">
        <f aca="false">B37/Assumptions!$B$3*Assumptions!$B$10</f>
        <v>14.5672170665108</v>
      </c>
    </row>
    <row r="39" customFormat="false" ht="15" hidden="false" customHeight="false" outlineLevel="0" collapsed="false">
      <c r="A39" s="0" t="s">
        <v>132</v>
      </c>
      <c r="B39" s="4" t="n">
        <f aca="false">B38/Assumptions!$B$2-1</f>
        <v>0.808468909560617</v>
      </c>
    </row>
    <row r="41" customFormat="false" ht="15" hidden="false" customHeight="false" outlineLevel="0" collapsed="false">
      <c r="A41" s="0" t="s">
        <v>133</v>
      </c>
      <c r="B41" s="0" t="n">
        <f aca="false">SUMPRODUCT(-C10:L10/(1+$B$27/100)^C4:L4)</f>
        <v>187.483551734669</v>
      </c>
    </row>
    <row r="42" customFormat="false" ht="15" hidden="false" customHeight="false" outlineLevel="0" collapsed="false">
      <c r="A42" s="0" t="s">
        <v>134</v>
      </c>
      <c r="B42" s="0" t="n">
        <f aca="false">IF(B27&gt;B28,-L10*(1+B28/100)/((B27-B28)/100),-L10*20)/(1+B27/100)^L4</f>
        <v>249.300182757174</v>
      </c>
    </row>
    <row r="43" customFormat="false" ht="15" hidden="false" customHeight="false" outlineLevel="0" collapsed="false">
      <c r="A43" s="0" t="s">
        <v>135</v>
      </c>
      <c r="B43" s="0" t="n">
        <f aca="false">(B37+B41+B42)/Assumptions!$B$3*Assumptions!$B$10</f>
        <v>15.4671911443987</v>
      </c>
    </row>
    <row r="45" customFormat="false" ht="15" hidden="false" customHeight="false" outlineLevel="0" collapsed="false">
      <c r="A45" s="0" t="s">
        <v>76</v>
      </c>
      <c r="B45" s="4" t="n">
        <f aca="false">Assumptions!$B$6</f>
        <v>15</v>
      </c>
    </row>
    <row r="46" customFormat="false" ht="15" hidden="false" customHeight="false" outlineLevel="0" collapsed="false">
      <c r="A46" s="0" t="s">
        <v>136</v>
      </c>
      <c r="B46" s="0" t="n">
        <f aca="false">MAX(0,MIN(IF(B45&gt;B28,B31*(1+B28/100)/((B45-B28)/100),B31*B29),B31*B29))</f>
        <v>4965.95506384417</v>
      </c>
    </row>
    <row r="47" customFormat="false" ht="15" hidden="false" customHeight="false" outlineLevel="0" collapsed="false">
      <c r="A47" s="0" t="s">
        <v>137</v>
      </c>
      <c r="B47" s="0" t="n">
        <f aca="false">(SUMPRODUCT(C19:L19/(1+B45/100)^C4:L4)+B46/(1+B45/100)^L4+Assumptions!$B$5-Assumptions!$B$4)/Assumptions!$B$3*Assumptions!$B$10</f>
        <v>8.32343740745354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140</v>
      </c>
    </row>
    <row r="3" customFormat="false" ht="15" hidden="false" customHeight="false" outlineLevel="0" collapsed="false">
      <c r="A3" s="2" t="s">
        <v>141</v>
      </c>
      <c r="B3" s="2" t="s">
        <v>142</v>
      </c>
      <c r="C3" s="2" t="s">
        <v>132</v>
      </c>
      <c r="D3" s="2" t="s">
        <v>143</v>
      </c>
      <c r="E3" s="2" t="s">
        <v>135</v>
      </c>
      <c r="F3" s="2" t="s">
        <v>144</v>
      </c>
    </row>
    <row r="4" customFormat="false" ht="15" hidden="false" customHeight="false" outlineLevel="0" collapsed="false">
      <c r="A4" s="0" t="s">
        <v>145</v>
      </c>
      <c r="B4" s="4" t="n">
        <f aca="false">DCF_Bear!$B$38</f>
        <v>5.81446131605191</v>
      </c>
      <c r="C4" s="0" t="n">
        <f aca="false">B4/Assumptions!$B$2-1</f>
        <v>-0.278155019732848</v>
      </c>
      <c r="D4" s="4" t="n">
        <f aca="false">Assumptions!$B$24</f>
        <v>0.3</v>
      </c>
      <c r="E4" s="4" t="n">
        <f aca="false">DCF_Bear!$B$43</f>
        <v>6.32481599219101</v>
      </c>
      <c r="F4" s="4" t="n">
        <f aca="false">DCF_Bear!$B$47</f>
        <v>4.40944091304103</v>
      </c>
    </row>
    <row r="5" customFormat="false" ht="15" hidden="false" customHeight="false" outlineLevel="0" collapsed="false">
      <c r="A5" s="0" t="s">
        <v>146</v>
      </c>
      <c r="B5" s="4" t="n">
        <f aca="false">DCF_Base!$B$38</f>
        <v>10.6096975940829</v>
      </c>
      <c r="C5" s="0" t="n">
        <f aca="false">B5/Assumptions!$B$2-1</f>
        <v>0.317156746627304</v>
      </c>
      <c r="D5" s="4" t="n">
        <f aca="false">Assumptions!$B$38</f>
        <v>0.5</v>
      </c>
      <c r="E5" s="4" t="n">
        <f aca="false">DCF_Base!$B$43</f>
        <v>11.2926574393376</v>
      </c>
      <c r="F5" s="4" t="n">
        <f aca="false">DCF_Base!$B$47</f>
        <v>6.60566052121511</v>
      </c>
    </row>
    <row r="6" customFormat="false" ht="15" hidden="false" customHeight="false" outlineLevel="0" collapsed="false">
      <c r="A6" s="0" t="s">
        <v>147</v>
      </c>
      <c r="B6" s="4" t="n">
        <f aca="false">DCF_Bull!$B$38</f>
        <v>14.5672170665108</v>
      </c>
      <c r="C6" s="0" t="n">
        <f aca="false">B6/Assumptions!$B$2-1</f>
        <v>0.808468909560617</v>
      </c>
      <c r="D6" s="4" t="n">
        <f aca="false">Assumptions!$B$52</f>
        <v>0.2</v>
      </c>
      <c r="E6" s="4" t="n">
        <f aca="false">DCF_Bull!$B$43</f>
        <v>15.4671911443987</v>
      </c>
      <c r="F6" s="4" t="n">
        <f aca="false">DCF_Bull!$B$47</f>
        <v>8.32343740745354</v>
      </c>
    </row>
    <row r="8" customFormat="false" ht="15" hidden="false" customHeight="false" outlineLevel="0" collapsed="false">
      <c r="A8" s="0" t="s">
        <v>148</v>
      </c>
      <c r="B8" s="0" t="n">
        <f aca="false">SUMPRODUCT(B4:B6,D4:D6)</f>
        <v>9.9626306051592</v>
      </c>
    </row>
    <row r="9" customFormat="false" ht="15" hidden="false" customHeight="false" outlineLevel="0" collapsed="false">
      <c r="A9" s="0" t="s">
        <v>149</v>
      </c>
      <c r="B9" s="0" t="n">
        <f aca="false">SUMPRODUCT(E4:E6,D4:D6)</f>
        <v>10.6372117462058</v>
      </c>
    </row>
    <row r="10" customFormat="false" ht="15" hidden="false" customHeight="false" outlineLevel="0" collapsed="false">
      <c r="A10" s="0" t="s">
        <v>150</v>
      </c>
      <c r="B10" s="0" t="n">
        <f aca="false">1-Assumptions!$B$2/B8</f>
        <v>0.191478604473333</v>
      </c>
    </row>
    <row r="11" customFormat="false" ht="15" hidden="false" customHeight="false" outlineLevel="0" collapsed="false">
      <c r="A11" s="0" t="s">
        <v>151</v>
      </c>
      <c r="B11" s="0" t="n">
        <f aca="false">IF(ABS(B9-B8)&gt;0.01*ABS(B8),(Assumptions!$B$2-B8)/(B9-B8)*100,"n/a")</f>
        <v>-282.78742008699</v>
      </c>
    </row>
    <row r="12" customFormat="false" ht="15" hidden="false" customHeight="false" outlineLevel="0" collapsed="false">
      <c r="A12" s="0" t="s">
        <v>152</v>
      </c>
      <c r="B12" s="0" t="n">
        <f aca="false">SUMPRODUCT(F4:F6,D4:D6)</f>
        <v>6.29035001601057</v>
      </c>
    </row>
    <row r="14" customFormat="false" ht="15" hidden="false" customHeight="false" outlineLevel="0" collapsed="false">
      <c r="A14" s="2" t="s">
        <v>153</v>
      </c>
      <c r="C14" s="0" t="s">
        <v>154</v>
      </c>
    </row>
    <row r="15" customFormat="false" ht="15" hidden="false" customHeight="false" outlineLevel="0" collapsed="false">
      <c r="A15" s="0" t="s">
        <v>155</v>
      </c>
      <c r="B15" s="0" t="n">
        <f aca="false">(SUMPRODUCT(DCF_Base!$C$19:$L$19/(1+$C$15/100)^DCF_Base!$C$4:$L$4)+MAX(0,MIN(IF($C$15&gt;DCF_Base!$B$28,DCF_Base!$L$19*(1+DCF_Base!$B$28/100)/(($C$15-DCF_Base!$B$28)/100),DCF_Base!$L$19*DCF_Base!$B$29),DCF_Base!$L$19*DCF_Base!$B$29))/(1+$C$15/100)^DCF_Base!$L$4+Assumptions!$B$5-Assumptions!$B$4)/Assumptions!$B$3*Assumptions!$B$10</f>
        <v>11.0517680149154</v>
      </c>
      <c r="C15" s="3" t="n">
        <v>9</v>
      </c>
    </row>
    <row r="16" customFormat="false" ht="15" hidden="false" customHeight="false" outlineLevel="0" collapsed="false">
      <c r="A16" s="0" t="s">
        <v>156</v>
      </c>
      <c r="B16" s="0" t="n">
        <f aca="false">(SUMPRODUCT(DCF_Base!$C$19:$L$19/(1+$C$16/100)^DCF_Base!$C$4:$L$4)+MAX(0,MIN(IF($C$16&gt;DCF_Base!$B$28,DCF_Base!$L$19*(1+DCF_Base!$B$28/100)/(($C$16-DCF_Base!$B$28)/100),DCF_Base!$L$19*DCF_Base!$B$29),DCF_Base!$L$19*DCF_Base!$B$29))/(1+$C$16/100)^DCF_Base!$L$4+Assumptions!$B$5-Assumptions!$B$4)/Assumptions!$B$3*Assumptions!$B$10</f>
        <v>10.6096975940829</v>
      </c>
      <c r="C16" s="3" t="n">
        <v>9.5</v>
      </c>
    </row>
    <row r="17" customFormat="false" ht="15" hidden="false" customHeight="false" outlineLevel="0" collapsed="false">
      <c r="A17" s="0" t="s">
        <v>157</v>
      </c>
      <c r="B17" s="0" t="n">
        <f aca="false">(SUMPRODUCT(DCF_Base!$C$19:$L$19/(1+$C$17/100)^DCF_Base!$C$4:$L$4)+MAX(0,MIN(IF($C$17&gt;DCF_Base!$B$28,DCF_Base!$L$19*(1+DCF_Base!$B$28/100)/(($C$17-DCF_Base!$B$28)/100),DCF_Base!$L$19*DCF_Base!$B$29),DCF_Base!$L$19*DCF_Base!$B$29))/(1+$C$17/100)^DCF_Base!$L$4+Assumptions!$B$5-Assumptions!$B$4)/Assumptions!$B$3*Assumptions!$B$10</f>
        <v>9.99818933300188</v>
      </c>
      <c r="C17" s="3" t="n">
        <v>10</v>
      </c>
    </row>
    <row r="18" customFormat="false" ht="15" hidden="false" customHeight="false" outlineLevel="0" collapsed="false">
      <c r="A18" s="0" t="s">
        <v>158</v>
      </c>
      <c r="B18" s="0" t="n">
        <f aca="false">(SUMPRODUCT(DCF_Base!$C$19:$L$19/(1+$C$18/100)^DCF_Base!$C$4:$L$4)+MAX(0,MIN(IF($C$18&gt;DCF_Base!$B$28,DCF_Base!$L$19*(1+DCF_Base!$B$28/100)/(($C$18-DCF_Base!$B$28)/100),DCF_Base!$L$19*DCF_Base!$B$29),DCF_Base!$L$19*DCF_Base!$B$29))/(1+$C$18/100)^DCF_Base!$L$4+Assumptions!$B$5-Assumptions!$B$4)/Assumptions!$B$3*Assumptions!$B$10</f>
        <v>8.9938109456906</v>
      </c>
      <c r="C18" s="3" t="n">
        <v>11</v>
      </c>
    </row>
    <row r="19" customFormat="false" ht="15" hidden="false" customHeight="false" outlineLevel="0" collapsed="false">
      <c r="A19" s="0" t="s">
        <v>159</v>
      </c>
      <c r="B19" s="0" t="n">
        <f aca="false">(SUMPRODUCT(DCF_Base!$C$19:$L$19/(1+$C$19/100)^DCF_Base!$C$4:$L$4)+MAX(0,MIN(IF($C$19&gt;DCF_Base!$B$28,DCF_Base!$L$19*(1+DCF_Base!$B$28/100)/(($C$19-DCF_Base!$B$28)/100),DCF_Base!$L$19*DCF_Base!$B$29),DCF_Base!$L$19*DCF_Base!$B$29))/(1+$C$19/100)^DCF_Base!$L$4+Assumptions!$B$5-Assumptions!$B$4)/Assumptions!$B$3*Assumptions!$B$10</f>
        <v>8.20403545328031</v>
      </c>
      <c r="C19" s="3" t="n">
        <v>12</v>
      </c>
    </row>
    <row r="20" customFormat="false" ht="15" hidden="false" customHeight="false" outlineLevel="0" collapsed="false">
      <c r="A20" s="0" t="s">
        <v>160</v>
      </c>
      <c r="B20" s="0" t="n">
        <f aca="false">(SUMPRODUCT(DCF_Base!$C$19:$L$19/(1+$C$20/100)^DCF_Base!$C$4:$L$4)+MAX(0,MIN(IF($C$20&gt;DCF_Base!$B$28,DCF_Base!$L$19*(1+DCF_Base!$B$28/100)/(($C$20-DCF_Base!$B$28)/100),DCF_Base!$L$19*DCF_Base!$B$29),DCF_Base!$L$19*DCF_Base!$B$29))/(1+$C$20/100)^DCF_Base!$L$4+Assumptions!$B$5-Assumptions!$B$4)/Assumptions!$B$3*Assumptions!$B$10</f>
        <v>6.60566052121511</v>
      </c>
      <c r="C20" s="3" t="n">
        <v>15</v>
      </c>
    </row>
    <row r="22" customFormat="false" ht="15" hidden="false" customHeight="false" outlineLevel="0" collapsed="false">
      <c r="A22" s="2" t="s">
        <v>161</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12.1213882107166</v>
      </c>
      <c r="C24" s="0" t="n">
        <f aca="false">(SUMPRODUCT(DCF_Base!$C$19:$L$19/(1+$A$24/100)^DCF_Base!$C$4:$L$4)+MAX(0,MIN(IF($A$24&gt;$C$23,DCF_Base!$L$19*(1+$C$23/100)/(($A$24-$C$23)/100),DCF_Base!$L$19*DCF_Base!$B$29),DCF_Base!$L$19*DCF_Base!$B$29))/(1+$A$24/100)^DCF_Base!$L$4+Assumptions!$B$5-Assumptions!$B$4)/Assumptions!$B$3*Assumptions!$B$10</f>
        <v>12.1213882107166</v>
      </c>
      <c r="D24" s="0" t="n">
        <f aca="false">(SUMPRODUCT(DCF_Base!$C$19:$L$19/(1+$A$24/100)^DCF_Base!$C$4:$L$4)+MAX(0,MIN(IF($A$24&gt;$D$23,DCF_Base!$L$19*(1+$D$23/100)/(($A$24-$D$23)/100),DCF_Base!$L$19*DCF_Base!$B$29),DCF_Base!$L$19*DCF_Base!$B$29))/(1+$A$24/100)^DCF_Base!$L$4+Assumptions!$B$5-Assumptions!$B$4)/Assumptions!$B$3*Assumptions!$B$10</f>
        <v>12.1213882107166</v>
      </c>
      <c r="E24" s="0" t="n">
        <f aca="false">(SUMPRODUCT(DCF_Base!$C$19:$L$19/(1+$A$24/100)^DCF_Base!$C$4:$L$4)+MAX(0,MIN(IF($A$24&gt;$E$23,DCF_Base!$L$19*(1+$E$23/100)/(($A$24-$E$23)/100),DCF_Base!$L$19*DCF_Base!$B$29),DCF_Base!$L$19*DCF_Base!$B$29))/(1+$A$24/100)^DCF_Base!$L$4+Assumptions!$B$5-Assumptions!$B$4)/Assumptions!$B$3*Assumptions!$B$10</f>
        <v>12.1213882107166</v>
      </c>
      <c r="F24" s="0" t="n">
        <f aca="false">(SUMPRODUCT(DCF_Base!$C$19:$L$19/(1+$A$24/100)^DCF_Base!$C$4:$L$4)+MAX(0,MIN(IF($A$24&gt;$F$23,DCF_Base!$L$19*(1+$F$23/100)/(($A$24-$F$23)/100),DCF_Base!$L$19*DCF_Base!$B$29),DCF_Base!$L$19*DCF_Base!$B$29))/(1+$A$24/100)^DCF_Base!$L$4+Assumptions!$B$5-Assumptions!$B$4)/Assumptions!$B$3*Assumptions!$B$10</f>
        <v>12.1213882107166</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11.2115655509648</v>
      </c>
      <c r="C25" s="0" t="n">
        <f aca="false">(SUMPRODUCT(DCF_Base!$C$19:$L$19/(1+$A$25/100)^DCF_Base!$C$4:$L$4)+MAX(0,MIN(IF($A$25&gt;$C$23,DCF_Base!$L$19*(1+$C$23/100)/(($A$25-$C$23)/100),DCF_Base!$L$19*DCF_Base!$B$29),DCF_Base!$L$19*DCF_Base!$B$29))/(1+$A$25/100)^DCF_Base!$L$4+Assumptions!$B$5-Assumptions!$B$4)/Assumptions!$B$3*Assumptions!$B$10</f>
        <v>11.3917865176801</v>
      </c>
      <c r="D25" s="0" t="n">
        <f aca="false">(SUMPRODUCT(DCF_Base!$C$19:$L$19/(1+$A$25/100)^DCF_Base!$C$4:$L$4)+MAX(0,MIN(IF($A$25&gt;$D$23,DCF_Base!$L$19*(1+$D$23/100)/(($A$25-$D$23)/100),DCF_Base!$L$19*DCF_Base!$B$29),DCF_Base!$L$19*DCF_Base!$B$29))/(1+$A$25/100)^DCF_Base!$L$4+Assumptions!$B$5-Assumptions!$B$4)/Assumptions!$B$3*Assumptions!$B$10</f>
        <v>11.3917865176801</v>
      </c>
      <c r="E25" s="0" t="n">
        <f aca="false">(SUMPRODUCT(DCF_Base!$C$19:$L$19/(1+$A$25/100)^DCF_Base!$C$4:$L$4)+MAX(0,MIN(IF($A$25&gt;$E$23,DCF_Base!$L$19*(1+$E$23/100)/(($A$25-$E$23)/100),DCF_Base!$L$19*DCF_Base!$B$29),DCF_Base!$L$19*DCF_Base!$B$29))/(1+$A$25/100)^DCF_Base!$L$4+Assumptions!$B$5-Assumptions!$B$4)/Assumptions!$B$3*Assumptions!$B$10</f>
        <v>11.3917865176801</v>
      </c>
      <c r="F25" s="0" t="n">
        <f aca="false">(SUMPRODUCT(DCF_Base!$C$19:$L$19/(1+$A$25/100)^DCF_Base!$C$4:$L$4)+MAX(0,MIN(IF($A$25&gt;$F$23,DCF_Base!$L$19*(1+$F$23/100)/(($A$25-$F$23)/100),DCF_Base!$L$19*DCF_Base!$B$29),DCF_Base!$L$19*DCF_Base!$B$29))/(1+$A$25/100)^DCF_Base!$L$4+Assumptions!$B$5-Assumptions!$B$4)/Assumptions!$B$3*Assumptions!$B$10</f>
        <v>11.3917865176801</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9.96668779278467</v>
      </c>
      <c r="C26" s="0" t="n">
        <f aca="false">(SUMPRODUCT(DCF_Base!$C$19:$L$19/(1+$A$26/100)^DCF_Base!$C$4:$L$4)+MAX(0,MIN(IF($A$26&gt;$C$23,DCF_Base!$L$19*(1+$C$23/100)/(($A$26-$C$23)/100),DCF_Base!$L$19*DCF_Base!$B$29),DCF_Base!$L$19*DCF_Base!$B$29))/(1+$A$26/100)^DCF_Base!$L$4+Assumptions!$B$5-Assumptions!$B$4)/Assumptions!$B$3*Assumptions!$B$10</f>
        <v>10.2667590333905</v>
      </c>
      <c r="D26" s="0" t="n">
        <f aca="false">(SUMPRODUCT(DCF_Base!$C$19:$L$19/(1+$A$26/100)^DCF_Base!$C$4:$L$4)+MAX(0,MIN(IF($A$26&gt;$D$23,DCF_Base!$L$19*(1+$D$23/100)/(($A$26-$D$23)/100),DCF_Base!$L$19*DCF_Base!$B$29),DCF_Base!$L$19*DCF_Base!$B$29))/(1+$A$26/100)^DCF_Base!$L$4+Assumptions!$B$5-Assumptions!$B$4)/Assumptions!$B$3*Assumptions!$B$10</f>
        <v>10.6096975940829</v>
      </c>
      <c r="E26" s="0" t="n">
        <f aca="false">(SUMPRODUCT(DCF_Base!$C$19:$L$19/(1+$A$26/100)^DCF_Base!$C$4:$L$4)+MAX(0,MIN(IF($A$26&gt;$E$23,DCF_Base!$L$19*(1+$E$23/100)/(($A$26-$E$23)/100),DCF_Base!$L$19*DCF_Base!$B$29),DCF_Base!$L$19*DCF_Base!$B$29))/(1+$A$26/100)^DCF_Base!$L$4+Assumptions!$B$5-Assumptions!$B$4)/Assumptions!$B$3*Assumptions!$B$10</f>
        <v>10.7271423066488</v>
      </c>
      <c r="F26" s="0" t="n">
        <f aca="false">(SUMPRODUCT(DCF_Base!$C$19:$L$19/(1+$A$26/100)^DCF_Base!$C$4:$L$4)+MAX(0,MIN(IF($A$26&gt;$F$23,DCF_Base!$L$19*(1+$F$23/100)/(($A$26-$F$23)/100),DCF_Base!$L$19*DCF_Base!$B$29),DCF_Base!$L$19*DCF_Base!$B$29))/(1+$A$26/100)^DCF_Base!$L$4+Assumptions!$B$5-Assumptions!$B$4)/Assumptions!$B$3*Assumptions!$B$10</f>
        <v>10.7271423066488</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9.00329875779305</v>
      </c>
      <c r="C27" s="0" t="n">
        <f aca="false">(SUMPRODUCT(DCF_Base!$C$19:$L$19/(1+$A$27/100)^DCF_Base!$C$4:$L$4)+MAX(0,MIN(IF($A$27&gt;$C$23,DCF_Base!$L$19*(1+$C$23/100)/(($A$27-$C$23)/100),DCF_Base!$L$19*DCF_Base!$B$29),DCF_Base!$L$19*DCF_Base!$B$29))/(1+$A$27/100)^DCF_Base!$L$4+Assumptions!$B$5-Assumptions!$B$4)/Assumptions!$B$3*Assumptions!$B$10</f>
        <v>9.22015940993227</v>
      </c>
      <c r="D27" s="0" t="n">
        <f aca="false">(SUMPRODUCT(DCF_Base!$C$19:$L$19/(1+$A$27/100)^DCF_Base!$C$4:$L$4)+MAX(0,MIN(IF($A$27&gt;$D$23,DCF_Base!$L$19*(1+$D$23/100)/(($A$27-$D$23)/100),DCF_Base!$L$19*DCF_Base!$B$29),DCF_Base!$L$19*DCF_Base!$B$29))/(1+$A$27/100)^DCF_Base!$L$4+Assumptions!$B$5-Assumptions!$B$4)/Assumptions!$B$3*Assumptions!$B$10</f>
        <v>9.4641276435889</v>
      </c>
      <c r="E27" s="0" t="n">
        <f aca="false">(SUMPRODUCT(DCF_Base!$C$19:$L$19/(1+$A$27/100)^DCF_Base!$C$4:$L$4)+MAX(0,MIN(IF($A$27&gt;$E$23,DCF_Base!$L$19*(1+$E$23/100)/(($A$27-$E$23)/100),DCF_Base!$L$19*DCF_Base!$B$29),DCF_Base!$L$19*DCF_Base!$B$29))/(1+$A$27/100)^DCF_Base!$L$4+Assumptions!$B$5-Assumptions!$B$4)/Assumptions!$B$3*Assumptions!$B$10</f>
        <v>9.74062497506641</v>
      </c>
      <c r="F27" s="0" t="n">
        <f aca="false">(SUMPRODUCT(DCF_Base!$C$19:$L$19/(1+$A$27/100)^DCF_Base!$C$4:$L$4)+MAX(0,MIN(IF($A$27&gt;$F$23,DCF_Base!$L$19*(1+$F$23/100)/(($A$27-$F$23)/100),DCF_Base!$L$19*DCF_Base!$B$29),DCF_Base!$L$19*DCF_Base!$B$29))/(1+$A$27/100)^DCF_Base!$L$4+Assumptions!$B$5-Assumptions!$B$4)/Assumptions!$B$3*Assumptions!$B$10</f>
        <v>10.0566219253264</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8.23663280563187</v>
      </c>
      <c r="C28" s="0" t="n">
        <f aca="false">(SUMPRODUCT(DCF_Base!$C$19:$L$19/(1+$A$28/100)^DCF_Base!$C$4:$L$4)+MAX(0,MIN(IF($A$28&gt;$C$23,DCF_Base!$L$19*(1+$C$23/100)/(($A$28-$C$23)/100),DCF_Base!$L$19*DCF_Base!$B$29),DCF_Base!$L$19*DCF_Base!$B$29))/(1+$A$28/100)^DCF_Base!$L$4+Assumptions!$B$5-Assumptions!$B$4)/Assumptions!$B$3*Assumptions!$B$10</f>
        <v>8.39766224652868</v>
      </c>
      <c r="D28" s="0" t="n">
        <f aca="false">(SUMPRODUCT(DCF_Base!$C$19:$L$19/(1+$A$28/100)^DCF_Base!$C$4:$L$4)+MAX(0,MIN(IF($A$28&gt;$D$23,DCF_Base!$L$19*(1+$D$23/100)/(($A$28-$D$23)/100),DCF_Base!$L$19*DCF_Base!$B$29),DCF_Base!$L$19*DCF_Base!$B$29))/(1+$A$28/100)^DCF_Base!$L$4+Assumptions!$B$5-Assumptions!$B$4)/Assumptions!$B$3*Assumptions!$B$10</f>
        <v>8.57658384752512</v>
      </c>
      <c r="E28" s="0" t="n">
        <f aca="false">(SUMPRODUCT(DCF_Base!$C$19:$L$19/(1+$A$28/100)^DCF_Base!$C$4:$L$4)+MAX(0,MIN(IF($A$28&gt;$E$23,DCF_Base!$L$19*(1+$E$23/100)/(($A$28-$E$23)/100),DCF_Base!$L$19*DCF_Base!$B$29),DCF_Base!$L$19*DCF_Base!$B$29))/(1+$A$28/100)^DCF_Base!$L$4+Assumptions!$B$5-Assumptions!$B$4)/Assumptions!$B$3*Assumptions!$B$10</f>
        <v>8.7765550486388</v>
      </c>
      <c r="F28" s="0" t="n">
        <f aca="false">(SUMPRODUCT(DCF_Base!$C$19:$L$19/(1+$A$28/100)^DCF_Base!$C$4:$L$4)+MAX(0,MIN(IF($A$28&gt;$F$23,DCF_Base!$L$19*(1+$F$23/100)/(($A$28-$F$23)/100),DCF_Base!$L$19*DCF_Base!$B$29),DCF_Base!$L$19*DCF_Base!$B$29))/(1+$A$28/100)^DCF_Base!$L$4+Assumptions!$B$5-Assumptions!$B$4)/Assumptions!$B$3*Assumptions!$B$10</f>
        <v>9.00152264989168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2026-10-17T22:05:05Z</dcterms:created>
  <dc:creator>openpyxl</dc:creator>
  <dc:description/>
  <dc:language>en-NZ</dc:language>
  <cp:lastModifiedBy/>
  <dcterms:modified xsi:type="dcterms:W3CDTF">2026-10-17T22:05:05Z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