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<sst xmlns="http://schemas.openxmlformats.org/spreadsheetml/2006/main" count="384" uniqueCount="174">
  <si>
    <t xml:space="preserve">Ticker</t>
  </si>
  <si>
    <t xml:space="preserve">FDS</t>
  </si>
  <si>
    <t xml:space="preserve">Company</t>
  </si>
  <si>
    <t xml:space="preserve">FactSet Research Systems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</si>
  <si>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</si>
  <si>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</si>
  <si>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</si>
  <si>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</si>
  <si>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(Friday); FY2026 results are due before the open on 2026-09-30, so the price is likely to gap on the print</t>
  </si>
  <si>
    <t xml:space="preserve">Balance sheet date</t>
  </si>
  <si>
    <t xml:space="preserve">2026-05-31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</si>
  <si>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</si>
  <si>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</si>
  <si>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</si>
  <si>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</si>
  <si>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</si>
  <si>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</si>
  <si>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</si>
  <si>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</si>
  <si>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</si>
  <si>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</si>
  <si>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2026-09-28T08:10:31Z</t>
  </si>
  <si>
    <t xml:space="preserve">Drivers file</t>
  </si>
  <si>
    <t xml:space="preserve">FDS_Drivers.json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</si>
  <si>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</si>
  <si>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</si>
  <si>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</si>
  <si>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FactSet is valued as a mature, high-retention subscription compounder on a strict owner-FCF basis: SBC (now 3.4% of revenue and rising) is expensed, the share count is held flat, the FY2026 investment-trough margin is rebuilt from components rather than carried forward, and the CGS-inflated historical CAGRs are replaced by the organic ASV run-rate. The central question is whether AI erodes or entrenches the seat, and it is expressed in the growth and margin paths, not in the discount rate.
key_risks_to_valuation: AI/LLM commoditisation of data retrieval shrinks seats per client at renewal; retention above 95% can coexist with falling ASV per client; FY2026 adjusted operating margin guided down to 34-35.5% on AI investment; if the spend becomes permanent the base-case margin recovery to 42% pre-SBC does not happen; SBC running ~37% above FY2025 under the new CEO's plan; every 1pp of revenue in SBC is ~$25M/yr of owner FCF; Sell-side ASV (~18%) is cyclical with investment-banking headcount; Acquisition cadence (Irwin, LiquidityBook) is rising: cash acquisitions are not in the FCF path and would reduce net cash generation; FY2026 base year is an estimate two days before the 10-K; base_revenue, last_fcf, SBC and the balance sheet should be refreshed on 2026-09-30; Terminal value is the majority of EV at an 8% WACC; the 20x cap on a 2.5% Gordon is what bounds it</t>
  </si>
  <si>
    <t xml:space="preserve">Data sources</t>
  </si>
  <si>
    <t xml:space="preserve">price: Yahoo Finance chart API regularMarketPrice at inputs.price_as_of; 52-week range 185.00-320.48
financials: SEC XBRL companyfacts (CIK 1013237): FY2025 10-K filed 2025-10-22; Q3 FY2026 10-Q filed 2026-07-01 for the 2026-05-31 balance sheet, 9M cash flows and the 2026-06-25 cover-page share count; FDS_Metrics.csv for FY2009-FY2025 history
qualitative: FDS_Analysis.json (2026-09-28): Q3 FY2026 results and reaffirmed FY2026 guidance (revenue $2.45-2.47B, adjusted operating margin 34.0-35.5%, adjusted EPS $17.25-17.75, organic ASV +$130-160M), Google Cloud partnership, Claude data connector, AI-disruption bear narrative</t>
  </si>
  <si>
    <t xml:space="preserve">Scenario narrative: bear</t>
  </si>
  <si>
    <t xml:space="preserve">Structural seat erosion from LLM tools: revenue flat from FY2028, margin down to 35%, 1% terminal growth, 15x cap.</t>
  </si>
  <si>
    <t xml:space="preserve">Scenario narrative: base</t>
  </si>
  <si>
    <t xml:space="preserve">ASV growth 5.5-6% fading to 3% over a decade; margin recovers to 42% pre-SBC by FY2031; SBC 3.5% of revenue; 20x FCF terminal cap at 2.5% growth.</t>
  </si>
  <si>
    <t xml:space="preserve">Scenario narrative: bull</t>
  </si>
  <si>
    <t xml:space="preserve">AI-led re-acceleration to 8% ASV growth with operating leverage to a 44.5% pre-SBC EBITDA margin; 3% terminal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</si>
  <si>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</si>
  <si>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</si>
  <si>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</si>
  <si>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</si>
  <si>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</si>
  <si>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</si>
  <si>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</si>
  <si>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</si>
  <si>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</si>
  <si>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</si>
  <si>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</si>
  <si>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</si>
  <si>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</si>
  <si>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</si>
  <si>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</si>
  <si>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</si>
  <si>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</si>
  <si>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</si>
  <si>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</si>
  <si>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</si>
  <si>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</si>
  <si>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</si>
  <si>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</si>
  <si>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</si>
  <si>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</si>
  <si>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</si>
  <si>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</si>
  <si>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</si>
  <si>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</si>
  <si>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</si>
  <si>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</si>
  <si>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</si>
  <si>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</si>
  <si>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</si>
  <si>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</si>
  <si>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</si>
  <si>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</si>
  <si>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</si>
  <si>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</si>
  <si>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</si>
  <si>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</si>
  <si>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</si>
  <si>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</si>
  <si>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</si>
  <si>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</si>
  <si>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</si>
  <si>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</si>
  <si>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</si>
  <si>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</si>
  <si>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</si>
  <si>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</si>
  <si>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</si>
  <si>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</si>
  <si>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</si>
  <si>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</si>
  <si>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</si>
  <si>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</si>
  <si>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</si>
  <si>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</si>
  <si>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</si>
  <si>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</si>
  <si>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</si>
  <si>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</si>
  <si>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</si>
  <si>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</si>
  <si>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</si>
  <si>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</si>
  <si>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</si>
  <si>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</si>
  <si>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</si>
  <si>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</si>
  <si>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</si>
  <si>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</si>
  <si>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</si>
  <si>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</si>
  <si>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</si>
  <si>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</si>
  <si>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</si>
  <si>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</si>
  <si>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</si>
  <si>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</si>
  <si>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</si>
  <si>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</si>
  <si>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FDS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</si>
  <si>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</si>
  <si>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</si>
  <si>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</si>
  <si>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</si>
  <si>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</si>
  <si>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</si>
  <si>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</si>
  <si>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</si>
  <si>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</si>
  <si>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</si>
  <si>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</si>
  <si>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</si>
  <si>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</si>
  <si>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</si>
  <si>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</si>
  <si>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</si>
  <si>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</si>
  <si>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</si>
  <si>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</si>
  <si>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</si>
  <si>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</si>
  <si>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</si>
  <si>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</si>
  <si>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</si>
  <si>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</si>
  <si>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</si>
  <si>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</si>
  <si>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</si>
  <si>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</si>
  <si>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</si>
  <si>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FDS owner-FCF component DCF: base case (millions, USD)</t>
  </si>
  <si>
    <t xml:space="preserve">FDS owner-FCF component DCF: bull case (millions, USD)</t>
  </si>
  <si>
    <t xml:space="preserve">FDS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</si>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</sst>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273.08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465.471</v>
      </c>
      <c r="S2" s="0" t="n">
        <v>117.986</v>
      </c>
      <c r="T2" s="0" t="n">
        <v>47.969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622.023</v>
      </c>
      <c r="F3" s="0" t="n">
        <v>211.03</v>
      </c>
      <c r="G3" s="0" t="n">
        <v>33.9263982200015</v>
      </c>
      <c r="H3" s="0" t="n">
        <v>245.367</v>
      </c>
      <c r="I3" s="0" t="n">
        <v>144.95</v>
      </c>
      <c r="J3" s="0" t="n">
        <v>23.3029968345222</v>
      </c>
      <c r="K3" s="0" t="n">
        <v>3.07</v>
      </c>
      <c r="L3" s="0" t="n">
        <v>207.77</v>
      </c>
      <c r="M3" s="0" t="n">
        <v>24.04</v>
      </c>
      <c r="N3" s="0" t="n">
        <v>183.73</v>
      </c>
      <c r="O3" s="0" t="n">
        <v>500.829</v>
      </c>
      <c r="P3" s="0" t="n">
        <v>633.952</v>
      </c>
      <c r="S3" s="0" t="n">
        <v>216.32</v>
      </c>
      <c r="T3" s="0" t="n">
        <v>46.74</v>
      </c>
      <c r="U3" s="0" t="n">
        <v>13.623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641.059</v>
      </c>
      <c r="F4" s="0" t="n">
        <v>221.634</v>
      </c>
      <c r="G4" s="0" t="n">
        <v>34.5731048156254</v>
      </c>
      <c r="H4" s="0" t="n">
        <v>258.977</v>
      </c>
      <c r="I4" s="0" t="n">
        <v>150.211</v>
      </c>
      <c r="J4" s="0" t="n">
        <v>23.4316966145082</v>
      </c>
      <c r="K4" s="0" t="n">
        <v>3.22</v>
      </c>
      <c r="L4" s="0" t="n">
        <v>211.08</v>
      </c>
      <c r="M4" s="0" t="n">
        <v>20.768</v>
      </c>
      <c r="N4" s="0" t="n">
        <v>190.312</v>
      </c>
      <c r="O4" s="0" t="n">
        <v>502.406</v>
      </c>
      <c r="P4" s="0" t="n">
        <v>644.608</v>
      </c>
      <c r="Q4" s="0" t="n">
        <v>142.202</v>
      </c>
      <c r="S4" s="0" t="n">
        <v>195.741</v>
      </c>
      <c r="T4" s="0" t="n">
        <v>46.024</v>
      </c>
      <c r="U4" s="0" t="n">
        <v>14.065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726.51</v>
      </c>
      <c r="F5" s="0" t="n">
        <v>238.335</v>
      </c>
      <c r="G5" s="0" t="n">
        <v>32.8054672337614</v>
      </c>
      <c r="H5" s="0" t="n">
        <v>275.182</v>
      </c>
      <c r="I5" s="0" t="n">
        <v>171.046</v>
      </c>
      <c r="J5" s="0" t="n">
        <v>23.5435162626805</v>
      </c>
      <c r="K5" s="0" t="n">
        <v>3.72</v>
      </c>
      <c r="L5" s="0" t="n">
        <v>207.136</v>
      </c>
      <c r="M5" s="0" t="n">
        <v>29.343</v>
      </c>
      <c r="N5" s="0" t="n">
        <v>177.793</v>
      </c>
      <c r="O5" s="0" t="n">
        <v>515.188</v>
      </c>
      <c r="P5" s="0" t="n">
        <v>657.44</v>
      </c>
      <c r="Q5" s="0" t="n">
        <v>142.252</v>
      </c>
      <c r="S5" s="0" t="n">
        <v>181.685</v>
      </c>
      <c r="T5" s="0" t="n">
        <v>45.055</v>
      </c>
      <c r="U5" s="0" t="n">
        <v>25.773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805.793</v>
      </c>
      <c r="F6" s="0" t="n">
        <v>272.99</v>
      </c>
      <c r="G6" s="0" t="n">
        <v>33.8784278344438</v>
      </c>
      <c r="H6" s="0" t="n">
        <v>306.769</v>
      </c>
      <c r="I6" s="0" t="n">
        <v>188.809</v>
      </c>
      <c r="J6" s="0" t="n">
        <v>23.4314519982179</v>
      </c>
      <c r="K6" s="0" t="n">
        <v>4.22</v>
      </c>
      <c r="L6" s="0" t="n">
        <v>231.965</v>
      </c>
      <c r="M6" s="0" t="n">
        <v>22.52</v>
      </c>
      <c r="N6" s="0" t="n">
        <v>209.445</v>
      </c>
      <c r="O6" s="0" t="n">
        <v>552.264</v>
      </c>
      <c r="P6" s="0" t="n">
        <v>694.143</v>
      </c>
      <c r="Q6" s="0" t="n">
        <v>141.879</v>
      </c>
      <c r="S6" s="0" t="n">
        <v>189.044</v>
      </c>
      <c r="T6" s="0" t="n">
        <v>44.279</v>
      </c>
      <c r="U6" s="0" t="n">
        <v>21.982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858.112</v>
      </c>
      <c r="F7" s="0" t="n">
        <v>269.419</v>
      </c>
      <c r="G7" s="0" t="n">
        <v>31.3967174448091</v>
      </c>
      <c r="H7" s="0" t="n">
        <v>305.198</v>
      </c>
      <c r="I7" s="0" t="n">
        <v>198.637</v>
      </c>
      <c r="J7" s="0" t="n">
        <v>23.1481438320406</v>
      </c>
      <c r="K7" s="0" t="n">
        <v>4.53</v>
      </c>
      <c r="L7" s="0" t="n">
        <v>269.809</v>
      </c>
      <c r="M7" s="0" t="n">
        <v>18.517</v>
      </c>
      <c r="N7" s="0" t="n">
        <v>251.292</v>
      </c>
      <c r="O7" s="0" t="n">
        <v>541.779</v>
      </c>
      <c r="P7" s="0" t="n">
        <v>690.197</v>
      </c>
      <c r="Q7" s="0" t="n">
        <v>148.418</v>
      </c>
      <c r="S7" s="0" t="n">
        <v>196.627</v>
      </c>
      <c r="T7" s="0" t="n">
        <v>43.324</v>
      </c>
      <c r="U7" s="0" t="n">
        <v>39.951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920.335</v>
      </c>
      <c r="F8" s="0" t="n">
        <v>302.219</v>
      </c>
      <c r="G8" s="0" t="n">
        <v>32.8379340131583</v>
      </c>
      <c r="H8" s="0" t="n">
        <v>336.654</v>
      </c>
      <c r="I8" s="0" t="n">
        <v>211.543</v>
      </c>
      <c r="J8" s="0" t="n">
        <v>22.9854346515128</v>
      </c>
      <c r="K8" s="0" t="n">
        <v>4.98</v>
      </c>
      <c r="L8" s="0" t="n">
        <v>265.023</v>
      </c>
      <c r="M8" s="0" t="n">
        <v>17.743</v>
      </c>
      <c r="N8" s="0" t="n">
        <v>247.28</v>
      </c>
      <c r="O8" s="0" t="n">
        <v>511.082</v>
      </c>
      <c r="P8" s="0" t="n">
        <v>663.212</v>
      </c>
      <c r="Q8" s="0" t="n">
        <v>152.13</v>
      </c>
      <c r="R8" s="0" t="n">
        <v>0</v>
      </c>
      <c r="S8" s="0" t="n">
        <v>116.378</v>
      </c>
      <c r="T8" s="0" t="n">
        <v>41.793</v>
      </c>
      <c r="U8" s="0" t="n">
        <v>22.891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1006.768</v>
      </c>
      <c r="F9" s="0" t="n">
        <v>331.918</v>
      </c>
      <c r="G9" s="0" t="n">
        <v>32.9686680546064</v>
      </c>
      <c r="H9" s="0" t="n">
        <v>363.267</v>
      </c>
      <c r="I9" s="0" t="n">
        <v>241.051</v>
      </c>
      <c r="J9" s="0" t="n">
        <v>23.9430534144907</v>
      </c>
      <c r="K9" s="0" t="n">
        <v>5.8</v>
      </c>
      <c r="L9" s="0" t="n">
        <v>306.442</v>
      </c>
      <c r="M9" s="0" t="n">
        <v>25.682</v>
      </c>
      <c r="N9" s="0" t="n">
        <v>280.76</v>
      </c>
      <c r="O9" s="0" t="n">
        <v>531.584</v>
      </c>
      <c r="P9" s="0" t="n">
        <v>736.671</v>
      </c>
      <c r="Q9" s="0" t="n">
        <v>205.087</v>
      </c>
      <c r="R9" s="0" t="n">
        <v>35</v>
      </c>
      <c r="S9" s="0" t="n">
        <v>158.914</v>
      </c>
      <c r="T9" s="0" t="n">
        <v>41.317</v>
      </c>
      <c r="U9" s="0" t="n">
        <v>26.371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1127.092</v>
      </c>
      <c r="C10" s="0" t="n">
        <v>487.409</v>
      </c>
      <c r="F10" s="0" t="n">
        <v>349.676</v>
      </c>
      <c r="G10" s="0" t="n">
        <v>31.0246191082893</v>
      </c>
      <c r="H10" s="0" t="n">
        <v>387.728</v>
      </c>
      <c r="I10" s="0" t="n">
        <v>338.815</v>
      </c>
      <c r="J10" s="0" t="n">
        <v>30.0609888101415</v>
      </c>
      <c r="K10" s="0" t="n">
        <v>8.29</v>
      </c>
      <c r="L10" s="0" t="n">
        <v>331.14</v>
      </c>
      <c r="M10" s="0" t="n">
        <v>47.74</v>
      </c>
      <c r="N10" s="0" t="n">
        <v>283.4</v>
      </c>
      <c r="O10" s="0" t="n">
        <v>517.381</v>
      </c>
      <c r="P10" s="0" t="n">
        <v>1019.161</v>
      </c>
      <c r="Q10" s="0" t="n">
        <v>501.78</v>
      </c>
      <c r="R10" s="0" t="n">
        <v>300</v>
      </c>
      <c r="S10" s="0" t="n">
        <v>228.407</v>
      </c>
      <c r="T10" s="0" t="n">
        <v>40.038</v>
      </c>
      <c r="U10" s="0" t="n">
        <v>29.793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1221.179</v>
      </c>
      <c r="C11" s="0" t="n">
        <v>566.58</v>
      </c>
      <c r="F11" s="0" t="n">
        <v>352.135</v>
      </c>
      <c r="G11" s="0" t="n">
        <v>28.8356579993596</v>
      </c>
      <c r="H11" s="0" t="n">
        <v>400.429</v>
      </c>
      <c r="I11" s="0" t="n">
        <v>258.259</v>
      </c>
      <c r="J11" s="0" t="n">
        <v>21.1483328815841</v>
      </c>
      <c r="K11" s="0" t="n">
        <v>6.55</v>
      </c>
      <c r="L11" s="0" t="n">
        <v>320.527</v>
      </c>
      <c r="M11" s="0" t="n">
        <v>36.862</v>
      </c>
      <c r="N11" s="0" t="n">
        <v>283.665</v>
      </c>
      <c r="O11" s="0" t="n">
        <v>559.691</v>
      </c>
      <c r="P11" s="0" t="n">
        <v>1413.315</v>
      </c>
      <c r="Q11" s="0" t="n">
        <v>853.624</v>
      </c>
      <c r="R11" s="0" t="n">
        <v>575</v>
      </c>
      <c r="S11" s="0" t="n">
        <v>194.731</v>
      </c>
      <c r="T11" s="0" t="n">
        <v>39.023</v>
      </c>
      <c r="U11" s="0" t="n">
        <v>34.2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1350.145</v>
      </c>
      <c r="C12" s="0" t="n">
        <v>659.296</v>
      </c>
      <c r="F12" s="0" t="n">
        <v>366.204</v>
      </c>
      <c r="G12" s="0" t="n">
        <v>27.1233089779246</v>
      </c>
      <c r="H12" s="0" t="n">
        <v>423.489</v>
      </c>
      <c r="I12" s="0" t="n">
        <v>267.085</v>
      </c>
      <c r="J12" s="0" t="n">
        <v>19.7819493461813</v>
      </c>
      <c r="K12" s="0" t="n">
        <v>6.9</v>
      </c>
      <c r="L12" s="0" t="n">
        <v>385.668</v>
      </c>
      <c r="M12" s="0" t="n">
        <v>33.52</v>
      </c>
      <c r="N12" s="0" t="n">
        <v>352.148</v>
      </c>
      <c r="O12" s="0" t="n">
        <v>525.9</v>
      </c>
      <c r="P12" s="0" t="n">
        <v>1419.447</v>
      </c>
      <c r="Q12" s="0" t="n">
        <v>893.547</v>
      </c>
      <c r="R12" s="0" t="n">
        <v>574.775</v>
      </c>
      <c r="S12" s="0" t="n">
        <v>208.623</v>
      </c>
      <c r="T12" s="0" t="n">
        <v>38.193</v>
      </c>
      <c r="U12" s="0" t="n">
        <v>31.516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1435.351</v>
      </c>
      <c r="C13" s="0" t="n">
        <v>663.446</v>
      </c>
      <c r="F13" s="0" t="n">
        <v>438.035</v>
      </c>
      <c r="G13" s="0" t="n">
        <v>30.5176225188125</v>
      </c>
      <c r="H13" s="0" t="n">
        <v>498.498</v>
      </c>
      <c r="I13" s="0" t="n">
        <v>352.79</v>
      </c>
      <c r="J13" s="0" t="n">
        <v>24.5786570671564</v>
      </c>
      <c r="K13" s="0" t="n">
        <v>9.25</v>
      </c>
      <c r="L13" s="0" t="n">
        <v>427.136</v>
      </c>
      <c r="M13" s="0" t="n">
        <v>59.37</v>
      </c>
      <c r="N13" s="0" t="n">
        <v>367.766</v>
      </c>
      <c r="O13" s="0" t="n">
        <v>672.256</v>
      </c>
      <c r="P13" s="0" t="n">
        <v>1560.13</v>
      </c>
      <c r="Q13" s="0" t="n">
        <v>887.874</v>
      </c>
      <c r="R13" s="0" t="n">
        <v>574.174</v>
      </c>
      <c r="S13" s="0" t="n">
        <v>359.799</v>
      </c>
      <c r="T13" s="0" t="n">
        <v>38.118</v>
      </c>
      <c r="U13" s="0" t="n">
        <v>32.4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1494.111</v>
      </c>
      <c r="C14" s="0" t="n">
        <v>695.446</v>
      </c>
      <c r="F14" s="0" t="n">
        <v>439.66</v>
      </c>
      <c r="G14" s="0" t="n">
        <v>29.4261939039335</v>
      </c>
      <c r="H14" s="0" t="n">
        <v>497.274</v>
      </c>
      <c r="I14" s="0" t="n">
        <v>372.938</v>
      </c>
      <c r="J14" s="0" t="n">
        <v>24.9605283677049</v>
      </c>
      <c r="K14" s="0" t="n">
        <v>9.83</v>
      </c>
      <c r="L14" s="0" t="n">
        <v>505.84</v>
      </c>
      <c r="M14" s="0" t="n">
        <v>77.642</v>
      </c>
      <c r="N14" s="0" t="n">
        <v>428.198</v>
      </c>
      <c r="O14" s="0" t="n">
        <v>896.375</v>
      </c>
      <c r="P14" s="0" t="n">
        <v>2083.388</v>
      </c>
      <c r="Q14" s="0" t="n">
        <v>1187.013</v>
      </c>
      <c r="R14" s="0" t="n">
        <v>574.354</v>
      </c>
      <c r="S14" s="0" t="n">
        <v>585.605</v>
      </c>
      <c r="T14" s="0" t="n">
        <v>38.646</v>
      </c>
      <c r="U14" s="0" t="n">
        <v>36.579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1591.445</v>
      </c>
      <c r="C15" s="0" t="n">
        <v>786.4</v>
      </c>
      <c r="F15" s="0" t="n">
        <v>474.041</v>
      </c>
      <c r="G15" s="0" t="n">
        <v>29.7868289510476</v>
      </c>
      <c r="H15" s="0" t="n">
        <v>538.517</v>
      </c>
      <c r="I15" s="0" t="n">
        <v>399.59</v>
      </c>
      <c r="J15" s="0" t="n">
        <v>25.1086276936998</v>
      </c>
      <c r="K15" s="0" t="n">
        <v>10.56</v>
      </c>
      <c r="L15" s="0" t="n">
        <v>555.226</v>
      </c>
      <c r="M15" s="0" t="n">
        <v>61.325</v>
      </c>
      <c r="N15" s="0" t="n">
        <v>493.901</v>
      </c>
      <c r="O15" s="0" t="n">
        <v>1016.353</v>
      </c>
      <c r="P15" s="0" t="n">
        <v>2224.94</v>
      </c>
      <c r="Q15" s="0" t="n">
        <v>1208.587</v>
      </c>
      <c r="R15" s="0" t="n">
        <v>574.535</v>
      </c>
      <c r="S15" s="0" t="n">
        <v>681.865</v>
      </c>
      <c r="T15" s="0" t="n">
        <v>38.57</v>
      </c>
      <c r="U15" s="0" t="n">
        <v>45.065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1843.892</v>
      </c>
      <c r="C16" s="0" t="n">
        <v>871.106</v>
      </c>
      <c r="F16" s="0" t="n">
        <v>475.482</v>
      </c>
      <c r="G16" s="0" t="n">
        <v>25.7868682113703</v>
      </c>
      <c r="H16" s="0" t="n">
        <v>562.165</v>
      </c>
      <c r="I16" s="0" t="n">
        <v>396.917</v>
      </c>
      <c r="J16" s="0" t="n">
        <v>21.5260438246926</v>
      </c>
      <c r="K16" s="0" t="n">
        <v>10.48</v>
      </c>
      <c r="L16" s="0" t="n">
        <v>538.277</v>
      </c>
      <c r="M16" s="0" t="n">
        <v>51.156</v>
      </c>
      <c r="N16" s="0" t="n">
        <v>487.121</v>
      </c>
      <c r="O16" s="0" t="n">
        <v>1331.408</v>
      </c>
      <c r="P16" s="0" t="n">
        <v>4014.305</v>
      </c>
      <c r="Q16" s="0" t="n">
        <v>2682.897</v>
      </c>
      <c r="R16" s="0" t="n">
        <v>1982.424</v>
      </c>
      <c r="S16" s="0" t="n">
        <v>503.273</v>
      </c>
      <c r="T16" s="0" t="n">
        <v>38.736</v>
      </c>
      <c r="U16" s="0" t="n">
        <v>56.003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2085.508</v>
      </c>
      <c r="C17" s="0" t="n">
        <v>973.225</v>
      </c>
      <c r="F17" s="0" t="n">
        <v>629.207</v>
      </c>
      <c r="G17" s="0" t="n">
        <v>30.170442884899</v>
      </c>
      <c r="H17" s="0" t="n">
        <v>734.591</v>
      </c>
      <c r="I17" s="0" t="n">
        <v>468.173</v>
      </c>
      <c r="J17" s="0" t="n">
        <v>22.4488709705261</v>
      </c>
      <c r="K17" s="0" t="n">
        <v>12.26</v>
      </c>
      <c r="L17" s="0" t="n">
        <v>645.573</v>
      </c>
      <c r="M17" s="0" t="n">
        <v>60.786</v>
      </c>
      <c r="N17" s="0" t="n">
        <v>584.787</v>
      </c>
      <c r="O17" s="0" t="n">
        <v>1619.93</v>
      </c>
      <c r="P17" s="0" t="n">
        <v>3962.922</v>
      </c>
      <c r="Q17" s="0" t="n">
        <v>2342.992</v>
      </c>
      <c r="R17" s="0" t="n">
        <v>1612.7</v>
      </c>
      <c r="S17" s="0" t="n">
        <v>425.444</v>
      </c>
      <c r="T17" s="0" t="n">
        <v>38.898</v>
      </c>
      <c r="U17" s="0" t="n">
        <v>62.038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2203.056</v>
      </c>
      <c r="C18" s="0" t="n">
        <v>1011.945</v>
      </c>
      <c r="F18" s="0" t="n">
        <v>701.299</v>
      </c>
      <c r="G18" s="0" t="n">
        <v>31.8330083302467</v>
      </c>
      <c r="H18" s="0" t="n">
        <v>826.486</v>
      </c>
      <c r="I18" s="0" t="n">
        <v>537.126</v>
      </c>
      <c r="J18" s="0" t="n">
        <v>24.3809508246726</v>
      </c>
      <c r="K18" s="0" t="n">
        <v>14.11</v>
      </c>
      <c r="L18" s="0" t="n">
        <v>700.338</v>
      </c>
      <c r="M18" s="0" t="n">
        <v>85.681</v>
      </c>
      <c r="N18" s="0" t="n">
        <v>614.657</v>
      </c>
      <c r="O18" s="0" t="n">
        <v>1912.46</v>
      </c>
      <c r="P18" s="0" t="n">
        <v>4055.04</v>
      </c>
      <c r="Q18" s="0" t="n">
        <v>2142.58</v>
      </c>
      <c r="R18" s="0" t="n">
        <v>1490.815</v>
      </c>
      <c r="S18" s="0" t="n">
        <v>422.979</v>
      </c>
      <c r="T18" s="0" t="n">
        <v>38.618</v>
      </c>
      <c r="U18" s="0" t="n">
        <v>63.501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2321.748</v>
      </c>
      <c r="C19" s="0" t="n">
        <v>1097.782</v>
      </c>
      <c r="F19" s="0" t="n">
        <v>748.303</v>
      </c>
      <c r="G19" s="0" t="n">
        <v>32.230155899779</v>
      </c>
      <c r="H19" s="0" t="n">
        <v>905.994</v>
      </c>
      <c r="I19" s="0" t="n">
        <v>597.04</v>
      </c>
      <c r="J19" s="0" t="n">
        <v>25.7151077550191</v>
      </c>
      <c r="K19" s="0" t="n">
        <v>15.74</v>
      </c>
      <c r="L19" s="0" t="n">
        <v>726.26</v>
      </c>
      <c r="M19" s="0" t="n">
        <v>108.806</v>
      </c>
      <c r="N19" s="0" t="n">
        <v>617.454</v>
      </c>
      <c r="O19" s="0" t="n">
        <v>2186.413</v>
      </c>
      <c r="P19" s="0" t="n">
        <v>4304.272</v>
      </c>
      <c r="Q19" s="0" t="n">
        <v>2117.859</v>
      </c>
      <c r="R19" s="0" t="n">
        <v>1368.26</v>
      </c>
      <c r="S19" s="0" t="n">
        <v>337.651</v>
      </c>
      <c r="T19" s="0" t="n">
        <v>38.385</v>
      </c>
      <c r="U19" s="0" t="n">
        <v>61.229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273.08</v>
      </c>
    </row>
    <row r="3" customFormat="false" ht="15" hidden="false" customHeight="false" outlineLevel="0" collapsed="false">
      <c r="A3" s="0" t="s">
        <v>84</v>
      </c>
      <c r="B3" s="3" t="n">
        <v>35.64</v>
      </c>
    </row>
    <row r="4" customFormat="false" ht="15" hidden="false" customHeight="false" outlineLevel="0" collapsed="false">
      <c r="A4" s="0" t="s">
        <v>85</v>
      </c>
      <c r="B4" s="3" t="n">
        <v>1101.6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2468</v>
      </c>
    </row>
    <row r="8" customFormat="false" ht="15" hidden="false" customHeight="false" outlineLevel="0" collapsed="false">
      <c r="A8" s="0" t="s">
        <v>89</v>
      </c>
      <c r="B8" s="3" t="s">
        <v>90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</v>
      </c>
      <c r="D13" s="3" t="n">
        <v>2</v>
      </c>
      <c r="E13" s="3" t="n">
        <v>1</v>
      </c>
      <c r="F13" s="3" t="n">
        <v>0.5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106</v>
      </c>
      <c r="C14" s="3" t="n">
        <v>39</v>
      </c>
      <c r="D14" s="3" t="n">
        <v>38</v>
      </c>
      <c r="E14" s="3" t="n">
        <v>37</v>
      </c>
      <c r="F14" s="3" t="n">
        <v>36</v>
      </c>
      <c r="G14" s="3" t="n">
        <v>35.5</v>
      </c>
      <c r="H14" s="3" t="n">
        <v>35</v>
      </c>
      <c r="I14" s="3" t="n">
        <v>35</v>
      </c>
      <c r="J14" s="3" t="n">
        <v>35</v>
      </c>
      <c r="K14" s="3" t="n">
        <v>35</v>
      </c>
      <c r="L14" s="3" t="n">
        <v>35</v>
      </c>
    </row>
    <row r="15" customFormat="false" ht="15" hidden="false" customHeight="false" outlineLevel="0" collapsed="false">
      <c r="A15" s="0" t="s">
        <v>107</v>
      </c>
      <c r="C15" s="3" t="n">
        <v>3.6</v>
      </c>
      <c r="D15" s="3" t="n">
        <v>3.6</v>
      </c>
      <c r="E15" s="3" t="n">
        <v>3.6</v>
      </c>
      <c r="F15" s="3" t="n">
        <v>3.5</v>
      </c>
      <c r="G15" s="3" t="n">
        <v>3.5</v>
      </c>
      <c r="H15" s="3" t="n">
        <v>3.4</v>
      </c>
      <c r="I15" s="3" t="n">
        <v>3.3</v>
      </c>
      <c r="J15" s="3" t="n">
        <v>3.2</v>
      </c>
      <c r="K15" s="3" t="n">
        <v>3.1</v>
      </c>
      <c r="L15" s="3" t="n">
        <v>3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7.2</v>
      </c>
      <c r="D17" s="3" t="n">
        <v>7</v>
      </c>
      <c r="E17" s="3" t="n">
        <v>6.8</v>
      </c>
      <c r="F17" s="3" t="n">
        <v>6.6</v>
      </c>
      <c r="G17" s="3" t="n">
        <v>6.4</v>
      </c>
      <c r="H17" s="3" t="n">
        <v>6.2</v>
      </c>
      <c r="I17" s="3" t="n">
        <v>6</v>
      </c>
      <c r="J17" s="3" t="n">
        <v>6</v>
      </c>
      <c r="K17" s="3" t="n">
        <v>6</v>
      </c>
      <c r="L17" s="3" t="n">
        <v>6</v>
      </c>
    </row>
    <row r="18" customFormat="false" ht="15" hidden="false" customHeight="false" outlineLevel="0" collapsed="false">
      <c r="A18" s="0" t="s">
        <v>110</v>
      </c>
      <c r="C18" s="3" t="n">
        <v>5</v>
      </c>
      <c r="D18" s="3" t="n">
        <v>5</v>
      </c>
      <c r="E18" s="3" t="n">
        <v>5</v>
      </c>
      <c r="F18" s="3" t="n">
        <v>5</v>
      </c>
      <c r="G18" s="3" t="n">
        <v>5</v>
      </c>
      <c r="H18" s="3" t="n">
        <v>5</v>
      </c>
      <c r="I18" s="3" t="n">
        <v>5</v>
      </c>
      <c r="J18" s="3" t="n">
        <v>5</v>
      </c>
      <c r="K18" s="3" t="n">
        <v>5</v>
      </c>
      <c r="L18" s="3" t="n">
        <v>5</v>
      </c>
    </row>
    <row r="19" customFormat="false" ht="15" hidden="false" customHeight="false" outlineLevel="0" collapsed="false">
      <c r="A19" s="0" t="s">
        <v>111</v>
      </c>
      <c r="C19" s="3" t="n">
        <v>18</v>
      </c>
      <c r="D19" s="3" t="n">
        <v>18.5</v>
      </c>
      <c r="E19" s="3" t="n">
        <v>19</v>
      </c>
      <c r="F19" s="3" t="n">
        <v>19.5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112</v>
      </c>
      <c r="B20" s="3" t="n">
        <v>8</v>
      </c>
    </row>
    <row r="21" customFormat="false" ht="15" hidden="false" customHeight="false" outlineLevel="0" collapsed="false">
      <c r="A21" s="0" t="s">
        <v>113</v>
      </c>
      <c r="B21" s="3" t="n">
        <v>1</v>
      </c>
    </row>
    <row r="22" customFormat="false" ht="15" hidden="false" customHeight="false" outlineLevel="0" collapsed="false">
      <c r="A22" s="0" t="s">
        <v>114</v>
      </c>
      <c r="B22" s="3" t="n">
        <v>15</v>
      </c>
    </row>
    <row r="23" customFormat="false" ht="15" hidden="false" customHeight="false" outlineLevel="0" collapsed="false">
      <c r="A23" s="0" t="s">
        <v>115</v>
      </c>
      <c r="B23" s="3" t="n">
        <v>0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6</v>
      </c>
      <c r="D27" s="3" t="n">
        <v>5.5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106</v>
      </c>
      <c r="C28" s="3" t="n">
        <v>40</v>
      </c>
      <c r="D28" s="3" t="n">
        <v>40.5</v>
      </c>
      <c r="E28" s="3" t="n">
        <v>41</v>
      </c>
      <c r="F28" s="3" t="n">
        <v>41.5</v>
      </c>
      <c r="G28" s="3" t="n">
        <v>42</v>
      </c>
      <c r="H28" s="3" t="n">
        <v>42</v>
      </c>
      <c r="I28" s="3" t="n">
        <v>42</v>
      </c>
      <c r="J28" s="3" t="n">
        <v>42</v>
      </c>
      <c r="K28" s="3" t="n">
        <v>42</v>
      </c>
      <c r="L28" s="3" t="n">
        <v>42</v>
      </c>
    </row>
    <row r="29" customFormat="false" ht="15" hidden="false" customHeight="false" outlineLevel="0" collapsed="false">
      <c r="A29" s="0" t="s">
        <v>107</v>
      </c>
      <c r="C29" s="3" t="n">
        <v>3.6</v>
      </c>
      <c r="D29" s="3" t="n">
        <v>3.6</v>
      </c>
      <c r="E29" s="3" t="n">
        <v>3.5</v>
      </c>
      <c r="F29" s="3" t="n">
        <v>3.5</v>
      </c>
      <c r="G29" s="3" t="n">
        <v>3.4</v>
      </c>
      <c r="H29" s="3" t="n">
        <v>3.3</v>
      </c>
      <c r="I29" s="3" t="n">
        <v>3.2</v>
      </c>
      <c r="J29" s="3" t="n">
        <v>3.1</v>
      </c>
      <c r="K29" s="3" t="n">
        <v>3</v>
      </c>
      <c r="L29" s="3" t="n">
        <v>3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7.2</v>
      </c>
      <c r="D31" s="3" t="n">
        <v>7</v>
      </c>
      <c r="E31" s="3" t="n">
        <v>6.8</v>
      </c>
      <c r="F31" s="3" t="n">
        <v>6.6</v>
      </c>
      <c r="G31" s="3" t="n">
        <v>6.4</v>
      </c>
      <c r="H31" s="3" t="n">
        <v>6.2</v>
      </c>
      <c r="I31" s="3" t="n">
        <v>6</v>
      </c>
      <c r="J31" s="3" t="n">
        <v>6</v>
      </c>
      <c r="K31" s="3" t="n">
        <v>6</v>
      </c>
      <c r="L31" s="3" t="n">
        <v>6</v>
      </c>
    </row>
    <row r="32" customFormat="false" ht="15" hidden="false" customHeight="false" outlineLevel="0" collapsed="false">
      <c r="A32" s="0" t="s">
        <v>110</v>
      </c>
      <c r="C32" s="3" t="n">
        <v>4.8</v>
      </c>
      <c r="D32" s="3" t="n">
        <v>4.8</v>
      </c>
      <c r="E32" s="3" t="n">
        <v>4.7</v>
      </c>
      <c r="F32" s="3" t="n">
        <v>4.7</v>
      </c>
      <c r="G32" s="3" t="n">
        <v>4.6</v>
      </c>
      <c r="H32" s="3" t="n">
        <v>4.6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111</v>
      </c>
      <c r="C33" s="3" t="n">
        <v>18</v>
      </c>
      <c r="D33" s="3" t="n">
        <v>18.5</v>
      </c>
      <c r="E33" s="3" t="n">
        <v>19</v>
      </c>
      <c r="F33" s="3" t="n">
        <v>19.5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112</v>
      </c>
      <c r="B34" s="3" t="n">
        <v>8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20</v>
      </c>
    </row>
    <row r="37" customFormat="false" ht="15" hidden="false" customHeight="false" outlineLevel="0" collapsed="false">
      <c r="A37" s="0" t="s">
        <v>115</v>
      </c>
      <c r="B37" s="3" t="n">
        <v>3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8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40.5</v>
      </c>
      <c r="D42" s="3" t="n">
        <v>41.5</v>
      </c>
      <c r="E42" s="3" t="n">
        <v>42.5</v>
      </c>
      <c r="F42" s="3" t="n">
        <v>43.5</v>
      </c>
      <c r="G42" s="3" t="n">
        <v>44</v>
      </c>
      <c r="H42" s="3" t="n">
        <v>44.5</v>
      </c>
      <c r="I42" s="3" t="n">
        <v>44.5</v>
      </c>
      <c r="J42" s="3" t="n">
        <v>44.5</v>
      </c>
      <c r="K42" s="3" t="n">
        <v>44.5</v>
      </c>
      <c r="L42" s="3" t="n">
        <v>44.5</v>
      </c>
    </row>
    <row r="43" customFormat="false" ht="15" hidden="false" customHeight="false" outlineLevel="0" collapsed="false">
      <c r="A43" s="0" t="s">
        <v>107</v>
      </c>
      <c r="C43" s="3" t="n">
        <v>3.6</v>
      </c>
      <c r="D43" s="3" t="n">
        <v>3.5</v>
      </c>
      <c r="E43" s="3" t="n">
        <v>3.4</v>
      </c>
      <c r="F43" s="3" t="n">
        <v>3.3</v>
      </c>
      <c r="G43" s="3" t="n">
        <v>3.2</v>
      </c>
      <c r="H43" s="3" t="n">
        <v>3.1</v>
      </c>
      <c r="I43" s="3" t="n">
        <v>3</v>
      </c>
      <c r="J43" s="3" t="n">
        <v>3</v>
      </c>
      <c r="K43" s="3" t="n">
        <v>3</v>
      </c>
      <c r="L43" s="3" t="n">
        <v>3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7.2</v>
      </c>
      <c r="D45" s="3" t="n">
        <v>7</v>
      </c>
      <c r="E45" s="3" t="n">
        <v>6.8</v>
      </c>
      <c r="F45" s="3" t="n">
        <v>6.6</v>
      </c>
      <c r="G45" s="3" t="n">
        <v>6.4</v>
      </c>
      <c r="H45" s="3" t="n">
        <v>6.2</v>
      </c>
      <c r="I45" s="3" t="n">
        <v>6</v>
      </c>
      <c r="J45" s="3" t="n">
        <v>6</v>
      </c>
      <c r="K45" s="3" t="n">
        <v>6</v>
      </c>
      <c r="L45" s="3" t="n">
        <v>6</v>
      </c>
    </row>
    <row r="46" customFormat="false" ht="15" hidden="false" customHeight="false" outlineLevel="0" collapsed="false">
      <c r="A46" s="0" t="s">
        <v>110</v>
      </c>
      <c r="C46" s="3" t="n">
        <v>4.8</v>
      </c>
      <c r="D46" s="3" t="n">
        <v>4.8</v>
      </c>
      <c r="E46" s="3" t="n">
        <v>4.7</v>
      </c>
      <c r="F46" s="3" t="n">
        <v>4.7</v>
      </c>
      <c r="G46" s="3" t="n">
        <v>4.6</v>
      </c>
      <c r="H46" s="3" t="n">
        <v>4.6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111</v>
      </c>
      <c r="C47" s="3" t="n">
        <v>18</v>
      </c>
      <c r="D47" s="3" t="n">
        <v>18.5</v>
      </c>
      <c r="E47" s="3" t="n">
        <v>19</v>
      </c>
      <c r="F47" s="3" t="n">
        <v>19.5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112</v>
      </c>
      <c r="B48" s="3" t="n">
        <v>8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4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1</v>
      </c>
      <c r="F5" s="4" t="n">
        <f aca="false">Assumptions!F13</f>
        <v>0.5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2468</v>
      </c>
      <c r="C6" s="0" t="n">
        <f aca="false">B6*(1+C5/100)</f>
        <v>2542.04</v>
      </c>
      <c r="D6" s="0" t="n">
        <f aca="false">C6*(1+D5/100)</f>
        <v>2592.8808</v>
      </c>
      <c r="E6" s="0" t="n">
        <f aca="false">D6*(1+E5/100)</f>
        <v>2618.809608</v>
      </c>
      <c r="F6" s="0" t="n">
        <f aca="false">E6*(1+F5/100)</f>
        <v>2631.90365604</v>
      </c>
      <c r="G6" s="0" t="n">
        <f aca="false">F6*(1+G5/100)</f>
        <v>2645.0631743202</v>
      </c>
      <c r="H6" s="0" t="n">
        <f aca="false">G6*(1+H5/100)</f>
        <v>2658.2884901918</v>
      </c>
      <c r="I6" s="0" t="n">
        <f aca="false">H6*(1+I5/100)</f>
        <v>2671.57993264276</v>
      </c>
      <c r="J6" s="0" t="n">
        <f aca="false">I6*(1+J5/100)</f>
        <v>2684.93783230597</v>
      </c>
      <c r="K6" s="0" t="n">
        <f aca="false">J6*(1+K5/100)</f>
        <v>2698.3625214675</v>
      </c>
      <c r="L6" s="0" t="n">
        <f aca="false">K6*(1+L5/100)</f>
        <v>2711.85433407484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39</v>
      </c>
      <c r="D7" s="4" t="n">
        <f aca="false">Assumptions!D14</f>
        <v>38</v>
      </c>
      <c r="E7" s="4" t="n">
        <f aca="false">Assumptions!E14</f>
        <v>37</v>
      </c>
      <c r="F7" s="4" t="n">
        <f aca="false">Assumptions!F14</f>
        <v>36</v>
      </c>
      <c r="G7" s="4" t="n">
        <f aca="false">Assumptions!G14</f>
        <v>35.5</v>
      </c>
      <c r="H7" s="4" t="n">
        <f aca="false">Assumptions!H14</f>
        <v>35</v>
      </c>
      <c r="I7" s="4" t="n">
        <f aca="false">Assumptions!I14</f>
        <v>35</v>
      </c>
      <c r="J7" s="4" t="n">
        <f aca="false">Assumptions!J14</f>
        <v>35</v>
      </c>
      <c r="K7" s="4" t="n">
        <f aca="false">Assumptions!K14</f>
        <v>35</v>
      </c>
      <c r="L7" s="4" t="n">
        <f aca="false">Assumptions!L14</f>
        <v>35</v>
      </c>
    </row>
    <row r="8" customFormat="false" ht="15" hidden="false" customHeight="false" outlineLevel="0" collapsed="false">
      <c r="A8" s="0" t="s">
        <v>43</v>
      </c>
      <c r="C8" s="0" t="n">
        <f aca="false">C6*C7/100</f>
        <v>991.3956</v>
      </c>
      <c r="D8" s="0" t="n">
        <f aca="false">D6*D7/100</f>
        <v>985.294704</v>
      </c>
      <c r="E8" s="0" t="n">
        <f aca="false">E6*E7/100</f>
        <v>968.95955496</v>
      </c>
      <c r="F8" s="0" t="n">
        <f aca="false">F6*F7/100</f>
        <v>947.4853161744</v>
      </c>
      <c r="G8" s="0" t="n">
        <f aca="false">G6*G7/100</f>
        <v>938.997426883671</v>
      </c>
      <c r="H8" s="0" t="n">
        <f aca="false">H6*H7/100</f>
        <v>930.40097156713</v>
      </c>
      <c r="I8" s="0" t="n">
        <f aca="false">I6*I7/100</f>
        <v>935.052976424966</v>
      </c>
      <c r="J8" s="0" t="n">
        <f aca="false">J6*J7/100</f>
        <v>939.72824130709</v>
      </c>
      <c r="K8" s="0" t="n">
        <f aca="false">K6*K7/100</f>
        <v>944.426882513626</v>
      </c>
      <c r="L8" s="0" t="n">
        <f aca="false">L6*L7/100</f>
        <v>949.149016926194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3.6</v>
      </c>
      <c r="D9" s="4" t="n">
        <f aca="false">Assumptions!D15</f>
        <v>3.6</v>
      </c>
      <c r="E9" s="4" t="n">
        <f aca="false">Assumptions!E15</f>
        <v>3.6</v>
      </c>
      <c r="F9" s="4" t="n">
        <f aca="false">Assumptions!F15</f>
        <v>3.5</v>
      </c>
      <c r="G9" s="4" t="n">
        <f aca="false">Assumptions!G15</f>
        <v>3.5</v>
      </c>
      <c r="H9" s="4" t="n">
        <f aca="false">Assumptions!H15</f>
        <v>3.4</v>
      </c>
      <c r="I9" s="4" t="n">
        <f aca="false">Assumptions!I15</f>
        <v>3.3</v>
      </c>
      <c r="J9" s="4" t="n">
        <f aca="false">Assumptions!J15</f>
        <v>3.2</v>
      </c>
      <c r="K9" s="4" t="n">
        <f aca="false">Assumptions!K15</f>
        <v>3.1</v>
      </c>
      <c r="L9" s="4" t="n">
        <f aca="false">Assumptions!L15</f>
        <v>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-91.51344</v>
      </c>
      <c r="D10" s="0" t="n">
        <f aca="false">-D6*D9/100</f>
        <v>-93.3437088</v>
      </c>
      <c r="E10" s="0" t="n">
        <f aca="false">-E6*E9/100</f>
        <v>-94.277145888</v>
      </c>
      <c r="F10" s="0" t="n">
        <f aca="false">-F6*F9/100</f>
        <v>-92.1166279614</v>
      </c>
      <c r="G10" s="0" t="n">
        <f aca="false">-G6*G9/100</f>
        <v>-92.577211101207</v>
      </c>
      <c r="H10" s="0" t="n">
        <f aca="false">-H6*H9/100</f>
        <v>-90.3818086665212</v>
      </c>
      <c r="I10" s="0" t="n">
        <f aca="false">-I6*I9/100</f>
        <v>-88.162137777211</v>
      </c>
      <c r="J10" s="0" t="n">
        <f aca="false">-J6*J9/100</f>
        <v>-85.9180106337911</v>
      </c>
      <c r="K10" s="0" t="n">
        <f aca="false">-K6*K9/100</f>
        <v>-83.6492381654926</v>
      </c>
      <c r="L10" s="0" t="n">
        <f aca="false">-L6*L9/100</f>
        <v>-81.3556300222452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899.88216</v>
      </c>
      <c r="D11" s="0" t="n">
        <f aca="false">D8+D10+D24</f>
        <v>891.9509952</v>
      </c>
      <c r="E11" s="0" t="n">
        <f aca="false">E8+E10+E24</f>
        <v>874.682409072</v>
      </c>
      <c r="F11" s="0" t="n">
        <f aca="false">F8+F10+F24</f>
        <v>855.368688213</v>
      </c>
      <c r="G11" s="0" t="n">
        <f aca="false">G8+G10+G24</f>
        <v>846.420215782464</v>
      </c>
      <c r="H11" s="0" t="n">
        <f aca="false">H8+H10+H24</f>
        <v>840.019162900609</v>
      </c>
      <c r="I11" s="0" t="n">
        <f aca="false">I8+I10+I24</f>
        <v>846.890838647755</v>
      </c>
      <c r="J11" s="0" t="n">
        <f aca="false">J8+J10+J24</f>
        <v>853.810230673299</v>
      </c>
      <c r="K11" s="0" t="n">
        <f aca="false">K8+K10+K24</f>
        <v>860.777644348133</v>
      </c>
      <c r="L11" s="0" t="n">
        <f aca="false">L8+L10+L24</f>
        <v>867.793386903948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-183.02688</v>
      </c>
      <c r="D12" s="4" t="n">
        <f aca="false">-D6*Assumptions!D17/100</f>
        <v>-181.501656</v>
      </c>
      <c r="E12" s="4" t="n">
        <f aca="false">-E6*Assumptions!E17/100</f>
        <v>-178.079053344</v>
      </c>
      <c r="F12" s="4" t="n">
        <f aca="false">-F6*Assumptions!F17/100</f>
        <v>-173.70564129864</v>
      </c>
      <c r="G12" s="4" t="n">
        <f aca="false">-G6*Assumptions!G17/100</f>
        <v>-169.284043156493</v>
      </c>
      <c r="H12" s="4" t="n">
        <f aca="false">-H6*Assumptions!H17/100</f>
        <v>-164.813886391892</v>
      </c>
      <c r="I12" s="4" t="n">
        <f aca="false">-I6*Assumptions!I17/100</f>
        <v>-160.294795958566</v>
      </c>
      <c r="J12" s="4" t="n">
        <f aca="false">-J6*Assumptions!J17/100</f>
        <v>-161.096269938358</v>
      </c>
      <c r="K12" s="4" t="n">
        <f aca="false">-K6*Assumptions!K17/100</f>
        <v>-161.90175128805</v>
      </c>
      <c r="L12" s="4" t="n">
        <f aca="false">-L6*Assumptions!L17/100</f>
        <v>-162.71126004449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716.85528</v>
      </c>
      <c r="D13" s="0" t="n">
        <f aca="false">D11+D12</f>
        <v>710.4493392</v>
      </c>
      <c r="E13" s="0" t="n">
        <f aca="false">E11+E12</f>
        <v>696.603355728</v>
      </c>
      <c r="F13" s="0" t="n">
        <f aca="false">F11+F12</f>
        <v>681.66304691436</v>
      </c>
      <c r="G13" s="0" t="n">
        <f aca="false">G11+G12</f>
        <v>677.136172625971</v>
      </c>
      <c r="H13" s="0" t="n">
        <f aca="false">H11+H12</f>
        <v>675.205276508717</v>
      </c>
      <c r="I13" s="0" t="n">
        <f aca="false">I11+I12</f>
        <v>686.596042689189</v>
      </c>
      <c r="J13" s="0" t="n">
        <f aca="false">J11+J12</f>
        <v>692.713960734941</v>
      </c>
      <c r="K13" s="0" t="n">
        <f aca="false">K11+K12</f>
        <v>698.875893060083</v>
      </c>
      <c r="L13" s="0" t="n">
        <f aca="false">L11+L12</f>
        <v>705.082126859458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18</v>
      </c>
      <c r="D14" s="4" t="n">
        <f aca="false">Assumptions!D19</f>
        <v>18.5</v>
      </c>
      <c r="E14" s="4" t="n">
        <f aca="false">Assumptions!E19</f>
        <v>19</v>
      </c>
      <c r="F14" s="4" t="n">
        <f aca="false">Assumptions!F19</f>
        <v>19.5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587.8213296</v>
      </c>
      <c r="D15" s="0" t="n">
        <f aca="false">D13-MAX(0,D13)*D14/100</f>
        <v>579.016211448</v>
      </c>
      <c r="E15" s="0" t="n">
        <f aca="false">E13-MAX(0,E13)*E14/100</f>
        <v>564.24871813968</v>
      </c>
      <c r="F15" s="0" t="n">
        <f aca="false">F13-MAX(0,F13)*F14/100</f>
        <v>548.73875276606</v>
      </c>
      <c r="G15" s="0" t="n">
        <f aca="false">G13-MAX(0,G13)*G14/100</f>
        <v>541.708938100777</v>
      </c>
      <c r="H15" s="0" t="n">
        <f aca="false">H13-MAX(0,H13)*H14/100</f>
        <v>540.164221206974</v>
      </c>
      <c r="I15" s="0" t="n">
        <f aca="false">I13-MAX(0,I13)*I14/100</f>
        <v>549.276834151351</v>
      </c>
      <c r="J15" s="0" t="n">
        <f aca="false">J13-MAX(0,J13)*J14/100</f>
        <v>554.171168587953</v>
      </c>
      <c r="K15" s="0" t="n">
        <f aca="false">K13-MAX(0,K13)*K14/100</f>
        <v>559.100714448066</v>
      </c>
      <c r="L15" s="0" t="n">
        <f aca="false">L13-MAX(0,L13)*L14/100</f>
        <v>564.065701487567</v>
      </c>
    </row>
    <row r="16" customFormat="false" ht="15" hidden="false" customHeight="false" outlineLevel="0" collapsed="false">
      <c r="A16" s="0" t="s">
        <v>127</v>
      </c>
      <c r="C16" s="0" t="n">
        <f aca="false">-C12</f>
        <v>183.02688</v>
      </c>
      <c r="D16" s="0" t="n">
        <f aca="false">-D12</f>
        <v>181.501656</v>
      </c>
      <c r="E16" s="0" t="n">
        <f aca="false">-E12</f>
        <v>178.079053344</v>
      </c>
      <c r="F16" s="0" t="n">
        <f aca="false">-F12</f>
        <v>173.70564129864</v>
      </c>
      <c r="G16" s="0" t="n">
        <f aca="false">-G12</f>
        <v>169.284043156493</v>
      </c>
      <c r="H16" s="0" t="n">
        <f aca="false">-H12</f>
        <v>164.813886391892</v>
      </c>
      <c r="I16" s="0" t="n">
        <f aca="false">-I12</f>
        <v>160.294795958566</v>
      </c>
      <c r="J16" s="0" t="n">
        <f aca="false">-J12</f>
        <v>161.096269938358</v>
      </c>
      <c r="K16" s="0" t="n">
        <f aca="false">-K12</f>
        <v>161.90175128805</v>
      </c>
      <c r="L16" s="0" t="n">
        <f aca="false">-L12</f>
        <v>162.71126004449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-127.102</v>
      </c>
      <c r="D17" s="4" t="n">
        <f aca="false">-D6*Assumptions!D18/100</f>
        <v>-129.64404</v>
      </c>
      <c r="E17" s="4" t="n">
        <f aca="false">-E6*Assumptions!E18/100</f>
        <v>-130.9404804</v>
      </c>
      <c r="F17" s="4" t="n">
        <f aca="false">-F6*Assumptions!F18/100</f>
        <v>-131.595182802</v>
      </c>
      <c r="G17" s="4" t="n">
        <f aca="false">-G6*Assumptions!G18/100</f>
        <v>-132.25315871601</v>
      </c>
      <c r="H17" s="4" t="n">
        <f aca="false">-H6*Assumptions!H18/100</f>
        <v>-132.91442450959</v>
      </c>
      <c r="I17" s="4" t="n">
        <f aca="false">-I6*Assumptions!I18/100</f>
        <v>-133.578996632138</v>
      </c>
      <c r="J17" s="4" t="n">
        <f aca="false">-J6*Assumptions!J18/100</f>
        <v>-134.246891615299</v>
      </c>
      <c r="K17" s="4" t="n">
        <f aca="false">-K6*Assumptions!K18/100</f>
        <v>-134.918126073375</v>
      </c>
      <c r="L17" s="4" t="n">
        <f aca="false">-L6*Assumptions!L18/100</f>
        <v>-135.592716703742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643.7462096</v>
      </c>
      <c r="D19" s="0" t="n">
        <f aca="false">D15+D16+D17+D18</f>
        <v>630.873827448</v>
      </c>
      <c r="E19" s="0" t="n">
        <f aca="false">E15+E16+E17+E18</f>
        <v>611.38729108368</v>
      </c>
      <c r="F19" s="0" t="n">
        <f aca="false">F15+F16+F17+F18</f>
        <v>590.8492112627</v>
      </c>
      <c r="G19" s="0" t="n">
        <f aca="false">G15+G16+G17+G18</f>
        <v>578.73982254126</v>
      </c>
      <c r="H19" s="0" t="n">
        <f aca="false">H15+H16+H17+H18</f>
        <v>572.063683089275</v>
      </c>
      <c r="I19" s="0" t="n">
        <f aca="false">I15+I16+I17+I18</f>
        <v>575.992633477779</v>
      </c>
      <c r="J19" s="0" t="n">
        <f aca="false">J15+J16+J17+J18</f>
        <v>581.020546911012</v>
      </c>
      <c r="K19" s="0" t="n">
        <f aca="false">K15+K16+K17+K18</f>
        <v>586.084339662741</v>
      </c>
      <c r="L19" s="0" t="n">
        <f aca="false">L15+L16+L17+L18</f>
        <v>591.184244828315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596.061305185185</v>
      </c>
      <c r="D21" s="0" t="n">
        <f aca="false">D19*D20</f>
        <v>540.872622983539</v>
      </c>
      <c r="E21" s="0" t="n">
        <f aca="false">E19*E20</f>
        <v>485.338943412208</v>
      </c>
      <c r="F21" s="0" t="n">
        <f aca="false">F19*F20</f>
        <v>434.291808779323</v>
      </c>
      <c r="G21" s="0" t="n">
        <f aca="false">G19*G20</f>
        <v>393.880598675877</v>
      </c>
      <c r="H21" s="0" t="n">
        <f aca="false">H19*H20</f>
        <v>360.497157725743</v>
      </c>
      <c r="I21" s="0" t="n">
        <f aca="false">I19*I20</f>
        <v>336.086169376027</v>
      </c>
      <c r="J21" s="0" t="n">
        <f aca="false">J19*J20</f>
        <v>313.907322752341</v>
      </c>
      <c r="K21" s="0" t="n">
        <f aca="false">K19*K20</f>
        <v>293.18808556821</v>
      </c>
      <c r="L21" s="0" t="n">
        <f aca="false">L19*L20</f>
        <v>273.832692462737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4027.95670692119</v>
      </c>
    </row>
    <row r="31" customFormat="false" ht="15" hidden="false" customHeight="false" outlineLevel="0" collapsed="false">
      <c r="A31" s="0" t="s">
        <v>136</v>
      </c>
      <c r="B31" s="0" t="n">
        <f aca="false">L19</f>
        <v>591.184244828315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8529.9441039514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8867.76367242472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8529.9441039514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3951.01456267664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7978.97126959782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6877.37126959782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192.967768507234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-0.293365429517965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604.66235770929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543.717600368344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225.189428385956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4264.9720519757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83.7128340397909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2468</v>
      </c>
      <c r="C6" s="0" t="n">
        <f aca="false">B6*(1+C5/100)</f>
        <v>2616.08</v>
      </c>
      <c r="D6" s="0" t="n">
        <f aca="false">C6*(1+D5/100)</f>
        <v>2759.9644</v>
      </c>
      <c r="E6" s="0" t="n">
        <f aca="false">D6*(1+E5/100)</f>
        <v>2911.762442</v>
      </c>
      <c r="F6" s="0" t="n">
        <f aca="false">E6*(1+F5/100)</f>
        <v>3057.3505641</v>
      </c>
      <c r="G6" s="0" t="n">
        <f aca="false">F6*(1+G5/100)</f>
        <v>3194.9313394845</v>
      </c>
      <c r="H6" s="0" t="n">
        <f aca="false">G6*(1+H5/100)</f>
        <v>3322.72859306388</v>
      </c>
      <c r="I6" s="0" t="n">
        <f aca="false">H6*(1+I5/100)</f>
        <v>3439.02409382112</v>
      </c>
      <c r="J6" s="0" t="n">
        <f aca="false">I6*(1+J5/100)</f>
        <v>3542.19481663575</v>
      </c>
      <c r="K6" s="0" t="n">
        <f aca="false">J6*(1+K5/100)</f>
        <v>3648.46066113482</v>
      </c>
      <c r="L6" s="0" t="n">
        <f aca="false">K6*(1+L5/100)</f>
        <v>3739.67217766319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40</v>
      </c>
      <c r="D7" s="4" t="n">
        <f aca="false">Assumptions!D28</f>
        <v>40.5</v>
      </c>
      <c r="E7" s="4" t="n">
        <f aca="false">Assumptions!E28</f>
        <v>41</v>
      </c>
      <c r="F7" s="4" t="n">
        <f aca="false">Assumptions!F28</f>
        <v>41.5</v>
      </c>
      <c r="G7" s="4" t="n">
        <f aca="false">Assumptions!G28</f>
        <v>42</v>
      </c>
      <c r="H7" s="4" t="n">
        <f aca="false">Assumptions!H28</f>
        <v>42</v>
      </c>
      <c r="I7" s="4" t="n">
        <f aca="false">Assumptions!I28</f>
        <v>42</v>
      </c>
      <c r="J7" s="4" t="n">
        <f aca="false">Assumptions!J28</f>
        <v>42</v>
      </c>
      <c r="K7" s="4" t="n">
        <f aca="false">Assumptions!K28</f>
        <v>42</v>
      </c>
      <c r="L7" s="4" t="n">
        <f aca="false">Assumptions!L28</f>
        <v>42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1046.432</v>
      </c>
      <c r="D8" s="0" t="n">
        <f aca="false">D6*D7/100</f>
        <v>1117.785582</v>
      </c>
      <c r="E8" s="0" t="n">
        <f aca="false">E6*E7/100</f>
        <v>1193.82260122</v>
      </c>
      <c r="F8" s="0" t="n">
        <f aca="false">F6*F7/100</f>
        <v>1268.8004841015</v>
      </c>
      <c r="G8" s="0" t="n">
        <f aca="false">G6*G7/100</f>
        <v>1341.87116258349</v>
      </c>
      <c r="H8" s="0" t="n">
        <f aca="false">H6*H7/100</f>
        <v>1395.54600908683</v>
      </c>
      <c r="I8" s="0" t="n">
        <f aca="false">I6*I7/100</f>
        <v>1444.39011940487</v>
      </c>
      <c r="J8" s="0" t="n">
        <f aca="false">J6*J7/100</f>
        <v>1487.72182298701</v>
      </c>
      <c r="K8" s="0" t="n">
        <f aca="false">K6*K7/100</f>
        <v>1532.35347767662</v>
      </c>
      <c r="L8" s="0" t="n">
        <f aca="false">L6*L7/100</f>
        <v>1570.66231461854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3.6</v>
      </c>
      <c r="D9" s="4" t="n">
        <f aca="false">Assumptions!D29</f>
        <v>3.6</v>
      </c>
      <c r="E9" s="4" t="n">
        <f aca="false">Assumptions!E29</f>
        <v>3.5</v>
      </c>
      <c r="F9" s="4" t="n">
        <f aca="false">Assumptions!F29</f>
        <v>3.5</v>
      </c>
      <c r="G9" s="4" t="n">
        <f aca="false">Assumptions!G29</f>
        <v>3.4</v>
      </c>
      <c r="H9" s="4" t="n">
        <f aca="false">Assumptions!H29</f>
        <v>3.3</v>
      </c>
      <c r="I9" s="4" t="n">
        <f aca="false">Assumptions!I29</f>
        <v>3.2</v>
      </c>
      <c r="J9" s="4" t="n">
        <f aca="false">Assumptions!J29</f>
        <v>3.1</v>
      </c>
      <c r="K9" s="4" t="n">
        <f aca="false">Assumptions!K29</f>
        <v>3</v>
      </c>
      <c r="L9" s="4" t="n">
        <f aca="false">Assumptions!L29</f>
        <v>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-94.17888</v>
      </c>
      <c r="D10" s="0" t="n">
        <f aca="false">-D6*D9/100</f>
        <v>-99.3587184</v>
      </c>
      <c r="E10" s="0" t="n">
        <f aca="false">-E6*E9/100</f>
        <v>-101.91168547</v>
      </c>
      <c r="F10" s="0" t="n">
        <f aca="false">-F6*F9/100</f>
        <v>-107.0072697435</v>
      </c>
      <c r="G10" s="0" t="n">
        <f aca="false">-G6*G9/100</f>
        <v>-108.627665542473</v>
      </c>
      <c r="H10" s="0" t="n">
        <f aca="false">-H6*H9/100</f>
        <v>-109.650043571108</v>
      </c>
      <c r="I10" s="0" t="n">
        <f aca="false">-I6*I9/100</f>
        <v>-110.048771002276</v>
      </c>
      <c r="J10" s="0" t="n">
        <f aca="false">-J6*J9/100</f>
        <v>-109.808039315708</v>
      </c>
      <c r="K10" s="0" t="n">
        <f aca="false">-K6*K9/100</f>
        <v>-109.453819834045</v>
      </c>
      <c r="L10" s="0" t="n">
        <f aca="false">-L6*L9/100</f>
        <v>-112.190165329896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952.25312</v>
      </c>
      <c r="D11" s="0" t="n">
        <f aca="false">D8+D10+D24</f>
        <v>1018.4268636</v>
      </c>
      <c r="E11" s="0" t="n">
        <f aca="false">E8+E10+E24</f>
        <v>1091.91091575</v>
      </c>
      <c r="F11" s="0" t="n">
        <f aca="false">F8+F10+F24</f>
        <v>1161.793214358</v>
      </c>
      <c r="G11" s="0" t="n">
        <f aca="false">G8+G10+G24</f>
        <v>1233.24349704102</v>
      </c>
      <c r="H11" s="0" t="n">
        <f aca="false">H8+H10+H24</f>
        <v>1285.89596551572</v>
      </c>
      <c r="I11" s="0" t="n">
        <f aca="false">I8+I10+I24</f>
        <v>1334.34134840259</v>
      </c>
      <c r="J11" s="0" t="n">
        <f aca="false">J8+J10+J24</f>
        <v>1377.91378367131</v>
      </c>
      <c r="K11" s="0" t="n">
        <f aca="false">K8+K10+K24</f>
        <v>1422.89965784258</v>
      </c>
      <c r="L11" s="0" t="n">
        <f aca="false">L8+L10+L24</f>
        <v>1458.47214928864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-188.35776</v>
      </c>
      <c r="D12" s="4" t="n">
        <f aca="false">-D6*Assumptions!D31/100</f>
        <v>-193.197508</v>
      </c>
      <c r="E12" s="4" t="n">
        <f aca="false">-E6*Assumptions!E31/100</f>
        <v>-197.999846056</v>
      </c>
      <c r="F12" s="4" t="n">
        <f aca="false">-F6*Assumptions!F31/100</f>
        <v>-201.7851372306</v>
      </c>
      <c r="G12" s="4" t="n">
        <f aca="false">-G6*Assumptions!G31/100</f>
        <v>-204.475605727008</v>
      </c>
      <c r="H12" s="4" t="n">
        <f aca="false">-H6*Assumptions!H31/100</f>
        <v>-206.009172769961</v>
      </c>
      <c r="I12" s="4" t="n">
        <f aca="false">-I6*Assumptions!I31/100</f>
        <v>-206.341445629267</v>
      </c>
      <c r="J12" s="4" t="n">
        <f aca="false">-J6*Assumptions!J31/100</f>
        <v>-212.531688998145</v>
      </c>
      <c r="K12" s="4" t="n">
        <f aca="false">-K6*Assumptions!K31/100</f>
        <v>-218.907639668089</v>
      </c>
      <c r="L12" s="4" t="n">
        <f aca="false">-L6*Assumptions!L31/100</f>
        <v>-224.380330659791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763.89536</v>
      </c>
      <c r="D13" s="0" t="n">
        <f aca="false">D11+D12</f>
        <v>825.2293556</v>
      </c>
      <c r="E13" s="0" t="n">
        <f aca="false">E11+E12</f>
        <v>893.911069694</v>
      </c>
      <c r="F13" s="0" t="n">
        <f aca="false">F11+F12</f>
        <v>960.0080771274</v>
      </c>
      <c r="G13" s="0" t="n">
        <f aca="false">G11+G12</f>
        <v>1028.76789131401</v>
      </c>
      <c r="H13" s="0" t="n">
        <f aca="false">H11+H12</f>
        <v>1079.88679274576</v>
      </c>
      <c r="I13" s="0" t="n">
        <f aca="false">I11+I12</f>
        <v>1127.99990277333</v>
      </c>
      <c r="J13" s="0" t="n">
        <f aca="false">J11+J12</f>
        <v>1165.38209467316</v>
      </c>
      <c r="K13" s="0" t="n">
        <f aca="false">K11+K12</f>
        <v>1203.99201817449</v>
      </c>
      <c r="L13" s="0" t="n">
        <f aca="false">L11+L12</f>
        <v>1234.09181862885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18</v>
      </c>
      <c r="D14" s="4" t="n">
        <f aca="false">Assumptions!D33</f>
        <v>18.5</v>
      </c>
      <c r="E14" s="4" t="n">
        <f aca="false">Assumptions!E33</f>
        <v>19</v>
      </c>
      <c r="F14" s="4" t="n">
        <f aca="false">Assumptions!F33</f>
        <v>19.5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626.3941952</v>
      </c>
      <c r="D15" s="0" t="n">
        <f aca="false">D13-MAX(0,D13)*D14/100</f>
        <v>672.561924814</v>
      </c>
      <c r="E15" s="0" t="n">
        <f aca="false">E13-MAX(0,E13)*E14/100</f>
        <v>724.06796645214</v>
      </c>
      <c r="F15" s="0" t="n">
        <f aca="false">F13-MAX(0,F13)*F14/100</f>
        <v>772.806502087557</v>
      </c>
      <c r="G15" s="0" t="n">
        <f aca="false">G13-MAX(0,G13)*G14/100</f>
        <v>823.014313051207</v>
      </c>
      <c r="H15" s="0" t="n">
        <f aca="false">H13-MAX(0,H13)*H14/100</f>
        <v>863.909434196609</v>
      </c>
      <c r="I15" s="0" t="n">
        <f aca="false">I13-MAX(0,I13)*I14/100</f>
        <v>902.39992221866</v>
      </c>
      <c r="J15" s="0" t="n">
        <f aca="false">J13-MAX(0,J13)*J14/100</f>
        <v>932.305675738529</v>
      </c>
      <c r="K15" s="0" t="n">
        <f aca="false">K13-MAX(0,K13)*K14/100</f>
        <v>963.193614539593</v>
      </c>
      <c r="L15" s="0" t="n">
        <f aca="false">L13-MAX(0,L13)*L14/100</f>
        <v>987.273454903083</v>
      </c>
    </row>
    <row r="16" customFormat="false" ht="15" hidden="false" customHeight="false" outlineLevel="0" collapsed="false">
      <c r="A16" s="0" t="s">
        <v>127</v>
      </c>
      <c r="C16" s="0" t="n">
        <f aca="false">-C12</f>
        <v>188.35776</v>
      </c>
      <c r="D16" s="0" t="n">
        <f aca="false">-D12</f>
        <v>193.197508</v>
      </c>
      <c r="E16" s="0" t="n">
        <f aca="false">-E12</f>
        <v>197.999846056</v>
      </c>
      <c r="F16" s="0" t="n">
        <f aca="false">-F12</f>
        <v>201.7851372306</v>
      </c>
      <c r="G16" s="0" t="n">
        <f aca="false">-G12</f>
        <v>204.475605727008</v>
      </c>
      <c r="H16" s="0" t="n">
        <f aca="false">-H12</f>
        <v>206.009172769961</v>
      </c>
      <c r="I16" s="0" t="n">
        <f aca="false">-I12</f>
        <v>206.341445629267</v>
      </c>
      <c r="J16" s="0" t="n">
        <f aca="false">-J12</f>
        <v>212.531688998145</v>
      </c>
      <c r="K16" s="0" t="n">
        <f aca="false">-K12</f>
        <v>218.907639668089</v>
      </c>
      <c r="L16" s="0" t="n">
        <f aca="false">-L12</f>
        <v>224.380330659791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-125.57184</v>
      </c>
      <c r="D17" s="4" t="n">
        <f aca="false">-D6*Assumptions!D32/100</f>
        <v>-132.4782912</v>
      </c>
      <c r="E17" s="4" t="n">
        <f aca="false">-E6*Assumptions!E32/100</f>
        <v>-136.852834774</v>
      </c>
      <c r="F17" s="4" t="n">
        <f aca="false">-F6*Assumptions!F32/100</f>
        <v>-143.6954765127</v>
      </c>
      <c r="G17" s="4" t="n">
        <f aca="false">-G6*Assumptions!G32/100</f>
        <v>-146.966841616287</v>
      </c>
      <c r="H17" s="4" t="n">
        <f aca="false">-H6*Assumptions!H32/100</f>
        <v>-152.845515280938</v>
      </c>
      <c r="I17" s="4" t="n">
        <f aca="false">-I6*Assumptions!I32/100</f>
        <v>-154.75608422195</v>
      </c>
      <c r="J17" s="4" t="n">
        <f aca="false">-J6*Assumptions!J32/100</f>
        <v>-159.398766748609</v>
      </c>
      <c r="K17" s="4" t="n">
        <f aca="false">-K6*Assumptions!K32/100</f>
        <v>-164.180729751067</v>
      </c>
      <c r="L17" s="4" t="n">
        <f aca="false">-L6*Assumptions!L32/100</f>
        <v>-168.285247994844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4.4424</v>
      </c>
      <c r="D18" s="4" t="n">
        <f aca="false">(D6-C6)*Assumptions!$B$37/100</f>
        <v>4.316532</v>
      </c>
      <c r="E18" s="4" t="n">
        <f aca="false">(E6-D6)*Assumptions!$B$37/100</f>
        <v>4.55394126</v>
      </c>
      <c r="F18" s="4" t="n">
        <f aca="false">(F6-E6)*Assumptions!$B$37/100</f>
        <v>4.367643663</v>
      </c>
      <c r="G18" s="4" t="n">
        <f aca="false">(G6-F6)*Assumptions!$B$37/100</f>
        <v>4.12742326153499</v>
      </c>
      <c r="H18" s="4" t="n">
        <f aca="false">(H6-G6)*Assumptions!$B$37/100</f>
        <v>3.8339176073814</v>
      </c>
      <c r="I18" s="4" t="n">
        <f aca="false">(I6-H6)*Assumptions!$B$37/100</f>
        <v>3.48886502271706</v>
      </c>
      <c r="J18" s="4" t="n">
        <f aca="false">(J6-I6)*Assumptions!$B$37/100</f>
        <v>3.095121684439</v>
      </c>
      <c r="K18" s="4" t="n">
        <f aca="false">(K6-J6)*Assumptions!$B$37/100</f>
        <v>3.18797533497218</v>
      </c>
      <c r="L18" s="4" t="n">
        <f aca="false">(L6-K6)*Assumptions!$B$37/100</f>
        <v>2.73634549585111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693.6225152</v>
      </c>
      <c r="D19" s="0" t="n">
        <f aca="false">D15+D16+D17+D18</f>
        <v>737.597673614</v>
      </c>
      <c r="E19" s="0" t="n">
        <f aca="false">E15+E16+E17+E18</f>
        <v>789.76891899414</v>
      </c>
      <c r="F19" s="0" t="n">
        <f aca="false">F15+F16+F17+F18</f>
        <v>835.263806468457</v>
      </c>
      <c r="G19" s="0" t="n">
        <f aca="false">G15+G16+G17+G18</f>
        <v>884.650500423463</v>
      </c>
      <c r="H19" s="0" t="n">
        <f aca="false">H15+H16+H17+H18</f>
        <v>920.907009293012</v>
      </c>
      <c r="I19" s="0" t="n">
        <f aca="false">I15+I16+I17+I18</f>
        <v>957.474148648694</v>
      </c>
      <c r="J19" s="0" t="n">
        <f aca="false">J15+J16+J17+J18</f>
        <v>988.533719672504</v>
      </c>
      <c r="K19" s="0" t="n">
        <f aca="false">K15+K16+K17+K18</f>
        <v>1021.10849979159</v>
      </c>
      <c r="L19" s="0" t="n">
        <f aca="false">L15+L16+L17+L18</f>
        <v>1046.10488306388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642.24306962963</v>
      </c>
      <c r="D21" s="0" t="n">
        <f aca="false">D19*D20</f>
        <v>632.371119353567</v>
      </c>
      <c r="E21" s="0" t="n">
        <f aca="false">E19*E20</f>
        <v>626.944030853195</v>
      </c>
      <c r="F21" s="0" t="n">
        <f aca="false">F19*F20</f>
        <v>613.943832714715</v>
      </c>
      <c r="G21" s="0" t="n">
        <f aca="false">G19*G20</f>
        <v>602.07826583571</v>
      </c>
      <c r="H21" s="0" t="n">
        <f aca="false">H19*H20</f>
        <v>580.327626440213</v>
      </c>
      <c r="I21" s="0" t="n">
        <f aca="false">I19*I20</f>
        <v>558.676969448302</v>
      </c>
      <c r="J21" s="0" t="n">
        <f aca="false">J19*J20</f>
        <v>534.074010020053</v>
      </c>
      <c r="K21" s="0" t="n">
        <f aca="false">K19*K20</f>
        <v>510.808472349895</v>
      </c>
      <c r="L21" s="0" t="n">
        <f aca="false">L19*L20</f>
        <v>484.54896968878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5786.01636633406</v>
      </c>
    </row>
    <row r="31" customFormat="false" ht="15" hidden="false" customHeight="false" outlineLevel="0" collapsed="false">
      <c r="A31" s="0" t="s">
        <v>136</v>
      </c>
      <c r="B31" s="0" t="n">
        <f aca="false">L19</f>
        <v>1046.10488306388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19495.5910025542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20922.0976612776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19495.5910025542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9030.23079874544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14816.2471650795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13714.6471650795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384.810526517382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0.409149430633449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705.227545552261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968.452688330011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431.771251373787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8578.06004112383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147.205505832102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8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2468</v>
      </c>
      <c r="C6" s="0" t="n">
        <f aca="false">B6*(1+C5/100)</f>
        <v>2665.44</v>
      </c>
      <c r="D6" s="0" t="n">
        <f aca="false">C6*(1+D5/100)</f>
        <v>2878.6752</v>
      </c>
      <c r="E6" s="0" t="n">
        <f aca="false">D6*(1+E5/100)</f>
        <v>3094.57584</v>
      </c>
      <c r="F6" s="0" t="n">
        <f aca="false">E6*(1+F5/100)</f>
        <v>3311.1961488</v>
      </c>
      <c r="G6" s="0" t="n">
        <f aca="false">F6*(1+G5/100)</f>
        <v>3526.423898472</v>
      </c>
      <c r="H6" s="0" t="n">
        <f aca="false">G6*(1+H5/100)</f>
        <v>3738.00933238032</v>
      </c>
      <c r="I6" s="0" t="n">
        <f aca="false">H6*(1+I5/100)</f>
        <v>3924.90979899934</v>
      </c>
      <c r="J6" s="0" t="n">
        <f aca="false">I6*(1+J5/100)</f>
        <v>4101.53073995431</v>
      </c>
      <c r="K6" s="0" t="n">
        <f aca="false">J6*(1+K5/100)</f>
        <v>4265.59196955248</v>
      </c>
      <c r="L6" s="0" t="n">
        <f aca="false">K6*(1+L5/100)</f>
        <v>4414.88768848682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40.5</v>
      </c>
      <c r="D7" s="4" t="n">
        <f aca="false">Assumptions!D42</f>
        <v>41.5</v>
      </c>
      <c r="E7" s="4" t="n">
        <f aca="false">Assumptions!E42</f>
        <v>42.5</v>
      </c>
      <c r="F7" s="4" t="n">
        <f aca="false">Assumptions!F42</f>
        <v>43.5</v>
      </c>
      <c r="G7" s="4" t="n">
        <f aca="false">Assumptions!G42</f>
        <v>44</v>
      </c>
      <c r="H7" s="4" t="n">
        <f aca="false">Assumptions!H42</f>
        <v>44.5</v>
      </c>
      <c r="I7" s="4" t="n">
        <f aca="false">Assumptions!I42</f>
        <v>44.5</v>
      </c>
      <c r="J7" s="4" t="n">
        <f aca="false">Assumptions!J42</f>
        <v>44.5</v>
      </c>
      <c r="K7" s="4" t="n">
        <f aca="false">Assumptions!K42</f>
        <v>44.5</v>
      </c>
      <c r="L7" s="4" t="n">
        <f aca="false">Assumptions!L42</f>
        <v>44.5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1079.5032</v>
      </c>
      <c r="D8" s="0" t="n">
        <f aca="false">D6*D7/100</f>
        <v>1194.650208</v>
      </c>
      <c r="E8" s="0" t="n">
        <f aca="false">E6*E7/100</f>
        <v>1315.194732</v>
      </c>
      <c r="F8" s="0" t="n">
        <f aca="false">F6*F7/100</f>
        <v>1440.370324728</v>
      </c>
      <c r="G8" s="0" t="n">
        <f aca="false">G6*G7/100</f>
        <v>1551.62651532768</v>
      </c>
      <c r="H8" s="0" t="n">
        <f aca="false">H6*H7/100</f>
        <v>1663.41415290924</v>
      </c>
      <c r="I8" s="0" t="n">
        <f aca="false">I6*I7/100</f>
        <v>1746.5848605547</v>
      </c>
      <c r="J8" s="0" t="n">
        <f aca="false">J6*J7/100</f>
        <v>1825.18117927967</v>
      </c>
      <c r="K8" s="0" t="n">
        <f aca="false">K6*K7/100</f>
        <v>1898.18842645085</v>
      </c>
      <c r="L8" s="0" t="n">
        <f aca="false">L6*L7/100</f>
        <v>1964.62502137663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3.6</v>
      </c>
      <c r="D9" s="4" t="n">
        <f aca="false">Assumptions!D43</f>
        <v>3.5</v>
      </c>
      <c r="E9" s="4" t="n">
        <f aca="false">Assumptions!E43</f>
        <v>3.4</v>
      </c>
      <c r="F9" s="4" t="n">
        <f aca="false">Assumptions!F43</f>
        <v>3.3</v>
      </c>
      <c r="G9" s="4" t="n">
        <f aca="false">Assumptions!G43</f>
        <v>3.2</v>
      </c>
      <c r="H9" s="4" t="n">
        <f aca="false">Assumptions!H43</f>
        <v>3.1</v>
      </c>
      <c r="I9" s="4" t="n">
        <f aca="false">Assumptions!I43</f>
        <v>3</v>
      </c>
      <c r="J9" s="4" t="n">
        <f aca="false">Assumptions!J43</f>
        <v>3</v>
      </c>
      <c r="K9" s="4" t="n">
        <f aca="false">Assumptions!K43</f>
        <v>3</v>
      </c>
      <c r="L9" s="4" t="n">
        <f aca="false">Assumptions!L43</f>
        <v>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-95.95584</v>
      </c>
      <c r="D10" s="0" t="n">
        <f aca="false">-D6*D9/100</f>
        <v>-100.753632</v>
      </c>
      <c r="E10" s="0" t="n">
        <f aca="false">-E6*E9/100</f>
        <v>-105.21557856</v>
      </c>
      <c r="F10" s="0" t="n">
        <f aca="false">-F6*F9/100</f>
        <v>-109.2694729104</v>
      </c>
      <c r="G10" s="0" t="n">
        <f aca="false">-G6*G9/100</f>
        <v>-112.845564751104</v>
      </c>
      <c r="H10" s="0" t="n">
        <f aca="false">-H6*H9/100</f>
        <v>-115.87828930379</v>
      </c>
      <c r="I10" s="0" t="n">
        <f aca="false">-I6*I9/100</f>
        <v>-117.74729396998</v>
      </c>
      <c r="J10" s="0" t="n">
        <f aca="false">-J6*J9/100</f>
        <v>-123.045922198629</v>
      </c>
      <c r="K10" s="0" t="n">
        <f aca="false">-K6*K9/100</f>
        <v>-127.967759086574</v>
      </c>
      <c r="L10" s="0" t="n">
        <f aca="false">-L6*L9/100</f>
        <v>-132.446630654604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983.54736</v>
      </c>
      <c r="D11" s="0" t="n">
        <f aca="false">D8+D10+D24</f>
        <v>1093.896576</v>
      </c>
      <c r="E11" s="0" t="n">
        <f aca="false">E8+E10+E24</f>
        <v>1209.97915344</v>
      </c>
      <c r="F11" s="0" t="n">
        <f aca="false">F8+F10+F24</f>
        <v>1331.1008518176</v>
      </c>
      <c r="G11" s="0" t="n">
        <f aca="false">G8+G10+G24</f>
        <v>1438.78095057658</v>
      </c>
      <c r="H11" s="0" t="n">
        <f aca="false">H8+H10+H24</f>
        <v>1547.53586360545</v>
      </c>
      <c r="I11" s="0" t="n">
        <f aca="false">I8+I10+I24</f>
        <v>1628.83756658472</v>
      </c>
      <c r="J11" s="0" t="n">
        <f aca="false">J8+J10+J24</f>
        <v>1702.13525708104</v>
      </c>
      <c r="K11" s="0" t="n">
        <f aca="false">K8+K10+K24</f>
        <v>1770.22066736428</v>
      </c>
      <c r="L11" s="0" t="n">
        <f aca="false">L8+L10+L24</f>
        <v>1832.17839072203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-191.91168</v>
      </c>
      <c r="D12" s="4" t="n">
        <f aca="false">-D6*Assumptions!D45/100</f>
        <v>-201.507264</v>
      </c>
      <c r="E12" s="4" t="n">
        <f aca="false">-E6*Assumptions!E45/100</f>
        <v>-210.43115712</v>
      </c>
      <c r="F12" s="4" t="n">
        <f aca="false">-F6*Assumptions!F45/100</f>
        <v>-218.5389458208</v>
      </c>
      <c r="G12" s="4" t="n">
        <f aca="false">-G6*Assumptions!G45/100</f>
        <v>-225.691129502208</v>
      </c>
      <c r="H12" s="4" t="n">
        <f aca="false">-H6*Assumptions!H45/100</f>
        <v>-231.75657860758</v>
      </c>
      <c r="I12" s="4" t="n">
        <f aca="false">-I6*Assumptions!I45/100</f>
        <v>-235.49458793996</v>
      </c>
      <c r="J12" s="4" t="n">
        <f aca="false">-J6*Assumptions!J45/100</f>
        <v>-246.091844397258</v>
      </c>
      <c r="K12" s="4" t="n">
        <f aca="false">-K6*Assumptions!K45/100</f>
        <v>-255.935518173149</v>
      </c>
      <c r="L12" s="4" t="n">
        <f aca="false">-L6*Assumptions!L45/100</f>
        <v>-264.893261309209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791.63568</v>
      </c>
      <c r="D13" s="0" t="n">
        <f aca="false">D11+D12</f>
        <v>892.389312</v>
      </c>
      <c r="E13" s="0" t="n">
        <f aca="false">E11+E12</f>
        <v>999.54799632</v>
      </c>
      <c r="F13" s="0" t="n">
        <f aca="false">F11+F12</f>
        <v>1112.5619059968</v>
      </c>
      <c r="G13" s="0" t="n">
        <f aca="false">G11+G12</f>
        <v>1213.08982107437</v>
      </c>
      <c r="H13" s="0" t="n">
        <f aca="false">H11+H12</f>
        <v>1315.77928499787</v>
      </c>
      <c r="I13" s="0" t="n">
        <f aca="false">I11+I12</f>
        <v>1393.34297864476</v>
      </c>
      <c r="J13" s="0" t="n">
        <f aca="false">J11+J12</f>
        <v>1456.04341268378</v>
      </c>
      <c r="K13" s="0" t="n">
        <f aca="false">K11+K12</f>
        <v>1514.28514919113</v>
      </c>
      <c r="L13" s="0" t="n">
        <f aca="false">L11+L12</f>
        <v>1567.28512941282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18</v>
      </c>
      <c r="D14" s="4" t="n">
        <f aca="false">Assumptions!D47</f>
        <v>18.5</v>
      </c>
      <c r="E14" s="4" t="n">
        <f aca="false">Assumptions!E47</f>
        <v>19</v>
      </c>
      <c r="F14" s="4" t="n">
        <f aca="false">Assumptions!F47</f>
        <v>19.5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649.1412576</v>
      </c>
      <c r="D15" s="0" t="n">
        <f aca="false">D13-MAX(0,D13)*D14/100</f>
        <v>727.29728928</v>
      </c>
      <c r="E15" s="0" t="n">
        <f aca="false">E13-MAX(0,E13)*E14/100</f>
        <v>809.6338770192</v>
      </c>
      <c r="F15" s="0" t="n">
        <f aca="false">F13-MAX(0,F13)*F14/100</f>
        <v>895.612334327424</v>
      </c>
      <c r="G15" s="0" t="n">
        <f aca="false">G13-MAX(0,G13)*G14/100</f>
        <v>970.471856859495</v>
      </c>
      <c r="H15" s="0" t="n">
        <f aca="false">H13-MAX(0,H13)*H14/100</f>
        <v>1052.6234279983</v>
      </c>
      <c r="I15" s="0" t="n">
        <f aca="false">I13-MAX(0,I13)*I14/100</f>
        <v>1114.67438291581</v>
      </c>
      <c r="J15" s="0" t="n">
        <f aca="false">J13-MAX(0,J13)*J14/100</f>
        <v>1164.83473014702</v>
      </c>
      <c r="K15" s="0" t="n">
        <f aca="false">K13-MAX(0,K13)*K14/100</f>
        <v>1211.4281193529</v>
      </c>
      <c r="L15" s="0" t="n">
        <f aca="false">L13-MAX(0,L13)*L14/100</f>
        <v>1253.82810353026</v>
      </c>
    </row>
    <row r="16" customFormat="false" ht="15" hidden="false" customHeight="false" outlineLevel="0" collapsed="false">
      <c r="A16" s="0" t="s">
        <v>127</v>
      </c>
      <c r="C16" s="0" t="n">
        <f aca="false">-C12</f>
        <v>191.91168</v>
      </c>
      <c r="D16" s="0" t="n">
        <f aca="false">-D12</f>
        <v>201.507264</v>
      </c>
      <c r="E16" s="0" t="n">
        <f aca="false">-E12</f>
        <v>210.43115712</v>
      </c>
      <c r="F16" s="0" t="n">
        <f aca="false">-F12</f>
        <v>218.5389458208</v>
      </c>
      <c r="G16" s="0" t="n">
        <f aca="false">-G12</f>
        <v>225.691129502208</v>
      </c>
      <c r="H16" s="0" t="n">
        <f aca="false">-H12</f>
        <v>231.75657860758</v>
      </c>
      <c r="I16" s="0" t="n">
        <f aca="false">-I12</f>
        <v>235.49458793996</v>
      </c>
      <c r="J16" s="0" t="n">
        <f aca="false">-J12</f>
        <v>246.091844397258</v>
      </c>
      <c r="K16" s="0" t="n">
        <f aca="false">-K12</f>
        <v>255.935518173149</v>
      </c>
      <c r="L16" s="0" t="n">
        <f aca="false">-L12</f>
        <v>264.893261309209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-127.94112</v>
      </c>
      <c r="D17" s="4" t="n">
        <f aca="false">-D6*Assumptions!D46/100</f>
        <v>-138.1764096</v>
      </c>
      <c r="E17" s="4" t="n">
        <f aca="false">-E6*Assumptions!E46/100</f>
        <v>-145.44506448</v>
      </c>
      <c r="F17" s="4" t="n">
        <f aca="false">-F6*Assumptions!F46/100</f>
        <v>-155.6262189936</v>
      </c>
      <c r="G17" s="4" t="n">
        <f aca="false">-G6*Assumptions!G46/100</f>
        <v>-162.215499329712</v>
      </c>
      <c r="H17" s="4" t="n">
        <f aca="false">-H6*Assumptions!H46/100</f>
        <v>-171.948429289495</v>
      </c>
      <c r="I17" s="4" t="n">
        <f aca="false">-I6*Assumptions!I46/100</f>
        <v>-176.62094095497</v>
      </c>
      <c r="J17" s="4" t="n">
        <f aca="false">-J6*Assumptions!J46/100</f>
        <v>-184.568883297944</v>
      </c>
      <c r="K17" s="4" t="n">
        <f aca="false">-K6*Assumptions!K46/100</f>
        <v>-191.951638629862</v>
      </c>
      <c r="L17" s="4" t="n">
        <f aca="false">-L6*Assumptions!L46/100</f>
        <v>-198.669945981907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7.8976</v>
      </c>
      <c r="D18" s="4" t="n">
        <f aca="false">(D6-C6)*Assumptions!$B$51/100</f>
        <v>8.529408</v>
      </c>
      <c r="E18" s="4" t="n">
        <f aca="false">(E6-D6)*Assumptions!$B$51/100</f>
        <v>8.63602559999999</v>
      </c>
      <c r="F18" s="4" t="n">
        <f aca="false">(F6-E6)*Assumptions!$B$51/100</f>
        <v>8.66481235200001</v>
      </c>
      <c r="G18" s="4" t="n">
        <f aca="false">(G6-F6)*Assumptions!$B$51/100</f>
        <v>8.60910998687999</v>
      </c>
      <c r="H18" s="4" t="n">
        <f aca="false">(H6-G6)*Assumptions!$B$51/100</f>
        <v>8.46341735633281</v>
      </c>
      <c r="I18" s="4" t="n">
        <f aca="false">(I6-H6)*Assumptions!$B$51/100</f>
        <v>7.47601866476065</v>
      </c>
      <c r="J18" s="4" t="n">
        <f aca="false">(J6-I6)*Assumptions!$B$51/100</f>
        <v>7.06483763819879</v>
      </c>
      <c r="K18" s="4" t="n">
        <f aca="false">(K6-J6)*Assumptions!$B$51/100</f>
        <v>6.56244918392691</v>
      </c>
      <c r="L18" s="4" t="n">
        <f aca="false">(L6-K6)*Assumptions!$B$51/100</f>
        <v>5.97182875737344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721.0094176</v>
      </c>
      <c r="D19" s="0" t="n">
        <f aca="false">D15+D16+D17+D18</f>
        <v>799.15755168</v>
      </c>
      <c r="E19" s="0" t="n">
        <f aca="false">E15+E16+E17+E18</f>
        <v>883.2559952592</v>
      </c>
      <c r="F19" s="0" t="n">
        <f aca="false">F15+F16+F17+F18</f>
        <v>967.189873506624</v>
      </c>
      <c r="G19" s="0" t="n">
        <f aca="false">G15+G16+G17+G18</f>
        <v>1042.55659701887</v>
      </c>
      <c r="H19" s="0" t="n">
        <f aca="false">H15+H16+H17+H18</f>
        <v>1120.89499467272</v>
      </c>
      <c r="I19" s="0" t="n">
        <f aca="false">I15+I16+I17+I18</f>
        <v>1181.02404856556</v>
      </c>
      <c r="J19" s="0" t="n">
        <f aca="false">J15+J16+J17+J18</f>
        <v>1233.42252888454</v>
      </c>
      <c r="K19" s="0" t="n">
        <f aca="false">K15+K16+K17+K18</f>
        <v>1281.97444808012</v>
      </c>
      <c r="L19" s="0" t="n">
        <f aca="false">L15+L16+L17+L18</f>
        <v>1326.02324761493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667.601312592593</v>
      </c>
      <c r="D21" s="0" t="n">
        <f aca="false">D19*D20</f>
        <v>685.148792592593</v>
      </c>
      <c r="E21" s="0" t="n">
        <f aca="false">E19*E20</f>
        <v>701.157086111111</v>
      </c>
      <c r="F21" s="0" t="n">
        <f aca="false">F19*F20</f>
        <v>710.913430349794</v>
      </c>
      <c r="G21" s="0" t="n">
        <f aca="false">G19*G20</f>
        <v>709.546501887733</v>
      </c>
      <c r="H21" s="0" t="n">
        <f aca="false">H19*H20</f>
        <v>706.353980568045</v>
      </c>
      <c r="I21" s="0" t="n">
        <f aca="false">I19*I20</f>
        <v>689.116188911606</v>
      </c>
      <c r="J21" s="0" t="n">
        <f aca="false">J19*J20</f>
        <v>666.379813800054</v>
      </c>
      <c r="K21" s="0" t="n">
        <f aca="false">K19*K20</f>
        <v>641.306393541001</v>
      </c>
      <c r="L21" s="0" t="n">
        <f aca="false">L19*L20</f>
        <v>614.205333344141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6791.72883369867</v>
      </c>
    </row>
    <row r="31" customFormat="false" ht="15" hidden="false" customHeight="false" outlineLevel="0" collapsed="false">
      <c r="A31" s="0" t="s">
        <v>136</v>
      </c>
      <c r="B31" s="0" t="n">
        <f aca="false">L19</f>
        <v>1326.02324761493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27316.0789008676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26520.4649522986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26520.4649522986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12284.1066668828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19075.8355005815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17974.2355005815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504.327595414744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0.846812638841162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749.43807104632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1263.77738686218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560.815122292087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11381.6995420282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185.720848189855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192.967768507234</v>
      </c>
      <c r="C4" s="0" t="n">
        <f aca="false">B4/Assumptions!$B$2-1</f>
        <v>-0.293365429517965</v>
      </c>
      <c r="D4" s="4" t="n">
        <f aca="false">Assumptions!$B$24</f>
        <v>0.25</v>
      </c>
      <c r="E4" s="4" t="n">
        <f aca="false">DCF_Bear!$B$43</f>
        <v>225.189428385956</v>
      </c>
      <c r="F4" s="4" t="n">
        <f aca="false">DCF_Bear!$B$47</f>
        <v>83.7128340397909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384.810526517382</v>
      </c>
      <c r="C5" s="0" t="n">
        <f aca="false">B5/Assumptions!$B$2-1</f>
        <v>0.409149430633449</v>
      </c>
      <c r="D5" s="4" t="n">
        <f aca="false">Assumptions!$B$38</f>
        <v>0.5</v>
      </c>
      <c r="E5" s="4" t="n">
        <f aca="false">DCF_Base!$B$43</f>
        <v>431.771251373787</v>
      </c>
      <c r="F5" s="4" t="n">
        <f aca="false">DCF_Base!$B$47</f>
        <v>147.205505832102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504.327595414744</v>
      </c>
      <c r="C6" s="0" t="n">
        <f aca="false">B6/Assumptions!$B$2-1</f>
        <v>0.846812638841162</v>
      </c>
      <c r="D6" s="4" t="n">
        <f aca="false">Assumptions!$B$52</f>
        <v>0.25</v>
      </c>
      <c r="E6" s="4" t="n">
        <f aca="false">DCF_Bull!$B$43</f>
        <v>560.815122292087</v>
      </c>
      <c r="F6" s="4" t="n">
        <f aca="false">DCF_Bull!$B$47</f>
        <v>185.720848189855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366.729104239186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412.386763356404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0.255363163590383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-205.111488521032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140.961173473462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384.810526517382</v>
      </c>
      <c r="C15" s="3" t="n">
        <v>8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319.341400642382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271.392351735011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234.776473501513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205.91209487318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147.205505832102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476.220913534029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476.220913534029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476.220913534029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476.220913534029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476.220913534029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414.979400075748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438.039224342841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438.039224342841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438.039224342841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438.039224342841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343.738352778134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362.563099075289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384.810526517382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403.350049385793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403.350049385793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291.619408731808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304.490333547432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319.341400642382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336.667645586491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357.144116884073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251.865906917546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261.018927925733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271.392351735011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283.247693231329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296.926933419389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2026-09-28T08:10:31Z</dcterms:created>
  <dc:creator>openpyxl</dc:creator>
  <dc:description/>
  <dc:language>en-NZ</dc:language>
  <cp:lastModifiedBy/>
  <dcterms:modified xsi:type="dcterms:W3CDTF">2026-09-28T08:10:31Z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