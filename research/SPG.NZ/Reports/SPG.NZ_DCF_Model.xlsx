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AFFO_Leg" sheetId="2" state="visible" r:id="rId2"/>
    <sheet xmlns:r="http://schemas.openxmlformats.org/officeDocument/2006/relationships" name="SOTP_Leg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FF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</cols>
  <sheetData>
    <row r="1">
      <c r="A1" t="inlineStr">
        <is>
          <t>Ticker</t>
        </is>
      </c>
      <c r="B1" s="1" t="inlineStr">
        <is>
          <t>SPG.NZ</t>
        </is>
      </c>
    </row>
    <row r="2">
      <c r="A2" t="inlineStr">
        <is>
          <t>Valuation date</t>
        </is>
      </c>
      <c r="B2" s="1" t="inlineStr">
        <is>
          <t>2026-09-02</t>
        </is>
      </c>
    </row>
    <row r="3">
      <c r="A3" t="inlineStr">
        <is>
          <t>Current price (NZD)</t>
        </is>
      </c>
      <c r="B3" s="1" t="n">
        <v>1.09</v>
      </c>
    </row>
    <row r="4">
      <c r="A4" t="inlineStr">
        <is>
          <t>Shares outstanding (m)</t>
        </is>
      </c>
      <c r="B4" s="1" t="n">
        <v>559.462</v>
      </c>
    </row>
    <row r="5">
      <c r="A5" t="inlineStr">
        <is>
          <t>Group NTA/share 31-Mar-2026</t>
        </is>
      </c>
      <c r="B5" s="1" t="n">
        <v>1.69</v>
      </c>
    </row>
    <row r="6">
      <c r="A6" t="inlineStr">
        <is>
          <t>Shareholders equity (m)</t>
        </is>
      </c>
      <c r="B6" s="1" t="n">
        <v>945.6799999999999</v>
      </c>
    </row>
    <row r="7">
      <c r="A7" t="inlineStr">
        <is>
          <t>SIML segment net assets (m)</t>
        </is>
      </c>
      <c r="B7" s="1" t="n">
        <v>23.598</v>
      </c>
    </row>
    <row r="8">
      <c r="A8" t="inlineStr">
        <is>
          <t>Property-leg NTA/share</t>
        </is>
      </c>
      <c r="B8">
        <f>(B6-B7)/B4</f>
        <v/>
      </c>
    </row>
    <row r="9">
      <c r="A9" t="inlineStr">
        <is>
          <t>AFFO FY2026 (m)</t>
        </is>
      </c>
      <c r="B9" s="1" t="n">
        <v>42.51</v>
      </c>
    </row>
    <row r="10">
      <c r="A10" t="inlineStr">
        <is>
          <t>AFFO/share FY2026 (cents)</t>
        </is>
      </c>
      <c r="B10">
        <f>B9/B4*100</f>
        <v/>
      </c>
    </row>
    <row r="11">
      <c r="A11" t="inlineStr">
        <is>
          <t>Distributable profit/share FY2026 (cents)</t>
        </is>
      </c>
      <c r="B11" s="1" t="n">
        <v>8.779999999999999</v>
      </c>
    </row>
    <row r="12">
      <c r="A12" t="inlineStr">
        <is>
          <t>Dividend FY2026 (cents)</t>
        </is>
      </c>
      <c r="B12" s="1" t="n">
        <v>8</v>
      </c>
    </row>
    <row r="13">
      <c r="A13" t="inlineStr">
        <is>
          <t>SIML NPAT FY2026 (m)</t>
        </is>
      </c>
      <c r="B13" s="1" t="n">
        <v>9.571</v>
      </c>
    </row>
    <row r="14">
      <c r="A14" t="inlineStr">
        <is>
          <t>Net debt (m) -- audit only, NEVER deducted</t>
        </is>
      </c>
      <c r="B14" s="1" t="n">
        <v>278.566</v>
      </c>
    </row>
    <row r="15">
      <c r="A15" t="inlineStr">
        <is>
          <t>Hurdle rate</t>
        </is>
      </c>
      <c r="B15" s="1" t="n">
        <v>0.15</v>
      </c>
    </row>
    <row r="16">
      <c r="A16" t="inlineStr">
        <is>
          <t>Blend weight: AFFO leg</t>
        </is>
      </c>
      <c r="B16" s="1" t="n">
        <v>0.5</v>
      </c>
    </row>
    <row r="17">
      <c r="A17" t="inlineStr">
        <is>
          <t>Blend weight: SOTP leg</t>
        </is>
      </c>
      <c r="B17" s="1" t="n">
        <v>0.5</v>
      </c>
    </row>
    <row r="19">
      <c r="A19" s="2" t="inlineStr">
        <is>
          <t>Scenario assumptions</t>
        </is>
      </c>
    </row>
    <row r="20">
      <c r="A20" t="inlineStr">
        <is>
          <t>Parameter</t>
        </is>
      </c>
      <c r="B20" s="2" t="inlineStr">
        <is>
          <t>base</t>
        </is>
      </c>
      <c r="C20" s="2" t="inlineStr">
        <is>
          <t>bull</t>
        </is>
      </c>
      <c r="D20" s="2" t="inlineStr">
        <is>
          <t>bear</t>
        </is>
      </c>
      <c r="E20" s="2" t="inlineStr">
        <is>
          <t>weight</t>
        </is>
      </c>
    </row>
    <row r="21">
      <c r="A21" t="inlineStr">
        <is>
          <t>Cost of equity</t>
        </is>
      </c>
      <c r="B21" s="1" t="n">
        <v>0.11</v>
      </c>
      <c r="C21" s="1" t="n">
        <v>0.1</v>
      </c>
      <c r="D21" s="1" t="n">
        <v>0.125</v>
      </c>
    </row>
    <row r="22">
      <c r="A22" t="inlineStr">
        <is>
          <t>Terminal growth %</t>
        </is>
      </c>
      <c r="B22" s="1" t="n">
        <v>2.5</v>
      </c>
      <c r="C22" s="1" t="n">
        <v>3</v>
      </c>
      <c r="D22" s="1" t="n">
        <v>1.5</v>
      </c>
    </row>
    <row r="23">
      <c r="A23" t="inlineStr">
        <is>
          <t>Exit AFFO yield % (cap)</t>
        </is>
      </c>
      <c r="B23" s="1" t="n">
        <v>7.5</v>
      </c>
      <c r="C23" s="1" t="n">
        <v>6.5</v>
      </c>
      <c r="D23" s="1" t="n">
        <v>8.5</v>
      </c>
    </row>
    <row r="24">
      <c r="A24" t="inlineStr">
        <is>
          <t>Exit P/NTA (property leg)</t>
        </is>
      </c>
      <c r="B24" s="1" t="n">
        <v>0.72</v>
      </c>
      <c r="C24" s="1" t="n">
        <v>0.88</v>
      </c>
      <c r="D24" s="1" t="n">
        <v>0.55</v>
      </c>
    </row>
    <row r="25">
      <c r="A25" t="inlineStr">
        <is>
          <t>SIML exit P/E</t>
        </is>
      </c>
      <c r="B25" s="1" t="n">
        <v>9</v>
      </c>
      <c r="C25" s="1" t="n">
        <v>11</v>
      </c>
      <c r="D25" s="1" t="n">
        <v>6</v>
      </c>
    </row>
    <row r="26">
      <c r="A26" t="inlineStr">
        <is>
          <t>Scenario weight</t>
        </is>
      </c>
      <c r="B26" s="1" t="n">
        <v>0.5</v>
      </c>
      <c r="C26" s="1" t="n">
        <v>0.25</v>
      </c>
      <c r="D26" s="1" t="n">
        <v>0.25</v>
      </c>
    </row>
    <row r="28">
      <c r="A28" s="2" t="inlineStr">
        <is>
          <t>Year paths</t>
        </is>
      </c>
    </row>
    <row r="29">
      <c r="A29" t="inlineStr">
        <is>
          <t>Path</t>
        </is>
      </c>
      <c r="B29" t="inlineStr">
        <is>
          <t>Scenario</t>
        </is>
      </c>
      <c r="C29" s="2" t="inlineStr">
        <is>
          <t>FY2027</t>
        </is>
      </c>
      <c r="D29" s="2" t="inlineStr">
        <is>
          <t>FY2028</t>
        </is>
      </c>
      <c r="E29" s="2" t="inlineStr">
        <is>
          <t>FY2029</t>
        </is>
      </c>
      <c r="F29" s="2" t="inlineStr">
        <is>
          <t>FY2030</t>
        </is>
      </c>
      <c r="G29" s="2" t="inlineStr">
        <is>
          <t>FY2031</t>
        </is>
      </c>
    </row>
    <row r="30">
      <c r="A30" t="inlineStr">
        <is>
          <t>AFFO growth %</t>
        </is>
      </c>
      <c r="B30" t="inlineStr">
        <is>
          <t>base</t>
        </is>
      </c>
      <c r="C30" s="1" t="n">
        <v>1.5</v>
      </c>
      <c r="D30" s="1" t="n">
        <v>-2</v>
      </c>
      <c r="E30" s="1" t="n">
        <v>-1</v>
      </c>
      <c r="F30" s="1" t="n">
        <v>3</v>
      </c>
      <c r="G30" s="1" t="n">
        <v>3</v>
      </c>
    </row>
    <row r="31">
      <c r="A31" t="inlineStr">
        <is>
          <t>AFFO growth %</t>
        </is>
      </c>
      <c r="B31" t="inlineStr">
        <is>
          <t>bull</t>
        </is>
      </c>
      <c r="C31" s="1" t="n">
        <v>3</v>
      </c>
      <c r="D31" s="1" t="n">
        <v>3.5</v>
      </c>
      <c r="E31" s="1" t="n">
        <v>4</v>
      </c>
      <c r="F31" s="1" t="n">
        <v>4</v>
      </c>
      <c r="G31" s="1" t="n">
        <v>3.5</v>
      </c>
    </row>
    <row r="32">
      <c r="A32" t="inlineStr">
        <is>
          <t>AFFO growth %</t>
        </is>
      </c>
      <c r="B32" t="inlineStr">
        <is>
          <t>bear</t>
        </is>
      </c>
      <c r="C32" s="1" t="n">
        <v>-2</v>
      </c>
      <c r="D32" s="1" t="n">
        <v>-5</v>
      </c>
      <c r="E32" s="1" t="n">
        <v>-3</v>
      </c>
      <c r="F32" s="1" t="n">
        <v>0</v>
      </c>
      <c r="G32" s="1" t="n">
        <v>1</v>
      </c>
    </row>
    <row r="33">
      <c r="A33" t="inlineStr">
        <is>
          <t>NTA growth % (property leg)</t>
        </is>
      </c>
      <c r="B33" t="inlineStr">
        <is>
          <t>base</t>
        </is>
      </c>
      <c r="C33" s="1" t="n">
        <v>-1.5</v>
      </c>
      <c r="D33" s="1" t="n">
        <v>-0.5</v>
      </c>
      <c r="E33" s="1" t="n">
        <v>1</v>
      </c>
      <c r="F33" s="1" t="n">
        <v>1.5</v>
      </c>
      <c r="G33" s="1" t="n">
        <v>2</v>
      </c>
    </row>
    <row r="34">
      <c r="A34" t="inlineStr">
        <is>
          <t>NTA growth % (property leg)</t>
        </is>
      </c>
      <c r="B34" t="inlineStr">
        <is>
          <t>bull</t>
        </is>
      </c>
      <c r="C34" s="1" t="n">
        <v>0.5</v>
      </c>
      <c r="D34" s="1" t="n">
        <v>2</v>
      </c>
      <c r="E34" s="1" t="n">
        <v>2.5</v>
      </c>
      <c r="F34" s="1" t="n">
        <v>2.5</v>
      </c>
      <c r="G34" s="1" t="n">
        <v>2.5</v>
      </c>
    </row>
    <row r="35">
      <c r="A35" t="inlineStr">
        <is>
          <t>NTA growth % (property leg)</t>
        </is>
      </c>
      <c r="B35" t="inlineStr">
        <is>
          <t>bear</t>
        </is>
      </c>
      <c r="C35" s="1" t="n">
        <v>-4</v>
      </c>
      <c r="D35" s="1" t="n">
        <v>-3</v>
      </c>
      <c r="E35" s="1" t="n">
        <v>-1.5</v>
      </c>
      <c r="F35" s="1" t="n">
        <v>0</v>
      </c>
      <c r="G35" s="1" t="n">
        <v>0.5</v>
      </c>
    </row>
    <row r="36">
      <c r="A36" t="inlineStr">
        <is>
          <t>SIML NPAT (m)</t>
        </is>
      </c>
      <c r="B36" t="inlineStr">
        <is>
          <t>base</t>
        </is>
      </c>
      <c r="C36" s="1" t="n">
        <v>9.9</v>
      </c>
      <c r="D36" s="1" t="n">
        <v>8.6</v>
      </c>
      <c r="E36" s="1" t="n">
        <v>8</v>
      </c>
      <c r="F36" s="1" t="n">
        <v>8.4</v>
      </c>
      <c r="G36" s="1" t="n">
        <v>8.800000000000001</v>
      </c>
    </row>
    <row r="37">
      <c r="A37" t="inlineStr">
        <is>
          <t>SIML NPAT (m)</t>
        </is>
      </c>
      <c r="B37" t="inlineStr">
        <is>
          <t>bull</t>
        </is>
      </c>
      <c r="C37" s="1" t="n">
        <v>10.3</v>
      </c>
      <c r="D37" s="1" t="n">
        <v>11</v>
      </c>
      <c r="E37" s="1" t="n">
        <v>11.8</v>
      </c>
      <c r="F37" s="1" t="n">
        <v>12.6</v>
      </c>
      <c r="G37" s="1" t="n">
        <v>13.4</v>
      </c>
    </row>
    <row r="38">
      <c r="A38" t="inlineStr">
        <is>
          <t>SIML NPAT (m)</t>
        </is>
      </c>
      <c r="B38" t="inlineStr">
        <is>
          <t>bear</t>
        </is>
      </c>
      <c r="C38" s="1" t="n">
        <v>9</v>
      </c>
      <c r="D38" s="1" t="n">
        <v>7</v>
      </c>
      <c r="E38" s="1" t="n">
        <v>6</v>
      </c>
      <c r="F38" s="1" t="n">
        <v>6</v>
      </c>
      <c r="G38" s="1" t="n">
        <v>6</v>
      </c>
    </row>
    <row r="39">
      <c r="A39" t="inlineStr">
        <is>
          <t>DPS (cents)</t>
        </is>
      </c>
      <c r="B39" t="inlineStr">
        <is>
          <t>base</t>
        </is>
      </c>
      <c r="C39" s="1" t="n">
        <v>8</v>
      </c>
      <c r="D39" s="1" t="n">
        <v>8</v>
      </c>
      <c r="E39" s="1" t="n">
        <v>8</v>
      </c>
      <c r="F39" s="1" t="n">
        <v>8</v>
      </c>
      <c r="G39" s="1" t="n">
        <v>8</v>
      </c>
    </row>
    <row r="40">
      <c r="A40" t="inlineStr">
        <is>
          <t>DPS (cents)</t>
        </is>
      </c>
      <c r="B40" t="inlineStr">
        <is>
          <t>bull</t>
        </is>
      </c>
      <c r="C40" s="1" t="n">
        <v>8</v>
      </c>
      <c r="D40" s="1" t="n">
        <v>8</v>
      </c>
      <c r="E40" s="1" t="n">
        <v>8.25</v>
      </c>
      <c r="F40" s="1" t="n">
        <v>8.5</v>
      </c>
      <c r="G40" s="1" t="n">
        <v>8.75</v>
      </c>
    </row>
    <row r="41">
      <c r="A41" t="inlineStr">
        <is>
          <t>DPS (cents)</t>
        </is>
      </c>
      <c r="B41" t="inlineStr">
        <is>
          <t>bear</t>
        </is>
      </c>
      <c r="C41" s="1" t="n">
        <v>8</v>
      </c>
      <c r="D41" s="1" t="n">
        <v>7</v>
      </c>
      <c r="E41" s="1" t="n">
        <v>7</v>
      </c>
      <c r="F41" s="1" t="n">
        <v>7</v>
      </c>
      <c r="G41" s="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t="inlineStr">
        <is>
          <t>AFFO/share capitalised at cost of equity; TV = MIN(Gordon at CoE, AFFO5 / exit yield). No net-debt deduction (AFFO is post-interest).</t>
        </is>
      </c>
    </row>
    <row r="3">
      <c r="A3" s="2" t="inlineStr">
        <is>
          <t>BASE</t>
        </is>
      </c>
    </row>
    <row r="4">
      <c r="A4" s="3" t="inlineStr">
        <is>
          <t>Year</t>
        </is>
      </c>
      <c r="B4" s="3" t="inlineStr">
        <is>
          <t>Growth %</t>
        </is>
      </c>
      <c r="C4" s="3" t="inlineStr">
        <is>
          <t>AFFO cps</t>
        </is>
      </c>
      <c r="D4" s="3" t="inlineStr">
        <is>
          <t>Discount factor</t>
        </is>
      </c>
      <c r="E4" s="3" t="inlineStr">
        <is>
          <t>PV cps</t>
        </is>
      </c>
    </row>
    <row r="5">
      <c r="A5" t="inlineStr">
        <is>
          <t>FY2027</t>
        </is>
      </c>
      <c r="B5">
        <f>Inputs!C30</f>
        <v/>
      </c>
      <c r="C5">
        <f>Inputs!$B$10*(1+B5/100)</f>
        <v/>
      </c>
      <c r="D5">
        <f>1/(1+Inputs!$B$21)^1</f>
        <v/>
      </c>
      <c r="E5">
        <f>C5*D5</f>
        <v/>
      </c>
    </row>
    <row r="6">
      <c r="A6" t="inlineStr">
        <is>
          <t>FY2028</t>
        </is>
      </c>
      <c r="B6">
        <f>Inputs!D30</f>
        <v/>
      </c>
      <c r="C6">
        <f>C5*(1+B6/100)</f>
        <v/>
      </c>
      <c r="D6">
        <f>1/(1+Inputs!$B$21)^2</f>
        <v/>
      </c>
      <c r="E6">
        <f>C6*D6</f>
        <v/>
      </c>
    </row>
    <row r="7">
      <c r="A7" t="inlineStr">
        <is>
          <t>FY2029</t>
        </is>
      </c>
      <c r="B7">
        <f>Inputs!E30</f>
        <v/>
      </c>
      <c r="C7">
        <f>C6*(1+B7/100)</f>
        <v/>
      </c>
      <c r="D7">
        <f>1/(1+Inputs!$B$21)^3</f>
        <v/>
      </c>
      <c r="E7">
        <f>C7*D7</f>
        <v/>
      </c>
    </row>
    <row r="8">
      <c r="A8" t="inlineStr">
        <is>
          <t>FY2030</t>
        </is>
      </c>
      <c r="B8">
        <f>Inputs!F30</f>
        <v/>
      </c>
      <c r="C8">
        <f>C7*(1+B8/100)</f>
        <v/>
      </c>
      <c r="D8">
        <f>1/(1+Inputs!$B$21)^4</f>
        <v/>
      </c>
      <c r="E8">
        <f>C8*D8</f>
        <v/>
      </c>
    </row>
    <row r="9">
      <c r="A9" t="inlineStr">
        <is>
          <t>FY2031</t>
        </is>
      </c>
      <c r="B9">
        <f>Inputs!G30</f>
        <v/>
      </c>
      <c r="C9">
        <f>C8*(1+B9/100)</f>
        <v/>
      </c>
      <c r="D9">
        <f>1/(1+Inputs!$B$21)^5</f>
        <v/>
      </c>
      <c r="E9">
        <f>C9*D9</f>
        <v/>
      </c>
    </row>
    <row r="11">
      <c r="A11" t="inlineStr">
        <is>
          <t>Sum PV AFFO (cents)</t>
        </is>
      </c>
      <c r="B11">
        <f>SUM(E5:E9)</f>
        <v/>
      </c>
    </row>
    <row r="12">
      <c r="A12" t="inlineStr">
        <is>
          <t>Gordon TV (cents)</t>
        </is>
      </c>
      <c r="B12">
        <f>C9*(1+Inputs!B22/100)/(Inputs!$B$21-Inputs!B22/100)</f>
        <v/>
      </c>
    </row>
    <row r="13">
      <c r="A13" t="inlineStr">
        <is>
          <t>Exit-yield cap (cents)</t>
        </is>
      </c>
      <c r="B13">
        <f>C9/(Inputs!B23/100)</f>
        <v/>
      </c>
    </row>
    <row r="14">
      <c r="A14" t="inlineStr">
        <is>
          <t>Terminal value (cents)</t>
        </is>
      </c>
      <c r="B14">
        <f>MIN(B12,B13)</f>
        <v/>
      </c>
    </row>
    <row r="15">
      <c r="A15" t="inlineStr">
        <is>
          <t>PV terminal (cents)</t>
        </is>
      </c>
      <c r="B15">
        <f>B14*D9</f>
        <v/>
      </c>
    </row>
    <row r="16">
      <c r="A16" s="2" t="inlineStr">
        <is>
          <t>AFFO-leg value per share (NZD)</t>
        </is>
      </c>
      <c r="B16" s="2">
        <f>(B11+B15)/100</f>
        <v/>
      </c>
    </row>
    <row r="17">
      <c r="A17" t="inlineStr">
        <is>
          <t>Implied exit P/AFFO</t>
        </is>
      </c>
      <c r="B17">
        <f>B14/C9</f>
        <v/>
      </c>
    </row>
    <row r="18">
      <c r="A18" t="inlineStr">
        <is>
          <t>Terminal % of value</t>
        </is>
      </c>
      <c r="B18">
        <f>B15/(B11+B15)</f>
        <v/>
      </c>
    </row>
    <row r="20">
      <c r="A20" s="2" t="inlineStr">
        <is>
          <t>Entry price at hurdle (TV rebuilt at hurdle)</t>
        </is>
      </c>
    </row>
    <row r="21">
      <c r="A21" t="inlineStr">
        <is>
          <t>PV interim AFFO at hurdle (cents)</t>
        </is>
      </c>
      <c r="B21">
        <f>C5/(1+Inputs!$B$15)^1+C6/(1+Inputs!$B$15)^2+C7/(1+Inputs!$B$15)^3+C8/(1+Inputs!$B$15)^4+C9/(1+Inputs!$B$15)^5</f>
        <v/>
      </c>
    </row>
    <row r="22">
      <c r="A22" t="inlineStr">
        <is>
          <t>TV at hurdle (cents)</t>
        </is>
      </c>
      <c r="B22">
        <f>MIN(C9*(1+Inputs!B22/100)/(Inputs!$B$15-Inputs!B22/100),B13)</f>
        <v/>
      </c>
    </row>
    <row r="23">
      <c r="A23" t="inlineStr">
        <is>
          <t>PV TV at hurdle (cents)</t>
        </is>
      </c>
      <c r="B23">
        <f>B22/(1+Inputs!$B$15)^5</f>
        <v/>
      </c>
    </row>
    <row r="24">
      <c r="A24" s="2" t="inlineStr">
        <is>
          <t>Entry price (NZD)</t>
        </is>
      </c>
      <c r="B24" s="2">
        <f>(B21+B23)/100</f>
        <v/>
      </c>
    </row>
    <row r="27">
      <c r="A27" s="2" t="inlineStr">
        <is>
          <t>BULL</t>
        </is>
      </c>
    </row>
    <row r="28">
      <c r="A28" s="3" t="inlineStr">
        <is>
          <t>Year</t>
        </is>
      </c>
      <c r="B28" s="3" t="inlineStr">
        <is>
          <t>Growth %</t>
        </is>
      </c>
      <c r="C28" s="3" t="inlineStr">
        <is>
          <t>AFFO cps</t>
        </is>
      </c>
      <c r="D28" s="3" t="inlineStr">
        <is>
          <t>Discount factor</t>
        </is>
      </c>
      <c r="E28" s="3" t="inlineStr">
        <is>
          <t>PV cps</t>
        </is>
      </c>
    </row>
    <row r="29">
      <c r="A29" t="inlineStr">
        <is>
          <t>FY2027</t>
        </is>
      </c>
      <c r="B29">
        <f>Inputs!C31</f>
        <v/>
      </c>
      <c r="C29">
        <f>Inputs!$B$10*(1+B29/100)</f>
        <v/>
      </c>
      <c r="D29">
        <f>1/(1+Inputs!$C$21)^1</f>
        <v/>
      </c>
      <c r="E29">
        <f>C29*D29</f>
        <v/>
      </c>
    </row>
    <row r="30">
      <c r="A30" t="inlineStr">
        <is>
          <t>FY2028</t>
        </is>
      </c>
      <c r="B30">
        <f>Inputs!D31</f>
        <v/>
      </c>
      <c r="C30">
        <f>C29*(1+B30/100)</f>
        <v/>
      </c>
      <c r="D30">
        <f>1/(1+Inputs!$C$21)^2</f>
        <v/>
      </c>
      <c r="E30">
        <f>C30*D30</f>
        <v/>
      </c>
    </row>
    <row r="31">
      <c r="A31" t="inlineStr">
        <is>
          <t>FY2029</t>
        </is>
      </c>
      <c r="B31">
        <f>Inputs!E31</f>
        <v/>
      </c>
      <c r="C31">
        <f>C30*(1+B31/100)</f>
        <v/>
      </c>
      <c r="D31">
        <f>1/(1+Inputs!$C$21)^3</f>
        <v/>
      </c>
      <c r="E31">
        <f>C31*D31</f>
        <v/>
      </c>
    </row>
    <row r="32">
      <c r="A32" t="inlineStr">
        <is>
          <t>FY2030</t>
        </is>
      </c>
      <c r="B32">
        <f>Inputs!F31</f>
        <v/>
      </c>
      <c r="C32">
        <f>C31*(1+B32/100)</f>
        <v/>
      </c>
      <c r="D32">
        <f>1/(1+Inputs!$C$21)^4</f>
        <v/>
      </c>
      <c r="E32">
        <f>C32*D32</f>
        <v/>
      </c>
    </row>
    <row r="33">
      <c r="A33" t="inlineStr">
        <is>
          <t>FY2031</t>
        </is>
      </c>
      <c r="B33">
        <f>Inputs!G31</f>
        <v/>
      </c>
      <c r="C33">
        <f>C32*(1+B33/100)</f>
        <v/>
      </c>
      <c r="D33">
        <f>1/(1+Inputs!$C$21)^5</f>
        <v/>
      </c>
      <c r="E33">
        <f>C33*D33</f>
        <v/>
      </c>
    </row>
    <row r="35">
      <c r="A35" t="inlineStr">
        <is>
          <t>Sum PV AFFO (cents)</t>
        </is>
      </c>
      <c r="B35">
        <f>SUM(E29:E33)</f>
        <v/>
      </c>
    </row>
    <row r="36">
      <c r="A36" t="inlineStr">
        <is>
          <t>Gordon TV (cents)</t>
        </is>
      </c>
      <c r="B36">
        <f>C33*(1+Inputs!C22/100)/(Inputs!$C$21-Inputs!C22/100)</f>
        <v/>
      </c>
    </row>
    <row r="37">
      <c r="A37" t="inlineStr">
        <is>
          <t>Exit-yield cap (cents)</t>
        </is>
      </c>
      <c r="B37">
        <f>C33/(Inputs!C23/100)</f>
        <v/>
      </c>
    </row>
    <row r="38">
      <c r="A38" t="inlineStr">
        <is>
          <t>Terminal value (cents)</t>
        </is>
      </c>
      <c r="B38">
        <f>MIN(B36,B37)</f>
        <v/>
      </c>
    </row>
    <row r="39">
      <c r="A39" t="inlineStr">
        <is>
          <t>PV terminal (cents)</t>
        </is>
      </c>
      <c r="B39">
        <f>B38*D33</f>
        <v/>
      </c>
    </row>
    <row r="40">
      <c r="A40" s="2" t="inlineStr">
        <is>
          <t>AFFO-leg value per share (NZD)</t>
        </is>
      </c>
      <c r="B40" s="2">
        <f>(B35+B39)/100</f>
        <v/>
      </c>
    </row>
    <row r="41">
      <c r="A41" t="inlineStr">
        <is>
          <t>Implied exit P/AFFO</t>
        </is>
      </c>
      <c r="B41">
        <f>B38/C33</f>
        <v/>
      </c>
    </row>
    <row r="42">
      <c r="A42" t="inlineStr">
        <is>
          <t>Terminal % of value</t>
        </is>
      </c>
      <c r="B42">
        <f>B39/(B35+B39)</f>
        <v/>
      </c>
    </row>
    <row r="44">
      <c r="A44" s="2" t="inlineStr">
        <is>
          <t>Entry price at hurdle (TV rebuilt at hurdle)</t>
        </is>
      </c>
    </row>
    <row r="45">
      <c r="A45" t="inlineStr">
        <is>
          <t>PV interim AFFO at hurdle (cents)</t>
        </is>
      </c>
      <c r="B45">
        <f>C29/(1+Inputs!$B$15)^1+C30/(1+Inputs!$B$15)^2+C31/(1+Inputs!$B$15)^3+C32/(1+Inputs!$B$15)^4+C33/(1+Inputs!$B$15)^5</f>
        <v/>
      </c>
    </row>
    <row r="46">
      <c r="A46" t="inlineStr">
        <is>
          <t>TV at hurdle (cents)</t>
        </is>
      </c>
      <c r="B46">
        <f>MIN(C33*(1+Inputs!C22/100)/(Inputs!$B$15-Inputs!C22/100),B37)</f>
        <v/>
      </c>
    </row>
    <row r="47">
      <c r="A47" t="inlineStr">
        <is>
          <t>PV TV at hurdle (cents)</t>
        </is>
      </c>
      <c r="B47">
        <f>B46/(1+Inputs!$B$15)^5</f>
        <v/>
      </c>
    </row>
    <row r="48">
      <c r="A48" s="2" t="inlineStr">
        <is>
          <t>Entry price (NZD)</t>
        </is>
      </c>
      <c r="B48" s="2">
        <f>(B45+B47)/100</f>
        <v/>
      </c>
    </row>
    <row r="51">
      <c r="A51" s="2" t="inlineStr">
        <is>
          <t>BEAR</t>
        </is>
      </c>
    </row>
    <row r="52">
      <c r="A52" s="3" t="inlineStr">
        <is>
          <t>Year</t>
        </is>
      </c>
      <c r="B52" s="3" t="inlineStr">
        <is>
          <t>Growth %</t>
        </is>
      </c>
      <c r="C52" s="3" t="inlineStr">
        <is>
          <t>AFFO cps</t>
        </is>
      </c>
      <c r="D52" s="3" t="inlineStr">
        <is>
          <t>Discount factor</t>
        </is>
      </c>
      <c r="E52" s="3" t="inlineStr">
        <is>
          <t>PV cps</t>
        </is>
      </c>
    </row>
    <row r="53">
      <c r="A53" t="inlineStr">
        <is>
          <t>FY2027</t>
        </is>
      </c>
      <c r="B53">
        <f>Inputs!C32</f>
        <v/>
      </c>
      <c r="C53">
        <f>Inputs!$B$10*(1+B53/100)</f>
        <v/>
      </c>
      <c r="D53">
        <f>1/(1+Inputs!$D$21)^1</f>
        <v/>
      </c>
      <c r="E53">
        <f>C53*D53</f>
        <v/>
      </c>
    </row>
    <row r="54">
      <c r="A54" t="inlineStr">
        <is>
          <t>FY2028</t>
        </is>
      </c>
      <c r="B54">
        <f>Inputs!D32</f>
        <v/>
      </c>
      <c r="C54">
        <f>C53*(1+B54/100)</f>
        <v/>
      </c>
      <c r="D54">
        <f>1/(1+Inputs!$D$21)^2</f>
        <v/>
      </c>
      <c r="E54">
        <f>C54*D54</f>
        <v/>
      </c>
    </row>
    <row r="55">
      <c r="A55" t="inlineStr">
        <is>
          <t>FY2029</t>
        </is>
      </c>
      <c r="B55">
        <f>Inputs!E32</f>
        <v/>
      </c>
      <c r="C55">
        <f>C54*(1+B55/100)</f>
        <v/>
      </c>
      <c r="D55">
        <f>1/(1+Inputs!$D$21)^3</f>
        <v/>
      </c>
      <c r="E55">
        <f>C55*D55</f>
        <v/>
      </c>
    </row>
    <row r="56">
      <c r="A56" t="inlineStr">
        <is>
          <t>FY2030</t>
        </is>
      </c>
      <c r="B56">
        <f>Inputs!F32</f>
        <v/>
      </c>
      <c r="C56">
        <f>C55*(1+B56/100)</f>
        <v/>
      </c>
      <c r="D56">
        <f>1/(1+Inputs!$D$21)^4</f>
        <v/>
      </c>
      <c r="E56">
        <f>C56*D56</f>
        <v/>
      </c>
    </row>
    <row r="57">
      <c r="A57" t="inlineStr">
        <is>
          <t>FY2031</t>
        </is>
      </c>
      <c r="B57">
        <f>Inputs!G32</f>
        <v/>
      </c>
      <c r="C57">
        <f>C56*(1+B57/100)</f>
        <v/>
      </c>
      <c r="D57">
        <f>1/(1+Inputs!$D$21)^5</f>
        <v/>
      </c>
      <c r="E57">
        <f>C57*D57</f>
        <v/>
      </c>
    </row>
    <row r="59">
      <c r="A59" t="inlineStr">
        <is>
          <t>Sum PV AFFO (cents)</t>
        </is>
      </c>
      <c r="B59">
        <f>SUM(E53:E57)</f>
        <v/>
      </c>
    </row>
    <row r="60">
      <c r="A60" t="inlineStr">
        <is>
          <t>Gordon TV (cents)</t>
        </is>
      </c>
      <c r="B60">
        <f>C57*(1+Inputs!D22/100)/(Inputs!$D$21-Inputs!D22/100)</f>
        <v/>
      </c>
    </row>
    <row r="61">
      <c r="A61" t="inlineStr">
        <is>
          <t>Exit-yield cap (cents)</t>
        </is>
      </c>
      <c r="B61">
        <f>C57/(Inputs!D23/100)</f>
        <v/>
      </c>
    </row>
    <row r="62">
      <c r="A62" t="inlineStr">
        <is>
          <t>Terminal value (cents)</t>
        </is>
      </c>
      <c r="B62">
        <f>MIN(B60,B61)</f>
        <v/>
      </c>
    </row>
    <row r="63">
      <c r="A63" t="inlineStr">
        <is>
          <t>PV terminal (cents)</t>
        </is>
      </c>
      <c r="B63">
        <f>B62*D57</f>
        <v/>
      </c>
    </row>
    <row r="64">
      <c r="A64" s="2" t="inlineStr">
        <is>
          <t>AFFO-leg value per share (NZD)</t>
        </is>
      </c>
      <c r="B64" s="2">
        <f>(B59+B63)/100</f>
        <v/>
      </c>
    </row>
    <row r="65">
      <c r="A65" t="inlineStr">
        <is>
          <t>Implied exit P/AFFO</t>
        </is>
      </c>
      <c r="B65">
        <f>B62/C57</f>
        <v/>
      </c>
    </row>
    <row r="66">
      <c r="A66" t="inlineStr">
        <is>
          <t>Terminal % of value</t>
        </is>
      </c>
      <c r="B66">
        <f>B63/(B59+B63)</f>
        <v/>
      </c>
    </row>
    <row r="68">
      <c r="A68" s="2" t="inlineStr">
        <is>
          <t>Entry price at hurdle (TV rebuilt at hurdle)</t>
        </is>
      </c>
    </row>
    <row r="69">
      <c r="A69" t="inlineStr">
        <is>
          <t>PV interim AFFO at hurdle (cents)</t>
        </is>
      </c>
      <c r="B69">
        <f>C53/(1+Inputs!$B$15)^1+C54/(1+Inputs!$B$15)^2+C55/(1+Inputs!$B$15)^3+C56/(1+Inputs!$B$15)^4+C57/(1+Inputs!$B$15)^5</f>
        <v/>
      </c>
    </row>
    <row r="70">
      <c r="A70" t="inlineStr">
        <is>
          <t>TV at hurdle (cents)</t>
        </is>
      </c>
      <c r="B70">
        <f>MIN(C57*(1+Inputs!D22/100)/(Inputs!$B$15-Inputs!D22/100),B61)</f>
        <v/>
      </c>
    </row>
    <row r="71">
      <c r="A71" t="inlineStr">
        <is>
          <t>PV TV at hurdle (cents)</t>
        </is>
      </c>
      <c r="B71">
        <f>B70/(1+Inputs!$B$15)^5</f>
        <v/>
      </c>
    </row>
    <row r="72">
      <c r="A72" s="2" t="inlineStr">
        <is>
          <t>Entry price (NZD)</t>
        </is>
      </c>
      <c r="B72" s="2">
        <f>(B69+B71)/100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Sum-of-parts asset leg: PV(dividends) + PV(year-5 property NTA x exit P/NTA + SIML NPAT x exit P/E). No net-debt deduction (NTA is post-debt).</t>
        </is>
      </c>
    </row>
    <row r="3">
      <c r="A3" s="2" t="inlineStr">
        <is>
          <t>BASE</t>
        </is>
      </c>
    </row>
    <row r="4">
      <c r="A4" s="3" t="inlineStr">
        <is>
          <t>Year</t>
        </is>
      </c>
      <c r="B4" s="3" t="inlineStr">
        <is>
          <t>NTA growth %</t>
        </is>
      </c>
      <c r="C4" s="3" t="inlineStr">
        <is>
          <t>Property NTA/share</t>
        </is>
      </c>
      <c r="D4" s="3" t="inlineStr">
        <is>
          <t>SIML NPAT (m)</t>
        </is>
      </c>
      <c r="E4" s="3" t="inlineStr">
        <is>
          <t>DPS cents</t>
        </is>
      </c>
      <c r="F4" s="3" t="inlineStr">
        <is>
          <t>Discount factor</t>
        </is>
      </c>
      <c r="G4" s="3" t="inlineStr">
        <is>
          <t>PV DPS cents</t>
        </is>
      </c>
    </row>
    <row r="5">
      <c r="A5" t="inlineStr">
        <is>
          <t>FY2027</t>
        </is>
      </c>
      <c r="B5">
        <f>Inputs!C33</f>
        <v/>
      </c>
      <c r="C5">
        <f>Inputs!$B$8*(1+B5/100)</f>
        <v/>
      </c>
      <c r="D5">
        <f>Inputs!C36</f>
        <v/>
      </c>
      <c r="E5">
        <f>Inputs!C39</f>
        <v/>
      </c>
      <c r="F5">
        <f>1/(1+Inputs!$B$21)^1</f>
        <v/>
      </c>
      <c r="G5">
        <f>E5*F5</f>
        <v/>
      </c>
    </row>
    <row r="6">
      <c r="A6" t="inlineStr">
        <is>
          <t>FY2028</t>
        </is>
      </c>
      <c r="B6">
        <f>Inputs!D33</f>
        <v/>
      </c>
      <c r="C6">
        <f>C5*(1+B6/100)</f>
        <v/>
      </c>
      <c r="D6">
        <f>Inputs!D36</f>
        <v/>
      </c>
      <c r="E6">
        <f>Inputs!D39</f>
        <v/>
      </c>
      <c r="F6">
        <f>1/(1+Inputs!$B$21)^2</f>
        <v/>
      </c>
      <c r="G6">
        <f>E6*F6</f>
        <v/>
      </c>
    </row>
    <row r="7">
      <c r="A7" t="inlineStr">
        <is>
          <t>FY2029</t>
        </is>
      </c>
      <c r="B7">
        <f>Inputs!E33</f>
        <v/>
      </c>
      <c r="C7">
        <f>C6*(1+B7/100)</f>
        <v/>
      </c>
      <c r="D7">
        <f>Inputs!E36</f>
        <v/>
      </c>
      <c r="E7">
        <f>Inputs!E39</f>
        <v/>
      </c>
      <c r="F7">
        <f>1/(1+Inputs!$B$21)^3</f>
        <v/>
      </c>
      <c r="G7">
        <f>E7*F7</f>
        <v/>
      </c>
    </row>
    <row r="8">
      <c r="A8" t="inlineStr">
        <is>
          <t>FY2030</t>
        </is>
      </c>
      <c r="B8">
        <f>Inputs!F33</f>
        <v/>
      </c>
      <c r="C8">
        <f>C7*(1+B8/100)</f>
        <v/>
      </c>
      <c r="D8">
        <f>Inputs!F36</f>
        <v/>
      </c>
      <c r="E8">
        <f>Inputs!F39</f>
        <v/>
      </c>
      <c r="F8">
        <f>1/(1+Inputs!$B$21)^4</f>
        <v/>
      </c>
      <c r="G8">
        <f>E8*F8</f>
        <v/>
      </c>
    </row>
    <row r="9">
      <c r="A9" t="inlineStr">
        <is>
          <t>FY2031</t>
        </is>
      </c>
      <c r="B9">
        <f>Inputs!G33</f>
        <v/>
      </c>
      <c r="C9">
        <f>C8*(1+B9/100)</f>
        <v/>
      </c>
      <c r="D9">
        <f>Inputs!G36</f>
        <v/>
      </c>
      <c r="E9">
        <f>Inputs!G39</f>
        <v/>
      </c>
      <c r="F9">
        <f>1/(1+Inputs!$B$21)^5</f>
        <v/>
      </c>
      <c r="G9">
        <f>E9*F9</f>
        <v/>
      </c>
    </row>
    <row r="11">
      <c r="A11" t="inlineStr">
        <is>
          <t>PV dividends (cents)</t>
        </is>
      </c>
      <c r="B11">
        <f>SUM(G5:G9)</f>
        <v/>
      </c>
    </row>
    <row r="12">
      <c r="A12" t="inlineStr">
        <is>
          <t>Year-5 property value/share</t>
        </is>
      </c>
      <c r="B12">
        <f>C9*Inputs!B24</f>
        <v/>
      </c>
    </row>
    <row r="13">
      <c r="A13" t="inlineStr">
        <is>
          <t>Year-5 SIML value (m)</t>
        </is>
      </c>
      <c r="B13">
        <f>D9*Inputs!B25</f>
        <v/>
      </c>
    </row>
    <row r="14">
      <c r="A14" t="inlineStr">
        <is>
          <t>Year-5 SIML value/share</t>
        </is>
      </c>
      <c r="B14">
        <f>B13/Inputs!$B$4</f>
        <v/>
      </c>
    </row>
    <row r="15">
      <c r="A15" t="inlineStr">
        <is>
          <t>Year-5 exit value/share</t>
        </is>
      </c>
      <c r="B15">
        <f>B12+B14</f>
        <v/>
      </c>
    </row>
    <row r="16">
      <c r="A16" t="inlineStr">
        <is>
          <t>PV exit value/share</t>
        </is>
      </c>
      <c r="B16">
        <f>B15*F9</f>
        <v/>
      </c>
    </row>
    <row r="17">
      <c r="A17" s="2" t="inlineStr">
        <is>
          <t>SOTP-leg value per share (NZD)</t>
        </is>
      </c>
      <c r="B17" s="2">
        <f>B11/100+B16</f>
        <v/>
      </c>
    </row>
    <row r="20">
      <c r="A20" s="2" t="inlineStr">
        <is>
          <t>BULL</t>
        </is>
      </c>
    </row>
    <row r="21">
      <c r="A21" s="3" t="inlineStr">
        <is>
          <t>Year</t>
        </is>
      </c>
      <c r="B21" s="3" t="inlineStr">
        <is>
          <t>NTA growth %</t>
        </is>
      </c>
      <c r="C21" s="3" t="inlineStr">
        <is>
          <t>Property NTA/share</t>
        </is>
      </c>
      <c r="D21" s="3" t="inlineStr">
        <is>
          <t>SIML NPAT (m)</t>
        </is>
      </c>
      <c r="E21" s="3" t="inlineStr">
        <is>
          <t>DPS cents</t>
        </is>
      </c>
      <c r="F21" s="3" t="inlineStr">
        <is>
          <t>Discount factor</t>
        </is>
      </c>
      <c r="G21" s="3" t="inlineStr">
        <is>
          <t>PV DPS cents</t>
        </is>
      </c>
    </row>
    <row r="22">
      <c r="A22" t="inlineStr">
        <is>
          <t>FY2027</t>
        </is>
      </c>
      <c r="B22">
        <f>Inputs!C34</f>
        <v/>
      </c>
      <c r="C22">
        <f>Inputs!$B$8*(1+B22/100)</f>
        <v/>
      </c>
      <c r="D22">
        <f>Inputs!C37</f>
        <v/>
      </c>
      <c r="E22">
        <f>Inputs!C40</f>
        <v/>
      </c>
      <c r="F22">
        <f>1/(1+Inputs!$C$21)^1</f>
        <v/>
      </c>
      <c r="G22">
        <f>E22*F22</f>
        <v/>
      </c>
    </row>
    <row r="23">
      <c r="A23" t="inlineStr">
        <is>
          <t>FY2028</t>
        </is>
      </c>
      <c r="B23">
        <f>Inputs!D34</f>
        <v/>
      </c>
      <c r="C23">
        <f>C22*(1+B23/100)</f>
        <v/>
      </c>
      <c r="D23">
        <f>Inputs!D37</f>
        <v/>
      </c>
      <c r="E23">
        <f>Inputs!D40</f>
        <v/>
      </c>
      <c r="F23">
        <f>1/(1+Inputs!$C$21)^2</f>
        <v/>
      </c>
      <c r="G23">
        <f>E23*F23</f>
        <v/>
      </c>
    </row>
    <row r="24">
      <c r="A24" t="inlineStr">
        <is>
          <t>FY2029</t>
        </is>
      </c>
      <c r="B24">
        <f>Inputs!E34</f>
        <v/>
      </c>
      <c r="C24">
        <f>C23*(1+B24/100)</f>
        <v/>
      </c>
      <c r="D24">
        <f>Inputs!E37</f>
        <v/>
      </c>
      <c r="E24">
        <f>Inputs!E40</f>
        <v/>
      </c>
      <c r="F24">
        <f>1/(1+Inputs!$C$21)^3</f>
        <v/>
      </c>
      <c r="G24">
        <f>E24*F24</f>
        <v/>
      </c>
    </row>
    <row r="25">
      <c r="A25" t="inlineStr">
        <is>
          <t>FY2030</t>
        </is>
      </c>
      <c r="B25">
        <f>Inputs!F34</f>
        <v/>
      </c>
      <c r="C25">
        <f>C24*(1+B25/100)</f>
        <v/>
      </c>
      <c r="D25">
        <f>Inputs!F37</f>
        <v/>
      </c>
      <c r="E25">
        <f>Inputs!F40</f>
        <v/>
      </c>
      <c r="F25">
        <f>1/(1+Inputs!$C$21)^4</f>
        <v/>
      </c>
      <c r="G25">
        <f>E25*F25</f>
        <v/>
      </c>
    </row>
    <row r="26">
      <c r="A26" t="inlineStr">
        <is>
          <t>FY2031</t>
        </is>
      </c>
      <c r="B26">
        <f>Inputs!G34</f>
        <v/>
      </c>
      <c r="C26">
        <f>C25*(1+B26/100)</f>
        <v/>
      </c>
      <c r="D26">
        <f>Inputs!G37</f>
        <v/>
      </c>
      <c r="E26">
        <f>Inputs!G40</f>
        <v/>
      </c>
      <c r="F26">
        <f>1/(1+Inputs!$C$21)^5</f>
        <v/>
      </c>
      <c r="G26">
        <f>E26*F26</f>
        <v/>
      </c>
    </row>
    <row r="28">
      <c r="A28" t="inlineStr">
        <is>
          <t>PV dividends (cents)</t>
        </is>
      </c>
      <c r="B28">
        <f>SUM(G22:G26)</f>
        <v/>
      </c>
    </row>
    <row r="29">
      <c r="A29" t="inlineStr">
        <is>
          <t>Year-5 property value/share</t>
        </is>
      </c>
      <c r="B29">
        <f>C26*Inputs!C24</f>
        <v/>
      </c>
    </row>
    <row r="30">
      <c r="A30" t="inlineStr">
        <is>
          <t>Year-5 SIML value (m)</t>
        </is>
      </c>
      <c r="B30">
        <f>D26*Inputs!C25</f>
        <v/>
      </c>
    </row>
    <row r="31">
      <c r="A31" t="inlineStr">
        <is>
          <t>Year-5 SIML value/share</t>
        </is>
      </c>
      <c r="B31">
        <f>B30/Inputs!$B$4</f>
        <v/>
      </c>
    </row>
    <row r="32">
      <c r="A32" t="inlineStr">
        <is>
          <t>Year-5 exit value/share</t>
        </is>
      </c>
      <c r="B32">
        <f>B29+B31</f>
        <v/>
      </c>
    </row>
    <row r="33">
      <c r="A33" t="inlineStr">
        <is>
          <t>PV exit value/share</t>
        </is>
      </c>
      <c r="B33">
        <f>B32*F26</f>
        <v/>
      </c>
    </row>
    <row r="34">
      <c r="A34" s="2" t="inlineStr">
        <is>
          <t>SOTP-leg value per share (NZD)</t>
        </is>
      </c>
      <c r="B34" s="2">
        <f>B28/100+B33</f>
        <v/>
      </c>
    </row>
    <row r="37">
      <c r="A37" s="2" t="inlineStr">
        <is>
          <t>BEAR</t>
        </is>
      </c>
    </row>
    <row r="38">
      <c r="A38" s="3" t="inlineStr">
        <is>
          <t>Year</t>
        </is>
      </c>
      <c r="B38" s="3" t="inlineStr">
        <is>
          <t>NTA growth %</t>
        </is>
      </c>
      <c r="C38" s="3" t="inlineStr">
        <is>
          <t>Property NTA/share</t>
        </is>
      </c>
      <c r="D38" s="3" t="inlineStr">
        <is>
          <t>SIML NPAT (m)</t>
        </is>
      </c>
      <c r="E38" s="3" t="inlineStr">
        <is>
          <t>DPS cents</t>
        </is>
      </c>
      <c r="F38" s="3" t="inlineStr">
        <is>
          <t>Discount factor</t>
        </is>
      </c>
      <c r="G38" s="3" t="inlineStr">
        <is>
          <t>PV DPS cents</t>
        </is>
      </c>
    </row>
    <row r="39">
      <c r="A39" t="inlineStr">
        <is>
          <t>FY2027</t>
        </is>
      </c>
      <c r="B39">
        <f>Inputs!C35</f>
        <v/>
      </c>
      <c r="C39">
        <f>Inputs!$B$8*(1+B39/100)</f>
        <v/>
      </c>
      <c r="D39">
        <f>Inputs!C38</f>
        <v/>
      </c>
      <c r="E39">
        <f>Inputs!C41</f>
        <v/>
      </c>
      <c r="F39">
        <f>1/(1+Inputs!$D$21)^1</f>
        <v/>
      </c>
      <c r="G39">
        <f>E39*F39</f>
        <v/>
      </c>
    </row>
    <row r="40">
      <c r="A40" t="inlineStr">
        <is>
          <t>FY2028</t>
        </is>
      </c>
      <c r="B40">
        <f>Inputs!D35</f>
        <v/>
      </c>
      <c r="C40">
        <f>C39*(1+B40/100)</f>
        <v/>
      </c>
      <c r="D40">
        <f>Inputs!D38</f>
        <v/>
      </c>
      <c r="E40">
        <f>Inputs!D41</f>
        <v/>
      </c>
      <c r="F40">
        <f>1/(1+Inputs!$D$21)^2</f>
        <v/>
      </c>
      <c r="G40">
        <f>E40*F40</f>
        <v/>
      </c>
    </row>
    <row r="41">
      <c r="A41" t="inlineStr">
        <is>
          <t>FY2029</t>
        </is>
      </c>
      <c r="B41">
        <f>Inputs!E35</f>
        <v/>
      </c>
      <c r="C41">
        <f>C40*(1+B41/100)</f>
        <v/>
      </c>
      <c r="D41">
        <f>Inputs!E38</f>
        <v/>
      </c>
      <c r="E41">
        <f>Inputs!E41</f>
        <v/>
      </c>
      <c r="F41">
        <f>1/(1+Inputs!$D$21)^3</f>
        <v/>
      </c>
      <c r="G41">
        <f>E41*F41</f>
        <v/>
      </c>
    </row>
    <row r="42">
      <c r="A42" t="inlineStr">
        <is>
          <t>FY2030</t>
        </is>
      </c>
      <c r="B42">
        <f>Inputs!F35</f>
        <v/>
      </c>
      <c r="C42">
        <f>C41*(1+B42/100)</f>
        <v/>
      </c>
      <c r="D42">
        <f>Inputs!F38</f>
        <v/>
      </c>
      <c r="E42">
        <f>Inputs!F41</f>
        <v/>
      </c>
      <c r="F42">
        <f>1/(1+Inputs!$D$21)^4</f>
        <v/>
      </c>
      <c r="G42">
        <f>E42*F42</f>
        <v/>
      </c>
    </row>
    <row r="43">
      <c r="A43" t="inlineStr">
        <is>
          <t>FY2031</t>
        </is>
      </c>
      <c r="B43">
        <f>Inputs!G35</f>
        <v/>
      </c>
      <c r="C43">
        <f>C42*(1+B43/100)</f>
        <v/>
      </c>
      <c r="D43">
        <f>Inputs!G38</f>
        <v/>
      </c>
      <c r="E43">
        <f>Inputs!G41</f>
        <v/>
      </c>
      <c r="F43">
        <f>1/(1+Inputs!$D$21)^5</f>
        <v/>
      </c>
      <c r="G43">
        <f>E43*F43</f>
        <v/>
      </c>
    </row>
    <row r="45">
      <c r="A45" t="inlineStr">
        <is>
          <t>PV dividends (cents)</t>
        </is>
      </c>
      <c r="B45">
        <f>SUM(G39:G43)</f>
        <v/>
      </c>
    </row>
    <row r="46">
      <c r="A46" t="inlineStr">
        <is>
          <t>Year-5 property value/share</t>
        </is>
      </c>
      <c r="B46">
        <f>C43*Inputs!D24</f>
        <v/>
      </c>
    </row>
    <row r="47">
      <c r="A47" t="inlineStr">
        <is>
          <t>Year-5 SIML value (m)</t>
        </is>
      </c>
      <c r="B47">
        <f>D43*Inputs!D25</f>
        <v/>
      </c>
    </row>
    <row r="48">
      <c r="A48" t="inlineStr">
        <is>
          <t>Year-5 SIML value/share</t>
        </is>
      </c>
      <c r="B48">
        <f>B47/Inputs!$B$4</f>
        <v/>
      </c>
    </row>
    <row r="49">
      <c r="A49" t="inlineStr">
        <is>
          <t>Year-5 exit value/share</t>
        </is>
      </c>
      <c r="B49">
        <f>B46+B48</f>
        <v/>
      </c>
    </row>
    <row r="50">
      <c r="A50" t="inlineStr">
        <is>
          <t>PV exit value/share</t>
        </is>
      </c>
      <c r="B50">
        <f>B49*F43</f>
        <v/>
      </c>
    </row>
    <row r="51">
      <c r="A51" s="2" t="inlineStr">
        <is>
          <t>SOTP-leg value per share (NZD)</t>
        </is>
      </c>
      <c r="B51" s="2">
        <f>B45/100+B50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3" t="inlineStr">
        <is>
          <t>Scenario</t>
        </is>
      </c>
      <c r="B1" s="3" t="inlineStr">
        <is>
          <t>AFFO leg</t>
        </is>
      </c>
      <c r="C1" s="3" t="inlineStr">
        <is>
          <t>SOTP leg</t>
        </is>
      </c>
      <c r="D1" s="3" t="inlineStr">
        <is>
          <t>Blended IV</t>
        </is>
      </c>
      <c r="E1" s="3" t="inlineStr">
        <is>
          <t>Upside vs price</t>
        </is>
      </c>
      <c r="F1" s="3" t="inlineStr">
        <is>
          <t>Weight</t>
        </is>
      </c>
      <c r="G1" s="3" t="inlineStr">
        <is>
          <t>Entry price @ hurdle</t>
        </is>
      </c>
      <c r="H1" s="3" t="inlineStr">
        <is>
          <t>Implied P/NTA</t>
        </is>
      </c>
    </row>
    <row r="2">
      <c r="A2" t="inlineStr">
        <is>
          <t>base</t>
        </is>
      </c>
      <c r="B2">
        <f>AFFO_Leg!$B$16</f>
        <v/>
      </c>
      <c r="C2">
        <f>SOTP_Leg!$B$17</f>
        <v/>
      </c>
      <c r="D2">
        <f>Inputs!$B$16*B2+Inputs!$B$17*C2</f>
        <v/>
      </c>
      <c r="E2">
        <f>D2/Inputs!$B$3-1</f>
        <v/>
      </c>
      <c r="F2">
        <f>Inputs!B26</f>
        <v/>
      </c>
      <c r="G2">
        <f>AFFO_Leg!$B$24</f>
        <v/>
      </c>
      <c r="H2">
        <f>D2/Inputs!$B$5</f>
        <v/>
      </c>
    </row>
    <row r="3">
      <c r="A3" t="inlineStr">
        <is>
          <t>bull</t>
        </is>
      </c>
      <c r="B3">
        <f>AFFO_Leg!$B$40</f>
        <v/>
      </c>
      <c r="C3">
        <f>SOTP_Leg!$B$34</f>
        <v/>
      </c>
      <c r="D3">
        <f>Inputs!$B$16*B3+Inputs!$B$17*C3</f>
        <v/>
      </c>
      <c r="E3">
        <f>D3/Inputs!$B$3-1</f>
        <v/>
      </c>
      <c r="F3">
        <f>Inputs!C26</f>
        <v/>
      </c>
      <c r="G3">
        <f>AFFO_Leg!$B$48</f>
        <v/>
      </c>
      <c r="H3">
        <f>D3/Inputs!$B$5</f>
        <v/>
      </c>
    </row>
    <row r="4">
      <c r="A4" t="inlineStr">
        <is>
          <t>bear</t>
        </is>
      </c>
      <c r="B4">
        <f>AFFO_Leg!$B$64</f>
        <v/>
      </c>
      <c r="C4">
        <f>SOTP_Leg!$B$51</f>
        <v/>
      </c>
      <c r="D4">
        <f>Inputs!$B$16*B4+Inputs!$B$17*C4</f>
        <v/>
      </c>
      <c r="E4">
        <f>D4/Inputs!$B$3-1</f>
        <v/>
      </c>
      <c r="F4">
        <f>Inputs!D26</f>
        <v/>
      </c>
      <c r="G4">
        <f>AFFO_Leg!$B$72</f>
        <v/>
      </c>
      <c r="H4">
        <f>D4/Inputs!$B$5</f>
        <v/>
      </c>
    </row>
    <row r="6">
      <c r="A6" s="2" t="inlineStr">
        <is>
          <t>Probability-weighted IV</t>
        </is>
      </c>
      <c r="D6" s="2">
        <f>SUMPRODUCT(D2:D4,F2:F4)</f>
        <v/>
      </c>
    </row>
    <row r="7">
      <c r="A7" t="inlineStr">
        <is>
          <t>Weighted upside vs price</t>
        </is>
      </c>
      <c r="D7">
        <f>D6/Inputs!$B$3-1</f>
        <v/>
      </c>
    </row>
    <row r="8">
      <c r="A8" s="2" t="inlineStr">
        <is>
          <t>Weighted entry price</t>
        </is>
      </c>
      <c r="G8" s="2">
        <f>SUMPRODUCT(G2:G4,F2:F4)</f>
        <v/>
      </c>
    </row>
    <row r="9">
      <c r="A9" t="inlineStr">
        <is>
          <t>Weights sum</t>
        </is>
      </c>
      <c r="F9">
        <f>SUM(F2:F4)</f>
        <v/>
      </c>
    </row>
    <row r="11">
      <c r="A11" s="2" t="inlineStr">
        <is>
          <t>Required-return table (base AFFO leg; TV rebuilt at each rate)</t>
        </is>
      </c>
    </row>
    <row r="12">
      <c r="A12" s="3" t="inlineStr">
        <is>
          <t>Rate %</t>
        </is>
      </c>
      <c r="B12" s="3" t="inlineStr">
        <is>
          <t>Value/share</t>
        </is>
      </c>
    </row>
    <row r="13">
      <c r="A13" s="1" t="n">
        <v>9</v>
      </c>
      <c r="B13">
        <f>(AFFO_Leg!$C$5/(1+$A13/100)^1+AFFO_Leg!$C$6/(1+$A13/100)^2+AFFO_Leg!$C$7/(1+$A13/100)^3+AFFO_Leg!$C$8/(1+$A13/100)^4+AFFO_Leg!$C$9/(1+$A13/100)^5+MIN(AFFO_Leg!$C$9*(1+Inputs!$B$22/100)/($A13/100-Inputs!$B$22/100),AFFO_Leg!$C$9/(Inputs!$B$23/100))/(1+$A13/100)^5)/100</f>
        <v/>
      </c>
    </row>
    <row r="14">
      <c r="A14" s="1" t="n">
        <v>10</v>
      </c>
      <c r="B14">
        <f>(AFFO_Leg!$C$5/(1+$A14/100)^1+AFFO_Leg!$C$6/(1+$A14/100)^2+AFFO_Leg!$C$7/(1+$A14/100)^3+AFFO_Leg!$C$8/(1+$A14/100)^4+AFFO_Leg!$C$9/(1+$A14/100)^5+MIN(AFFO_Leg!$C$9*(1+Inputs!$B$22/100)/($A14/100-Inputs!$B$22/100),AFFO_Leg!$C$9/(Inputs!$B$23/100))/(1+$A14/100)^5)/100</f>
        <v/>
      </c>
    </row>
    <row r="15">
      <c r="A15" s="1" t="n">
        <v>11</v>
      </c>
      <c r="B15">
        <f>(AFFO_Leg!$C$5/(1+$A15/100)^1+AFFO_Leg!$C$6/(1+$A15/100)^2+AFFO_Leg!$C$7/(1+$A15/100)^3+AFFO_Leg!$C$8/(1+$A15/100)^4+AFFO_Leg!$C$9/(1+$A15/100)^5+MIN(AFFO_Leg!$C$9*(1+Inputs!$B$22/100)/($A15/100-Inputs!$B$22/100),AFFO_Leg!$C$9/(Inputs!$B$23/100))/(1+$A15/100)^5)/100</f>
        <v/>
      </c>
    </row>
    <row r="16">
      <c r="A16" s="1" t="n">
        <v>12</v>
      </c>
      <c r="B16">
        <f>(AFFO_Leg!$C$5/(1+$A16/100)^1+AFFO_Leg!$C$6/(1+$A16/100)^2+AFFO_Leg!$C$7/(1+$A16/100)^3+AFFO_Leg!$C$8/(1+$A16/100)^4+AFFO_Leg!$C$9/(1+$A16/100)^5+MIN(AFFO_Leg!$C$9*(1+Inputs!$B$22/100)/($A16/100-Inputs!$B$22/100),AFFO_Leg!$C$9/(Inputs!$B$23/100))/(1+$A16/100)^5)/100</f>
        <v/>
      </c>
    </row>
    <row r="17">
      <c r="A17" s="1" t="n">
        <v>15</v>
      </c>
      <c r="B17">
        <f>(AFFO_Leg!$C$5/(1+$A17/100)^1+AFFO_Leg!$C$6/(1+$A17/100)^2+AFFO_Leg!$C$7/(1+$A17/100)^3+AFFO_Leg!$C$8/(1+$A17/100)^4+AFFO_Leg!$C$9/(1+$A17/100)^5+MIN(AFFO_Leg!$C$9*(1+Inputs!$B$22/100)/($A17/100-Inputs!$B$22/100),AFFO_Leg!$C$9/(Inputs!$B$23/100))/(1+$A17/100)^5)/100</f>
        <v/>
      </c>
    </row>
    <row r="20">
      <c r="A20" s="2" t="inlineStr">
        <is>
          <t>Sensitivity: base AFFO leg -- rows CoE %, columns terminal growth % (cap fixed at base exit yield)</t>
        </is>
      </c>
    </row>
    <row r="21">
      <c r="B21" s="1" t="n">
        <v>1.5</v>
      </c>
      <c r="C21" s="1" t="n">
        <v>2</v>
      </c>
      <c r="D21" s="1" t="n">
        <v>2.5</v>
      </c>
      <c r="E21" s="1" t="n">
        <v>3</v>
      </c>
      <c r="F21" s="1" t="n">
        <v>3.5</v>
      </c>
    </row>
    <row r="22">
      <c r="A22" s="1" t="n">
        <v>9</v>
      </c>
      <c r="B22">
        <f>(AFFO_Leg!$C$5/(1+$A22/100)^1+AFFO_Leg!$C$6/(1+$A22/100)^2+AFFO_Leg!$C$7/(1+$A22/100)^3+AFFO_Leg!$C$8/(1+$A22/100)^4+AFFO_Leg!$C$9/(1+$A22/100)^5+MIN(AFFO_Leg!$C$9*(1+B$21/100)/($A22/100-B$21/100),AFFO_Leg!$C$9/(Inputs!$B$23/100))/(1+$A22/100)^5)/100</f>
        <v/>
      </c>
      <c r="C22">
        <f>(AFFO_Leg!$C$5/(1+$A22/100)^1+AFFO_Leg!$C$6/(1+$A22/100)^2+AFFO_Leg!$C$7/(1+$A22/100)^3+AFFO_Leg!$C$8/(1+$A22/100)^4+AFFO_Leg!$C$9/(1+$A22/100)^5+MIN(AFFO_Leg!$C$9*(1+C$21/100)/($A22/100-C$21/100),AFFO_Leg!$C$9/(Inputs!$B$23/100))/(1+$A22/100)^5)/100</f>
        <v/>
      </c>
      <c r="D22">
        <f>(AFFO_Leg!$C$5/(1+$A22/100)^1+AFFO_Leg!$C$6/(1+$A22/100)^2+AFFO_Leg!$C$7/(1+$A22/100)^3+AFFO_Leg!$C$8/(1+$A22/100)^4+AFFO_Leg!$C$9/(1+$A22/100)^5+MIN(AFFO_Leg!$C$9*(1+D$21/100)/($A22/100-D$21/100),AFFO_Leg!$C$9/(Inputs!$B$23/100))/(1+$A22/100)^5)/100</f>
        <v/>
      </c>
      <c r="E22">
        <f>(AFFO_Leg!$C$5/(1+$A22/100)^1+AFFO_Leg!$C$6/(1+$A22/100)^2+AFFO_Leg!$C$7/(1+$A22/100)^3+AFFO_Leg!$C$8/(1+$A22/100)^4+AFFO_Leg!$C$9/(1+$A22/100)^5+MIN(AFFO_Leg!$C$9*(1+E$21/100)/($A22/100-E$21/100),AFFO_Leg!$C$9/(Inputs!$B$23/100))/(1+$A22/100)^5)/100</f>
        <v/>
      </c>
      <c r="F22">
        <f>(AFFO_Leg!$C$5/(1+$A22/100)^1+AFFO_Leg!$C$6/(1+$A22/100)^2+AFFO_Leg!$C$7/(1+$A22/100)^3+AFFO_Leg!$C$8/(1+$A22/100)^4+AFFO_Leg!$C$9/(1+$A22/100)^5+MIN(AFFO_Leg!$C$9*(1+F$21/100)/($A22/100-F$21/100),AFFO_Leg!$C$9/(Inputs!$B$23/100))/(1+$A22/100)^5)/100</f>
        <v/>
      </c>
    </row>
    <row r="23">
      <c r="A23" s="1" t="n">
        <v>10</v>
      </c>
      <c r="B23">
        <f>(AFFO_Leg!$C$5/(1+$A23/100)^1+AFFO_Leg!$C$6/(1+$A23/100)^2+AFFO_Leg!$C$7/(1+$A23/100)^3+AFFO_Leg!$C$8/(1+$A23/100)^4+AFFO_Leg!$C$9/(1+$A23/100)^5+MIN(AFFO_Leg!$C$9*(1+B$21/100)/($A23/100-B$21/100),AFFO_Leg!$C$9/(Inputs!$B$23/100))/(1+$A23/100)^5)/100</f>
        <v/>
      </c>
      <c r="C23">
        <f>(AFFO_Leg!$C$5/(1+$A23/100)^1+AFFO_Leg!$C$6/(1+$A23/100)^2+AFFO_Leg!$C$7/(1+$A23/100)^3+AFFO_Leg!$C$8/(1+$A23/100)^4+AFFO_Leg!$C$9/(1+$A23/100)^5+MIN(AFFO_Leg!$C$9*(1+C$21/100)/($A23/100-C$21/100),AFFO_Leg!$C$9/(Inputs!$B$23/100))/(1+$A23/100)^5)/100</f>
        <v/>
      </c>
      <c r="D23">
        <f>(AFFO_Leg!$C$5/(1+$A23/100)^1+AFFO_Leg!$C$6/(1+$A23/100)^2+AFFO_Leg!$C$7/(1+$A23/100)^3+AFFO_Leg!$C$8/(1+$A23/100)^4+AFFO_Leg!$C$9/(1+$A23/100)^5+MIN(AFFO_Leg!$C$9*(1+D$21/100)/($A23/100-D$21/100),AFFO_Leg!$C$9/(Inputs!$B$23/100))/(1+$A23/100)^5)/100</f>
        <v/>
      </c>
      <c r="E23">
        <f>(AFFO_Leg!$C$5/(1+$A23/100)^1+AFFO_Leg!$C$6/(1+$A23/100)^2+AFFO_Leg!$C$7/(1+$A23/100)^3+AFFO_Leg!$C$8/(1+$A23/100)^4+AFFO_Leg!$C$9/(1+$A23/100)^5+MIN(AFFO_Leg!$C$9*(1+E$21/100)/($A23/100-E$21/100),AFFO_Leg!$C$9/(Inputs!$B$23/100))/(1+$A23/100)^5)/100</f>
        <v/>
      </c>
      <c r="F23">
        <f>(AFFO_Leg!$C$5/(1+$A23/100)^1+AFFO_Leg!$C$6/(1+$A23/100)^2+AFFO_Leg!$C$7/(1+$A23/100)^3+AFFO_Leg!$C$8/(1+$A23/100)^4+AFFO_Leg!$C$9/(1+$A23/100)^5+MIN(AFFO_Leg!$C$9*(1+F$21/100)/($A23/100-F$21/100),AFFO_Leg!$C$9/(Inputs!$B$23/100))/(1+$A23/100)^5)/100</f>
        <v/>
      </c>
    </row>
    <row r="24">
      <c r="A24" s="1" t="n">
        <v>11</v>
      </c>
      <c r="B24">
        <f>(AFFO_Leg!$C$5/(1+$A24/100)^1+AFFO_Leg!$C$6/(1+$A24/100)^2+AFFO_Leg!$C$7/(1+$A24/100)^3+AFFO_Leg!$C$8/(1+$A24/100)^4+AFFO_Leg!$C$9/(1+$A24/100)^5+MIN(AFFO_Leg!$C$9*(1+B$21/100)/($A24/100-B$21/100),AFFO_Leg!$C$9/(Inputs!$B$23/100))/(1+$A24/100)^5)/100</f>
        <v/>
      </c>
      <c r="C24">
        <f>(AFFO_Leg!$C$5/(1+$A24/100)^1+AFFO_Leg!$C$6/(1+$A24/100)^2+AFFO_Leg!$C$7/(1+$A24/100)^3+AFFO_Leg!$C$8/(1+$A24/100)^4+AFFO_Leg!$C$9/(1+$A24/100)^5+MIN(AFFO_Leg!$C$9*(1+C$21/100)/($A24/100-C$21/100),AFFO_Leg!$C$9/(Inputs!$B$23/100))/(1+$A24/100)^5)/100</f>
        <v/>
      </c>
      <c r="D24">
        <f>(AFFO_Leg!$C$5/(1+$A24/100)^1+AFFO_Leg!$C$6/(1+$A24/100)^2+AFFO_Leg!$C$7/(1+$A24/100)^3+AFFO_Leg!$C$8/(1+$A24/100)^4+AFFO_Leg!$C$9/(1+$A24/100)^5+MIN(AFFO_Leg!$C$9*(1+D$21/100)/($A24/100-D$21/100),AFFO_Leg!$C$9/(Inputs!$B$23/100))/(1+$A24/100)^5)/100</f>
        <v/>
      </c>
      <c r="E24">
        <f>(AFFO_Leg!$C$5/(1+$A24/100)^1+AFFO_Leg!$C$6/(1+$A24/100)^2+AFFO_Leg!$C$7/(1+$A24/100)^3+AFFO_Leg!$C$8/(1+$A24/100)^4+AFFO_Leg!$C$9/(1+$A24/100)^5+MIN(AFFO_Leg!$C$9*(1+E$21/100)/($A24/100-E$21/100),AFFO_Leg!$C$9/(Inputs!$B$23/100))/(1+$A24/100)^5)/100</f>
        <v/>
      </c>
      <c r="F24">
        <f>(AFFO_Leg!$C$5/(1+$A24/100)^1+AFFO_Leg!$C$6/(1+$A24/100)^2+AFFO_Leg!$C$7/(1+$A24/100)^3+AFFO_Leg!$C$8/(1+$A24/100)^4+AFFO_Leg!$C$9/(1+$A24/100)^5+MIN(AFFO_Leg!$C$9*(1+F$21/100)/($A24/100-F$21/100),AFFO_Leg!$C$9/(Inputs!$B$23/100))/(1+$A24/100)^5)/100</f>
        <v/>
      </c>
    </row>
    <row r="25">
      <c r="A25" s="1" t="n">
        <v>12</v>
      </c>
      <c r="B25">
        <f>(AFFO_Leg!$C$5/(1+$A25/100)^1+AFFO_Leg!$C$6/(1+$A25/100)^2+AFFO_Leg!$C$7/(1+$A25/100)^3+AFFO_Leg!$C$8/(1+$A25/100)^4+AFFO_Leg!$C$9/(1+$A25/100)^5+MIN(AFFO_Leg!$C$9*(1+B$21/100)/($A25/100-B$21/100),AFFO_Leg!$C$9/(Inputs!$B$23/100))/(1+$A25/100)^5)/100</f>
        <v/>
      </c>
      <c r="C25">
        <f>(AFFO_Leg!$C$5/(1+$A25/100)^1+AFFO_Leg!$C$6/(1+$A25/100)^2+AFFO_Leg!$C$7/(1+$A25/100)^3+AFFO_Leg!$C$8/(1+$A25/100)^4+AFFO_Leg!$C$9/(1+$A25/100)^5+MIN(AFFO_Leg!$C$9*(1+C$21/100)/($A25/100-C$21/100),AFFO_Leg!$C$9/(Inputs!$B$23/100))/(1+$A25/100)^5)/100</f>
        <v/>
      </c>
      <c r="D25">
        <f>(AFFO_Leg!$C$5/(1+$A25/100)^1+AFFO_Leg!$C$6/(1+$A25/100)^2+AFFO_Leg!$C$7/(1+$A25/100)^3+AFFO_Leg!$C$8/(1+$A25/100)^4+AFFO_Leg!$C$9/(1+$A25/100)^5+MIN(AFFO_Leg!$C$9*(1+D$21/100)/($A25/100-D$21/100),AFFO_Leg!$C$9/(Inputs!$B$23/100))/(1+$A25/100)^5)/100</f>
        <v/>
      </c>
      <c r="E25">
        <f>(AFFO_Leg!$C$5/(1+$A25/100)^1+AFFO_Leg!$C$6/(1+$A25/100)^2+AFFO_Leg!$C$7/(1+$A25/100)^3+AFFO_Leg!$C$8/(1+$A25/100)^4+AFFO_Leg!$C$9/(1+$A25/100)^5+MIN(AFFO_Leg!$C$9*(1+E$21/100)/($A25/100-E$21/100),AFFO_Leg!$C$9/(Inputs!$B$23/100))/(1+$A25/100)^5)/100</f>
        <v/>
      </c>
      <c r="F25">
        <f>(AFFO_Leg!$C$5/(1+$A25/100)^1+AFFO_Leg!$C$6/(1+$A25/100)^2+AFFO_Leg!$C$7/(1+$A25/100)^3+AFFO_Leg!$C$8/(1+$A25/100)^4+AFFO_Leg!$C$9/(1+$A25/100)^5+MIN(AFFO_Leg!$C$9*(1+F$21/100)/($A25/100-F$21/100),AFFO_Leg!$C$9/(Inputs!$B$23/100))/(1+$A25/100)^5)/100</f>
        <v/>
      </c>
    </row>
    <row r="26">
      <c r="A26" s="1" t="n">
        <v>13</v>
      </c>
      <c r="B26">
        <f>(AFFO_Leg!$C$5/(1+$A26/100)^1+AFFO_Leg!$C$6/(1+$A26/100)^2+AFFO_Leg!$C$7/(1+$A26/100)^3+AFFO_Leg!$C$8/(1+$A26/100)^4+AFFO_Leg!$C$9/(1+$A26/100)^5+MIN(AFFO_Leg!$C$9*(1+B$21/100)/($A26/100-B$21/100),AFFO_Leg!$C$9/(Inputs!$B$23/100))/(1+$A26/100)^5)/100</f>
        <v/>
      </c>
      <c r="C26">
        <f>(AFFO_Leg!$C$5/(1+$A26/100)^1+AFFO_Leg!$C$6/(1+$A26/100)^2+AFFO_Leg!$C$7/(1+$A26/100)^3+AFFO_Leg!$C$8/(1+$A26/100)^4+AFFO_Leg!$C$9/(1+$A26/100)^5+MIN(AFFO_Leg!$C$9*(1+C$21/100)/($A26/100-C$21/100),AFFO_Leg!$C$9/(Inputs!$B$23/100))/(1+$A26/100)^5)/100</f>
        <v/>
      </c>
      <c r="D26">
        <f>(AFFO_Leg!$C$5/(1+$A26/100)^1+AFFO_Leg!$C$6/(1+$A26/100)^2+AFFO_Leg!$C$7/(1+$A26/100)^3+AFFO_Leg!$C$8/(1+$A26/100)^4+AFFO_Leg!$C$9/(1+$A26/100)^5+MIN(AFFO_Leg!$C$9*(1+D$21/100)/($A26/100-D$21/100),AFFO_Leg!$C$9/(Inputs!$B$23/100))/(1+$A26/100)^5)/100</f>
        <v/>
      </c>
      <c r="E26">
        <f>(AFFO_Leg!$C$5/(1+$A26/100)^1+AFFO_Leg!$C$6/(1+$A26/100)^2+AFFO_Leg!$C$7/(1+$A26/100)^3+AFFO_Leg!$C$8/(1+$A26/100)^4+AFFO_Leg!$C$9/(1+$A26/100)^5+MIN(AFFO_Leg!$C$9*(1+E$21/100)/($A26/100-E$21/100),AFFO_Leg!$C$9/(Inputs!$B$23/100))/(1+$A26/100)^5)/100</f>
        <v/>
      </c>
      <c r="F26">
        <f>(AFFO_Leg!$C$5/(1+$A26/100)^1+AFFO_Leg!$C$6/(1+$A26/100)^2+AFFO_Leg!$C$7/(1+$A26/100)^3+AFFO_Leg!$C$8/(1+$A26/100)^4+AFFO_Leg!$C$9/(1+$A26/100)^5+MIN(AFFO_Leg!$C$9*(1+F$21/100)/($A26/100-F$21/100),AFFO_Leg!$C$9/(Inputs!$B$23/100))/(1+$A26/100)^5)/100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FY</t>
        </is>
      </c>
      <c r="B1" s="3" t="inlineStr">
        <is>
          <t>Price (31-Mar close)</t>
        </is>
      </c>
      <c r="C1" s="3" t="inlineStr">
        <is>
          <t>NTA/share</t>
        </is>
      </c>
      <c r="D1" s="3" t="inlineStr">
        <is>
          <t>P/NTA</t>
        </is>
      </c>
      <c r="E1" s="3" t="inlineStr">
        <is>
          <t>AFFO cps</t>
        </is>
      </c>
      <c r="F1" s="3" t="inlineStr">
        <is>
          <t>P/AFFO</t>
        </is>
      </c>
      <c r="G1" s="3" t="inlineStr">
        <is>
          <t>DPPS cents</t>
        </is>
      </c>
      <c r="H1" s="3" t="inlineStr">
        <is>
          <t>Ext mgmt fees (m)</t>
        </is>
      </c>
    </row>
    <row r="2">
      <c r="A2" t="inlineStr">
        <is>
          <t>FY2017</t>
        </is>
      </c>
      <c r="B2" s="1" t="n">
        <v>1.75</v>
      </c>
      <c r="C2" s="1" t="n">
        <v>1.67</v>
      </c>
      <c r="D2">
        <f>B2/C2</f>
        <v/>
      </c>
      <c r="E2" s="1" t="n">
        <v>8.720000000000001</v>
      </c>
      <c r="F2">
        <f>B2/E2*100</f>
        <v/>
      </c>
      <c r="G2" s="1" t="n">
        <v>10.33</v>
      </c>
      <c r="H2" s="1" t="n">
        <v>8.541</v>
      </c>
    </row>
    <row r="3">
      <c r="A3" t="inlineStr">
        <is>
          <t>FY2018</t>
        </is>
      </c>
      <c r="B3" s="1" t="n">
        <v>1.73</v>
      </c>
      <c r="C3" s="1" t="n">
        <v>1.82</v>
      </c>
      <c r="D3">
        <f>B3/C3</f>
        <v/>
      </c>
      <c r="E3" s="1" t="n">
        <v>9.119999999999999</v>
      </c>
      <c r="F3">
        <f>B3/E3*100</f>
        <v/>
      </c>
      <c r="G3" s="1" t="n">
        <v>10.63</v>
      </c>
      <c r="H3" s="1" t="n">
        <v>13.275</v>
      </c>
    </row>
    <row r="4">
      <c r="A4" t="inlineStr">
        <is>
          <t>FY2019</t>
        </is>
      </c>
      <c r="B4" s="1" t="n">
        <v>2.03</v>
      </c>
      <c r="C4" s="1" t="n">
        <v>1.92</v>
      </c>
      <c r="D4">
        <f>B4/C4</f>
        <v/>
      </c>
      <c r="E4" s="1" t="n">
        <v>8.880000000000001</v>
      </c>
      <c r="F4">
        <f>B4/E4*100</f>
        <v/>
      </c>
      <c r="G4" s="1" t="n">
        <v>10.62</v>
      </c>
      <c r="H4" s="1" t="n">
        <v>15.707</v>
      </c>
    </row>
    <row r="5">
      <c r="A5" t="inlineStr">
        <is>
          <t>FY2020</t>
        </is>
      </c>
      <c r="B5" s="1" t="n">
        <v>1.51</v>
      </c>
      <c r="C5" s="1" t="n">
        <v>1.91</v>
      </c>
      <c r="D5">
        <f>B5/C5</f>
        <v/>
      </c>
      <c r="E5" s="1" t="n">
        <v>8.710000000000001</v>
      </c>
      <c r="F5">
        <f>B5/E5*100</f>
        <v/>
      </c>
      <c r="G5" s="1" t="n">
        <v>10.32</v>
      </c>
      <c r="H5" s="1" t="n">
        <v>18.279</v>
      </c>
    </row>
    <row r="6">
      <c r="A6" t="inlineStr">
        <is>
          <t>FY2021</t>
        </is>
      </c>
      <c r="B6" s="1" t="n">
        <v>2.32</v>
      </c>
      <c r="C6" s="1" t="n">
        <v>2.15</v>
      </c>
      <c r="D6">
        <f>B6/C6</f>
        <v/>
      </c>
      <c r="E6" s="1" t="n">
        <v>10.83</v>
      </c>
      <c r="F6">
        <f>B6/E6*100</f>
        <v/>
      </c>
      <c r="G6" s="1" t="n">
        <v>11.58</v>
      </c>
      <c r="H6" s="1" t="n">
        <v>25.057</v>
      </c>
    </row>
    <row r="7">
      <c r="A7" t="inlineStr">
        <is>
          <t>FY2022</t>
        </is>
      </c>
      <c r="B7" s="1" t="n">
        <v>1.98</v>
      </c>
      <c r="C7" s="1" t="n">
        <v>2.28</v>
      </c>
      <c r="D7">
        <f>B7/C7</f>
        <v/>
      </c>
      <c r="E7" s="1" t="n">
        <v>10.09</v>
      </c>
      <c r="F7">
        <f>B7/E7*100</f>
        <v/>
      </c>
      <c r="G7" s="1" t="n">
        <v>10.95</v>
      </c>
      <c r="H7" s="1" t="n">
        <v>24.272</v>
      </c>
    </row>
    <row r="8">
      <c r="A8" t="inlineStr">
        <is>
          <t>FY2023</t>
        </is>
      </c>
      <c r="B8" s="1" t="n">
        <v>1.29</v>
      </c>
      <c r="C8" s="1" t="n">
        <v>1.98</v>
      </c>
      <c r="D8">
        <f>B8/C8</f>
        <v/>
      </c>
      <c r="E8" s="1" t="n">
        <v>9.539999999999999</v>
      </c>
      <c r="F8">
        <f>B8/E8*100</f>
        <v/>
      </c>
      <c r="G8" s="1" t="n">
        <v>10.66</v>
      </c>
      <c r="H8" s="1" t="n">
        <v>23.312</v>
      </c>
    </row>
    <row r="9">
      <c r="A9" t="inlineStr">
        <is>
          <t>FY2024</t>
        </is>
      </c>
      <c r="B9" s="1" t="n">
        <v>1.25</v>
      </c>
      <c r="C9" s="1" t="n">
        <v>1.78</v>
      </c>
      <c r="D9">
        <f>B9/C9</f>
        <v/>
      </c>
      <c r="E9" s="1" t="n">
        <v>9.619999999999999</v>
      </c>
      <c r="F9">
        <f>B9/E9*100</f>
        <v/>
      </c>
      <c r="G9" s="1" t="n">
        <v>10.76</v>
      </c>
      <c r="H9" s="1" t="n">
        <v>19.853</v>
      </c>
    </row>
    <row r="10">
      <c r="A10" t="inlineStr">
        <is>
          <t>FY2025</t>
        </is>
      </c>
      <c r="B10" s="1" t="n">
        <v>1.1</v>
      </c>
      <c r="C10" s="1" t="n">
        <v>1.72</v>
      </c>
      <c r="D10">
        <f>B10/C10</f>
        <v/>
      </c>
      <c r="E10" s="1" t="n">
        <v>7.53</v>
      </c>
      <c r="F10">
        <f>B10/E10*100</f>
        <v/>
      </c>
      <c r="G10" s="1" t="n">
        <v>8.640000000000001</v>
      </c>
      <c r="H10" s="1" t="n">
        <v>20.415</v>
      </c>
    </row>
    <row r="11">
      <c r="A11" t="inlineStr">
        <is>
          <t>FY2026</t>
        </is>
      </c>
      <c r="B11" s="1" t="n">
        <v>1.11</v>
      </c>
      <c r="C11" s="1" t="n">
        <v>1.69</v>
      </c>
      <c r="D11">
        <f>B11/C11</f>
        <v/>
      </c>
      <c r="E11" s="1" t="n">
        <v>7.6</v>
      </c>
      <c r="F11">
        <f>B11/E11*100</f>
        <v/>
      </c>
      <c r="G11" s="1" t="n">
        <v>8.779999999999999</v>
      </c>
      <c r="H11" s="1" t="n">
        <v>22.909</v>
      </c>
    </row>
    <row r="13">
      <c r="A13" t="inlineStr">
        <is>
          <t>Average P/NTA</t>
        </is>
      </c>
      <c r="D13">
        <f>AVERAGE(D2:D11)</f>
        <v/>
      </c>
      <c r="F13">
        <f>AVERAGE(F2:F11)</f>
        <v/>
      </c>
    </row>
    <row r="14">
      <c r="A14" t="inlineStr">
        <is>
          <t>Current P/NTA</t>
        </is>
      </c>
      <c r="D14">
        <f>Inputs!B3/Inputs!B5</f>
        <v/>
      </c>
      <c r="F14">
        <f>Inputs!B3/Inputs!B10*100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2026-09-02T09:27:12Z</dcterms:created>
  <dcterms:modified xsi:type="dcterms:W3CDTF">2026-09-02T09:27:12Z</dcterms:modified>
</cp:coreProperties>
</file>