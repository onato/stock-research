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<sst xmlns="http://schemas.openxmlformats.org/spreadsheetml/2006/main" count="364" uniqueCount="168">
  <si>
    <t xml:space="preserve">Ticker</t>
  </si>
  <si>
    <t xml:space="preserve">EXPN.L</t>
  </si>
  <si>
    <t xml:space="preserve">Company</t>
  </si>
  <si>
    <t xml:space="preserve">Experian plc</t>
  </si>
  <si>
    <t xml:space="preserve">Valuation date</t>
  </si>
  <si>
    <t xml:space="preserve">2026-10-10</t>
  </si>
  <si>
    <t xml:space="preserve">Current price</t>
  </si>
  <si>
    <t xml:space="preserve">Price as of</t>
  </si>
  <si>
    <t xml:space="preserve">2026-10-09T15:49:18Z (LSE regular close; Yahoo chart meta). 52-week range 2203-3707p.</t>
  </si>
  <si>
    <t xml:space="preserve">Balance sheet date</t>
  </si>
  <si>
    <t xml:space="preserve">2026-03-31 (derived from the FY26 preliminary results deck: net debt / Benchmark EBITDA 1.7x on Benchmark EBITDA c.US$3,015m and a c.US$0.5bn increase in net debt from the filed US$4,684m at 2025-03-31, giving company-defined net debt c.US$5,150m incl. c.US$140m lease obligations; last FILED balance sheet is H1 FY26 at 2025-09-30: net debt US$5,180m, lease obligations US$140m, cash US$288m). Replace with the FY26 annual report figures when extracted.</t>
  </si>
  <si>
    <t xml:space="preserve">Model</t>
  </si>
  <si>
    <t xml:space="preserve">owner_fcf_dcf_component</t>
  </si>
  <si>
    <t xml:space="preserve">Currency (model)</t>
  </si>
  <si>
    <t xml:space="preserve">USD</t>
  </si>
  <si>
    <t xml:space="preserve">Currency (quote)</t>
  </si>
  <si>
    <t xml:space="preserve">GBp</t>
  </si>
  <si>
    <t xml:space="preserve">Units</t>
  </si>
  <si>
    <t xml:space="preserve">millions</t>
  </si>
  <si>
    <t xml:space="preserve">Engine</t>
  </si>
  <si>
    <t xml:space="preserve">dcf_engine v1</t>
  </si>
  <si>
    <t xml:space="preserve">Built at</t>
  </si>
  <si>
    <t xml:space="preserve">2026-10-09T23:03:11Z</t>
  </si>
  <si>
    <t xml:space="preserve">Drivers file</t>
  </si>
  <si>
    <t xml:space="preserve">EXPN.L_Drivers.json</t>
  </si>
  <si>
    <t xml:space="preserve">Convention</t>
  </si>
  <si>
    <t xml:space="preserve">Percents stored as percents; formulas divide by 100. Blue = input, green = link, black = formula.</t>
  </si>
  <si>
    <t xml:space="preserve">Methodology</t>
  </si>
  <si>
    <t xml:space="preserve">summary: Experian is valued as an unlevered owner-FCF stream in USD, converted to pence at the spot rate. The value rests on three things the components make auditable: organic growth fading from guided 7-8% to 3% over ten years, a pre-SBC EBITDA margin that expands only at the guided +30-50bps/yr pace and then plateaus, and a capex/D&amp;A pair that normalises to 7.0%/6.5% as the cloud migration completes. SBC (c.1.7% of revenue) is expensed and the share count held flat, so the two concurrent US$1bn buybacks add nothing to value here -- they are the mechanism for the flat count. Leases are charged once as operating cost and excluded from net debt. Risk is charged once, in the flows and the 25/50/25 weights, not in a scenario-specific WACC. Terminal value is Gordon at 8.5%/3.0% (18.7x, below the 20x cap) in base and bull and capped at 15x in bear.
key_risks_to_valuation: AI/agentic disintermediation of bureau data and decisioning -- the bear axis; if proprietary data loses pricing power the margin path reverses rather than plateaus; US, Brazil and UK credit-cycle sensitivity -- Financial Services is c.53% of revenue and the Board flags macro risk as increasing; CFPB FCRA lawsuit (filed January 2025, in discovery) -- fines, redress and mandated dispute-handling changes in the largest market; Rising net interest (FY27 US$250-260m) and leverage to 2.3x pro forma for buybacks and M&amp;A -- less balance-sheet room if a downturn arrives; FX: USD flows against a GBp quote; a 5% GBP move shifts every pence value c.5% with no change in the business; BRL/GBP translation moves Benchmark EPS c.2c/1c per 10%; Anchor vintage: net debt and diluted shares at 31 March 2026 are derived from the FY26 prelim deck, not a filed balance sheet; SBC for FY26 is an H1-scaled estimate -- replace with the FY26 annual report when extracted; Discount-rate sensitivity: with Gordon binding at 18.7x in base, a 1pp move in WACC moves the base value by roughly a fifth</t>
  </si>
  <si>
    <t xml:space="preserve">Data sources</t>
  </si>
  <si>
    <t xml:space="preserve">price: Yahoo Finance chart API (EXPN.L, GBp) at inputs.price_as_of; 52-week range 2203-3707p. FX from Yahoo GBPUSD=X at the date in inputs.fx_note; parity check against the EXPGY ADR.
financials: EXPN.L_Metrics.csv (FY2016-FY2026, US$m) from the annual reports FY2016-FY2025 (EXPN.L_Annual_FY2025.txt: cash flow statement, note 13 D&amp;A split, note 27/29 borrowings and lease obligations, note 18 diluted shares), the H1 FY26 interim (cash flow and net debt summary, note 19 net debt) and the FY26 preliminary results deck (EXPN.L_Annual_FY2026.txt: revenue, Benchmark EBIT, OCF, FCF, net debt/EBITDA, WANOS, FY27 guidance).
qualitative: EXPN.L_Analysis.json (2026-10-10): business model, moat, AI-disruption and CFPB risks, FY27 guidance, bull/bear cases.</t>
  </si>
  <si>
    <t xml:space="preserve">Scenario narrative: bear</t>
  </si>
  <si>
    <t xml:space="preserve">Agentic AI and open-banking data networks erode the bureau's pricing power: Decisioning and Marketing Services get commoditised by LLM-native tools, Consumer Services loses marketplace economics to Intuit/Credit Karma, and a US/Brazil credit downturn (the Board's 'increasing' macro risk) cuts B2B Financial Services volumes. Organic growth drops to 3% from FY29, the pre-SBC EBITDA margin compresses from 37.5% to 35% as Experian keeps investing (capex held at 8%) to defend data and platform relevance while losing price, the CFPB suit ends in a costly consent order and mandated dispute-handling changes, and the exit multiple is capped at 15x FCF (a structurally slower, higher-leverage business at 2.3x net debt/EBITDA pro forma). No scenario hits the terminal-value zero floor.</t>
  </si>
  <si>
    <t xml:space="preserve">Scenario narrative: base</t>
  </si>
  <si>
    <t xml:space="preserve">Experian delivers FY27 guidance (6-8% organic, +50bps margin) and the medium-term framework thereafter: Ascend cross-sell and Consumer Services monetisation of 215m+ free members keep organic growth high-single-digit into FY29 before fading as US credit penetration matures, Benchmark EBIT margin climbs from 28.6% to c.31% as cloud dual-running ends and AI productivity gains land, capex normalises from 8% to 7% of revenue, working capital stays a c.12% drag on incremental revenue (93% OCF conversion), and the US$1bn buyback keeps the count flat. The AI-disruption fear that de-rated the shares in 2026 proves overdone: &gt;90% of revenue stays tied to proprietary bureau data that LLMs consume rather than replace. The CFPB case settles for practice changes and a fine absorbed within the margin path.</t>
  </si>
  <si>
    <t xml:space="preserve">Scenario narrative: bull</t>
  </si>
  <si>
    <t xml:space="preserve">The AI opportunity management sized at &gt;US$15bn (agentic-commerce identity with Visa/Cloudflare, Ascend governance and fraud automation, LLM-embedded marketplaces live with ChatGPT) converts into a re-acceleration: organic growth runs 8-9% through FY29 with the US mortgage and card cycle recovering as rates fall, Brazil B2B returns to growth, and Consumer Services wins share from Credit Karma on the marketplace. Operating leverage plus the completed cloud migration lift the pre-SBC EBITDA margin to 41.5% (Benchmark EBIT c.32.5%), capex falls to 6.8% of revenue, and terminal growth is 3.5% reflecting structural credit-penetration growth in LatAm and Asia-Pacific.</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</si>
  <si>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</si>
  <si>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</si>
  <si>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</si>
  <si>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</si>
  <si>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</si>
  <si>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</si>
  <si>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</si>
  <si>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</si>
  <si>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</si>
  <si>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</si>
  <si>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</si>
  <si>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</si>
  <si>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</si>
  <si>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</si>
  <si>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</si>
  <si>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</si>
  <si>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</si>
  <si>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</si>
  <si>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</si>
  <si>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</si>
  <si>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</si>
  <si>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</si>
  <si>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</si>
  <si>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</si>
  <si>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</si>
  <si>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</si>
  <si>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</si>
  <si>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OrganicRevenueGrowth</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</si>
  <si>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</si>
  <si>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</si>
  <si>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</si>
  <si>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</si>
  <si>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</si>
  <si>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</si>
  <si>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</si>
  <si>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</si>
  <si>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</si>
  <si>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</si>
  <si>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</si>
  <si>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</si>
  <si>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</si>
  <si>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</si>
  <si>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</si>
  <si>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</si>
  <si>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</si>
  <si>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</si>
  <si>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</si>
  <si>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</si>
  <si>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</si>
  <si>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</si>
  <si>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</si>
  <si>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</si>
  <si>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</si>
  <si>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</si>
  <si>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</si>
  <si>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</si>
  <si>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</si>
  <si>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</si>
  <si>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</si>
  <si>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</si>
  <si>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</si>
  <si>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</si>
  <si>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</si>
  <si>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</si>
  <si>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</si>
  <si>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</si>
  <si>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</si>
  <si>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</si>
  <si>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</si>
  <si>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</si>
  <si>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</si>
  <si>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</si>
  <si>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</si>
  <si>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</si>
  <si>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</si>
  <si>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</si>
  <si>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EXPN.L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</si>
  <si>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</si>
  <si>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</si>
  <si>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</si>
  <si>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</si>
  <si>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</si>
  <si>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</si>
  <si>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</si>
  <si>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</si>
  <si>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</si>
  <si>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</si>
  <si>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</si>
  <si>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</si>
  <si>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</si>
  <si>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</si>
  <si>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</si>
  <si>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</si>
  <si>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</si>
  <si>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</si>
  <si>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</si>
  <si>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</si>
  <si>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</si>
  <si>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</si>
  <si>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</si>
  <si>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</si>
  <si>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</si>
  <si>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</si>
  <si>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</si>
  <si>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</si>
  <si>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</si>
  <si>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</si>
  <si>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EXPN.L owner-FCF component DCF: base case (millions, USD)</t>
  </si>
  <si>
    <t xml:space="preserve">EXPN.L owner-FCF component DCF: bull case (millions, USD)</t>
  </si>
  <si>
    <t xml:space="preserve">EXPN.L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</si>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</sst>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2682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4550</v>
      </c>
      <c r="F2" s="0" t="n">
        <v>1118</v>
      </c>
      <c r="G2" s="0" t="n">
        <v>24.6</v>
      </c>
      <c r="I2" s="0" t="n">
        <v>753</v>
      </c>
      <c r="J2" s="0" t="n">
        <v>16.5</v>
      </c>
      <c r="K2" s="0" t="n">
        <v>0.786</v>
      </c>
      <c r="L2" s="0" t="n">
        <v>1371</v>
      </c>
      <c r="M2" s="0" t="n">
        <v>339</v>
      </c>
      <c r="N2" s="0" t="n">
        <v>1032</v>
      </c>
      <c r="O2" s="0" t="n">
        <v>2438</v>
      </c>
      <c r="P2" s="0" t="n">
        <v>7407</v>
      </c>
      <c r="Q2" s="0" t="n">
        <v>4969</v>
      </c>
      <c r="R2" s="0" t="n">
        <v>3120</v>
      </c>
      <c r="S2" s="0" t="n">
        <v>156</v>
      </c>
      <c r="T2" s="0" t="n">
        <v>958</v>
      </c>
      <c r="U2" s="0" t="n">
        <v>54</v>
      </c>
      <c r="V2" s="0" t="n">
        <v>0.4</v>
      </c>
      <c r="Z2" s="0" t="n">
        <v>1210</v>
      </c>
      <c r="AA2" s="0" t="s">
        <v>18</v>
      </c>
      <c r="AB2" s="0" t="s">
        <v>14</v>
      </c>
    </row>
    <row r="3" customFormat="false" ht="15" hidden="false" customHeight="false" outlineLevel="0" collapsed="false">
      <c r="A3" s="0" t="s">
        <v>66</v>
      </c>
      <c r="B3" s="0" t="n">
        <v>4335</v>
      </c>
      <c r="F3" s="0" t="n">
        <v>1075</v>
      </c>
      <c r="G3" s="0" t="n">
        <v>24.8</v>
      </c>
      <c r="I3" s="0" t="n">
        <v>866</v>
      </c>
      <c r="J3" s="0" t="n">
        <v>20</v>
      </c>
      <c r="K3" s="0" t="n">
        <v>0.921</v>
      </c>
      <c r="L3" s="0" t="n">
        <v>1355</v>
      </c>
      <c r="M3" s="0" t="n">
        <v>399</v>
      </c>
      <c r="N3" s="0" t="n">
        <v>956</v>
      </c>
      <c r="O3" s="0" t="n">
        <v>2651</v>
      </c>
      <c r="P3" s="0" t="n">
        <v>7691</v>
      </c>
      <c r="Q3" s="0" t="n">
        <v>5040</v>
      </c>
      <c r="R3" s="0" t="n">
        <v>3044</v>
      </c>
      <c r="S3" s="0" t="n">
        <v>83</v>
      </c>
      <c r="T3" s="0" t="n">
        <v>940</v>
      </c>
      <c r="U3" s="0" t="n">
        <v>61</v>
      </c>
      <c r="V3" s="0" t="n">
        <v>0.415</v>
      </c>
      <c r="Z3" s="0" t="n">
        <v>1199</v>
      </c>
      <c r="AA3" s="0" t="s">
        <v>18</v>
      </c>
      <c r="AB3" s="0" t="s">
        <v>14</v>
      </c>
    </row>
    <row r="4" customFormat="false" ht="15" hidden="false" customHeight="false" outlineLevel="0" collapsed="false">
      <c r="A4" s="0" t="s">
        <v>67</v>
      </c>
      <c r="B4" s="0" t="n">
        <v>4662</v>
      </c>
      <c r="F4" s="0" t="n">
        <v>1095</v>
      </c>
      <c r="G4" s="0" t="n">
        <v>23.5</v>
      </c>
      <c r="I4" s="0" t="n">
        <v>815</v>
      </c>
      <c r="J4" s="0" t="n">
        <v>17.5</v>
      </c>
      <c r="K4" s="0" t="n">
        <v>0.889</v>
      </c>
      <c r="L4" s="0" t="n">
        <v>1192</v>
      </c>
      <c r="M4" s="0" t="n">
        <v>431</v>
      </c>
      <c r="N4" s="0" t="n">
        <v>761</v>
      </c>
      <c r="O4" s="0" t="n">
        <v>2624</v>
      </c>
      <c r="P4" s="0" t="n">
        <v>8225</v>
      </c>
      <c r="Q4" s="0" t="n">
        <v>5601</v>
      </c>
      <c r="R4" s="0" t="n">
        <v>3514</v>
      </c>
      <c r="S4" s="0" t="n">
        <v>156</v>
      </c>
      <c r="T4" s="0" t="n">
        <v>917</v>
      </c>
      <c r="U4" s="0" t="n">
        <v>76</v>
      </c>
      <c r="Z4" s="0" t="n">
        <v>1291</v>
      </c>
      <c r="AA4" s="0" t="s">
        <v>18</v>
      </c>
      <c r="AB4" s="0" t="s">
        <v>14</v>
      </c>
    </row>
    <row r="5" customFormat="false" ht="15" hidden="false" customHeight="false" outlineLevel="0" collapsed="false">
      <c r="A5" s="0" t="s">
        <v>68</v>
      </c>
      <c r="B5" s="0" t="n">
        <v>4861</v>
      </c>
      <c r="F5" s="0" t="n">
        <v>1162</v>
      </c>
      <c r="G5" s="0" t="n">
        <v>23.9</v>
      </c>
      <c r="H5" s="0" t="n">
        <v>1637</v>
      </c>
      <c r="I5" s="0" t="n">
        <v>695</v>
      </c>
      <c r="J5" s="0" t="n">
        <v>14.3</v>
      </c>
      <c r="K5" s="0" t="n">
        <v>0.769</v>
      </c>
      <c r="L5" s="0" t="n">
        <v>1241</v>
      </c>
      <c r="M5" s="0" t="n">
        <v>439</v>
      </c>
      <c r="N5" s="0" t="n">
        <v>802</v>
      </c>
      <c r="O5" s="0" t="n">
        <v>2494</v>
      </c>
      <c r="P5" s="0" t="n">
        <v>8087</v>
      </c>
      <c r="Q5" s="0" t="n">
        <v>5593</v>
      </c>
      <c r="R5" s="0" t="n">
        <v>3324</v>
      </c>
      <c r="S5" s="0" t="n">
        <v>149</v>
      </c>
      <c r="T5" s="0" t="n">
        <v>904</v>
      </c>
      <c r="U5" s="0" t="n">
        <v>87</v>
      </c>
      <c r="Z5" s="0" t="n">
        <v>1311</v>
      </c>
      <c r="AA5" s="0" t="s">
        <v>18</v>
      </c>
      <c r="AB5" s="0" t="s">
        <v>14</v>
      </c>
    </row>
    <row r="6" customFormat="false" ht="15" hidden="false" customHeight="false" outlineLevel="0" collapsed="false">
      <c r="A6" s="0" t="s">
        <v>69</v>
      </c>
      <c r="B6" s="0" t="n">
        <v>5179</v>
      </c>
      <c r="F6" s="0" t="n">
        <v>1185</v>
      </c>
      <c r="G6" s="0" t="n">
        <v>22.9</v>
      </c>
      <c r="H6" s="0" t="n">
        <v>1800</v>
      </c>
      <c r="I6" s="0" t="n">
        <v>675</v>
      </c>
      <c r="J6" s="0" t="n">
        <v>13</v>
      </c>
      <c r="K6" s="0" t="n">
        <v>0.748</v>
      </c>
      <c r="L6" s="0" t="n">
        <v>1256</v>
      </c>
      <c r="M6" s="0" t="n">
        <v>487</v>
      </c>
      <c r="N6" s="0" t="n">
        <v>769</v>
      </c>
      <c r="O6" s="0" t="n">
        <v>2281</v>
      </c>
      <c r="P6" s="0" t="n">
        <v>8899</v>
      </c>
      <c r="Q6" s="0" t="n">
        <v>6618</v>
      </c>
      <c r="R6" s="0" t="n">
        <v>4414</v>
      </c>
      <c r="S6" s="0" t="n">
        <v>277</v>
      </c>
      <c r="T6" s="0" t="n">
        <v>902</v>
      </c>
      <c r="U6" s="0" t="n">
        <v>83</v>
      </c>
      <c r="Z6" s="0" t="n">
        <v>1387</v>
      </c>
      <c r="AA6" s="0" t="s">
        <v>18</v>
      </c>
      <c r="AB6" s="0" t="s">
        <v>14</v>
      </c>
    </row>
    <row r="7" customFormat="false" ht="15" hidden="false" customHeight="false" outlineLevel="0" collapsed="false">
      <c r="A7" s="0" t="s">
        <v>70</v>
      </c>
      <c r="B7" s="0" t="n">
        <v>5372</v>
      </c>
      <c r="F7" s="0" t="n">
        <v>1183</v>
      </c>
      <c r="G7" s="0" t="n">
        <v>22</v>
      </c>
      <c r="H7" s="0" t="n">
        <v>1839</v>
      </c>
      <c r="I7" s="0" t="n">
        <v>803</v>
      </c>
      <c r="J7" s="0" t="n">
        <v>14.9</v>
      </c>
      <c r="K7" s="0" t="n">
        <v>0.882</v>
      </c>
      <c r="L7" s="0" t="n">
        <v>1488</v>
      </c>
      <c r="M7" s="0" t="n">
        <v>422</v>
      </c>
      <c r="N7" s="0" t="n">
        <v>1066</v>
      </c>
      <c r="O7" s="0" t="n">
        <v>3119</v>
      </c>
      <c r="P7" s="0" t="n">
        <v>10071</v>
      </c>
      <c r="Q7" s="0" t="n">
        <v>6952</v>
      </c>
      <c r="R7" s="0" t="n">
        <v>4337</v>
      </c>
      <c r="S7" s="0" t="n">
        <v>180</v>
      </c>
      <c r="T7" s="0" t="n">
        <v>910</v>
      </c>
      <c r="U7" s="0" t="n">
        <v>106</v>
      </c>
      <c r="Z7" s="0" t="n">
        <v>1386</v>
      </c>
      <c r="AA7" s="0" t="s">
        <v>18</v>
      </c>
      <c r="AB7" s="0" t="s">
        <v>14</v>
      </c>
    </row>
    <row r="8" customFormat="false" ht="15" hidden="false" customHeight="false" outlineLevel="0" collapsed="false">
      <c r="A8" s="0" t="s">
        <v>71</v>
      </c>
      <c r="B8" s="0" t="n">
        <v>6288</v>
      </c>
      <c r="F8" s="0" t="n">
        <v>1416</v>
      </c>
      <c r="G8" s="0" t="n">
        <v>22.5</v>
      </c>
      <c r="H8" s="0" t="n">
        <v>2129</v>
      </c>
      <c r="I8" s="0" t="n">
        <v>1165</v>
      </c>
      <c r="J8" s="0" t="n">
        <v>18.5</v>
      </c>
      <c r="K8" s="0" t="n">
        <v>1.275</v>
      </c>
      <c r="L8" s="0" t="n">
        <v>1797</v>
      </c>
      <c r="M8" s="0" t="n">
        <v>508</v>
      </c>
      <c r="N8" s="0" t="n">
        <v>1289</v>
      </c>
      <c r="O8" s="0" t="n">
        <v>4007</v>
      </c>
      <c r="P8" s="0" t="n">
        <v>10894</v>
      </c>
      <c r="Q8" s="0" t="n">
        <v>6887</v>
      </c>
      <c r="R8" s="0" t="n">
        <v>4096</v>
      </c>
      <c r="S8" s="0" t="n">
        <v>179</v>
      </c>
      <c r="T8" s="0" t="n">
        <v>914</v>
      </c>
      <c r="U8" s="0" t="n">
        <v>149</v>
      </c>
      <c r="Z8" s="0" t="n">
        <v>1645</v>
      </c>
      <c r="AA8" s="0" t="s">
        <v>18</v>
      </c>
      <c r="AB8" s="0" t="s">
        <v>14</v>
      </c>
    </row>
    <row r="9" customFormat="false" ht="15" hidden="false" customHeight="false" outlineLevel="0" collapsed="false">
      <c r="A9" s="0" t="s">
        <v>72</v>
      </c>
      <c r="B9" s="0" t="n">
        <v>6619</v>
      </c>
      <c r="F9" s="0" t="n">
        <v>1265</v>
      </c>
      <c r="G9" s="0" t="n">
        <v>19.1</v>
      </c>
      <c r="H9" s="0" t="n">
        <v>2276</v>
      </c>
      <c r="I9" s="0" t="n">
        <v>770</v>
      </c>
      <c r="J9" s="0" t="n">
        <v>11.6</v>
      </c>
      <c r="K9" s="0" t="n">
        <v>0.842</v>
      </c>
      <c r="L9" s="0" t="n">
        <v>1717</v>
      </c>
      <c r="M9" s="0" t="n">
        <v>627</v>
      </c>
      <c r="N9" s="0" t="n">
        <v>1090</v>
      </c>
      <c r="O9" s="0" t="n">
        <v>3964</v>
      </c>
      <c r="P9" s="0" t="n">
        <v>10864</v>
      </c>
      <c r="Q9" s="0" t="n">
        <v>6900</v>
      </c>
      <c r="R9" s="0" t="n">
        <v>4099</v>
      </c>
      <c r="S9" s="0" t="n">
        <v>202</v>
      </c>
      <c r="T9" s="0" t="n">
        <v>914</v>
      </c>
      <c r="U9" s="0" t="n">
        <v>129</v>
      </c>
      <c r="Z9" s="0" t="n">
        <v>1794</v>
      </c>
      <c r="AA9" s="0" t="s">
        <v>18</v>
      </c>
      <c r="AB9" s="0" t="s">
        <v>14</v>
      </c>
    </row>
    <row r="10" customFormat="false" ht="15" hidden="false" customHeight="false" outlineLevel="0" collapsed="false">
      <c r="A10" s="0" t="s">
        <v>73</v>
      </c>
      <c r="B10" s="0" t="n">
        <v>7097</v>
      </c>
      <c r="F10" s="0" t="n">
        <v>1694</v>
      </c>
      <c r="G10" s="0" t="n">
        <v>23.9</v>
      </c>
      <c r="H10" s="0" t="n">
        <v>2449</v>
      </c>
      <c r="I10" s="0" t="n">
        <v>1199</v>
      </c>
      <c r="J10" s="0" t="n">
        <v>16.9</v>
      </c>
      <c r="K10" s="0" t="n">
        <v>1.313</v>
      </c>
      <c r="L10" s="0" t="n">
        <v>1747</v>
      </c>
      <c r="M10" s="0" t="n">
        <v>640</v>
      </c>
      <c r="N10" s="0" t="n">
        <v>1107</v>
      </c>
      <c r="O10" s="0" t="n">
        <v>4669</v>
      </c>
      <c r="P10" s="0" t="n">
        <v>11712</v>
      </c>
      <c r="Q10" s="0" t="n">
        <v>7043</v>
      </c>
      <c r="R10" s="0" t="n">
        <v>4266</v>
      </c>
      <c r="S10" s="0" t="n">
        <v>312</v>
      </c>
      <c r="T10" s="0" t="n">
        <v>913</v>
      </c>
      <c r="U10" s="0" t="n">
        <v>132</v>
      </c>
      <c r="Z10" s="0" t="n">
        <v>1928</v>
      </c>
      <c r="AA10" s="0" t="s">
        <v>18</v>
      </c>
      <c r="AB10" s="0" t="s">
        <v>14</v>
      </c>
    </row>
    <row r="11" customFormat="false" ht="15" hidden="false" customHeight="false" outlineLevel="0" collapsed="false">
      <c r="A11" s="0" t="s">
        <v>74</v>
      </c>
      <c r="B11" s="0" t="n">
        <v>7523</v>
      </c>
      <c r="F11" s="0" t="n">
        <v>1793</v>
      </c>
      <c r="G11" s="0" t="n">
        <v>23.8</v>
      </c>
      <c r="H11" s="0" t="n">
        <v>2630</v>
      </c>
      <c r="I11" s="0" t="n">
        <v>1166</v>
      </c>
      <c r="J11" s="0" t="n">
        <v>15.5</v>
      </c>
      <c r="K11" s="0" t="n">
        <v>1.276</v>
      </c>
      <c r="L11" s="0" t="n">
        <v>2005</v>
      </c>
      <c r="M11" s="0" t="n">
        <v>651</v>
      </c>
      <c r="N11" s="0" t="n">
        <v>1354</v>
      </c>
      <c r="O11" s="0" t="n">
        <v>5090</v>
      </c>
      <c r="P11" s="0" t="n">
        <v>12886</v>
      </c>
      <c r="Q11" s="0" t="n">
        <v>7796</v>
      </c>
      <c r="R11" s="0" t="n">
        <v>5016</v>
      </c>
      <c r="S11" s="0" t="n">
        <v>368</v>
      </c>
      <c r="T11" s="0" t="n">
        <v>914</v>
      </c>
      <c r="U11" s="0" t="n">
        <v>127</v>
      </c>
      <c r="Z11" s="0" t="n">
        <v>2083</v>
      </c>
      <c r="AA11" s="0" t="s">
        <v>18</v>
      </c>
      <c r="AB11" s="0" t="s">
        <v>14</v>
      </c>
      <c r="AC11" s="0" t="n">
        <v>7</v>
      </c>
    </row>
    <row r="12" customFormat="false" ht="15" hidden="false" customHeight="false" outlineLevel="0" collapsed="false">
      <c r="A12" s="0" t="s">
        <v>75</v>
      </c>
      <c r="B12" s="0" t="n">
        <v>8425</v>
      </c>
      <c r="T12" s="0" t="n">
        <v>913</v>
      </c>
      <c r="V12" s="0" t="n">
        <v>0.6925</v>
      </c>
      <c r="Z12" s="0" t="n">
        <v>2407</v>
      </c>
      <c r="AA12" s="0" t="s">
        <v>18</v>
      </c>
      <c r="AB12" s="0" t="s">
        <v>14</v>
      </c>
      <c r="AC12" s="0" t="n">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2682</v>
      </c>
    </row>
    <row r="3" customFormat="false" ht="15" hidden="false" customHeight="false" outlineLevel="0" collapsed="false">
      <c r="A3" s="0" t="s">
        <v>79</v>
      </c>
      <c r="B3" s="3" t="n">
        <v>906</v>
      </c>
    </row>
    <row r="4" customFormat="false" ht="15" hidden="false" customHeight="false" outlineLevel="0" collapsed="false">
      <c r="A4" s="0" t="s">
        <v>80</v>
      </c>
      <c r="B4" s="3" t="n">
        <v>5010</v>
      </c>
    </row>
    <row r="5" customFormat="false" ht="15" hidden="false" customHeight="false" outlineLevel="0" collapsed="false">
      <c r="A5" s="0" t="s">
        <v>81</v>
      </c>
      <c r="B5" s="3" t="n">
        <v>-36</v>
      </c>
    </row>
    <row r="6" customFormat="false" ht="15" hidden="false" customHeight="false" outlineLevel="0" collapsed="false">
      <c r="A6" s="0" t="s">
        <v>82</v>
      </c>
      <c r="B6" s="3" t="n">
        <v>15</v>
      </c>
    </row>
    <row r="7" customFormat="false" ht="15" hidden="false" customHeight="false" outlineLevel="0" collapsed="false">
      <c r="A7" s="0" t="s">
        <v>83</v>
      </c>
      <c r="B7" s="3" t="n">
        <v>8425</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75.569</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5.5</v>
      </c>
      <c r="D13" s="3" t="n">
        <v>4</v>
      </c>
      <c r="E13" s="3" t="n">
        <v>3</v>
      </c>
      <c r="F13" s="3" t="n">
        <v>3</v>
      </c>
      <c r="G13" s="3" t="n">
        <v>3</v>
      </c>
      <c r="H13" s="3" t="n">
        <v>3</v>
      </c>
      <c r="I13" s="3" t="n">
        <v>3</v>
      </c>
      <c r="J13" s="3" t="n">
        <v>2.5</v>
      </c>
      <c r="K13" s="3" t="n">
        <v>2.5</v>
      </c>
      <c r="L13" s="3" t="n">
        <v>2.5</v>
      </c>
    </row>
    <row r="14" customFormat="false" ht="15" hidden="false" customHeight="false" outlineLevel="0" collapsed="false">
      <c r="A14" s="0" t="s">
        <v>100</v>
      </c>
      <c r="C14" s="3" t="n">
        <v>37.5</v>
      </c>
      <c r="D14" s="3" t="n">
        <v>37.3</v>
      </c>
      <c r="E14" s="3" t="n">
        <v>37</v>
      </c>
      <c r="F14" s="3" t="n">
        <v>36.5</v>
      </c>
      <c r="G14" s="3" t="n">
        <v>36</v>
      </c>
      <c r="H14" s="3" t="n">
        <v>35.5</v>
      </c>
      <c r="I14" s="3" t="n">
        <v>35</v>
      </c>
      <c r="J14" s="3" t="n">
        <v>35</v>
      </c>
      <c r="K14" s="3" t="n">
        <v>35</v>
      </c>
      <c r="L14" s="3" t="n">
        <v>35</v>
      </c>
    </row>
    <row r="15" customFormat="false" ht="15" hidden="false" customHeight="false" outlineLevel="0" collapsed="false">
      <c r="A15" s="0" t="s">
        <v>101</v>
      </c>
      <c r="C15" s="3" t="n">
        <v>1.7</v>
      </c>
      <c r="D15" s="3" t="n">
        <v>1.7</v>
      </c>
      <c r="E15" s="3" t="n">
        <v>1.7</v>
      </c>
      <c r="F15" s="3" t="n">
        <v>1.7</v>
      </c>
      <c r="G15" s="3" t="n">
        <v>1.7</v>
      </c>
      <c r="H15" s="3" t="n">
        <v>1.7</v>
      </c>
      <c r="I15" s="3" t="n">
        <v>1.7</v>
      </c>
      <c r="J15" s="3" t="n">
        <v>1.7</v>
      </c>
      <c r="K15" s="3" t="n">
        <v>1.7</v>
      </c>
      <c r="L15" s="3" t="n">
        <v>1.7</v>
      </c>
    </row>
    <row r="16" customFormat="false" ht="15" hidden="false" customHeight="false" outlineLevel="0" collapsed="false">
      <c r="A16" s="0" t="s">
        <v>102</v>
      </c>
      <c r="C16" s="3" t="n">
        <v>0.6</v>
      </c>
      <c r="D16" s="3" t="n">
        <v>0.6</v>
      </c>
      <c r="E16" s="3" t="n">
        <v>0.6</v>
      </c>
      <c r="F16" s="3" t="n">
        <v>0.6</v>
      </c>
      <c r="G16" s="3" t="n">
        <v>0.6</v>
      </c>
      <c r="H16" s="3" t="n">
        <v>0.6</v>
      </c>
      <c r="I16" s="3" t="n">
        <v>0.6</v>
      </c>
      <c r="J16" s="3" t="n">
        <v>0.6</v>
      </c>
      <c r="K16" s="3" t="n">
        <v>0.6</v>
      </c>
      <c r="L16" s="3" t="n">
        <v>0.6</v>
      </c>
    </row>
    <row r="17" customFormat="false" ht="15" hidden="false" customHeight="false" outlineLevel="0" collapsed="false">
      <c r="A17" s="0" t="s">
        <v>103</v>
      </c>
      <c r="C17" s="3" t="n">
        <v>6.7</v>
      </c>
      <c r="D17" s="3" t="n">
        <v>6.9</v>
      </c>
      <c r="E17" s="3" t="n">
        <v>7</v>
      </c>
      <c r="F17" s="3" t="n">
        <v>7</v>
      </c>
      <c r="G17" s="3" t="n">
        <v>7</v>
      </c>
      <c r="H17" s="3" t="n">
        <v>7</v>
      </c>
      <c r="I17" s="3" t="n">
        <v>7</v>
      </c>
      <c r="J17" s="3" t="n">
        <v>7</v>
      </c>
      <c r="K17" s="3" t="n">
        <v>7</v>
      </c>
      <c r="L17" s="3" t="n">
        <v>7</v>
      </c>
    </row>
    <row r="18" customFormat="false" ht="15" hidden="false" customHeight="false" outlineLevel="0" collapsed="false">
      <c r="A18" s="0" t="s">
        <v>104</v>
      </c>
      <c r="C18" s="3" t="n">
        <v>8</v>
      </c>
      <c r="D18" s="3" t="n">
        <v>8</v>
      </c>
      <c r="E18" s="3" t="n">
        <v>8</v>
      </c>
      <c r="F18" s="3" t="n">
        <v>8</v>
      </c>
      <c r="G18" s="3" t="n">
        <v>8</v>
      </c>
      <c r="H18" s="3" t="n">
        <v>8</v>
      </c>
      <c r="I18" s="3" t="n">
        <v>8</v>
      </c>
      <c r="J18" s="3" t="n">
        <v>8</v>
      </c>
      <c r="K18" s="3" t="n">
        <v>8</v>
      </c>
      <c r="L18" s="3" t="n">
        <v>8</v>
      </c>
    </row>
    <row r="19" customFormat="false" ht="15" hidden="false" customHeight="false" outlineLevel="0" collapsed="false">
      <c r="A19" s="0" t="s">
        <v>105</v>
      </c>
      <c r="C19" s="3" t="n">
        <v>26</v>
      </c>
      <c r="D19" s="3" t="n">
        <v>26</v>
      </c>
      <c r="E19" s="3" t="n">
        <v>26</v>
      </c>
      <c r="F19" s="3" t="n">
        <v>26</v>
      </c>
      <c r="G19" s="3" t="n">
        <v>26</v>
      </c>
      <c r="H19" s="3" t="n">
        <v>26</v>
      </c>
      <c r="I19" s="3" t="n">
        <v>26</v>
      </c>
      <c r="J19" s="3" t="n">
        <v>26</v>
      </c>
      <c r="K19" s="3" t="n">
        <v>26</v>
      </c>
      <c r="L19" s="3" t="n">
        <v>26</v>
      </c>
    </row>
    <row r="20" customFormat="false" ht="15" hidden="false" customHeight="false" outlineLevel="0" collapsed="false">
      <c r="A20" s="0" t="s">
        <v>106</v>
      </c>
      <c r="B20" s="3" t="n">
        <v>8.5</v>
      </c>
    </row>
    <row r="21" customFormat="false" ht="15" hidden="false" customHeight="false" outlineLevel="0" collapsed="false">
      <c r="A21" s="0" t="s">
        <v>107</v>
      </c>
      <c r="B21" s="3" t="n">
        <v>2</v>
      </c>
    </row>
    <row r="22" customFormat="false" ht="15" hidden="false" customHeight="false" outlineLevel="0" collapsed="false">
      <c r="A22" s="0" t="s">
        <v>108</v>
      </c>
      <c r="B22" s="3" t="n">
        <v>15</v>
      </c>
    </row>
    <row r="23" customFormat="false" ht="15" hidden="false" customHeight="false" outlineLevel="0" collapsed="false">
      <c r="A23" s="0" t="s">
        <v>109</v>
      </c>
      <c r="B23" s="3" t="n">
        <v>-12</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8</v>
      </c>
      <c r="D27" s="3" t="n">
        <v>7</v>
      </c>
      <c r="E27" s="3" t="n">
        <v>6.5</v>
      </c>
      <c r="F27" s="3" t="n">
        <v>6</v>
      </c>
      <c r="G27" s="3" t="n">
        <v>5.5</v>
      </c>
      <c r="H27" s="3" t="n">
        <v>5</v>
      </c>
      <c r="I27" s="3" t="n">
        <v>4.5</v>
      </c>
      <c r="J27" s="3" t="n">
        <v>4</v>
      </c>
      <c r="K27" s="3" t="n">
        <v>3.5</v>
      </c>
      <c r="L27" s="3" t="n">
        <v>3</v>
      </c>
    </row>
    <row r="28" customFormat="false" ht="15" hidden="false" customHeight="false" outlineLevel="0" collapsed="false">
      <c r="A28" s="0" t="s">
        <v>100</v>
      </c>
      <c r="C28" s="3" t="n">
        <v>38</v>
      </c>
      <c r="D28" s="3" t="n">
        <v>38.5</v>
      </c>
      <c r="E28" s="3" t="n">
        <v>39</v>
      </c>
      <c r="F28" s="3" t="n">
        <v>39.3</v>
      </c>
      <c r="G28" s="3" t="n">
        <v>39.6</v>
      </c>
      <c r="H28" s="3" t="n">
        <v>39.8</v>
      </c>
      <c r="I28" s="3" t="n">
        <v>40</v>
      </c>
      <c r="J28" s="3" t="n">
        <v>40</v>
      </c>
      <c r="K28" s="3" t="n">
        <v>40</v>
      </c>
      <c r="L28" s="3" t="n">
        <v>40</v>
      </c>
    </row>
    <row r="29" customFormat="false" ht="15" hidden="false" customHeight="false" outlineLevel="0" collapsed="false">
      <c r="A29" s="0" t="s">
        <v>101</v>
      </c>
      <c r="C29" s="3" t="n">
        <v>1.7</v>
      </c>
      <c r="D29" s="3" t="n">
        <v>1.7</v>
      </c>
      <c r="E29" s="3" t="n">
        <v>1.7</v>
      </c>
      <c r="F29" s="3" t="n">
        <v>1.7</v>
      </c>
      <c r="G29" s="3" t="n">
        <v>1.7</v>
      </c>
      <c r="H29" s="3" t="n">
        <v>1.6</v>
      </c>
      <c r="I29" s="3" t="n">
        <v>1.6</v>
      </c>
      <c r="J29" s="3" t="n">
        <v>1.6</v>
      </c>
      <c r="K29" s="3" t="n">
        <v>1.6</v>
      </c>
      <c r="L29" s="3" t="n">
        <v>1.6</v>
      </c>
    </row>
    <row r="30" customFormat="false" ht="15" hidden="false" customHeight="false" outlineLevel="0" collapsed="false">
      <c r="A30" s="0" t="s">
        <v>102</v>
      </c>
      <c r="C30" s="3" t="n">
        <v>0.6</v>
      </c>
      <c r="D30" s="3" t="n">
        <v>0.6</v>
      </c>
      <c r="E30" s="3" t="n">
        <v>0.6</v>
      </c>
      <c r="F30" s="3" t="n">
        <v>0.6</v>
      </c>
      <c r="G30" s="3" t="n">
        <v>0.6</v>
      </c>
      <c r="H30" s="3" t="n">
        <v>0.6</v>
      </c>
      <c r="I30" s="3" t="n">
        <v>0.6</v>
      </c>
      <c r="J30" s="3" t="n">
        <v>0.6</v>
      </c>
      <c r="K30" s="3" t="n">
        <v>0.6</v>
      </c>
      <c r="L30" s="3" t="n">
        <v>0.6</v>
      </c>
    </row>
    <row r="31" customFormat="false" ht="15" hidden="false" customHeight="false" outlineLevel="0" collapsed="false">
      <c r="A31" s="0" t="s">
        <v>103</v>
      </c>
      <c r="C31" s="3" t="n">
        <v>6.7</v>
      </c>
      <c r="D31" s="3" t="n">
        <v>6.8</v>
      </c>
      <c r="E31" s="3" t="n">
        <v>6.8</v>
      </c>
      <c r="F31" s="3" t="n">
        <v>6.7</v>
      </c>
      <c r="G31" s="3" t="n">
        <v>6.7</v>
      </c>
      <c r="H31" s="3" t="n">
        <v>6.6</v>
      </c>
      <c r="I31" s="3" t="n">
        <v>6.6</v>
      </c>
      <c r="J31" s="3" t="n">
        <v>6.5</v>
      </c>
      <c r="K31" s="3" t="n">
        <v>6.5</v>
      </c>
      <c r="L31" s="3" t="n">
        <v>6.5</v>
      </c>
    </row>
    <row r="32" customFormat="false" ht="15" hidden="false" customHeight="false" outlineLevel="0" collapsed="false">
      <c r="A32" s="0" t="s">
        <v>104</v>
      </c>
      <c r="C32" s="3" t="n">
        <v>8</v>
      </c>
      <c r="D32" s="3" t="n">
        <v>8</v>
      </c>
      <c r="E32" s="3" t="n">
        <v>7.8</v>
      </c>
      <c r="F32" s="3" t="n">
        <v>7.6</v>
      </c>
      <c r="G32" s="3" t="n">
        <v>7.4</v>
      </c>
      <c r="H32" s="3" t="n">
        <v>7.2</v>
      </c>
      <c r="I32" s="3" t="n">
        <v>7</v>
      </c>
      <c r="J32" s="3" t="n">
        <v>7</v>
      </c>
      <c r="K32" s="3" t="n">
        <v>7</v>
      </c>
      <c r="L32" s="3" t="n">
        <v>7</v>
      </c>
    </row>
    <row r="33" customFormat="false" ht="15" hidden="false" customHeight="false" outlineLevel="0" collapsed="false">
      <c r="A33" s="0" t="s">
        <v>105</v>
      </c>
      <c r="C33" s="3" t="n">
        <v>26</v>
      </c>
      <c r="D33" s="3" t="n">
        <v>26</v>
      </c>
      <c r="E33" s="3" t="n">
        <v>26</v>
      </c>
      <c r="F33" s="3" t="n">
        <v>26</v>
      </c>
      <c r="G33" s="3" t="n">
        <v>26</v>
      </c>
      <c r="H33" s="3" t="n">
        <v>26</v>
      </c>
      <c r="I33" s="3" t="n">
        <v>26</v>
      </c>
      <c r="J33" s="3" t="n">
        <v>26</v>
      </c>
      <c r="K33" s="3" t="n">
        <v>26</v>
      </c>
      <c r="L33" s="3" t="n">
        <v>26</v>
      </c>
    </row>
    <row r="34" customFormat="false" ht="15" hidden="false" customHeight="false" outlineLevel="0" collapsed="false">
      <c r="A34" s="0" t="s">
        <v>106</v>
      </c>
      <c r="B34" s="3" t="n">
        <v>8.5</v>
      </c>
    </row>
    <row r="35" customFormat="false" ht="15" hidden="false" customHeight="false" outlineLevel="0" collapsed="false">
      <c r="A35" s="0" t="s">
        <v>107</v>
      </c>
      <c r="B35" s="3" t="n">
        <v>3</v>
      </c>
    </row>
    <row r="36" customFormat="false" ht="15" hidden="false" customHeight="false" outlineLevel="0" collapsed="false">
      <c r="A36" s="0" t="s">
        <v>108</v>
      </c>
      <c r="B36" s="3" t="n">
        <v>20</v>
      </c>
    </row>
    <row r="37" customFormat="false" ht="15" hidden="false" customHeight="false" outlineLevel="0" collapsed="false">
      <c r="A37" s="0" t="s">
        <v>109</v>
      </c>
      <c r="B37" s="3" t="n">
        <v>-12</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9</v>
      </c>
      <c r="D41" s="3" t="n">
        <v>9</v>
      </c>
      <c r="E41" s="3" t="n">
        <v>8.5</v>
      </c>
      <c r="F41" s="3" t="n">
        <v>8</v>
      </c>
      <c r="G41" s="3" t="n">
        <v>7.5</v>
      </c>
      <c r="H41" s="3" t="n">
        <v>7</v>
      </c>
      <c r="I41" s="3" t="n">
        <v>6</v>
      </c>
      <c r="J41" s="3" t="n">
        <v>5</v>
      </c>
      <c r="K41" s="3" t="n">
        <v>4</v>
      </c>
      <c r="L41" s="3" t="n">
        <v>3.5</v>
      </c>
    </row>
    <row r="42" customFormat="false" ht="15" hidden="false" customHeight="false" outlineLevel="0" collapsed="false">
      <c r="A42" s="0" t="s">
        <v>100</v>
      </c>
      <c r="C42" s="3" t="n">
        <v>38.1</v>
      </c>
      <c r="D42" s="3" t="n">
        <v>38.8</v>
      </c>
      <c r="E42" s="3" t="n">
        <v>39.5</v>
      </c>
      <c r="F42" s="3" t="n">
        <v>40.1</v>
      </c>
      <c r="G42" s="3" t="n">
        <v>40.6</v>
      </c>
      <c r="H42" s="3" t="n">
        <v>41</v>
      </c>
      <c r="I42" s="3" t="n">
        <v>41.3</v>
      </c>
      <c r="J42" s="3" t="n">
        <v>41.5</v>
      </c>
      <c r="K42" s="3" t="n">
        <v>41.5</v>
      </c>
      <c r="L42" s="3" t="n">
        <v>41.5</v>
      </c>
    </row>
    <row r="43" customFormat="false" ht="15" hidden="false" customHeight="false" outlineLevel="0" collapsed="false">
      <c r="A43" s="0" t="s">
        <v>101</v>
      </c>
      <c r="C43" s="3" t="n">
        <v>1.7</v>
      </c>
      <c r="D43" s="3" t="n">
        <v>1.7</v>
      </c>
      <c r="E43" s="3" t="n">
        <v>1.7</v>
      </c>
      <c r="F43" s="3" t="n">
        <v>1.7</v>
      </c>
      <c r="G43" s="3" t="n">
        <v>1.7</v>
      </c>
      <c r="H43" s="3" t="n">
        <v>1.6</v>
      </c>
      <c r="I43" s="3" t="n">
        <v>1.6</v>
      </c>
      <c r="J43" s="3" t="n">
        <v>1.6</v>
      </c>
      <c r="K43" s="3" t="n">
        <v>1.6</v>
      </c>
      <c r="L43" s="3" t="n">
        <v>1.6</v>
      </c>
    </row>
    <row r="44" customFormat="false" ht="15" hidden="false" customHeight="false" outlineLevel="0" collapsed="false">
      <c r="A44" s="0" t="s">
        <v>102</v>
      </c>
      <c r="C44" s="3" t="n">
        <v>0.6</v>
      </c>
      <c r="D44" s="3" t="n">
        <v>0.6</v>
      </c>
      <c r="E44" s="3" t="n">
        <v>0.6</v>
      </c>
      <c r="F44" s="3" t="n">
        <v>0.6</v>
      </c>
      <c r="G44" s="3" t="n">
        <v>0.6</v>
      </c>
      <c r="H44" s="3" t="n">
        <v>0.6</v>
      </c>
      <c r="I44" s="3" t="n">
        <v>0.6</v>
      </c>
      <c r="J44" s="3" t="n">
        <v>0.6</v>
      </c>
      <c r="K44" s="3" t="n">
        <v>0.6</v>
      </c>
      <c r="L44" s="3" t="n">
        <v>0.6</v>
      </c>
    </row>
    <row r="45" customFormat="false" ht="15" hidden="false" customHeight="false" outlineLevel="0" collapsed="false">
      <c r="A45" s="0" t="s">
        <v>103</v>
      </c>
      <c r="C45" s="3" t="n">
        <v>6.7</v>
      </c>
      <c r="D45" s="3" t="n">
        <v>6.8</v>
      </c>
      <c r="E45" s="3" t="n">
        <v>6.8</v>
      </c>
      <c r="F45" s="3" t="n">
        <v>6.7</v>
      </c>
      <c r="G45" s="3" t="n">
        <v>6.6</v>
      </c>
      <c r="H45" s="3" t="n">
        <v>6.5</v>
      </c>
      <c r="I45" s="3" t="n">
        <v>6.5</v>
      </c>
      <c r="J45" s="3" t="n">
        <v>6.4</v>
      </c>
      <c r="K45" s="3" t="n">
        <v>6.4</v>
      </c>
      <c r="L45" s="3" t="n">
        <v>6.4</v>
      </c>
    </row>
    <row r="46" customFormat="false" ht="15" hidden="false" customHeight="false" outlineLevel="0" collapsed="false">
      <c r="A46" s="0" t="s">
        <v>104</v>
      </c>
      <c r="C46" s="3" t="n">
        <v>8</v>
      </c>
      <c r="D46" s="3" t="n">
        <v>7.8</v>
      </c>
      <c r="E46" s="3" t="n">
        <v>7.6</v>
      </c>
      <c r="F46" s="3" t="n">
        <v>7.4</v>
      </c>
      <c r="G46" s="3" t="n">
        <v>7.2</v>
      </c>
      <c r="H46" s="3" t="n">
        <v>7</v>
      </c>
      <c r="I46" s="3" t="n">
        <v>6.8</v>
      </c>
      <c r="J46" s="3" t="n">
        <v>6.8</v>
      </c>
      <c r="K46" s="3" t="n">
        <v>6.8</v>
      </c>
      <c r="L46" s="3" t="n">
        <v>6.8</v>
      </c>
    </row>
    <row r="47" customFormat="false" ht="15" hidden="false" customHeight="false" outlineLevel="0" collapsed="false">
      <c r="A47" s="0" t="s">
        <v>105</v>
      </c>
      <c r="C47" s="3" t="n">
        <v>26</v>
      </c>
      <c r="D47" s="3" t="n">
        <v>26</v>
      </c>
      <c r="E47" s="3" t="n">
        <v>26</v>
      </c>
      <c r="F47" s="3" t="n">
        <v>26</v>
      </c>
      <c r="G47" s="3" t="n">
        <v>26</v>
      </c>
      <c r="H47" s="3" t="n">
        <v>26</v>
      </c>
      <c r="I47" s="3" t="n">
        <v>26</v>
      </c>
      <c r="J47" s="3" t="n">
        <v>26</v>
      </c>
      <c r="K47" s="3" t="n">
        <v>26</v>
      </c>
      <c r="L47" s="3" t="n">
        <v>26</v>
      </c>
    </row>
    <row r="48" customFormat="false" ht="15" hidden="false" customHeight="false" outlineLevel="0" collapsed="false">
      <c r="A48" s="0" t="s">
        <v>106</v>
      </c>
      <c r="B48" s="3" t="n">
        <v>8.5</v>
      </c>
    </row>
    <row r="49" customFormat="false" ht="15" hidden="false" customHeight="false" outlineLevel="0" collapsed="false">
      <c r="A49" s="0" t="s">
        <v>107</v>
      </c>
      <c r="B49" s="3" t="n">
        <v>3.5</v>
      </c>
    </row>
    <row r="50" customFormat="false" ht="15" hidden="false" customHeight="false" outlineLevel="0" collapsed="false">
      <c r="A50" s="0" t="s">
        <v>108</v>
      </c>
      <c r="B50" s="3" t="n">
        <v>20</v>
      </c>
    </row>
    <row r="51" customFormat="false" ht="15" hidden="false" customHeight="false" outlineLevel="0" collapsed="false">
      <c r="A51" s="0" t="s">
        <v>109</v>
      </c>
      <c r="B51" s="3" t="n">
        <v>-10</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5.5</v>
      </c>
      <c r="D5" s="4" t="n">
        <f aca="false">Assumptions!D13</f>
        <v>4</v>
      </c>
      <c r="E5" s="4" t="n">
        <f aca="false">Assumptions!E13</f>
        <v>3</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8425</v>
      </c>
      <c r="C6" s="0" t="n">
        <f aca="false">B6*(1+C5/100)</f>
        <v>8888.375</v>
      </c>
      <c r="D6" s="0" t="n">
        <f aca="false">C6*(1+D5/100)</f>
        <v>9243.91</v>
      </c>
      <c r="E6" s="0" t="n">
        <f aca="false">D6*(1+E5/100)</f>
        <v>9521.2273</v>
      </c>
      <c r="F6" s="0" t="n">
        <f aca="false">E6*(1+F5/100)</f>
        <v>9806.864119</v>
      </c>
      <c r="G6" s="0" t="n">
        <f aca="false">F6*(1+G5/100)</f>
        <v>10101.07004257</v>
      </c>
      <c r="H6" s="0" t="n">
        <f aca="false">G6*(1+H5/100)</f>
        <v>10404.1021438471</v>
      </c>
      <c r="I6" s="0" t="n">
        <f aca="false">H6*(1+I5/100)</f>
        <v>10716.2252081625</v>
      </c>
      <c r="J6" s="0" t="n">
        <f aca="false">I6*(1+J5/100)</f>
        <v>10984.1308383666</v>
      </c>
      <c r="K6" s="0" t="n">
        <f aca="false">J6*(1+K5/100)</f>
        <v>11258.7341093257</v>
      </c>
      <c r="L6" s="0" t="n">
        <f aca="false">K6*(1+L5/100)</f>
        <v>11540.2024620589</v>
      </c>
    </row>
    <row r="7" customFormat="false" ht="15" hidden="false" customHeight="false" outlineLevel="0" collapsed="false">
      <c r="A7" s="0" t="s">
        <v>100</v>
      </c>
      <c r="C7" s="4" t="n">
        <f aca="false">Assumptions!C14</f>
        <v>37.5</v>
      </c>
      <c r="D7" s="4" t="n">
        <f aca="false">Assumptions!D14</f>
        <v>37.3</v>
      </c>
      <c r="E7" s="4" t="n">
        <f aca="false">Assumptions!E14</f>
        <v>37</v>
      </c>
      <c r="F7" s="4" t="n">
        <f aca="false">Assumptions!F14</f>
        <v>36.5</v>
      </c>
      <c r="G7" s="4" t="n">
        <f aca="false">Assumptions!G14</f>
        <v>36</v>
      </c>
      <c r="H7" s="4" t="n">
        <f aca="false">Assumptions!H14</f>
        <v>35.5</v>
      </c>
      <c r="I7" s="4" t="n">
        <f aca="false">Assumptions!I14</f>
        <v>35</v>
      </c>
      <c r="J7" s="4" t="n">
        <f aca="false">Assumptions!J14</f>
        <v>35</v>
      </c>
      <c r="K7" s="4" t="n">
        <f aca="false">Assumptions!K14</f>
        <v>35</v>
      </c>
      <c r="L7" s="4" t="n">
        <f aca="false">Assumptions!L14</f>
        <v>35</v>
      </c>
    </row>
    <row r="8" customFormat="false" ht="15" hidden="false" customHeight="false" outlineLevel="0" collapsed="false">
      <c r="A8" s="0" t="s">
        <v>44</v>
      </c>
      <c r="C8" s="0" t="n">
        <f aca="false">C6*C7/100</f>
        <v>3333.140625</v>
      </c>
      <c r="D8" s="0" t="n">
        <f aca="false">D6*D7/100</f>
        <v>3447.97843</v>
      </c>
      <c r="E8" s="0" t="n">
        <f aca="false">E6*E7/100</f>
        <v>3522.854101</v>
      </c>
      <c r="F8" s="0" t="n">
        <f aca="false">F6*F7/100</f>
        <v>3579.505403435</v>
      </c>
      <c r="G8" s="0" t="n">
        <f aca="false">G6*G7/100</f>
        <v>3636.3852153252</v>
      </c>
      <c r="H8" s="0" t="n">
        <f aca="false">H6*H7/100</f>
        <v>3693.45626106572</v>
      </c>
      <c r="I8" s="0" t="n">
        <f aca="false">I6*I7/100</f>
        <v>3750.67882285688</v>
      </c>
      <c r="J8" s="0" t="n">
        <f aca="false">J6*J7/100</f>
        <v>3844.4457934283</v>
      </c>
      <c r="K8" s="0" t="n">
        <f aca="false">K6*K7/100</f>
        <v>3940.55693826401</v>
      </c>
      <c r="L8" s="0" t="n">
        <f aca="false">L6*L7/100</f>
        <v>4039.07086172061</v>
      </c>
    </row>
    <row r="9" customFormat="false" ht="15" hidden="false" customHeight="false" outlineLevel="0" collapsed="false">
      <c r="A9" s="0" t="s">
        <v>101</v>
      </c>
      <c r="C9" s="4" t="n">
        <f aca="false">Assumptions!C15</f>
        <v>1.7</v>
      </c>
      <c r="D9" s="4" t="n">
        <f aca="false">Assumptions!D15</f>
        <v>1.7</v>
      </c>
      <c r="E9" s="4" t="n">
        <f aca="false">Assumptions!E15</f>
        <v>1.7</v>
      </c>
      <c r="F9" s="4" t="n">
        <f aca="false">Assumptions!F15</f>
        <v>1.7</v>
      </c>
      <c r="G9" s="4" t="n">
        <f aca="false">Assumptions!G15</f>
        <v>1.7</v>
      </c>
      <c r="H9" s="4" t="n">
        <f aca="false">Assumptions!H15</f>
        <v>1.7</v>
      </c>
      <c r="I9" s="4" t="n">
        <f aca="false">Assumptions!I15</f>
        <v>1.7</v>
      </c>
      <c r="J9" s="4" t="n">
        <f aca="false">Assumptions!J15</f>
        <v>1.7</v>
      </c>
      <c r="K9" s="4" t="n">
        <f aca="false">Assumptions!K15</f>
        <v>1.7</v>
      </c>
      <c r="L9" s="4" t="n">
        <f aca="false">Assumptions!L15</f>
        <v>1.7</v>
      </c>
    </row>
    <row r="10" customFormat="false" ht="15" hidden="false" customHeight="false" outlineLevel="0" collapsed="false">
      <c r="A10" s="0" t="s">
        <v>116</v>
      </c>
      <c r="C10" s="0" t="n">
        <f aca="false">-C6*C9/100</f>
        <v>-151.102375</v>
      </c>
      <c r="D10" s="0" t="n">
        <f aca="false">-D6*D9/100</f>
        <v>-157.14647</v>
      </c>
      <c r="E10" s="0" t="n">
        <f aca="false">-E6*E9/100</f>
        <v>-161.8608641</v>
      </c>
      <c r="F10" s="0" t="n">
        <f aca="false">-F6*F9/100</f>
        <v>-166.716690023</v>
      </c>
      <c r="G10" s="0" t="n">
        <f aca="false">-G6*G9/100</f>
        <v>-171.71819072369</v>
      </c>
      <c r="H10" s="0" t="n">
        <f aca="false">-H6*H9/100</f>
        <v>-176.869736445401</v>
      </c>
      <c r="I10" s="0" t="n">
        <f aca="false">-I6*I9/100</f>
        <v>-182.175828538763</v>
      </c>
      <c r="J10" s="0" t="n">
        <f aca="false">-J6*J9/100</f>
        <v>-186.730224252232</v>
      </c>
      <c r="K10" s="0" t="n">
        <f aca="false">-K6*K9/100</f>
        <v>-191.398479858538</v>
      </c>
      <c r="L10" s="0" t="n">
        <f aca="false">-L6*L9/100</f>
        <v>-196.183441855001</v>
      </c>
    </row>
    <row r="11" customFormat="false" ht="15" hidden="false" customHeight="false" outlineLevel="0" collapsed="false">
      <c r="A11" s="0" t="s">
        <v>117</v>
      </c>
      <c r="C11" s="0" t="n">
        <f aca="false">C8+C10+C24</f>
        <v>3128.708</v>
      </c>
      <c r="D11" s="0" t="n">
        <f aca="false">D8+D10+D24</f>
        <v>3235.3685</v>
      </c>
      <c r="E11" s="0" t="n">
        <f aca="false">E8+E10+E24</f>
        <v>3303.8658731</v>
      </c>
      <c r="F11" s="0" t="n">
        <f aca="false">F8+F10+F24</f>
        <v>3353.947528698</v>
      </c>
      <c r="G11" s="0" t="n">
        <f aca="false">G8+G10+G24</f>
        <v>3404.06060434609</v>
      </c>
      <c r="H11" s="0" t="n">
        <f aca="false">H8+H10+H24</f>
        <v>3454.16191175724</v>
      </c>
      <c r="I11" s="0" t="n">
        <f aca="false">I8+I10+I24</f>
        <v>3504.20564306914</v>
      </c>
      <c r="J11" s="0" t="n">
        <f aca="false">J8+J10+J24</f>
        <v>3591.81078414587</v>
      </c>
      <c r="K11" s="0" t="n">
        <f aca="false">K8+K10+K24</f>
        <v>3681.60605374952</v>
      </c>
      <c r="L11" s="0" t="n">
        <f aca="false">L8+L10+L24</f>
        <v>3773.64620509325</v>
      </c>
    </row>
    <row r="12" customFormat="false" ht="15" hidden="false" customHeight="false" outlineLevel="0" collapsed="false">
      <c r="A12" s="0" t="s">
        <v>118</v>
      </c>
      <c r="C12" s="4" t="n">
        <f aca="false">-C6*Assumptions!C17/100</f>
        <v>-595.521125</v>
      </c>
      <c r="D12" s="4" t="n">
        <f aca="false">-D6*Assumptions!D17/100</f>
        <v>-637.82979</v>
      </c>
      <c r="E12" s="4" t="n">
        <f aca="false">-E6*Assumptions!E17/100</f>
        <v>-666.485911</v>
      </c>
      <c r="F12" s="4" t="n">
        <f aca="false">-F6*Assumptions!F17/100</f>
        <v>-686.48048833</v>
      </c>
      <c r="G12" s="4" t="n">
        <f aca="false">-G6*Assumptions!G17/100</f>
        <v>-707.0749029799</v>
      </c>
      <c r="H12" s="4" t="n">
        <f aca="false">-H6*Assumptions!H17/100</f>
        <v>-728.287150069297</v>
      </c>
      <c r="I12" s="4" t="n">
        <f aca="false">-I6*Assumptions!I17/100</f>
        <v>-750.135764571376</v>
      </c>
      <c r="J12" s="4" t="n">
        <f aca="false">-J6*Assumptions!J17/100</f>
        <v>-768.88915868566</v>
      </c>
      <c r="K12" s="4" t="n">
        <f aca="false">-K6*Assumptions!K17/100</f>
        <v>-788.111387652802</v>
      </c>
      <c r="L12" s="4" t="n">
        <f aca="false">-L6*Assumptions!L17/100</f>
        <v>-807.814172344122</v>
      </c>
    </row>
    <row r="13" customFormat="false" ht="15" hidden="false" customHeight="false" outlineLevel="0" collapsed="false">
      <c r="A13" s="0" t="s">
        <v>119</v>
      </c>
      <c r="C13" s="0" t="n">
        <f aca="false">C11+C12</f>
        <v>2533.186875</v>
      </c>
      <c r="D13" s="0" t="n">
        <f aca="false">D11+D12</f>
        <v>2597.53871</v>
      </c>
      <c r="E13" s="0" t="n">
        <f aca="false">E11+E12</f>
        <v>2637.3799621</v>
      </c>
      <c r="F13" s="0" t="n">
        <f aca="false">F11+F12</f>
        <v>2667.467040368</v>
      </c>
      <c r="G13" s="0" t="n">
        <f aca="false">G11+G12</f>
        <v>2696.98570136619</v>
      </c>
      <c r="H13" s="0" t="n">
        <f aca="false">H11+H12</f>
        <v>2725.87476168794</v>
      </c>
      <c r="I13" s="0" t="n">
        <f aca="false">I11+I12</f>
        <v>2754.06987849777</v>
      </c>
      <c r="J13" s="0" t="n">
        <f aca="false">J11+J12</f>
        <v>2822.92162546021</v>
      </c>
      <c r="K13" s="0" t="n">
        <f aca="false">K11+K12</f>
        <v>2893.49466609672</v>
      </c>
      <c r="L13" s="0" t="n">
        <f aca="false">L11+L12</f>
        <v>2965.83203274913</v>
      </c>
    </row>
    <row r="14" customFormat="false" ht="15" hidden="false" customHeight="false" outlineLevel="0" collapsed="false">
      <c r="A14" s="0" t="s">
        <v>105</v>
      </c>
      <c r="C14" s="4" t="n">
        <f aca="false">Assumptions!C19</f>
        <v>26</v>
      </c>
      <c r="D14" s="4" t="n">
        <f aca="false">Assumptions!D19</f>
        <v>26</v>
      </c>
      <c r="E14" s="4" t="n">
        <f aca="false">Assumptions!E19</f>
        <v>26</v>
      </c>
      <c r="F14" s="4" t="n">
        <f aca="false">Assumptions!F19</f>
        <v>26</v>
      </c>
      <c r="G14" s="4" t="n">
        <f aca="false">Assumptions!G19</f>
        <v>26</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120</v>
      </c>
      <c r="C15" s="0" t="n">
        <f aca="false">C13-MAX(0,C13)*C14/100</f>
        <v>1874.5582875</v>
      </c>
      <c r="D15" s="0" t="n">
        <f aca="false">D13-MAX(0,D13)*D14/100</f>
        <v>1922.1786454</v>
      </c>
      <c r="E15" s="0" t="n">
        <f aca="false">E13-MAX(0,E13)*E14/100</f>
        <v>1951.661171954</v>
      </c>
      <c r="F15" s="0" t="n">
        <f aca="false">F13-MAX(0,F13)*F14/100</f>
        <v>1973.92560987232</v>
      </c>
      <c r="G15" s="0" t="n">
        <f aca="false">G13-MAX(0,G13)*G14/100</f>
        <v>1995.76941901098</v>
      </c>
      <c r="H15" s="0" t="n">
        <f aca="false">H13-MAX(0,H13)*H14/100</f>
        <v>2017.14732364908</v>
      </c>
      <c r="I15" s="0" t="n">
        <f aca="false">I13-MAX(0,I13)*I14/100</f>
        <v>2038.01171008835</v>
      </c>
      <c r="J15" s="0" t="n">
        <f aca="false">J13-MAX(0,J13)*J14/100</f>
        <v>2088.96200284056</v>
      </c>
      <c r="K15" s="0" t="n">
        <f aca="false">K13-MAX(0,K13)*K14/100</f>
        <v>2141.18605291157</v>
      </c>
      <c r="L15" s="0" t="n">
        <f aca="false">L13-MAX(0,L13)*L14/100</f>
        <v>2194.71570423436</v>
      </c>
    </row>
    <row r="16" customFormat="false" ht="15" hidden="false" customHeight="false" outlineLevel="0" collapsed="false">
      <c r="A16" s="0" t="s">
        <v>121</v>
      </c>
      <c r="C16" s="0" t="n">
        <f aca="false">-C12</f>
        <v>595.521125</v>
      </c>
      <c r="D16" s="0" t="n">
        <f aca="false">-D12</f>
        <v>637.82979</v>
      </c>
      <c r="E16" s="0" t="n">
        <f aca="false">-E12</f>
        <v>666.485911</v>
      </c>
      <c r="F16" s="0" t="n">
        <f aca="false">-F12</f>
        <v>686.48048833</v>
      </c>
      <c r="G16" s="0" t="n">
        <f aca="false">-G12</f>
        <v>707.0749029799</v>
      </c>
      <c r="H16" s="0" t="n">
        <f aca="false">-H12</f>
        <v>728.287150069297</v>
      </c>
      <c r="I16" s="0" t="n">
        <f aca="false">-I12</f>
        <v>750.135764571376</v>
      </c>
      <c r="J16" s="0" t="n">
        <f aca="false">-J12</f>
        <v>768.88915868566</v>
      </c>
      <c r="K16" s="0" t="n">
        <f aca="false">-K12</f>
        <v>788.111387652802</v>
      </c>
      <c r="L16" s="0" t="n">
        <f aca="false">-L12</f>
        <v>807.814172344122</v>
      </c>
    </row>
    <row r="17" customFormat="false" ht="15" hidden="false" customHeight="false" outlineLevel="0" collapsed="false">
      <c r="A17" s="0" t="s">
        <v>122</v>
      </c>
      <c r="C17" s="4" t="n">
        <f aca="false">-C6*Assumptions!C18/100</f>
        <v>-711.07</v>
      </c>
      <c r="D17" s="4" t="n">
        <f aca="false">-D6*Assumptions!D18/100</f>
        <v>-739.5128</v>
      </c>
      <c r="E17" s="4" t="n">
        <f aca="false">-E6*Assumptions!E18/100</f>
        <v>-761.698184</v>
      </c>
      <c r="F17" s="4" t="n">
        <f aca="false">-F6*Assumptions!F18/100</f>
        <v>-784.54912952</v>
      </c>
      <c r="G17" s="4" t="n">
        <f aca="false">-G6*Assumptions!G18/100</f>
        <v>-808.0856034056</v>
      </c>
      <c r="H17" s="4" t="n">
        <f aca="false">-H6*Assumptions!H18/100</f>
        <v>-832.328171507768</v>
      </c>
      <c r="I17" s="4" t="n">
        <f aca="false">-I6*Assumptions!I18/100</f>
        <v>-857.298016653001</v>
      </c>
      <c r="J17" s="4" t="n">
        <f aca="false">-J6*Assumptions!J18/100</f>
        <v>-878.730467069326</v>
      </c>
      <c r="K17" s="4" t="n">
        <f aca="false">-K6*Assumptions!K18/100</f>
        <v>-900.698728746059</v>
      </c>
      <c r="L17" s="4" t="n">
        <f aca="false">-L6*Assumptions!L18/100</f>
        <v>-923.216196964711</v>
      </c>
    </row>
    <row r="18" customFormat="false" ht="15" hidden="false" customHeight="false" outlineLevel="0" collapsed="false">
      <c r="A18" s="0" t="s">
        <v>123</v>
      </c>
      <c r="C18" s="4" t="n">
        <f aca="false">(C6-B6)*Assumptions!$B$23/100</f>
        <v>-55.605</v>
      </c>
      <c r="D18" s="4" t="n">
        <f aca="false">(D6-C6)*Assumptions!$B$23/100</f>
        <v>-42.6642</v>
      </c>
      <c r="E18" s="4" t="n">
        <f aca="false">(E6-D6)*Assumptions!$B$23/100</f>
        <v>-33.2780760000001</v>
      </c>
      <c r="F18" s="4" t="n">
        <f aca="false">(F6-E6)*Assumptions!$B$23/100</f>
        <v>-34.2764182799999</v>
      </c>
      <c r="G18" s="4" t="n">
        <f aca="false">(G6-F6)*Assumptions!$B$23/100</f>
        <v>-35.3047108284</v>
      </c>
      <c r="H18" s="4" t="n">
        <f aca="false">(H6-G6)*Assumptions!$B$23/100</f>
        <v>-36.363852153252</v>
      </c>
      <c r="I18" s="4" t="n">
        <f aca="false">(I6-H6)*Assumptions!$B$23/100</f>
        <v>-37.4547677178497</v>
      </c>
      <c r="J18" s="4" t="n">
        <f aca="false">(J6-I6)*Assumptions!$B$23/100</f>
        <v>-32.1486756244875</v>
      </c>
      <c r="K18" s="4" t="n">
        <f aca="false">(K6-J6)*Assumptions!$B$23/100</f>
        <v>-32.9523925150996</v>
      </c>
      <c r="L18" s="4" t="n">
        <f aca="false">(L6-K6)*Assumptions!$B$23/100</f>
        <v>-33.776202327977</v>
      </c>
    </row>
    <row r="19" customFormat="false" ht="15" hidden="false" customHeight="false" outlineLevel="0" collapsed="false">
      <c r="A19" s="0" t="s">
        <v>124</v>
      </c>
      <c r="C19" s="0" t="n">
        <f aca="false">C15+C16+C17+C18</f>
        <v>1703.4044125</v>
      </c>
      <c r="D19" s="0" t="n">
        <f aca="false">D15+D16+D17+D18</f>
        <v>1777.8314354</v>
      </c>
      <c r="E19" s="0" t="n">
        <f aca="false">E15+E16+E17+E18</f>
        <v>1823.170822954</v>
      </c>
      <c r="F19" s="0" t="n">
        <f aca="false">F15+F16+F17+F18</f>
        <v>1841.58055040232</v>
      </c>
      <c r="G19" s="0" t="n">
        <f aca="false">G15+G16+G17+G18</f>
        <v>1859.45400775688</v>
      </c>
      <c r="H19" s="0" t="n">
        <f aca="false">H15+H16+H17+H18</f>
        <v>1876.74245005735</v>
      </c>
      <c r="I19" s="0" t="n">
        <f aca="false">I15+I16+I17+I18</f>
        <v>1893.39469028887</v>
      </c>
      <c r="J19" s="0" t="n">
        <f aca="false">J15+J16+J17+J18</f>
        <v>1946.9720188324</v>
      </c>
      <c r="K19" s="0" t="n">
        <f aca="false">K15+K16+K17+K18</f>
        <v>1995.64631930321</v>
      </c>
      <c r="L19" s="0" t="n">
        <f aca="false">L15+L16+L17+L18</f>
        <v>2045.53747728579</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1569.95798387097</v>
      </c>
      <c r="D21" s="0" t="n">
        <f aca="false">D19*D20</f>
        <v>1510.18831183504</v>
      </c>
      <c r="E21" s="0" t="n">
        <f aca="false">E19*E20</f>
        <v>1427.3752021133</v>
      </c>
      <c r="F21" s="0" t="n">
        <f aca="false">F19*F20</f>
        <v>1328.83716757834</v>
      </c>
      <c r="G21" s="0" t="n">
        <f aca="false">G19*G20</f>
        <v>1236.62137767405</v>
      </c>
      <c r="H21" s="0" t="n">
        <f aca="false">H19*H20</f>
        <v>1150.34007106154</v>
      </c>
      <c r="I21" s="0" t="n">
        <f aca="false">I19*I20</f>
        <v>1069.62855295737</v>
      </c>
      <c r="J21" s="0" t="n">
        <f aca="false">J19*J20</f>
        <v>1013.72884576555</v>
      </c>
      <c r="K21" s="0" t="n">
        <f aca="false">K19*K20</f>
        <v>957.670107750863</v>
      </c>
      <c r="L21" s="0" t="n">
        <f aca="false">L19*L20</f>
        <v>904.711392114871</v>
      </c>
    </row>
    <row r="23" customFormat="false" ht="15" hidden="false" customHeight="false" outlineLevel="0" collapsed="false">
      <c r="A23" s="0" t="s">
        <v>102</v>
      </c>
      <c r="C23" s="4" t="n">
        <f aca="false">Assumptions!C16</f>
        <v>0.6</v>
      </c>
      <c r="D23" s="4" t="n">
        <f aca="false">Assumptions!D16</f>
        <v>0.6</v>
      </c>
      <c r="E23" s="4" t="n">
        <f aca="false">Assumptions!E16</f>
        <v>0.6</v>
      </c>
      <c r="F23" s="4" t="n">
        <f aca="false">Assumptions!F16</f>
        <v>0.6</v>
      </c>
      <c r="G23" s="4" t="n">
        <f aca="false">Assumptions!G16</f>
        <v>0.6</v>
      </c>
      <c r="H23" s="4" t="n">
        <f aca="false">Assumptions!H16</f>
        <v>0.6</v>
      </c>
      <c r="I23" s="4" t="n">
        <f aca="false">Assumptions!I16</f>
        <v>0.6</v>
      </c>
      <c r="J23" s="4" t="n">
        <f aca="false">Assumptions!J16</f>
        <v>0.6</v>
      </c>
      <c r="K23" s="4" t="n">
        <f aca="false">Assumptions!K16</f>
        <v>0.6</v>
      </c>
      <c r="L23" s="4" t="n">
        <f aca="false">Assumptions!L16</f>
        <v>0.6</v>
      </c>
    </row>
    <row r="24" customFormat="false" ht="15" hidden="false" customHeight="false" outlineLevel="0" collapsed="false">
      <c r="A24" s="0" t="s">
        <v>127</v>
      </c>
      <c r="C24" s="0" t="n">
        <f aca="false">-C6*C23/100</f>
        <v>-53.33025</v>
      </c>
      <c r="D24" s="0" t="n">
        <f aca="false">-D6*D23/100</f>
        <v>-55.46346</v>
      </c>
      <c r="E24" s="0" t="n">
        <f aca="false">-E6*E23/100</f>
        <v>-57.1273638</v>
      </c>
      <c r="F24" s="0" t="n">
        <f aca="false">-F6*F23/100</f>
        <v>-58.841184714</v>
      </c>
      <c r="G24" s="0" t="n">
        <f aca="false">-G6*G23/100</f>
        <v>-60.60642025542</v>
      </c>
      <c r="H24" s="0" t="n">
        <f aca="false">-H6*H23/100</f>
        <v>-62.4246128630826</v>
      </c>
      <c r="I24" s="0" t="n">
        <f aca="false">-I6*I23/100</f>
        <v>-64.2973512489751</v>
      </c>
      <c r="J24" s="0" t="n">
        <f aca="false">-J6*J23/100</f>
        <v>-65.9047850301995</v>
      </c>
      <c r="K24" s="0" t="n">
        <f aca="false">-K6*K23/100</f>
        <v>-67.5524046559545</v>
      </c>
      <c r="L24" s="0" t="n">
        <f aca="false">-L6*L23/100</f>
        <v>-69.2412147723533</v>
      </c>
    </row>
    <row r="26" customFormat="false" ht="15" hidden="false" customHeight="false" outlineLevel="0" collapsed="false">
      <c r="A26" s="2" t="s">
        <v>128</v>
      </c>
    </row>
    <row r="27" customFormat="false" ht="15" hidden="false" customHeight="false" outlineLevel="0" collapsed="false">
      <c r="A27" s="0" t="s">
        <v>106</v>
      </c>
      <c r="B27" s="4" t="n">
        <f aca="false">Assumptions!$B$20</f>
        <v>8.5</v>
      </c>
    </row>
    <row r="28" customFormat="false" ht="15" hidden="false" customHeight="false" outlineLevel="0" collapsed="false">
      <c r="A28" s="0" t="s">
        <v>107</v>
      </c>
      <c r="B28" s="4" t="n">
        <f aca="false">Assumptions!$B$21</f>
        <v>2</v>
      </c>
    </row>
    <row r="29" customFormat="false" ht="15" hidden="false" customHeight="false" outlineLevel="0" collapsed="false">
      <c r="A29" s="0" t="s">
        <v>108</v>
      </c>
      <c r="B29" s="4" t="n">
        <f aca="false">Assumptions!$B$22</f>
        <v>15</v>
      </c>
    </row>
    <row r="30" customFormat="false" ht="15" hidden="false" customHeight="false" outlineLevel="0" collapsed="false">
      <c r="A30" s="0" t="s">
        <v>129</v>
      </c>
      <c r="B30" s="0" t="n">
        <f aca="false">SUM(C21:L21)</f>
        <v>12169.0590127219</v>
      </c>
    </row>
    <row r="31" customFormat="false" ht="15" hidden="false" customHeight="false" outlineLevel="0" collapsed="false">
      <c r="A31" s="0" t="s">
        <v>130</v>
      </c>
      <c r="B31" s="0" t="n">
        <f aca="false">L19</f>
        <v>2045.53747728579</v>
      </c>
    </row>
    <row r="32" customFormat="false" ht="15" hidden="false" customHeight="false" outlineLevel="0" collapsed="false">
      <c r="A32" s="0" t="s">
        <v>131</v>
      </c>
      <c r="B32" s="0" t="n">
        <f aca="false">IF(B27&gt;B28,B31*(1+B28/100)/((B27-B28)/100),B31*B29)</f>
        <v>32099.2034897155</v>
      </c>
    </row>
    <row r="33" customFormat="false" ht="15" hidden="false" customHeight="false" outlineLevel="0" collapsed="false">
      <c r="A33" s="0" t="s">
        <v>132</v>
      </c>
      <c r="B33" s="0" t="n">
        <f aca="false">B31*B29</f>
        <v>30683.0621592869</v>
      </c>
    </row>
    <row r="34" customFormat="false" ht="15" hidden="false" customHeight="false" outlineLevel="0" collapsed="false">
      <c r="A34" s="0" t="s">
        <v>133</v>
      </c>
      <c r="B34" s="0" t="n">
        <f aca="false">MAX(0,MIN(B32,B33))</f>
        <v>30683.0621592869</v>
      </c>
    </row>
    <row r="35" customFormat="false" ht="15" hidden="false" customHeight="false" outlineLevel="0" collapsed="false">
      <c r="A35" s="0" t="s">
        <v>134</v>
      </c>
      <c r="B35" s="0" t="n">
        <f aca="false">B34/(1+B27/100)^L4</f>
        <v>13570.6708817231</v>
      </c>
    </row>
    <row r="36" customFormat="false" ht="15" hidden="false" customHeight="false" outlineLevel="0" collapsed="false">
      <c r="A36" s="0" t="s">
        <v>135</v>
      </c>
      <c r="B36" s="0" t="n">
        <f aca="false">B30+B35</f>
        <v>25739.729894445</v>
      </c>
    </row>
    <row r="37" customFormat="false" ht="15" hidden="false" customHeight="false" outlineLevel="0" collapsed="false">
      <c r="A37" s="0" t="s">
        <v>136</v>
      </c>
      <c r="B37" s="0" t="n">
        <f aca="false">B36+Assumptions!$B$5-Assumptions!$B$4</f>
        <v>20693.729894445</v>
      </c>
    </row>
    <row r="38" customFormat="false" ht="15" hidden="false" customHeight="false" outlineLevel="0" collapsed="false">
      <c r="A38" s="0" t="s">
        <v>137</v>
      </c>
      <c r="B38" s="0" t="n">
        <f aca="false">B37/Assumptions!$B$3*Assumptions!$B$10</f>
        <v>1726.05350374538</v>
      </c>
    </row>
    <row r="39" customFormat="false" ht="15" hidden="false" customHeight="false" outlineLevel="0" collapsed="false">
      <c r="A39" s="0" t="s">
        <v>138</v>
      </c>
      <c r="B39" s="4" t="n">
        <f aca="false">B38/Assumptions!$B$2-1</f>
        <v>-0.35643046094505</v>
      </c>
    </row>
    <row r="41" customFormat="false" ht="15" hidden="false" customHeight="false" outlineLevel="0" collapsed="false">
      <c r="A41" s="0" t="s">
        <v>139</v>
      </c>
      <c r="B41" s="0" t="n">
        <f aca="false">SUMPRODUCT(-C10:L10/(1+$B$27/100)^C4:L4)</f>
        <v>1121.14421668334</v>
      </c>
    </row>
    <row r="42" customFormat="false" ht="15" hidden="false" customHeight="false" outlineLevel="0" collapsed="false">
      <c r="A42" s="0" t="s">
        <v>140</v>
      </c>
      <c r="B42" s="0" t="n">
        <f aca="false">IF(B27&gt;B28,-L10*(1+B28/100)/((B27-B28)/100),-L10*20)/(1+B27/100)^L4</f>
        <v>1361.60702314292</v>
      </c>
    </row>
    <row r="43" customFormat="false" ht="15" hidden="false" customHeight="false" outlineLevel="0" collapsed="false">
      <c r="A43" s="0" t="s">
        <v>141</v>
      </c>
      <c r="B43" s="0" t="n">
        <f aca="false">(B37+B41+B42)/Assumptions!$B$3*Assumptions!$B$10</f>
        <v>1933.13852410126</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16049.6017448578</v>
      </c>
    </row>
    <row r="47" customFormat="false" ht="15" hidden="false" customHeight="false" outlineLevel="0" collapsed="false">
      <c r="A47" s="0" t="s">
        <v>143</v>
      </c>
      <c r="B47" s="0" t="n">
        <f aca="false">(SUMPRODUCT(C19:L19/(1+B45/100)^C4:L4)+B46/(1+B45/100)^L4+Assumptions!$B$5-Assumptions!$B$4)/Assumptions!$B$3*Assumptions!$B$10</f>
        <v>680.242011373587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8</v>
      </c>
      <c r="D5" s="4" t="n">
        <f aca="false">Assumptions!D27</f>
        <v>7</v>
      </c>
      <c r="E5" s="4" t="n">
        <f aca="false">Assumptions!E27</f>
        <v>6.5</v>
      </c>
      <c r="F5" s="4" t="n">
        <f aca="false">Assumptions!F27</f>
        <v>6</v>
      </c>
      <c r="G5" s="4" t="n">
        <f aca="false">Assumptions!G27</f>
        <v>5.5</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38</v>
      </c>
      <c r="B6" s="3" t="n">
        <v>8425</v>
      </c>
      <c r="C6" s="0" t="n">
        <f aca="false">B6*(1+C5/100)</f>
        <v>9099</v>
      </c>
      <c r="D6" s="0" t="n">
        <f aca="false">C6*(1+D5/100)</f>
        <v>9735.93</v>
      </c>
      <c r="E6" s="0" t="n">
        <f aca="false">D6*(1+E5/100)</f>
        <v>10368.76545</v>
      </c>
      <c r="F6" s="0" t="n">
        <f aca="false">E6*(1+F5/100)</f>
        <v>10990.891377</v>
      </c>
      <c r="G6" s="0" t="n">
        <f aca="false">F6*(1+G5/100)</f>
        <v>11595.390402735</v>
      </c>
      <c r="H6" s="0" t="n">
        <f aca="false">G6*(1+H5/100)</f>
        <v>12175.1599228718</v>
      </c>
      <c r="I6" s="0" t="n">
        <f aca="false">H6*(1+I5/100)</f>
        <v>12723.042119401</v>
      </c>
      <c r="J6" s="0" t="n">
        <f aca="false">I6*(1+J5/100)</f>
        <v>13231.963804177</v>
      </c>
      <c r="K6" s="0" t="n">
        <f aca="false">J6*(1+K5/100)</f>
        <v>13695.0825373232</v>
      </c>
      <c r="L6" s="0" t="n">
        <f aca="false">K6*(1+L5/100)</f>
        <v>14105.9350134429</v>
      </c>
    </row>
    <row r="7" customFormat="false" ht="15" hidden="false" customHeight="false" outlineLevel="0" collapsed="false">
      <c r="A7" s="0" t="s">
        <v>100</v>
      </c>
      <c r="C7" s="4" t="n">
        <f aca="false">Assumptions!C28</f>
        <v>38</v>
      </c>
      <c r="D7" s="4" t="n">
        <f aca="false">Assumptions!D28</f>
        <v>38.5</v>
      </c>
      <c r="E7" s="4" t="n">
        <f aca="false">Assumptions!E28</f>
        <v>39</v>
      </c>
      <c r="F7" s="4" t="n">
        <f aca="false">Assumptions!F28</f>
        <v>39.3</v>
      </c>
      <c r="G7" s="4" t="n">
        <f aca="false">Assumptions!G28</f>
        <v>39.6</v>
      </c>
      <c r="H7" s="4" t="n">
        <f aca="false">Assumptions!H28</f>
        <v>39.8</v>
      </c>
      <c r="I7" s="4" t="n">
        <f aca="false">Assumptions!I28</f>
        <v>40</v>
      </c>
      <c r="J7" s="4" t="n">
        <f aca="false">Assumptions!J28</f>
        <v>40</v>
      </c>
      <c r="K7" s="4" t="n">
        <f aca="false">Assumptions!K28</f>
        <v>40</v>
      </c>
      <c r="L7" s="4" t="n">
        <f aca="false">Assumptions!L28</f>
        <v>40</v>
      </c>
    </row>
    <row r="8" customFormat="false" ht="15" hidden="false" customHeight="false" outlineLevel="0" collapsed="false">
      <c r="A8" s="0" t="s">
        <v>44</v>
      </c>
      <c r="C8" s="0" t="n">
        <f aca="false">C6*C7/100</f>
        <v>3457.62</v>
      </c>
      <c r="D8" s="0" t="n">
        <f aca="false">D6*D7/100</f>
        <v>3748.33305</v>
      </c>
      <c r="E8" s="0" t="n">
        <f aca="false">E6*E7/100</f>
        <v>4043.8185255</v>
      </c>
      <c r="F8" s="0" t="n">
        <f aca="false">F6*F7/100</f>
        <v>4319.420311161</v>
      </c>
      <c r="G8" s="0" t="n">
        <f aca="false">G6*G7/100</f>
        <v>4591.77459948306</v>
      </c>
      <c r="H8" s="0" t="n">
        <f aca="false">H6*H7/100</f>
        <v>4845.71364930296</v>
      </c>
      <c r="I8" s="0" t="n">
        <f aca="false">I6*I7/100</f>
        <v>5089.21684776039</v>
      </c>
      <c r="J8" s="0" t="n">
        <f aca="false">J6*J7/100</f>
        <v>5292.78552167081</v>
      </c>
      <c r="K8" s="0" t="n">
        <f aca="false">K6*K7/100</f>
        <v>5478.03301492929</v>
      </c>
      <c r="L8" s="0" t="n">
        <f aca="false">L6*L7/100</f>
        <v>5642.37400537716</v>
      </c>
    </row>
    <row r="9" customFormat="false" ht="15" hidden="false" customHeight="false" outlineLevel="0" collapsed="false">
      <c r="A9" s="0" t="s">
        <v>101</v>
      </c>
      <c r="C9" s="4" t="n">
        <f aca="false">Assumptions!C29</f>
        <v>1.7</v>
      </c>
      <c r="D9" s="4" t="n">
        <f aca="false">Assumptions!D29</f>
        <v>1.7</v>
      </c>
      <c r="E9" s="4" t="n">
        <f aca="false">Assumptions!E29</f>
        <v>1.7</v>
      </c>
      <c r="F9" s="4" t="n">
        <f aca="false">Assumptions!F29</f>
        <v>1.7</v>
      </c>
      <c r="G9" s="4" t="n">
        <f aca="false">Assumptions!G29</f>
        <v>1.7</v>
      </c>
      <c r="H9" s="4" t="n">
        <f aca="false">Assumptions!H29</f>
        <v>1.6</v>
      </c>
      <c r="I9" s="4" t="n">
        <f aca="false">Assumptions!I29</f>
        <v>1.6</v>
      </c>
      <c r="J9" s="4" t="n">
        <f aca="false">Assumptions!J29</f>
        <v>1.6</v>
      </c>
      <c r="K9" s="4" t="n">
        <f aca="false">Assumptions!K29</f>
        <v>1.6</v>
      </c>
      <c r="L9" s="4" t="n">
        <f aca="false">Assumptions!L29</f>
        <v>1.6</v>
      </c>
    </row>
    <row r="10" customFormat="false" ht="15" hidden="false" customHeight="false" outlineLevel="0" collapsed="false">
      <c r="A10" s="0" t="s">
        <v>116</v>
      </c>
      <c r="C10" s="0" t="n">
        <f aca="false">-C6*C9/100</f>
        <v>-154.683</v>
      </c>
      <c r="D10" s="0" t="n">
        <f aca="false">-D6*D9/100</f>
        <v>-165.51081</v>
      </c>
      <c r="E10" s="0" t="n">
        <f aca="false">-E6*E9/100</f>
        <v>-176.26901265</v>
      </c>
      <c r="F10" s="0" t="n">
        <f aca="false">-F6*F9/100</f>
        <v>-186.845153409</v>
      </c>
      <c r="G10" s="0" t="n">
        <f aca="false">-G6*G9/100</f>
        <v>-197.121636846495</v>
      </c>
      <c r="H10" s="0" t="n">
        <f aca="false">-H6*H9/100</f>
        <v>-194.802558765948</v>
      </c>
      <c r="I10" s="0" t="n">
        <f aca="false">-I6*I9/100</f>
        <v>-203.568673910416</v>
      </c>
      <c r="J10" s="0" t="n">
        <f aca="false">-J6*J9/100</f>
        <v>-211.711420866832</v>
      </c>
      <c r="K10" s="0" t="n">
        <f aca="false">-K6*K9/100</f>
        <v>-219.121320597171</v>
      </c>
      <c r="L10" s="0" t="n">
        <f aca="false">-L6*L9/100</f>
        <v>-225.694960215087</v>
      </c>
    </row>
    <row r="11" customFormat="false" ht="15" hidden="false" customHeight="false" outlineLevel="0" collapsed="false">
      <c r="A11" s="0" t="s">
        <v>117</v>
      </c>
      <c r="C11" s="0" t="n">
        <f aca="false">C8+C10+C24</f>
        <v>3248.343</v>
      </c>
      <c r="D11" s="0" t="n">
        <f aca="false">D8+D10+D24</f>
        <v>3524.40666</v>
      </c>
      <c r="E11" s="0" t="n">
        <f aca="false">E8+E10+E24</f>
        <v>3805.33692015</v>
      </c>
      <c r="F11" s="0" t="n">
        <f aca="false">F8+F10+F24</f>
        <v>4066.62980949</v>
      </c>
      <c r="G11" s="0" t="n">
        <f aca="false">G8+G10+G24</f>
        <v>4325.08062022016</v>
      </c>
      <c r="H11" s="0" t="n">
        <f aca="false">H8+H10+H24</f>
        <v>4577.86013099978</v>
      </c>
      <c r="I11" s="0" t="n">
        <f aca="false">I8+I10+I24</f>
        <v>4809.30992113357</v>
      </c>
      <c r="J11" s="0" t="n">
        <f aca="false">J8+J10+J24</f>
        <v>5001.68231797891</v>
      </c>
      <c r="K11" s="0" t="n">
        <f aca="false">K8+K10+K24</f>
        <v>5176.74119910817</v>
      </c>
      <c r="L11" s="0" t="n">
        <f aca="false">L8+L10+L24</f>
        <v>5332.04343508142</v>
      </c>
    </row>
    <row r="12" customFormat="false" ht="15" hidden="false" customHeight="false" outlineLevel="0" collapsed="false">
      <c r="A12" s="0" t="s">
        <v>118</v>
      </c>
      <c r="C12" s="4" t="n">
        <f aca="false">-C6*Assumptions!C31/100</f>
        <v>-609.633</v>
      </c>
      <c r="D12" s="4" t="n">
        <f aca="false">-D6*Assumptions!D31/100</f>
        <v>-662.04324</v>
      </c>
      <c r="E12" s="4" t="n">
        <f aca="false">-E6*Assumptions!E31/100</f>
        <v>-705.0760506</v>
      </c>
      <c r="F12" s="4" t="n">
        <f aca="false">-F6*Assumptions!F31/100</f>
        <v>-736.389722259</v>
      </c>
      <c r="G12" s="4" t="n">
        <f aca="false">-G6*Assumptions!G31/100</f>
        <v>-776.891156983245</v>
      </c>
      <c r="H12" s="4" t="n">
        <f aca="false">-H6*Assumptions!H31/100</f>
        <v>-803.560554909535</v>
      </c>
      <c r="I12" s="4" t="n">
        <f aca="false">-I6*Assumptions!I31/100</f>
        <v>-839.720779880465</v>
      </c>
      <c r="J12" s="4" t="n">
        <f aca="false">-J6*Assumptions!J31/100</f>
        <v>-860.077647271506</v>
      </c>
      <c r="K12" s="4" t="n">
        <f aca="false">-K6*Assumptions!K31/100</f>
        <v>-890.180364926009</v>
      </c>
      <c r="L12" s="4" t="n">
        <f aca="false">-L6*Assumptions!L31/100</f>
        <v>-916.885775873789</v>
      </c>
    </row>
    <row r="13" customFormat="false" ht="15" hidden="false" customHeight="false" outlineLevel="0" collapsed="false">
      <c r="A13" s="0" t="s">
        <v>119</v>
      </c>
      <c r="C13" s="0" t="n">
        <f aca="false">C11+C12</f>
        <v>2638.71</v>
      </c>
      <c r="D13" s="0" t="n">
        <f aca="false">D11+D12</f>
        <v>2862.36342</v>
      </c>
      <c r="E13" s="0" t="n">
        <f aca="false">E11+E12</f>
        <v>3100.26086955</v>
      </c>
      <c r="F13" s="0" t="n">
        <f aca="false">F11+F12</f>
        <v>3330.240087231</v>
      </c>
      <c r="G13" s="0" t="n">
        <f aca="false">G11+G12</f>
        <v>3548.18946323691</v>
      </c>
      <c r="H13" s="0" t="n">
        <f aca="false">H11+H12</f>
        <v>3774.29957609024</v>
      </c>
      <c r="I13" s="0" t="n">
        <f aca="false">I11+I12</f>
        <v>3969.5891412531</v>
      </c>
      <c r="J13" s="0" t="n">
        <f aca="false">J11+J12</f>
        <v>4141.60467070741</v>
      </c>
      <c r="K13" s="0" t="n">
        <f aca="false">K11+K12</f>
        <v>4286.56083418216</v>
      </c>
      <c r="L13" s="0" t="n">
        <f aca="false">L11+L12</f>
        <v>4415.15765920763</v>
      </c>
    </row>
    <row r="14" customFormat="false" ht="15" hidden="false" customHeight="false" outlineLevel="0" collapsed="false">
      <c r="A14" s="0" t="s">
        <v>105</v>
      </c>
      <c r="C14" s="4" t="n">
        <f aca="false">Assumptions!C33</f>
        <v>26</v>
      </c>
      <c r="D14" s="4" t="n">
        <f aca="false">Assumptions!D33</f>
        <v>26</v>
      </c>
      <c r="E14" s="4" t="n">
        <f aca="false">Assumptions!E33</f>
        <v>26</v>
      </c>
      <c r="F14" s="4" t="n">
        <f aca="false">Assumptions!F33</f>
        <v>26</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120</v>
      </c>
      <c r="C15" s="0" t="n">
        <f aca="false">C13-MAX(0,C13)*C14/100</f>
        <v>1952.6454</v>
      </c>
      <c r="D15" s="0" t="n">
        <f aca="false">D13-MAX(0,D13)*D14/100</f>
        <v>2118.1489308</v>
      </c>
      <c r="E15" s="0" t="n">
        <f aca="false">E13-MAX(0,E13)*E14/100</f>
        <v>2294.193043467</v>
      </c>
      <c r="F15" s="0" t="n">
        <f aca="false">F13-MAX(0,F13)*F14/100</f>
        <v>2464.37766455094</v>
      </c>
      <c r="G15" s="0" t="n">
        <f aca="false">G13-MAX(0,G13)*G14/100</f>
        <v>2625.66020279531</v>
      </c>
      <c r="H15" s="0" t="n">
        <f aca="false">H13-MAX(0,H13)*H14/100</f>
        <v>2792.98168630678</v>
      </c>
      <c r="I15" s="0" t="n">
        <f aca="false">I13-MAX(0,I13)*I14/100</f>
        <v>2937.4959645273</v>
      </c>
      <c r="J15" s="0" t="n">
        <f aca="false">J13-MAX(0,J13)*J14/100</f>
        <v>3064.78745632348</v>
      </c>
      <c r="K15" s="0" t="n">
        <f aca="false">K13-MAX(0,K13)*K14/100</f>
        <v>3172.0550172948</v>
      </c>
      <c r="L15" s="0" t="n">
        <f aca="false">L13-MAX(0,L13)*L14/100</f>
        <v>3267.21666781365</v>
      </c>
    </row>
    <row r="16" customFormat="false" ht="15" hidden="false" customHeight="false" outlineLevel="0" collapsed="false">
      <c r="A16" s="0" t="s">
        <v>121</v>
      </c>
      <c r="C16" s="0" t="n">
        <f aca="false">-C12</f>
        <v>609.633</v>
      </c>
      <c r="D16" s="0" t="n">
        <f aca="false">-D12</f>
        <v>662.04324</v>
      </c>
      <c r="E16" s="0" t="n">
        <f aca="false">-E12</f>
        <v>705.0760506</v>
      </c>
      <c r="F16" s="0" t="n">
        <f aca="false">-F12</f>
        <v>736.389722259</v>
      </c>
      <c r="G16" s="0" t="n">
        <f aca="false">-G12</f>
        <v>776.891156983245</v>
      </c>
      <c r="H16" s="0" t="n">
        <f aca="false">-H12</f>
        <v>803.560554909535</v>
      </c>
      <c r="I16" s="0" t="n">
        <f aca="false">-I12</f>
        <v>839.720779880465</v>
      </c>
      <c r="J16" s="0" t="n">
        <f aca="false">-J12</f>
        <v>860.077647271506</v>
      </c>
      <c r="K16" s="0" t="n">
        <f aca="false">-K12</f>
        <v>890.180364926009</v>
      </c>
      <c r="L16" s="0" t="n">
        <f aca="false">-L12</f>
        <v>916.885775873789</v>
      </c>
    </row>
    <row r="17" customFormat="false" ht="15" hidden="false" customHeight="false" outlineLevel="0" collapsed="false">
      <c r="A17" s="0" t="s">
        <v>122</v>
      </c>
      <c r="C17" s="4" t="n">
        <f aca="false">-C6*Assumptions!C32/100</f>
        <v>-727.92</v>
      </c>
      <c r="D17" s="4" t="n">
        <f aca="false">-D6*Assumptions!D32/100</f>
        <v>-778.8744</v>
      </c>
      <c r="E17" s="4" t="n">
        <f aca="false">-E6*Assumptions!E32/100</f>
        <v>-808.7637051</v>
      </c>
      <c r="F17" s="4" t="n">
        <f aca="false">-F6*Assumptions!F32/100</f>
        <v>-835.307744652</v>
      </c>
      <c r="G17" s="4" t="n">
        <f aca="false">-G6*Assumptions!G32/100</f>
        <v>-858.05888980239</v>
      </c>
      <c r="H17" s="4" t="n">
        <f aca="false">-H6*Assumptions!H32/100</f>
        <v>-876.611514446766</v>
      </c>
      <c r="I17" s="4" t="n">
        <f aca="false">-I6*Assumptions!I32/100</f>
        <v>-890.612948358068</v>
      </c>
      <c r="J17" s="4" t="n">
        <f aca="false">-J6*Assumptions!J32/100</f>
        <v>-926.237466292391</v>
      </c>
      <c r="K17" s="4" t="n">
        <f aca="false">-K6*Assumptions!K32/100</f>
        <v>-958.655777612625</v>
      </c>
      <c r="L17" s="4" t="n">
        <f aca="false">-L6*Assumptions!L32/100</f>
        <v>-987.415450941004</v>
      </c>
    </row>
    <row r="18" customFormat="false" ht="15" hidden="false" customHeight="false" outlineLevel="0" collapsed="false">
      <c r="A18" s="0" t="s">
        <v>123</v>
      </c>
      <c r="C18" s="4" t="n">
        <f aca="false">(C6-B6)*Assumptions!$B$37/100</f>
        <v>-80.88</v>
      </c>
      <c r="D18" s="4" t="n">
        <f aca="false">(D6-C6)*Assumptions!$B$37/100</f>
        <v>-76.4316</v>
      </c>
      <c r="E18" s="4" t="n">
        <f aca="false">(E6-D6)*Assumptions!$B$37/100</f>
        <v>-75.9402539999998</v>
      </c>
      <c r="F18" s="4" t="n">
        <f aca="false">(F6-E6)*Assumptions!$B$37/100</f>
        <v>-74.6551112400001</v>
      </c>
      <c r="G18" s="4" t="n">
        <f aca="false">(G6-F6)*Assumptions!$B$37/100</f>
        <v>-72.5398830882</v>
      </c>
      <c r="H18" s="4" t="n">
        <f aca="false">(H6-G6)*Assumptions!$B$37/100</f>
        <v>-69.57234241641</v>
      </c>
      <c r="I18" s="4" t="n">
        <f aca="false">(I6-H6)*Assumptions!$B$37/100</f>
        <v>-65.7458635835074</v>
      </c>
      <c r="J18" s="4" t="n">
        <f aca="false">(J6-I6)*Assumptions!$B$37/100</f>
        <v>-61.0706021731248</v>
      </c>
      <c r="K18" s="4" t="n">
        <f aca="false">(K6-J6)*Assumptions!$B$37/100</f>
        <v>-55.5742479775434</v>
      </c>
      <c r="L18" s="4" t="n">
        <f aca="false">(L6-K6)*Assumptions!$B$37/100</f>
        <v>-49.3022971343636</v>
      </c>
    </row>
    <row r="19" customFormat="false" ht="15" hidden="false" customHeight="false" outlineLevel="0" collapsed="false">
      <c r="A19" s="0" t="s">
        <v>124</v>
      </c>
      <c r="C19" s="0" t="n">
        <f aca="false">C15+C16+C17+C18</f>
        <v>1753.4784</v>
      </c>
      <c r="D19" s="0" t="n">
        <f aca="false">D15+D16+D17+D18</f>
        <v>1924.8861708</v>
      </c>
      <c r="E19" s="0" t="n">
        <f aca="false">E15+E16+E17+E18</f>
        <v>2114.565134967</v>
      </c>
      <c r="F19" s="0" t="n">
        <f aca="false">F15+F16+F17+F18</f>
        <v>2290.80453091794</v>
      </c>
      <c r="G19" s="0" t="n">
        <f aca="false">G15+G16+G17+G18</f>
        <v>2471.95258688797</v>
      </c>
      <c r="H19" s="0" t="n">
        <f aca="false">H15+H16+H17+H18</f>
        <v>2650.35838435314</v>
      </c>
      <c r="I19" s="0" t="n">
        <f aca="false">I15+I16+I17+I18</f>
        <v>2820.85793246619</v>
      </c>
      <c r="J19" s="0" t="n">
        <f aca="false">J15+J16+J17+J18</f>
        <v>2937.55703512947</v>
      </c>
      <c r="K19" s="0" t="n">
        <f aca="false">K15+K16+K17+K18</f>
        <v>3048.00535663064</v>
      </c>
      <c r="L19" s="0" t="n">
        <f aca="false">L15+L16+L17+L18</f>
        <v>3147.38469561207</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1616.10912442396</v>
      </c>
      <c r="D21" s="0" t="n">
        <f aca="false">D19*D20</f>
        <v>1635.10473426915</v>
      </c>
      <c r="E21" s="0" t="n">
        <f aca="false">E19*E20</f>
        <v>1655.51016882493</v>
      </c>
      <c r="F21" s="0" t="n">
        <f aca="false">F19*F20</f>
        <v>1652.9856397949</v>
      </c>
      <c r="G21" s="0" t="n">
        <f aca="false">G19*G20</f>
        <v>1643.96075449585</v>
      </c>
      <c r="H21" s="0" t="n">
        <f aca="false">H19*H20</f>
        <v>1624.52415998911</v>
      </c>
      <c r="I21" s="0" t="n">
        <f aca="false">I19*I20</f>
        <v>1593.57697783645</v>
      </c>
      <c r="J21" s="0" t="n">
        <f aca="false">J19*J20</f>
        <v>1529.49619911749</v>
      </c>
      <c r="K21" s="0" t="n">
        <f aca="false">K19*K20</f>
        <v>1462.67582089839</v>
      </c>
      <c r="L21" s="0" t="n">
        <f aca="false">L19*L20</f>
        <v>1392.04234637956</v>
      </c>
    </row>
    <row r="23" customFormat="false" ht="15" hidden="false" customHeight="false" outlineLevel="0" collapsed="false">
      <c r="A23" s="0" t="s">
        <v>102</v>
      </c>
      <c r="C23" s="4" t="n">
        <f aca="false">Assumptions!C30</f>
        <v>0.6</v>
      </c>
      <c r="D23" s="4" t="n">
        <f aca="false">Assumptions!D30</f>
        <v>0.6</v>
      </c>
      <c r="E23" s="4" t="n">
        <f aca="false">Assumptions!E30</f>
        <v>0.6</v>
      </c>
      <c r="F23" s="4" t="n">
        <f aca="false">Assumptions!F30</f>
        <v>0.6</v>
      </c>
      <c r="G23" s="4" t="n">
        <f aca="false">Assumptions!G30</f>
        <v>0.6</v>
      </c>
      <c r="H23" s="4" t="n">
        <f aca="false">Assumptions!H30</f>
        <v>0.6</v>
      </c>
      <c r="I23" s="4" t="n">
        <f aca="false">Assumptions!I30</f>
        <v>0.6</v>
      </c>
      <c r="J23" s="4" t="n">
        <f aca="false">Assumptions!J30</f>
        <v>0.6</v>
      </c>
      <c r="K23" s="4" t="n">
        <f aca="false">Assumptions!K30</f>
        <v>0.6</v>
      </c>
      <c r="L23" s="4" t="n">
        <f aca="false">Assumptions!L30</f>
        <v>0.6</v>
      </c>
    </row>
    <row r="24" customFormat="false" ht="15" hidden="false" customHeight="false" outlineLevel="0" collapsed="false">
      <c r="A24" s="0" t="s">
        <v>127</v>
      </c>
      <c r="C24" s="0" t="n">
        <f aca="false">-C6*C23/100</f>
        <v>-54.594</v>
      </c>
      <c r="D24" s="0" t="n">
        <f aca="false">-D6*D23/100</f>
        <v>-58.41558</v>
      </c>
      <c r="E24" s="0" t="n">
        <f aca="false">-E6*E23/100</f>
        <v>-62.2125927</v>
      </c>
      <c r="F24" s="0" t="n">
        <f aca="false">-F6*F23/100</f>
        <v>-65.945348262</v>
      </c>
      <c r="G24" s="0" t="n">
        <f aca="false">-G6*G23/100</f>
        <v>-69.57234241641</v>
      </c>
      <c r="H24" s="0" t="n">
        <f aca="false">-H6*H23/100</f>
        <v>-73.0509595372305</v>
      </c>
      <c r="I24" s="0" t="n">
        <f aca="false">-I6*I23/100</f>
        <v>-76.3382527164059</v>
      </c>
      <c r="J24" s="0" t="n">
        <f aca="false">-J6*J23/100</f>
        <v>-79.3917828250621</v>
      </c>
      <c r="K24" s="0" t="n">
        <f aca="false">-K6*K23/100</f>
        <v>-82.1704952239393</v>
      </c>
      <c r="L24" s="0" t="n">
        <f aca="false">-L6*L23/100</f>
        <v>-84.6356100806575</v>
      </c>
    </row>
    <row r="26" customFormat="false" ht="15" hidden="false" customHeight="false" outlineLevel="0" collapsed="false">
      <c r="A26" s="2" t="s">
        <v>128</v>
      </c>
    </row>
    <row r="27" customFormat="false" ht="15" hidden="false" customHeight="false" outlineLevel="0" collapsed="false">
      <c r="A27" s="0" t="s">
        <v>106</v>
      </c>
      <c r="B27" s="4" t="n">
        <f aca="false">Assumptions!$B$34</f>
        <v>8.5</v>
      </c>
    </row>
    <row r="28" customFormat="false" ht="15" hidden="false" customHeight="false" outlineLevel="0" collapsed="false">
      <c r="A28" s="0" t="s">
        <v>107</v>
      </c>
      <c r="B28" s="4" t="n">
        <f aca="false">Assumptions!$B$35</f>
        <v>3</v>
      </c>
    </row>
    <row r="29" customFormat="false" ht="15" hidden="false" customHeight="false" outlineLevel="0" collapsed="false">
      <c r="A29" s="0" t="s">
        <v>108</v>
      </c>
      <c r="B29" s="4" t="n">
        <f aca="false">Assumptions!$B$36</f>
        <v>20</v>
      </c>
    </row>
    <row r="30" customFormat="false" ht="15" hidden="false" customHeight="false" outlineLevel="0" collapsed="false">
      <c r="A30" s="0" t="s">
        <v>129</v>
      </c>
      <c r="B30" s="0" t="n">
        <f aca="false">SUM(C21:L21)</f>
        <v>15805.9859260298</v>
      </c>
    </row>
    <row r="31" customFormat="false" ht="15" hidden="false" customHeight="false" outlineLevel="0" collapsed="false">
      <c r="A31" s="0" t="s">
        <v>130</v>
      </c>
      <c r="B31" s="0" t="n">
        <f aca="false">L19</f>
        <v>3147.38469561207</v>
      </c>
    </row>
    <row r="32" customFormat="false" ht="15" hidden="false" customHeight="false" outlineLevel="0" collapsed="false">
      <c r="A32" s="0" t="s">
        <v>131</v>
      </c>
      <c r="B32" s="0" t="n">
        <f aca="false">IF(B27&gt;B28,B31*(1+B28/100)/((B27-B28)/100),B31*B29)</f>
        <v>58941.9315723715</v>
      </c>
    </row>
    <row r="33" customFormat="false" ht="15" hidden="false" customHeight="false" outlineLevel="0" collapsed="false">
      <c r="A33" s="0" t="s">
        <v>132</v>
      </c>
      <c r="B33" s="0" t="n">
        <f aca="false">B31*B29</f>
        <v>62947.6939122414</v>
      </c>
    </row>
    <row r="34" customFormat="false" ht="15" hidden="false" customHeight="false" outlineLevel="0" collapsed="false">
      <c r="A34" s="0" t="s">
        <v>133</v>
      </c>
      <c r="B34" s="0" t="n">
        <f aca="false">MAX(0,MIN(B32,B33))</f>
        <v>58941.9315723715</v>
      </c>
    </row>
    <row r="35" customFormat="false" ht="15" hidden="false" customHeight="false" outlineLevel="0" collapsed="false">
      <c r="A35" s="0" t="s">
        <v>134</v>
      </c>
      <c r="B35" s="0" t="n">
        <f aca="false">B34/(1+B27/100)^L4</f>
        <v>26069.1566685626</v>
      </c>
    </row>
    <row r="36" customFormat="false" ht="15" hidden="false" customHeight="false" outlineLevel="0" collapsed="false">
      <c r="A36" s="0" t="s">
        <v>135</v>
      </c>
      <c r="B36" s="0" t="n">
        <f aca="false">B30+B35</f>
        <v>41875.1425945924</v>
      </c>
    </row>
    <row r="37" customFormat="false" ht="15" hidden="false" customHeight="false" outlineLevel="0" collapsed="false">
      <c r="A37" s="0" t="s">
        <v>136</v>
      </c>
      <c r="B37" s="0" t="n">
        <f aca="false">B36+Assumptions!$B$5-Assumptions!$B$4</f>
        <v>36829.1425945924</v>
      </c>
    </row>
    <row r="38" customFormat="false" ht="15" hidden="false" customHeight="false" outlineLevel="0" collapsed="false">
      <c r="A38" s="0" t="s">
        <v>137</v>
      </c>
      <c r="B38" s="0" t="n">
        <f aca="false">B37/Assumptions!$B$3*Assumptions!$B$10</f>
        <v>3071.90008469178</v>
      </c>
    </row>
    <row r="39" customFormat="false" ht="15" hidden="false" customHeight="false" outlineLevel="0" collapsed="false">
      <c r="A39" s="0" t="s">
        <v>138</v>
      </c>
      <c r="B39" s="4" t="n">
        <f aca="false">B38/Assumptions!$B$2-1</f>
        <v>0.145376616216175</v>
      </c>
    </row>
    <row r="41" customFormat="false" ht="15" hidden="false" customHeight="false" outlineLevel="0" collapsed="false">
      <c r="A41" s="0" t="s">
        <v>139</v>
      </c>
      <c r="B41" s="0" t="n">
        <f aca="false">SUMPRODUCT(-C10:L10/(1+$B$27/100)^C4:L4)</f>
        <v>1236.68865332195</v>
      </c>
    </row>
    <row r="42" customFormat="false" ht="15" hidden="false" customHeight="false" outlineLevel="0" collapsed="false">
      <c r="A42" s="0" t="s">
        <v>140</v>
      </c>
      <c r="B42" s="0" t="n">
        <f aca="false">IF(B27&gt;B28,-L10*(1+B28/100)/((B27-B28)/100),-L10*20)/(1+B27/100)^L4</f>
        <v>1869.38612409053</v>
      </c>
    </row>
    <row r="43" customFormat="false" ht="15" hidden="false" customHeight="false" outlineLevel="0" collapsed="false">
      <c r="A43" s="0" t="s">
        <v>141</v>
      </c>
      <c r="B43" s="0" t="n">
        <f aca="false">(B37+B41+B42)/Assumptions!$B$3*Assumptions!$B$10</f>
        <v>3330.97620484</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27015.0519706703</v>
      </c>
    </row>
    <row r="47" customFormat="false" ht="15" hidden="false" customHeight="false" outlineLevel="0" collapsed="false">
      <c r="A47" s="0" t="s">
        <v>143</v>
      </c>
      <c r="B47" s="0" t="n">
        <f aca="false">(SUMPRODUCT(C19:L19/(1+B45/100)^C4:L4)+B46/(1+B45/100)^L4+Assumptions!$B$5-Assumptions!$B$4)/Assumptions!$B$3*Assumptions!$B$10</f>
        <v>1113.6914239466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9</v>
      </c>
      <c r="D5" s="4" t="n">
        <f aca="false">Assumptions!D41</f>
        <v>9</v>
      </c>
      <c r="E5" s="4" t="n">
        <f aca="false">Assumptions!E41</f>
        <v>8.5</v>
      </c>
      <c r="F5" s="4" t="n">
        <f aca="false">Assumptions!F41</f>
        <v>8</v>
      </c>
      <c r="G5" s="4" t="n">
        <f aca="false">Assumptions!G41</f>
        <v>7.5</v>
      </c>
      <c r="H5" s="4" t="n">
        <f aca="false">Assumptions!H41</f>
        <v>7</v>
      </c>
      <c r="I5" s="4" t="n">
        <f aca="false">Assumptions!I41</f>
        <v>6</v>
      </c>
      <c r="J5" s="4" t="n">
        <f aca="false">Assumptions!J41</f>
        <v>5</v>
      </c>
      <c r="K5" s="4" t="n">
        <f aca="false">Assumptions!K41</f>
        <v>4</v>
      </c>
      <c r="L5" s="4" t="n">
        <f aca="false">Assumptions!L41</f>
        <v>3.5</v>
      </c>
    </row>
    <row r="6" customFormat="false" ht="15" hidden="false" customHeight="false" outlineLevel="0" collapsed="false">
      <c r="A6" s="0" t="s">
        <v>38</v>
      </c>
      <c r="B6" s="3" t="n">
        <v>8425</v>
      </c>
      <c r="C6" s="0" t="n">
        <f aca="false">B6*(1+C5/100)</f>
        <v>9183.25</v>
      </c>
      <c r="D6" s="0" t="n">
        <f aca="false">C6*(1+D5/100)</f>
        <v>10009.7425</v>
      </c>
      <c r="E6" s="0" t="n">
        <f aca="false">D6*(1+E5/100)</f>
        <v>10860.5706125</v>
      </c>
      <c r="F6" s="0" t="n">
        <f aca="false">E6*(1+F5/100)</f>
        <v>11729.4162615</v>
      </c>
      <c r="G6" s="0" t="n">
        <f aca="false">F6*(1+G5/100)</f>
        <v>12609.1224811125</v>
      </c>
      <c r="H6" s="0" t="n">
        <f aca="false">G6*(1+H5/100)</f>
        <v>13491.7610547904</v>
      </c>
      <c r="I6" s="0" t="n">
        <f aca="false">H6*(1+I5/100)</f>
        <v>14301.2667180778</v>
      </c>
      <c r="J6" s="0" t="n">
        <f aca="false">I6*(1+J5/100)</f>
        <v>15016.3300539817</v>
      </c>
      <c r="K6" s="0" t="n">
        <f aca="false">J6*(1+K5/100)</f>
        <v>15616.983256141</v>
      </c>
      <c r="L6" s="0" t="n">
        <f aca="false">K6*(1+L5/100)</f>
        <v>16163.5776701059</v>
      </c>
    </row>
    <row r="7" customFormat="false" ht="15" hidden="false" customHeight="false" outlineLevel="0" collapsed="false">
      <c r="A7" s="0" t="s">
        <v>100</v>
      </c>
      <c r="C7" s="4" t="n">
        <f aca="false">Assumptions!C42</f>
        <v>38.1</v>
      </c>
      <c r="D7" s="4" t="n">
        <f aca="false">Assumptions!D42</f>
        <v>38.8</v>
      </c>
      <c r="E7" s="4" t="n">
        <f aca="false">Assumptions!E42</f>
        <v>39.5</v>
      </c>
      <c r="F7" s="4" t="n">
        <f aca="false">Assumptions!F42</f>
        <v>40.1</v>
      </c>
      <c r="G7" s="4" t="n">
        <f aca="false">Assumptions!G42</f>
        <v>40.6</v>
      </c>
      <c r="H7" s="4" t="n">
        <f aca="false">Assumptions!H42</f>
        <v>41</v>
      </c>
      <c r="I7" s="4" t="n">
        <f aca="false">Assumptions!I42</f>
        <v>41.3</v>
      </c>
      <c r="J7" s="4" t="n">
        <f aca="false">Assumptions!J42</f>
        <v>41.5</v>
      </c>
      <c r="K7" s="4" t="n">
        <f aca="false">Assumptions!K42</f>
        <v>41.5</v>
      </c>
      <c r="L7" s="4" t="n">
        <f aca="false">Assumptions!L42</f>
        <v>41.5</v>
      </c>
    </row>
    <row r="8" customFormat="false" ht="15" hidden="false" customHeight="false" outlineLevel="0" collapsed="false">
      <c r="A8" s="0" t="s">
        <v>44</v>
      </c>
      <c r="C8" s="0" t="n">
        <f aca="false">C6*C7/100</f>
        <v>3498.81825</v>
      </c>
      <c r="D8" s="0" t="n">
        <f aca="false">D6*D7/100</f>
        <v>3883.78009</v>
      </c>
      <c r="E8" s="0" t="n">
        <f aca="false">E6*E7/100</f>
        <v>4289.9253919375</v>
      </c>
      <c r="F8" s="0" t="n">
        <f aca="false">F6*F7/100</f>
        <v>4703.4959208615</v>
      </c>
      <c r="G8" s="0" t="n">
        <f aca="false">G6*G7/100</f>
        <v>5119.30372733168</v>
      </c>
      <c r="H8" s="0" t="n">
        <f aca="false">H6*H7/100</f>
        <v>5531.62203246405</v>
      </c>
      <c r="I8" s="0" t="n">
        <f aca="false">I6*I7/100</f>
        <v>5906.42315456613</v>
      </c>
      <c r="J8" s="0" t="n">
        <f aca="false">J6*J7/100</f>
        <v>6231.7769724024</v>
      </c>
      <c r="K8" s="0" t="n">
        <f aca="false">K6*K7/100</f>
        <v>6481.0480512985</v>
      </c>
      <c r="L8" s="0" t="n">
        <f aca="false">L6*L7/100</f>
        <v>6707.88473309394</v>
      </c>
    </row>
    <row r="9" customFormat="false" ht="15" hidden="false" customHeight="false" outlineLevel="0" collapsed="false">
      <c r="A9" s="0" t="s">
        <v>101</v>
      </c>
      <c r="C9" s="4" t="n">
        <f aca="false">Assumptions!C43</f>
        <v>1.7</v>
      </c>
      <c r="D9" s="4" t="n">
        <f aca="false">Assumptions!D43</f>
        <v>1.7</v>
      </c>
      <c r="E9" s="4" t="n">
        <f aca="false">Assumptions!E43</f>
        <v>1.7</v>
      </c>
      <c r="F9" s="4" t="n">
        <f aca="false">Assumptions!F43</f>
        <v>1.7</v>
      </c>
      <c r="G9" s="4" t="n">
        <f aca="false">Assumptions!G43</f>
        <v>1.7</v>
      </c>
      <c r="H9" s="4" t="n">
        <f aca="false">Assumptions!H43</f>
        <v>1.6</v>
      </c>
      <c r="I9" s="4" t="n">
        <f aca="false">Assumptions!I43</f>
        <v>1.6</v>
      </c>
      <c r="J9" s="4" t="n">
        <f aca="false">Assumptions!J43</f>
        <v>1.6</v>
      </c>
      <c r="K9" s="4" t="n">
        <f aca="false">Assumptions!K43</f>
        <v>1.6</v>
      </c>
      <c r="L9" s="4" t="n">
        <f aca="false">Assumptions!L43</f>
        <v>1.6</v>
      </c>
    </row>
    <row r="10" customFormat="false" ht="15" hidden="false" customHeight="false" outlineLevel="0" collapsed="false">
      <c r="A10" s="0" t="s">
        <v>116</v>
      </c>
      <c r="C10" s="0" t="n">
        <f aca="false">-C6*C9/100</f>
        <v>-156.11525</v>
      </c>
      <c r="D10" s="0" t="n">
        <f aca="false">-D6*D9/100</f>
        <v>-170.1656225</v>
      </c>
      <c r="E10" s="0" t="n">
        <f aca="false">-E6*E9/100</f>
        <v>-184.6297004125</v>
      </c>
      <c r="F10" s="0" t="n">
        <f aca="false">-F6*F9/100</f>
        <v>-199.4000764455</v>
      </c>
      <c r="G10" s="0" t="n">
        <f aca="false">-G6*G9/100</f>
        <v>-214.355082178912</v>
      </c>
      <c r="H10" s="0" t="n">
        <f aca="false">-H6*H9/100</f>
        <v>-215.868176876646</v>
      </c>
      <c r="I10" s="0" t="n">
        <f aca="false">-I6*I9/100</f>
        <v>-228.820267489245</v>
      </c>
      <c r="J10" s="0" t="n">
        <f aca="false">-J6*J9/100</f>
        <v>-240.261280863707</v>
      </c>
      <c r="K10" s="0" t="n">
        <f aca="false">-K6*K9/100</f>
        <v>-249.871732098255</v>
      </c>
      <c r="L10" s="0" t="n">
        <f aca="false">-L6*L9/100</f>
        <v>-258.617242721694</v>
      </c>
    </row>
    <row r="11" customFormat="false" ht="15" hidden="false" customHeight="false" outlineLevel="0" collapsed="false">
      <c r="A11" s="0" t="s">
        <v>117</v>
      </c>
      <c r="C11" s="0" t="n">
        <f aca="false">C8+C10+C24</f>
        <v>3287.6035</v>
      </c>
      <c r="D11" s="0" t="n">
        <f aca="false">D8+D10+D24</f>
        <v>3653.5560125</v>
      </c>
      <c r="E11" s="0" t="n">
        <f aca="false">E8+E10+E24</f>
        <v>4040.13226785</v>
      </c>
      <c r="F11" s="0" t="n">
        <f aca="false">F8+F10+F24</f>
        <v>4433.719346847</v>
      </c>
      <c r="G11" s="0" t="n">
        <f aca="false">G8+G10+G24</f>
        <v>4829.29391026609</v>
      </c>
      <c r="H11" s="0" t="n">
        <f aca="false">H8+H10+H24</f>
        <v>5234.80328925867</v>
      </c>
      <c r="I11" s="0" t="n">
        <f aca="false">I8+I10+I24</f>
        <v>5591.79528676842</v>
      </c>
      <c r="J11" s="0" t="n">
        <f aca="false">J8+J10+J24</f>
        <v>5901.41771121481</v>
      </c>
      <c r="K11" s="0" t="n">
        <f aca="false">K8+K10+K24</f>
        <v>6137.4744196634</v>
      </c>
      <c r="L11" s="0" t="n">
        <f aca="false">L8+L10+L24</f>
        <v>6352.28602435161</v>
      </c>
    </row>
    <row r="12" customFormat="false" ht="15" hidden="false" customHeight="false" outlineLevel="0" collapsed="false">
      <c r="A12" s="0" t="s">
        <v>118</v>
      </c>
      <c r="C12" s="4" t="n">
        <f aca="false">-C6*Assumptions!C45/100</f>
        <v>-615.27775</v>
      </c>
      <c r="D12" s="4" t="n">
        <f aca="false">-D6*Assumptions!D45/100</f>
        <v>-680.66249</v>
      </c>
      <c r="E12" s="4" t="n">
        <f aca="false">-E6*Assumptions!E45/100</f>
        <v>-738.51880165</v>
      </c>
      <c r="F12" s="4" t="n">
        <f aca="false">-F6*Assumptions!F45/100</f>
        <v>-785.8708895205</v>
      </c>
      <c r="G12" s="4" t="n">
        <f aca="false">-G6*Assumptions!G45/100</f>
        <v>-832.202083753425</v>
      </c>
      <c r="H12" s="4" t="n">
        <f aca="false">-H6*Assumptions!H45/100</f>
        <v>-876.964468561374</v>
      </c>
      <c r="I12" s="4" t="n">
        <f aca="false">-I6*Assumptions!I45/100</f>
        <v>-929.582336675057</v>
      </c>
      <c r="J12" s="4" t="n">
        <f aca="false">-J6*Assumptions!J45/100</f>
        <v>-961.045123454828</v>
      </c>
      <c r="K12" s="4" t="n">
        <f aca="false">-K6*Assumptions!K45/100</f>
        <v>-999.486928393021</v>
      </c>
      <c r="L12" s="4" t="n">
        <f aca="false">-L6*Assumptions!L45/100</f>
        <v>-1034.46897088678</v>
      </c>
    </row>
    <row r="13" customFormat="false" ht="15" hidden="false" customHeight="false" outlineLevel="0" collapsed="false">
      <c r="A13" s="0" t="s">
        <v>119</v>
      </c>
      <c r="C13" s="0" t="n">
        <f aca="false">C11+C12</f>
        <v>2672.32575</v>
      </c>
      <c r="D13" s="0" t="n">
        <f aca="false">D11+D12</f>
        <v>2972.8935225</v>
      </c>
      <c r="E13" s="0" t="n">
        <f aca="false">E11+E12</f>
        <v>3301.6134662</v>
      </c>
      <c r="F13" s="0" t="n">
        <f aca="false">F11+F12</f>
        <v>3647.8484573265</v>
      </c>
      <c r="G13" s="0" t="n">
        <f aca="false">G11+G12</f>
        <v>3997.09182651266</v>
      </c>
      <c r="H13" s="0" t="n">
        <f aca="false">H11+H12</f>
        <v>4357.83882069729</v>
      </c>
      <c r="I13" s="0" t="n">
        <f aca="false">I11+I12</f>
        <v>4662.21295009336</v>
      </c>
      <c r="J13" s="0" t="n">
        <f aca="false">J11+J12</f>
        <v>4940.37258775998</v>
      </c>
      <c r="K13" s="0" t="n">
        <f aca="false">K11+K12</f>
        <v>5137.98749127038</v>
      </c>
      <c r="L13" s="0" t="n">
        <f aca="false">L11+L12</f>
        <v>5317.81705346484</v>
      </c>
    </row>
    <row r="14" customFormat="false" ht="15" hidden="false" customHeight="false" outlineLevel="0" collapsed="false">
      <c r="A14" s="0" t="s">
        <v>105</v>
      </c>
      <c r="C14" s="4" t="n">
        <f aca="false">Assumptions!C47</f>
        <v>26</v>
      </c>
      <c r="D14" s="4" t="n">
        <f aca="false">Assumptions!D47</f>
        <v>26</v>
      </c>
      <c r="E14" s="4" t="n">
        <f aca="false">Assumptions!E47</f>
        <v>26</v>
      </c>
      <c r="F14" s="4" t="n">
        <f aca="false">Assumptions!F47</f>
        <v>26</v>
      </c>
      <c r="G14" s="4" t="n">
        <f aca="false">Assumptions!G47</f>
        <v>26</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120</v>
      </c>
      <c r="C15" s="0" t="n">
        <f aca="false">C13-MAX(0,C13)*C14/100</f>
        <v>1977.521055</v>
      </c>
      <c r="D15" s="0" t="n">
        <f aca="false">D13-MAX(0,D13)*D14/100</f>
        <v>2199.94120665</v>
      </c>
      <c r="E15" s="0" t="n">
        <f aca="false">E13-MAX(0,E13)*E14/100</f>
        <v>2443.193964988</v>
      </c>
      <c r="F15" s="0" t="n">
        <f aca="false">F13-MAX(0,F13)*F14/100</f>
        <v>2699.40785842161</v>
      </c>
      <c r="G15" s="0" t="n">
        <f aca="false">G13-MAX(0,G13)*G14/100</f>
        <v>2957.84795161937</v>
      </c>
      <c r="H15" s="0" t="n">
        <f aca="false">H13-MAX(0,H13)*H14/100</f>
        <v>3224.80072731599</v>
      </c>
      <c r="I15" s="0" t="n">
        <f aca="false">I13-MAX(0,I13)*I14/100</f>
        <v>3450.03758306909</v>
      </c>
      <c r="J15" s="0" t="n">
        <f aca="false">J13-MAX(0,J13)*J14/100</f>
        <v>3655.87571494238</v>
      </c>
      <c r="K15" s="0" t="n">
        <f aca="false">K13-MAX(0,K13)*K14/100</f>
        <v>3802.11074354008</v>
      </c>
      <c r="L15" s="0" t="n">
        <f aca="false">L13-MAX(0,L13)*L14/100</f>
        <v>3935.18461956398</v>
      </c>
    </row>
    <row r="16" customFormat="false" ht="15" hidden="false" customHeight="false" outlineLevel="0" collapsed="false">
      <c r="A16" s="0" t="s">
        <v>121</v>
      </c>
      <c r="C16" s="0" t="n">
        <f aca="false">-C12</f>
        <v>615.27775</v>
      </c>
      <c r="D16" s="0" t="n">
        <f aca="false">-D12</f>
        <v>680.66249</v>
      </c>
      <c r="E16" s="0" t="n">
        <f aca="false">-E12</f>
        <v>738.51880165</v>
      </c>
      <c r="F16" s="0" t="n">
        <f aca="false">-F12</f>
        <v>785.8708895205</v>
      </c>
      <c r="G16" s="0" t="n">
        <f aca="false">-G12</f>
        <v>832.202083753425</v>
      </c>
      <c r="H16" s="0" t="n">
        <f aca="false">-H12</f>
        <v>876.964468561374</v>
      </c>
      <c r="I16" s="0" t="n">
        <f aca="false">-I12</f>
        <v>929.582336675057</v>
      </c>
      <c r="J16" s="0" t="n">
        <f aca="false">-J12</f>
        <v>961.045123454828</v>
      </c>
      <c r="K16" s="0" t="n">
        <f aca="false">-K12</f>
        <v>999.486928393021</v>
      </c>
      <c r="L16" s="0" t="n">
        <f aca="false">-L12</f>
        <v>1034.46897088678</v>
      </c>
    </row>
    <row r="17" customFormat="false" ht="15" hidden="false" customHeight="false" outlineLevel="0" collapsed="false">
      <c r="A17" s="0" t="s">
        <v>122</v>
      </c>
      <c r="C17" s="4" t="n">
        <f aca="false">-C6*Assumptions!C46/100</f>
        <v>-734.66</v>
      </c>
      <c r="D17" s="4" t="n">
        <f aca="false">-D6*Assumptions!D46/100</f>
        <v>-780.759915</v>
      </c>
      <c r="E17" s="4" t="n">
        <f aca="false">-E6*Assumptions!E46/100</f>
        <v>-825.40336655</v>
      </c>
      <c r="F17" s="4" t="n">
        <f aca="false">-F6*Assumptions!F46/100</f>
        <v>-867.976803351</v>
      </c>
      <c r="G17" s="4" t="n">
        <f aca="false">-G6*Assumptions!G46/100</f>
        <v>-907.8568186401</v>
      </c>
      <c r="H17" s="4" t="n">
        <f aca="false">-H6*Assumptions!H46/100</f>
        <v>-944.423273835326</v>
      </c>
      <c r="I17" s="4" t="n">
        <f aca="false">-I6*Assumptions!I46/100</f>
        <v>-972.48613682929</v>
      </c>
      <c r="J17" s="4" t="n">
        <f aca="false">-J6*Assumptions!J46/100</f>
        <v>-1021.11044367075</v>
      </c>
      <c r="K17" s="4" t="n">
        <f aca="false">-K6*Assumptions!K46/100</f>
        <v>-1061.95486141759</v>
      </c>
      <c r="L17" s="4" t="n">
        <f aca="false">-L6*Assumptions!L46/100</f>
        <v>-1099.1232815672</v>
      </c>
    </row>
    <row r="18" customFormat="false" ht="15" hidden="false" customHeight="false" outlineLevel="0" collapsed="false">
      <c r="A18" s="0" t="s">
        <v>123</v>
      </c>
      <c r="C18" s="4" t="n">
        <f aca="false">(C6-B6)*Assumptions!$B$51/100</f>
        <v>-75.825</v>
      </c>
      <c r="D18" s="4" t="n">
        <f aca="false">(D6-C6)*Assumptions!$B$51/100</f>
        <v>-82.64925</v>
      </c>
      <c r="E18" s="4" t="n">
        <f aca="false">(E6-D6)*Assumptions!$B$51/100</f>
        <v>-85.0828112499999</v>
      </c>
      <c r="F18" s="4" t="n">
        <f aca="false">(F6-E6)*Assumptions!$B$51/100</f>
        <v>-86.8845649000001</v>
      </c>
      <c r="G18" s="4" t="n">
        <f aca="false">(G6-F6)*Assumptions!$B$51/100</f>
        <v>-87.9706219612499</v>
      </c>
      <c r="H18" s="4" t="n">
        <f aca="false">(H6-G6)*Assumptions!$B$51/100</f>
        <v>-88.2638573677876</v>
      </c>
      <c r="I18" s="4" t="n">
        <f aca="false">(I6-H6)*Assumptions!$B$51/100</f>
        <v>-80.9505663287424</v>
      </c>
      <c r="J18" s="4" t="n">
        <f aca="false">(J6-I6)*Assumptions!$B$51/100</f>
        <v>-71.5063335903891</v>
      </c>
      <c r="K18" s="4" t="n">
        <f aca="false">(K6-J6)*Assumptions!$B$51/100</f>
        <v>-60.0653202159268</v>
      </c>
      <c r="L18" s="4" t="n">
        <f aca="false">(L6-K6)*Assumptions!$B$51/100</f>
        <v>-54.6594413964933</v>
      </c>
    </row>
    <row r="19" customFormat="false" ht="15" hidden="false" customHeight="false" outlineLevel="0" collapsed="false">
      <c r="A19" s="0" t="s">
        <v>124</v>
      </c>
      <c r="C19" s="0" t="n">
        <f aca="false">C15+C16+C17+C18</f>
        <v>1782.313805</v>
      </c>
      <c r="D19" s="0" t="n">
        <f aca="false">D15+D16+D17+D18</f>
        <v>2017.19453165</v>
      </c>
      <c r="E19" s="0" t="n">
        <f aca="false">E15+E16+E17+E18</f>
        <v>2271.226588838</v>
      </c>
      <c r="F19" s="0" t="n">
        <f aca="false">F15+F16+F17+F18</f>
        <v>2530.41737969111</v>
      </c>
      <c r="G19" s="0" t="n">
        <f aca="false">G15+G16+G17+G18</f>
        <v>2794.22259477145</v>
      </c>
      <c r="H19" s="0" t="n">
        <f aca="false">H15+H16+H17+H18</f>
        <v>3069.07806467426</v>
      </c>
      <c r="I19" s="0" t="n">
        <f aca="false">I15+I16+I17+I18</f>
        <v>3326.18321658611</v>
      </c>
      <c r="J19" s="0" t="n">
        <f aca="false">J15+J16+J17+J18</f>
        <v>3524.30406113607</v>
      </c>
      <c r="K19" s="0" t="n">
        <f aca="false">K15+K16+K17+K18</f>
        <v>3679.57749029959</v>
      </c>
      <c r="L19" s="0" t="n">
        <f aca="false">L15+L16+L17+L18</f>
        <v>3815.87086748706</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1642.68553456221</v>
      </c>
      <c r="D21" s="0" t="n">
        <f aca="false">D19*D20</f>
        <v>1713.51655940878</v>
      </c>
      <c r="E21" s="0" t="n">
        <f aca="false">E19*E20</f>
        <v>1778.16168977247</v>
      </c>
      <c r="F21" s="0" t="n">
        <f aca="false">F19*F20</f>
        <v>1825.8841096498</v>
      </c>
      <c r="G21" s="0" t="n">
        <f aca="false">G19*G20</f>
        <v>1858.28494830189</v>
      </c>
      <c r="H21" s="0" t="n">
        <f aca="false">H19*H20</f>
        <v>1881.1763323747</v>
      </c>
      <c r="I21" s="0" t="n">
        <f aca="false">I19*I20</f>
        <v>1879.04854654752</v>
      </c>
      <c r="J21" s="0" t="n">
        <f aca="false">J19*J20</f>
        <v>1834.99744909782</v>
      </c>
      <c r="K21" s="0" t="n">
        <f aca="false">K19*K20</f>
        <v>1765.75445134146</v>
      </c>
      <c r="L21" s="0" t="n">
        <f aca="false">L19*L20</f>
        <v>1687.70403035371</v>
      </c>
    </row>
    <row r="23" customFormat="false" ht="15" hidden="false" customHeight="false" outlineLevel="0" collapsed="false">
      <c r="A23" s="0" t="s">
        <v>102</v>
      </c>
      <c r="C23" s="4" t="n">
        <f aca="false">Assumptions!C44</f>
        <v>0.6</v>
      </c>
      <c r="D23" s="4" t="n">
        <f aca="false">Assumptions!D44</f>
        <v>0.6</v>
      </c>
      <c r="E23" s="4" t="n">
        <f aca="false">Assumptions!E44</f>
        <v>0.6</v>
      </c>
      <c r="F23" s="4" t="n">
        <f aca="false">Assumptions!F44</f>
        <v>0.6</v>
      </c>
      <c r="G23" s="4" t="n">
        <f aca="false">Assumptions!G44</f>
        <v>0.6</v>
      </c>
      <c r="H23" s="4" t="n">
        <f aca="false">Assumptions!H44</f>
        <v>0.6</v>
      </c>
      <c r="I23" s="4" t="n">
        <f aca="false">Assumptions!I44</f>
        <v>0.6</v>
      </c>
      <c r="J23" s="4" t="n">
        <f aca="false">Assumptions!J44</f>
        <v>0.6</v>
      </c>
      <c r="K23" s="4" t="n">
        <f aca="false">Assumptions!K44</f>
        <v>0.6</v>
      </c>
      <c r="L23" s="4" t="n">
        <f aca="false">Assumptions!L44</f>
        <v>0.6</v>
      </c>
    </row>
    <row r="24" customFormat="false" ht="15" hidden="false" customHeight="false" outlineLevel="0" collapsed="false">
      <c r="A24" s="0" t="s">
        <v>127</v>
      </c>
      <c r="C24" s="0" t="n">
        <f aca="false">-C6*C23/100</f>
        <v>-55.0995</v>
      </c>
      <c r="D24" s="0" t="n">
        <f aca="false">-D6*D23/100</f>
        <v>-60.058455</v>
      </c>
      <c r="E24" s="0" t="n">
        <f aca="false">-E6*E23/100</f>
        <v>-65.163423675</v>
      </c>
      <c r="F24" s="0" t="n">
        <f aca="false">-F6*F23/100</f>
        <v>-70.376497569</v>
      </c>
      <c r="G24" s="0" t="n">
        <f aca="false">-G6*G23/100</f>
        <v>-75.654734886675</v>
      </c>
      <c r="H24" s="0" t="n">
        <f aca="false">-H6*H23/100</f>
        <v>-80.9505663287422</v>
      </c>
      <c r="I24" s="0" t="n">
        <f aca="false">-I6*I23/100</f>
        <v>-85.8076003084668</v>
      </c>
      <c r="J24" s="0" t="n">
        <f aca="false">-J6*J23/100</f>
        <v>-90.0979803238901</v>
      </c>
      <c r="K24" s="0" t="n">
        <f aca="false">-K6*K23/100</f>
        <v>-93.7018995368457</v>
      </c>
      <c r="L24" s="0" t="n">
        <f aca="false">-L6*L23/100</f>
        <v>-96.9814660206353</v>
      </c>
    </row>
    <row r="26" customFormat="false" ht="15" hidden="false" customHeight="false" outlineLevel="0" collapsed="false">
      <c r="A26" s="2" t="s">
        <v>128</v>
      </c>
    </row>
    <row r="27" customFormat="false" ht="15" hidden="false" customHeight="false" outlineLevel="0" collapsed="false">
      <c r="A27" s="0" t="s">
        <v>106</v>
      </c>
      <c r="B27" s="4" t="n">
        <f aca="false">Assumptions!$B$48</f>
        <v>8.5</v>
      </c>
    </row>
    <row r="28" customFormat="false" ht="15" hidden="false" customHeight="false" outlineLevel="0" collapsed="false">
      <c r="A28" s="0" t="s">
        <v>107</v>
      </c>
      <c r="B28" s="4" t="n">
        <f aca="false">Assumptions!$B$49</f>
        <v>3.5</v>
      </c>
    </row>
    <row r="29" customFormat="false" ht="15" hidden="false" customHeight="false" outlineLevel="0" collapsed="false">
      <c r="A29" s="0" t="s">
        <v>108</v>
      </c>
      <c r="B29" s="4" t="n">
        <f aca="false">Assumptions!$B$50</f>
        <v>20</v>
      </c>
    </row>
    <row r="30" customFormat="false" ht="15" hidden="false" customHeight="false" outlineLevel="0" collapsed="false">
      <c r="A30" s="0" t="s">
        <v>129</v>
      </c>
      <c r="B30" s="0" t="n">
        <f aca="false">SUM(C21:L21)</f>
        <v>17867.2136514104</v>
      </c>
    </row>
    <row r="31" customFormat="false" ht="15" hidden="false" customHeight="false" outlineLevel="0" collapsed="false">
      <c r="A31" s="0" t="s">
        <v>130</v>
      </c>
      <c r="B31" s="0" t="n">
        <f aca="false">L19</f>
        <v>3815.87086748706</v>
      </c>
    </row>
    <row r="32" customFormat="false" ht="15" hidden="false" customHeight="false" outlineLevel="0" collapsed="false">
      <c r="A32" s="0" t="s">
        <v>131</v>
      </c>
      <c r="B32" s="0" t="n">
        <f aca="false">IF(B27&gt;B28,B31*(1+B28/100)/((B27-B28)/100),B31*B29)</f>
        <v>78988.5269569822</v>
      </c>
    </row>
    <row r="33" customFormat="false" ht="15" hidden="false" customHeight="false" outlineLevel="0" collapsed="false">
      <c r="A33" s="0" t="s">
        <v>132</v>
      </c>
      <c r="B33" s="0" t="n">
        <f aca="false">B31*B29</f>
        <v>76317.4173497413</v>
      </c>
    </row>
    <row r="34" customFormat="false" ht="15" hidden="false" customHeight="false" outlineLevel="0" collapsed="false">
      <c r="A34" s="0" t="s">
        <v>133</v>
      </c>
      <c r="B34" s="0" t="n">
        <f aca="false">MAX(0,MIN(B32,B33))</f>
        <v>76317.4173497413</v>
      </c>
    </row>
    <row r="35" customFormat="false" ht="15" hidden="false" customHeight="false" outlineLevel="0" collapsed="false">
      <c r="A35" s="0" t="s">
        <v>134</v>
      </c>
      <c r="B35" s="0" t="n">
        <f aca="false">B34/(1+B27/100)^L4</f>
        <v>33754.0806070743</v>
      </c>
    </row>
    <row r="36" customFormat="false" ht="15" hidden="false" customHeight="false" outlineLevel="0" collapsed="false">
      <c r="A36" s="0" t="s">
        <v>135</v>
      </c>
      <c r="B36" s="0" t="n">
        <f aca="false">B30+B35</f>
        <v>51621.2942584846</v>
      </c>
    </row>
    <row r="37" customFormat="false" ht="15" hidden="false" customHeight="false" outlineLevel="0" collapsed="false">
      <c r="A37" s="0" t="s">
        <v>136</v>
      </c>
      <c r="B37" s="0" t="n">
        <f aca="false">B36+Assumptions!$B$5-Assumptions!$B$4</f>
        <v>46575.2942584846</v>
      </c>
    </row>
    <row r="38" customFormat="false" ht="15" hidden="false" customHeight="false" outlineLevel="0" collapsed="false">
      <c r="A38" s="0" t="s">
        <v>137</v>
      </c>
      <c r="B38" s="0" t="n">
        <f aca="false">B37/Assumptions!$B$3*Assumptions!$B$10</f>
        <v>3884.82164659981</v>
      </c>
    </row>
    <row r="39" customFormat="false" ht="15" hidden="false" customHeight="false" outlineLevel="0" collapsed="false">
      <c r="A39" s="0" t="s">
        <v>138</v>
      </c>
      <c r="B39" s="4" t="n">
        <f aca="false">B38/Assumptions!$B$2-1</f>
        <v>0.448479361148325</v>
      </c>
    </row>
    <row r="41" customFormat="false" ht="15" hidden="false" customHeight="false" outlineLevel="0" collapsed="false">
      <c r="A41" s="0" t="s">
        <v>139</v>
      </c>
      <c r="B41" s="0" t="n">
        <f aca="false">SUMPRODUCT(-C10:L10/(1+$B$27/100)^C4:L4)</f>
        <v>1340.38867871886</v>
      </c>
    </row>
    <row r="42" customFormat="false" ht="15" hidden="false" customHeight="false" outlineLevel="0" collapsed="false">
      <c r="A42" s="0" t="s">
        <v>140</v>
      </c>
      <c r="B42" s="0" t="n">
        <f aca="false">IF(B27&gt;B28,-L10*(1+B28/100)/((B27-B28)/100),-L10*20)/(1+B27/100)^L4</f>
        <v>2367.72053483024</v>
      </c>
    </row>
    <row r="43" customFormat="false" ht="15" hidden="false" customHeight="false" outlineLevel="0" collapsed="false">
      <c r="A43" s="0" t="s">
        <v>141</v>
      </c>
      <c r="B43" s="0" t="n">
        <f aca="false">(B37+B41+B42)/Assumptions!$B$3*Assumptions!$B$10</f>
        <v>4194.11315339748</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34342.8378073836</v>
      </c>
    </row>
    <row r="47" customFormat="false" ht="15" hidden="false" customHeight="false" outlineLevel="0" collapsed="false">
      <c r="A47" s="0" t="s">
        <v>143</v>
      </c>
      <c r="B47" s="0" t="n">
        <f aca="false">(SUMPRODUCT(C19:L19/(1+B45/100)^C4:L4)+B46/(1+B45/100)^L4+Assumptions!$B$5-Assumptions!$B$4)/Assumptions!$B$3*Assumptions!$B$10</f>
        <v>1381.76921878474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1726.05350374538</v>
      </c>
      <c r="C4" s="0" t="n">
        <f aca="false">B4/Assumptions!$B$2-1</f>
        <v>-0.35643046094505</v>
      </c>
      <c r="D4" s="4" t="n">
        <f aca="false">Assumptions!$B$24</f>
        <v>0.25</v>
      </c>
      <c r="E4" s="4" t="n">
        <f aca="false">DCF_Bear!$B$43</f>
        <v>1933.13852410126</v>
      </c>
      <c r="F4" s="4" t="n">
        <f aca="false">DCF_Bear!$B$47</f>
        <v>680.242011373587</v>
      </c>
    </row>
    <row r="5" customFormat="false" ht="15" hidden="false" customHeight="false" outlineLevel="0" collapsed="false">
      <c r="A5" s="0" t="s">
        <v>152</v>
      </c>
      <c r="B5" s="4" t="n">
        <f aca="false">DCF_Base!$B$38</f>
        <v>3071.90008469178</v>
      </c>
      <c r="C5" s="0" t="n">
        <f aca="false">B5/Assumptions!$B$2-1</f>
        <v>0.145376616216175</v>
      </c>
      <c r="D5" s="4" t="n">
        <f aca="false">Assumptions!$B$38</f>
        <v>0.5</v>
      </c>
      <c r="E5" s="4" t="n">
        <f aca="false">DCF_Base!$B$43</f>
        <v>3330.97620484</v>
      </c>
      <c r="F5" s="4" t="n">
        <f aca="false">DCF_Base!$B$47</f>
        <v>1113.6914239466</v>
      </c>
    </row>
    <row r="6" customFormat="false" ht="15" hidden="false" customHeight="false" outlineLevel="0" collapsed="false">
      <c r="A6" s="0" t="s">
        <v>153</v>
      </c>
      <c r="B6" s="4" t="n">
        <f aca="false">DCF_Bull!$B$38</f>
        <v>3884.82164659981</v>
      </c>
      <c r="C6" s="0" t="n">
        <f aca="false">B6/Assumptions!$B$2-1</f>
        <v>0.448479361148325</v>
      </c>
      <c r="D6" s="4" t="n">
        <f aca="false">Assumptions!$B$52</f>
        <v>0.25</v>
      </c>
      <c r="E6" s="4" t="n">
        <f aca="false">DCF_Bull!$B$43</f>
        <v>4194.11315339748</v>
      </c>
      <c r="F6" s="4" t="n">
        <f aca="false">DCF_Bull!$B$47</f>
        <v>1381.76921878474</v>
      </c>
    </row>
    <row r="8" customFormat="false" ht="15" hidden="false" customHeight="false" outlineLevel="0" collapsed="false">
      <c r="A8" s="0" t="s">
        <v>154</v>
      </c>
      <c r="B8" s="0" t="n">
        <f aca="false">SUMPRODUCT(B4:B6,D4:D6)</f>
        <v>2938.66882993219</v>
      </c>
    </row>
    <row r="9" customFormat="false" ht="15" hidden="false" customHeight="false" outlineLevel="0" collapsed="false">
      <c r="A9" s="0" t="s">
        <v>155</v>
      </c>
      <c r="B9" s="0" t="n">
        <f aca="false">SUMPRODUCT(E4:E6,D4:D6)</f>
        <v>3197.30102179468</v>
      </c>
    </row>
    <row r="10" customFormat="false" ht="15" hidden="false" customHeight="false" outlineLevel="0" collapsed="false">
      <c r="A10" s="0" t="s">
        <v>156</v>
      </c>
      <c r="B10" s="0" t="n">
        <f aca="false">1-Assumptions!$B$2/B8</f>
        <v>0.0873418696648813</v>
      </c>
    </row>
    <row r="11" customFormat="false" ht="15" hidden="false" customHeight="false" outlineLevel="0" collapsed="false">
      <c r="A11" s="0" t="s">
        <v>157</v>
      </c>
      <c r="B11" s="0" t="n">
        <f aca="false">IF(ABS(B9-B8)&gt;0.01*ABS(B8),(Assumptions!$B$2-B8)/(B9-B8)*100,"n/a")</f>
        <v>-99.2408671495329</v>
      </c>
    </row>
    <row r="12" customFormat="false" ht="15" hidden="false" customHeight="false" outlineLevel="0" collapsed="false">
      <c r="A12" s="0" t="s">
        <v>158</v>
      </c>
      <c r="B12" s="0" t="n">
        <f aca="false">SUMPRODUCT(F4:F6,D4:D6)</f>
        <v>1072.34851951288</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3071.90008469178</v>
      </c>
      <c r="C15" s="3" t="n">
        <v>8.5</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2769.07784864571</v>
      </c>
      <c r="C16" s="3" t="n">
        <v>9</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2293.95495463001</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1938.43140829713</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1662.59548787942</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1113.6914239466</v>
      </c>
      <c r="C20" s="3" t="n">
        <v>15</v>
      </c>
    </row>
    <row r="22" customFormat="false" ht="15" hidden="false" customHeight="false" outlineLevel="0" collapsed="false">
      <c r="A22" s="2" t="s">
        <v>167</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3835.12410973636</v>
      </c>
      <c r="C24" s="0" t="n">
        <f aca="false">(SUMPRODUCT(DCF_Base!$C$19:$L$19/(1+$A$24/100)^DCF_Base!$C$4:$L$4)+MAX(0,MIN(IF($A$24&gt;$C$23,DCF_Base!$L$19*(1+$C$23/100)/(($A$24-$C$23)/100),DCF_Base!$L$19*DCF_Base!$B$29),DCF_Base!$L$19*DCF_Base!$B$29))/(1+$A$24/100)^DCF_Base!$L$4+Assumptions!$B$5-Assumptions!$B$4)/Assumptions!$B$3*Assumptions!$B$10</f>
        <v>3835.12410973636</v>
      </c>
      <c r="D24" s="0" t="n">
        <f aca="false">(SUMPRODUCT(DCF_Base!$C$19:$L$19/(1+$A$24/100)^DCF_Base!$C$4:$L$4)+MAX(0,MIN(IF($A$24&gt;$D$23,DCF_Base!$L$19*(1+$D$23/100)/(($A$24-$D$23)/100),DCF_Base!$L$19*DCF_Base!$B$29),DCF_Base!$L$19*DCF_Base!$B$29))/(1+$A$24/100)^DCF_Base!$L$4+Assumptions!$B$5-Assumptions!$B$4)/Assumptions!$B$3*Assumptions!$B$10</f>
        <v>3835.12410973636</v>
      </c>
      <c r="E24" s="0" t="n">
        <f aca="false">(SUMPRODUCT(DCF_Base!$C$19:$L$19/(1+$A$24/100)^DCF_Base!$C$4:$L$4)+MAX(0,MIN(IF($A$24&gt;$E$23,DCF_Base!$L$19*(1+$E$23/100)/(($A$24-$E$23)/100),DCF_Base!$L$19*DCF_Base!$B$29),DCF_Base!$L$19*DCF_Base!$B$29))/(1+$A$24/100)^DCF_Base!$L$4+Assumptions!$B$5-Assumptions!$B$4)/Assumptions!$B$3*Assumptions!$B$10</f>
        <v>3835.12410973636</v>
      </c>
      <c r="F24" s="0" t="n">
        <f aca="false">(SUMPRODUCT(DCF_Base!$C$19:$L$19/(1+$A$24/100)^DCF_Base!$C$4:$L$4)+MAX(0,MIN(IF($A$24&gt;$F$23,DCF_Base!$L$19*(1+$F$23/100)/(($A$24-$F$23)/100),DCF_Base!$L$19*DCF_Base!$B$29),DCF_Base!$L$19*DCF_Base!$B$29))/(1+$A$24/100)^DCF_Base!$L$4+Assumptions!$B$5-Assumptions!$B$4)/Assumptions!$B$3*Assumptions!$B$10</f>
        <v>3835.12410973636</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3327.40257520502</v>
      </c>
      <c r="C25" s="0" t="n">
        <f aca="false">(SUMPRODUCT(DCF_Base!$C$19:$L$19/(1+$A$25/100)^DCF_Base!$C$4:$L$4)+MAX(0,MIN(IF($A$25&gt;$C$23,DCF_Base!$L$19*(1+$C$23/100)/(($A$25-$C$23)/100),DCF_Base!$L$19*DCF_Base!$B$29),DCF_Base!$L$19*DCF_Base!$B$29))/(1+$A$25/100)^DCF_Base!$L$4+Assumptions!$B$5-Assumptions!$B$4)/Assumptions!$B$3*Assumptions!$B$10</f>
        <v>3512.67379517985</v>
      </c>
      <c r="D25" s="0" t="n">
        <f aca="false">(SUMPRODUCT(DCF_Base!$C$19:$L$19/(1+$A$25/100)^DCF_Base!$C$4:$L$4)+MAX(0,MIN(IF($A$25&gt;$D$23,DCF_Base!$L$19*(1+$D$23/100)/(($A$25-$D$23)/100),DCF_Base!$L$19*DCF_Base!$B$29),DCF_Base!$L$19*DCF_Base!$B$29))/(1+$A$25/100)^DCF_Base!$L$4+Assumptions!$B$5-Assumptions!$B$4)/Assumptions!$B$3*Assumptions!$B$10</f>
        <v>3512.67379517985</v>
      </c>
      <c r="E25" s="0" t="n">
        <f aca="false">(SUMPRODUCT(DCF_Base!$C$19:$L$19/(1+$A$25/100)^DCF_Base!$C$4:$L$4)+MAX(0,MIN(IF($A$25&gt;$E$23,DCF_Base!$L$19*(1+$E$23/100)/(($A$25-$E$23)/100),DCF_Base!$L$19*DCF_Base!$B$29),DCF_Base!$L$19*DCF_Base!$B$29))/(1+$A$25/100)^DCF_Base!$L$4+Assumptions!$B$5-Assumptions!$B$4)/Assumptions!$B$3*Assumptions!$B$10</f>
        <v>3512.67379517985</v>
      </c>
      <c r="F25" s="0" t="n">
        <f aca="false">(SUMPRODUCT(DCF_Base!$C$19:$L$19/(1+$A$25/100)^DCF_Base!$C$4:$L$4)+MAX(0,MIN(IF($A$25&gt;$F$23,DCF_Base!$L$19*(1+$F$23/100)/(($A$25-$F$23)/100),DCF_Base!$L$19*DCF_Base!$B$29),DCF_Base!$L$19*DCF_Base!$B$29))/(1+$A$25/100)^DCF_Base!$L$4+Assumptions!$B$5-Assumptions!$B$4)/Assumptions!$B$3*Assumptions!$B$10</f>
        <v>3512.67379517985</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2719.51167437421</v>
      </c>
      <c r="C26" s="0" t="n">
        <f aca="false">(SUMPRODUCT(DCF_Base!$C$19:$L$19/(1+$A$26/100)^DCF_Base!$C$4:$L$4)+MAX(0,MIN(IF($A$26&gt;$C$23,DCF_Base!$L$19*(1+$C$23/100)/(($A$26-$C$23)/100),DCF_Base!$L$19*DCF_Base!$B$29),DCF_Base!$L$19*DCF_Base!$B$29))/(1+$A$26/100)^DCF_Base!$L$4+Assumptions!$B$5-Assumptions!$B$4)/Assumptions!$B$3*Assumptions!$B$10</f>
        <v>2881.0230291031</v>
      </c>
      <c r="D26" s="0" t="n">
        <f aca="false">(SUMPRODUCT(DCF_Base!$C$19:$L$19/(1+$A$26/100)^DCF_Base!$C$4:$L$4)+MAX(0,MIN(IF($A$26&gt;$D$23,DCF_Base!$L$19*(1+$D$23/100)/(($A$26-$D$23)/100),DCF_Base!$L$19*DCF_Base!$B$29),DCF_Base!$L$19*DCF_Base!$B$29))/(1+$A$26/100)^DCF_Base!$L$4+Assumptions!$B$5-Assumptions!$B$4)/Assumptions!$B$3*Assumptions!$B$10</f>
        <v>3071.90008469178</v>
      </c>
      <c r="E26" s="0" t="n">
        <f aca="false">(SUMPRODUCT(DCF_Base!$C$19:$L$19/(1+$A$26/100)^DCF_Base!$C$4:$L$4)+MAX(0,MIN(IF($A$26&gt;$E$23,DCF_Base!$L$19*(1+$E$23/100)/(($A$26-$E$23)/100),DCF_Base!$L$19*DCF_Base!$B$29),DCF_Base!$L$19*DCF_Base!$B$29))/(1+$A$26/100)^DCF_Base!$L$4+Assumptions!$B$5-Assumptions!$B$4)/Assumptions!$B$3*Assumptions!$B$10</f>
        <v>3219.67586966367</v>
      </c>
      <c r="F26" s="0" t="n">
        <f aca="false">(SUMPRODUCT(DCF_Base!$C$19:$L$19/(1+$A$26/100)^DCF_Base!$C$4:$L$4)+MAX(0,MIN(IF($A$26&gt;$F$23,DCF_Base!$L$19*(1+$F$23/100)/(($A$26-$F$23)/100),DCF_Base!$L$19*DCF_Base!$B$29),DCF_Base!$L$19*DCF_Base!$B$29))/(1+$A$26/100)^DCF_Base!$L$4+Assumptions!$B$5-Assumptions!$B$4)/Assumptions!$B$3*Assumptions!$B$10</f>
        <v>3219.67586966367</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2275.17449648821</v>
      </c>
      <c r="C27" s="0" t="n">
        <f aca="false">(SUMPRODUCT(DCF_Base!$C$19:$L$19/(1+$A$27/100)^DCF_Base!$C$4:$L$4)+MAX(0,MIN(IF($A$27&gt;$C$23,DCF_Base!$L$19*(1+$C$23/100)/(($A$27-$C$23)/100),DCF_Base!$L$19*DCF_Base!$B$29),DCF_Base!$L$19*DCF_Base!$B$29))/(1+$A$27/100)^DCF_Base!$L$4+Assumptions!$B$5-Assumptions!$B$4)/Assumptions!$B$3*Assumptions!$B$10</f>
        <v>2385.64566165166</v>
      </c>
      <c r="D27" s="0" t="n">
        <f aca="false">(SUMPRODUCT(DCF_Base!$C$19:$L$19/(1+$A$27/100)^DCF_Base!$C$4:$L$4)+MAX(0,MIN(IF($A$27&gt;$D$23,DCF_Base!$L$19*(1+$D$23/100)/(($A$27-$D$23)/100),DCF_Base!$L$19*DCF_Base!$B$29),DCF_Base!$L$19*DCF_Base!$B$29))/(1+$A$27/100)^DCF_Base!$L$4+Assumptions!$B$5-Assumptions!$B$4)/Assumptions!$B$3*Assumptions!$B$10</f>
        <v>2513.11239068642</v>
      </c>
      <c r="E27" s="0" t="n">
        <f aca="false">(SUMPRODUCT(DCF_Base!$C$19:$L$19/(1+$A$27/100)^DCF_Base!$C$4:$L$4)+MAX(0,MIN(IF($A$27&gt;$E$23,DCF_Base!$L$19*(1+$E$23/100)/(($A$27-$E$23)/100),DCF_Base!$L$19*DCF_Base!$B$29),DCF_Base!$L$19*DCF_Base!$B$29))/(1+$A$27/100)^DCF_Base!$L$4+Assumptions!$B$5-Assumptions!$B$4)/Assumptions!$B$3*Assumptions!$B$10</f>
        <v>2661.82357456029</v>
      </c>
      <c r="F27" s="0" t="n">
        <f aca="false">(SUMPRODUCT(DCF_Base!$C$19:$L$19/(1+$A$27/100)^DCF_Base!$C$4:$L$4)+MAX(0,MIN(IF($A$27&gt;$F$23,DCF_Base!$L$19*(1+$F$23/100)/(($A$27-$F$23)/100),DCF_Base!$L$19*DCF_Base!$B$29),DCF_Base!$L$19*DCF_Base!$B$29))/(1+$A$27/100)^DCF_Base!$L$4+Assumptions!$B$5-Assumptions!$B$4)/Assumptions!$B$3*Assumptions!$B$10</f>
        <v>2837.57315550215</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1936.57861205947</v>
      </c>
      <c r="C28" s="0" t="n">
        <f aca="false">(SUMPRODUCT(DCF_Base!$C$19:$L$19/(1+$A$28/100)^DCF_Base!$C$4:$L$4)+MAX(0,MIN(IF($A$28&gt;$C$23,DCF_Base!$L$19*(1+$C$23/100)/(($A$28-$C$23)/100),DCF_Base!$L$19*DCF_Base!$B$29),DCF_Base!$L$19*DCF_Base!$B$29))/(1+$A$28/100)^DCF_Base!$L$4+Assumptions!$B$5-Assumptions!$B$4)/Assumptions!$B$3*Assumptions!$B$10</f>
        <v>2015.16835997379</v>
      </c>
      <c r="D28" s="0" t="n">
        <f aca="false">(SUMPRODUCT(DCF_Base!$C$19:$L$19/(1+$A$28/100)^DCF_Base!$C$4:$L$4)+MAX(0,MIN(IF($A$28&gt;$D$23,DCF_Base!$L$19*(1+$D$23/100)/(($A$28-$D$23)/100),DCF_Base!$L$19*DCF_Base!$B$29),DCF_Base!$L$19*DCF_Base!$B$29))/(1+$A$28/100)^DCF_Base!$L$4+Assumptions!$B$5-Assumptions!$B$4)/Assumptions!$B$3*Assumptions!$B$10</f>
        <v>2104.23674094336</v>
      </c>
      <c r="E28" s="0" t="n">
        <f aca="false">(SUMPRODUCT(DCF_Base!$C$19:$L$19/(1+$A$28/100)^DCF_Base!$C$4:$L$4)+MAX(0,MIN(IF($A$28&gt;$E$23,DCF_Base!$L$19*(1+$E$23/100)/(($A$28-$E$23)/100),DCF_Base!$L$19*DCF_Base!$B$29),DCF_Base!$L$19*DCF_Base!$B$29))/(1+$A$28/100)^DCF_Base!$L$4+Assumptions!$B$5-Assumptions!$B$4)/Assumptions!$B$3*Assumptions!$B$10</f>
        <v>2206.02917633715</v>
      </c>
      <c r="F28" s="0" t="n">
        <f aca="false">(SUMPRODUCT(DCF_Base!$C$19:$L$19/(1+$A$28/100)^DCF_Base!$C$4:$L$4)+MAX(0,MIN(IF($A$28&gt;$F$23,DCF_Base!$L$19*(1+$F$23/100)/(($A$28-$F$23)/100),DCF_Base!$L$19*DCF_Base!$B$29),DCF_Base!$L$19*DCF_Base!$B$29))/(1+$A$28/100)^DCF_Base!$L$4+Assumptions!$B$5-Assumptions!$B$4)/Assumptions!$B$3*Assumptions!$B$10</f>
        <v>2323.4819864069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2026-10-09T23:03:11Z</dcterms:created>
  <dc:creator>openpyxl</dc:creator>
  <dc:description/>
  <dc:language>en-NZ</dc:language>
  <cp:lastModifiedBy/>
  <dcterms:modified xsi:type="dcterms:W3CDTF">2026-10-09T23:03:11Z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