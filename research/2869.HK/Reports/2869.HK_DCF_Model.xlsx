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<sst xmlns="http://schemas.openxmlformats.org/spreadsheetml/2006/main" count="353" uniqueCount="163">
  <si>
    <t xml:space="preserve">Ticker</t>
  </si>
  <si>
    <t xml:space="preserve">2869.HK</t>
  </si>
  <si>
    <t xml:space="preserve">Company</t>
  </si>
  <si>
    <t xml:space="preserve">Greentown Service Group Co. Ltd.</t>
  </si>
  <si>
    <t xml:space="preserve">Valuation date</t>
  </si>
  <si>
    <t xml:space="preserve">2026-10-22</t>
  </si>
  <si>
    <t xml:space="preserve">Current price</t>
  </si>
  <si>
    <t xml:space="preserve">Price as of</t>
  </si>
  <si>
    <t xml:space="preserve">2026-10-22T05:51:00Z (HKEX intraday, afternoon session)</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</si>
  <si>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</si>
  <si>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</si>
  <si>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</si>
  <si>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</si>
  <si>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</si>
  <si>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</si>
  <si>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</si>
  <si>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</si>
  <si>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</si>
  <si>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</si>
  <si>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</si>
  <si>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</si>
  <si>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</si>
  <si>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2026-10-22T06:09:18Z</t>
  </si>
  <si>
    <t xml:space="preserve">Drivers file</t>
  </si>
  <si>
    <t xml:space="preserve">2869.HK_Drivers.json</t>
  </si>
  <si>
    <t xml:space="preserve">Convention</t>
  </si>
  <si>
    <t xml:space="preserve">Percents stored as percents; formulas divide by 100. Blue = input, green = link, black = formula.</t>
  </si>
  <si>
    <t xml:space="preserve">Methodology</t>
  </si>
  <si>
    <t xml:space="preserve">summary: A recurring, fee-based service business valued on owner FCF after expensing SBC, the full lease cash cost and the expected credit losses the China property cycle imposes, discounted in RMB at a 9% cost of equity and converted to HKD only at the end. Net cash of RMB6.4bn (time deposits included, restricted balances and wealth-management products excluded) is about 1.7 HKD/share of the value; interest income is stripped from the flows so that cash is not counted twice. Associates/JVs are added and minorities deducted at book, each once. The 15x terminal cap binds slightly in the base case, so the valuation does not rest on Gordon growth. The RMB1.35bn accrued-tax liability (three years of charge, unpaid) is deducted beyond one normal year as debt-like. The market at the valuation-date price capitalises the business at roughly 3-4x EV/owner-FCF and ~12x P/E -- the sector-wide discount applied to Chinese property managers (cash seen as trapped or at risk, developer receivables, parent-developer association); the gap to the house value is that discount, which the bear case (7.5% margin, 2% growth, negative working capital) only partly closes.
key_risks_to_valuation: Market applies a structural discount to Chinese property managers' net cash (RMB6.4bn here, ~HK$2.4/share) -- if cash is lent to or trapped with affiliates, or receivables (RMB7.4bn gross at 30 Jun 2026) prove uncollectible, the bridge overstates value; Expected credit losses on developer and local-government receivables (RMB532m in FY2025) could keep rising; each 1pp of revenue in ECL is ~0.7pp of owner-FCF margin; Terminations at 9.6% of managed GFA and rising -- the base case assumes they stabilise, not reverse; Property-management fee regulation by local governments caps pricing on the 71%-of-revenue residential core while labour costs (RMB6.2bn, +7.1%) are rigid; Cash tax has lagged the P&amp;L charge (current tax liability RMB1.35bn); a catch-up payment would hit a year's FCF; CNY/HKD translation: the quote-currency IV moves one-for-one with the rate (1.175 at valuation); Regional concentration: Hangzhou + Yangtze River Delta ~68% of revenue</t>
  </si>
  <si>
    <t xml:space="preserve">Data sources</t>
  </si>
  <si>
    <t xml:space="preserve">price: Yahoo Finance chart API at inputs.price_as_of (intraday HKEX print); 52-week range 3.81-4.97 HKD
financials: 2869.HK_Metrics.csv (FY2018-FY2025 annual, H1-2024/H1-2025/H1-2026 interims, RMB millions) from core_metrics; FY2025 annual report (P&amp;L p.129, cash flow p.136-137, D&amp;A note 6, EPS note, treasury shares); H1 2026 interim report (balance sheet 30 Jun 2026, cash flow, EPS note 7, repurchase table, liquidity section)
qualitative: 2869.HK_Analysis.json (2026-10-22): business model, growth drivers, risks, bull/bear cases; FY2025 Chairman's statement and H1 2026 interim MD&amp;A for guidance (qualitative only)
fx: Yahoo CNYHKD=X, USDCNY=X, USDHKD=X at 2026-10-22T06:05Z</t>
  </si>
  <si>
    <t xml:space="preserve">Scenario narrative: bear</t>
  </si>
  <si>
    <t xml:space="preserve">The developer and local-government liquidity squeeze keeps terminations above 10% of GFA, consulting keeps shrinking, VAS stays flat and receivables keep absorbing cash; wage inflation on a 14% gross-margin core compresses adjusted EBITDA to 7.5% and growth fades to 2%, leaving value resting largely on the net cash and a 7.5%-margin fee stream.</t>
  </si>
  <si>
    <t xml:space="preserve">Scenario narrative: base</t>
  </si>
  <si>
    <t xml:space="preserve">China's property-management leader in high-end residential keeps growing managed GFA mid-single digits net of ~9% terminations, revenue +6.5% fading to 3%, adjusted EBITDA margin edging from 8.75% to 9.5% as 'Deep Service' cost discipline and operating leverage offset labour inflation while expected credit losses stay elevated near 2.5% of revenue; capex and D&amp;A converge at 1% of revenue; dividends and buybacks absorb most of the owner FCF with the RMB6.4bn cash pile intact.</t>
  </si>
  <si>
    <t xml:space="preserve">Scenario narrative: bull</t>
  </si>
  <si>
    <t xml:space="preserve">Urban-renewal district contracts and the non-residential pivot sustain high-single-digit growth through Y5, developer receivables are provisioned through so ECL normalises, AI-enabled service delivery lifts adjusted EBITDA to 10.5%, VAS re-accelerates and the effective tax rate settles at the H1 2026 run-rate of 28%.</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</si>
  <si>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</si>
  <si>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</si>
  <si>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</si>
  <si>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</si>
  <si>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</si>
  <si>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</si>
  <si>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</si>
  <si>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</si>
  <si>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</si>
  <si>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</si>
  <si>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</si>
  <si>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</si>
  <si>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</si>
  <si>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</si>
  <si>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</si>
  <si>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</si>
  <si>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</si>
  <si>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</si>
  <si>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</si>
  <si>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</si>
  <si>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</si>
  <si>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</si>
  <si>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</si>
  <si>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</si>
  <si>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</si>
  <si>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</si>
  <si>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</si>
  <si>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</si>
  <si>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</si>
  <si>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</si>
  <si>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</si>
  <si>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</si>
  <si>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</si>
  <si>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</si>
  <si>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</si>
  <si>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</si>
  <si>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</si>
  <si>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</si>
  <si>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</si>
  <si>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</si>
  <si>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</si>
  <si>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</si>
  <si>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</si>
  <si>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</si>
  <si>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</si>
  <si>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</si>
  <si>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</si>
  <si>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</si>
  <si>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</si>
  <si>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</si>
  <si>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</si>
  <si>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</si>
  <si>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</si>
  <si>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</si>
  <si>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</si>
  <si>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</si>
  <si>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</si>
  <si>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</si>
  <si>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</si>
  <si>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</si>
  <si>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</si>
  <si>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</si>
  <si>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</si>
  <si>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</si>
  <si>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</si>
  <si>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</si>
  <si>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</si>
  <si>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</si>
  <si>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</si>
  <si>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</si>
  <si>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</si>
  <si>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</si>
  <si>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2869.HK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</si>
  <si>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</si>
  <si>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</si>
  <si>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</si>
  <si>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</si>
  <si>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</si>
  <si>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</si>
  <si>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</si>
  <si>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</si>
  <si>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</si>
  <si>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</si>
  <si>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</si>
  <si>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</si>
  <si>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</si>
  <si>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</si>
  <si>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</si>
  <si>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</si>
  <si>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</si>
  <si>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</si>
  <si>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</si>
  <si>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</si>
  <si>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</si>
  <si>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</si>
  <si>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</si>
  <si>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</si>
  <si>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</si>
  <si>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</si>
  <si>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</si>
  <si>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</si>
  <si>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</si>
  <si>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</si>
  <si>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2869.HK owner-FCF component DCF: base case (millions, CNY)</t>
  </si>
  <si>
    <t xml:space="preserve">2869.HK owner-FCF component DCF: bull case (millions, CNY)</t>
  </si>
  <si>
    <t xml:space="preserve">2869.HK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</si>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</sst>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3.99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6709.906</v>
      </c>
      <c r="C2" s="0" t="n">
        <v>5512.253</v>
      </c>
      <c r="D2" s="0" t="n">
        <v>1197.653</v>
      </c>
      <c r="E2" s="0" t="n">
        <v>17.8</v>
      </c>
      <c r="F2" s="0" t="n">
        <v>516.174</v>
      </c>
      <c r="G2" s="0" t="n">
        <v>7.7</v>
      </c>
      <c r="H2" s="0" t="n">
        <v>596.856</v>
      </c>
      <c r="I2" s="0" t="n">
        <v>483.296</v>
      </c>
      <c r="J2" s="0" t="n">
        <v>7.2</v>
      </c>
      <c r="K2" s="0" t="n">
        <v>0.17</v>
      </c>
      <c r="L2" s="0" t="n">
        <v>656.232</v>
      </c>
      <c r="M2" s="0" t="n">
        <v>176.749</v>
      </c>
      <c r="N2" s="0" t="n">
        <v>479.483</v>
      </c>
      <c r="O2" s="0" t="n">
        <v>2328.762</v>
      </c>
      <c r="P2" s="0" t="n">
        <v>5344.193</v>
      </c>
      <c r="Q2" s="0" t="n">
        <v>2939.43</v>
      </c>
      <c r="R2" s="0" t="n">
        <v>0.95</v>
      </c>
      <c r="S2" s="0" t="n">
        <v>2180.021</v>
      </c>
      <c r="T2" s="0" t="n">
        <v>2777.776</v>
      </c>
      <c r="U2" s="0" t="n">
        <v>26.43</v>
      </c>
      <c r="AA2" s="0" t="s">
        <v>18</v>
      </c>
      <c r="AB2" s="0" t="s">
        <v>14</v>
      </c>
    </row>
    <row r="3" customFormat="false" ht="15" hidden="false" customHeight="false" outlineLevel="0" collapsed="false">
      <c r="A3" s="0" t="s">
        <v>65</v>
      </c>
      <c r="B3" s="0" t="n">
        <v>8581.932</v>
      </c>
      <c r="C3" s="0" t="n">
        <v>7034.823</v>
      </c>
      <c r="D3" s="0" t="n">
        <v>1547.109</v>
      </c>
      <c r="E3" s="0" t="n">
        <v>18</v>
      </c>
      <c r="F3" s="0" t="n">
        <v>643.829</v>
      </c>
      <c r="G3" s="0" t="n">
        <v>7.5</v>
      </c>
      <c r="H3" s="0" t="n">
        <v>881.443</v>
      </c>
      <c r="I3" s="0" t="n">
        <v>477.405</v>
      </c>
      <c r="J3" s="0" t="n">
        <v>5.6</v>
      </c>
      <c r="K3" s="0" t="n">
        <v>0.17</v>
      </c>
      <c r="L3" s="0" t="n">
        <v>919.439</v>
      </c>
      <c r="M3" s="0" t="n">
        <v>236.791</v>
      </c>
      <c r="N3" s="0" t="n">
        <v>682.648</v>
      </c>
      <c r="O3" s="0" t="n">
        <v>2753.243</v>
      </c>
      <c r="P3" s="0" t="n">
        <v>8521.437</v>
      </c>
      <c r="Q3" s="0" t="n">
        <v>5567.388</v>
      </c>
      <c r="R3" s="0" t="n">
        <v>482.814</v>
      </c>
      <c r="S3" s="0" t="n">
        <v>2641.334</v>
      </c>
      <c r="T3" s="0" t="n">
        <v>2779.932</v>
      </c>
      <c r="U3" s="0" t="n">
        <v>62.816</v>
      </c>
      <c r="AA3" s="0" t="s">
        <v>18</v>
      </c>
      <c r="AB3" s="0" t="s">
        <v>14</v>
      </c>
    </row>
    <row r="4" customFormat="false" ht="15" hidden="false" customHeight="false" outlineLevel="0" collapsed="false">
      <c r="A4" s="0" t="s">
        <v>66</v>
      </c>
      <c r="B4" s="0" t="n">
        <v>10105.646</v>
      </c>
      <c r="C4" s="0" t="n">
        <v>8182.812</v>
      </c>
      <c r="D4" s="0" t="n">
        <v>1922.834</v>
      </c>
      <c r="E4" s="0" t="n">
        <v>19</v>
      </c>
      <c r="F4" s="0" t="n">
        <v>969.641</v>
      </c>
      <c r="G4" s="0" t="n">
        <v>9.6</v>
      </c>
      <c r="H4" s="0" t="n">
        <v>1254.873</v>
      </c>
      <c r="I4" s="0" t="n">
        <v>710.414</v>
      </c>
      <c r="J4" s="0" t="n">
        <v>7</v>
      </c>
      <c r="K4" s="0" t="n">
        <v>0.23</v>
      </c>
      <c r="L4" s="0" t="n">
        <v>1315.994</v>
      </c>
      <c r="M4" s="0" t="n">
        <v>347.572</v>
      </c>
      <c r="N4" s="0" t="n">
        <v>968.422</v>
      </c>
      <c r="O4" s="0" t="n">
        <v>6820.659</v>
      </c>
      <c r="P4" s="0" t="n">
        <v>13078.794</v>
      </c>
      <c r="Q4" s="0" t="n">
        <v>5966.751</v>
      </c>
      <c r="R4" s="0" t="n">
        <v>146.456</v>
      </c>
      <c r="S4" s="0" t="n">
        <v>4437.192</v>
      </c>
      <c r="T4" s="0" t="n">
        <v>3044.192</v>
      </c>
      <c r="U4" s="0" t="n">
        <v>57.2</v>
      </c>
      <c r="AA4" s="0" t="s">
        <v>18</v>
      </c>
      <c r="AB4" s="0" t="s">
        <v>14</v>
      </c>
    </row>
    <row r="5" customFormat="false" ht="15" hidden="false" customHeight="false" outlineLevel="0" collapsed="false">
      <c r="A5" s="0" t="s">
        <v>67</v>
      </c>
      <c r="B5" s="0" t="n">
        <v>12566.131</v>
      </c>
      <c r="C5" s="0" t="n">
        <v>10235.605</v>
      </c>
      <c r="D5" s="0" t="n">
        <v>2330.526</v>
      </c>
      <c r="E5" s="0" t="n">
        <v>18.5</v>
      </c>
      <c r="F5" s="0" t="n">
        <v>1149.964</v>
      </c>
      <c r="G5" s="0" t="n">
        <v>9.2</v>
      </c>
      <c r="H5" s="0" t="n">
        <v>1528.103</v>
      </c>
      <c r="I5" s="0" t="n">
        <v>846.275</v>
      </c>
      <c r="J5" s="0" t="n">
        <v>6.7</v>
      </c>
      <c r="K5" s="0" t="n">
        <v>0.26</v>
      </c>
      <c r="L5" s="0" t="n">
        <v>1018.706</v>
      </c>
      <c r="M5" s="0" t="n">
        <v>409.424</v>
      </c>
      <c r="N5" s="0" t="n">
        <v>609.282</v>
      </c>
      <c r="O5" s="0" t="n">
        <v>7019.312</v>
      </c>
      <c r="P5" s="0" t="n">
        <v>14374.751</v>
      </c>
      <c r="Q5" s="0" t="n">
        <v>7004.489</v>
      </c>
      <c r="R5" s="0" t="n">
        <v>152.487</v>
      </c>
      <c r="S5" s="0" t="n">
        <v>4306.619</v>
      </c>
      <c r="T5" s="0" t="n">
        <v>3238.695</v>
      </c>
      <c r="U5" s="0" t="n">
        <v>58.337</v>
      </c>
      <c r="AA5" s="0" t="s">
        <v>18</v>
      </c>
      <c r="AB5" s="0" t="s">
        <v>14</v>
      </c>
    </row>
    <row r="6" customFormat="false" ht="15" hidden="false" customHeight="false" outlineLevel="0" collapsed="false">
      <c r="A6" s="0" t="s">
        <v>68</v>
      </c>
      <c r="B6" s="0" t="n">
        <v>14856.343</v>
      </c>
      <c r="C6" s="0" t="n">
        <v>12454.39</v>
      </c>
      <c r="D6" s="0" t="n">
        <v>2401.953</v>
      </c>
      <c r="E6" s="0" t="n">
        <v>16.2</v>
      </c>
      <c r="F6" s="0" t="n">
        <v>862.86</v>
      </c>
      <c r="G6" s="0" t="n">
        <v>5.8</v>
      </c>
      <c r="H6" s="0" t="n">
        <v>1296.182</v>
      </c>
      <c r="I6" s="0" t="n">
        <v>547.501</v>
      </c>
      <c r="J6" s="0" t="n">
        <v>3.7</v>
      </c>
      <c r="K6" s="0" t="n">
        <v>0.17</v>
      </c>
      <c r="L6" s="0" t="n">
        <v>695.276</v>
      </c>
      <c r="M6" s="0" t="n">
        <v>453.793</v>
      </c>
      <c r="N6" s="0" t="n">
        <v>241.483</v>
      </c>
      <c r="O6" s="0" t="n">
        <v>7120.989</v>
      </c>
      <c r="P6" s="0" t="n">
        <v>16853.692</v>
      </c>
      <c r="Q6" s="0" t="n">
        <v>8977.549</v>
      </c>
      <c r="R6" s="0" t="n">
        <v>310.932</v>
      </c>
      <c r="S6" s="0" t="n">
        <v>4183.381</v>
      </c>
      <c r="T6" s="0" t="n">
        <v>3243.688</v>
      </c>
      <c r="U6" s="0" t="n">
        <v>39.396</v>
      </c>
      <c r="AA6" s="0" t="s">
        <v>18</v>
      </c>
      <c r="AB6" s="0" t="s">
        <v>14</v>
      </c>
    </row>
    <row r="7" customFormat="false" ht="15" hidden="false" customHeight="false" outlineLevel="0" collapsed="false">
      <c r="A7" s="0" t="s">
        <v>69</v>
      </c>
      <c r="B7" s="0" t="n">
        <v>17393.272</v>
      </c>
      <c r="C7" s="0" t="n">
        <v>14479.886</v>
      </c>
      <c r="D7" s="0" t="n">
        <v>2913.386</v>
      </c>
      <c r="E7" s="0" t="n">
        <v>16.8</v>
      </c>
      <c r="F7" s="0" t="n">
        <v>846.997</v>
      </c>
      <c r="G7" s="0" t="n">
        <v>4.9</v>
      </c>
      <c r="H7" s="0" t="n">
        <v>1331.549</v>
      </c>
      <c r="I7" s="0" t="n">
        <v>605.374</v>
      </c>
      <c r="J7" s="0" t="n">
        <v>3.5</v>
      </c>
      <c r="K7" s="0" t="n">
        <v>0.19</v>
      </c>
      <c r="L7" s="0" t="n">
        <v>1436.072</v>
      </c>
      <c r="M7" s="0" t="n">
        <v>502.911</v>
      </c>
      <c r="N7" s="0" t="n">
        <v>933.161</v>
      </c>
      <c r="O7" s="0" t="n">
        <v>7405.535</v>
      </c>
      <c r="P7" s="0" t="n">
        <v>18081.669</v>
      </c>
      <c r="Q7" s="0" t="n">
        <v>9856.465</v>
      </c>
      <c r="R7" s="0" t="n">
        <v>290.424</v>
      </c>
      <c r="S7" s="0" t="n">
        <v>4530.836</v>
      </c>
      <c r="T7" s="0" t="n">
        <v>3210.924</v>
      </c>
      <c r="U7" s="0" t="n">
        <v>33.723</v>
      </c>
      <c r="AA7" s="0" t="s">
        <v>18</v>
      </c>
      <c r="AB7" s="0" t="s">
        <v>14</v>
      </c>
    </row>
    <row r="8" customFormat="false" ht="15" hidden="false" customHeight="false" outlineLevel="0" collapsed="false">
      <c r="A8" s="0" t="s">
        <v>70</v>
      </c>
      <c r="B8" s="0" t="n">
        <v>17893.473</v>
      </c>
      <c r="C8" s="0" t="n">
        <v>14882.11</v>
      </c>
      <c r="D8" s="0" t="n">
        <v>3011.363</v>
      </c>
      <c r="E8" s="0" t="n">
        <v>16.8</v>
      </c>
      <c r="F8" s="0" t="n">
        <v>1014.264</v>
      </c>
      <c r="G8" s="0" t="n">
        <v>5.7</v>
      </c>
      <c r="H8" s="0" t="n">
        <v>1552.54</v>
      </c>
      <c r="I8" s="0" t="n">
        <v>785.08</v>
      </c>
      <c r="J8" s="0" t="n">
        <v>4.4</v>
      </c>
      <c r="K8" s="0" t="n">
        <v>0.248</v>
      </c>
      <c r="L8" s="0" t="n">
        <v>1474.721</v>
      </c>
      <c r="M8" s="0" t="n">
        <v>321.904</v>
      </c>
      <c r="N8" s="0" t="n">
        <v>1152.817</v>
      </c>
      <c r="O8" s="0" t="n">
        <v>7788.687</v>
      </c>
      <c r="P8" s="0" t="n">
        <v>17693.824</v>
      </c>
      <c r="Q8" s="0" t="n">
        <v>9150.767</v>
      </c>
      <c r="R8" s="0" t="n">
        <v>64.923</v>
      </c>
      <c r="S8" s="0" t="n">
        <v>4853.862</v>
      </c>
      <c r="T8" s="0" t="n">
        <v>3164.276</v>
      </c>
      <c r="U8" s="0" t="n">
        <v>26.964</v>
      </c>
      <c r="AA8" s="0" t="s">
        <v>18</v>
      </c>
      <c r="AB8" s="0" t="s">
        <v>14</v>
      </c>
    </row>
    <row r="9" customFormat="false" ht="15" hidden="false" customHeight="false" outlineLevel="0" collapsed="false">
      <c r="A9" s="0" t="s">
        <v>71</v>
      </c>
      <c r="B9" s="0" t="n">
        <v>19164.354</v>
      </c>
      <c r="C9" s="0" t="n">
        <v>15842.149</v>
      </c>
      <c r="D9" s="0" t="n">
        <v>3322.205</v>
      </c>
      <c r="E9" s="0" t="n">
        <v>17.3</v>
      </c>
      <c r="F9" s="0" t="n">
        <v>1280.738</v>
      </c>
      <c r="G9" s="0" t="n">
        <v>6.7</v>
      </c>
      <c r="H9" s="0" t="n">
        <v>1657.493</v>
      </c>
      <c r="I9" s="0" t="n">
        <v>880.196</v>
      </c>
      <c r="J9" s="0" t="n">
        <v>4.6</v>
      </c>
      <c r="K9" s="0" t="n">
        <v>0.28</v>
      </c>
      <c r="L9" s="0" t="n">
        <v>1527.736</v>
      </c>
      <c r="M9" s="0" t="n">
        <v>120.216</v>
      </c>
      <c r="N9" s="0" t="n">
        <v>1407.52</v>
      </c>
      <c r="O9" s="0" t="n">
        <v>7960.426</v>
      </c>
      <c r="P9" s="0" t="n">
        <v>18316.95</v>
      </c>
      <c r="Q9" s="0" t="n">
        <v>9598.891</v>
      </c>
      <c r="R9" s="0" t="n">
        <v>52.256</v>
      </c>
      <c r="S9" s="0" t="n">
        <v>5319.928</v>
      </c>
      <c r="T9" s="0" t="n">
        <v>3148.894</v>
      </c>
      <c r="U9" s="0" t="n">
        <v>19.752</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3.99</v>
      </c>
    </row>
    <row r="3" customFormat="false" ht="15" hidden="false" customHeight="false" outlineLevel="0" collapsed="false">
      <c r="A3" s="0" t="s">
        <v>75</v>
      </c>
      <c r="B3" s="3" t="n">
        <v>3131.2</v>
      </c>
    </row>
    <row r="4" customFormat="false" ht="15" hidden="false" customHeight="false" outlineLevel="0" collapsed="false">
      <c r="A4" s="0" t="s">
        <v>76</v>
      </c>
      <c r="B4" s="3" t="n">
        <v>-6354.3</v>
      </c>
    </row>
    <row r="5" customFormat="false" ht="15" hidden="false" customHeight="false" outlineLevel="0" collapsed="false">
      <c r="A5" s="0" t="s">
        <v>77</v>
      </c>
      <c r="B5" s="3" t="n">
        <v>-576.247</v>
      </c>
    </row>
    <row r="6" customFormat="false" ht="15" hidden="false" customHeight="false" outlineLevel="0" collapsed="false">
      <c r="A6" s="0" t="s">
        <v>78</v>
      </c>
      <c r="B6" s="3" t="n">
        <v>15</v>
      </c>
    </row>
    <row r="7" customFormat="false" ht="15" hidden="false" customHeight="false" outlineLevel="0" collapsed="false">
      <c r="A7" s="0" t="s">
        <v>79</v>
      </c>
      <c r="B7" s="3" t="n">
        <v>19164.354</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1.175</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4</v>
      </c>
      <c r="D13" s="3" t="n">
        <v>3</v>
      </c>
      <c r="E13" s="3" t="n">
        <v>2.5</v>
      </c>
      <c r="F13" s="3" t="n">
        <v>2</v>
      </c>
      <c r="G13" s="3" t="n">
        <v>2</v>
      </c>
      <c r="H13" s="3" t="n">
        <v>2</v>
      </c>
      <c r="I13" s="3" t="n">
        <v>2</v>
      </c>
      <c r="J13" s="3" t="n">
        <v>2</v>
      </c>
      <c r="K13" s="3" t="n">
        <v>2</v>
      </c>
      <c r="L13" s="3" t="n">
        <v>2</v>
      </c>
    </row>
    <row r="14" customFormat="false" ht="15" hidden="false" customHeight="false" outlineLevel="0" collapsed="false">
      <c r="A14" s="0" t="s">
        <v>96</v>
      </c>
      <c r="C14" s="3" t="n">
        <v>8.5</v>
      </c>
      <c r="D14" s="3" t="n">
        <v>8.2</v>
      </c>
      <c r="E14" s="3" t="n">
        <v>8</v>
      </c>
      <c r="F14" s="3" t="n">
        <v>7.8</v>
      </c>
      <c r="G14" s="3" t="n">
        <v>7.5</v>
      </c>
      <c r="H14" s="3" t="n">
        <v>7.5</v>
      </c>
      <c r="I14" s="3" t="n">
        <v>7.5</v>
      </c>
      <c r="J14" s="3" t="n">
        <v>7.5</v>
      </c>
      <c r="K14" s="3" t="n">
        <v>7.5</v>
      </c>
      <c r="L14" s="3" t="n">
        <v>7.5</v>
      </c>
    </row>
    <row r="15" customFormat="false" ht="15" hidden="false" customHeight="false" outlineLevel="0" collapsed="false">
      <c r="A15" s="0" t="s">
        <v>97</v>
      </c>
      <c r="C15" s="3" t="n">
        <v>0.1</v>
      </c>
      <c r="D15" s="3" t="n">
        <v>0.1</v>
      </c>
      <c r="E15" s="3" t="n">
        <v>0.1</v>
      </c>
      <c r="F15" s="3" t="n">
        <v>0.1</v>
      </c>
      <c r="G15" s="3" t="n">
        <v>0.1</v>
      </c>
      <c r="H15" s="3" t="n">
        <v>0.1</v>
      </c>
      <c r="I15" s="3" t="n">
        <v>0.1</v>
      </c>
      <c r="J15" s="3" t="n">
        <v>0.1</v>
      </c>
      <c r="K15" s="3" t="n">
        <v>0.1</v>
      </c>
      <c r="L15" s="3" t="n">
        <v>0.1</v>
      </c>
    </row>
    <row r="16" customFormat="false" ht="15" hidden="false" customHeight="false" outlineLevel="0" collapsed="false">
      <c r="A16" s="0" t="s">
        <v>98</v>
      </c>
      <c r="C16" s="3" t="n">
        <v>0.65</v>
      </c>
      <c r="D16" s="3" t="n">
        <v>0.6</v>
      </c>
      <c r="E16" s="3" t="n">
        <v>0.55</v>
      </c>
      <c r="F16" s="3" t="n">
        <v>0.5</v>
      </c>
      <c r="G16" s="3" t="n">
        <v>0.5</v>
      </c>
      <c r="H16" s="3" t="n">
        <v>0.5</v>
      </c>
      <c r="I16" s="3" t="n">
        <v>0.5</v>
      </c>
      <c r="J16" s="3" t="n">
        <v>0.5</v>
      </c>
      <c r="K16" s="3" t="n">
        <v>0.5</v>
      </c>
      <c r="L16" s="3" t="n">
        <v>0.5</v>
      </c>
    </row>
    <row r="17" customFormat="false" ht="15" hidden="false" customHeight="false" outlineLevel="0" collapsed="false">
      <c r="A17" s="0" t="s">
        <v>99</v>
      </c>
      <c r="C17" s="3" t="n">
        <v>1.25</v>
      </c>
      <c r="D17" s="3" t="n">
        <v>1.2</v>
      </c>
      <c r="E17" s="3" t="n">
        <v>1.15</v>
      </c>
      <c r="F17" s="3" t="n">
        <v>1.1</v>
      </c>
      <c r="G17" s="3" t="n">
        <v>1.05</v>
      </c>
      <c r="H17" s="3" t="n">
        <v>1</v>
      </c>
      <c r="I17" s="3" t="n">
        <v>1</v>
      </c>
      <c r="J17" s="3" t="n">
        <v>1</v>
      </c>
      <c r="K17" s="3" t="n">
        <v>1</v>
      </c>
      <c r="L17" s="3" t="n">
        <v>1</v>
      </c>
    </row>
    <row r="18" customFormat="false" ht="15" hidden="false" customHeight="false" outlineLevel="0" collapsed="false">
      <c r="A18" s="0" t="s">
        <v>100</v>
      </c>
      <c r="C18" s="3" t="n">
        <v>0.9</v>
      </c>
      <c r="D18" s="3" t="n">
        <v>0.9</v>
      </c>
      <c r="E18" s="3" t="n">
        <v>0.95</v>
      </c>
      <c r="F18" s="3" t="n">
        <v>1</v>
      </c>
      <c r="G18" s="3" t="n">
        <v>1</v>
      </c>
      <c r="H18" s="3" t="n">
        <v>1</v>
      </c>
      <c r="I18" s="3" t="n">
        <v>1</v>
      </c>
      <c r="J18" s="3" t="n">
        <v>1</v>
      </c>
      <c r="K18" s="3" t="n">
        <v>1</v>
      </c>
      <c r="L18" s="3" t="n">
        <v>1</v>
      </c>
    </row>
    <row r="19" customFormat="false" ht="15" hidden="false" customHeight="false" outlineLevel="0" collapsed="false">
      <c r="A19" s="0" t="s">
        <v>101</v>
      </c>
      <c r="C19" s="3" t="n">
        <v>32</v>
      </c>
      <c r="D19" s="3" t="n">
        <v>32</v>
      </c>
      <c r="E19" s="3" t="n">
        <v>32</v>
      </c>
      <c r="F19" s="3" t="n">
        <v>32</v>
      </c>
      <c r="G19" s="3" t="n">
        <v>32</v>
      </c>
      <c r="H19" s="3" t="n">
        <v>32</v>
      </c>
      <c r="I19" s="3" t="n">
        <v>32</v>
      </c>
      <c r="J19" s="3" t="n">
        <v>32</v>
      </c>
      <c r="K19" s="3" t="n">
        <v>32</v>
      </c>
      <c r="L19" s="3" t="n">
        <v>32</v>
      </c>
    </row>
    <row r="20" customFormat="false" ht="15" hidden="false" customHeight="false" outlineLevel="0" collapsed="false">
      <c r="A20" s="0" t="s">
        <v>102</v>
      </c>
      <c r="B20" s="3" t="n">
        <v>9</v>
      </c>
    </row>
    <row r="21" customFormat="false" ht="15" hidden="false" customHeight="false" outlineLevel="0" collapsed="false">
      <c r="A21" s="0" t="s">
        <v>103</v>
      </c>
      <c r="B21" s="3" t="n">
        <v>2</v>
      </c>
    </row>
    <row r="22" customFormat="false" ht="15" hidden="false" customHeight="false" outlineLevel="0" collapsed="false">
      <c r="A22" s="0" t="s">
        <v>104</v>
      </c>
      <c r="B22" s="3" t="n">
        <v>15</v>
      </c>
    </row>
    <row r="23" customFormat="false" ht="15" hidden="false" customHeight="false" outlineLevel="0" collapsed="false">
      <c r="A23" s="0" t="s">
        <v>105</v>
      </c>
      <c r="B23" s="3" t="n">
        <v>-5</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6.5</v>
      </c>
      <c r="D27" s="3" t="n">
        <v>6</v>
      </c>
      <c r="E27" s="3" t="n">
        <v>5.5</v>
      </c>
      <c r="F27" s="3" t="n">
        <v>5</v>
      </c>
      <c r="G27" s="3" t="n">
        <v>4.5</v>
      </c>
      <c r="H27" s="3" t="n">
        <v>4</v>
      </c>
      <c r="I27" s="3" t="n">
        <v>3.5</v>
      </c>
      <c r="J27" s="3" t="n">
        <v>3</v>
      </c>
      <c r="K27" s="3" t="n">
        <v>3</v>
      </c>
      <c r="L27" s="3" t="n">
        <v>3</v>
      </c>
    </row>
    <row r="28" customFormat="false" ht="15" hidden="false" customHeight="false" outlineLevel="0" collapsed="false">
      <c r="A28" s="0" t="s">
        <v>96</v>
      </c>
      <c r="C28" s="3" t="n">
        <v>8.9</v>
      </c>
      <c r="D28" s="3" t="n">
        <v>9.1</v>
      </c>
      <c r="E28" s="3" t="n">
        <v>9.3</v>
      </c>
      <c r="F28" s="3" t="n">
        <v>9.4</v>
      </c>
      <c r="G28" s="3" t="n">
        <v>9.5</v>
      </c>
      <c r="H28" s="3" t="n">
        <v>9.5</v>
      </c>
      <c r="I28" s="3" t="n">
        <v>9.5</v>
      </c>
      <c r="J28" s="3" t="n">
        <v>9.5</v>
      </c>
      <c r="K28" s="3" t="n">
        <v>9.5</v>
      </c>
      <c r="L28" s="3" t="n">
        <v>9.5</v>
      </c>
    </row>
    <row r="29" customFormat="false" ht="15" hidden="false" customHeight="false" outlineLevel="0" collapsed="false">
      <c r="A29" s="0" t="s">
        <v>97</v>
      </c>
      <c r="C29" s="3" t="n">
        <v>0.1</v>
      </c>
      <c r="D29" s="3" t="n">
        <v>0.1</v>
      </c>
      <c r="E29" s="3" t="n">
        <v>0.1</v>
      </c>
      <c r="F29" s="3" t="n">
        <v>0.1</v>
      </c>
      <c r="G29" s="3" t="n">
        <v>0.1</v>
      </c>
      <c r="H29" s="3" t="n">
        <v>0.1</v>
      </c>
      <c r="I29" s="3" t="n">
        <v>0.1</v>
      </c>
      <c r="J29" s="3" t="n">
        <v>0.1</v>
      </c>
      <c r="K29" s="3" t="n">
        <v>0.1</v>
      </c>
      <c r="L29" s="3" t="n">
        <v>0.1</v>
      </c>
    </row>
    <row r="30" customFormat="false" ht="15" hidden="false" customHeight="false" outlineLevel="0" collapsed="false">
      <c r="A30" s="0" t="s">
        <v>98</v>
      </c>
      <c r="C30" s="3" t="n">
        <v>0.65</v>
      </c>
      <c r="D30" s="3" t="n">
        <v>0.6</v>
      </c>
      <c r="E30" s="3" t="n">
        <v>0.55</v>
      </c>
      <c r="F30" s="3" t="n">
        <v>0.5</v>
      </c>
      <c r="G30" s="3" t="n">
        <v>0.5</v>
      </c>
      <c r="H30" s="3" t="n">
        <v>0.5</v>
      </c>
      <c r="I30" s="3" t="n">
        <v>0.5</v>
      </c>
      <c r="J30" s="3" t="n">
        <v>0.5</v>
      </c>
      <c r="K30" s="3" t="n">
        <v>0.5</v>
      </c>
      <c r="L30" s="3" t="n">
        <v>0.5</v>
      </c>
    </row>
    <row r="31" customFormat="false" ht="15" hidden="false" customHeight="false" outlineLevel="0" collapsed="false">
      <c r="A31" s="0" t="s">
        <v>99</v>
      </c>
      <c r="C31" s="3" t="n">
        <v>1.25</v>
      </c>
      <c r="D31" s="3" t="n">
        <v>1.2</v>
      </c>
      <c r="E31" s="3" t="n">
        <v>1.15</v>
      </c>
      <c r="F31" s="3" t="n">
        <v>1.1</v>
      </c>
      <c r="G31" s="3" t="n">
        <v>1.05</v>
      </c>
      <c r="H31" s="3" t="n">
        <v>1</v>
      </c>
      <c r="I31" s="3" t="n">
        <v>1</v>
      </c>
      <c r="J31" s="3" t="n">
        <v>1</v>
      </c>
      <c r="K31" s="3" t="n">
        <v>1</v>
      </c>
      <c r="L31" s="3" t="n">
        <v>1</v>
      </c>
    </row>
    <row r="32" customFormat="false" ht="15" hidden="false" customHeight="false" outlineLevel="0" collapsed="false">
      <c r="A32" s="0" t="s">
        <v>100</v>
      </c>
      <c r="C32" s="3" t="n">
        <v>0.9</v>
      </c>
      <c r="D32" s="3" t="n">
        <v>0.9</v>
      </c>
      <c r="E32" s="3" t="n">
        <v>0.95</v>
      </c>
      <c r="F32" s="3" t="n">
        <v>1</v>
      </c>
      <c r="G32" s="3" t="n">
        <v>1</v>
      </c>
      <c r="H32" s="3" t="n">
        <v>1</v>
      </c>
      <c r="I32" s="3" t="n">
        <v>1</v>
      </c>
      <c r="J32" s="3" t="n">
        <v>1</v>
      </c>
      <c r="K32" s="3" t="n">
        <v>1</v>
      </c>
      <c r="L32" s="3" t="n">
        <v>1</v>
      </c>
    </row>
    <row r="33" customFormat="false" ht="15" hidden="false" customHeight="false" outlineLevel="0" collapsed="false">
      <c r="A33" s="0" t="s">
        <v>101</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102</v>
      </c>
      <c r="B34" s="3" t="n">
        <v>9</v>
      </c>
    </row>
    <row r="35" customFormat="false" ht="15" hidden="false" customHeight="false" outlineLevel="0" collapsed="false">
      <c r="A35" s="0" t="s">
        <v>103</v>
      </c>
      <c r="B35" s="3" t="n">
        <v>2.5</v>
      </c>
    </row>
    <row r="36" customFormat="false" ht="15" hidden="false" customHeight="false" outlineLevel="0" collapsed="false">
      <c r="A36" s="0" t="s">
        <v>104</v>
      </c>
      <c r="B36" s="3" t="n">
        <v>15</v>
      </c>
    </row>
    <row r="37" customFormat="false" ht="15" hidden="false" customHeight="false" outlineLevel="0" collapsed="false">
      <c r="A37" s="0" t="s">
        <v>105</v>
      </c>
      <c r="B37" s="3" t="n">
        <v>5</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8.5</v>
      </c>
      <c r="D41" s="3" t="n">
        <v>8</v>
      </c>
      <c r="E41" s="3" t="n">
        <v>7.5</v>
      </c>
      <c r="F41" s="3" t="n">
        <v>7</v>
      </c>
      <c r="G41" s="3" t="n">
        <v>6</v>
      </c>
      <c r="H41" s="3" t="n">
        <v>5</v>
      </c>
      <c r="I41" s="3" t="n">
        <v>4.5</v>
      </c>
      <c r="J41" s="3" t="n">
        <v>4</v>
      </c>
      <c r="K41" s="3" t="n">
        <v>3.5</v>
      </c>
      <c r="L41" s="3" t="n">
        <v>3</v>
      </c>
    </row>
    <row r="42" customFormat="false" ht="15" hidden="false" customHeight="false" outlineLevel="0" collapsed="false">
      <c r="A42" s="0" t="s">
        <v>96</v>
      </c>
      <c r="C42" s="3" t="n">
        <v>9.2</v>
      </c>
      <c r="D42" s="3" t="n">
        <v>9.6</v>
      </c>
      <c r="E42" s="3" t="n">
        <v>10</v>
      </c>
      <c r="F42" s="3" t="n">
        <v>10.3</v>
      </c>
      <c r="G42" s="3" t="n">
        <v>10.5</v>
      </c>
      <c r="H42" s="3" t="n">
        <v>10.5</v>
      </c>
      <c r="I42" s="3" t="n">
        <v>10.5</v>
      </c>
      <c r="J42" s="3" t="n">
        <v>10.5</v>
      </c>
      <c r="K42" s="3" t="n">
        <v>10.5</v>
      </c>
      <c r="L42" s="3" t="n">
        <v>10.5</v>
      </c>
    </row>
    <row r="43" customFormat="false" ht="15" hidden="false" customHeight="false" outlineLevel="0" collapsed="false">
      <c r="A43" s="0" t="s">
        <v>97</v>
      </c>
      <c r="C43" s="3" t="n">
        <v>0.1</v>
      </c>
      <c r="D43" s="3" t="n">
        <v>0.1</v>
      </c>
      <c r="E43" s="3" t="n">
        <v>0.1</v>
      </c>
      <c r="F43" s="3" t="n">
        <v>0.1</v>
      </c>
      <c r="G43" s="3" t="n">
        <v>0.1</v>
      </c>
      <c r="H43" s="3" t="n">
        <v>0.1</v>
      </c>
      <c r="I43" s="3" t="n">
        <v>0.1</v>
      </c>
      <c r="J43" s="3" t="n">
        <v>0.1</v>
      </c>
      <c r="K43" s="3" t="n">
        <v>0.1</v>
      </c>
      <c r="L43" s="3" t="n">
        <v>0.1</v>
      </c>
    </row>
    <row r="44" customFormat="false" ht="15" hidden="false" customHeight="false" outlineLevel="0" collapsed="false">
      <c r="A44" s="0" t="s">
        <v>98</v>
      </c>
      <c r="C44" s="3" t="n">
        <v>0.65</v>
      </c>
      <c r="D44" s="3" t="n">
        <v>0.6</v>
      </c>
      <c r="E44" s="3" t="n">
        <v>0.55</v>
      </c>
      <c r="F44" s="3" t="n">
        <v>0.5</v>
      </c>
      <c r="G44" s="3" t="n">
        <v>0.5</v>
      </c>
      <c r="H44" s="3" t="n">
        <v>0.5</v>
      </c>
      <c r="I44" s="3" t="n">
        <v>0.5</v>
      </c>
      <c r="J44" s="3" t="n">
        <v>0.5</v>
      </c>
      <c r="K44" s="3" t="n">
        <v>0.5</v>
      </c>
      <c r="L44" s="3" t="n">
        <v>0.5</v>
      </c>
    </row>
    <row r="45" customFormat="false" ht="15" hidden="false" customHeight="false" outlineLevel="0" collapsed="false">
      <c r="A45" s="0" t="s">
        <v>99</v>
      </c>
      <c r="C45" s="3" t="n">
        <v>1.25</v>
      </c>
      <c r="D45" s="3" t="n">
        <v>1.2</v>
      </c>
      <c r="E45" s="3" t="n">
        <v>1.15</v>
      </c>
      <c r="F45" s="3" t="n">
        <v>1.1</v>
      </c>
      <c r="G45" s="3" t="n">
        <v>1.05</v>
      </c>
      <c r="H45" s="3" t="n">
        <v>1</v>
      </c>
      <c r="I45" s="3" t="n">
        <v>1</v>
      </c>
      <c r="J45" s="3" t="n">
        <v>1</v>
      </c>
      <c r="K45" s="3" t="n">
        <v>1</v>
      </c>
      <c r="L45" s="3" t="n">
        <v>1</v>
      </c>
    </row>
    <row r="46" customFormat="false" ht="15" hidden="false" customHeight="false" outlineLevel="0" collapsed="false">
      <c r="A46" s="0" t="s">
        <v>100</v>
      </c>
      <c r="C46" s="3" t="n">
        <v>0.9</v>
      </c>
      <c r="D46" s="3" t="n">
        <v>0.9</v>
      </c>
      <c r="E46" s="3" t="n">
        <v>0.95</v>
      </c>
      <c r="F46" s="3" t="n">
        <v>1</v>
      </c>
      <c r="G46" s="3" t="n">
        <v>1</v>
      </c>
      <c r="H46" s="3" t="n">
        <v>1</v>
      </c>
      <c r="I46" s="3" t="n">
        <v>1</v>
      </c>
      <c r="J46" s="3" t="n">
        <v>1</v>
      </c>
      <c r="K46" s="3" t="n">
        <v>1</v>
      </c>
      <c r="L46" s="3" t="n">
        <v>1</v>
      </c>
    </row>
    <row r="47" customFormat="false" ht="15" hidden="false" customHeight="false" outlineLevel="0" collapsed="false">
      <c r="A47" s="0" t="s">
        <v>101</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102</v>
      </c>
      <c r="B48" s="3" t="n">
        <v>9</v>
      </c>
    </row>
    <row r="49" customFormat="false" ht="15" hidden="false" customHeight="false" outlineLevel="0" collapsed="false">
      <c r="A49" s="0" t="s">
        <v>103</v>
      </c>
      <c r="B49" s="3" t="n">
        <v>3</v>
      </c>
    </row>
    <row r="50" customFormat="false" ht="15" hidden="false" customHeight="false" outlineLevel="0" collapsed="false">
      <c r="A50" s="0" t="s">
        <v>104</v>
      </c>
      <c r="B50" s="3" t="n">
        <v>15</v>
      </c>
    </row>
    <row r="51" customFormat="false" ht="15" hidden="false" customHeight="false" outlineLevel="0" collapsed="false">
      <c r="A51" s="0" t="s">
        <v>105</v>
      </c>
      <c r="B51" s="3" t="n">
        <v>10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4</v>
      </c>
      <c r="D5" s="4" t="n">
        <f aca="false">Assumptions!D13</f>
        <v>3</v>
      </c>
      <c r="E5" s="4" t="n">
        <f aca="false">Assumptions!E13</f>
        <v>2.5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19164.354</v>
      </c>
      <c r="C6" s="0" t="n">
        <f aca="false">B6*(1+C5/100)</f>
        <v>19930.92816</v>
      </c>
      <c r="D6" s="0" t="n">
        <f aca="false">C6*(1+D5/100)</f>
        <v>20528.8560048</v>
      </c>
      <c r="E6" s="0" t="n">
        <f aca="false">D6*(1+E5/100)</f>
        <v>21042.07740492</v>
      </c>
      <c r="F6" s="0" t="n">
        <f aca="false">E6*(1+F5/100)</f>
        <v>21462.9189530184</v>
      </c>
      <c r="G6" s="0" t="n">
        <f aca="false">F6*(1+G5/100)</f>
        <v>21892.1773320788</v>
      </c>
      <c r="H6" s="0" t="n">
        <f aca="false">G6*(1+H5/100)</f>
        <v>22330.0208787203</v>
      </c>
      <c r="I6" s="0" t="n">
        <f aca="false">H6*(1+I5/100)</f>
        <v>22776.6212962947</v>
      </c>
      <c r="J6" s="0" t="n">
        <f aca="false">I6*(1+J5/100)</f>
        <v>23232.1537222206</v>
      </c>
      <c r="K6" s="0" t="n">
        <f aca="false">J6*(1+K5/100)</f>
        <v>23696.7967966651</v>
      </c>
      <c r="L6" s="0" t="n">
        <f aca="false">K6*(1+L5/100)</f>
        <v>24170.7327325984</v>
      </c>
    </row>
    <row r="7" customFormat="false" ht="15" hidden="false" customHeight="false" outlineLevel="0" collapsed="false">
      <c r="A7" s="0" t="s">
        <v>96</v>
      </c>
      <c r="C7" s="4" t="n">
        <f aca="false">Assumptions!C14</f>
        <v>8.5</v>
      </c>
      <c r="D7" s="4" t="n">
        <f aca="false">Assumptions!D14</f>
        <v>8.2</v>
      </c>
      <c r="E7" s="4" t="n">
        <f aca="false">Assumptions!E14</f>
        <v>8</v>
      </c>
      <c r="F7" s="4" t="n">
        <f aca="false">Assumptions!F14</f>
        <v>7.8</v>
      </c>
      <c r="G7" s="4" t="n">
        <f aca="false">Assumptions!G14</f>
        <v>7.5</v>
      </c>
      <c r="H7" s="4" t="n">
        <f aca="false">Assumptions!H14</f>
        <v>7.5</v>
      </c>
      <c r="I7" s="4" t="n">
        <f aca="false">Assumptions!I14</f>
        <v>7.5</v>
      </c>
      <c r="J7" s="4" t="n">
        <f aca="false">Assumptions!J14</f>
        <v>7.5</v>
      </c>
      <c r="K7" s="4" t="n">
        <f aca="false">Assumptions!K14</f>
        <v>7.5</v>
      </c>
      <c r="L7" s="4" t="n">
        <f aca="false">Assumptions!L14</f>
        <v>7.5</v>
      </c>
    </row>
    <row r="8" customFormat="false" ht="15" hidden="false" customHeight="false" outlineLevel="0" collapsed="false">
      <c r="A8" s="0" t="s">
        <v>44</v>
      </c>
      <c r="C8" s="0" t="n">
        <f aca="false">C6*C7/100</f>
        <v>1694.1288936</v>
      </c>
      <c r="D8" s="0" t="n">
        <f aca="false">D6*D7/100</f>
        <v>1683.3661923936</v>
      </c>
      <c r="E8" s="0" t="n">
        <f aca="false">E6*E7/100</f>
        <v>1683.3661923936</v>
      </c>
      <c r="F8" s="0" t="n">
        <f aca="false">F6*F7/100</f>
        <v>1674.10767833544</v>
      </c>
      <c r="G8" s="0" t="n">
        <f aca="false">G6*G7/100</f>
        <v>1641.91329990591</v>
      </c>
      <c r="H8" s="0" t="n">
        <f aca="false">H6*H7/100</f>
        <v>1674.75156590403</v>
      </c>
      <c r="I8" s="0" t="n">
        <f aca="false">I6*I7/100</f>
        <v>1708.24659722211</v>
      </c>
      <c r="J8" s="0" t="n">
        <f aca="false">J6*J7/100</f>
        <v>1742.41152916655</v>
      </c>
      <c r="K8" s="0" t="n">
        <f aca="false">K6*K7/100</f>
        <v>1777.25975974988</v>
      </c>
      <c r="L8" s="0" t="n">
        <f aca="false">L6*L7/100</f>
        <v>1812.80495494488</v>
      </c>
    </row>
    <row r="9" customFormat="false" ht="15" hidden="false" customHeight="false" outlineLevel="0" collapsed="false">
      <c r="A9" s="0" t="s">
        <v>97</v>
      </c>
      <c r="C9" s="4" t="n">
        <f aca="false">Assumptions!C15</f>
        <v>0.1</v>
      </c>
      <c r="D9" s="4" t="n">
        <f aca="false">Assumptions!D15</f>
        <v>0.1</v>
      </c>
      <c r="E9" s="4" t="n">
        <f aca="false">Assumptions!E15</f>
        <v>0.1</v>
      </c>
      <c r="F9" s="4" t="n">
        <f aca="false">Assumptions!F15</f>
        <v>0.1</v>
      </c>
      <c r="G9" s="4" t="n">
        <f aca="false">Assumptions!G15</f>
        <v>0.1</v>
      </c>
      <c r="H9" s="4" t="n">
        <f aca="false">Assumptions!H15</f>
        <v>0.1</v>
      </c>
      <c r="I9" s="4" t="n">
        <f aca="false">Assumptions!I15</f>
        <v>0.1</v>
      </c>
      <c r="J9" s="4" t="n">
        <f aca="false">Assumptions!J15</f>
        <v>0.1</v>
      </c>
      <c r="K9" s="4" t="n">
        <f aca="false">Assumptions!K15</f>
        <v>0.1</v>
      </c>
      <c r="L9" s="4" t="n">
        <f aca="false">Assumptions!L15</f>
        <v>0.1</v>
      </c>
    </row>
    <row r="10" customFormat="false" ht="15" hidden="false" customHeight="false" outlineLevel="0" collapsed="false">
      <c r="A10" s="0" t="s">
        <v>112</v>
      </c>
      <c r="C10" s="0" t="n">
        <f aca="false">-C6*C9/100</f>
        <v>-19.93092816</v>
      </c>
      <c r="D10" s="0" t="n">
        <f aca="false">-D6*D9/100</f>
        <v>-20.5288560048</v>
      </c>
      <c r="E10" s="0" t="n">
        <f aca="false">-E6*E9/100</f>
        <v>-21.04207740492</v>
      </c>
      <c r="F10" s="0" t="n">
        <f aca="false">-F6*F9/100</f>
        <v>-21.4629189530184</v>
      </c>
      <c r="G10" s="0" t="n">
        <f aca="false">-G6*G9/100</f>
        <v>-21.8921773320788</v>
      </c>
      <c r="H10" s="0" t="n">
        <f aca="false">-H6*H9/100</f>
        <v>-22.3300208787203</v>
      </c>
      <c r="I10" s="0" t="n">
        <f aca="false">-I6*I9/100</f>
        <v>-22.7766212962948</v>
      </c>
      <c r="J10" s="0" t="n">
        <f aca="false">-J6*J9/100</f>
        <v>-23.2321537222206</v>
      </c>
      <c r="K10" s="0" t="n">
        <f aca="false">-K6*K9/100</f>
        <v>-23.6967967966651</v>
      </c>
      <c r="L10" s="0" t="n">
        <f aca="false">-L6*L9/100</f>
        <v>-24.1707327325984</v>
      </c>
    </row>
    <row r="11" customFormat="false" ht="15" hidden="false" customHeight="false" outlineLevel="0" collapsed="false">
      <c r="A11" s="0" t="s">
        <v>113</v>
      </c>
      <c r="C11" s="0" t="n">
        <f aca="false">C8+C10+C24</f>
        <v>1544.6469324</v>
      </c>
      <c r="D11" s="0" t="n">
        <f aca="false">D8+D10+D24</f>
        <v>1539.66420036</v>
      </c>
      <c r="E11" s="0" t="n">
        <f aca="false">E8+E10+E24</f>
        <v>1546.59268926162</v>
      </c>
      <c r="F11" s="0" t="n">
        <f aca="false">F8+F10+F24</f>
        <v>1545.33016461733</v>
      </c>
      <c r="G11" s="0" t="n">
        <f aca="false">G8+G10+G24</f>
        <v>1510.56023591344</v>
      </c>
      <c r="H11" s="0" t="n">
        <f aca="false">H8+H10+H24</f>
        <v>1540.7714406317</v>
      </c>
      <c r="I11" s="0" t="n">
        <f aca="false">I8+I10+I24</f>
        <v>1571.58686944434</v>
      </c>
      <c r="J11" s="0" t="n">
        <f aca="false">J8+J10+J24</f>
        <v>1603.01860683322</v>
      </c>
      <c r="K11" s="0" t="n">
        <f aca="false">K8+K10+K24</f>
        <v>1635.07897896989</v>
      </c>
      <c r="L11" s="0" t="n">
        <f aca="false">L8+L10+L24</f>
        <v>1667.78055854929</v>
      </c>
    </row>
    <row r="12" customFormat="false" ht="15" hidden="false" customHeight="false" outlineLevel="0" collapsed="false">
      <c r="A12" s="0" t="s">
        <v>114</v>
      </c>
      <c r="C12" s="4" t="n">
        <f aca="false">-C6*Assumptions!C17/100</f>
        <v>-249.136602</v>
      </c>
      <c r="D12" s="4" t="n">
        <f aca="false">-D6*Assumptions!D17/100</f>
        <v>-246.3462720576</v>
      </c>
      <c r="E12" s="4" t="n">
        <f aca="false">-E6*Assumptions!E17/100</f>
        <v>-241.98389015658</v>
      </c>
      <c r="F12" s="4" t="n">
        <f aca="false">-F6*Assumptions!F17/100</f>
        <v>-236.092108483202</v>
      </c>
      <c r="G12" s="4" t="n">
        <f aca="false">-G6*Assumptions!G17/100</f>
        <v>-229.867861986827</v>
      </c>
      <c r="H12" s="4" t="n">
        <f aca="false">-H6*Assumptions!H17/100</f>
        <v>-223.300208787203</v>
      </c>
      <c r="I12" s="4" t="n">
        <f aca="false">-I6*Assumptions!I17/100</f>
        <v>-227.766212962947</v>
      </c>
      <c r="J12" s="4" t="n">
        <f aca="false">-J6*Assumptions!J17/100</f>
        <v>-232.321537222206</v>
      </c>
      <c r="K12" s="4" t="n">
        <f aca="false">-K6*Assumptions!K17/100</f>
        <v>-236.967967966651</v>
      </c>
      <c r="L12" s="4" t="n">
        <f aca="false">-L6*Assumptions!L17/100</f>
        <v>-241.707327325984</v>
      </c>
    </row>
    <row r="13" customFormat="false" ht="15" hidden="false" customHeight="false" outlineLevel="0" collapsed="false">
      <c r="A13" s="0" t="s">
        <v>115</v>
      </c>
      <c r="C13" s="0" t="n">
        <f aca="false">C11+C12</f>
        <v>1295.5103304</v>
      </c>
      <c r="D13" s="0" t="n">
        <f aca="false">D11+D12</f>
        <v>1293.3179283024</v>
      </c>
      <c r="E13" s="0" t="n">
        <f aca="false">E11+E12</f>
        <v>1304.60879910504</v>
      </c>
      <c r="F13" s="0" t="n">
        <f aca="false">F11+F12</f>
        <v>1309.23805613412</v>
      </c>
      <c r="G13" s="0" t="n">
        <f aca="false">G11+G12</f>
        <v>1280.69237392661</v>
      </c>
      <c r="H13" s="0" t="n">
        <f aca="false">H11+H12</f>
        <v>1317.4712318445</v>
      </c>
      <c r="I13" s="0" t="n">
        <f aca="false">I11+I12</f>
        <v>1343.82065648139</v>
      </c>
      <c r="J13" s="0" t="n">
        <f aca="false">J11+J12</f>
        <v>1370.69706961102</v>
      </c>
      <c r="K13" s="0" t="n">
        <f aca="false">K11+K12</f>
        <v>1398.11101100324</v>
      </c>
      <c r="L13" s="0" t="n">
        <f aca="false">L11+L12</f>
        <v>1426.0732312233</v>
      </c>
    </row>
    <row r="14" customFormat="false" ht="15" hidden="false" customHeight="false" outlineLevel="0" collapsed="false">
      <c r="A14" s="0" t="s">
        <v>101</v>
      </c>
      <c r="C14" s="4" t="n">
        <f aca="false">Assumptions!C19</f>
        <v>32</v>
      </c>
      <c r="D14" s="4" t="n">
        <f aca="false">Assumptions!D19</f>
        <v>32</v>
      </c>
      <c r="E14" s="4" t="n">
        <f aca="false">Assumptions!E19</f>
        <v>32</v>
      </c>
      <c r="F14" s="4" t="n">
        <f aca="false">Assumptions!F19</f>
        <v>32</v>
      </c>
      <c r="G14" s="4" t="n">
        <f aca="false">Assumptions!G19</f>
        <v>32</v>
      </c>
      <c r="H14" s="4" t="n">
        <f aca="false">Assumptions!H19</f>
        <v>32</v>
      </c>
      <c r="I14" s="4" t="n">
        <f aca="false">Assumptions!I19</f>
        <v>32</v>
      </c>
      <c r="J14" s="4" t="n">
        <f aca="false">Assumptions!J19</f>
        <v>32</v>
      </c>
      <c r="K14" s="4" t="n">
        <f aca="false">Assumptions!K19</f>
        <v>32</v>
      </c>
      <c r="L14" s="4" t="n">
        <f aca="false">Assumptions!L19</f>
        <v>32</v>
      </c>
    </row>
    <row r="15" customFormat="false" ht="15" hidden="false" customHeight="false" outlineLevel="0" collapsed="false">
      <c r="A15" s="0" t="s">
        <v>116</v>
      </c>
      <c r="C15" s="0" t="n">
        <f aca="false">C13-MAX(0,C13)*C14/100</f>
        <v>880.947024672</v>
      </c>
      <c r="D15" s="0" t="n">
        <f aca="false">D13-MAX(0,D13)*D14/100</f>
        <v>879.456191245632</v>
      </c>
      <c r="E15" s="0" t="n">
        <f aca="false">E13-MAX(0,E13)*E14/100</f>
        <v>887.133983391427</v>
      </c>
      <c r="F15" s="0" t="n">
        <f aca="false">F13-MAX(0,F13)*F14/100</f>
        <v>890.281878171203</v>
      </c>
      <c r="G15" s="0" t="n">
        <f aca="false">G13-MAX(0,G13)*G14/100</f>
        <v>870.870814270093</v>
      </c>
      <c r="H15" s="0" t="n">
        <f aca="false">H13-MAX(0,H13)*H14/100</f>
        <v>895.88043765426</v>
      </c>
      <c r="I15" s="0" t="n">
        <f aca="false">I13-MAX(0,I13)*I14/100</f>
        <v>913.798046407345</v>
      </c>
      <c r="J15" s="0" t="n">
        <f aca="false">J13-MAX(0,J13)*J14/100</f>
        <v>932.074007335492</v>
      </c>
      <c r="K15" s="0" t="n">
        <f aca="false">K13-MAX(0,K13)*K14/100</f>
        <v>950.715487482202</v>
      </c>
      <c r="L15" s="0" t="n">
        <f aca="false">L13-MAX(0,L13)*L14/100</f>
        <v>969.729797231846</v>
      </c>
    </row>
    <row r="16" customFormat="false" ht="15" hidden="false" customHeight="false" outlineLevel="0" collapsed="false">
      <c r="A16" s="0" t="s">
        <v>117</v>
      </c>
      <c r="C16" s="0" t="n">
        <f aca="false">-C12</f>
        <v>249.136602</v>
      </c>
      <c r="D16" s="0" t="n">
        <f aca="false">-D12</f>
        <v>246.3462720576</v>
      </c>
      <c r="E16" s="0" t="n">
        <f aca="false">-E12</f>
        <v>241.98389015658</v>
      </c>
      <c r="F16" s="0" t="n">
        <f aca="false">-F12</f>
        <v>236.092108483202</v>
      </c>
      <c r="G16" s="0" t="n">
        <f aca="false">-G12</f>
        <v>229.867861986827</v>
      </c>
      <c r="H16" s="0" t="n">
        <f aca="false">-H12</f>
        <v>223.300208787203</v>
      </c>
      <c r="I16" s="0" t="n">
        <f aca="false">-I12</f>
        <v>227.766212962947</v>
      </c>
      <c r="J16" s="0" t="n">
        <f aca="false">-J12</f>
        <v>232.321537222206</v>
      </c>
      <c r="K16" s="0" t="n">
        <f aca="false">-K12</f>
        <v>236.967967966651</v>
      </c>
      <c r="L16" s="0" t="n">
        <f aca="false">-L12</f>
        <v>241.707327325984</v>
      </c>
    </row>
    <row r="17" customFormat="false" ht="15" hidden="false" customHeight="false" outlineLevel="0" collapsed="false">
      <c r="A17" s="0" t="s">
        <v>118</v>
      </c>
      <c r="C17" s="4" t="n">
        <f aca="false">-C6*Assumptions!C18/100</f>
        <v>-179.37835344</v>
      </c>
      <c r="D17" s="4" t="n">
        <f aca="false">-D6*Assumptions!D18/100</f>
        <v>-184.7597040432</v>
      </c>
      <c r="E17" s="4" t="n">
        <f aca="false">-E6*Assumptions!E18/100</f>
        <v>-199.89973534674</v>
      </c>
      <c r="F17" s="4" t="n">
        <f aca="false">-F6*Assumptions!F18/100</f>
        <v>-214.629189530184</v>
      </c>
      <c r="G17" s="4" t="n">
        <f aca="false">-G6*Assumptions!G18/100</f>
        <v>-218.921773320788</v>
      </c>
      <c r="H17" s="4" t="n">
        <f aca="false">-H6*Assumptions!H18/100</f>
        <v>-223.300208787203</v>
      </c>
      <c r="I17" s="4" t="n">
        <f aca="false">-I6*Assumptions!I18/100</f>
        <v>-227.766212962947</v>
      </c>
      <c r="J17" s="4" t="n">
        <f aca="false">-J6*Assumptions!J18/100</f>
        <v>-232.321537222206</v>
      </c>
      <c r="K17" s="4" t="n">
        <f aca="false">-K6*Assumptions!K18/100</f>
        <v>-236.967967966651</v>
      </c>
      <c r="L17" s="4" t="n">
        <f aca="false">-L6*Assumptions!L18/100</f>
        <v>-241.707327325984</v>
      </c>
    </row>
    <row r="18" customFormat="false" ht="15" hidden="false" customHeight="false" outlineLevel="0" collapsed="false">
      <c r="A18" s="0" t="s">
        <v>119</v>
      </c>
      <c r="C18" s="4" t="n">
        <f aca="false">(C6-B6)*Assumptions!$B$23/100</f>
        <v>-38.328708</v>
      </c>
      <c r="D18" s="4" t="n">
        <f aca="false">(D6-C6)*Assumptions!$B$23/100</f>
        <v>-29.89639224</v>
      </c>
      <c r="E18" s="4" t="n">
        <f aca="false">(E6-D6)*Assumptions!$B$23/100</f>
        <v>-25.6610700059999</v>
      </c>
      <c r="F18" s="4" t="n">
        <f aca="false">(F6-E6)*Assumptions!$B$23/100</f>
        <v>-21.04207740492</v>
      </c>
      <c r="G18" s="4" t="n">
        <f aca="false">(G6-F6)*Assumptions!$B$23/100</f>
        <v>-21.4629189530184</v>
      </c>
      <c r="H18" s="4" t="n">
        <f aca="false">(H6-G6)*Assumptions!$B$23/100</f>
        <v>-21.8921773320788</v>
      </c>
      <c r="I18" s="4" t="n">
        <f aca="false">(I6-H6)*Assumptions!$B$23/100</f>
        <v>-22.3300208787203</v>
      </c>
      <c r="J18" s="4" t="n">
        <f aca="false">(J6-I6)*Assumptions!$B$23/100</f>
        <v>-22.7766212962948</v>
      </c>
      <c r="K18" s="4" t="n">
        <f aca="false">(K6-J6)*Assumptions!$B$23/100</f>
        <v>-23.2321537222206</v>
      </c>
      <c r="L18" s="4" t="n">
        <f aca="false">(L6-K6)*Assumptions!$B$23/100</f>
        <v>-23.6967967966651</v>
      </c>
    </row>
    <row r="19" customFormat="false" ht="15" hidden="false" customHeight="false" outlineLevel="0" collapsed="false">
      <c r="A19" s="0" t="s">
        <v>120</v>
      </c>
      <c r="C19" s="0" t="n">
        <f aca="false">C15+C16+C17+C18</f>
        <v>912.376565232</v>
      </c>
      <c r="D19" s="0" t="n">
        <f aca="false">D15+D16+D17+D18</f>
        <v>911.146367020032</v>
      </c>
      <c r="E19" s="0" t="n">
        <f aca="false">E15+E16+E17+E18</f>
        <v>903.557068195267</v>
      </c>
      <c r="F19" s="0" t="n">
        <f aca="false">F15+F16+F17+F18</f>
        <v>890.702719719302</v>
      </c>
      <c r="G19" s="0" t="n">
        <f aca="false">G15+G16+G17+G18</f>
        <v>860.353983983114</v>
      </c>
      <c r="H19" s="0" t="n">
        <f aca="false">H15+H16+H17+H18</f>
        <v>873.988260322182</v>
      </c>
      <c r="I19" s="0" t="n">
        <f aca="false">I15+I16+I17+I18</f>
        <v>891.468025528625</v>
      </c>
      <c r="J19" s="0" t="n">
        <f aca="false">J15+J16+J17+J18</f>
        <v>909.297386039198</v>
      </c>
      <c r="K19" s="0" t="n">
        <f aca="false">K15+K16+K17+K18</f>
        <v>927.483333759981</v>
      </c>
      <c r="L19" s="0" t="n">
        <f aca="false">L15+L16+L17+L18</f>
        <v>946.033000435181</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837.04272039633</v>
      </c>
      <c r="D21" s="0" t="n">
        <f aca="false">D19*D20</f>
        <v>766.893668058271</v>
      </c>
      <c r="E21" s="0" t="n">
        <f aca="false">E19*E20</f>
        <v>697.711841352794</v>
      </c>
      <c r="F21" s="0" t="n">
        <f aca="false">F19*F20</f>
        <v>630.996262213491</v>
      </c>
      <c r="G21" s="0" t="n">
        <f aca="false">G19*G20</f>
        <v>559.17105751745</v>
      </c>
      <c r="H21" s="0" t="n">
        <f aca="false">H19*H20</f>
        <v>521.130643706123</v>
      </c>
      <c r="I21" s="0" t="n">
        <f aca="false">I19*I20</f>
        <v>487.663538147014</v>
      </c>
      <c r="J21" s="0" t="n">
        <f aca="false">J19*J20</f>
        <v>456.345696247665</v>
      </c>
      <c r="K21" s="0" t="n">
        <f aca="false">K19*K20</f>
        <v>427.039091901484</v>
      </c>
      <c r="L21" s="0" t="n">
        <f aca="false">L19*L20</f>
        <v>399.614563063774</v>
      </c>
    </row>
    <row r="23" customFormat="false" ht="15" hidden="false" customHeight="false" outlineLevel="0" collapsed="false">
      <c r="A23" s="0" t="s">
        <v>98</v>
      </c>
      <c r="C23" s="4" t="n">
        <f aca="false">Assumptions!C16</f>
        <v>0.65</v>
      </c>
      <c r="D23" s="4" t="n">
        <f aca="false">Assumptions!D16</f>
        <v>0.6</v>
      </c>
      <c r="E23" s="4" t="n">
        <f aca="false">Assumptions!E16</f>
        <v>0.55</v>
      </c>
      <c r="F23" s="4" t="n">
        <f aca="false">Assumptions!F16</f>
        <v>0.5</v>
      </c>
      <c r="G23" s="4" t="n">
        <f aca="false">Assumptions!G16</f>
        <v>0.5</v>
      </c>
      <c r="H23" s="4" t="n">
        <f aca="false">Assumptions!H16</f>
        <v>0.5</v>
      </c>
      <c r="I23" s="4" t="n">
        <f aca="false">Assumptions!I16</f>
        <v>0.5</v>
      </c>
      <c r="J23" s="4" t="n">
        <f aca="false">Assumptions!J16</f>
        <v>0.5</v>
      </c>
      <c r="K23" s="4" t="n">
        <f aca="false">Assumptions!K16</f>
        <v>0.5</v>
      </c>
      <c r="L23" s="4" t="n">
        <f aca="false">Assumptions!L16</f>
        <v>0.5</v>
      </c>
    </row>
    <row r="24" customFormat="false" ht="15" hidden="false" customHeight="false" outlineLevel="0" collapsed="false">
      <c r="A24" s="0" t="s">
        <v>123</v>
      </c>
      <c r="C24" s="0" t="n">
        <f aca="false">-C6*C23/100</f>
        <v>-129.55103304</v>
      </c>
      <c r="D24" s="0" t="n">
        <f aca="false">-D6*D23/100</f>
        <v>-123.1731360288</v>
      </c>
      <c r="E24" s="0" t="n">
        <f aca="false">-E6*E23/100</f>
        <v>-115.73142572706</v>
      </c>
      <c r="F24" s="0" t="n">
        <f aca="false">-F6*F23/100</f>
        <v>-107.314594765092</v>
      </c>
      <c r="G24" s="0" t="n">
        <f aca="false">-G6*G23/100</f>
        <v>-109.460886660394</v>
      </c>
      <c r="H24" s="0" t="n">
        <f aca="false">-H6*H23/100</f>
        <v>-111.650104393602</v>
      </c>
      <c r="I24" s="0" t="n">
        <f aca="false">-I6*I23/100</f>
        <v>-113.883106481474</v>
      </c>
      <c r="J24" s="0" t="n">
        <f aca="false">-J6*J23/100</f>
        <v>-116.160768611103</v>
      </c>
      <c r="K24" s="0" t="n">
        <f aca="false">-K6*K23/100</f>
        <v>-118.483983983325</v>
      </c>
      <c r="L24" s="0" t="n">
        <f aca="false">-L6*L23/100</f>
        <v>-120.853663662992</v>
      </c>
    </row>
    <row r="26" customFormat="false" ht="15" hidden="false" customHeight="false" outlineLevel="0" collapsed="false">
      <c r="A26" s="2" t="s">
        <v>124</v>
      </c>
    </row>
    <row r="27" customFormat="false" ht="15" hidden="false" customHeight="false" outlineLevel="0" collapsed="false">
      <c r="A27" s="0" t="s">
        <v>102</v>
      </c>
      <c r="B27" s="4" t="n">
        <f aca="false">Assumptions!$B$20</f>
        <v>9</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15</v>
      </c>
    </row>
    <row r="30" customFormat="false" ht="15" hidden="false" customHeight="false" outlineLevel="0" collapsed="false">
      <c r="A30" s="0" t="s">
        <v>125</v>
      </c>
      <c r="B30" s="0" t="n">
        <f aca="false">SUM(C21:L21)</f>
        <v>5783.6090826044</v>
      </c>
    </row>
    <row r="31" customFormat="false" ht="15" hidden="false" customHeight="false" outlineLevel="0" collapsed="false">
      <c r="A31" s="0" t="s">
        <v>126</v>
      </c>
      <c r="B31" s="0" t="n">
        <f aca="false">L19</f>
        <v>946.033000435181</v>
      </c>
    </row>
    <row r="32" customFormat="false" ht="15" hidden="false" customHeight="false" outlineLevel="0" collapsed="false">
      <c r="A32" s="0" t="s">
        <v>127</v>
      </c>
      <c r="B32" s="0" t="n">
        <f aca="false">IF(B27&gt;B28,B31*(1+B28/100)/((B27-B28)/100),B31*B29)</f>
        <v>13785.0522920555</v>
      </c>
    </row>
    <row r="33" customFormat="false" ht="15" hidden="false" customHeight="false" outlineLevel="0" collapsed="false">
      <c r="A33" s="0" t="s">
        <v>128</v>
      </c>
      <c r="B33" s="0" t="n">
        <f aca="false">B31*B29</f>
        <v>14190.4950065277</v>
      </c>
    </row>
    <row r="34" customFormat="false" ht="15" hidden="false" customHeight="false" outlineLevel="0" collapsed="false">
      <c r="A34" s="0" t="s">
        <v>129</v>
      </c>
      <c r="B34" s="0" t="n">
        <f aca="false">MAX(0,MIN(B32,B33))</f>
        <v>13785.0522920555</v>
      </c>
    </row>
    <row r="35" customFormat="false" ht="15" hidden="false" customHeight="false" outlineLevel="0" collapsed="false">
      <c r="A35" s="0" t="s">
        <v>130</v>
      </c>
      <c r="B35" s="0" t="n">
        <f aca="false">B34/(1+B27/100)^L4</f>
        <v>5822.95506178642</v>
      </c>
    </row>
    <row r="36" customFormat="false" ht="15" hidden="false" customHeight="false" outlineLevel="0" collapsed="false">
      <c r="A36" s="0" t="s">
        <v>131</v>
      </c>
      <c r="B36" s="0" t="n">
        <f aca="false">B30+B35</f>
        <v>11606.5641443908</v>
      </c>
    </row>
    <row r="37" customFormat="false" ht="15" hidden="false" customHeight="false" outlineLevel="0" collapsed="false">
      <c r="A37" s="0" t="s">
        <v>132</v>
      </c>
      <c r="B37" s="0" t="n">
        <f aca="false">B36+Assumptions!$B$5-Assumptions!$B$4</f>
        <v>17384.6171443908</v>
      </c>
    </row>
    <row r="38" customFormat="false" ht="15" hidden="false" customHeight="false" outlineLevel="0" collapsed="false">
      <c r="A38" s="0" t="s">
        <v>133</v>
      </c>
      <c r="B38" s="0" t="n">
        <f aca="false">B37/Assumptions!$B$3*Assumptions!$B$10</f>
        <v>6.52367307890241</v>
      </c>
    </row>
    <row r="39" customFormat="false" ht="15" hidden="false" customHeight="false" outlineLevel="0" collapsed="false">
      <c r="A39" s="0" t="s">
        <v>134</v>
      </c>
      <c r="B39" s="4" t="n">
        <f aca="false">B38/Assumptions!$B$2-1</f>
        <v>0.635005784186067</v>
      </c>
    </row>
    <row r="41" customFormat="false" ht="15" hidden="false" customHeight="false" outlineLevel="0" collapsed="false">
      <c r="A41" s="0" t="s">
        <v>135</v>
      </c>
      <c r="B41" s="0" t="n">
        <f aca="false">SUMPRODUCT(-C10:L10/(1+$B$27/100)^C4:L4)</f>
        <v>139.799943681034</v>
      </c>
    </row>
    <row r="42" customFormat="false" ht="15" hidden="false" customHeight="false" outlineLevel="0" collapsed="false">
      <c r="A42" s="0" t="s">
        <v>136</v>
      </c>
      <c r="B42" s="0" t="n">
        <f aca="false">IF(B27&gt;B28,-L10*(1+B28/100)/((B27-B28)/100),-L10*20)/(1+B27/100)^L4</f>
        <v>148.773975588195</v>
      </c>
    </row>
    <row r="43" customFormat="false" ht="15" hidden="false" customHeight="false" outlineLevel="0" collapsed="false">
      <c r="A43" s="0" t="s">
        <v>137</v>
      </c>
      <c r="B43" s="0" t="n">
        <f aca="false">(B37+B41+B42)/Assumptions!$B$3*Assumptions!$B$10</f>
        <v>6.63196202727407</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7422.72046495296</v>
      </c>
    </row>
    <row r="47" customFormat="false" ht="15" hidden="false" customHeight="false" outlineLevel="0" collapsed="false">
      <c r="A47" s="0" t="s">
        <v>139</v>
      </c>
      <c r="B47" s="0" t="n">
        <f aca="false">(SUMPRODUCT(C19:L19/(1+B45/100)^C4:L4)+B46/(1+B45/100)^L4+Assumptions!$B$5-Assumptions!$B$4)/Assumptions!$B$3*Assumptions!$B$10</f>
        <v>4.55335301082789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6.5</v>
      </c>
      <c r="D5" s="4" t="n">
        <f aca="false">Assumptions!D27</f>
        <v>6</v>
      </c>
      <c r="E5" s="4" t="n">
        <f aca="false">Assumptions!E27</f>
        <v>5.5</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19164.354</v>
      </c>
      <c r="C6" s="0" t="n">
        <f aca="false">B6*(1+C5/100)</f>
        <v>20410.03701</v>
      </c>
      <c r="D6" s="0" t="n">
        <f aca="false">C6*(1+D5/100)</f>
        <v>21634.6392306</v>
      </c>
      <c r="E6" s="0" t="n">
        <f aca="false">D6*(1+E5/100)</f>
        <v>22824.544388283</v>
      </c>
      <c r="F6" s="0" t="n">
        <f aca="false">E6*(1+F5/100)</f>
        <v>23965.7716076972</v>
      </c>
      <c r="G6" s="0" t="n">
        <f aca="false">F6*(1+G5/100)</f>
        <v>25044.2313300435</v>
      </c>
      <c r="H6" s="0" t="n">
        <f aca="false">G6*(1+H5/100)</f>
        <v>26046.0005832453</v>
      </c>
      <c r="I6" s="0" t="n">
        <f aca="false">H6*(1+I5/100)</f>
        <v>26957.6106036589</v>
      </c>
      <c r="J6" s="0" t="n">
        <f aca="false">I6*(1+J5/100)</f>
        <v>27766.3389217686</v>
      </c>
      <c r="K6" s="0" t="n">
        <f aca="false">J6*(1+K5/100)</f>
        <v>28599.3290894217</v>
      </c>
      <c r="L6" s="0" t="n">
        <f aca="false">K6*(1+L5/100)</f>
        <v>29457.3089621043</v>
      </c>
    </row>
    <row r="7" customFormat="false" ht="15" hidden="false" customHeight="false" outlineLevel="0" collapsed="false">
      <c r="A7" s="0" t="s">
        <v>96</v>
      </c>
      <c r="C7" s="4" t="n">
        <f aca="false">Assumptions!C28</f>
        <v>8.9</v>
      </c>
      <c r="D7" s="4" t="n">
        <f aca="false">Assumptions!D28</f>
        <v>9.1</v>
      </c>
      <c r="E7" s="4" t="n">
        <f aca="false">Assumptions!E28</f>
        <v>9.3</v>
      </c>
      <c r="F7" s="4" t="n">
        <f aca="false">Assumptions!F28</f>
        <v>9.4</v>
      </c>
      <c r="G7" s="4" t="n">
        <f aca="false">Assumptions!G28</f>
        <v>9.5</v>
      </c>
      <c r="H7" s="4" t="n">
        <f aca="false">Assumptions!H28</f>
        <v>9.5</v>
      </c>
      <c r="I7" s="4" t="n">
        <f aca="false">Assumptions!I28</f>
        <v>9.5</v>
      </c>
      <c r="J7" s="4" t="n">
        <f aca="false">Assumptions!J28</f>
        <v>9.5</v>
      </c>
      <c r="K7" s="4" t="n">
        <f aca="false">Assumptions!K28</f>
        <v>9.5</v>
      </c>
      <c r="L7" s="4" t="n">
        <f aca="false">Assumptions!L28</f>
        <v>9.5</v>
      </c>
    </row>
    <row r="8" customFormat="false" ht="15" hidden="false" customHeight="false" outlineLevel="0" collapsed="false">
      <c r="A8" s="0" t="s">
        <v>44</v>
      </c>
      <c r="C8" s="0" t="n">
        <f aca="false">C6*C7/100</f>
        <v>1816.49329389</v>
      </c>
      <c r="D8" s="0" t="n">
        <f aca="false">D6*D7/100</f>
        <v>1968.7521699846</v>
      </c>
      <c r="E8" s="0" t="n">
        <f aca="false">E6*E7/100</f>
        <v>2122.68262811032</v>
      </c>
      <c r="F8" s="0" t="n">
        <f aca="false">F6*F7/100</f>
        <v>2252.78253112353</v>
      </c>
      <c r="G8" s="0" t="n">
        <f aca="false">G6*G7/100</f>
        <v>2379.20197635414</v>
      </c>
      <c r="H8" s="0" t="n">
        <f aca="false">H6*H7/100</f>
        <v>2474.3700554083</v>
      </c>
      <c r="I8" s="0" t="n">
        <f aca="false">I6*I7/100</f>
        <v>2560.97300734759</v>
      </c>
      <c r="J8" s="0" t="n">
        <f aca="false">J6*J7/100</f>
        <v>2637.80219756802</v>
      </c>
      <c r="K8" s="0" t="n">
        <f aca="false">K6*K7/100</f>
        <v>2716.93626349506</v>
      </c>
      <c r="L8" s="0" t="n">
        <f aca="false">L6*L7/100</f>
        <v>2798.44435139991</v>
      </c>
    </row>
    <row r="9" customFormat="false" ht="15" hidden="false" customHeight="false" outlineLevel="0" collapsed="false">
      <c r="A9" s="0" t="s">
        <v>97</v>
      </c>
      <c r="C9" s="4" t="n">
        <f aca="false">Assumptions!C29</f>
        <v>0.1</v>
      </c>
      <c r="D9" s="4" t="n">
        <f aca="false">Assumptions!D29</f>
        <v>0.1</v>
      </c>
      <c r="E9" s="4" t="n">
        <f aca="false">Assumptions!E29</f>
        <v>0.1</v>
      </c>
      <c r="F9" s="4" t="n">
        <f aca="false">Assumptions!F29</f>
        <v>0.1</v>
      </c>
      <c r="G9" s="4" t="n">
        <f aca="false">Assumptions!G29</f>
        <v>0.1</v>
      </c>
      <c r="H9" s="4" t="n">
        <f aca="false">Assumptions!H29</f>
        <v>0.1</v>
      </c>
      <c r="I9" s="4" t="n">
        <f aca="false">Assumptions!I29</f>
        <v>0.1</v>
      </c>
      <c r="J9" s="4" t="n">
        <f aca="false">Assumptions!J29</f>
        <v>0.1</v>
      </c>
      <c r="K9" s="4" t="n">
        <f aca="false">Assumptions!K29</f>
        <v>0.1</v>
      </c>
      <c r="L9" s="4" t="n">
        <f aca="false">Assumptions!L29</f>
        <v>0.1</v>
      </c>
    </row>
    <row r="10" customFormat="false" ht="15" hidden="false" customHeight="false" outlineLevel="0" collapsed="false">
      <c r="A10" s="0" t="s">
        <v>112</v>
      </c>
      <c r="C10" s="0" t="n">
        <f aca="false">-C6*C9/100</f>
        <v>-20.41003701</v>
      </c>
      <c r="D10" s="0" t="n">
        <f aca="false">-D6*D9/100</f>
        <v>-21.6346392306</v>
      </c>
      <c r="E10" s="0" t="n">
        <f aca="false">-E6*E9/100</f>
        <v>-22.824544388283</v>
      </c>
      <c r="F10" s="0" t="n">
        <f aca="false">-F6*F9/100</f>
        <v>-23.9657716076972</v>
      </c>
      <c r="G10" s="0" t="n">
        <f aca="false">-G6*G9/100</f>
        <v>-25.0442313300435</v>
      </c>
      <c r="H10" s="0" t="n">
        <f aca="false">-H6*H9/100</f>
        <v>-26.0460005832453</v>
      </c>
      <c r="I10" s="0" t="n">
        <f aca="false">-I6*I9/100</f>
        <v>-26.9576106036589</v>
      </c>
      <c r="J10" s="0" t="n">
        <f aca="false">-J6*J9/100</f>
        <v>-27.7663389217686</v>
      </c>
      <c r="K10" s="0" t="n">
        <f aca="false">-K6*K9/100</f>
        <v>-28.5993290894217</v>
      </c>
      <c r="L10" s="0" t="n">
        <f aca="false">-L6*L9/100</f>
        <v>-29.4573089621043</v>
      </c>
    </row>
    <row r="11" customFormat="false" ht="15" hidden="false" customHeight="false" outlineLevel="0" collapsed="false">
      <c r="A11" s="0" t="s">
        <v>113</v>
      </c>
      <c r="C11" s="0" t="n">
        <f aca="false">C8+C10+C24</f>
        <v>1663.418016315</v>
      </c>
      <c r="D11" s="0" t="n">
        <f aca="false">D8+D10+D24</f>
        <v>1817.3096953704</v>
      </c>
      <c r="E11" s="0" t="n">
        <f aca="false">E8+E10+E24</f>
        <v>1974.32308958648</v>
      </c>
      <c r="F11" s="0" t="n">
        <f aca="false">F8+F10+F24</f>
        <v>2108.98790147735</v>
      </c>
      <c r="G11" s="0" t="n">
        <f aca="false">G8+G10+G24</f>
        <v>2228.93658837387</v>
      </c>
      <c r="H11" s="0" t="n">
        <f aca="false">H8+H10+H24</f>
        <v>2318.09405190883</v>
      </c>
      <c r="I11" s="0" t="n">
        <f aca="false">I8+I10+I24</f>
        <v>2399.22734372564</v>
      </c>
      <c r="J11" s="0" t="n">
        <f aca="false">J8+J10+J24</f>
        <v>2471.20416403741</v>
      </c>
      <c r="K11" s="0" t="n">
        <f aca="false">K8+K10+K24</f>
        <v>2545.34028895853</v>
      </c>
      <c r="L11" s="0" t="n">
        <f aca="false">L8+L10+L24</f>
        <v>2621.70049762729</v>
      </c>
    </row>
    <row r="12" customFormat="false" ht="15" hidden="false" customHeight="false" outlineLevel="0" collapsed="false">
      <c r="A12" s="0" t="s">
        <v>114</v>
      </c>
      <c r="C12" s="4" t="n">
        <f aca="false">-C6*Assumptions!C31/100</f>
        <v>-255.125462625</v>
      </c>
      <c r="D12" s="4" t="n">
        <f aca="false">-D6*Assumptions!D31/100</f>
        <v>-259.6156707672</v>
      </c>
      <c r="E12" s="4" t="n">
        <f aca="false">-E6*Assumptions!E31/100</f>
        <v>-262.482260465254</v>
      </c>
      <c r="F12" s="4" t="n">
        <f aca="false">-F6*Assumptions!F31/100</f>
        <v>-263.623487684669</v>
      </c>
      <c r="G12" s="4" t="n">
        <f aca="false">-G6*Assumptions!G31/100</f>
        <v>-262.964428965457</v>
      </c>
      <c r="H12" s="4" t="n">
        <f aca="false">-H6*Assumptions!H31/100</f>
        <v>-260.460005832453</v>
      </c>
      <c r="I12" s="4" t="n">
        <f aca="false">-I6*Assumptions!I31/100</f>
        <v>-269.576106036589</v>
      </c>
      <c r="J12" s="4" t="n">
        <f aca="false">-J6*Assumptions!J31/100</f>
        <v>-277.663389217686</v>
      </c>
      <c r="K12" s="4" t="n">
        <f aca="false">-K6*Assumptions!K31/100</f>
        <v>-285.993290894217</v>
      </c>
      <c r="L12" s="4" t="n">
        <f aca="false">-L6*Assumptions!L31/100</f>
        <v>-294.573089621043</v>
      </c>
    </row>
    <row r="13" customFormat="false" ht="15" hidden="false" customHeight="false" outlineLevel="0" collapsed="false">
      <c r="A13" s="0" t="s">
        <v>115</v>
      </c>
      <c r="C13" s="0" t="n">
        <f aca="false">C11+C12</f>
        <v>1408.29255369</v>
      </c>
      <c r="D13" s="0" t="n">
        <f aca="false">D11+D12</f>
        <v>1557.6940246032</v>
      </c>
      <c r="E13" s="0" t="n">
        <f aca="false">E11+E12</f>
        <v>1711.84082912123</v>
      </c>
      <c r="F13" s="0" t="n">
        <f aca="false">F11+F12</f>
        <v>1845.36441379268</v>
      </c>
      <c r="G13" s="0" t="n">
        <f aca="false">G11+G12</f>
        <v>1965.97215940842</v>
      </c>
      <c r="H13" s="0" t="n">
        <f aca="false">H11+H12</f>
        <v>2057.63404607638</v>
      </c>
      <c r="I13" s="0" t="n">
        <f aca="false">I11+I12</f>
        <v>2129.65123768905</v>
      </c>
      <c r="J13" s="0" t="n">
        <f aca="false">J11+J12</f>
        <v>2193.54077481972</v>
      </c>
      <c r="K13" s="0" t="n">
        <f aca="false">K11+K12</f>
        <v>2259.34699806431</v>
      </c>
      <c r="L13" s="0" t="n">
        <f aca="false">L11+L12</f>
        <v>2327.12740800624</v>
      </c>
    </row>
    <row r="14" customFormat="false" ht="15" hidden="false" customHeight="false" outlineLevel="0" collapsed="false">
      <c r="A14" s="0" t="s">
        <v>101</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116</v>
      </c>
      <c r="C15" s="0" t="n">
        <f aca="false">C13-MAX(0,C13)*C14/100</f>
        <v>985.804787583</v>
      </c>
      <c r="D15" s="0" t="n">
        <f aca="false">D13-MAX(0,D13)*D14/100</f>
        <v>1090.38581722224</v>
      </c>
      <c r="E15" s="0" t="n">
        <f aca="false">E13-MAX(0,E13)*E14/100</f>
        <v>1198.28858038486</v>
      </c>
      <c r="F15" s="0" t="n">
        <f aca="false">F13-MAX(0,F13)*F14/100</f>
        <v>1291.75508965488</v>
      </c>
      <c r="G15" s="0" t="n">
        <f aca="false">G13-MAX(0,G13)*G14/100</f>
        <v>1376.18051158589</v>
      </c>
      <c r="H15" s="0" t="n">
        <f aca="false">H13-MAX(0,H13)*H14/100</f>
        <v>1440.34383225346</v>
      </c>
      <c r="I15" s="0" t="n">
        <f aca="false">I13-MAX(0,I13)*I14/100</f>
        <v>1490.75586638233</v>
      </c>
      <c r="J15" s="0" t="n">
        <f aca="false">J13-MAX(0,J13)*J14/100</f>
        <v>1535.4785423738</v>
      </c>
      <c r="K15" s="0" t="n">
        <f aca="false">K13-MAX(0,K13)*K14/100</f>
        <v>1581.54289864502</v>
      </c>
      <c r="L15" s="0" t="n">
        <f aca="false">L13-MAX(0,L13)*L14/100</f>
        <v>1628.98918560437</v>
      </c>
    </row>
    <row r="16" customFormat="false" ht="15" hidden="false" customHeight="false" outlineLevel="0" collapsed="false">
      <c r="A16" s="0" t="s">
        <v>117</v>
      </c>
      <c r="C16" s="0" t="n">
        <f aca="false">-C12</f>
        <v>255.125462625</v>
      </c>
      <c r="D16" s="0" t="n">
        <f aca="false">-D12</f>
        <v>259.6156707672</v>
      </c>
      <c r="E16" s="0" t="n">
        <f aca="false">-E12</f>
        <v>262.482260465254</v>
      </c>
      <c r="F16" s="0" t="n">
        <f aca="false">-F12</f>
        <v>263.623487684669</v>
      </c>
      <c r="G16" s="0" t="n">
        <f aca="false">-G12</f>
        <v>262.964428965457</v>
      </c>
      <c r="H16" s="0" t="n">
        <f aca="false">-H12</f>
        <v>260.460005832453</v>
      </c>
      <c r="I16" s="0" t="n">
        <f aca="false">-I12</f>
        <v>269.576106036589</v>
      </c>
      <c r="J16" s="0" t="n">
        <f aca="false">-J12</f>
        <v>277.663389217686</v>
      </c>
      <c r="K16" s="0" t="n">
        <f aca="false">-K12</f>
        <v>285.993290894217</v>
      </c>
      <c r="L16" s="0" t="n">
        <f aca="false">-L12</f>
        <v>294.573089621043</v>
      </c>
    </row>
    <row r="17" customFormat="false" ht="15" hidden="false" customHeight="false" outlineLevel="0" collapsed="false">
      <c r="A17" s="0" t="s">
        <v>118</v>
      </c>
      <c r="C17" s="4" t="n">
        <f aca="false">-C6*Assumptions!C32/100</f>
        <v>-183.69033309</v>
      </c>
      <c r="D17" s="4" t="n">
        <f aca="false">-D6*Assumptions!D32/100</f>
        <v>-194.7117530754</v>
      </c>
      <c r="E17" s="4" t="n">
        <f aca="false">-E6*Assumptions!E32/100</f>
        <v>-216.833171688688</v>
      </c>
      <c r="F17" s="4" t="n">
        <f aca="false">-F6*Assumptions!F32/100</f>
        <v>-239.657716076972</v>
      </c>
      <c r="G17" s="4" t="n">
        <f aca="false">-G6*Assumptions!G32/100</f>
        <v>-250.442313300435</v>
      </c>
      <c r="H17" s="4" t="n">
        <f aca="false">-H6*Assumptions!H32/100</f>
        <v>-260.460005832453</v>
      </c>
      <c r="I17" s="4" t="n">
        <f aca="false">-I6*Assumptions!I32/100</f>
        <v>-269.576106036589</v>
      </c>
      <c r="J17" s="4" t="n">
        <f aca="false">-J6*Assumptions!J32/100</f>
        <v>-277.663389217686</v>
      </c>
      <c r="K17" s="4" t="n">
        <f aca="false">-K6*Assumptions!K32/100</f>
        <v>-285.993290894217</v>
      </c>
      <c r="L17" s="4" t="n">
        <f aca="false">-L6*Assumptions!L32/100</f>
        <v>-294.573089621043</v>
      </c>
    </row>
    <row r="18" customFormat="false" ht="15" hidden="false" customHeight="false" outlineLevel="0" collapsed="false">
      <c r="A18" s="0" t="s">
        <v>119</v>
      </c>
      <c r="C18" s="4" t="n">
        <f aca="false">(C6-B6)*Assumptions!$B$37/100</f>
        <v>62.2841505</v>
      </c>
      <c r="D18" s="4" t="n">
        <f aca="false">(D6-C6)*Assumptions!$B$37/100</f>
        <v>61.2301110300001</v>
      </c>
      <c r="E18" s="4" t="n">
        <f aca="false">(E6-D6)*Assumptions!$B$37/100</f>
        <v>59.4952578841499</v>
      </c>
      <c r="F18" s="4" t="n">
        <f aca="false">(F6-E6)*Assumptions!$B$37/100</f>
        <v>57.0613609707076</v>
      </c>
      <c r="G18" s="4" t="n">
        <f aca="false">(G6-F6)*Assumptions!$B$37/100</f>
        <v>53.9229861173186</v>
      </c>
      <c r="H18" s="4" t="n">
        <f aca="false">(H6-G6)*Assumptions!$B$37/100</f>
        <v>50.0884626600871</v>
      </c>
      <c r="I18" s="4" t="n">
        <f aca="false">(I6-H6)*Assumptions!$B$37/100</f>
        <v>45.5805010206792</v>
      </c>
      <c r="J18" s="4" t="n">
        <f aca="false">(J6-I6)*Assumptions!$B$37/100</f>
        <v>40.4364159054883</v>
      </c>
      <c r="K18" s="4" t="n">
        <f aca="false">(K6-J6)*Assumptions!$B$37/100</f>
        <v>41.649508382653</v>
      </c>
      <c r="L18" s="4" t="n">
        <f aca="false">(L6-K6)*Assumptions!$B$37/100</f>
        <v>42.8989936341326</v>
      </c>
    </row>
    <row r="19" customFormat="false" ht="15" hidden="false" customHeight="false" outlineLevel="0" collapsed="false">
      <c r="A19" s="0" t="s">
        <v>120</v>
      </c>
      <c r="C19" s="0" t="n">
        <f aca="false">C15+C16+C17+C18</f>
        <v>1119.524067618</v>
      </c>
      <c r="D19" s="0" t="n">
        <f aca="false">D15+D16+D17+D18</f>
        <v>1216.51984594404</v>
      </c>
      <c r="E19" s="0" t="n">
        <f aca="false">E15+E16+E17+E18</f>
        <v>1303.43292704557</v>
      </c>
      <c r="F19" s="0" t="n">
        <f aca="false">F15+F16+F17+F18</f>
        <v>1372.78222223328</v>
      </c>
      <c r="G19" s="0" t="n">
        <f aca="false">G15+G16+G17+G18</f>
        <v>1442.62561336823</v>
      </c>
      <c r="H19" s="0" t="n">
        <f aca="false">H15+H16+H17+H18</f>
        <v>1490.43229491355</v>
      </c>
      <c r="I19" s="0" t="n">
        <f aca="false">I15+I16+I17+I18</f>
        <v>1536.33636740301</v>
      </c>
      <c r="J19" s="0" t="n">
        <f aca="false">J15+J16+J17+J18</f>
        <v>1575.91495827929</v>
      </c>
      <c r="K19" s="0" t="n">
        <f aca="false">K15+K16+K17+K18</f>
        <v>1623.19240702767</v>
      </c>
      <c r="L19" s="0" t="n">
        <f aca="false">L15+L16+L17+L18</f>
        <v>1671.8881792385</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1027.08630056697</v>
      </c>
      <c r="D21" s="0" t="n">
        <f aca="false">D19*D20</f>
        <v>1023.92041574282</v>
      </c>
      <c r="E21" s="0" t="n">
        <f aca="false">E19*E20</f>
        <v>1006.48937363223</v>
      </c>
      <c r="F21" s="0" t="n">
        <f aca="false">F19*F20</f>
        <v>972.513535532161</v>
      </c>
      <c r="G21" s="0" t="n">
        <f aca="false">G19*G20</f>
        <v>937.607664805916</v>
      </c>
      <c r="H21" s="0" t="n">
        <f aca="false">H19*H20</f>
        <v>888.696080382558</v>
      </c>
      <c r="I21" s="0" t="n">
        <f aca="false">I19*I20</f>
        <v>840.428604567633</v>
      </c>
      <c r="J21" s="0" t="n">
        <f aca="false">J19*J20</f>
        <v>790.898577192294</v>
      </c>
      <c r="K21" s="0" t="n">
        <f aca="false">K19*K20</f>
        <v>747.36287569547</v>
      </c>
      <c r="L21" s="0" t="n">
        <f aca="false">L19*L20</f>
        <v>706.2236348315</v>
      </c>
    </row>
    <row r="23" customFormat="false" ht="15" hidden="false" customHeight="false" outlineLevel="0" collapsed="false">
      <c r="A23" s="0" t="s">
        <v>98</v>
      </c>
      <c r="C23" s="4" t="n">
        <f aca="false">Assumptions!C30</f>
        <v>0.65</v>
      </c>
      <c r="D23" s="4" t="n">
        <f aca="false">Assumptions!D30</f>
        <v>0.6</v>
      </c>
      <c r="E23" s="4" t="n">
        <f aca="false">Assumptions!E30</f>
        <v>0.55</v>
      </c>
      <c r="F23" s="4" t="n">
        <f aca="false">Assumptions!F30</f>
        <v>0.5</v>
      </c>
      <c r="G23" s="4" t="n">
        <f aca="false">Assumptions!G30</f>
        <v>0.5</v>
      </c>
      <c r="H23" s="4" t="n">
        <f aca="false">Assumptions!H30</f>
        <v>0.5</v>
      </c>
      <c r="I23" s="4" t="n">
        <f aca="false">Assumptions!I30</f>
        <v>0.5</v>
      </c>
      <c r="J23" s="4" t="n">
        <f aca="false">Assumptions!J30</f>
        <v>0.5</v>
      </c>
      <c r="K23" s="4" t="n">
        <f aca="false">Assumptions!K30</f>
        <v>0.5</v>
      </c>
      <c r="L23" s="4" t="n">
        <f aca="false">Assumptions!L30</f>
        <v>0.5</v>
      </c>
    </row>
    <row r="24" customFormat="false" ht="15" hidden="false" customHeight="false" outlineLevel="0" collapsed="false">
      <c r="A24" s="0" t="s">
        <v>123</v>
      </c>
      <c r="C24" s="0" t="n">
        <f aca="false">-C6*C23/100</f>
        <v>-132.665240565</v>
      </c>
      <c r="D24" s="0" t="n">
        <f aca="false">-D6*D23/100</f>
        <v>-129.8078353836</v>
      </c>
      <c r="E24" s="0" t="n">
        <f aca="false">-E6*E23/100</f>
        <v>-125.534994135557</v>
      </c>
      <c r="F24" s="0" t="n">
        <f aca="false">-F6*F23/100</f>
        <v>-119.828858038486</v>
      </c>
      <c r="G24" s="0" t="n">
        <f aca="false">-G6*G23/100</f>
        <v>-125.221156650218</v>
      </c>
      <c r="H24" s="0" t="n">
        <f aca="false">-H6*H23/100</f>
        <v>-130.230002916226</v>
      </c>
      <c r="I24" s="0" t="n">
        <f aca="false">-I6*I23/100</f>
        <v>-134.788053018294</v>
      </c>
      <c r="J24" s="0" t="n">
        <f aca="false">-J6*J23/100</f>
        <v>-138.831694608843</v>
      </c>
      <c r="K24" s="0" t="n">
        <f aca="false">-K6*K23/100</f>
        <v>-142.996645447108</v>
      </c>
      <c r="L24" s="0" t="n">
        <f aca="false">-L6*L23/100</f>
        <v>-147.286544810522</v>
      </c>
    </row>
    <row r="26" customFormat="false" ht="15" hidden="false" customHeight="false" outlineLevel="0" collapsed="false">
      <c r="A26" s="2" t="s">
        <v>124</v>
      </c>
    </row>
    <row r="27" customFormat="false" ht="15" hidden="false" customHeight="false" outlineLevel="0" collapsed="false">
      <c r="A27" s="0" t="s">
        <v>102</v>
      </c>
      <c r="B27" s="4" t="n">
        <f aca="false">Assumptions!$B$34</f>
        <v>9</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15</v>
      </c>
    </row>
    <row r="30" customFormat="false" ht="15" hidden="false" customHeight="false" outlineLevel="0" collapsed="false">
      <c r="A30" s="0" t="s">
        <v>125</v>
      </c>
      <c r="B30" s="0" t="n">
        <f aca="false">SUM(C21:L21)</f>
        <v>8941.22706294955</v>
      </c>
    </row>
    <row r="31" customFormat="false" ht="15" hidden="false" customHeight="false" outlineLevel="0" collapsed="false">
      <c r="A31" s="0" t="s">
        <v>126</v>
      </c>
      <c r="B31" s="0" t="n">
        <f aca="false">L19</f>
        <v>1671.8881792385</v>
      </c>
    </row>
    <row r="32" customFormat="false" ht="15" hidden="false" customHeight="false" outlineLevel="0" collapsed="false">
      <c r="A32" s="0" t="s">
        <v>127</v>
      </c>
      <c r="B32" s="0" t="n">
        <f aca="false">IF(B27&gt;B28,B31*(1+B28/100)/((B27-B28)/100),B31*B29)</f>
        <v>26364.390518761</v>
      </c>
    </row>
    <row r="33" customFormat="false" ht="15" hidden="false" customHeight="false" outlineLevel="0" collapsed="false">
      <c r="A33" s="0" t="s">
        <v>128</v>
      </c>
      <c r="B33" s="0" t="n">
        <f aca="false">B31*B29</f>
        <v>25078.3226885775</v>
      </c>
    </row>
    <row r="34" customFormat="false" ht="15" hidden="false" customHeight="false" outlineLevel="0" collapsed="false">
      <c r="A34" s="0" t="s">
        <v>129</v>
      </c>
      <c r="B34" s="0" t="n">
        <f aca="false">MAX(0,MIN(B32,B33))</f>
        <v>25078.3226885775</v>
      </c>
    </row>
    <row r="35" customFormat="false" ht="15" hidden="false" customHeight="false" outlineLevel="0" collapsed="false">
      <c r="A35" s="0" t="s">
        <v>130</v>
      </c>
      <c r="B35" s="0" t="n">
        <f aca="false">B34/(1+B27/100)^L4</f>
        <v>10593.3545224725</v>
      </c>
    </row>
    <row r="36" customFormat="false" ht="15" hidden="false" customHeight="false" outlineLevel="0" collapsed="false">
      <c r="A36" s="0" t="s">
        <v>131</v>
      </c>
      <c r="B36" s="0" t="n">
        <f aca="false">B30+B35</f>
        <v>19534.581585422</v>
      </c>
    </row>
    <row r="37" customFormat="false" ht="15" hidden="false" customHeight="false" outlineLevel="0" collapsed="false">
      <c r="A37" s="0" t="s">
        <v>132</v>
      </c>
      <c r="B37" s="0" t="n">
        <f aca="false">B36+Assumptions!$B$5-Assumptions!$B$4</f>
        <v>25312.634585422</v>
      </c>
    </row>
    <row r="38" customFormat="false" ht="15" hidden="false" customHeight="false" outlineLevel="0" collapsed="false">
      <c r="A38" s="0" t="s">
        <v>133</v>
      </c>
      <c r="B38" s="0" t="n">
        <f aca="false">B37/Assumptions!$B$3*Assumptions!$B$10</f>
        <v>9.49870517305535</v>
      </c>
    </row>
    <row r="39" customFormat="false" ht="15" hidden="false" customHeight="false" outlineLevel="0" collapsed="false">
      <c r="A39" s="0" t="s">
        <v>134</v>
      </c>
      <c r="B39" s="4" t="n">
        <f aca="false">B38/Assumptions!$B$2-1</f>
        <v>1.38062786292114</v>
      </c>
    </row>
    <row r="41" customFormat="false" ht="15" hidden="false" customHeight="false" outlineLevel="0" collapsed="false">
      <c r="A41" s="0" t="s">
        <v>135</v>
      </c>
      <c r="B41" s="0" t="n">
        <f aca="false">SUMPRODUCT(-C10:L10/(1+$B$27/100)^C4:L4)</f>
        <v>157.63708826523</v>
      </c>
    </row>
    <row r="42" customFormat="false" ht="15" hidden="false" customHeight="false" outlineLevel="0" collapsed="false">
      <c r="A42" s="0" t="s">
        <v>136</v>
      </c>
      <c r="B42" s="0" t="n">
        <f aca="false">IF(B27&gt;B28,-L10*(1+B28/100)/((B27-B28)/100),-L10*20)/(1+B27/100)^L4</f>
        <v>196.217889059224</v>
      </c>
    </row>
    <row r="43" customFormat="false" ht="15" hidden="false" customHeight="false" outlineLevel="0" collapsed="false">
      <c r="A43" s="0" t="s">
        <v>137</v>
      </c>
      <c r="B43" s="0" t="n">
        <f aca="false">(B37+B41+B42)/Assumptions!$B$3*Assumptions!$B$10</f>
        <v>9.63149119705772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13709.4830697557</v>
      </c>
    </row>
    <row r="47" customFormat="false" ht="15" hidden="false" customHeight="false" outlineLevel="0" collapsed="false">
      <c r="A47" s="0" t="s">
        <v>139</v>
      </c>
      <c r="B47" s="0" t="n">
        <f aca="false">(SUMPRODUCT(C19:L19/(1+B45/100)^C4:L4)+B46/(1+B45/100)^L4+Assumptions!$B$5-Assumptions!$B$4)/Assumptions!$B$3*Assumptions!$B$10</f>
        <v>6.01576558965374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8.5</v>
      </c>
      <c r="D5" s="4" t="n">
        <f aca="false">Assumptions!D41</f>
        <v>8</v>
      </c>
      <c r="E5" s="4" t="n">
        <f aca="false">Assumptions!E41</f>
        <v>7.5</v>
      </c>
      <c r="F5" s="4" t="n">
        <f aca="false">Assumptions!F41</f>
        <v>7</v>
      </c>
      <c r="G5" s="4" t="n">
        <f aca="false">Assumptions!G41</f>
        <v>6</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38</v>
      </c>
      <c r="B6" s="3" t="n">
        <v>19164.354</v>
      </c>
      <c r="C6" s="0" t="n">
        <f aca="false">B6*(1+C5/100)</f>
        <v>20793.32409</v>
      </c>
      <c r="D6" s="0" t="n">
        <f aca="false">C6*(1+D5/100)</f>
        <v>22456.7900172</v>
      </c>
      <c r="E6" s="0" t="n">
        <f aca="false">D6*(1+E5/100)</f>
        <v>24141.04926849</v>
      </c>
      <c r="F6" s="0" t="n">
        <f aca="false">E6*(1+F5/100)</f>
        <v>25830.9227172843</v>
      </c>
      <c r="G6" s="0" t="n">
        <f aca="false">F6*(1+G5/100)</f>
        <v>27380.7780803214</v>
      </c>
      <c r="H6" s="0" t="n">
        <f aca="false">G6*(1+H5/100)</f>
        <v>28749.8169843374</v>
      </c>
      <c r="I6" s="0" t="n">
        <f aca="false">H6*(1+I5/100)</f>
        <v>30043.5587486326</v>
      </c>
      <c r="J6" s="0" t="n">
        <f aca="false">I6*(1+J5/100)</f>
        <v>31245.3010985779</v>
      </c>
      <c r="K6" s="0" t="n">
        <f aca="false">J6*(1+K5/100)</f>
        <v>32338.8866370281</v>
      </c>
      <c r="L6" s="0" t="n">
        <f aca="false">K6*(1+L5/100)</f>
        <v>33309.053236139</v>
      </c>
    </row>
    <row r="7" customFormat="false" ht="15" hidden="false" customHeight="false" outlineLevel="0" collapsed="false">
      <c r="A7" s="0" t="s">
        <v>96</v>
      </c>
      <c r="C7" s="4" t="n">
        <f aca="false">Assumptions!C42</f>
        <v>9.2</v>
      </c>
      <c r="D7" s="4" t="n">
        <f aca="false">Assumptions!D42</f>
        <v>9.6</v>
      </c>
      <c r="E7" s="4" t="n">
        <f aca="false">Assumptions!E42</f>
        <v>10</v>
      </c>
      <c r="F7" s="4" t="n">
        <f aca="false">Assumptions!F42</f>
        <v>10.3</v>
      </c>
      <c r="G7" s="4" t="n">
        <f aca="false">Assumptions!G42</f>
        <v>10.5</v>
      </c>
      <c r="H7" s="4" t="n">
        <f aca="false">Assumptions!H42</f>
        <v>10.5</v>
      </c>
      <c r="I7" s="4" t="n">
        <f aca="false">Assumptions!I42</f>
        <v>10.5</v>
      </c>
      <c r="J7" s="4" t="n">
        <f aca="false">Assumptions!J42</f>
        <v>10.5</v>
      </c>
      <c r="K7" s="4" t="n">
        <f aca="false">Assumptions!K42</f>
        <v>10.5</v>
      </c>
      <c r="L7" s="4" t="n">
        <f aca="false">Assumptions!L42</f>
        <v>10.5</v>
      </c>
    </row>
    <row r="8" customFormat="false" ht="15" hidden="false" customHeight="false" outlineLevel="0" collapsed="false">
      <c r="A8" s="0" t="s">
        <v>44</v>
      </c>
      <c r="C8" s="0" t="n">
        <f aca="false">C6*C7/100</f>
        <v>1912.98581628</v>
      </c>
      <c r="D8" s="0" t="n">
        <f aca="false">D6*D7/100</f>
        <v>2155.8518416512</v>
      </c>
      <c r="E8" s="0" t="n">
        <f aca="false">E6*E7/100</f>
        <v>2414.104926849</v>
      </c>
      <c r="F8" s="0" t="n">
        <f aca="false">F6*F7/100</f>
        <v>2660.58503988028</v>
      </c>
      <c r="G8" s="0" t="n">
        <f aca="false">G6*G7/100</f>
        <v>2874.98169843374</v>
      </c>
      <c r="H8" s="0" t="n">
        <f aca="false">H6*H7/100</f>
        <v>3018.73078335543</v>
      </c>
      <c r="I8" s="0" t="n">
        <f aca="false">I6*I7/100</f>
        <v>3154.57366860642</v>
      </c>
      <c r="J8" s="0" t="n">
        <f aca="false">J6*J7/100</f>
        <v>3280.75661535068</v>
      </c>
      <c r="K8" s="0" t="n">
        <f aca="false">K6*K7/100</f>
        <v>3395.58309688795</v>
      </c>
      <c r="L8" s="0" t="n">
        <f aca="false">L6*L7/100</f>
        <v>3497.45058979459</v>
      </c>
    </row>
    <row r="9" customFormat="false" ht="15" hidden="false" customHeight="false" outlineLevel="0" collapsed="false">
      <c r="A9" s="0" t="s">
        <v>97</v>
      </c>
      <c r="C9" s="4" t="n">
        <f aca="false">Assumptions!C43</f>
        <v>0.1</v>
      </c>
      <c r="D9" s="4" t="n">
        <f aca="false">Assumptions!D43</f>
        <v>0.1</v>
      </c>
      <c r="E9" s="4" t="n">
        <f aca="false">Assumptions!E43</f>
        <v>0.1</v>
      </c>
      <c r="F9" s="4" t="n">
        <f aca="false">Assumptions!F43</f>
        <v>0.1</v>
      </c>
      <c r="G9" s="4" t="n">
        <f aca="false">Assumptions!G43</f>
        <v>0.1</v>
      </c>
      <c r="H9" s="4" t="n">
        <f aca="false">Assumptions!H43</f>
        <v>0.1</v>
      </c>
      <c r="I9" s="4" t="n">
        <f aca="false">Assumptions!I43</f>
        <v>0.1</v>
      </c>
      <c r="J9" s="4" t="n">
        <f aca="false">Assumptions!J43</f>
        <v>0.1</v>
      </c>
      <c r="K9" s="4" t="n">
        <f aca="false">Assumptions!K43</f>
        <v>0.1</v>
      </c>
      <c r="L9" s="4" t="n">
        <f aca="false">Assumptions!L43</f>
        <v>0.1</v>
      </c>
    </row>
    <row r="10" customFormat="false" ht="15" hidden="false" customHeight="false" outlineLevel="0" collapsed="false">
      <c r="A10" s="0" t="s">
        <v>112</v>
      </c>
      <c r="C10" s="0" t="n">
        <f aca="false">-C6*C9/100</f>
        <v>-20.79332409</v>
      </c>
      <c r="D10" s="0" t="n">
        <f aca="false">-D6*D9/100</f>
        <v>-22.4567900172</v>
      </c>
      <c r="E10" s="0" t="n">
        <f aca="false">-E6*E9/100</f>
        <v>-24.14104926849</v>
      </c>
      <c r="F10" s="0" t="n">
        <f aca="false">-F6*F9/100</f>
        <v>-25.8309227172843</v>
      </c>
      <c r="G10" s="0" t="n">
        <f aca="false">-G6*G9/100</f>
        <v>-27.3807780803214</v>
      </c>
      <c r="H10" s="0" t="n">
        <f aca="false">-H6*H9/100</f>
        <v>-28.7498169843374</v>
      </c>
      <c r="I10" s="0" t="n">
        <f aca="false">-I6*I9/100</f>
        <v>-30.0435587486326</v>
      </c>
      <c r="J10" s="0" t="n">
        <f aca="false">-J6*J9/100</f>
        <v>-31.2453010985779</v>
      </c>
      <c r="K10" s="0" t="n">
        <f aca="false">-K6*K9/100</f>
        <v>-32.3388866370281</v>
      </c>
      <c r="L10" s="0" t="n">
        <f aca="false">-L6*L9/100</f>
        <v>-33.309053236139</v>
      </c>
    </row>
    <row r="11" customFormat="false" ht="15" hidden="false" customHeight="false" outlineLevel="0" collapsed="false">
      <c r="A11" s="0" t="s">
        <v>113</v>
      </c>
      <c r="C11" s="0" t="n">
        <f aca="false">C8+C10+C24</f>
        <v>1757.035885605</v>
      </c>
      <c r="D11" s="0" t="n">
        <f aca="false">D8+D10+D24</f>
        <v>1998.6543115308</v>
      </c>
      <c r="E11" s="0" t="n">
        <f aca="false">E8+E10+E24</f>
        <v>2257.18810660381</v>
      </c>
      <c r="F11" s="0" t="n">
        <f aca="false">F8+F10+F24</f>
        <v>2505.59950357658</v>
      </c>
      <c r="G11" s="0" t="n">
        <f aca="false">G8+G10+G24</f>
        <v>2710.69702995181</v>
      </c>
      <c r="H11" s="0" t="n">
        <f aca="false">H8+H10+H24</f>
        <v>2846.23188144941</v>
      </c>
      <c r="I11" s="0" t="n">
        <f aca="false">I8+I10+I24</f>
        <v>2974.31231611463</v>
      </c>
      <c r="J11" s="0" t="n">
        <f aca="false">J8+J10+J24</f>
        <v>3093.28480875921</v>
      </c>
      <c r="K11" s="0" t="n">
        <f aca="false">K8+K10+K24</f>
        <v>3201.54977706579</v>
      </c>
      <c r="L11" s="0" t="n">
        <f aca="false">L8+L10+L24</f>
        <v>3297.59627037776</v>
      </c>
    </row>
    <row r="12" customFormat="false" ht="15" hidden="false" customHeight="false" outlineLevel="0" collapsed="false">
      <c r="A12" s="0" t="s">
        <v>114</v>
      </c>
      <c r="C12" s="4" t="n">
        <f aca="false">-C6*Assumptions!C45/100</f>
        <v>-259.916551125</v>
      </c>
      <c r="D12" s="4" t="n">
        <f aca="false">-D6*Assumptions!D45/100</f>
        <v>-269.4814802064</v>
      </c>
      <c r="E12" s="4" t="n">
        <f aca="false">-E6*Assumptions!E45/100</f>
        <v>-277.622066587635</v>
      </c>
      <c r="F12" s="4" t="n">
        <f aca="false">-F6*Assumptions!F45/100</f>
        <v>-284.140149890127</v>
      </c>
      <c r="G12" s="4" t="n">
        <f aca="false">-G6*Assumptions!G45/100</f>
        <v>-287.498169843374</v>
      </c>
      <c r="H12" s="4" t="n">
        <f aca="false">-H6*Assumptions!H45/100</f>
        <v>-287.498169843374</v>
      </c>
      <c r="I12" s="4" t="n">
        <f aca="false">-I6*Assumptions!I45/100</f>
        <v>-300.435587486326</v>
      </c>
      <c r="J12" s="4" t="n">
        <f aca="false">-J6*Assumptions!J45/100</f>
        <v>-312.453010985779</v>
      </c>
      <c r="K12" s="4" t="n">
        <f aca="false">-K6*Assumptions!K45/100</f>
        <v>-323.388866370281</v>
      </c>
      <c r="L12" s="4" t="n">
        <f aca="false">-L6*Assumptions!L45/100</f>
        <v>-333.09053236139</v>
      </c>
    </row>
    <row r="13" customFormat="false" ht="15" hidden="false" customHeight="false" outlineLevel="0" collapsed="false">
      <c r="A13" s="0" t="s">
        <v>115</v>
      </c>
      <c r="C13" s="0" t="n">
        <f aca="false">C11+C12</f>
        <v>1497.11933448</v>
      </c>
      <c r="D13" s="0" t="n">
        <f aca="false">D11+D12</f>
        <v>1729.1728313244</v>
      </c>
      <c r="E13" s="0" t="n">
        <f aca="false">E11+E12</f>
        <v>1979.56604001618</v>
      </c>
      <c r="F13" s="0" t="n">
        <f aca="false">F11+F12</f>
        <v>2221.45935368645</v>
      </c>
      <c r="G13" s="0" t="n">
        <f aca="false">G11+G12</f>
        <v>2423.19886010844</v>
      </c>
      <c r="H13" s="0" t="n">
        <f aca="false">H11+H12</f>
        <v>2558.73371160603</v>
      </c>
      <c r="I13" s="0" t="n">
        <f aca="false">I11+I12</f>
        <v>2673.8767286283</v>
      </c>
      <c r="J13" s="0" t="n">
        <f aca="false">J11+J12</f>
        <v>2780.83179777344</v>
      </c>
      <c r="K13" s="0" t="n">
        <f aca="false">K11+K12</f>
        <v>2878.1609106955</v>
      </c>
      <c r="L13" s="0" t="n">
        <f aca="false">L11+L12</f>
        <v>2964.50573801637</v>
      </c>
    </row>
    <row r="14" customFormat="false" ht="15" hidden="false" customHeight="false" outlineLevel="0" collapsed="false">
      <c r="A14" s="0" t="s">
        <v>101</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116</v>
      </c>
      <c r="C15" s="0" t="n">
        <f aca="false">C13-MAX(0,C13)*C14/100</f>
        <v>1077.9259208256</v>
      </c>
      <c r="D15" s="0" t="n">
        <f aca="false">D13-MAX(0,D13)*D14/100</f>
        <v>1245.00443855357</v>
      </c>
      <c r="E15" s="0" t="n">
        <f aca="false">E13-MAX(0,E13)*E14/100</f>
        <v>1425.28754881165</v>
      </c>
      <c r="F15" s="0" t="n">
        <f aca="false">F13-MAX(0,F13)*F14/100</f>
        <v>1599.45073465424</v>
      </c>
      <c r="G15" s="0" t="n">
        <f aca="false">G13-MAX(0,G13)*G14/100</f>
        <v>1744.70317927808</v>
      </c>
      <c r="H15" s="0" t="n">
        <f aca="false">H13-MAX(0,H13)*H14/100</f>
        <v>1842.28827235634</v>
      </c>
      <c r="I15" s="0" t="n">
        <f aca="false">I13-MAX(0,I13)*I14/100</f>
        <v>1925.19124461238</v>
      </c>
      <c r="J15" s="0" t="n">
        <f aca="false">J13-MAX(0,J13)*J14/100</f>
        <v>2002.19889439687</v>
      </c>
      <c r="K15" s="0" t="n">
        <f aca="false">K13-MAX(0,K13)*K14/100</f>
        <v>2072.27585570076</v>
      </c>
      <c r="L15" s="0" t="n">
        <f aca="false">L13-MAX(0,L13)*L14/100</f>
        <v>2134.44413137179</v>
      </c>
    </row>
    <row r="16" customFormat="false" ht="15" hidden="false" customHeight="false" outlineLevel="0" collapsed="false">
      <c r="A16" s="0" t="s">
        <v>117</v>
      </c>
      <c r="C16" s="0" t="n">
        <f aca="false">-C12</f>
        <v>259.916551125</v>
      </c>
      <c r="D16" s="0" t="n">
        <f aca="false">-D12</f>
        <v>269.4814802064</v>
      </c>
      <c r="E16" s="0" t="n">
        <f aca="false">-E12</f>
        <v>277.622066587635</v>
      </c>
      <c r="F16" s="0" t="n">
        <f aca="false">-F12</f>
        <v>284.140149890127</v>
      </c>
      <c r="G16" s="0" t="n">
        <f aca="false">-G12</f>
        <v>287.498169843374</v>
      </c>
      <c r="H16" s="0" t="n">
        <f aca="false">-H12</f>
        <v>287.498169843374</v>
      </c>
      <c r="I16" s="0" t="n">
        <f aca="false">-I12</f>
        <v>300.435587486326</v>
      </c>
      <c r="J16" s="0" t="n">
        <f aca="false">-J12</f>
        <v>312.453010985779</v>
      </c>
      <c r="K16" s="0" t="n">
        <f aca="false">-K12</f>
        <v>323.388866370281</v>
      </c>
      <c r="L16" s="0" t="n">
        <f aca="false">-L12</f>
        <v>333.09053236139</v>
      </c>
    </row>
    <row r="17" customFormat="false" ht="15" hidden="false" customHeight="false" outlineLevel="0" collapsed="false">
      <c r="A17" s="0" t="s">
        <v>118</v>
      </c>
      <c r="C17" s="4" t="n">
        <f aca="false">-C6*Assumptions!C46/100</f>
        <v>-187.13991681</v>
      </c>
      <c r="D17" s="4" t="n">
        <f aca="false">-D6*Assumptions!D46/100</f>
        <v>-202.1111101548</v>
      </c>
      <c r="E17" s="4" t="n">
        <f aca="false">-E6*Assumptions!E46/100</f>
        <v>-229.339968050655</v>
      </c>
      <c r="F17" s="4" t="n">
        <f aca="false">-F6*Assumptions!F46/100</f>
        <v>-258.309227172843</v>
      </c>
      <c r="G17" s="4" t="n">
        <f aca="false">-G6*Assumptions!G46/100</f>
        <v>-273.807780803214</v>
      </c>
      <c r="H17" s="4" t="n">
        <f aca="false">-H6*Assumptions!H46/100</f>
        <v>-287.498169843374</v>
      </c>
      <c r="I17" s="4" t="n">
        <f aca="false">-I6*Assumptions!I46/100</f>
        <v>-300.435587486326</v>
      </c>
      <c r="J17" s="4" t="n">
        <f aca="false">-J6*Assumptions!J46/100</f>
        <v>-312.453010985779</v>
      </c>
      <c r="K17" s="4" t="n">
        <f aca="false">-K6*Assumptions!K46/100</f>
        <v>-323.388866370281</v>
      </c>
      <c r="L17" s="4" t="n">
        <f aca="false">-L6*Assumptions!L46/100</f>
        <v>-333.09053236139</v>
      </c>
    </row>
    <row r="18" customFormat="false" ht="15" hidden="false" customHeight="false" outlineLevel="0" collapsed="false">
      <c r="A18" s="0" t="s">
        <v>119</v>
      </c>
      <c r="C18" s="4" t="n">
        <f aca="false">(C6-B6)*Assumptions!$B$51/100</f>
        <v>162.897009</v>
      </c>
      <c r="D18" s="4" t="n">
        <f aca="false">(D6-C6)*Assumptions!$B$51/100</f>
        <v>166.34659272</v>
      </c>
      <c r="E18" s="4" t="n">
        <f aca="false">(E6-D6)*Assumptions!$B$51/100</f>
        <v>168.425925129</v>
      </c>
      <c r="F18" s="4" t="n">
        <f aca="false">(F6-E6)*Assumptions!$B$51/100</f>
        <v>168.98734487943</v>
      </c>
      <c r="G18" s="4" t="n">
        <f aca="false">(G6-F6)*Assumptions!$B$51/100</f>
        <v>154.985536303706</v>
      </c>
      <c r="H18" s="4" t="n">
        <f aca="false">(H6-G6)*Assumptions!$B$51/100</f>
        <v>136.903890401607</v>
      </c>
      <c r="I18" s="4" t="n">
        <f aca="false">(I6-H6)*Assumptions!$B$51/100</f>
        <v>129.374176429518</v>
      </c>
      <c r="J18" s="4" t="n">
        <f aca="false">(J6-I6)*Assumptions!$B$51/100</f>
        <v>120.174234994531</v>
      </c>
      <c r="K18" s="4" t="n">
        <f aca="false">(K6-J6)*Assumptions!$B$51/100</f>
        <v>109.358553845022</v>
      </c>
      <c r="L18" s="4" t="n">
        <f aca="false">(L6-K6)*Assumptions!$B$51/100</f>
        <v>97.0166599110846</v>
      </c>
    </row>
    <row r="19" customFormat="false" ht="15" hidden="false" customHeight="false" outlineLevel="0" collapsed="false">
      <c r="A19" s="0" t="s">
        <v>120</v>
      </c>
      <c r="C19" s="0" t="n">
        <f aca="false">C15+C16+C17+C18</f>
        <v>1313.5995641406</v>
      </c>
      <c r="D19" s="0" t="n">
        <f aca="false">D15+D16+D17+D18</f>
        <v>1478.72140132517</v>
      </c>
      <c r="E19" s="0" t="n">
        <f aca="false">E15+E16+E17+E18</f>
        <v>1641.99557247763</v>
      </c>
      <c r="F19" s="0" t="n">
        <f aca="false">F15+F16+F17+F18</f>
        <v>1794.26900225096</v>
      </c>
      <c r="G19" s="0" t="n">
        <f aca="false">G15+G16+G17+G18</f>
        <v>1913.37910462194</v>
      </c>
      <c r="H19" s="0" t="n">
        <f aca="false">H15+H16+H17+H18</f>
        <v>1979.19216275795</v>
      </c>
      <c r="I19" s="0" t="n">
        <f aca="false">I15+I16+I17+I18</f>
        <v>2054.5654210419</v>
      </c>
      <c r="J19" s="0" t="n">
        <f aca="false">J15+J16+J17+J18</f>
        <v>2122.3731293914</v>
      </c>
      <c r="K19" s="0" t="n">
        <f aca="false">K15+K16+K17+K18</f>
        <v>2181.63440954579</v>
      </c>
      <c r="L19" s="0" t="n">
        <f aca="false">L15+L16+L17+L18</f>
        <v>2231.46079128287</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1205.13721480789</v>
      </c>
      <c r="D21" s="0" t="n">
        <f aca="false">D19*D20</f>
        <v>1244.61021911049</v>
      </c>
      <c r="E21" s="0" t="n">
        <f aca="false">E19*E20</f>
        <v>1267.92185540063</v>
      </c>
      <c r="F21" s="0" t="n">
        <f aca="false">F19*F20</f>
        <v>1271.10539662737</v>
      </c>
      <c r="G21" s="0" t="n">
        <f aca="false">G19*G20</f>
        <v>1243.56513398123</v>
      </c>
      <c r="H21" s="0" t="n">
        <f aca="false">H19*H20</f>
        <v>1180.12762026798</v>
      </c>
      <c r="I21" s="0" t="n">
        <f aca="false">I19*I20</f>
        <v>1123.91764358085</v>
      </c>
      <c r="J21" s="0" t="n">
        <f aca="false">J19*J20</f>
        <v>1065.14750652511</v>
      </c>
      <c r="K21" s="0" t="n">
        <f aca="false">K19*K20</f>
        <v>1004.48508690352</v>
      </c>
      <c r="L21" s="0" t="n">
        <f aca="false">L19*L20</f>
        <v>942.59315340189</v>
      </c>
    </row>
    <row r="23" customFormat="false" ht="15" hidden="false" customHeight="false" outlineLevel="0" collapsed="false">
      <c r="A23" s="0" t="s">
        <v>98</v>
      </c>
      <c r="C23" s="4" t="n">
        <f aca="false">Assumptions!C44</f>
        <v>0.65</v>
      </c>
      <c r="D23" s="4" t="n">
        <f aca="false">Assumptions!D44</f>
        <v>0.6</v>
      </c>
      <c r="E23" s="4" t="n">
        <f aca="false">Assumptions!E44</f>
        <v>0.55</v>
      </c>
      <c r="F23" s="4" t="n">
        <f aca="false">Assumptions!F44</f>
        <v>0.5</v>
      </c>
      <c r="G23" s="4" t="n">
        <f aca="false">Assumptions!G44</f>
        <v>0.5</v>
      </c>
      <c r="H23" s="4" t="n">
        <f aca="false">Assumptions!H44</f>
        <v>0.5</v>
      </c>
      <c r="I23" s="4" t="n">
        <f aca="false">Assumptions!I44</f>
        <v>0.5</v>
      </c>
      <c r="J23" s="4" t="n">
        <f aca="false">Assumptions!J44</f>
        <v>0.5</v>
      </c>
      <c r="K23" s="4" t="n">
        <f aca="false">Assumptions!K44</f>
        <v>0.5</v>
      </c>
      <c r="L23" s="4" t="n">
        <f aca="false">Assumptions!L44</f>
        <v>0.5</v>
      </c>
    </row>
    <row r="24" customFormat="false" ht="15" hidden="false" customHeight="false" outlineLevel="0" collapsed="false">
      <c r="A24" s="0" t="s">
        <v>123</v>
      </c>
      <c r="C24" s="0" t="n">
        <f aca="false">-C6*C23/100</f>
        <v>-135.156606585</v>
      </c>
      <c r="D24" s="0" t="n">
        <f aca="false">-D6*D23/100</f>
        <v>-134.7407401032</v>
      </c>
      <c r="E24" s="0" t="n">
        <f aca="false">-E6*E23/100</f>
        <v>-132.775770976695</v>
      </c>
      <c r="F24" s="0" t="n">
        <f aca="false">-F6*F23/100</f>
        <v>-129.154613586422</v>
      </c>
      <c r="G24" s="0" t="n">
        <f aca="false">-G6*G23/100</f>
        <v>-136.903890401607</v>
      </c>
      <c r="H24" s="0" t="n">
        <f aca="false">-H6*H23/100</f>
        <v>-143.749084921687</v>
      </c>
      <c r="I24" s="0" t="n">
        <f aca="false">-I6*I23/100</f>
        <v>-150.217793743163</v>
      </c>
      <c r="J24" s="0" t="n">
        <f aca="false">-J6*J23/100</f>
        <v>-156.22650549289</v>
      </c>
      <c r="K24" s="0" t="n">
        <f aca="false">-K6*K23/100</f>
        <v>-161.694433185141</v>
      </c>
      <c r="L24" s="0" t="n">
        <f aca="false">-L6*L23/100</f>
        <v>-166.545266180695</v>
      </c>
    </row>
    <row r="26" customFormat="false" ht="15" hidden="false" customHeight="false" outlineLevel="0" collapsed="false">
      <c r="A26" s="2" t="s">
        <v>124</v>
      </c>
    </row>
    <row r="27" customFormat="false" ht="15" hidden="false" customHeight="false" outlineLevel="0" collapsed="false">
      <c r="A27" s="0" t="s">
        <v>102</v>
      </c>
      <c r="B27" s="4" t="n">
        <f aca="false">Assumptions!$B$48</f>
        <v>9</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15</v>
      </c>
    </row>
    <row r="30" customFormat="false" ht="15" hidden="false" customHeight="false" outlineLevel="0" collapsed="false">
      <c r="A30" s="0" t="s">
        <v>125</v>
      </c>
      <c r="B30" s="0" t="n">
        <f aca="false">SUM(C21:L21)</f>
        <v>11548.610830607</v>
      </c>
    </row>
    <row r="31" customFormat="false" ht="15" hidden="false" customHeight="false" outlineLevel="0" collapsed="false">
      <c r="A31" s="0" t="s">
        <v>126</v>
      </c>
      <c r="B31" s="0" t="n">
        <f aca="false">L19</f>
        <v>2231.46079128287</v>
      </c>
    </row>
    <row r="32" customFormat="false" ht="15" hidden="false" customHeight="false" outlineLevel="0" collapsed="false">
      <c r="A32" s="0" t="s">
        <v>127</v>
      </c>
      <c r="B32" s="0" t="n">
        <f aca="false">IF(B27&gt;B28,B31*(1+B28/100)/((B27-B28)/100),B31*B29)</f>
        <v>38306.7435836893</v>
      </c>
    </row>
    <row r="33" customFormat="false" ht="15" hidden="false" customHeight="false" outlineLevel="0" collapsed="false">
      <c r="A33" s="0" t="s">
        <v>128</v>
      </c>
      <c r="B33" s="0" t="n">
        <f aca="false">B31*B29</f>
        <v>33471.9118692431</v>
      </c>
    </row>
    <row r="34" customFormat="false" ht="15" hidden="false" customHeight="false" outlineLevel="0" collapsed="false">
      <c r="A34" s="0" t="s">
        <v>129</v>
      </c>
      <c r="B34" s="0" t="n">
        <f aca="false">MAX(0,MIN(B32,B33))</f>
        <v>33471.9118692431</v>
      </c>
    </row>
    <row r="35" customFormat="false" ht="15" hidden="false" customHeight="false" outlineLevel="0" collapsed="false">
      <c r="A35" s="0" t="s">
        <v>130</v>
      </c>
      <c r="B35" s="0" t="n">
        <f aca="false">B34/(1+B27/100)^L4</f>
        <v>14138.8973010283</v>
      </c>
    </row>
    <row r="36" customFormat="false" ht="15" hidden="false" customHeight="false" outlineLevel="0" collapsed="false">
      <c r="A36" s="0" t="s">
        <v>131</v>
      </c>
      <c r="B36" s="0" t="n">
        <f aca="false">B30+B35</f>
        <v>25687.5081316353</v>
      </c>
    </row>
    <row r="37" customFormat="false" ht="15" hidden="false" customHeight="false" outlineLevel="0" collapsed="false">
      <c r="A37" s="0" t="s">
        <v>132</v>
      </c>
      <c r="B37" s="0" t="n">
        <f aca="false">B36+Assumptions!$B$5-Assumptions!$B$4</f>
        <v>31465.5611316353</v>
      </c>
    </row>
    <row r="38" customFormat="false" ht="15" hidden="false" customHeight="false" outlineLevel="0" collapsed="false">
      <c r="A38" s="0" t="s">
        <v>133</v>
      </c>
      <c r="B38" s="0" t="n">
        <f aca="false">B37/Assumptions!$B$3*Assumptions!$B$10</f>
        <v>11.8076246581731</v>
      </c>
    </row>
    <row r="39" customFormat="false" ht="15" hidden="false" customHeight="false" outlineLevel="0" collapsed="false">
      <c r="A39" s="0" t="s">
        <v>134</v>
      </c>
      <c r="B39" s="4" t="n">
        <f aca="false">B38/Assumptions!$B$2-1</f>
        <v>1.95930442560728</v>
      </c>
    </row>
    <row r="41" customFormat="false" ht="15" hidden="false" customHeight="false" outlineLevel="0" collapsed="false">
      <c r="A41" s="0" t="s">
        <v>135</v>
      </c>
      <c r="B41" s="0" t="n">
        <f aca="false">SUMPRODUCT(-C10:L10/(1+$B$27/100)^C4:L4)</f>
        <v>170.932319194177</v>
      </c>
    </row>
    <row r="42" customFormat="false" ht="15" hidden="false" customHeight="false" outlineLevel="0" collapsed="false">
      <c r="A42" s="0" t="s">
        <v>136</v>
      </c>
      <c r="B42" s="0" t="n">
        <f aca="false">IF(B27&gt;B28,-L10*(1+B28/100)/((B27-B28)/100),-L10*20)/(1+B27/100)^L4</f>
        <v>241.536786267353</v>
      </c>
    </row>
    <row r="43" customFormat="false" ht="15" hidden="false" customHeight="false" outlineLevel="0" collapsed="false">
      <c r="A43" s="0" t="s">
        <v>137</v>
      </c>
      <c r="B43" s="0" t="n">
        <f aca="false">(B37+B41+B42)/Assumptions!$B$3*Assumptions!$B$10</f>
        <v>11.9624059557322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19153.3717918446</v>
      </c>
    </row>
    <row r="47" customFormat="false" ht="15" hidden="false" customHeight="false" outlineLevel="0" collapsed="false">
      <c r="A47" s="0" t="s">
        <v>139</v>
      </c>
      <c r="B47" s="0" t="n">
        <f aca="false">(SUMPRODUCT(C19:L19/(1+B45/100)^C4:L4)+B46/(1+B45/100)^L4+Assumptions!$B$5-Assumptions!$B$4)/Assumptions!$B$3*Assumptions!$B$10</f>
        <v>7.25115914010206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6.52367307890241</v>
      </c>
      <c r="C4" s="0" t="n">
        <f aca="false">B4/Assumptions!$B$2-1</f>
        <v>0.635005784186067</v>
      </c>
      <c r="D4" s="4" t="n">
        <f aca="false">Assumptions!$B$24</f>
        <v>0.25</v>
      </c>
      <c r="E4" s="4" t="n">
        <f aca="false">DCF_Bear!$B$43</f>
        <v>6.63196202727407</v>
      </c>
      <c r="F4" s="4" t="n">
        <f aca="false">DCF_Bear!$B$47</f>
        <v>4.55335301082789</v>
      </c>
    </row>
    <row r="5" customFormat="false" ht="15" hidden="false" customHeight="false" outlineLevel="0" collapsed="false">
      <c r="A5" s="0" t="s">
        <v>148</v>
      </c>
      <c r="B5" s="4" t="n">
        <f aca="false">DCF_Base!$B$38</f>
        <v>9.49870517305535</v>
      </c>
      <c r="C5" s="0" t="n">
        <f aca="false">B5/Assumptions!$B$2-1</f>
        <v>1.38062786292114</v>
      </c>
      <c r="D5" s="4" t="n">
        <f aca="false">Assumptions!$B$38</f>
        <v>0.5</v>
      </c>
      <c r="E5" s="4" t="n">
        <f aca="false">DCF_Base!$B$43</f>
        <v>9.63149119705772</v>
      </c>
      <c r="F5" s="4" t="n">
        <f aca="false">DCF_Base!$B$47</f>
        <v>6.01576558965374</v>
      </c>
    </row>
    <row r="6" customFormat="false" ht="15" hidden="false" customHeight="false" outlineLevel="0" collapsed="false">
      <c r="A6" s="0" t="s">
        <v>149</v>
      </c>
      <c r="B6" s="4" t="n">
        <f aca="false">DCF_Bull!$B$38</f>
        <v>11.8076246581731</v>
      </c>
      <c r="C6" s="0" t="n">
        <f aca="false">B6/Assumptions!$B$2-1</f>
        <v>1.95930442560728</v>
      </c>
      <c r="D6" s="4" t="n">
        <f aca="false">Assumptions!$B$52</f>
        <v>0.25</v>
      </c>
      <c r="E6" s="4" t="n">
        <f aca="false">DCF_Bull!$B$43</f>
        <v>11.9624059557322</v>
      </c>
      <c r="F6" s="4" t="n">
        <f aca="false">DCF_Bull!$B$47</f>
        <v>7.25115914010206</v>
      </c>
    </row>
    <row r="8" customFormat="false" ht="15" hidden="false" customHeight="false" outlineLevel="0" collapsed="false">
      <c r="A8" s="0" t="s">
        <v>150</v>
      </c>
      <c r="B8" s="0" t="n">
        <f aca="false">SUMPRODUCT(B4:B6,D4:D6)</f>
        <v>9.33217702079654</v>
      </c>
    </row>
    <row r="9" customFormat="false" ht="15" hidden="false" customHeight="false" outlineLevel="0" collapsed="false">
      <c r="A9" s="0" t="s">
        <v>151</v>
      </c>
      <c r="B9" s="0" t="n">
        <f aca="false">SUMPRODUCT(E4:E6,D4:D6)</f>
        <v>9.46433759428044</v>
      </c>
    </row>
    <row r="10" customFormat="false" ht="15" hidden="false" customHeight="false" outlineLevel="0" collapsed="false">
      <c r="A10" s="0" t="s">
        <v>152</v>
      </c>
      <c r="B10" s="0" t="n">
        <f aca="false">1-Assumptions!$B$2/B8</f>
        <v>0.572447030193665</v>
      </c>
    </row>
    <row r="11" customFormat="false" ht="15" hidden="false" customHeight="false" outlineLevel="0" collapsed="false">
      <c r="A11" s="0" t="s">
        <v>153</v>
      </c>
      <c r="B11" s="0" t="n">
        <f aca="false">IF(ABS(B9-B8)&gt;0.01*ABS(B8),(Assumptions!$B$2-B8)/(B9-B8)*100,"n/a")</f>
        <v>-4042.18662190317</v>
      </c>
    </row>
    <row r="12" customFormat="false" ht="15" hidden="false" customHeight="false" outlineLevel="0" collapsed="false">
      <c r="A12" s="0" t="s">
        <v>154</v>
      </c>
      <c r="B12" s="0" t="n">
        <f aca="false">SUMPRODUCT(F4:F6,D4:D6)</f>
        <v>5.95901083255936</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9.49870517305535</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8.67629859913597</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7.89233143837813</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7.27410163128619</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6.01576558965374</v>
      </c>
      <c r="C19" s="3" t="n">
        <v>15</v>
      </c>
    </row>
    <row r="21" customFormat="false" ht="15" hidden="false" customHeight="false" outlineLevel="0" collapsed="false">
      <c r="A21" s="2" t="s">
        <v>162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10.6479463439857</v>
      </c>
      <c r="C23" s="0" t="n">
        <f aca="false">(SUMPRODUCT(DCF_Base!$C$19:$L$19/(1+$A$23/100)^DCF_Base!$C$4:$L$4)+MAX(0,MIN(IF($A$23&gt;$C$22,DCF_Base!$L$19*(1+$C$22/100)/(($A$23-$C$22)/100),DCF_Base!$L$19*DCF_Base!$B$29),DCF_Base!$L$19*DCF_Base!$B$29))/(1+$A$23/100)^DCF_Base!$L$4+Assumptions!$B$5-Assumptions!$B$4)/Assumptions!$B$3*Assumptions!$B$10</f>
        <v>10.6479463439857</v>
      </c>
      <c r="D23" s="0" t="n">
        <f aca="false">(SUMPRODUCT(DCF_Base!$C$19:$L$19/(1+$A$23/100)^DCF_Base!$C$4:$L$4)+MAX(0,MIN(IF($A$23&gt;$D$22,DCF_Base!$L$19*(1+$D$22/100)/(($A$23-$D$22)/100),DCF_Base!$L$19*DCF_Base!$B$29),DCF_Base!$L$19*DCF_Base!$B$29))/(1+$A$23/100)^DCF_Base!$L$4+Assumptions!$B$5-Assumptions!$B$4)/Assumptions!$B$3*Assumptions!$B$10</f>
        <v>10.6479463439857</v>
      </c>
      <c r="E23" s="0" t="n">
        <f aca="false">(SUMPRODUCT(DCF_Base!$C$19:$L$19/(1+$A$23/100)^DCF_Base!$C$4:$L$4)+MAX(0,MIN(IF($A$23&gt;$E$22,DCF_Base!$L$19*(1+$E$22/100)/(($A$23-$E$22)/100),DCF_Base!$L$19*DCF_Base!$B$29),DCF_Base!$L$19*DCF_Base!$B$29))/(1+$A$23/100)^DCF_Base!$L$4+Assumptions!$B$5-Assumptions!$B$4)/Assumptions!$B$3*Assumptions!$B$10</f>
        <v>10.6479463439857</v>
      </c>
      <c r="F23" s="0" t="n">
        <f aca="false">(SUMPRODUCT(DCF_Base!$C$19:$L$19/(1+$A$23/100)^DCF_Base!$C$4:$L$4)+MAX(0,MIN(IF($A$23&gt;$F$22,DCF_Base!$L$19*(1+$F$22/100)/(($A$23-$F$22)/100),DCF_Base!$L$19*DCF_Base!$B$29),DCF_Base!$L$19*DCF_Base!$B$29))/(1+$A$23/100)^DCF_Base!$L$4+Assumptions!$B$5-Assumptions!$B$4)/Assumptions!$B$3*Assumptions!$B$10</f>
        <v>10.6479463439857</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10.0466376744846</v>
      </c>
      <c r="C24" s="0" t="n">
        <f aca="false">(SUMPRODUCT(DCF_Base!$C$19:$L$19/(1+$A$24/100)^DCF_Base!$C$4:$L$4)+MAX(0,MIN(IF($A$24&gt;$C$22,DCF_Base!$L$19*(1+$C$22/100)/(($A$24-$C$22)/100),DCF_Base!$L$19*DCF_Base!$B$29),DCF_Base!$L$19*DCF_Base!$B$29))/(1+$A$24/100)^DCF_Base!$L$4+Assumptions!$B$5-Assumptions!$B$4)/Assumptions!$B$3*Assumptions!$B$10</f>
        <v>10.0466376744846</v>
      </c>
      <c r="D24" s="0" t="n">
        <f aca="false">(SUMPRODUCT(DCF_Base!$C$19:$L$19/(1+$A$24/100)^DCF_Base!$C$4:$L$4)+MAX(0,MIN(IF($A$24&gt;$D$22,DCF_Base!$L$19*(1+$D$22/100)/(($A$24-$D$22)/100),DCF_Base!$L$19*DCF_Base!$B$29),DCF_Base!$L$19*DCF_Base!$B$29))/(1+$A$24/100)^DCF_Base!$L$4+Assumptions!$B$5-Assumptions!$B$4)/Assumptions!$B$3*Assumptions!$B$10</f>
        <v>10.0466376744846</v>
      </c>
      <c r="E24" s="0" t="n">
        <f aca="false">(SUMPRODUCT(DCF_Base!$C$19:$L$19/(1+$A$24/100)^DCF_Base!$C$4:$L$4)+MAX(0,MIN(IF($A$24&gt;$E$22,DCF_Base!$L$19*(1+$E$22/100)/(($A$24-$E$22)/100),DCF_Base!$L$19*DCF_Base!$B$29),DCF_Base!$L$19*DCF_Base!$B$29))/(1+$A$24/100)^DCF_Base!$L$4+Assumptions!$B$5-Assumptions!$B$4)/Assumptions!$B$3*Assumptions!$B$10</f>
        <v>10.0466376744846</v>
      </c>
      <c r="F24" s="0" t="n">
        <f aca="false">(SUMPRODUCT(DCF_Base!$C$19:$L$19/(1+$A$24/100)^DCF_Base!$C$4:$L$4)+MAX(0,MIN(IF($A$24&gt;$F$22,DCF_Base!$L$19*(1+$F$22/100)/(($A$24-$F$22)/100),DCF_Base!$L$19*DCF_Base!$B$29),DCF_Base!$L$19*DCF_Base!$B$29))/(1+$A$24/100)^DCF_Base!$L$4+Assumptions!$B$5-Assumptions!$B$4)/Assumptions!$B$3*Assumptions!$B$10</f>
        <v>10.0466376744846</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9.1100175355065</v>
      </c>
      <c r="C25" s="0" t="n">
        <f aca="false">(SUMPRODUCT(DCF_Base!$C$19:$L$19/(1+$A$25/100)^DCF_Base!$C$4:$L$4)+MAX(0,MIN(IF($A$25&gt;$C$22,DCF_Base!$L$19*(1+$C$22/100)/(($A$25-$C$22)/100),DCF_Base!$L$19*DCF_Base!$B$29),DCF_Base!$L$19*DCF_Base!$B$29))/(1+$A$25/100)^DCF_Base!$L$4+Assumptions!$B$5-Assumptions!$B$4)/Assumptions!$B$3*Assumptions!$B$10</f>
        <v>9.38512761662874</v>
      </c>
      <c r="D25" s="0" t="n">
        <f aca="false">(SUMPRODUCT(DCF_Base!$C$19:$L$19/(1+$A$25/100)^DCF_Base!$C$4:$L$4)+MAX(0,MIN(IF($A$25&gt;$D$22,DCF_Base!$L$19*(1+$D$22/100)/(($A$25-$D$22)/100),DCF_Base!$L$19*DCF_Base!$B$29),DCF_Base!$L$19*DCF_Base!$B$29))/(1+$A$25/100)^DCF_Base!$L$4+Assumptions!$B$5-Assumptions!$B$4)/Assumptions!$B$3*Assumptions!$B$10</f>
        <v>9.49870517305535</v>
      </c>
      <c r="E25" s="0" t="n">
        <f aca="false">(SUMPRODUCT(DCF_Base!$C$19:$L$19/(1+$A$25/100)^DCF_Base!$C$4:$L$4)+MAX(0,MIN(IF($A$25&gt;$E$22,DCF_Base!$L$19*(1+$E$22/100)/(($A$25-$E$22)/100),DCF_Base!$L$19*DCF_Base!$B$29),DCF_Base!$L$19*DCF_Base!$B$29))/(1+$A$25/100)^DCF_Base!$L$4+Assumptions!$B$5-Assumptions!$B$4)/Assumptions!$B$3*Assumptions!$B$10</f>
        <v>9.49870517305535</v>
      </c>
      <c r="F25" s="0" t="n">
        <f aca="false">(SUMPRODUCT(DCF_Base!$C$19:$L$19/(1+$A$25/100)^DCF_Base!$C$4:$L$4)+MAX(0,MIN(IF($A$25&gt;$F$22,DCF_Base!$L$19*(1+$F$22/100)/(($A$25-$F$22)/100),DCF_Base!$L$19*DCF_Base!$B$29),DCF_Base!$L$19*DCF_Base!$B$29))/(1+$A$25/100)^DCF_Base!$L$4+Assumptions!$B$5-Assumptions!$B$4)/Assumptions!$B$3*Assumptions!$B$10</f>
        <v>9.49870517305535</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8.25892984788346</v>
      </c>
      <c r="C26" s="0" t="n">
        <f aca="false">(SUMPRODUCT(DCF_Base!$C$19:$L$19/(1+$A$26/100)^DCF_Base!$C$4:$L$4)+MAX(0,MIN(IF($A$26&gt;$C$22,DCF_Base!$L$19*(1+$C$22/100)/(($A$26-$C$22)/100),DCF_Base!$L$19*DCF_Base!$B$29),DCF_Base!$L$19*DCF_Base!$B$29))/(1+$A$26/100)^DCF_Base!$L$4+Assumptions!$B$5-Assumptions!$B$4)/Assumptions!$B$3*Assumptions!$B$10</f>
        <v>8.45457145003308</v>
      </c>
      <c r="D26" s="0" t="n">
        <f aca="false">(SUMPRODUCT(DCF_Base!$C$19:$L$19/(1+$A$26/100)^DCF_Base!$C$4:$L$4)+MAX(0,MIN(IF($A$26&gt;$D$22,DCF_Base!$L$19*(1+$D$22/100)/(($A$26-$D$22)/100),DCF_Base!$L$19*DCF_Base!$B$29),DCF_Base!$L$19*DCF_Base!$B$29))/(1+$A$26/100)^DCF_Base!$L$4+Assumptions!$B$5-Assumptions!$B$4)/Assumptions!$B$3*Assumptions!$B$10</f>
        <v>8.67629859913597</v>
      </c>
      <c r="E26" s="0" t="n">
        <f aca="false">(SUMPRODUCT(DCF_Base!$C$19:$L$19/(1+$A$26/100)^DCF_Base!$C$4:$L$4)+MAX(0,MIN(IF($A$26&gt;$E$22,DCF_Base!$L$19*(1+$E$22/100)/(($A$26-$E$22)/100),DCF_Base!$L$19*DCF_Base!$B$29),DCF_Base!$L$19*DCF_Base!$B$29))/(1+$A$26/100)^DCF_Base!$L$4+Assumptions!$B$5-Assumptions!$B$4)/Assumptions!$B$3*Assumptions!$B$10</f>
        <v>8.92970105525357</v>
      </c>
      <c r="F26" s="0" t="n">
        <f aca="false">(SUMPRODUCT(DCF_Base!$C$19:$L$19/(1+$A$26/100)^DCF_Base!$C$4:$L$4)+MAX(0,MIN(IF($A$26&gt;$F$22,DCF_Base!$L$19*(1+$F$22/100)/(($A$26-$F$22)/100),DCF_Base!$L$19*DCF_Base!$B$29),DCF_Base!$L$19*DCF_Base!$B$29))/(1+$A$26/100)^DCF_Base!$L$4+Assumptions!$B$5-Assumptions!$B$4)/Assumptions!$B$3*Assumptions!$B$10</f>
        <v>8.99881081601291</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7.58860335794556</v>
      </c>
      <c r="C27" s="0" t="n">
        <f aca="false">(SUMPRODUCT(DCF_Base!$C$19:$L$19/(1+$A$27/100)^DCF_Base!$C$4:$L$4)+MAX(0,MIN(IF($A$27&gt;$C$22,DCF_Base!$L$19*(1+$C$22/100)/(($A$27-$C$22)/100),DCF_Base!$L$19*DCF_Base!$B$29),DCF_Base!$L$19*DCF_Base!$B$29))/(1+$A$27/100)^DCF_Base!$L$4+Assumptions!$B$5-Assumptions!$B$4)/Assumptions!$B$3*Assumptions!$B$10</f>
        <v>7.73203050703872</v>
      </c>
      <c r="D27" s="0" t="n">
        <f aca="false">(SUMPRODUCT(DCF_Base!$C$19:$L$19/(1+$A$27/100)^DCF_Base!$C$4:$L$4)+MAX(0,MIN(IF($A$27&gt;$D$22,DCF_Base!$L$19*(1+$D$22/100)/(($A$27-$D$22)/100),DCF_Base!$L$19*DCF_Base!$B$29),DCF_Base!$L$19*DCF_Base!$B$29))/(1+$A$27/100)^DCF_Base!$L$4+Assumptions!$B$5-Assumptions!$B$4)/Assumptions!$B$3*Assumptions!$B$10</f>
        <v>7.89233143837813</v>
      </c>
      <c r="E27" s="0" t="n">
        <f aca="false">(SUMPRODUCT(DCF_Base!$C$19:$L$19/(1+$A$27/100)^DCF_Base!$C$4:$L$4)+MAX(0,MIN(IF($A$27&gt;$E$22,DCF_Base!$L$19*(1+$E$22/100)/(($A$27-$E$22)/100),DCF_Base!$L$19*DCF_Base!$B$29),DCF_Base!$L$19*DCF_Base!$B$29))/(1+$A$27/100)^DCF_Base!$L$4+Assumptions!$B$5-Assumptions!$B$4)/Assumptions!$B$3*Assumptions!$B$10</f>
        <v>8.07266998613496</v>
      </c>
      <c r="F27" s="0" t="n">
        <f aca="false">(SUMPRODUCT(DCF_Base!$C$19:$L$19/(1+$A$27/100)^DCF_Base!$C$4:$L$4)+MAX(0,MIN(IF($A$27&gt;$F$22,DCF_Base!$L$19*(1+$F$22/100)/(($A$27-$F$22)/100),DCF_Base!$L$19*DCF_Base!$B$29),DCF_Base!$L$19*DCF_Base!$B$29))/(1+$A$27/100)^DCF_Base!$L$4+Assumptions!$B$5-Assumptions!$B$4)/Assumptions!$B$3*Assumptions!$B$10</f>
        <v>8.27705367359271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2026-10-22T06:09:18Z</dcterms:created>
  <dc:creator>openpyxl</dc:creator>
  <dc:description/>
  <dc:language>en-NZ</dc:language>
  <cp:lastModifiedBy/>
  <dcterms:modified xsi:type="dcterms:W3CDTF">2026-10-22T06:09:18Z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