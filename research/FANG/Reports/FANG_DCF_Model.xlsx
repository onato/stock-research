
<file path=[Content_Types].xml><?xml version="1.0" encoding="utf-8"?>
<Types xmlns="http://schemas.openxmlformats.org/package/2006/content-types">
  <Default Extension="fntdata" ContentType="application/x-fontdata"/>
  <Default Extension="jpeg" ContentType="image/jpeg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5.xml" ContentType="application/vnd.openxmlformats-officedocument.spreadsheetml.worksheet+xml"/>
  <Override PartName="/xl/worksheets/sheet3.xml" ContentType="application/vnd.openxmlformats-officedocument.spreadsheetml.worksheet+xml"/>
  <Override PartName="/xl/worksheets/sheet6.xml" ContentType="application/vnd.openxmlformats-officedocument.spreadsheetml.worksheet+xml"/>
  <Override PartName="/xl/worksheets/sheet4.xml" ContentType="application/vnd.openxmlformats-officedocument.spreadsheetml.worksheet+xml"/>
  <Override PartName="/xl/worksheets/sheet7.xml" ContentType="application/vnd.openxmlformats-officedocument.spreadsheetml.worksheet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600" firstSheet="0" activeTab="0"/>
  </bookViews>
  <sheets>
    <sheet name="Model_Info" sheetId="1" state="visible" r:id="rId3"/>
    <sheet name="Actuals" sheetId="2" state="visible" r:id="rId4"/>
    <sheet name="Assumptions" sheetId="3" state="visible" r:id="rId5"/>
    <sheet name="DCF_Bear" sheetId="4" state="visible" r:id="rId6"/>
    <sheet name="DCF_Base" sheetId="5" state="visible" r:id="rId7"/>
    <sheet name="DCF_Bull" sheetId="6" state="visible" r:id="rId8"/>
    <sheet name="Valuation" sheetId="7" state="visible" r:id="rId9"/>
  </sheet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<sst xmlns="http://schemas.openxmlformats.org/spreadsheetml/2006/main" count="381" uniqueCount="173">
  <si>
    <t xml:space="preserve">Ticker</t>
  </si>
  <si>
    <t xml:space="preserve">FANG</t>
  </si>
  <si>
    <t xml:space="preserve">Company</t>
  </si>
  <si>
    <t xml:space="preserve">Diamondback Energy, Inc.</t>
  </si>
  <si>
    <t xml:space="preserve">Valuation date</t>
  </si>
  <si>
    <t xml:space="preserve">2026-09-28</t>
  </si>
  <si>
    <t xml:space="preserve">Current price</t>
  </si>
  <si>
    <t xml:space="preserve">Price as of</t>
  </si>
  <si>
    <t xml:space="preserve">2026-09-25T20:00:01Z regular close (Friday); Yahoo chart API, 52-week range 137.03-216.90</t>
  </si>
  <si>
    <t xml:space="preserve">Balance sheet date</t>
  </si>
  <si>
    <t xml:space="preserve">2026-06-30</t>
  </si>
  <si>
    <t xml:space="preserve">Model</t>
  </si>
  <si>
    <t xml:space="preserve">owner_fcf_dcf_component</t>
  </si>
  <si>
    <t xml:space="preserve">Currency (model)</t>
  </si>
  <si>
    <t xml:space="preserve">USD</t>
  </si>
  <si>
    <t xml:space="preserve">Currency (quote)</t>
  </si>
  <si>
    <t xml:space="preserve">Units</t>
  </si>
  <si>
    <t xml:space="preserve">millions</t>
  </si>
  <si>
    <t xml:space="preserve">Engine</t>
  </si>
  <si>
    <t xml:space="preserve">dcf_engine v1</t>
  </si>
  <si>
    <t xml:space="preserve">Built at</t>
  </si>
  <si>
    <t xml:space="preserve">2026-09-28T08:05:54Z</t>
  </si>
  <si>
    <t xml:space="preserve">Drivers file</t>
  </si>
  <si>
    <t xml:space="preserve">FANG_Drivers.json</t>
  </si>
  <si>
    <t xml:space="preserve">Convention</t>
  </si>
  <si>
    <t xml:space="preserve">Percents stored as percents; formulas divide by 100. Blue = input, green = link, black = formula.</t>
  </si>
  <si>
    <t xml:space="preserve">Methodology</t>
  </si>
  <si>
    <t xml:space="preserve">summary: Mid-cycle owner-FCF DCF: value the company on a normalised $70 oil deck rather than the ~$95 spot that produced the record Q2 2026 print. SBC is trivial (0.5% of revenue) so house and street bases nearly coincide; the valuation swing is almost entirely the price deck and the terminal multiple. Net debt and the Viper minority are each charged exactly once in the bridge; interest is not in the flows (unlevered) and leases are inside EBITDA. Terminal value capped at 12x owner FCF because reserves deplete.
key_risks_to_valuation: Oil price: each $10/bbl of long-run WTI is ~$1.9B of revenue and ~$1.4B of after-tax owner FCF, roughly $50-60/share at the model's multiple - the price deck is the valuation; Terminal multiple: at 9.5% WACC the 12x cap binds in the base case; at 10x the base value falls by roughly a tenth; Viper minority marked at book (6,085): at VNOM's market value the deduction is ~$2B larger, about $7/share; Capital intensity: the model lets capex/revenue rise 2pp over the decade; if Permian well productivity decays faster (Analysis: inventory depletion is a moderate risk) maintenance capex climbs and every scenario loses value; Cash tax: 20% assumes IDC expensing and bonus depreciation persist; a move to the ~23% statutory blend costs ~$0.2B/yr of FCF; Debt maturity towers (2027, 2029-32) refinance at higher coupons in the bear deck - the model's unlevered flows do not see this, the discount rate does; Waha gas basis and any US crude export restriction hit realised prices below the WTI deck; the spread puts hedge only the 2026-27 window; Full-cost ceiling-test write-downs are non-cash but signal the price the reserves were booked at; further write-downs at $60 reduce DD&amp;A and raise cash tax, a second-order negative</t>
  </si>
  <si>
    <t xml:space="preserve">Data sources</t>
  </si>
  <si>
    <t xml:space="preserve">price: Yahoo Finance chart API at inputs.price_as_of (Friday regular close); 52-week range 137.03-216.90. VNOM and ^TNX from the same endpoint on the same date.
financials: SEC XBRL companyfacts, CIK 0001539838 (10-K FY2025, 10-Q Q2 2026 filed 2026-07-31): revenue, OCF, drilling/completion/infrastructure capex, acquisitions, DD&amp;A, impairments, SBC, buybacks, dividends, NCI, debt, cash, income taxes, share counts. research/FANG/Reports/FANG_Metrics.csv for the 2009-2026 history and metrics_normalized pivot (CapEx column is empty in the CSV; capex taken from XBRL PaymentsToExploreAndDevelopOilAndGasProperties).
qualitative: research/FANG/Reports/FANG_Analysis.json (2026-09-28): FY2026 guidance (522+ MBO/d, 1,000+ MBOE/d, ~$3.9B capex, ~$1.0B/qtr 2027 run-rate), $16B buyback authorization, net debt ~$12.3B, Q2 2026 adjusted FCF $2.3B, LOE ~$5.96/BOE, bull/bear axes.</t>
  </si>
  <si>
    <t xml:space="preserve">Scenario narrative: bear</t>
  </si>
  <si>
    <t xml:space="preserve">$60 WTI for a decade with a widened WTI-Brent discount; flat volumes, margin 65% -&gt; 62%, capex rising to 29% of revenue to hold production, DD&amp;A cut by further ceiling-test write-downs, terminal growth 1%. Net debt/EBITDA stays ~1.3x, so the downside is a value case rather than a going-concern case.</t>
  </si>
  <si>
    <t xml:space="preserve">Scenario narrative: base</t>
  </si>
  <si>
    <t xml:space="preserve">The bull/bear axis for Diamondback is the long-run oil price, then capital intensity as the Permian matures. Base: $70 WTI mid-cycle from 2027 with ~2% nominal escalation, organic oil growth of 1-2%/yr inside a ~$4B capital programme, a 68% cash EBITDA margin drifting to 66.5%, capex creeping from 23.5% to 25.5% of revenue as Tier-1 inventory is consumed, and a 12x cap on terminal owner FCF. The $12.2B Endeavor debt is deducted once and the Viper minority is deducted once at book. Year-1 owner FCF ~6.2B ties to the trailing twelve months after normalising the ~$73 blended price to $70.</t>
  </si>
  <si>
    <t xml:space="preserve">Scenario narrative: bull</t>
  </si>
  <si>
    <t xml:space="preserve">$85 WTI sustained as the inventory-refill thesis plays out; margin 71.5%, oil volumes +3%/yr, capex ~$4.5B, Barnett gas / EOR / Bryant Ranch power absorbed as inventory-life support inside a 2% terminal rate. Year-1 revenue ~20.5B.</t>
  </si>
  <si>
    <t xml:space="preserve">Period</t>
  </si>
  <si>
    <t xml:space="preserve">Revenue</t>
  </si>
  <si>
    <t xml:space="preserve">CostOfRevenue</t>
  </si>
  <si>
    <t xml:space="preserve">GrossProfit</t>
  </si>
  <si>
    <t xml:space="preserve">GrossMargin</t>
  </si>
  <si>
    <t xml:space="preserve">OperatingIncome</t>
  </si>
  <si>
    <t xml:space="preserve">OperatingMargin</t>
  </si>
  <si>
    <t xml:space="preserve">EBITDA</t>
  </si>
  <si>
    <t xml:space="preserve">NetIncome</t>
  </si>
  <si>
    <t xml:space="preserve">NetMargin</t>
  </si>
  <si>
    <t xml:space="preserve">EPS</t>
  </si>
  <si>
    <t xml:space="preserve">OperatingCashFlow</t>
  </si>
  <si>
    <t xml:space="preserve">CapEx</t>
  </si>
  <si>
    <t xml:space="preserve">FreeCashFlow</t>
  </si>
  <si>
    <t xml:space="preserve">ShareholdersEquity</t>
  </si>
  <si>
    <t xml:space="preserve">TotalAssets</t>
  </si>
  <si>
    <t xml:space="preserve">TotalLiabilities</t>
  </si>
  <si>
    <t xml:space="preserve">TotalDebt</t>
  </si>
  <si>
    <t xml:space="preserve">CashAndEquivalents</t>
  </si>
  <si>
    <t xml:space="preserve">SharesOutstanding</t>
  </si>
  <si>
    <t xml:space="preserve">StockBasedComp</t>
  </si>
  <si>
    <t xml:space="preserve">DividendPerShare</t>
  </si>
  <si>
    <t xml:space="preserve">EBITDABeforeSignificant</t>
  </si>
  <si>
    <t xml:space="preserve">RevenueContinuing</t>
  </si>
  <si>
    <t xml:space="preserve">EBITDAContinuingBeforeSignificant</t>
  </si>
  <si>
    <t xml:space="preserve">EBITContinuingBeforeSignificant</t>
  </si>
  <si>
    <t xml:space="preserve">Currency</t>
  </si>
  <si>
    <t xml:space="preserve">FY2009</t>
  </si>
  <si>
    <t xml:space="preserve">FY2010</t>
  </si>
  <si>
    <t xml:space="preserve">FY2011</t>
  </si>
  <si>
    <t xml:space="preserve">FY2012</t>
  </si>
  <si>
    <t xml:space="preserve">FY2013</t>
  </si>
  <si>
    <t xml:space="preserve">FY2014</t>
  </si>
  <si>
    <t xml:space="preserve">FY2015</t>
  </si>
  <si>
    <t xml:space="preserve">FY2016</t>
  </si>
  <si>
    <t xml:space="preserve">FY2017</t>
  </si>
  <si>
    <t xml:space="preserve">FY2018</t>
  </si>
  <si>
    <t xml:space="preserve">FY2019</t>
  </si>
  <si>
    <t xml:space="preserve">FY2020</t>
  </si>
  <si>
    <t xml:space="preserve">FY2021</t>
  </si>
  <si>
    <t xml:space="preserve">FY2022</t>
  </si>
  <si>
    <t xml:space="preserve">FY2023</t>
  </si>
  <si>
    <t xml:space="preserve">FY2024</t>
  </si>
  <si>
    <t xml:space="preserve">FY2025</t>
  </si>
  <si>
    <t xml:space="preserve">Input</t>
  </si>
  <si>
    <t xml:space="preserve">Value</t>
  </si>
  <si>
    <t xml:space="preserve">Current price (quote currency)</t>
  </si>
  <si>
    <t xml:space="preserve">Shares, final projected (m)</t>
  </si>
  <si>
    <t xml:space="preserve">Net debt (m, model currency)</t>
  </si>
  <si>
    <t xml:space="preserve">Equity bridge total (m, + adds)</t>
  </si>
  <si>
    <t xml:space="preserve">Hurdle rate (%)</t>
  </si>
  <si>
    <t xml:space="preserve">Base revenue FY0 (m)</t>
  </si>
  <si>
    <t xml:space="preserve">FY0</t>
  </si>
  <si>
    <t xml:space="preserve">TTM 2026-06-30</t>
  </si>
  <si>
    <t xml:space="preserve">Currency / units</t>
  </si>
  <si>
    <t xml:space="preserve">USD millions</t>
  </si>
  <si>
    <t xml:space="preserve">FX rate (model -&gt; quote)</t>
  </si>
  <si>
    <t xml:space="preserve">BEAR</t>
  </si>
  <si>
    <t xml:space="preserve">TTM 2027</t>
  </si>
  <si>
    <t xml:space="preserve">TTM 2028</t>
  </si>
  <si>
    <t xml:space="preserve">TTM 2029</t>
  </si>
  <si>
    <t xml:space="preserve">TTM 2030</t>
  </si>
  <si>
    <t xml:space="preserve">TTM 2031</t>
  </si>
  <si>
    <t xml:space="preserve">TTM 2032</t>
  </si>
  <si>
    <t xml:space="preserve">TTM 2033</t>
  </si>
  <si>
    <t xml:space="preserve">TTM 2034</t>
  </si>
  <si>
    <t xml:space="preserve">TTM 2035</t>
  </si>
  <si>
    <t xml:space="preserve">TTM 2036</t>
  </si>
  <si>
    <t xml:space="preserve">Revenue growth (%)</t>
  </si>
  <si>
    <t xml:space="preserve">EBITDA margin (%)</t>
  </si>
  <si>
    <t xml:space="preserve">SBC (% of revenue)</t>
  </si>
  <si>
    <t xml:space="preserve">Lease cost (% of revenue)</t>
  </si>
  <si>
    <t xml:space="preserve">D&amp;A (% of revenue)</t>
  </si>
  <si>
    <t xml:space="preserve">Capex (% of revenue)</t>
  </si>
  <si>
    <t xml:space="preserve">Cash tax rate (%)</t>
  </si>
  <si>
    <t xml:space="preserve">WACC (%)</t>
  </si>
  <si>
    <t xml:space="preserve">Terminal growth (%)</t>
  </si>
  <si>
    <t xml:space="preserve">Terminal cap multiple (x FCF)</t>
  </si>
  <si>
    <t xml:space="preserve">Working-capital capture (% of revenue change)</t>
  </si>
  <si>
    <t xml:space="preserve">Scenario weight</t>
  </si>
  <si>
    <t xml:space="preserve">BASE</t>
  </si>
  <si>
    <t xml:space="preserve">BULL</t>
  </si>
  <si>
    <t xml:space="preserve">FANG owner-FCF component DCF: bear case (millions, USD)</t>
  </si>
  <si>
    <t xml:space="preserve">Line</t>
  </si>
  <si>
    <t xml:space="preserve">Year index (discount exponent)</t>
  </si>
  <si>
    <t xml:space="preserve">SBC charge</t>
  </si>
  <si>
    <t xml:space="preserve">Owner EBITDA (after SBC and leases)</t>
  </si>
  <si>
    <t xml:space="preserve">D&amp;A</t>
  </si>
  <si>
    <t xml:space="preserve">EBIT</t>
  </si>
  <si>
    <t xml:space="preserve">NOPAT</t>
  </si>
  <si>
    <t xml:space="preserve">D&amp;A add-back</t>
  </si>
  <si>
    <t xml:space="preserve">Capex</t>
  </si>
  <si>
    <t xml:space="preserve">Working capital</t>
  </si>
  <si>
    <t xml:space="preserve">Unlevered owner FCF</t>
  </si>
  <si>
    <t xml:space="preserve">Discount factor</t>
  </si>
  <si>
    <t xml:space="preserve">PV of FCF</t>
  </si>
  <si>
    <t xml:space="preserve">Lease cost</t>
  </si>
  <si>
    <t xml:space="preserve">Valuation</t>
  </si>
  <si>
    <t xml:space="preserve">Sum of PV of FCF</t>
  </si>
  <si>
    <t xml:space="preserve">Terminal-year FCF</t>
  </si>
  <si>
    <t xml:space="preserve">Gordon terminal value</t>
  </si>
  <si>
    <t xml:space="preserve">Cap terminal value</t>
  </si>
  <si>
    <t xml:space="preserve">Terminal value used: MAX(0,MIN(Gordon,cap))</t>
  </si>
  <si>
    <t xml:space="preserve">PV of terminal value</t>
  </si>
  <si>
    <t xml:space="preserve">Enterprise value</t>
  </si>
  <si>
    <t xml:space="preserve">Equity value (EV + bridge - net debt)</t>
  </si>
  <si>
    <t xml:space="preserve">Value per share (quote currency)</t>
  </si>
  <si>
    <t xml:space="preserve">Upside vs price</t>
  </si>
  <si>
    <t xml:space="preserve">Street memo: PV of explicit-period SBC</t>
  </si>
  <si>
    <t xml:space="preserve">Street memo: PV of terminal SBC (Gordon)</t>
  </si>
  <si>
    <t xml:space="preserve">Street value per share</t>
  </si>
  <si>
    <t xml:space="preserve">Terminal value at hurdle: MAX(0,MIN(Gordon@hurdle,cap))</t>
  </si>
  <si>
    <t xml:space="preserve">Hurdle entry price (quote currency)</t>
  </si>
  <si>
    <t xml:space="preserve">FANG owner-FCF component DCF: base case (millions, USD)</t>
  </si>
  <si>
    <t xml:space="preserve">FANG owner-FCF component DCF: bull case (millions, USD)</t>
  </si>
  <si>
    <t xml:space="preserve">FANG valuation summary</t>
  </si>
  <si>
    <t xml:space="preserve">Scenario</t>
  </si>
  <si>
    <t xml:space="preserve">Value per share</t>
  </si>
  <si>
    <t xml:space="preserve">Weight</t>
  </si>
  <si>
    <t xml:space="preserve">Hurdle entry price</t>
  </si>
  <si>
    <t xml:space="preserve">Bear</t>
  </si>
  <si>
    <t xml:space="preserve">Base</t>
  </si>
  <si>
    <t xml:space="preserve">Bull</t>
  </si>
  <si>
    <t xml:space="preserve">Probability-weighted value per share</t>
  </si>
  <si>
    <t xml:space="preserve">Street weighted value per share</t>
  </si>
  <si>
    <t xml:space="preserve">Margin of safety (1 - price/weighted)</t>
  </si>
  <si>
    <t xml:space="preserve">Band position (%; 0 = house, 100 = street)</t>
  </si>
  <si>
    <t xml:space="preserve">Weighted 15% hurdle entry price</t>
  </si>
  <si>
    <t xml:space="preserve">Required-return table (base case; each row rebuilds its own terminal value)</t>
  </si>
  <si>
    <t xml:space="preserve">Rate (%)</t>
  </si>
  <si>
    <t xml:space="preserve">Value per share at 9%</t>
  </si>
  <si>
    <t xml:space="preserve">Value per share at 9.5% (WACC)</t>
  </si>
  <si>
    <t xml:space="preserve">Value per share at 10%</t>
  </si>
  <si>
    <t xml:space="preserve">Value per share at 11%</t>
  </si>
  <si>
    <t xml:space="preserve">Value per share at 12%</t>
  </si>
  <si>
    <t xml:space="preserve">Value per share at 15%</t>
  </si>
  <si>
    <t xml:space="preserve">Sensitivity: value per share, rows WACC (%) x columns terminal growth (%)</t>
  </si>
</sst>
</file>

<file path=xl/styles.xml><?xml version="1.0" encoding="utf-8"?>
<styleSheet xmlns="http://schemas.openxmlformats.org/spreadsheetml/2006/main">
  <numFmts count="1">
    <numFmt numFmtId="164" formatCode="General"/>
  </numFmts>
  <fonts count="7">
    <font>
      <sz val="11"/>
      <color theme="1"/>
      <name val="Calibri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1"/>
      <name val="Cambria"/>
      <family val="0"/>
      <charset val="1"/>
    </font>
    <font>
      <sz val="11"/>
      <color rgb="FF0000FF"/>
      <name val="Cambria"/>
      <family val="0"/>
      <charset val="1"/>
    </font>
    <font>
      <sz val="11"/>
      <color rgb="FF008000"/>
      <name val="Cambria"/>
      <family val="0"/>
      <charset val="1"/>
    </font>
  </fonts>
  <fills count="2">
    <fill>
      <patternFill patternType="none"/>
    </fill>
    <fill>
      <patternFill patternType="gray125"/>
    </fill>
  </fills>
  <borders count="1">
    <border diagonalUp="false" diagonalDown="false">
      <left/>
      <right/>
      <top/>
      <bottom/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5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0" xfId="0" applyFont="true" applyBorder="false" applyAlignment="true" applyProtection="false">
      <alignment horizontal="general" vertical="bottom" textRotation="0" wrapText="true" indent="0" shrinkToFit="false"/>
      <protection locked="true" hidden="false"/>
    </xf>
    <xf numFmtId="164" fontId="4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5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6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worksheet" Target="worksheets/sheet2.xml"/><Relationship Id="rId5" Type="http://schemas.openxmlformats.org/officeDocument/2006/relationships/worksheet" Target="worksheets/sheet3.xml"/><Relationship Id="rId6" Type="http://schemas.openxmlformats.org/officeDocument/2006/relationships/worksheet" Target="worksheets/sheet4.xml"/><Relationship Id="rId7" Type="http://schemas.openxmlformats.org/officeDocument/2006/relationships/worksheet" Target="worksheets/sheet5.xml"/><Relationship Id="rId8" Type="http://schemas.openxmlformats.org/officeDocument/2006/relationships/worksheet" Target="worksheets/sheet6.xml"/><Relationship Id="rId9" Type="http://schemas.openxmlformats.org/officeDocument/2006/relationships/worksheet" Target="worksheets/sheet7.xml"/><Relationship Id="rId10" Type="http://schemas.openxmlformats.org/officeDocument/2006/relationships/sharedStrings" Target="sharedStrings.xml"/>
</Relationships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itchFamily="0" charset="1"/>
        <a:ea typeface=""/>
        <a:cs typeface=""/>
      </a:majorFont>
      <a:minorFont>
        <a:latin typeface="Calibri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 l="0" t="0" r="0" b="0"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 l="0" t="0" r="0" b="0"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 l="0" t="0" r="0" b="0"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 l="0" t="0" r="0" b="0"/>
        </a:gradFill>
      </a:bgFillStyleLst>
    </a:fmtScheme>
  </a:themeElements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B19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customHeight="false" zeroHeight="false" outlineLevelRow="0" outlineLevelCol="0"/>
  <cols>
    <col collapsed="false" customWidth="true" hidden="false" outlineLevel="0" max="1" min="1" style="0" width="26"/>
    <col collapsed="false" customWidth="true" hidden="false" outlineLevel="0" max="2" min="2" style="0" width="100"/>
  </cols>
  <sheetData>
    <row r="1" customFormat="false" ht="15" hidden="false" customHeight="false" outlineLevel="0" collapsed="false">
      <c r="A1" s="0" t="s">
        <v>0</v>
      </c>
      <c r="B1" s="0" t="s">
        <v>1</v>
      </c>
    </row>
    <row r="2" customFormat="false" ht="15" hidden="false" customHeight="false" outlineLevel="0" collapsed="false">
      <c r="A2" s="0" t="s">
        <v>2</v>
      </c>
      <c r="B2" s="0" t="s">
        <v>3</v>
      </c>
    </row>
    <row r="3" customFormat="false" ht="15" hidden="false" customHeight="false" outlineLevel="0" collapsed="false">
      <c r="A3" s="0" t="s">
        <v>4</v>
      </c>
      <c r="B3" s="0" t="s">
        <v>5</v>
      </c>
    </row>
    <row r="4" customFormat="false" ht="15" hidden="false" customHeight="false" outlineLevel="0" collapsed="false">
      <c r="A4" s="0" t="s">
        <v>6</v>
      </c>
      <c r="B4" s="0" t="n">
        <v>186.67</v>
      </c>
    </row>
    <row r="5" customFormat="false" ht="15" hidden="false" customHeight="false" outlineLevel="0" collapsed="false">
      <c r="A5" s="0" t="s">
        <v>7</v>
      </c>
      <c r="B5" s="0" t="s">
        <v>8</v>
      </c>
    </row>
    <row r="6" customFormat="false" ht="15" hidden="false" customHeight="false" outlineLevel="0" collapsed="false">
      <c r="A6" s="0" t="s">
        <v>9</v>
      </c>
      <c r="B6" s="0" t="s">
        <v>10</v>
      </c>
    </row>
    <row r="7" customFormat="false" ht="15" hidden="false" customHeight="false" outlineLevel="0" collapsed="false">
      <c r="A7" s="0" t="s">
        <v>11</v>
      </c>
      <c r="B7" s="0" t="s">
        <v>12</v>
      </c>
    </row>
    <row r="8" customFormat="false" ht="15" hidden="false" customHeight="false" outlineLevel="0" collapsed="false">
      <c r="A8" s="0" t="s">
        <v>13</v>
      </c>
      <c r="B8" s="0" t="s">
        <v>14</v>
      </c>
    </row>
    <row r="9" customFormat="false" ht="15" hidden="false" customHeight="false" outlineLevel="0" collapsed="false">
      <c r="A9" s="0" t="s">
        <v>15</v>
      </c>
      <c r="B9" s="0" t="s">
        <v>14</v>
      </c>
    </row>
    <row r="10" customFormat="false" ht="15" hidden="false" customHeight="false" outlineLevel="0" collapsed="false">
      <c r="A10" s="0" t="s">
        <v>16</v>
      </c>
      <c r="B10" s="0" t="s">
        <v>17</v>
      </c>
    </row>
    <row r="11" customFormat="false" ht="15" hidden="false" customHeight="false" outlineLevel="0" collapsed="false">
      <c r="A11" s="0" t="s">
        <v>18</v>
      </c>
      <c r="B11" s="0" t="s">
        <v>19</v>
      </c>
    </row>
    <row r="12" customFormat="false" ht="15" hidden="false" customHeight="false" outlineLevel="0" collapsed="false">
      <c r="A12" s="0" t="s">
        <v>20</v>
      </c>
      <c r="B12" s="0" t="s">
        <v>21</v>
      </c>
    </row>
    <row r="13" customFormat="false" ht="15" hidden="false" customHeight="false" outlineLevel="0" collapsed="false">
      <c r="A13" s="0" t="s">
        <v>22</v>
      </c>
      <c r="B13" s="0" t="s">
        <v>23</v>
      </c>
    </row>
    <row r="14" customFormat="false" ht="15" hidden="false" customHeight="false" outlineLevel="0" collapsed="false">
      <c r="A14" s="0" t="s">
        <v>24</v>
      </c>
      <c r="B14" s="0" t="s">
        <v>25</v>
      </c>
    </row>
    <row r="15" customFormat="false" ht="23.85" hidden="false" customHeight="false" outlineLevel="0" collapsed="false">
      <c r="A15" s="0" t="s">
        <v>26</v>
      </c>
      <c r="B15" s="1" t="s">
        <v>27</v>
      </c>
    </row>
    <row r="16" customFormat="false" ht="35.05" hidden="false" customHeight="false" outlineLevel="0" collapsed="false">
      <c r="A16" s="0" t="s">
        <v>28</v>
      </c>
      <c r="B16" s="1" t="s">
        <v>29</v>
      </c>
    </row>
    <row r="17" customFormat="false" ht="15" hidden="false" customHeight="false" outlineLevel="0" collapsed="false">
      <c r="A17" s="0" t="s">
        <v>30</v>
      </c>
      <c r="B17" s="0" t="s">
        <v>31</v>
      </c>
    </row>
    <row r="18" customFormat="false" ht="15" hidden="false" customHeight="false" outlineLevel="0" collapsed="false">
      <c r="A18" s="0" t="s">
        <v>32</v>
      </c>
      <c r="B18" s="0" t="s">
        <v>33</v>
      </c>
    </row>
    <row r="19" customFormat="false" ht="15" hidden="false" customHeight="false" outlineLevel="0" collapsed="false">
      <c r="A19" s="0" t="s">
        <v>34</v>
      </c>
      <c r="B19" s="0" t="s">
        <v>35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AB18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customHeight="false" zeroHeight="false" outlineLevelRow="0" outlineLevelCol="0"/>
  <sheetData>
    <row r="1" customFormat="false" ht="15" hidden="false" customHeight="false" outlineLevel="0" collapsed="false">
      <c r="A1" s="2" t="s">
        <v>36</v>
      </c>
      <c r="B1" s="2" t="s">
        <v>37</v>
      </c>
      <c r="C1" s="2" t="s">
        <v>38</v>
      </c>
      <c r="D1" s="2" t="s">
        <v>39</v>
      </c>
      <c r="E1" s="2" t="s">
        <v>40</v>
      </c>
      <c r="F1" s="2" t="s">
        <v>41</v>
      </c>
      <c r="G1" s="2" t="s">
        <v>42</v>
      </c>
      <c r="H1" s="2" t="s">
        <v>43</v>
      </c>
      <c r="I1" s="2" t="s">
        <v>44</v>
      </c>
      <c r="J1" s="2" t="s">
        <v>45</v>
      </c>
      <c r="K1" s="2" t="s">
        <v>46</v>
      </c>
      <c r="L1" s="2" t="s">
        <v>47</v>
      </c>
      <c r="M1" s="2" t="s">
        <v>48</v>
      </c>
      <c r="N1" s="2" t="s">
        <v>49</v>
      </c>
      <c r="O1" s="2" t="s">
        <v>50</v>
      </c>
      <c r="P1" s="2" t="s">
        <v>51</v>
      </c>
      <c r="Q1" s="2" t="s">
        <v>52</v>
      </c>
      <c r="R1" s="2" t="s">
        <v>53</v>
      </c>
      <c r="S1" s="2" t="s">
        <v>54</v>
      </c>
      <c r="T1" s="2" t="s">
        <v>55</v>
      </c>
      <c r="U1" s="2" t="s">
        <v>56</v>
      </c>
      <c r="V1" s="2" t="s">
        <v>57</v>
      </c>
      <c r="W1" s="2" t="s">
        <v>58</v>
      </c>
      <c r="X1" s="2" t="s">
        <v>59</v>
      </c>
      <c r="Y1" s="2" t="s">
        <v>60</v>
      </c>
      <c r="Z1" s="2" t="s">
        <v>61</v>
      </c>
      <c r="AA1" s="2" t="s">
        <v>16</v>
      </c>
      <c r="AB1" s="2" t="s">
        <v>62</v>
      </c>
    </row>
    <row r="2" customFormat="false" ht="15" hidden="false" customHeight="false" outlineLevel="0" collapsed="false">
      <c r="A2" s="0" t="s">
        <v>63</v>
      </c>
      <c r="O2" s="0" t="n">
        <v>84.202</v>
      </c>
      <c r="S2" s="0" t="n">
        <v>2.43</v>
      </c>
      <c r="AA2" s="0" t="s">
        <v>17</v>
      </c>
      <c r="AB2" s="0" t="s">
        <v>14</v>
      </c>
    </row>
    <row r="3" customFormat="false" ht="15" hidden="false" customHeight="false" outlineLevel="0" collapsed="false">
      <c r="A3" s="0" t="s">
        <v>64</v>
      </c>
      <c r="F3" s="0" t="n">
        <v>9.181</v>
      </c>
      <c r="H3" s="0" t="n">
        <v>17.326</v>
      </c>
      <c r="I3" s="0" t="n">
        <v>8.231</v>
      </c>
      <c r="O3" s="0" t="n">
        <v>115.362</v>
      </c>
      <c r="S3" s="0" t="n">
        <v>4.119</v>
      </c>
      <c r="U3" s="0" t="n">
        <v>0</v>
      </c>
      <c r="AA3" s="0" t="s">
        <v>17</v>
      </c>
      <c r="AB3" s="0" t="s">
        <v>14</v>
      </c>
    </row>
    <row r="4" customFormat="false" ht="15" hidden="false" customHeight="false" outlineLevel="0" collapsed="false">
      <c r="A4" s="0" t="s">
        <v>65</v>
      </c>
      <c r="F4" s="0" t="n">
        <v>15.147</v>
      </c>
      <c r="H4" s="0" t="n">
        <v>30.748</v>
      </c>
      <c r="I4" s="0" t="n">
        <v>-0.386</v>
      </c>
      <c r="O4" s="0" t="n">
        <v>129.037</v>
      </c>
      <c r="P4" s="0" t="n">
        <v>263.578</v>
      </c>
      <c r="Q4" s="0" t="n">
        <v>134.541</v>
      </c>
      <c r="S4" s="0" t="n">
        <v>6.959</v>
      </c>
      <c r="T4" s="0" t="n">
        <v>0</v>
      </c>
      <c r="U4" s="0" t="n">
        <v>0.544</v>
      </c>
      <c r="AA4" s="0" t="s">
        <v>17</v>
      </c>
      <c r="AB4" s="0" t="s">
        <v>14</v>
      </c>
    </row>
    <row r="5" customFormat="false" ht="15" hidden="false" customHeight="false" outlineLevel="0" collapsed="false">
      <c r="A5" s="0" t="s">
        <v>66</v>
      </c>
      <c r="F5" s="0" t="n">
        <v>17.307</v>
      </c>
      <c r="H5" s="0" t="n">
        <v>43.58</v>
      </c>
      <c r="I5" s="0" t="n">
        <v>-36.521</v>
      </c>
      <c r="O5" s="0" t="n">
        <v>462.068</v>
      </c>
      <c r="P5" s="0" t="n">
        <v>606.701</v>
      </c>
      <c r="Q5" s="0" t="n">
        <v>144.633</v>
      </c>
      <c r="R5" s="0" t="n">
        <v>0.483</v>
      </c>
      <c r="S5" s="0" t="n">
        <v>26.358</v>
      </c>
      <c r="T5" s="0" t="n">
        <v>36.986532</v>
      </c>
      <c r="U5" s="0" t="n">
        <v>3.482</v>
      </c>
      <c r="AA5" s="0" t="s">
        <v>17</v>
      </c>
      <c r="AB5" s="0" t="s">
        <v>14</v>
      </c>
    </row>
    <row r="6" customFormat="false" ht="15" hidden="false" customHeight="false" outlineLevel="0" collapsed="false">
      <c r="A6" s="0" t="s">
        <v>67</v>
      </c>
      <c r="F6" s="0" t="n">
        <v>95.194</v>
      </c>
      <c r="H6" s="0" t="n">
        <v>161.791</v>
      </c>
      <c r="I6" s="0" t="n">
        <v>54.587</v>
      </c>
      <c r="K6" s="0" t="n">
        <v>1.3</v>
      </c>
      <c r="O6" s="0" t="n">
        <v>845.541</v>
      </c>
      <c r="P6" s="0" t="n">
        <v>1521.614</v>
      </c>
      <c r="Q6" s="0" t="n">
        <v>676.073</v>
      </c>
      <c r="R6" s="0" t="n">
        <v>460</v>
      </c>
      <c r="S6" s="0" t="n">
        <v>15.555</v>
      </c>
      <c r="T6" s="0" t="n">
        <v>47.106216</v>
      </c>
      <c r="U6" s="0" t="n">
        <v>1.752</v>
      </c>
      <c r="AA6" s="0" t="s">
        <v>17</v>
      </c>
      <c r="AB6" s="0" t="s">
        <v>14</v>
      </c>
    </row>
    <row r="7" customFormat="false" ht="15" hidden="false" customHeight="false" outlineLevel="0" collapsed="false">
      <c r="A7" s="0" t="s">
        <v>68</v>
      </c>
      <c r="F7" s="0" t="n">
        <v>212.67</v>
      </c>
      <c r="H7" s="0" t="n">
        <v>382.675</v>
      </c>
      <c r="I7" s="0" t="n">
        <v>195.971</v>
      </c>
      <c r="K7" s="0" t="n">
        <v>3.67</v>
      </c>
      <c r="O7" s="0" t="n">
        <v>1985.213</v>
      </c>
      <c r="P7" s="0" t="n">
        <v>3095.481</v>
      </c>
      <c r="Q7" s="0" t="n">
        <v>1110.268</v>
      </c>
      <c r="R7" s="0" t="n">
        <v>673.5</v>
      </c>
      <c r="S7" s="0" t="n">
        <v>30.183</v>
      </c>
      <c r="T7" s="0" t="n">
        <v>56.887583</v>
      </c>
      <c r="U7" s="0" t="n">
        <v>9.816</v>
      </c>
      <c r="AA7" s="0" t="s">
        <v>17</v>
      </c>
      <c r="AB7" s="0" t="s">
        <v>14</v>
      </c>
    </row>
    <row r="8" customFormat="false" ht="15" hidden="false" customHeight="false" outlineLevel="0" collapsed="false">
      <c r="A8" s="0" t="s">
        <v>69</v>
      </c>
      <c r="F8" s="0" t="n">
        <v>-740.269</v>
      </c>
      <c r="H8" s="0" t="n">
        <v>-522.572</v>
      </c>
      <c r="I8" s="0" t="n">
        <v>-550.628</v>
      </c>
      <c r="K8" s="0" t="n">
        <v>-8.74</v>
      </c>
      <c r="O8" s="0" t="n">
        <v>2108.973</v>
      </c>
      <c r="P8" s="0" t="n">
        <v>2750.719</v>
      </c>
      <c r="Q8" s="0" t="n">
        <v>641.746</v>
      </c>
      <c r="R8" s="0" t="n">
        <v>487.807</v>
      </c>
      <c r="S8" s="0" t="n">
        <v>20.115</v>
      </c>
      <c r="T8" s="0" t="n">
        <v>66.797041</v>
      </c>
      <c r="U8" s="0" t="n">
        <v>18.529</v>
      </c>
      <c r="AA8" s="0" t="s">
        <v>17</v>
      </c>
      <c r="AB8" s="0" t="s">
        <v>14</v>
      </c>
    </row>
    <row r="9" customFormat="false" ht="15" hidden="false" customHeight="false" outlineLevel="0" collapsed="false">
      <c r="A9" s="0" t="s">
        <v>70</v>
      </c>
      <c r="B9" s="0" t="n">
        <v>527.107</v>
      </c>
      <c r="F9" s="0" t="n">
        <v>-68.617</v>
      </c>
      <c r="G9" s="0" t="n">
        <v>-13.0176605508938</v>
      </c>
      <c r="H9" s="0" t="n">
        <v>109.398</v>
      </c>
      <c r="I9" s="0" t="n">
        <v>-165.034</v>
      </c>
      <c r="J9" s="0" t="n">
        <v>-31.3093925901193</v>
      </c>
      <c r="K9" s="0" t="n">
        <v>-2.2</v>
      </c>
      <c r="O9" s="0" t="n">
        <v>4018</v>
      </c>
      <c r="P9" s="0" t="n">
        <v>5349.68</v>
      </c>
      <c r="Q9" s="0" t="n">
        <v>1331.388</v>
      </c>
      <c r="R9" s="0" t="n">
        <v>1105.912</v>
      </c>
      <c r="S9" s="0" t="n">
        <v>1666.574</v>
      </c>
      <c r="T9" s="0" t="n">
        <v>90.143934</v>
      </c>
      <c r="U9" s="0" t="n">
        <v>26.453</v>
      </c>
      <c r="AA9" s="0" t="s">
        <v>17</v>
      </c>
      <c r="AB9" s="0" t="s">
        <v>14</v>
      </c>
    </row>
    <row r="10" customFormat="false" ht="15" hidden="false" customHeight="false" outlineLevel="0" collapsed="false">
      <c r="A10" s="0" t="s">
        <v>71</v>
      </c>
      <c r="B10" s="0" t="n">
        <v>1205</v>
      </c>
      <c r="F10" s="0" t="n">
        <v>605</v>
      </c>
      <c r="G10" s="0" t="n">
        <v>50.2074688796681</v>
      </c>
      <c r="H10" s="0" t="n">
        <v>932</v>
      </c>
      <c r="I10" s="0" t="n">
        <v>517</v>
      </c>
      <c r="J10" s="0" t="n">
        <v>42.9045643153527</v>
      </c>
      <c r="K10" s="0" t="n">
        <v>4.95</v>
      </c>
      <c r="L10" s="0" t="n">
        <v>889</v>
      </c>
      <c r="O10" s="0" t="n">
        <v>5581</v>
      </c>
      <c r="P10" s="0" t="n">
        <v>7771</v>
      </c>
      <c r="Q10" s="0" t="n">
        <v>2189.248</v>
      </c>
      <c r="R10" s="0" t="n">
        <v>1477.347</v>
      </c>
      <c r="S10" s="0" t="n">
        <v>112.446</v>
      </c>
      <c r="T10" s="0" t="n">
        <v>98.167289</v>
      </c>
      <c r="U10" s="0" t="n">
        <v>26</v>
      </c>
      <c r="V10" s="0" t="n">
        <v>0</v>
      </c>
      <c r="AA10" s="0" t="s">
        <v>17</v>
      </c>
      <c r="AB10" s="0" t="s">
        <v>14</v>
      </c>
    </row>
    <row r="11" customFormat="false" ht="15" hidden="false" customHeight="false" outlineLevel="0" collapsed="false">
      <c r="A11" s="0" t="s">
        <v>72</v>
      </c>
      <c r="B11" s="0" t="n">
        <v>2176</v>
      </c>
      <c r="F11" s="0" t="n">
        <v>1011</v>
      </c>
      <c r="G11" s="0" t="n">
        <v>46.4613970588235</v>
      </c>
      <c r="H11" s="0" t="n">
        <v>1634</v>
      </c>
      <c r="I11" s="0" t="n">
        <v>945</v>
      </c>
      <c r="J11" s="0" t="n">
        <v>43.4283088235294</v>
      </c>
      <c r="K11" s="0" t="n">
        <v>8.09</v>
      </c>
      <c r="L11" s="0" t="n">
        <v>1565</v>
      </c>
      <c r="O11" s="0" t="n">
        <v>14167</v>
      </c>
      <c r="P11" s="0" t="n">
        <v>21596</v>
      </c>
      <c r="Q11" s="0" t="n">
        <v>7429</v>
      </c>
      <c r="R11" s="0" t="n">
        <v>4464</v>
      </c>
      <c r="S11" s="0" t="n">
        <v>215</v>
      </c>
      <c r="T11" s="0" t="n">
        <v>164.273447</v>
      </c>
      <c r="U11" s="0" t="n">
        <v>27</v>
      </c>
      <c r="V11" s="0" t="n">
        <v>0.5</v>
      </c>
      <c r="AA11" s="0" t="s">
        <v>17</v>
      </c>
      <c r="AB11" s="0" t="s">
        <v>14</v>
      </c>
    </row>
    <row r="12" customFormat="false" ht="15" hidden="false" customHeight="false" outlineLevel="0" collapsed="false">
      <c r="A12" s="0" t="s">
        <v>73</v>
      </c>
      <c r="B12" s="0" t="n">
        <v>3964</v>
      </c>
      <c r="F12" s="0" t="n">
        <v>695</v>
      </c>
      <c r="G12" s="0" t="n">
        <v>17.5327951564077</v>
      </c>
      <c r="H12" s="0" t="n">
        <v>2149</v>
      </c>
      <c r="I12" s="0" t="n">
        <v>315</v>
      </c>
      <c r="J12" s="0" t="n">
        <v>7.94651866801211</v>
      </c>
      <c r="K12" s="0" t="n">
        <v>1.47</v>
      </c>
      <c r="L12" s="0" t="n">
        <v>2739</v>
      </c>
      <c r="O12" s="0" t="n">
        <v>14906</v>
      </c>
      <c r="P12" s="0" t="n">
        <v>23531</v>
      </c>
      <c r="Q12" s="0" t="n">
        <v>8625</v>
      </c>
      <c r="R12" s="0" t="n">
        <v>5371</v>
      </c>
      <c r="S12" s="0" t="n">
        <v>123</v>
      </c>
      <c r="T12" s="0" t="n">
        <v>163.843</v>
      </c>
      <c r="U12" s="0" t="n">
        <v>48</v>
      </c>
      <c r="V12" s="0" t="n">
        <v>0.9375</v>
      </c>
      <c r="AA12" s="0" t="s">
        <v>17</v>
      </c>
      <c r="AB12" s="0" t="s">
        <v>14</v>
      </c>
    </row>
    <row r="13" customFormat="false" ht="15" hidden="false" customHeight="false" outlineLevel="0" collapsed="false">
      <c r="A13" s="0" t="s">
        <v>74</v>
      </c>
      <c r="B13" s="0" t="n">
        <v>2813</v>
      </c>
      <c r="F13" s="0" t="n">
        <v>-5476</v>
      </c>
      <c r="G13" s="0" t="n">
        <v>-194.667614646285</v>
      </c>
      <c r="H13" s="0" t="n">
        <v>-4165</v>
      </c>
      <c r="I13" s="0" t="n">
        <v>-4672</v>
      </c>
      <c r="J13" s="0" t="n">
        <v>-166.086029150373</v>
      </c>
      <c r="K13" s="0" t="n">
        <v>-28.61</v>
      </c>
      <c r="L13" s="0" t="n">
        <v>2118</v>
      </c>
      <c r="O13" s="0" t="n">
        <v>9804</v>
      </c>
      <c r="P13" s="0" t="n">
        <v>17619</v>
      </c>
      <c r="Q13" s="0" t="n">
        <v>7815</v>
      </c>
      <c r="R13" s="0" t="n">
        <v>5815</v>
      </c>
      <c r="S13" s="0" t="n">
        <v>104</v>
      </c>
      <c r="T13" s="0" t="n">
        <v>158.088182</v>
      </c>
      <c r="U13" s="0" t="n">
        <v>37</v>
      </c>
      <c r="V13" s="0" t="n">
        <v>1.525</v>
      </c>
      <c r="AA13" s="0" t="s">
        <v>17</v>
      </c>
      <c r="AB13" s="0" t="s">
        <v>14</v>
      </c>
    </row>
    <row r="14" customFormat="false" ht="15" hidden="false" customHeight="false" outlineLevel="0" collapsed="false">
      <c r="A14" s="0" t="s">
        <v>75</v>
      </c>
      <c r="B14" s="0" t="n">
        <v>6797</v>
      </c>
      <c r="F14" s="0" t="n">
        <v>4001</v>
      </c>
      <c r="G14" s="0" t="n">
        <v>58.8642047962336</v>
      </c>
      <c r="H14" s="0" t="n">
        <v>5276</v>
      </c>
      <c r="I14" s="0" t="n">
        <v>2276</v>
      </c>
      <c r="J14" s="0" t="n">
        <v>33.4853611887598</v>
      </c>
      <c r="K14" s="0" t="n">
        <v>12.35</v>
      </c>
      <c r="L14" s="0" t="n">
        <v>3944</v>
      </c>
      <c r="O14" s="0" t="n">
        <v>13245</v>
      </c>
      <c r="P14" s="0" t="n">
        <v>22898</v>
      </c>
      <c r="Q14" s="0" t="n">
        <v>9653</v>
      </c>
      <c r="R14" s="0" t="n">
        <v>6687</v>
      </c>
      <c r="S14" s="0" t="n">
        <v>654</v>
      </c>
      <c r="T14" s="0" t="n">
        <v>177.551347</v>
      </c>
      <c r="U14" s="0" t="n">
        <v>51</v>
      </c>
      <c r="V14" s="0" t="n">
        <v>1.95</v>
      </c>
      <c r="AA14" s="0" t="s">
        <v>17</v>
      </c>
      <c r="AB14" s="0" t="s">
        <v>14</v>
      </c>
    </row>
    <row r="15" customFormat="false" ht="15" hidden="false" customHeight="false" outlineLevel="0" collapsed="false">
      <c r="A15" s="0" t="s">
        <v>76</v>
      </c>
      <c r="B15" s="0" t="n">
        <v>9643</v>
      </c>
      <c r="F15" s="0" t="n">
        <v>6508</v>
      </c>
      <c r="G15" s="0" t="n">
        <v>67.489370527844</v>
      </c>
      <c r="H15" s="0" t="n">
        <v>7852</v>
      </c>
      <c r="I15" s="0" t="n">
        <v>4562</v>
      </c>
      <c r="J15" s="0" t="n">
        <v>47.308928756611</v>
      </c>
      <c r="K15" s="0" t="n">
        <v>24.61</v>
      </c>
      <c r="L15" s="0" t="n">
        <v>6325</v>
      </c>
      <c r="O15" s="0" t="n">
        <v>15690</v>
      </c>
      <c r="P15" s="0" t="n">
        <v>26209</v>
      </c>
      <c r="Q15" s="0" t="n">
        <v>10519</v>
      </c>
      <c r="R15" s="0" t="n">
        <v>6248</v>
      </c>
      <c r="S15" s="0" t="n">
        <v>157</v>
      </c>
      <c r="T15" s="0" t="n">
        <v>179.840797</v>
      </c>
      <c r="U15" s="0" t="n">
        <v>55</v>
      </c>
      <c r="V15" s="0" t="n">
        <v>11.31</v>
      </c>
      <c r="AA15" s="0" t="s">
        <v>17</v>
      </c>
      <c r="AB15" s="0" t="s">
        <v>14</v>
      </c>
    </row>
    <row r="16" customFormat="false" ht="15" hidden="false" customHeight="false" outlineLevel="0" collapsed="false">
      <c r="A16" s="0" t="s">
        <v>77</v>
      </c>
      <c r="B16" s="0" t="n">
        <v>8412</v>
      </c>
      <c r="F16" s="0" t="n">
        <v>4570</v>
      </c>
      <c r="G16" s="0" t="n">
        <v>54.3271516880647</v>
      </c>
      <c r="H16" s="0" t="n">
        <v>6316</v>
      </c>
      <c r="I16" s="0" t="n">
        <v>3336</v>
      </c>
      <c r="J16" s="0" t="n">
        <v>39.6576319543509</v>
      </c>
      <c r="K16" s="0" t="n">
        <v>17.34</v>
      </c>
      <c r="L16" s="0" t="n">
        <v>5920</v>
      </c>
      <c r="O16" s="0" t="n">
        <v>17430</v>
      </c>
      <c r="P16" s="0" t="n">
        <v>29001</v>
      </c>
      <c r="Q16" s="0" t="n">
        <v>11571</v>
      </c>
      <c r="R16" s="0" t="n">
        <v>6641</v>
      </c>
      <c r="S16" s="0" t="n">
        <v>582</v>
      </c>
      <c r="T16" s="0" t="n">
        <v>179.999</v>
      </c>
      <c r="U16" s="0" t="n">
        <v>54</v>
      </c>
      <c r="AA16" s="0" t="s">
        <v>17</v>
      </c>
      <c r="AB16" s="0" t="s">
        <v>14</v>
      </c>
    </row>
    <row r="17" customFormat="false" ht="15" hidden="false" customHeight="false" outlineLevel="0" collapsed="false">
      <c r="A17" s="0" t="s">
        <v>78</v>
      </c>
      <c r="B17" s="0" t="n">
        <v>11066</v>
      </c>
      <c r="F17" s="0" t="n">
        <v>4396</v>
      </c>
      <c r="G17" s="0" t="n">
        <v>39.7252846557022</v>
      </c>
      <c r="H17" s="0" t="n">
        <v>7246</v>
      </c>
      <c r="I17" s="0" t="n">
        <v>3701</v>
      </c>
      <c r="J17" s="0" t="n">
        <v>33.4447858304717</v>
      </c>
      <c r="K17" s="0" t="n">
        <v>15.53</v>
      </c>
      <c r="L17" s="0" t="n">
        <v>6413</v>
      </c>
      <c r="O17" s="0" t="n">
        <v>39862</v>
      </c>
      <c r="P17" s="0" t="n">
        <v>67292</v>
      </c>
      <c r="Q17" s="0" t="n">
        <v>27430</v>
      </c>
      <c r="R17" s="0" t="n">
        <v>12975</v>
      </c>
      <c r="S17" s="0" t="n">
        <v>161</v>
      </c>
      <c r="T17" s="0" t="n">
        <v>290.984373</v>
      </c>
      <c r="U17" s="0" t="n">
        <v>65</v>
      </c>
      <c r="AA17" s="0" t="s">
        <v>17</v>
      </c>
      <c r="AB17" s="0" t="s">
        <v>14</v>
      </c>
    </row>
    <row r="18" customFormat="false" ht="15" hidden="false" customHeight="false" outlineLevel="0" collapsed="false">
      <c r="A18" s="0" t="s">
        <v>79</v>
      </c>
      <c r="B18" s="0" t="n">
        <v>15026</v>
      </c>
      <c r="F18" s="0" t="n">
        <v>1266</v>
      </c>
      <c r="G18" s="0" t="n">
        <v>8.42539598030081</v>
      </c>
      <c r="H18" s="0" t="n">
        <v>6304</v>
      </c>
      <c r="I18" s="0" t="n">
        <v>1664</v>
      </c>
      <c r="J18" s="0" t="n">
        <v>11.0741381605218</v>
      </c>
      <c r="K18" s="0" t="n">
        <v>5.73</v>
      </c>
      <c r="L18" s="0" t="n">
        <v>8758</v>
      </c>
      <c r="O18" s="0" t="n">
        <v>42967</v>
      </c>
      <c r="P18" s="0" t="n">
        <v>71059</v>
      </c>
      <c r="Q18" s="0" t="n">
        <v>28092</v>
      </c>
      <c r="R18" s="0" t="n">
        <v>14489</v>
      </c>
      <c r="S18" s="0" t="n">
        <v>104</v>
      </c>
      <c r="T18" s="0" t="n">
        <v>289.079</v>
      </c>
      <c r="AA18" s="0" t="s">
        <v>17</v>
      </c>
      <c r="AB18" s="0" t="s">
        <v>14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L52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customHeight="false" zeroHeight="false" outlineLevelRow="0" outlineLevelCol="0"/>
  <cols>
    <col collapsed="false" customWidth="true" hidden="false" outlineLevel="0" max="1" min="1" style="0" width="44"/>
  </cols>
  <sheetData>
    <row r="1" customFormat="false" ht="15" hidden="false" customHeight="false" outlineLevel="0" collapsed="false">
      <c r="A1" s="2" t="s">
        <v>80</v>
      </c>
      <c r="B1" s="2" t="s">
        <v>81</v>
      </c>
    </row>
    <row r="2" customFormat="false" ht="15" hidden="false" customHeight="false" outlineLevel="0" collapsed="false">
      <c r="A2" s="0" t="s">
        <v>82</v>
      </c>
      <c r="B2" s="3" t="n">
        <v>186.67</v>
      </c>
    </row>
    <row r="3" customFormat="false" ht="15" hidden="false" customHeight="false" outlineLevel="0" collapsed="false">
      <c r="A3" s="0" t="s">
        <v>83</v>
      </c>
      <c r="B3" s="3" t="n">
        <v>280</v>
      </c>
    </row>
    <row r="4" customFormat="false" ht="15" hidden="false" customHeight="false" outlineLevel="0" collapsed="false">
      <c r="A4" s="0" t="s">
        <v>84</v>
      </c>
      <c r="B4" s="3" t="n">
        <v>12152</v>
      </c>
    </row>
    <row r="5" customFormat="false" ht="15" hidden="false" customHeight="false" outlineLevel="0" collapsed="false">
      <c r="A5" s="0" t="s">
        <v>85</v>
      </c>
      <c r="B5" s="3" t="n">
        <v>-6085</v>
      </c>
    </row>
    <row r="6" customFormat="false" ht="15" hidden="false" customHeight="false" outlineLevel="0" collapsed="false">
      <c r="A6" s="0" t="s">
        <v>86</v>
      </c>
      <c r="B6" s="3" t="n">
        <v>15</v>
      </c>
    </row>
    <row r="7" customFormat="false" ht="15" hidden="false" customHeight="false" outlineLevel="0" collapsed="false">
      <c r="A7" s="0" t="s">
        <v>87</v>
      </c>
      <c r="B7" s="3" t="n">
        <v>17102</v>
      </c>
    </row>
    <row r="8" customFormat="false" ht="15" hidden="false" customHeight="false" outlineLevel="0" collapsed="false">
      <c r="A8" s="0" t="s">
        <v>88</v>
      </c>
      <c r="B8" s="3" t="s">
        <v>89</v>
      </c>
    </row>
    <row r="9" customFormat="false" ht="15" hidden="false" customHeight="false" outlineLevel="0" collapsed="false">
      <c r="A9" s="0" t="s">
        <v>90</v>
      </c>
      <c r="B9" s="3" t="s">
        <v>91</v>
      </c>
    </row>
    <row r="10" customFormat="false" ht="15" hidden="false" customHeight="false" outlineLevel="0" collapsed="false">
      <c r="A10" s="0" t="s">
        <v>92</v>
      </c>
      <c r="B10" s="3" t="n">
        <v>1</v>
      </c>
    </row>
    <row r="12" customFormat="false" ht="15" hidden="false" customHeight="false" outlineLevel="0" collapsed="false">
      <c r="A12" s="2" t="s">
        <v>93</v>
      </c>
      <c r="C12" s="2" t="s">
        <v>94</v>
      </c>
      <c r="D12" s="2" t="s">
        <v>95</v>
      </c>
      <c r="E12" s="2" t="s">
        <v>96</v>
      </c>
      <c r="F12" s="2" t="s">
        <v>97</v>
      </c>
      <c r="G12" s="2" t="s">
        <v>98</v>
      </c>
      <c r="H12" s="2" t="s">
        <v>99</v>
      </c>
      <c r="I12" s="2" t="s">
        <v>100</v>
      </c>
      <c r="J12" s="2" t="s">
        <v>101</v>
      </c>
      <c r="K12" s="2" t="s">
        <v>102</v>
      </c>
      <c r="L12" s="2" t="s">
        <v>103</v>
      </c>
    </row>
    <row r="13" customFormat="false" ht="15" hidden="false" customHeight="false" outlineLevel="0" collapsed="false">
      <c r="A13" s="0" t="s">
        <v>104</v>
      </c>
      <c r="C13" s="3" t="n">
        <v>-15.5</v>
      </c>
      <c r="D13" s="3" t="n">
        <v>1.5</v>
      </c>
      <c r="E13" s="3" t="n">
        <v>1.5</v>
      </c>
      <c r="F13" s="3" t="n">
        <v>1.5</v>
      </c>
      <c r="G13" s="3" t="n">
        <v>1.5</v>
      </c>
      <c r="H13" s="3" t="n">
        <v>1.5</v>
      </c>
      <c r="I13" s="3" t="n">
        <v>1.5</v>
      </c>
      <c r="J13" s="3" t="n">
        <v>1.5</v>
      </c>
      <c r="K13" s="3" t="n">
        <v>1.5</v>
      </c>
      <c r="L13" s="3" t="n">
        <v>1.5</v>
      </c>
    </row>
    <row r="14" customFormat="false" ht="15" hidden="false" customHeight="false" outlineLevel="0" collapsed="false">
      <c r="A14" s="0" t="s">
        <v>105</v>
      </c>
      <c r="C14" s="3" t="n">
        <v>65</v>
      </c>
      <c r="D14" s="3" t="n">
        <v>64.5</v>
      </c>
      <c r="E14" s="3" t="n">
        <v>64</v>
      </c>
      <c r="F14" s="3" t="n">
        <v>63.5</v>
      </c>
      <c r="G14" s="3" t="n">
        <v>63</v>
      </c>
      <c r="H14" s="3" t="n">
        <v>63</v>
      </c>
      <c r="I14" s="3" t="n">
        <v>62.5</v>
      </c>
      <c r="J14" s="3" t="n">
        <v>62.5</v>
      </c>
      <c r="K14" s="3" t="n">
        <v>62</v>
      </c>
      <c r="L14" s="3" t="n">
        <v>62</v>
      </c>
    </row>
    <row r="15" customFormat="false" ht="15" hidden="false" customHeight="false" outlineLevel="0" collapsed="false">
      <c r="A15" s="0" t="s">
        <v>106</v>
      </c>
      <c r="C15" s="3" t="n">
        <v>0.5</v>
      </c>
      <c r="D15" s="3" t="n">
        <v>0.5</v>
      </c>
      <c r="E15" s="3" t="n">
        <v>0.5</v>
      </c>
      <c r="F15" s="3" t="n">
        <v>0.5</v>
      </c>
      <c r="G15" s="3" t="n">
        <v>0.5</v>
      </c>
      <c r="H15" s="3" t="n">
        <v>0.5</v>
      </c>
      <c r="I15" s="3" t="n">
        <v>0.5</v>
      </c>
      <c r="J15" s="3" t="n">
        <v>0.5</v>
      </c>
      <c r="K15" s="3" t="n">
        <v>0.5</v>
      </c>
      <c r="L15" s="3" t="n">
        <v>0.5</v>
      </c>
    </row>
    <row r="16" customFormat="false" ht="15" hidden="false" customHeight="false" outlineLevel="0" collapsed="false">
      <c r="A16" s="0" t="s">
        <v>107</v>
      </c>
      <c r="C16" s="3" t="n">
        <v>0</v>
      </c>
      <c r="D16" s="3" t="n">
        <v>0</v>
      </c>
      <c r="E16" s="3" t="n">
        <v>0</v>
      </c>
      <c r="F16" s="3" t="n">
        <v>0</v>
      </c>
      <c r="G16" s="3" t="n">
        <v>0</v>
      </c>
      <c r="H16" s="3" t="n">
        <v>0</v>
      </c>
      <c r="I16" s="3" t="n">
        <v>0</v>
      </c>
      <c r="J16" s="3" t="n">
        <v>0</v>
      </c>
      <c r="K16" s="3" t="n">
        <v>0</v>
      </c>
      <c r="L16" s="3" t="n">
        <v>0</v>
      </c>
    </row>
    <row r="17" customFormat="false" ht="15" hidden="false" customHeight="false" outlineLevel="0" collapsed="false">
      <c r="A17" s="0" t="s">
        <v>108</v>
      </c>
      <c r="C17" s="3" t="n">
        <v>35</v>
      </c>
      <c r="D17" s="3" t="n">
        <v>34.5</v>
      </c>
      <c r="E17" s="3" t="n">
        <v>34</v>
      </c>
      <c r="F17" s="3" t="n">
        <v>33.5</v>
      </c>
      <c r="G17" s="3" t="n">
        <v>33</v>
      </c>
      <c r="H17" s="3" t="n">
        <v>33</v>
      </c>
      <c r="I17" s="3" t="n">
        <v>32.5</v>
      </c>
      <c r="J17" s="3" t="n">
        <v>32.5</v>
      </c>
      <c r="K17" s="3" t="n">
        <v>32</v>
      </c>
      <c r="L17" s="3" t="n">
        <v>32</v>
      </c>
    </row>
    <row r="18" customFormat="false" ht="15" hidden="false" customHeight="false" outlineLevel="0" collapsed="false">
      <c r="A18" s="0" t="s">
        <v>109</v>
      </c>
      <c r="C18" s="3" t="n">
        <v>26</v>
      </c>
      <c r="D18" s="3" t="n">
        <v>26.5</v>
      </c>
      <c r="E18" s="3" t="n">
        <v>27</v>
      </c>
      <c r="F18" s="3" t="n">
        <v>27.5</v>
      </c>
      <c r="G18" s="3" t="n">
        <v>28</v>
      </c>
      <c r="H18" s="3" t="n">
        <v>28</v>
      </c>
      <c r="I18" s="3" t="n">
        <v>28.5</v>
      </c>
      <c r="J18" s="3" t="n">
        <v>28.5</v>
      </c>
      <c r="K18" s="3" t="n">
        <v>29</v>
      </c>
      <c r="L18" s="3" t="n">
        <v>29</v>
      </c>
    </row>
    <row r="19" customFormat="false" ht="15" hidden="false" customHeight="false" outlineLevel="0" collapsed="false">
      <c r="A19" s="0" t="s">
        <v>110</v>
      </c>
      <c r="C19" s="3" t="n">
        <v>20</v>
      </c>
      <c r="D19" s="3" t="n">
        <v>20</v>
      </c>
      <c r="E19" s="3" t="n">
        <v>20</v>
      </c>
      <c r="F19" s="3" t="n">
        <v>20</v>
      </c>
      <c r="G19" s="3" t="n">
        <v>20</v>
      </c>
      <c r="H19" s="3" t="n">
        <v>20</v>
      </c>
      <c r="I19" s="3" t="n">
        <v>20</v>
      </c>
      <c r="J19" s="3" t="n">
        <v>20</v>
      </c>
      <c r="K19" s="3" t="n">
        <v>20</v>
      </c>
      <c r="L19" s="3" t="n">
        <v>20</v>
      </c>
    </row>
    <row r="20" customFormat="false" ht="15" hidden="false" customHeight="false" outlineLevel="0" collapsed="false">
      <c r="A20" s="0" t="s">
        <v>111</v>
      </c>
      <c r="B20" s="3" t="n">
        <v>9.5</v>
      </c>
    </row>
    <row r="21" customFormat="false" ht="15" hidden="false" customHeight="false" outlineLevel="0" collapsed="false">
      <c r="A21" s="0" t="s">
        <v>112</v>
      </c>
      <c r="B21" s="3" t="n">
        <v>1</v>
      </c>
    </row>
    <row r="22" customFormat="false" ht="15" hidden="false" customHeight="false" outlineLevel="0" collapsed="false">
      <c r="A22" s="0" t="s">
        <v>113</v>
      </c>
      <c r="B22" s="3" t="n">
        <v>12</v>
      </c>
    </row>
    <row r="23" customFormat="false" ht="15" hidden="false" customHeight="false" outlineLevel="0" collapsed="false">
      <c r="A23" s="0" t="s">
        <v>114</v>
      </c>
      <c r="B23" s="3" t="n">
        <v>0</v>
      </c>
    </row>
    <row r="24" customFormat="false" ht="15" hidden="false" customHeight="false" outlineLevel="0" collapsed="false">
      <c r="A24" s="0" t="s">
        <v>115</v>
      </c>
      <c r="B24" s="3" t="n">
        <v>0.25</v>
      </c>
    </row>
    <row r="26" customFormat="false" ht="15" hidden="false" customHeight="false" outlineLevel="0" collapsed="false">
      <c r="A26" s="2" t="s">
        <v>116</v>
      </c>
      <c r="C26" s="2" t="s">
        <v>94</v>
      </c>
      <c r="D26" s="2" t="s">
        <v>95</v>
      </c>
      <c r="E26" s="2" t="s">
        <v>96</v>
      </c>
      <c r="F26" s="2" t="s">
        <v>97</v>
      </c>
      <c r="G26" s="2" t="s">
        <v>98</v>
      </c>
      <c r="H26" s="2" t="s">
        <v>99</v>
      </c>
      <c r="I26" s="2" t="s">
        <v>100</v>
      </c>
      <c r="J26" s="2" t="s">
        <v>101</v>
      </c>
      <c r="K26" s="2" t="s">
        <v>102</v>
      </c>
      <c r="L26" s="2" t="s">
        <v>103</v>
      </c>
    </row>
    <row r="27" customFormat="false" ht="15" hidden="false" customHeight="false" outlineLevel="0" collapsed="false">
      <c r="A27" s="0" t="s">
        <v>104</v>
      </c>
      <c r="C27" s="3" t="n">
        <v>-1</v>
      </c>
      <c r="D27" s="3" t="n">
        <v>3.5</v>
      </c>
      <c r="E27" s="3" t="n">
        <v>3.5</v>
      </c>
      <c r="F27" s="3" t="n">
        <v>3.5</v>
      </c>
      <c r="G27" s="3" t="n">
        <v>3</v>
      </c>
      <c r="H27" s="3" t="n">
        <v>3</v>
      </c>
      <c r="I27" s="3" t="n">
        <v>2.5</v>
      </c>
      <c r="J27" s="3" t="n">
        <v>2.5</v>
      </c>
      <c r="K27" s="3" t="n">
        <v>2.5</v>
      </c>
      <c r="L27" s="3" t="n">
        <v>2.5</v>
      </c>
    </row>
    <row r="28" customFormat="false" ht="15" hidden="false" customHeight="false" outlineLevel="0" collapsed="false">
      <c r="A28" s="0" t="s">
        <v>105</v>
      </c>
      <c r="C28" s="3" t="n">
        <v>68</v>
      </c>
      <c r="D28" s="3" t="n">
        <v>68</v>
      </c>
      <c r="E28" s="3" t="n">
        <v>68</v>
      </c>
      <c r="F28" s="3" t="n">
        <v>67.5</v>
      </c>
      <c r="G28" s="3" t="n">
        <v>67.5</v>
      </c>
      <c r="H28" s="3" t="n">
        <v>67</v>
      </c>
      <c r="I28" s="3" t="n">
        <v>67</v>
      </c>
      <c r="J28" s="3" t="n">
        <v>66.5</v>
      </c>
      <c r="K28" s="3" t="n">
        <v>66.5</v>
      </c>
      <c r="L28" s="3" t="n">
        <v>66.5</v>
      </c>
    </row>
    <row r="29" customFormat="false" ht="15" hidden="false" customHeight="false" outlineLevel="0" collapsed="false">
      <c r="A29" s="0" t="s">
        <v>106</v>
      </c>
      <c r="C29" s="3" t="n">
        <v>0.5</v>
      </c>
      <c r="D29" s="3" t="n">
        <v>0.5</v>
      </c>
      <c r="E29" s="3" t="n">
        <v>0.5</v>
      </c>
      <c r="F29" s="3" t="n">
        <v>0.5</v>
      </c>
      <c r="G29" s="3" t="n">
        <v>0.5</v>
      </c>
      <c r="H29" s="3" t="n">
        <v>0.5</v>
      </c>
      <c r="I29" s="3" t="n">
        <v>0.5</v>
      </c>
      <c r="J29" s="3" t="n">
        <v>0.5</v>
      </c>
      <c r="K29" s="3" t="n">
        <v>0.5</v>
      </c>
      <c r="L29" s="3" t="n">
        <v>0.5</v>
      </c>
    </row>
    <row r="30" customFormat="false" ht="15" hidden="false" customHeight="false" outlineLevel="0" collapsed="false">
      <c r="A30" s="0" t="s">
        <v>107</v>
      </c>
      <c r="C30" s="3" t="n">
        <v>0</v>
      </c>
      <c r="D30" s="3" t="n">
        <v>0</v>
      </c>
      <c r="E30" s="3" t="n">
        <v>0</v>
      </c>
      <c r="F30" s="3" t="n">
        <v>0</v>
      </c>
      <c r="G30" s="3" t="n">
        <v>0</v>
      </c>
      <c r="H30" s="3" t="n">
        <v>0</v>
      </c>
      <c r="I30" s="3" t="n">
        <v>0</v>
      </c>
      <c r="J30" s="3" t="n">
        <v>0</v>
      </c>
      <c r="K30" s="3" t="n">
        <v>0</v>
      </c>
      <c r="L30" s="3" t="n">
        <v>0</v>
      </c>
    </row>
    <row r="31" customFormat="false" ht="15" hidden="false" customHeight="false" outlineLevel="0" collapsed="false">
      <c r="A31" s="0" t="s">
        <v>108</v>
      </c>
      <c r="C31" s="3" t="n">
        <v>30.5</v>
      </c>
      <c r="D31" s="3" t="n">
        <v>30.5</v>
      </c>
      <c r="E31" s="3" t="n">
        <v>30</v>
      </c>
      <c r="F31" s="3" t="n">
        <v>30</v>
      </c>
      <c r="G31" s="3" t="n">
        <v>30</v>
      </c>
      <c r="H31" s="3" t="n">
        <v>29.5</v>
      </c>
      <c r="I31" s="3" t="n">
        <v>29.5</v>
      </c>
      <c r="J31" s="3" t="n">
        <v>29.5</v>
      </c>
      <c r="K31" s="3" t="n">
        <v>29</v>
      </c>
      <c r="L31" s="3" t="n">
        <v>29</v>
      </c>
    </row>
    <row r="32" customFormat="false" ht="15" hidden="false" customHeight="false" outlineLevel="0" collapsed="false">
      <c r="A32" s="0" t="s">
        <v>109</v>
      </c>
      <c r="C32" s="3" t="n">
        <v>23.5</v>
      </c>
      <c r="D32" s="3" t="n">
        <v>23.5</v>
      </c>
      <c r="E32" s="3" t="n">
        <v>24</v>
      </c>
      <c r="F32" s="3" t="n">
        <v>24</v>
      </c>
      <c r="G32" s="3" t="n">
        <v>24.5</v>
      </c>
      <c r="H32" s="3" t="n">
        <v>24.5</v>
      </c>
      <c r="I32" s="3" t="n">
        <v>25</v>
      </c>
      <c r="J32" s="3" t="n">
        <v>25</v>
      </c>
      <c r="K32" s="3" t="n">
        <v>25.5</v>
      </c>
      <c r="L32" s="3" t="n">
        <v>25.5</v>
      </c>
    </row>
    <row r="33" customFormat="false" ht="15" hidden="false" customHeight="false" outlineLevel="0" collapsed="false">
      <c r="A33" s="0" t="s">
        <v>110</v>
      </c>
      <c r="C33" s="3" t="n">
        <v>20</v>
      </c>
      <c r="D33" s="3" t="n">
        <v>20</v>
      </c>
      <c r="E33" s="3" t="n">
        <v>20</v>
      </c>
      <c r="F33" s="3" t="n">
        <v>20</v>
      </c>
      <c r="G33" s="3" t="n">
        <v>20</v>
      </c>
      <c r="H33" s="3" t="n">
        <v>20</v>
      </c>
      <c r="I33" s="3" t="n">
        <v>20</v>
      </c>
      <c r="J33" s="3" t="n">
        <v>20</v>
      </c>
      <c r="K33" s="3" t="n">
        <v>20</v>
      </c>
      <c r="L33" s="3" t="n">
        <v>20</v>
      </c>
    </row>
    <row r="34" customFormat="false" ht="15" hidden="false" customHeight="false" outlineLevel="0" collapsed="false">
      <c r="A34" s="0" t="s">
        <v>111</v>
      </c>
      <c r="B34" s="3" t="n">
        <v>9.5</v>
      </c>
    </row>
    <row r="35" customFormat="false" ht="15" hidden="false" customHeight="false" outlineLevel="0" collapsed="false">
      <c r="A35" s="0" t="s">
        <v>112</v>
      </c>
      <c r="B35" s="3" t="n">
        <v>1.5</v>
      </c>
    </row>
    <row r="36" customFormat="false" ht="15" hidden="false" customHeight="false" outlineLevel="0" collapsed="false">
      <c r="A36" s="0" t="s">
        <v>113</v>
      </c>
      <c r="B36" s="3" t="n">
        <v>12</v>
      </c>
    </row>
    <row r="37" customFormat="false" ht="15" hidden="false" customHeight="false" outlineLevel="0" collapsed="false">
      <c r="A37" s="0" t="s">
        <v>114</v>
      </c>
      <c r="B37" s="3" t="n">
        <v>0</v>
      </c>
    </row>
    <row r="38" customFormat="false" ht="15" hidden="false" customHeight="false" outlineLevel="0" collapsed="false">
      <c r="A38" s="0" t="s">
        <v>115</v>
      </c>
      <c r="B38" s="3" t="n">
        <v>0.5</v>
      </c>
    </row>
    <row r="40" customFormat="false" ht="15" hidden="false" customHeight="false" outlineLevel="0" collapsed="false">
      <c r="A40" s="2" t="s">
        <v>117</v>
      </c>
      <c r="C40" s="2" t="s">
        <v>94</v>
      </c>
      <c r="D40" s="2" t="s">
        <v>95</v>
      </c>
      <c r="E40" s="2" t="s">
        <v>96</v>
      </c>
      <c r="F40" s="2" t="s">
        <v>97</v>
      </c>
      <c r="G40" s="2" t="s">
        <v>98</v>
      </c>
      <c r="H40" s="2" t="s">
        <v>99</v>
      </c>
      <c r="I40" s="2" t="s">
        <v>100</v>
      </c>
      <c r="J40" s="2" t="s">
        <v>101</v>
      </c>
      <c r="K40" s="2" t="s">
        <v>102</v>
      </c>
      <c r="L40" s="2" t="s">
        <v>103</v>
      </c>
    </row>
    <row r="41" customFormat="false" ht="15" hidden="false" customHeight="false" outlineLevel="0" collapsed="false">
      <c r="A41" s="0" t="s">
        <v>104</v>
      </c>
      <c r="C41" s="3" t="n">
        <v>20</v>
      </c>
      <c r="D41" s="3" t="n">
        <v>4.5</v>
      </c>
      <c r="E41" s="3" t="n">
        <v>4.5</v>
      </c>
      <c r="F41" s="3" t="n">
        <v>4</v>
      </c>
      <c r="G41" s="3" t="n">
        <v>4</v>
      </c>
      <c r="H41" s="3" t="n">
        <v>3.5</v>
      </c>
      <c r="I41" s="3" t="n">
        <v>3.5</v>
      </c>
      <c r="J41" s="3" t="n">
        <v>3</v>
      </c>
      <c r="K41" s="3" t="n">
        <v>3</v>
      </c>
      <c r="L41" s="3" t="n">
        <v>3</v>
      </c>
    </row>
    <row r="42" customFormat="false" ht="15" hidden="false" customHeight="false" outlineLevel="0" collapsed="false">
      <c r="A42" s="0" t="s">
        <v>105</v>
      </c>
      <c r="C42" s="3" t="n">
        <v>71.5</v>
      </c>
      <c r="D42" s="3" t="n">
        <v>71.5</v>
      </c>
      <c r="E42" s="3" t="n">
        <v>71.5</v>
      </c>
      <c r="F42" s="3" t="n">
        <v>71</v>
      </c>
      <c r="G42" s="3" t="n">
        <v>71</v>
      </c>
      <c r="H42" s="3" t="n">
        <v>70.5</v>
      </c>
      <c r="I42" s="3" t="n">
        <v>70.5</v>
      </c>
      <c r="J42" s="3" t="n">
        <v>70</v>
      </c>
      <c r="K42" s="3" t="n">
        <v>70</v>
      </c>
      <c r="L42" s="3" t="n">
        <v>70</v>
      </c>
    </row>
    <row r="43" customFormat="false" ht="15" hidden="false" customHeight="false" outlineLevel="0" collapsed="false">
      <c r="A43" s="0" t="s">
        <v>106</v>
      </c>
      <c r="C43" s="3" t="n">
        <v>0.5</v>
      </c>
      <c r="D43" s="3" t="n">
        <v>0.5</v>
      </c>
      <c r="E43" s="3" t="n">
        <v>0.5</v>
      </c>
      <c r="F43" s="3" t="n">
        <v>0.5</v>
      </c>
      <c r="G43" s="3" t="n">
        <v>0.5</v>
      </c>
      <c r="H43" s="3" t="n">
        <v>0.5</v>
      </c>
      <c r="I43" s="3" t="n">
        <v>0.5</v>
      </c>
      <c r="J43" s="3" t="n">
        <v>0.5</v>
      </c>
      <c r="K43" s="3" t="n">
        <v>0.5</v>
      </c>
      <c r="L43" s="3" t="n">
        <v>0.5</v>
      </c>
    </row>
    <row r="44" customFormat="false" ht="15" hidden="false" customHeight="false" outlineLevel="0" collapsed="false">
      <c r="A44" s="0" t="s">
        <v>107</v>
      </c>
      <c r="C44" s="3" t="n">
        <v>0</v>
      </c>
      <c r="D44" s="3" t="n">
        <v>0</v>
      </c>
      <c r="E44" s="3" t="n">
        <v>0</v>
      </c>
      <c r="F44" s="3" t="n">
        <v>0</v>
      </c>
      <c r="G44" s="3" t="n">
        <v>0</v>
      </c>
      <c r="H44" s="3" t="n">
        <v>0</v>
      </c>
      <c r="I44" s="3" t="n">
        <v>0</v>
      </c>
      <c r="J44" s="3" t="n">
        <v>0</v>
      </c>
      <c r="K44" s="3" t="n">
        <v>0</v>
      </c>
      <c r="L44" s="3" t="n">
        <v>0</v>
      </c>
    </row>
    <row r="45" customFormat="false" ht="15" hidden="false" customHeight="false" outlineLevel="0" collapsed="false">
      <c r="A45" s="0" t="s">
        <v>108</v>
      </c>
      <c r="C45" s="3" t="n">
        <v>26</v>
      </c>
      <c r="D45" s="3" t="n">
        <v>26</v>
      </c>
      <c r="E45" s="3" t="n">
        <v>25.5</v>
      </c>
      <c r="F45" s="3" t="n">
        <v>25.5</v>
      </c>
      <c r="G45" s="3" t="n">
        <v>25</v>
      </c>
      <c r="H45" s="3" t="n">
        <v>25</v>
      </c>
      <c r="I45" s="3" t="n">
        <v>25</v>
      </c>
      <c r="J45" s="3" t="n">
        <v>24.5</v>
      </c>
      <c r="K45" s="3" t="n">
        <v>24.5</v>
      </c>
      <c r="L45" s="3" t="n">
        <v>24.5</v>
      </c>
    </row>
    <row r="46" customFormat="false" ht="15" hidden="false" customHeight="false" outlineLevel="0" collapsed="false">
      <c r="A46" s="0" t="s">
        <v>109</v>
      </c>
      <c r="C46" s="3" t="n">
        <v>22</v>
      </c>
      <c r="D46" s="3" t="n">
        <v>22</v>
      </c>
      <c r="E46" s="3" t="n">
        <v>22.5</v>
      </c>
      <c r="F46" s="3" t="n">
        <v>22.5</v>
      </c>
      <c r="G46" s="3" t="n">
        <v>23</v>
      </c>
      <c r="H46" s="3" t="n">
        <v>23</v>
      </c>
      <c r="I46" s="3" t="n">
        <v>23</v>
      </c>
      <c r="J46" s="3" t="n">
        <v>23.5</v>
      </c>
      <c r="K46" s="3" t="n">
        <v>23.5</v>
      </c>
      <c r="L46" s="3" t="n">
        <v>23.5</v>
      </c>
    </row>
    <row r="47" customFormat="false" ht="15" hidden="false" customHeight="false" outlineLevel="0" collapsed="false">
      <c r="A47" s="0" t="s">
        <v>110</v>
      </c>
      <c r="C47" s="3" t="n">
        <v>20</v>
      </c>
      <c r="D47" s="3" t="n">
        <v>20</v>
      </c>
      <c r="E47" s="3" t="n">
        <v>20</v>
      </c>
      <c r="F47" s="3" t="n">
        <v>20</v>
      </c>
      <c r="G47" s="3" t="n">
        <v>20</v>
      </c>
      <c r="H47" s="3" t="n">
        <v>20</v>
      </c>
      <c r="I47" s="3" t="n">
        <v>20</v>
      </c>
      <c r="J47" s="3" t="n">
        <v>20</v>
      </c>
      <c r="K47" s="3" t="n">
        <v>20</v>
      </c>
      <c r="L47" s="3" t="n">
        <v>20</v>
      </c>
    </row>
    <row r="48" customFormat="false" ht="15" hidden="false" customHeight="false" outlineLevel="0" collapsed="false">
      <c r="A48" s="0" t="s">
        <v>111</v>
      </c>
      <c r="B48" s="3" t="n">
        <v>9.5</v>
      </c>
    </row>
    <row r="49" customFormat="false" ht="15" hidden="false" customHeight="false" outlineLevel="0" collapsed="false">
      <c r="A49" s="0" t="s">
        <v>112</v>
      </c>
      <c r="B49" s="3" t="n">
        <v>2</v>
      </c>
    </row>
    <row r="50" customFormat="false" ht="15" hidden="false" customHeight="false" outlineLevel="0" collapsed="false">
      <c r="A50" s="0" t="s">
        <v>113</v>
      </c>
      <c r="B50" s="3" t="n">
        <v>12</v>
      </c>
    </row>
    <row r="51" customFormat="false" ht="15" hidden="false" customHeight="false" outlineLevel="0" collapsed="false">
      <c r="A51" s="0" t="s">
        <v>114</v>
      </c>
      <c r="B51" s="3" t="n">
        <v>0</v>
      </c>
    </row>
    <row r="52" customFormat="false" ht="15" hidden="false" customHeight="false" outlineLevel="0" collapsed="false">
      <c r="A52" s="0" t="s">
        <v>115</v>
      </c>
      <c r="B52" s="3" t="n">
        <v>0.25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L47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customHeight="false" zeroHeight="false" outlineLevelRow="0" outlineLevelCol="0"/>
  <cols>
    <col collapsed="false" customWidth="true" hidden="false" outlineLevel="0" max="1" min="1" style="0" width="52"/>
  </cols>
  <sheetData>
    <row r="1" customFormat="false" ht="15" hidden="false" customHeight="false" outlineLevel="0" collapsed="false">
      <c r="A1" s="2" t="s">
        <v>118</v>
      </c>
    </row>
    <row r="3" customFormat="false" ht="15" hidden="false" customHeight="false" outlineLevel="0" collapsed="false">
      <c r="A3" s="0" t="s">
        <v>119</v>
      </c>
      <c r="B3" s="0" t="s">
        <v>89</v>
      </c>
      <c r="C3" s="2" t="s">
        <v>94</v>
      </c>
      <c r="D3" s="2" t="s">
        <v>95</v>
      </c>
      <c r="E3" s="2" t="s">
        <v>96</v>
      </c>
      <c r="F3" s="2" t="s">
        <v>97</v>
      </c>
      <c r="G3" s="2" t="s">
        <v>98</v>
      </c>
      <c r="H3" s="2" t="s">
        <v>99</v>
      </c>
      <c r="I3" s="2" t="s">
        <v>100</v>
      </c>
      <c r="J3" s="2" t="s">
        <v>101</v>
      </c>
      <c r="K3" s="2" t="s">
        <v>102</v>
      </c>
      <c r="L3" s="2" t="s">
        <v>103</v>
      </c>
    </row>
    <row r="4" customFormat="false" ht="15" hidden="false" customHeight="false" outlineLevel="0" collapsed="false">
      <c r="A4" s="0" t="s">
        <v>120</v>
      </c>
      <c r="B4" s="0" t="n">
        <v>0</v>
      </c>
      <c r="C4" s="0" t="n">
        <f aca="false">B4+1</f>
        <v>1</v>
      </c>
      <c r="D4" s="0" t="n">
        <f aca="false">C4+1</f>
        <v>2</v>
      </c>
      <c r="E4" s="0" t="n">
        <f aca="false">D4+1</f>
        <v>3</v>
      </c>
      <c r="F4" s="0" t="n">
        <f aca="false">E4+1</f>
        <v>4</v>
      </c>
      <c r="G4" s="0" t="n">
        <f aca="false">F4+1</f>
        <v>5</v>
      </c>
      <c r="H4" s="0" t="n">
        <f aca="false">G4+1</f>
        <v>6</v>
      </c>
      <c r="I4" s="0" t="n">
        <f aca="false">H4+1</f>
        <v>7</v>
      </c>
      <c r="J4" s="0" t="n">
        <f aca="false">I4+1</f>
        <v>8</v>
      </c>
      <c r="K4" s="0" t="n">
        <f aca="false">J4+1</f>
        <v>9</v>
      </c>
      <c r="L4" s="0" t="n">
        <f aca="false">K4+1</f>
        <v>10</v>
      </c>
    </row>
    <row r="5" customFormat="false" ht="15" hidden="false" customHeight="false" outlineLevel="0" collapsed="false">
      <c r="A5" s="0" t="s">
        <v>104</v>
      </c>
      <c r="C5" s="4" t="n">
        <f aca="false">Assumptions!C13</f>
        <v>-15.5</v>
      </c>
      <c r="D5" s="4" t="n">
        <f aca="false">Assumptions!D13</f>
        <v>1.5</v>
      </c>
      <c r="E5" s="4" t="n">
        <f aca="false">Assumptions!E13</f>
        <v>1.5</v>
      </c>
      <c r="F5" s="4" t="n">
        <f aca="false">Assumptions!F13</f>
        <v>1.5</v>
      </c>
      <c r="G5" s="4" t="n">
        <f aca="false">Assumptions!G13</f>
        <v>1.5</v>
      </c>
      <c r="H5" s="4" t="n">
        <f aca="false">Assumptions!H13</f>
        <v>1.5</v>
      </c>
      <c r="I5" s="4" t="n">
        <f aca="false">Assumptions!I13</f>
        <v>1.5</v>
      </c>
      <c r="J5" s="4" t="n">
        <f aca="false">Assumptions!J13</f>
        <v>1.5</v>
      </c>
      <c r="K5" s="4" t="n">
        <f aca="false">Assumptions!K13</f>
        <v>1.5</v>
      </c>
      <c r="L5" s="4" t="n">
        <f aca="false">Assumptions!L13</f>
        <v>1.5</v>
      </c>
    </row>
    <row r="6" customFormat="false" ht="15" hidden="false" customHeight="false" outlineLevel="0" collapsed="false">
      <c r="A6" s="0" t="s">
        <v>37</v>
      </c>
      <c r="B6" s="3" t="n">
        <v>17102</v>
      </c>
      <c r="C6" s="0" t="n">
        <f aca="false">B6*(1+C5/100)</f>
        <v>14451.19</v>
      </c>
      <c r="D6" s="0" t="n">
        <f aca="false">C6*(1+D5/100)</f>
        <v>14667.95785</v>
      </c>
      <c r="E6" s="0" t="n">
        <f aca="false">D6*(1+E5/100)</f>
        <v>14887.97721775</v>
      </c>
      <c r="F6" s="0" t="n">
        <f aca="false">E6*(1+F5/100)</f>
        <v>15111.2968760162</v>
      </c>
      <c r="G6" s="0" t="n">
        <f aca="false">F6*(1+G5/100)</f>
        <v>15337.9663291565</v>
      </c>
      <c r="H6" s="0" t="n">
        <f aca="false">G6*(1+H5/100)</f>
        <v>15568.0358240938</v>
      </c>
      <c r="I6" s="0" t="n">
        <f aca="false">H6*(1+I5/100)</f>
        <v>15801.5563614552</v>
      </c>
      <c r="J6" s="0" t="n">
        <f aca="false">I6*(1+J5/100)</f>
        <v>16038.5797068771</v>
      </c>
      <c r="K6" s="0" t="n">
        <f aca="false">J6*(1+K5/100)</f>
        <v>16279.1584024802</v>
      </c>
      <c r="L6" s="0" t="n">
        <f aca="false">K6*(1+L5/100)</f>
        <v>16523.3457785174</v>
      </c>
    </row>
    <row r="7" customFormat="false" ht="15" hidden="false" customHeight="false" outlineLevel="0" collapsed="false">
      <c r="A7" s="0" t="s">
        <v>105</v>
      </c>
      <c r="C7" s="4" t="n">
        <f aca="false">Assumptions!C14</f>
        <v>65</v>
      </c>
      <c r="D7" s="4" t="n">
        <f aca="false">Assumptions!D14</f>
        <v>64.5</v>
      </c>
      <c r="E7" s="4" t="n">
        <f aca="false">Assumptions!E14</f>
        <v>64</v>
      </c>
      <c r="F7" s="4" t="n">
        <f aca="false">Assumptions!F14</f>
        <v>63.5</v>
      </c>
      <c r="G7" s="4" t="n">
        <f aca="false">Assumptions!G14</f>
        <v>63</v>
      </c>
      <c r="H7" s="4" t="n">
        <f aca="false">Assumptions!H14</f>
        <v>63</v>
      </c>
      <c r="I7" s="4" t="n">
        <f aca="false">Assumptions!I14</f>
        <v>62.5</v>
      </c>
      <c r="J7" s="4" t="n">
        <f aca="false">Assumptions!J14</f>
        <v>62.5</v>
      </c>
      <c r="K7" s="4" t="n">
        <f aca="false">Assumptions!K14</f>
        <v>62</v>
      </c>
      <c r="L7" s="4" t="n">
        <f aca="false">Assumptions!L14</f>
        <v>62</v>
      </c>
    </row>
    <row r="8" customFormat="false" ht="15" hidden="false" customHeight="false" outlineLevel="0" collapsed="false">
      <c r="A8" s="0" t="s">
        <v>43</v>
      </c>
      <c r="C8" s="0" t="n">
        <f aca="false">C6*C7/100</f>
        <v>9393.2735</v>
      </c>
      <c r="D8" s="0" t="n">
        <f aca="false">D6*D7/100</f>
        <v>9460.83281325</v>
      </c>
      <c r="E8" s="0" t="n">
        <f aca="false">E6*E7/100</f>
        <v>9528.30541936</v>
      </c>
      <c r="F8" s="0" t="n">
        <f aca="false">F6*F7/100</f>
        <v>9595.67351627032</v>
      </c>
      <c r="G8" s="0" t="n">
        <f aca="false">G6*G7/100</f>
        <v>9662.91878736859</v>
      </c>
      <c r="H8" s="0" t="n">
        <f aca="false">H6*H7/100</f>
        <v>9807.86256917912</v>
      </c>
      <c r="I8" s="0" t="n">
        <f aca="false">I6*I7/100</f>
        <v>9875.97272590953</v>
      </c>
      <c r="J8" s="0" t="n">
        <f aca="false">J6*J7/100</f>
        <v>10024.1123167982</v>
      </c>
      <c r="K8" s="0" t="n">
        <f aca="false">K6*K7/100</f>
        <v>10093.0782095377</v>
      </c>
      <c r="L8" s="0" t="n">
        <f aca="false">L6*L7/100</f>
        <v>10244.4743826808</v>
      </c>
    </row>
    <row r="9" customFormat="false" ht="15" hidden="false" customHeight="false" outlineLevel="0" collapsed="false">
      <c r="A9" s="0" t="s">
        <v>106</v>
      </c>
      <c r="C9" s="4" t="n">
        <f aca="false">Assumptions!C15</f>
        <v>0.5</v>
      </c>
      <c r="D9" s="4" t="n">
        <f aca="false">Assumptions!D15</f>
        <v>0.5</v>
      </c>
      <c r="E9" s="4" t="n">
        <f aca="false">Assumptions!E15</f>
        <v>0.5</v>
      </c>
      <c r="F9" s="4" t="n">
        <f aca="false">Assumptions!F15</f>
        <v>0.5</v>
      </c>
      <c r="G9" s="4" t="n">
        <f aca="false">Assumptions!G15</f>
        <v>0.5</v>
      </c>
      <c r="H9" s="4" t="n">
        <f aca="false">Assumptions!H15</f>
        <v>0.5</v>
      </c>
      <c r="I9" s="4" t="n">
        <f aca="false">Assumptions!I15</f>
        <v>0.5</v>
      </c>
      <c r="J9" s="4" t="n">
        <f aca="false">Assumptions!J15</f>
        <v>0.5</v>
      </c>
      <c r="K9" s="4" t="n">
        <f aca="false">Assumptions!K15</f>
        <v>0.5</v>
      </c>
      <c r="L9" s="4" t="n">
        <f aca="false">Assumptions!L15</f>
        <v>0.5</v>
      </c>
    </row>
    <row r="10" customFormat="false" ht="15" hidden="false" customHeight="false" outlineLevel="0" collapsed="false">
      <c r="A10" s="0" t="s">
        <v>121</v>
      </c>
      <c r="C10" s="0" t="n">
        <f aca="false">-C6*C9/100</f>
        <v>-72.25595</v>
      </c>
      <c r="D10" s="0" t="n">
        <f aca="false">-D6*D9/100</f>
        <v>-73.33978925</v>
      </c>
      <c r="E10" s="0" t="n">
        <f aca="false">-E6*E9/100</f>
        <v>-74.43988608875</v>
      </c>
      <c r="F10" s="0" t="n">
        <f aca="false">-F6*F9/100</f>
        <v>-75.5564843800812</v>
      </c>
      <c r="G10" s="0" t="n">
        <f aca="false">-G6*G9/100</f>
        <v>-76.6898316457824</v>
      </c>
      <c r="H10" s="0" t="n">
        <f aca="false">-H6*H9/100</f>
        <v>-77.8401791204692</v>
      </c>
      <c r="I10" s="0" t="n">
        <f aca="false">-I6*I9/100</f>
        <v>-79.0077818072762</v>
      </c>
      <c r="J10" s="0" t="n">
        <f aca="false">-J6*J9/100</f>
        <v>-80.1928985343853</v>
      </c>
      <c r="K10" s="0" t="n">
        <f aca="false">-K6*K9/100</f>
        <v>-81.3957920124011</v>
      </c>
      <c r="L10" s="0" t="n">
        <f aca="false">-L6*L9/100</f>
        <v>-82.6167288925871</v>
      </c>
    </row>
    <row r="11" customFormat="false" ht="15" hidden="false" customHeight="false" outlineLevel="0" collapsed="false">
      <c r="A11" s="0" t="s">
        <v>122</v>
      </c>
      <c r="C11" s="0" t="n">
        <f aca="false">C8+C10+C24</f>
        <v>9321.01755</v>
      </c>
      <c r="D11" s="0" t="n">
        <f aca="false">D8+D10+D24</f>
        <v>9387.493024</v>
      </c>
      <c r="E11" s="0" t="n">
        <f aca="false">E8+E10+E24</f>
        <v>9453.86553327125</v>
      </c>
      <c r="F11" s="0" t="n">
        <f aca="false">F8+F10+F24</f>
        <v>9520.11703189023</v>
      </c>
      <c r="G11" s="0" t="n">
        <f aca="false">G8+G10+G24</f>
        <v>9586.2289557228</v>
      </c>
      <c r="H11" s="0" t="n">
        <f aca="false">H8+H10+H24</f>
        <v>9730.02239005865</v>
      </c>
      <c r="I11" s="0" t="n">
        <f aca="false">I8+I10+I24</f>
        <v>9796.96494410225</v>
      </c>
      <c r="J11" s="0" t="n">
        <f aca="false">J8+J10+J24</f>
        <v>9943.91941826378</v>
      </c>
      <c r="K11" s="0" t="n">
        <f aca="false">K8+K10+K24</f>
        <v>10011.6824175253</v>
      </c>
      <c r="L11" s="0" t="n">
        <f aca="false">L8+L10+L24</f>
        <v>10161.8576537882</v>
      </c>
    </row>
    <row r="12" customFormat="false" ht="15" hidden="false" customHeight="false" outlineLevel="0" collapsed="false">
      <c r="A12" s="0" t="s">
        <v>123</v>
      </c>
      <c r="C12" s="4" t="n">
        <f aca="false">-C6*Assumptions!C17/100</f>
        <v>-5057.9165</v>
      </c>
      <c r="D12" s="4" t="n">
        <f aca="false">-D6*Assumptions!D17/100</f>
        <v>-5060.44545825</v>
      </c>
      <c r="E12" s="4" t="n">
        <f aca="false">-E6*Assumptions!E17/100</f>
        <v>-5061.912254035</v>
      </c>
      <c r="F12" s="4" t="n">
        <f aca="false">-F6*Assumptions!F17/100</f>
        <v>-5062.28445346544</v>
      </c>
      <c r="G12" s="4" t="n">
        <f aca="false">-G6*Assumptions!G17/100</f>
        <v>-5061.52888862164</v>
      </c>
      <c r="H12" s="4" t="n">
        <f aca="false">-H6*Assumptions!H17/100</f>
        <v>-5137.45182195097</v>
      </c>
      <c r="I12" s="4" t="n">
        <f aca="false">-I6*Assumptions!I17/100</f>
        <v>-5135.50581747295</v>
      </c>
      <c r="J12" s="4" t="n">
        <f aca="false">-J6*Assumptions!J17/100</f>
        <v>-5212.53840473505</v>
      </c>
      <c r="K12" s="4" t="n">
        <f aca="false">-K6*Assumptions!K17/100</f>
        <v>-5209.33068879367</v>
      </c>
      <c r="L12" s="4" t="n">
        <f aca="false">-L6*Assumptions!L17/100</f>
        <v>-5287.47064912558</v>
      </c>
    </row>
    <row r="13" customFormat="false" ht="15" hidden="false" customHeight="false" outlineLevel="0" collapsed="false">
      <c r="A13" s="0" t="s">
        <v>124</v>
      </c>
      <c r="C13" s="0" t="n">
        <f aca="false">C11+C12</f>
        <v>4263.10105</v>
      </c>
      <c r="D13" s="0" t="n">
        <f aca="false">D11+D12</f>
        <v>4327.04756575</v>
      </c>
      <c r="E13" s="0" t="n">
        <f aca="false">E11+E12</f>
        <v>4391.95327923625</v>
      </c>
      <c r="F13" s="0" t="n">
        <f aca="false">F11+F12</f>
        <v>4457.83257842479</v>
      </c>
      <c r="G13" s="0" t="n">
        <f aca="false">G11+G12</f>
        <v>4524.70006710116</v>
      </c>
      <c r="H13" s="0" t="n">
        <f aca="false">H11+H12</f>
        <v>4592.57056810768</v>
      </c>
      <c r="I13" s="0" t="n">
        <f aca="false">I11+I12</f>
        <v>4661.4591266293</v>
      </c>
      <c r="J13" s="0" t="n">
        <f aca="false">J11+J12</f>
        <v>4731.38101352873</v>
      </c>
      <c r="K13" s="0" t="n">
        <f aca="false">K11+K12</f>
        <v>4802.35172873166</v>
      </c>
      <c r="L13" s="0" t="n">
        <f aca="false">L11+L12</f>
        <v>4874.38700466264</v>
      </c>
    </row>
    <row r="14" customFormat="false" ht="15" hidden="false" customHeight="false" outlineLevel="0" collapsed="false">
      <c r="A14" s="0" t="s">
        <v>110</v>
      </c>
      <c r="C14" s="4" t="n">
        <f aca="false">Assumptions!C19</f>
        <v>20</v>
      </c>
      <c r="D14" s="4" t="n">
        <f aca="false">Assumptions!D19</f>
        <v>20</v>
      </c>
      <c r="E14" s="4" t="n">
        <f aca="false">Assumptions!E19</f>
        <v>20</v>
      </c>
      <c r="F14" s="4" t="n">
        <f aca="false">Assumptions!F19</f>
        <v>20</v>
      </c>
      <c r="G14" s="4" t="n">
        <f aca="false">Assumptions!G19</f>
        <v>20</v>
      </c>
      <c r="H14" s="4" t="n">
        <f aca="false">Assumptions!H19</f>
        <v>20</v>
      </c>
      <c r="I14" s="4" t="n">
        <f aca="false">Assumptions!I19</f>
        <v>20</v>
      </c>
      <c r="J14" s="4" t="n">
        <f aca="false">Assumptions!J19</f>
        <v>20</v>
      </c>
      <c r="K14" s="4" t="n">
        <f aca="false">Assumptions!K19</f>
        <v>20</v>
      </c>
      <c r="L14" s="4" t="n">
        <f aca="false">Assumptions!L19</f>
        <v>20</v>
      </c>
    </row>
    <row r="15" customFormat="false" ht="15" hidden="false" customHeight="false" outlineLevel="0" collapsed="false">
      <c r="A15" s="0" t="s">
        <v>125</v>
      </c>
      <c r="C15" s="0" t="n">
        <f aca="false">C13-MAX(0,C13)*C14/100</f>
        <v>3410.48084</v>
      </c>
      <c r="D15" s="0" t="n">
        <f aca="false">D13-MAX(0,D13)*D14/100</f>
        <v>3461.6380526</v>
      </c>
      <c r="E15" s="0" t="n">
        <f aca="false">E13-MAX(0,E13)*E14/100</f>
        <v>3513.562623389</v>
      </c>
      <c r="F15" s="0" t="n">
        <f aca="false">F13-MAX(0,F13)*F14/100</f>
        <v>3566.26606273983</v>
      </c>
      <c r="G15" s="0" t="n">
        <f aca="false">G13-MAX(0,G13)*G14/100</f>
        <v>3619.76005368093</v>
      </c>
      <c r="H15" s="0" t="n">
        <f aca="false">H13-MAX(0,H13)*H14/100</f>
        <v>3674.05645448614</v>
      </c>
      <c r="I15" s="0" t="n">
        <f aca="false">I13-MAX(0,I13)*I14/100</f>
        <v>3729.16730130344</v>
      </c>
      <c r="J15" s="0" t="n">
        <f aca="false">J13-MAX(0,J13)*J14/100</f>
        <v>3785.10481082299</v>
      </c>
      <c r="K15" s="0" t="n">
        <f aca="false">K13-MAX(0,K13)*K14/100</f>
        <v>3841.88138298533</v>
      </c>
      <c r="L15" s="0" t="n">
        <f aca="false">L13-MAX(0,L13)*L14/100</f>
        <v>3899.50960373011</v>
      </c>
    </row>
    <row r="16" customFormat="false" ht="15" hidden="false" customHeight="false" outlineLevel="0" collapsed="false">
      <c r="A16" s="0" t="s">
        <v>126</v>
      </c>
      <c r="C16" s="0" t="n">
        <f aca="false">-C12</f>
        <v>5057.9165</v>
      </c>
      <c r="D16" s="0" t="n">
        <f aca="false">-D12</f>
        <v>5060.44545825</v>
      </c>
      <c r="E16" s="0" t="n">
        <f aca="false">-E12</f>
        <v>5061.912254035</v>
      </c>
      <c r="F16" s="0" t="n">
        <f aca="false">-F12</f>
        <v>5062.28445346544</v>
      </c>
      <c r="G16" s="0" t="n">
        <f aca="false">-G12</f>
        <v>5061.52888862164</v>
      </c>
      <c r="H16" s="0" t="n">
        <f aca="false">-H12</f>
        <v>5137.45182195097</v>
      </c>
      <c r="I16" s="0" t="n">
        <f aca="false">-I12</f>
        <v>5135.50581747295</v>
      </c>
      <c r="J16" s="0" t="n">
        <f aca="false">-J12</f>
        <v>5212.53840473505</v>
      </c>
      <c r="K16" s="0" t="n">
        <f aca="false">-K12</f>
        <v>5209.33068879367</v>
      </c>
      <c r="L16" s="0" t="n">
        <f aca="false">-L12</f>
        <v>5287.47064912558</v>
      </c>
    </row>
    <row r="17" customFormat="false" ht="15" hidden="false" customHeight="false" outlineLevel="0" collapsed="false">
      <c r="A17" s="0" t="s">
        <v>127</v>
      </c>
      <c r="C17" s="4" t="n">
        <f aca="false">-C6*Assumptions!C18/100</f>
        <v>-3757.3094</v>
      </c>
      <c r="D17" s="4" t="n">
        <f aca="false">-D6*Assumptions!D18/100</f>
        <v>-3887.00883025</v>
      </c>
      <c r="E17" s="4" t="n">
        <f aca="false">-E6*Assumptions!E18/100</f>
        <v>-4019.7538487925</v>
      </c>
      <c r="F17" s="4" t="n">
        <f aca="false">-F6*Assumptions!F18/100</f>
        <v>-4155.60664090447</v>
      </c>
      <c r="G17" s="4" t="n">
        <f aca="false">-G6*Assumptions!G18/100</f>
        <v>-4294.63057216382</v>
      </c>
      <c r="H17" s="4" t="n">
        <f aca="false">-H6*Assumptions!H18/100</f>
        <v>-4359.05003074627</v>
      </c>
      <c r="I17" s="4" t="n">
        <f aca="false">-I6*Assumptions!I18/100</f>
        <v>-4503.44356301474</v>
      </c>
      <c r="J17" s="4" t="n">
        <f aca="false">-J6*Assumptions!J18/100</f>
        <v>-4570.99521645996</v>
      </c>
      <c r="K17" s="4" t="n">
        <f aca="false">-K6*Assumptions!K18/100</f>
        <v>-4720.95593671926</v>
      </c>
      <c r="L17" s="4" t="n">
        <f aca="false">-L6*Assumptions!L18/100</f>
        <v>-4791.77027577005</v>
      </c>
    </row>
    <row r="18" customFormat="false" ht="15" hidden="false" customHeight="false" outlineLevel="0" collapsed="false">
      <c r="A18" s="0" t="s">
        <v>128</v>
      </c>
      <c r="C18" s="4" t="n">
        <f aca="false">(C6-B6)*Assumptions!$B$23/100</f>
        <v>-0</v>
      </c>
      <c r="D18" s="4" t="n">
        <f aca="false">(D6-C6)*Assumptions!$B$23/100</f>
        <v>0</v>
      </c>
      <c r="E18" s="4" t="n">
        <f aca="false">(E6-D6)*Assumptions!$B$23/100</f>
        <v>0</v>
      </c>
      <c r="F18" s="4" t="n">
        <f aca="false">(F6-E6)*Assumptions!$B$23/100</f>
        <v>0</v>
      </c>
      <c r="G18" s="4" t="n">
        <f aca="false">(G6-F6)*Assumptions!$B$23/100</f>
        <v>0</v>
      </c>
      <c r="H18" s="4" t="n">
        <f aca="false">(H6-G6)*Assumptions!$B$23/100</f>
        <v>0</v>
      </c>
      <c r="I18" s="4" t="n">
        <f aca="false">(I6-H6)*Assumptions!$B$23/100</f>
        <v>0</v>
      </c>
      <c r="J18" s="4" t="n">
        <f aca="false">(J6-I6)*Assumptions!$B$23/100</f>
        <v>0</v>
      </c>
      <c r="K18" s="4" t="n">
        <f aca="false">(K6-J6)*Assumptions!$B$23/100</f>
        <v>0</v>
      </c>
      <c r="L18" s="4" t="n">
        <f aca="false">(L6-K6)*Assumptions!$B$23/100</f>
        <v>0</v>
      </c>
    </row>
    <row r="19" customFormat="false" ht="15" hidden="false" customHeight="false" outlineLevel="0" collapsed="false">
      <c r="A19" s="0" t="s">
        <v>129</v>
      </c>
      <c r="C19" s="0" t="n">
        <f aca="false">C15+C16+C17+C18</f>
        <v>4711.08794</v>
      </c>
      <c r="D19" s="0" t="n">
        <f aca="false">D15+D16+D17+D18</f>
        <v>4635.0746806</v>
      </c>
      <c r="E19" s="0" t="n">
        <f aca="false">E15+E16+E17+E18</f>
        <v>4555.7210286315</v>
      </c>
      <c r="F19" s="0" t="n">
        <f aca="false">F15+F16+F17+F18</f>
        <v>4472.94387530081</v>
      </c>
      <c r="G19" s="0" t="n">
        <f aca="false">G15+G16+G17+G18</f>
        <v>4386.65837013875</v>
      </c>
      <c r="H19" s="0" t="n">
        <f aca="false">H15+H16+H17+H18</f>
        <v>4452.45824569084</v>
      </c>
      <c r="I19" s="0" t="n">
        <f aca="false">I15+I16+I17+I18</f>
        <v>4361.22955576165</v>
      </c>
      <c r="J19" s="0" t="n">
        <f aca="false">J15+J16+J17+J18</f>
        <v>4426.64799909807</v>
      </c>
      <c r="K19" s="0" t="n">
        <f aca="false">K15+K16+K17+K18</f>
        <v>4330.25613505974</v>
      </c>
      <c r="L19" s="0" t="n">
        <f aca="false">L15+L16+L17+L18</f>
        <v>4395.20997708564</v>
      </c>
    </row>
    <row r="20" customFormat="false" ht="15" hidden="false" customHeight="false" outlineLevel="0" collapsed="false">
      <c r="A20" s="0" t="s">
        <v>130</v>
      </c>
      <c r="C20" s="0" t="n">
        <f aca="false">1/(1+$B$27/100)^C4</f>
        <v>0.91324200913242</v>
      </c>
      <c r="D20" s="0" t="n">
        <f aca="false">1/(1+$B$27/100)^D4</f>
        <v>0.834010967244219</v>
      </c>
      <c r="E20" s="0" t="n">
        <f aca="false">1/(1+$B$27/100)^E4</f>
        <v>0.761653851364584</v>
      </c>
      <c r="F20" s="0" t="n">
        <f aca="false">1/(1+$B$27/100)^F4</f>
        <v>0.695574293483638</v>
      </c>
      <c r="G20" s="0" t="n">
        <f aca="false">1/(1+$B$27/100)^G4</f>
        <v>0.635227665281862</v>
      </c>
      <c r="H20" s="0" t="n">
        <f aca="false">1/(1+$B$27/100)^H4</f>
        <v>0.580116589298504</v>
      </c>
      <c r="I20" s="0" t="n">
        <f aca="false">1/(1+$B$27/100)^I4</f>
        <v>0.529786839542012</v>
      </c>
      <c r="J20" s="0" t="n">
        <f aca="false">1/(1+$B$27/100)^J4</f>
        <v>0.483823597755263</v>
      </c>
      <c r="K20" s="0" t="n">
        <f aca="false">1/(1+$B$27/100)^K4</f>
        <v>0.441848034479692</v>
      </c>
      <c r="L20" s="0" t="n">
        <f aca="false">1/(1+$B$27/100)^L4</f>
        <v>0.403514186739445</v>
      </c>
    </row>
    <row r="21" customFormat="false" ht="15" hidden="false" customHeight="false" outlineLevel="0" collapsed="false">
      <c r="A21" s="0" t="s">
        <v>131</v>
      </c>
      <c r="C21" s="0" t="n">
        <f aca="false">C19*C20</f>
        <v>4302.36341552511</v>
      </c>
      <c r="D21" s="0" t="n">
        <f aca="false">D19*D20</f>
        <v>3865.7031176164</v>
      </c>
      <c r="E21" s="0" t="n">
        <f aca="false">E19*E20</f>
        <v>3469.8824671998</v>
      </c>
      <c r="F21" s="0" t="n">
        <f aca="false">F19*F20</f>
        <v>3111.26477585433</v>
      </c>
      <c r="G21" s="0" t="n">
        <f aca="false">G19*G20</f>
        <v>2786.52675485238</v>
      </c>
      <c r="H21" s="0" t="n">
        <f aca="false">H19*H20</f>
        <v>2582.94489148417</v>
      </c>
      <c r="I21" s="0" t="n">
        <f aca="false">I19*I20</f>
        <v>2310.52202286418</v>
      </c>
      <c r="J21" s="0" t="n">
        <f aca="false">J19*J20</f>
        <v>2141.71676091976</v>
      </c>
      <c r="K21" s="0" t="n">
        <f aca="false">K19*K20</f>
        <v>1913.31516206977</v>
      </c>
      <c r="L21" s="0" t="n">
        <f aca="false">L19*L20</f>
        <v>1773.5295794528</v>
      </c>
    </row>
    <row r="23" customFormat="false" ht="15" hidden="false" customHeight="false" outlineLevel="0" collapsed="false">
      <c r="A23" s="0" t="s">
        <v>107</v>
      </c>
      <c r="C23" s="4" t="n">
        <f aca="false">Assumptions!C16</f>
        <v>0</v>
      </c>
      <c r="D23" s="4" t="n">
        <f aca="false">Assumptions!D16</f>
        <v>0</v>
      </c>
      <c r="E23" s="4" t="n">
        <f aca="false">Assumptions!E16</f>
        <v>0</v>
      </c>
      <c r="F23" s="4" t="n">
        <f aca="false">Assumptions!F16</f>
        <v>0</v>
      </c>
      <c r="G23" s="4" t="n">
        <f aca="false">Assumptions!G16</f>
        <v>0</v>
      </c>
      <c r="H23" s="4" t="n">
        <f aca="false">Assumptions!H16</f>
        <v>0</v>
      </c>
      <c r="I23" s="4" t="n">
        <f aca="false">Assumptions!I16</f>
        <v>0</v>
      </c>
      <c r="J23" s="4" t="n">
        <f aca="false">Assumptions!J16</f>
        <v>0</v>
      </c>
      <c r="K23" s="4" t="n">
        <f aca="false">Assumptions!K16</f>
        <v>0</v>
      </c>
      <c r="L23" s="4" t="n">
        <f aca="false">Assumptions!L16</f>
        <v>0</v>
      </c>
    </row>
    <row r="24" customFormat="false" ht="15" hidden="false" customHeight="false" outlineLevel="0" collapsed="false">
      <c r="A24" s="0" t="s">
        <v>132</v>
      </c>
      <c r="C24" s="0" t="n">
        <f aca="false">-C6*C23/100</f>
        <v>-0</v>
      </c>
      <c r="D24" s="0" t="n">
        <f aca="false">-D6*D23/100</f>
        <v>-0</v>
      </c>
      <c r="E24" s="0" t="n">
        <f aca="false">-E6*E23/100</f>
        <v>-0</v>
      </c>
      <c r="F24" s="0" t="n">
        <f aca="false">-F6*F23/100</f>
        <v>-0</v>
      </c>
      <c r="G24" s="0" t="n">
        <f aca="false">-G6*G23/100</f>
        <v>-0</v>
      </c>
      <c r="H24" s="0" t="n">
        <f aca="false">-H6*H23/100</f>
        <v>-0</v>
      </c>
      <c r="I24" s="0" t="n">
        <f aca="false">-I6*I23/100</f>
        <v>-0</v>
      </c>
      <c r="J24" s="0" t="n">
        <f aca="false">-J6*J23/100</f>
        <v>-0</v>
      </c>
      <c r="K24" s="0" t="n">
        <f aca="false">-K6*K23/100</f>
        <v>-0</v>
      </c>
      <c r="L24" s="0" t="n">
        <f aca="false">-L6*L23/100</f>
        <v>-0</v>
      </c>
    </row>
    <row r="26" customFormat="false" ht="15" hidden="false" customHeight="false" outlineLevel="0" collapsed="false">
      <c r="A26" s="2" t="s">
        <v>133</v>
      </c>
    </row>
    <row r="27" customFormat="false" ht="15" hidden="false" customHeight="false" outlineLevel="0" collapsed="false">
      <c r="A27" s="0" t="s">
        <v>111</v>
      </c>
      <c r="B27" s="4" t="n">
        <f aca="false">Assumptions!$B$20</f>
        <v>9.5</v>
      </c>
    </row>
    <row r="28" customFormat="false" ht="15" hidden="false" customHeight="false" outlineLevel="0" collapsed="false">
      <c r="A28" s="0" t="s">
        <v>112</v>
      </c>
      <c r="B28" s="4" t="n">
        <f aca="false">Assumptions!$B$21</f>
        <v>1</v>
      </c>
    </row>
    <row r="29" customFormat="false" ht="15" hidden="false" customHeight="false" outlineLevel="0" collapsed="false">
      <c r="A29" s="0" t="s">
        <v>113</v>
      </c>
      <c r="B29" s="4" t="n">
        <f aca="false">Assumptions!$B$22</f>
        <v>12</v>
      </c>
    </row>
    <row r="30" customFormat="false" ht="15" hidden="false" customHeight="false" outlineLevel="0" collapsed="false">
      <c r="A30" s="0" t="s">
        <v>134</v>
      </c>
      <c r="B30" s="0" t="n">
        <f aca="false">SUM(C21:L21)</f>
        <v>28257.7689478387</v>
      </c>
    </row>
    <row r="31" customFormat="false" ht="15" hidden="false" customHeight="false" outlineLevel="0" collapsed="false">
      <c r="A31" s="0" t="s">
        <v>135</v>
      </c>
      <c r="B31" s="0" t="n">
        <f aca="false">L19</f>
        <v>4395.20997708564</v>
      </c>
    </row>
    <row r="32" customFormat="false" ht="15" hidden="false" customHeight="false" outlineLevel="0" collapsed="false">
      <c r="A32" s="0" t="s">
        <v>136</v>
      </c>
      <c r="B32" s="0" t="n">
        <f aca="false">IF(B27&gt;B28,B31*(1+B28/100)/((B27-B28)/100),B31*B29)</f>
        <v>52225.4361983117</v>
      </c>
    </row>
    <row r="33" customFormat="false" ht="15" hidden="false" customHeight="false" outlineLevel="0" collapsed="false">
      <c r="A33" s="0" t="s">
        <v>137</v>
      </c>
      <c r="B33" s="0" t="n">
        <f aca="false">B31*B29</f>
        <v>52742.5197250276</v>
      </c>
    </row>
    <row r="34" customFormat="false" ht="15" hidden="false" customHeight="false" outlineLevel="0" collapsed="false">
      <c r="A34" s="0" t="s">
        <v>138</v>
      </c>
      <c r="B34" s="0" t="n">
        <f aca="false">MAX(0,MIN(B32,B33))</f>
        <v>52225.4361983117</v>
      </c>
    </row>
    <row r="35" customFormat="false" ht="15" hidden="false" customHeight="false" outlineLevel="0" collapsed="false">
      <c r="A35" s="0" t="s">
        <v>139</v>
      </c>
      <c r="B35" s="0" t="n">
        <f aca="false">B34/(1+B27/100)^L4</f>
        <v>21073.7044146745</v>
      </c>
    </row>
    <row r="36" customFormat="false" ht="15" hidden="false" customHeight="false" outlineLevel="0" collapsed="false">
      <c r="A36" s="0" t="s">
        <v>140</v>
      </c>
      <c r="B36" s="0" t="n">
        <f aca="false">B30+B35</f>
        <v>49331.4733625132</v>
      </c>
    </row>
    <row r="37" customFormat="false" ht="15" hidden="false" customHeight="false" outlineLevel="0" collapsed="false">
      <c r="A37" s="0" t="s">
        <v>141</v>
      </c>
      <c r="B37" s="0" t="n">
        <f aca="false">B36+Assumptions!$B$5-Assumptions!$B$4</f>
        <v>31094.4733625132</v>
      </c>
    </row>
    <row r="38" customFormat="false" ht="15" hidden="false" customHeight="false" outlineLevel="0" collapsed="false">
      <c r="A38" s="0" t="s">
        <v>142</v>
      </c>
      <c r="B38" s="0" t="n">
        <f aca="false">B37/Assumptions!$B$3*Assumptions!$B$10</f>
        <v>111.051690580404</v>
      </c>
    </row>
    <row r="39" customFormat="false" ht="15" hidden="false" customHeight="false" outlineLevel="0" collapsed="false">
      <c r="A39" s="0" t="s">
        <v>143</v>
      </c>
      <c r="B39" s="4" t="n">
        <f aca="false">B38/Assumptions!$B$2-1</f>
        <v>-0.405090852411184</v>
      </c>
    </row>
    <row r="41" customFormat="false" ht="15" hidden="false" customHeight="false" outlineLevel="0" collapsed="false">
      <c r="A41" s="0" t="s">
        <v>144</v>
      </c>
      <c r="B41" s="0" t="n">
        <f aca="false">SUMPRODUCT(-C10:L10/(1+$B$27/100)^C4:L4)</f>
        <v>480.235906216025</v>
      </c>
    </row>
    <row r="42" customFormat="false" ht="15" hidden="false" customHeight="false" outlineLevel="0" collapsed="false">
      <c r="A42" s="0" t="s">
        <v>145</v>
      </c>
      <c r="B42" s="0" t="n">
        <f aca="false">IF(B27&gt;B28,-L10*(1+B28/100)/((B27-B28)/100),-L10*20)/(1+B27/100)^L4</f>
        <v>396.122263433731</v>
      </c>
    </row>
    <row r="43" customFormat="false" ht="15" hidden="false" customHeight="false" outlineLevel="0" collapsed="false">
      <c r="A43" s="0" t="s">
        <v>146</v>
      </c>
      <c r="B43" s="0" t="n">
        <f aca="false">(B37+B41+B42)/Assumptions!$B$3*Assumptions!$B$10</f>
        <v>114.181541186296</v>
      </c>
    </row>
    <row r="45" customFormat="false" ht="15" hidden="false" customHeight="false" outlineLevel="0" collapsed="false">
      <c r="A45" s="0" t="s">
        <v>86</v>
      </c>
      <c r="B45" s="4" t="n">
        <f aca="false">Assumptions!$B$6</f>
        <v>15</v>
      </c>
    </row>
    <row r="46" customFormat="false" ht="15" hidden="false" customHeight="false" outlineLevel="0" collapsed="false">
      <c r="A46" s="0" t="s">
        <v>147</v>
      </c>
      <c r="B46" s="0" t="n">
        <f aca="false">MAX(0,MIN(IF(B45&gt;B28,B31*(1+B28/100)/((B45-B28)/100),B31*B29),B31*B29))</f>
        <v>31708.3005489749</v>
      </c>
    </row>
    <row r="47" customFormat="false" ht="15" hidden="false" customHeight="false" outlineLevel="0" collapsed="false">
      <c r="A47" s="0" t="s">
        <v>148</v>
      </c>
      <c r="B47" s="0" t="n">
        <f aca="false">(SUMPRODUCT(C19:L19/(1+B45/100)^C4:L4)+B46/(1+B45/100)^L4+Assumptions!$B$5-Assumptions!$B$4)/Assumptions!$B$3*Assumptions!$B$10</f>
        <v>43.8032780109175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L47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customHeight="false" zeroHeight="false" outlineLevelRow="0" outlineLevelCol="0"/>
  <cols>
    <col collapsed="false" customWidth="true" hidden="false" outlineLevel="0" max="1" min="1" style="0" width="52"/>
  </cols>
  <sheetData>
    <row r="1" customFormat="false" ht="15" hidden="false" customHeight="false" outlineLevel="0" collapsed="false">
      <c r="A1" s="2" t="s">
        <v>149</v>
      </c>
    </row>
    <row r="3" customFormat="false" ht="15" hidden="false" customHeight="false" outlineLevel="0" collapsed="false">
      <c r="A3" s="0" t="s">
        <v>119</v>
      </c>
      <c r="B3" s="0" t="s">
        <v>89</v>
      </c>
      <c r="C3" s="2" t="s">
        <v>94</v>
      </c>
      <c r="D3" s="2" t="s">
        <v>95</v>
      </c>
      <c r="E3" s="2" t="s">
        <v>96</v>
      </c>
      <c r="F3" s="2" t="s">
        <v>97</v>
      </c>
      <c r="G3" s="2" t="s">
        <v>98</v>
      </c>
      <c r="H3" s="2" t="s">
        <v>99</v>
      </c>
      <c r="I3" s="2" t="s">
        <v>100</v>
      </c>
      <c r="J3" s="2" t="s">
        <v>101</v>
      </c>
      <c r="K3" s="2" t="s">
        <v>102</v>
      </c>
      <c r="L3" s="2" t="s">
        <v>103</v>
      </c>
    </row>
    <row r="4" customFormat="false" ht="15" hidden="false" customHeight="false" outlineLevel="0" collapsed="false">
      <c r="A4" s="0" t="s">
        <v>120</v>
      </c>
      <c r="B4" s="0" t="n">
        <v>0</v>
      </c>
      <c r="C4" s="0" t="n">
        <f aca="false">B4+1</f>
        <v>1</v>
      </c>
      <c r="D4" s="0" t="n">
        <f aca="false">C4+1</f>
        <v>2</v>
      </c>
      <c r="E4" s="0" t="n">
        <f aca="false">D4+1</f>
        <v>3</v>
      </c>
      <c r="F4" s="0" t="n">
        <f aca="false">E4+1</f>
        <v>4</v>
      </c>
      <c r="G4" s="0" t="n">
        <f aca="false">F4+1</f>
        <v>5</v>
      </c>
      <c r="H4" s="0" t="n">
        <f aca="false">G4+1</f>
        <v>6</v>
      </c>
      <c r="I4" s="0" t="n">
        <f aca="false">H4+1</f>
        <v>7</v>
      </c>
      <c r="J4" s="0" t="n">
        <f aca="false">I4+1</f>
        <v>8</v>
      </c>
      <c r="K4" s="0" t="n">
        <f aca="false">J4+1</f>
        <v>9</v>
      </c>
      <c r="L4" s="0" t="n">
        <f aca="false">K4+1</f>
        <v>10</v>
      </c>
    </row>
    <row r="5" customFormat="false" ht="15" hidden="false" customHeight="false" outlineLevel="0" collapsed="false">
      <c r="A5" s="0" t="s">
        <v>104</v>
      </c>
      <c r="C5" s="4" t="n">
        <f aca="false">Assumptions!C27</f>
        <v>-1</v>
      </c>
      <c r="D5" s="4" t="n">
        <f aca="false">Assumptions!D27</f>
        <v>3.5</v>
      </c>
      <c r="E5" s="4" t="n">
        <f aca="false">Assumptions!E27</f>
        <v>3.5</v>
      </c>
      <c r="F5" s="4" t="n">
        <f aca="false">Assumptions!F27</f>
        <v>3.5</v>
      </c>
      <c r="G5" s="4" t="n">
        <f aca="false">Assumptions!G27</f>
        <v>3</v>
      </c>
      <c r="H5" s="4" t="n">
        <f aca="false">Assumptions!H27</f>
        <v>3</v>
      </c>
      <c r="I5" s="4" t="n">
        <f aca="false">Assumptions!I27</f>
        <v>2.5</v>
      </c>
      <c r="J5" s="4" t="n">
        <f aca="false">Assumptions!J27</f>
        <v>2.5</v>
      </c>
      <c r="K5" s="4" t="n">
        <f aca="false">Assumptions!K27</f>
        <v>2.5</v>
      </c>
      <c r="L5" s="4" t="n">
        <f aca="false">Assumptions!L27</f>
        <v>2.5</v>
      </c>
    </row>
    <row r="6" customFormat="false" ht="15" hidden="false" customHeight="false" outlineLevel="0" collapsed="false">
      <c r="A6" s="0" t="s">
        <v>37</v>
      </c>
      <c r="B6" s="3" t="n">
        <v>17102</v>
      </c>
      <c r="C6" s="0" t="n">
        <f aca="false">B6*(1+C5/100)</f>
        <v>16930.98</v>
      </c>
      <c r="D6" s="0" t="n">
        <f aca="false">C6*(1+D5/100)</f>
        <v>17523.5643</v>
      </c>
      <c r="E6" s="0" t="n">
        <f aca="false">D6*(1+E5/100)</f>
        <v>18136.8890505</v>
      </c>
      <c r="F6" s="0" t="n">
        <f aca="false">E6*(1+F5/100)</f>
        <v>18771.6801672675</v>
      </c>
      <c r="G6" s="0" t="n">
        <f aca="false">F6*(1+G5/100)</f>
        <v>19334.8305722855</v>
      </c>
      <c r="H6" s="0" t="n">
        <f aca="false">G6*(1+H5/100)</f>
        <v>19914.8754894541</v>
      </c>
      <c r="I6" s="0" t="n">
        <f aca="false">H6*(1+I5/100)</f>
        <v>20412.7473766904</v>
      </c>
      <c r="J6" s="0" t="n">
        <f aca="false">I6*(1+J5/100)</f>
        <v>20923.0660611077</v>
      </c>
      <c r="K6" s="0" t="n">
        <f aca="false">J6*(1+K5/100)</f>
        <v>21446.1427126354</v>
      </c>
      <c r="L6" s="0" t="n">
        <f aca="false">K6*(1+L5/100)</f>
        <v>21982.2962804513</v>
      </c>
    </row>
    <row r="7" customFormat="false" ht="15" hidden="false" customHeight="false" outlineLevel="0" collapsed="false">
      <c r="A7" s="0" t="s">
        <v>105</v>
      </c>
      <c r="C7" s="4" t="n">
        <f aca="false">Assumptions!C28</f>
        <v>68</v>
      </c>
      <c r="D7" s="4" t="n">
        <f aca="false">Assumptions!D28</f>
        <v>68</v>
      </c>
      <c r="E7" s="4" t="n">
        <f aca="false">Assumptions!E28</f>
        <v>68</v>
      </c>
      <c r="F7" s="4" t="n">
        <f aca="false">Assumptions!F28</f>
        <v>67.5</v>
      </c>
      <c r="G7" s="4" t="n">
        <f aca="false">Assumptions!G28</f>
        <v>67.5</v>
      </c>
      <c r="H7" s="4" t="n">
        <f aca="false">Assumptions!H28</f>
        <v>67</v>
      </c>
      <c r="I7" s="4" t="n">
        <f aca="false">Assumptions!I28</f>
        <v>67</v>
      </c>
      <c r="J7" s="4" t="n">
        <f aca="false">Assumptions!J28</f>
        <v>66.5</v>
      </c>
      <c r="K7" s="4" t="n">
        <f aca="false">Assumptions!K28</f>
        <v>66.5</v>
      </c>
      <c r="L7" s="4" t="n">
        <f aca="false">Assumptions!L28</f>
        <v>66.5</v>
      </c>
    </row>
    <row r="8" customFormat="false" ht="15" hidden="false" customHeight="false" outlineLevel="0" collapsed="false">
      <c r="A8" s="0" t="s">
        <v>43</v>
      </c>
      <c r="C8" s="0" t="n">
        <f aca="false">C6*C7/100</f>
        <v>11513.0664</v>
      </c>
      <c r="D8" s="0" t="n">
        <f aca="false">D6*D7/100</f>
        <v>11916.023724</v>
      </c>
      <c r="E8" s="0" t="n">
        <f aca="false">E6*E7/100</f>
        <v>12333.08455434</v>
      </c>
      <c r="F8" s="0" t="n">
        <f aca="false">F6*F7/100</f>
        <v>12670.8841129056</v>
      </c>
      <c r="G8" s="0" t="n">
        <f aca="false">G6*G7/100</f>
        <v>13051.0106362927</v>
      </c>
      <c r="H8" s="0" t="n">
        <f aca="false">H6*H7/100</f>
        <v>13342.9665779342</v>
      </c>
      <c r="I8" s="0" t="n">
        <f aca="false">I6*I7/100</f>
        <v>13676.5407423826</v>
      </c>
      <c r="J8" s="0" t="n">
        <f aca="false">J6*J7/100</f>
        <v>13913.8389306366</v>
      </c>
      <c r="K8" s="0" t="n">
        <f aca="false">K6*K7/100</f>
        <v>14261.6849039025</v>
      </c>
      <c r="L8" s="0" t="n">
        <f aca="false">L6*L7/100</f>
        <v>14618.2270265001</v>
      </c>
    </row>
    <row r="9" customFormat="false" ht="15" hidden="false" customHeight="false" outlineLevel="0" collapsed="false">
      <c r="A9" s="0" t="s">
        <v>106</v>
      </c>
      <c r="C9" s="4" t="n">
        <f aca="false">Assumptions!C29</f>
        <v>0.5</v>
      </c>
      <c r="D9" s="4" t="n">
        <f aca="false">Assumptions!D29</f>
        <v>0.5</v>
      </c>
      <c r="E9" s="4" t="n">
        <f aca="false">Assumptions!E29</f>
        <v>0.5</v>
      </c>
      <c r="F9" s="4" t="n">
        <f aca="false">Assumptions!F29</f>
        <v>0.5</v>
      </c>
      <c r="G9" s="4" t="n">
        <f aca="false">Assumptions!G29</f>
        <v>0.5</v>
      </c>
      <c r="H9" s="4" t="n">
        <f aca="false">Assumptions!H29</f>
        <v>0.5</v>
      </c>
      <c r="I9" s="4" t="n">
        <f aca="false">Assumptions!I29</f>
        <v>0.5</v>
      </c>
      <c r="J9" s="4" t="n">
        <f aca="false">Assumptions!J29</f>
        <v>0.5</v>
      </c>
      <c r="K9" s="4" t="n">
        <f aca="false">Assumptions!K29</f>
        <v>0.5</v>
      </c>
      <c r="L9" s="4" t="n">
        <f aca="false">Assumptions!L29</f>
        <v>0.5</v>
      </c>
    </row>
    <row r="10" customFormat="false" ht="15" hidden="false" customHeight="false" outlineLevel="0" collapsed="false">
      <c r="A10" s="0" t="s">
        <v>121</v>
      </c>
      <c r="C10" s="0" t="n">
        <f aca="false">-C6*C9/100</f>
        <v>-84.6549</v>
      </c>
      <c r="D10" s="0" t="n">
        <f aca="false">-D6*D9/100</f>
        <v>-87.6178215</v>
      </c>
      <c r="E10" s="0" t="n">
        <f aca="false">-E6*E9/100</f>
        <v>-90.6844452525</v>
      </c>
      <c r="F10" s="0" t="n">
        <f aca="false">-F6*F9/100</f>
        <v>-93.8584008363375</v>
      </c>
      <c r="G10" s="0" t="n">
        <f aca="false">-G6*G9/100</f>
        <v>-96.6741528614276</v>
      </c>
      <c r="H10" s="0" t="n">
        <f aca="false">-H6*H9/100</f>
        <v>-99.5743774472704</v>
      </c>
      <c r="I10" s="0" t="n">
        <f aca="false">-I6*I9/100</f>
        <v>-102.063736883452</v>
      </c>
      <c r="J10" s="0" t="n">
        <f aca="false">-J6*J9/100</f>
        <v>-104.615330305538</v>
      </c>
      <c r="K10" s="0" t="n">
        <f aca="false">-K6*K9/100</f>
        <v>-107.230713563177</v>
      </c>
      <c r="L10" s="0" t="n">
        <f aca="false">-L6*L9/100</f>
        <v>-109.911481402256</v>
      </c>
    </row>
    <row r="11" customFormat="false" ht="15" hidden="false" customHeight="false" outlineLevel="0" collapsed="false">
      <c r="A11" s="0" t="s">
        <v>122</v>
      </c>
      <c r="C11" s="0" t="n">
        <f aca="false">C8+C10+C24</f>
        <v>11428.4115</v>
      </c>
      <c r="D11" s="0" t="n">
        <f aca="false">D8+D10+D24</f>
        <v>11828.4059025</v>
      </c>
      <c r="E11" s="0" t="n">
        <f aca="false">E8+E10+E24</f>
        <v>12242.4001090875</v>
      </c>
      <c r="F11" s="0" t="n">
        <f aca="false">F8+F10+F24</f>
        <v>12577.0257120692</v>
      </c>
      <c r="G11" s="0" t="n">
        <f aca="false">G8+G10+G24</f>
        <v>12954.3364834313</v>
      </c>
      <c r="H11" s="0" t="n">
        <f aca="false">H8+H10+H24</f>
        <v>13243.392200487</v>
      </c>
      <c r="I11" s="0" t="n">
        <f aca="false">I8+I10+I24</f>
        <v>13574.4770054991</v>
      </c>
      <c r="J11" s="0" t="n">
        <f aca="false">J8+J10+J24</f>
        <v>13809.2236003311</v>
      </c>
      <c r="K11" s="0" t="n">
        <f aca="false">K8+K10+K24</f>
        <v>14154.4541903394</v>
      </c>
      <c r="L11" s="0" t="n">
        <f aca="false">L8+L10+L24</f>
        <v>14508.3155450978</v>
      </c>
    </row>
    <row r="12" customFormat="false" ht="15" hidden="false" customHeight="false" outlineLevel="0" collapsed="false">
      <c r="A12" s="0" t="s">
        <v>123</v>
      </c>
      <c r="C12" s="4" t="n">
        <f aca="false">-C6*Assumptions!C31/100</f>
        <v>-5163.9489</v>
      </c>
      <c r="D12" s="4" t="n">
        <f aca="false">-D6*Assumptions!D31/100</f>
        <v>-5344.6871115</v>
      </c>
      <c r="E12" s="4" t="n">
        <f aca="false">-E6*Assumptions!E31/100</f>
        <v>-5441.06671515</v>
      </c>
      <c r="F12" s="4" t="n">
        <f aca="false">-F6*Assumptions!F31/100</f>
        <v>-5631.50405018025</v>
      </c>
      <c r="G12" s="4" t="n">
        <f aca="false">-G6*Assumptions!G31/100</f>
        <v>-5800.44917168566</v>
      </c>
      <c r="H12" s="4" t="n">
        <f aca="false">-H6*Assumptions!H31/100</f>
        <v>-5874.88826938896</v>
      </c>
      <c r="I12" s="4" t="n">
        <f aca="false">-I6*Assumptions!I31/100</f>
        <v>-6021.76047612368</v>
      </c>
      <c r="J12" s="4" t="n">
        <f aca="false">-J6*Assumptions!J31/100</f>
        <v>-6172.30448802677</v>
      </c>
      <c r="K12" s="4" t="n">
        <f aca="false">-K6*Assumptions!K31/100</f>
        <v>-6219.38138666426</v>
      </c>
      <c r="L12" s="4" t="n">
        <f aca="false">-L6*Assumptions!L31/100</f>
        <v>-6374.86592133087</v>
      </c>
    </row>
    <row r="13" customFormat="false" ht="15" hidden="false" customHeight="false" outlineLevel="0" collapsed="false">
      <c r="A13" s="0" t="s">
        <v>124</v>
      </c>
      <c r="C13" s="0" t="n">
        <f aca="false">C11+C12</f>
        <v>6264.4626</v>
      </c>
      <c r="D13" s="0" t="n">
        <f aca="false">D11+D12</f>
        <v>6483.718791</v>
      </c>
      <c r="E13" s="0" t="n">
        <f aca="false">E11+E12</f>
        <v>6801.3333939375</v>
      </c>
      <c r="F13" s="0" t="n">
        <f aca="false">F11+F12</f>
        <v>6945.52166188897</v>
      </c>
      <c r="G13" s="0" t="n">
        <f aca="false">G11+G12</f>
        <v>7153.88731174564</v>
      </c>
      <c r="H13" s="0" t="n">
        <f aca="false">H11+H12</f>
        <v>7368.50393109801</v>
      </c>
      <c r="I13" s="0" t="n">
        <f aca="false">I11+I12</f>
        <v>7552.71652937546</v>
      </c>
      <c r="J13" s="0" t="n">
        <f aca="false">J11+J12</f>
        <v>7636.91911230431</v>
      </c>
      <c r="K13" s="0" t="n">
        <f aca="false">K11+K12</f>
        <v>7935.07280367509</v>
      </c>
      <c r="L13" s="0" t="n">
        <f aca="false">L11+L12</f>
        <v>8133.44962376697</v>
      </c>
    </row>
    <row r="14" customFormat="false" ht="15" hidden="false" customHeight="false" outlineLevel="0" collapsed="false">
      <c r="A14" s="0" t="s">
        <v>110</v>
      </c>
      <c r="C14" s="4" t="n">
        <f aca="false">Assumptions!C33</f>
        <v>20</v>
      </c>
      <c r="D14" s="4" t="n">
        <f aca="false">Assumptions!D33</f>
        <v>20</v>
      </c>
      <c r="E14" s="4" t="n">
        <f aca="false">Assumptions!E33</f>
        <v>20</v>
      </c>
      <c r="F14" s="4" t="n">
        <f aca="false">Assumptions!F33</f>
        <v>20</v>
      </c>
      <c r="G14" s="4" t="n">
        <f aca="false">Assumptions!G33</f>
        <v>20</v>
      </c>
      <c r="H14" s="4" t="n">
        <f aca="false">Assumptions!H33</f>
        <v>20</v>
      </c>
      <c r="I14" s="4" t="n">
        <f aca="false">Assumptions!I33</f>
        <v>20</v>
      </c>
      <c r="J14" s="4" t="n">
        <f aca="false">Assumptions!J33</f>
        <v>20</v>
      </c>
      <c r="K14" s="4" t="n">
        <f aca="false">Assumptions!K33</f>
        <v>20</v>
      </c>
      <c r="L14" s="4" t="n">
        <f aca="false">Assumptions!L33</f>
        <v>20</v>
      </c>
    </row>
    <row r="15" customFormat="false" ht="15" hidden="false" customHeight="false" outlineLevel="0" collapsed="false">
      <c r="A15" s="0" t="s">
        <v>125</v>
      </c>
      <c r="C15" s="0" t="n">
        <f aca="false">C13-MAX(0,C13)*C14/100</f>
        <v>5011.57008</v>
      </c>
      <c r="D15" s="0" t="n">
        <f aca="false">D13-MAX(0,D13)*D14/100</f>
        <v>5186.9750328</v>
      </c>
      <c r="E15" s="0" t="n">
        <f aca="false">E13-MAX(0,E13)*E14/100</f>
        <v>5441.06671515</v>
      </c>
      <c r="F15" s="0" t="n">
        <f aca="false">F13-MAX(0,F13)*F14/100</f>
        <v>5556.41732951118</v>
      </c>
      <c r="G15" s="0" t="n">
        <f aca="false">G13-MAX(0,G13)*G14/100</f>
        <v>5723.10984939651</v>
      </c>
      <c r="H15" s="0" t="n">
        <f aca="false">H13-MAX(0,H13)*H14/100</f>
        <v>5894.80314487841</v>
      </c>
      <c r="I15" s="0" t="n">
        <f aca="false">I13-MAX(0,I13)*I14/100</f>
        <v>6042.17322350037</v>
      </c>
      <c r="J15" s="0" t="n">
        <f aca="false">J13-MAX(0,J13)*J14/100</f>
        <v>6109.53528984345</v>
      </c>
      <c r="K15" s="0" t="n">
        <f aca="false">K13-MAX(0,K13)*K14/100</f>
        <v>6348.05824294008</v>
      </c>
      <c r="L15" s="0" t="n">
        <f aca="false">L13-MAX(0,L13)*L14/100</f>
        <v>6506.75969901358</v>
      </c>
    </row>
    <row r="16" customFormat="false" ht="15" hidden="false" customHeight="false" outlineLevel="0" collapsed="false">
      <c r="A16" s="0" t="s">
        <v>126</v>
      </c>
      <c r="C16" s="0" t="n">
        <f aca="false">-C12</f>
        <v>5163.9489</v>
      </c>
      <c r="D16" s="0" t="n">
        <f aca="false">-D12</f>
        <v>5344.6871115</v>
      </c>
      <c r="E16" s="0" t="n">
        <f aca="false">-E12</f>
        <v>5441.06671515</v>
      </c>
      <c r="F16" s="0" t="n">
        <f aca="false">-F12</f>
        <v>5631.50405018025</v>
      </c>
      <c r="G16" s="0" t="n">
        <f aca="false">-G12</f>
        <v>5800.44917168566</v>
      </c>
      <c r="H16" s="0" t="n">
        <f aca="false">-H12</f>
        <v>5874.88826938896</v>
      </c>
      <c r="I16" s="0" t="n">
        <f aca="false">-I12</f>
        <v>6021.76047612368</v>
      </c>
      <c r="J16" s="0" t="n">
        <f aca="false">-J12</f>
        <v>6172.30448802677</v>
      </c>
      <c r="K16" s="0" t="n">
        <f aca="false">-K12</f>
        <v>6219.38138666426</v>
      </c>
      <c r="L16" s="0" t="n">
        <f aca="false">-L12</f>
        <v>6374.86592133087</v>
      </c>
    </row>
    <row r="17" customFormat="false" ht="15" hidden="false" customHeight="false" outlineLevel="0" collapsed="false">
      <c r="A17" s="0" t="s">
        <v>127</v>
      </c>
      <c r="C17" s="4" t="n">
        <f aca="false">-C6*Assumptions!C32/100</f>
        <v>-3978.7803</v>
      </c>
      <c r="D17" s="4" t="n">
        <f aca="false">-D6*Assumptions!D32/100</f>
        <v>-4118.0376105</v>
      </c>
      <c r="E17" s="4" t="n">
        <f aca="false">-E6*Assumptions!E32/100</f>
        <v>-4352.85337212</v>
      </c>
      <c r="F17" s="4" t="n">
        <f aca="false">-F6*Assumptions!F32/100</f>
        <v>-4505.2032401442</v>
      </c>
      <c r="G17" s="4" t="n">
        <f aca="false">-G6*Assumptions!G32/100</f>
        <v>-4737.03349020995</v>
      </c>
      <c r="H17" s="4" t="n">
        <f aca="false">-H6*Assumptions!H32/100</f>
        <v>-4879.14449491625</v>
      </c>
      <c r="I17" s="4" t="n">
        <f aca="false">-I6*Assumptions!I32/100</f>
        <v>-5103.18684417261</v>
      </c>
      <c r="J17" s="4" t="n">
        <f aca="false">-J6*Assumptions!J32/100</f>
        <v>-5230.76651527692</v>
      </c>
      <c r="K17" s="4" t="n">
        <f aca="false">-K6*Assumptions!K32/100</f>
        <v>-5468.76639172202</v>
      </c>
      <c r="L17" s="4" t="n">
        <f aca="false">-L6*Assumptions!L32/100</f>
        <v>-5605.48555151507</v>
      </c>
    </row>
    <row r="18" customFormat="false" ht="15" hidden="false" customHeight="false" outlineLevel="0" collapsed="false">
      <c r="A18" s="0" t="s">
        <v>128</v>
      </c>
      <c r="C18" s="4" t="n">
        <f aca="false">(C6-B6)*Assumptions!$B$37/100</f>
        <v>-0</v>
      </c>
      <c r="D18" s="4" t="n">
        <f aca="false">(D6-C6)*Assumptions!$B$37/100</f>
        <v>0</v>
      </c>
      <c r="E18" s="4" t="n">
        <f aca="false">(E6-D6)*Assumptions!$B$37/100</f>
        <v>0</v>
      </c>
      <c r="F18" s="4" t="n">
        <f aca="false">(F6-E6)*Assumptions!$B$37/100</f>
        <v>0</v>
      </c>
      <c r="G18" s="4" t="n">
        <f aca="false">(G6-F6)*Assumptions!$B$37/100</f>
        <v>0</v>
      </c>
      <c r="H18" s="4" t="n">
        <f aca="false">(H6-G6)*Assumptions!$B$37/100</f>
        <v>0</v>
      </c>
      <c r="I18" s="4" t="n">
        <f aca="false">(I6-H6)*Assumptions!$B$37/100</f>
        <v>0</v>
      </c>
      <c r="J18" s="4" t="n">
        <f aca="false">(J6-I6)*Assumptions!$B$37/100</f>
        <v>0</v>
      </c>
      <c r="K18" s="4" t="n">
        <f aca="false">(K6-J6)*Assumptions!$B$37/100</f>
        <v>0</v>
      </c>
      <c r="L18" s="4" t="n">
        <f aca="false">(L6-K6)*Assumptions!$B$37/100</f>
        <v>0</v>
      </c>
    </row>
    <row r="19" customFormat="false" ht="15" hidden="false" customHeight="false" outlineLevel="0" collapsed="false">
      <c r="A19" s="0" t="s">
        <v>129</v>
      </c>
      <c r="C19" s="0" t="n">
        <f aca="false">C15+C16+C17+C18</f>
        <v>6196.73868</v>
      </c>
      <c r="D19" s="0" t="n">
        <f aca="false">D15+D16+D17+D18</f>
        <v>6413.6245338</v>
      </c>
      <c r="E19" s="0" t="n">
        <f aca="false">E15+E16+E17+E18</f>
        <v>6529.28005818</v>
      </c>
      <c r="F19" s="0" t="n">
        <f aca="false">F15+F16+F17+F18</f>
        <v>6682.71813954723</v>
      </c>
      <c r="G19" s="0" t="n">
        <f aca="false">G15+G16+G17+G18</f>
        <v>6786.52553087222</v>
      </c>
      <c r="H19" s="0" t="n">
        <f aca="false">H15+H16+H17+H18</f>
        <v>6890.54691935112</v>
      </c>
      <c r="I19" s="0" t="n">
        <f aca="false">I15+I16+I17+I18</f>
        <v>6960.74685545144</v>
      </c>
      <c r="J19" s="0" t="n">
        <f aca="false">J15+J16+J17+J18</f>
        <v>7051.0732625933</v>
      </c>
      <c r="K19" s="0" t="n">
        <f aca="false">K15+K16+K17+K18</f>
        <v>7098.67323788231</v>
      </c>
      <c r="L19" s="0" t="n">
        <f aca="false">L15+L16+L17+L18</f>
        <v>7276.14006882937</v>
      </c>
    </row>
    <row r="20" customFormat="false" ht="15" hidden="false" customHeight="false" outlineLevel="0" collapsed="false">
      <c r="A20" s="0" t="s">
        <v>130</v>
      </c>
      <c r="C20" s="0" t="n">
        <f aca="false">1/(1+$B$27/100)^C4</f>
        <v>0.91324200913242</v>
      </c>
      <c r="D20" s="0" t="n">
        <f aca="false">1/(1+$B$27/100)^D4</f>
        <v>0.834010967244219</v>
      </c>
      <c r="E20" s="0" t="n">
        <f aca="false">1/(1+$B$27/100)^E4</f>
        <v>0.761653851364584</v>
      </c>
      <c r="F20" s="0" t="n">
        <f aca="false">1/(1+$B$27/100)^F4</f>
        <v>0.695574293483638</v>
      </c>
      <c r="G20" s="0" t="n">
        <f aca="false">1/(1+$B$27/100)^G4</f>
        <v>0.635227665281862</v>
      </c>
      <c r="H20" s="0" t="n">
        <f aca="false">1/(1+$B$27/100)^H4</f>
        <v>0.580116589298504</v>
      </c>
      <c r="I20" s="0" t="n">
        <f aca="false">1/(1+$B$27/100)^I4</f>
        <v>0.529786839542012</v>
      </c>
      <c r="J20" s="0" t="n">
        <f aca="false">1/(1+$B$27/100)^J4</f>
        <v>0.483823597755263</v>
      </c>
      <c r="K20" s="0" t="n">
        <f aca="false">1/(1+$B$27/100)^K4</f>
        <v>0.441848034479692</v>
      </c>
      <c r="L20" s="0" t="n">
        <f aca="false">1/(1+$B$27/100)^L4</f>
        <v>0.403514186739445</v>
      </c>
    </row>
    <row r="21" customFormat="false" ht="15" hidden="false" customHeight="false" outlineLevel="0" collapsed="false">
      <c r="A21" s="0" t="s">
        <v>131</v>
      </c>
      <c r="C21" s="0" t="n">
        <f aca="false">C19*C20</f>
        <v>5659.12208219178</v>
      </c>
      <c r="D21" s="0" t="n">
        <f aca="false">D19*D20</f>
        <v>5349.03320097579</v>
      </c>
      <c r="E21" s="0" t="n">
        <f aca="false">E19*E20</f>
        <v>4973.05130295077</v>
      </c>
      <c r="F21" s="0" t="n">
        <f aca="false">F19*F20</f>
        <v>4648.32694846586</v>
      </c>
      <c r="G21" s="0" t="n">
        <f aca="false">G19*G20</f>
        <v>4310.9887683517</v>
      </c>
      <c r="H21" s="0" t="n">
        <f aca="false">H19*H20</f>
        <v>3997.32057725528</v>
      </c>
      <c r="I21" s="0" t="n">
        <f aca="false">I19*I20</f>
        <v>3687.71207740162</v>
      </c>
      <c r="J21" s="0" t="n">
        <f aca="false">J19*J20</f>
        <v>3411.47563394383</v>
      </c>
      <c r="K21" s="0" t="n">
        <f aca="false">K19*K20</f>
        <v>3136.53481757189</v>
      </c>
      <c r="L21" s="0" t="n">
        <f aca="false">L19*L20</f>
        <v>2936.02574247597</v>
      </c>
    </row>
    <row r="23" customFormat="false" ht="15" hidden="false" customHeight="false" outlineLevel="0" collapsed="false">
      <c r="A23" s="0" t="s">
        <v>107</v>
      </c>
      <c r="C23" s="4" t="n">
        <f aca="false">Assumptions!C30</f>
        <v>0</v>
      </c>
      <c r="D23" s="4" t="n">
        <f aca="false">Assumptions!D30</f>
        <v>0</v>
      </c>
      <c r="E23" s="4" t="n">
        <f aca="false">Assumptions!E30</f>
        <v>0</v>
      </c>
      <c r="F23" s="4" t="n">
        <f aca="false">Assumptions!F30</f>
        <v>0</v>
      </c>
      <c r="G23" s="4" t="n">
        <f aca="false">Assumptions!G30</f>
        <v>0</v>
      </c>
      <c r="H23" s="4" t="n">
        <f aca="false">Assumptions!H30</f>
        <v>0</v>
      </c>
      <c r="I23" s="4" t="n">
        <f aca="false">Assumptions!I30</f>
        <v>0</v>
      </c>
      <c r="J23" s="4" t="n">
        <f aca="false">Assumptions!J30</f>
        <v>0</v>
      </c>
      <c r="K23" s="4" t="n">
        <f aca="false">Assumptions!K30</f>
        <v>0</v>
      </c>
      <c r="L23" s="4" t="n">
        <f aca="false">Assumptions!L30</f>
        <v>0</v>
      </c>
    </row>
    <row r="24" customFormat="false" ht="15" hidden="false" customHeight="false" outlineLevel="0" collapsed="false">
      <c r="A24" s="0" t="s">
        <v>132</v>
      </c>
      <c r="C24" s="0" t="n">
        <f aca="false">-C6*C23/100</f>
        <v>-0</v>
      </c>
      <c r="D24" s="0" t="n">
        <f aca="false">-D6*D23/100</f>
        <v>-0</v>
      </c>
      <c r="E24" s="0" t="n">
        <f aca="false">-E6*E23/100</f>
        <v>-0</v>
      </c>
      <c r="F24" s="0" t="n">
        <f aca="false">-F6*F23/100</f>
        <v>-0</v>
      </c>
      <c r="G24" s="0" t="n">
        <f aca="false">-G6*G23/100</f>
        <v>-0</v>
      </c>
      <c r="H24" s="0" t="n">
        <f aca="false">-H6*H23/100</f>
        <v>-0</v>
      </c>
      <c r="I24" s="0" t="n">
        <f aca="false">-I6*I23/100</f>
        <v>-0</v>
      </c>
      <c r="J24" s="0" t="n">
        <f aca="false">-J6*J23/100</f>
        <v>-0</v>
      </c>
      <c r="K24" s="0" t="n">
        <f aca="false">-K6*K23/100</f>
        <v>-0</v>
      </c>
      <c r="L24" s="0" t="n">
        <f aca="false">-L6*L23/100</f>
        <v>-0</v>
      </c>
    </row>
    <row r="26" customFormat="false" ht="15" hidden="false" customHeight="false" outlineLevel="0" collapsed="false">
      <c r="A26" s="2" t="s">
        <v>133</v>
      </c>
    </row>
    <row r="27" customFormat="false" ht="15" hidden="false" customHeight="false" outlineLevel="0" collapsed="false">
      <c r="A27" s="0" t="s">
        <v>111</v>
      </c>
      <c r="B27" s="4" t="n">
        <f aca="false">Assumptions!$B$34</f>
        <v>9.5</v>
      </c>
    </row>
    <row r="28" customFormat="false" ht="15" hidden="false" customHeight="false" outlineLevel="0" collapsed="false">
      <c r="A28" s="0" t="s">
        <v>112</v>
      </c>
      <c r="B28" s="4" t="n">
        <f aca="false">Assumptions!$B$35</f>
        <v>1.5</v>
      </c>
    </row>
    <row r="29" customFormat="false" ht="15" hidden="false" customHeight="false" outlineLevel="0" collapsed="false">
      <c r="A29" s="0" t="s">
        <v>113</v>
      </c>
      <c r="B29" s="4" t="n">
        <f aca="false">Assumptions!$B$36</f>
        <v>12</v>
      </c>
    </row>
    <row r="30" customFormat="false" ht="15" hidden="false" customHeight="false" outlineLevel="0" collapsed="false">
      <c r="A30" s="0" t="s">
        <v>134</v>
      </c>
      <c r="B30" s="0" t="n">
        <f aca="false">SUM(C21:L21)</f>
        <v>42109.5911515845</v>
      </c>
    </row>
    <row r="31" customFormat="false" ht="15" hidden="false" customHeight="false" outlineLevel="0" collapsed="false">
      <c r="A31" s="0" t="s">
        <v>135</v>
      </c>
      <c r="B31" s="0" t="n">
        <f aca="false">L19</f>
        <v>7276.14006882937</v>
      </c>
    </row>
    <row r="32" customFormat="false" ht="15" hidden="false" customHeight="false" outlineLevel="0" collapsed="false">
      <c r="A32" s="0" t="s">
        <v>136</v>
      </c>
      <c r="B32" s="0" t="n">
        <f aca="false">IF(B27&gt;B28,B31*(1+B28/100)/((B27-B28)/100),B31*B29)</f>
        <v>92316.0271232727</v>
      </c>
    </row>
    <row r="33" customFormat="false" ht="15" hidden="false" customHeight="false" outlineLevel="0" collapsed="false">
      <c r="A33" s="0" t="s">
        <v>137</v>
      </c>
      <c r="B33" s="0" t="n">
        <f aca="false">B31*B29</f>
        <v>87313.6808259525</v>
      </c>
    </row>
    <row r="34" customFormat="false" ht="15" hidden="false" customHeight="false" outlineLevel="0" collapsed="false">
      <c r="A34" s="0" t="s">
        <v>138</v>
      </c>
      <c r="B34" s="0" t="n">
        <f aca="false">MAX(0,MIN(B32,B33))</f>
        <v>87313.6808259525</v>
      </c>
    </row>
    <row r="35" customFormat="false" ht="15" hidden="false" customHeight="false" outlineLevel="0" collapsed="false">
      <c r="A35" s="0" t="s">
        <v>139</v>
      </c>
      <c r="B35" s="0" t="n">
        <f aca="false">B34/(1+B27/100)^L4</f>
        <v>35232.3089097116</v>
      </c>
    </row>
    <row r="36" customFormat="false" ht="15" hidden="false" customHeight="false" outlineLevel="0" collapsed="false">
      <c r="A36" s="0" t="s">
        <v>140</v>
      </c>
      <c r="B36" s="0" t="n">
        <f aca="false">B30+B35</f>
        <v>77341.9000612961</v>
      </c>
    </row>
    <row r="37" customFormat="false" ht="15" hidden="false" customHeight="false" outlineLevel="0" collapsed="false">
      <c r="A37" s="0" t="s">
        <v>141</v>
      </c>
      <c r="B37" s="0" t="n">
        <f aca="false">B36+Assumptions!$B$5-Assumptions!$B$4</f>
        <v>59104.9000612961</v>
      </c>
    </row>
    <row r="38" customFormat="false" ht="15" hidden="false" customHeight="false" outlineLevel="0" collapsed="false">
      <c r="A38" s="0" t="s">
        <v>142</v>
      </c>
      <c r="B38" s="0" t="n">
        <f aca="false">B37/Assumptions!$B$3*Assumptions!$B$10</f>
        <v>211.088928790343</v>
      </c>
    </row>
    <row r="39" customFormat="false" ht="15" hidden="false" customHeight="false" outlineLevel="0" collapsed="false">
      <c r="A39" s="0" t="s">
        <v>143</v>
      </c>
      <c r="B39" s="4" t="n">
        <f aca="false">B38/Assumptions!$B$2-1</f>
        <v>0.130813353995518</v>
      </c>
    </row>
    <row r="41" customFormat="false" ht="15" hidden="false" customHeight="false" outlineLevel="0" collapsed="false">
      <c r="A41" s="0" t="s">
        <v>144</v>
      </c>
      <c r="B41" s="0" t="n">
        <f aca="false">SUMPRODUCT(-C10:L10/(1+$B$27/100)^C4:L4)</f>
        <v>600.333039631332</v>
      </c>
    </row>
    <row r="42" customFormat="false" ht="15" hidden="false" customHeight="false" outlineLevel="0" collapsed="false">
      <c r="A42" s="0" t="s">
        <v>145</v>
      </c>
      <c r="B42" s="0" t="n">
        <f aca="false">IF(B27&gt;B28,-L10*(1+B28/100)/((B27-B28)/100),-L10*20)/(1+B27/100)^L4</f>
        <v>562.701308272868</v>
      </c>
    </row>
    <row r="43" customFormat="false" ht="15" hidden="false" customHeight="false" outlineLevel="0" collapsed="false">
      <c r="A43" s="0" t="s">
        <v>146</v>
      </c>
      <c r="B43" s="0" t="n">
        <f aca="false">(B37+B41+B42)/Assumptions!$B$3*Assumptions!$B$10</f>
        <v>215.242622890001</v>
      </c>
    </row>
    <row r="45" customFormat="false" ht="15" hidden="false" customHeight="false" outlineLevel="0" collapsed="false">
      <c r="A45" s="0" t="s">
        <v>86</v>
      </c>
      <c r="B45" s="4" t="n">
        <f aca="false">Assumptions!$B$6</f>
        <v>15</v>
      </c>
    </row>
    <row r="46" customFormat="false" ht="15" hidden="false" customHeight="false" outlineLevel="0" collapsed="false">
      <c r="A46" s="0" t="s">
        <v>147</v>
      </c>
      <c r="B46" s="0" t="n">
        <f aca="false">MAX(0,MIN(IF(B45&gt;B28,B31*(1+B28/100)/((B45-B28)/100),B31*B29),B31*B29))</f>
        <v>54705.7938508282</v>
      </c>
    </row>
    <row r="47" customFormat="false" ht="15" hidden="false" customHeight="false" outlineLevel="0" collapsed="false">
      <c r="A47" s="0" t="s">
        <v>148</v>
      </c>
      <c r="B47" s="0" t="n">
        <f aca="false">(SUMPRODUCT(C19:L19/(1+B45/100)^C4:L4)+B46/(1+B45/100)^L4+Assumptions!$B$5-Assumptions!$B$4)/Assumptions!$B$3*Assumptions!$B$10</f>
        <v>102.602937921112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L47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customHeight="false" zeroHeight="false" outlineLevelRow="0" outlineLevelCol="0"/>
  <cols>
    <col collapsed="false" customWidth="true" hidden="false" outlineLevel="0" max="1" min="1" style="0" width="52"/>
  </cols>
  <sheetData>
    <row r="1" customFormat="false" ht="15" hidden="false" customHeight="false" outlineLevel="0" collapsed="false">
      <c r="A1" s="2" t="s">
        <v>150</v>
      </c>
    </row>
    <row r="3" customFormat="false" ht="15" hidden="false" customHeight="false" outlineLevel="0" collapsed="false">
      <c r="A3" s="0" t="s">
        <v>119</v>
      </c>
      <c r="B3" s="0" t="s">
        <v>89</v>
      </c>
      <c r="C3" s="2" t="s">
        <v>94</v>
      </c>
      <c r="D3" s="2" t="s">
        <v>95</v>
      </c>
      <c r="E3" s="2" t="s">
        <v>96</v>
      </c>
      <c r="F3" s="2" t="s">
        <v>97</v>
      </c>
      <c r="G3" s="2" t="s">
        <v>98</v>
      </c>
      <c r="H3" s="2" t="s">
        <v>99</v>
      </c>
      <c r="I3" s="2" t="s">
        <v>100</v>
      </c>
      <c r="J3" s="2" t="s">
        <v>101</v>
      </c>
      <c r="K3" s="2" t="s">
        <v>102</v>
      </c>
      <c r="L3" s="2" t="s">
        <v>103</v>
      </c>
    </row>
    <row r="4" customFormat="false" ht="15" hidden="false" customHeight="false" outlineLevel="0" collapsed="false">
      <c r="A4" s="0" t="s">
        <v>120</v>
      </c>
      <c r="B4" s="0" t="n">
        <v>0</v>
      </c>
      <c r="C4" s="0" t="n">
        <f aca="false">B4+1</f>
        <v>1</v>
      </c>
      <c r="D4" s="0" t="n">
        <f aca="false">C4+1</f>
        <v>2</v>
      </c>
      <c r="E4" s="0" t="n">
        <f aca="false">D4+1</f>
        <v>3</v>
      </c>
      <c r="F4" s="0" t="n">
        <f aca="false">E4+1</f>
        <v>4</v>
      </c>
      <c r="G4" s="0" t="n">
        <f aca="false">F4+1</f>
        <v>5</v>
      </c>
      <c r="H4" s="0" t="n">
        <f aca="false">G4+1</f>
        <v>6</v>
      </c>
      <c r="I4" s="0" t="n">
        <f aca="false">H4+1</f>
        <v>7</v>
      </c>
      <c r="J4" s="0" t="n">
        <f aca="false">I4+1</f>
        <v>8</v>
      </c>
      <c r="K4" s="0" t="n">
        <f aca="false">J4+1</f>
        <v>9</v>
      </c>
      <c r="L4" s="0" t="n">
        <f aca="false">K4+1</f>
        <v>10</v>
      </c>
    </row>
    <row r="5" customFormat="false" ht="15" hidden="false" customHeight="false" outlineLevel="0" collapsed="false">
      <c r="A5" s="0" t="s">
        <v>104</v>
      </c>
      <c r="C5" s="4" t="n">
        <f aca="false">Assumptions!C41</f>
        <v>20</v>
      </c>
      <c r="D5" s="4" t="n">
        <f aca="false">Assumptions!D41</f>
        <v>4.5</v>
      </c>
      <c r="E5" s="4" t="n">
        <f aca="false">Assumptions!E41</f>
        <v>4.5</v>
      </c>
      <c r="F5" s="4" t="n">
        <f aca="false">Assumptions!F41</f>
        <v>4</v>
      </c>
      <c r="G5" s="4" t="n">
        <f aca="false">Assumptions!G41</f>
        <v>4</v>
      </c>
      <c r="H5" s="4" t="n">
        <f aca="false">Assumptions!H41</f>
        <v>3.5</v>
      </c>
      <c r="I5" s="4" t="n">
        <f aca="false">Assumptions!I41</f>
        <v>3.5</v>
      </c>
      <c r="J5" s="4" t="n">
        <f aca="false">Assumptions!J41</f>
        <v>3</v>
      </c>
      <c r="K5" s="4" t="n">
        <f aca="false">Assumptions!K41</f>
        <v>3</v>
      </c>
      <c r="L5" s="4" t="n">
        <f aca="false">Assumptions!L41</f>
        <v>3</v>
      </c>
    </row>
    <row r="6" customFormat="false" ht="15" hidden="false" customHeight="false" outlineLevel="0" collapsed="false">
      <c r="A6" s="0" t="s">
        <v>37</v>
      </c>
      <c r="B6" s="3" t="n">
        <v>17102</v>
      </c>
      <c r="C6" s="0" t="n">
        <f aca="false">B6*(1+C5/100)</f>
        <v>20522.4</v>
      </c>
      <c r="D6" s="0" t="n">
        <f aca="false">C6*(1+D5/100)</f>
        <v>21445.908</v>
      </c>
      <c r="E6" s="0" t="n">
        <f aca="false">D6*(1+E5/100)</f>
        <v>22410.97386</v>
      </c>
      <c r="F6" s="0" t="n">
        <f aca="false">E6*(1+F5/100)</f>
        <v>23307.4128144</v>
      </c>
      <c r="G6" s="0" t="n">
        <f aca="false">F6*(1+G5/100)</f>
        <v>24239.709326976</v>
      </c>
      <c r="H6" s="0" t="n">
        <f aca="false">G6*(1+H5/100)</f>
        <v>25088.0991534202</v>
      </c>
      <c r="I6" s="0" t="n">
        <f aca="false">H6*(1+I5/100)</f>
        <v>25966.1826237899</v>
      </c>
      <c r="J6" s="0" t="n">
        <f aca="false">I6*(1+J5/100)</f>
        <v>26745.1681025036</v>
      </c>
      <c r="K6" s="0" t="n">
        <f aca="false">J6*(1+K5/100)</f>
        <v>27547.5231455787</v>
      </c>
      <c r="L6" s="0" t="n">
        <f aca="false">K6*(1+L5/100)</f>
        <v>28373.948839946</v>
      </c>
    </row>
    <row r="7" customFormat="false" ht="15" hidden="false" customHeight="false" outlineLevel="0" collapsed="false">
      <c r="A7" s="0" t="s">
        <v>105</v>
      </c>
      <c r="C7" s="4" t="n">
        <f aca="false">Assumptions!C42</f>
        <v>71.5</v>
      </c>
      <c r="D7" s="4" t="n">
        <f aca="false">Assumptions!D42</f>
        <v>71.5</v>
      </c>
      <c r="E7" s="4" t="n">
        <f aca="false">Assumptions!E42</f>
        <v>71.5</v>
      </c>
      <c r="F7" s="4" t="n">
        <f aca="false">Assumptions!F42</f>
        <v>71</v>
      </c>
      <c r="G7" s="4" t="n">
        <f aca="false">Assumptions!G42</f>
        <v>71</v>
      </c>
      <c r="H7" s="4" t="n">
        <f aca="false">Assumptions!H42</f>
        <v>70.5</v>
      </c>
      <c r="I7" s="4" t="n">
        <f aca="false">Assumptions!I42</f>
        <v>70.5</v>
      </c>
      <c r="J7" s="4" t="n">
        <f aca="false">Assumptions!J42</f>
        <v>70</v>
      </c>
      <c r="K7" s="4" t="n">
        <f aca="false">Assumptions!K42</f>
        <v>70</v>
      </c>
      <c r="L7" s="4" t="n">
        <f aca="false">Assumptions!L42</f>
        <v>70</v>
      </c>
    </row>
    <row r="8" customFormat="false" ht="15" hidden="false" customHeight="false" outlineLevel="0" collapsed="false">
      <c r="A8" s="0" t="s">
        <v>43</v>
      </c>
      <c r="C8" s="0" t="n">
        <f aca="false">C6*C7/100</f>
        <v>14673.516</v>
      </c>
      <c r="D8" s="0" t="n">
        <f aca="false">D6*D7/100</f>
        <v>15333.82422</v>
      </c>
      <c r="E8" s="0" t="n">
        <f aca="false">E6*E7/100</f>
        <v>16023.8463099</v>
      </c>
      <c r="F8" s="0" t="n">
        <f aca="false">F6*F7/100</f>
        <v>16548.263098224</v>
      </c>
      <c r="G8" s="0" t="n">
        <f aca="false">G6*G7/100</f>
        <v>17210.193622153</v>
      </c>
      <c r="H8" s="0" t="n">
        <f aca="false">H6*H7/100</f>
        <v>17687.1099031612</v>
      </c>
      <c r="I8" s="0" t="n">
        <f aca="false">I6*I7/100</f>
        <v>18306.1587497719</v>
      </c>
      <c r="J8" s="0" t="n">
        <f aca="false">J6*J7/100</f>
        <v>18721.6176717525</v>
      </c>
      <c r="K8" s="0" t="n">
        <f aca="false">K6*K7/100</f>
        <v>19283.2662019051</v>
      </c>
      <c r="L8" s="0" t="n">
        <f aca="false">L6*L7/100</f>
        <v>19861.7641879622</v>
      </c>
    </row>
    <row r="9" customFormat="false" ht="15" hidden="false" customHeight="false" outlineLevel="0" collapsed="false">
      <c r="A9" s="0" t="s">
        <v>106</v>
      </c>
      <c r="C9" s="4" t="n">
        <f aca="false">Assumptions!C43</f>
        <v>0.5</v>
      </c>
      <c r="D9" s="4" t="n">
        <f aca="false">Assumptions!D43</f>
        <v>0.5</v>
      </c>
      <c r="E9" s="4" t="n">
        <f aca="false">Assumptions!E43</f>
        <v>0.5</v>
      </c>
      <c r="F9" s="4" t="n">
        <f aca="false">Assumptions!F43</f>
        <v>0.5</v>
      </c>
      <c r="G9" s="4" t="n">
        <f aca="false">Assumptions!G43</f>
        <v>0.5</v>
      </c>
      <c r="H9" s="4" t="n">
        <f aca="false">Assumptions!H43</f>
        <v>0.5</v>
      </c>
      <c r="I9" s="4" t="n">
        <f aca="false">Assumptions!I43</f>
        <v>0.5</v>
      </c>
      <c r="J9" s="4" t="n">
        <f aca="false">Assumptions!J43</f>
        <v>0.5</v>
      </c>
      <c r="K9" s="4" t="n">
        <f aca="false">Assumptions!K43</f>
        <v>0.5</v>
      </c>
      <c r="L9" s="4" t="n">
        <f aca="false">Assumptions!L43</f>
        <v>0.5</v>
      </c>
    </row>
    <row r="10" customFormat="false" ht="15" hidden="false" customHeight="false" outlineLevel="0" collapsed="false">
      <c r="A10" s="0" t="s">
        <v>121</v>
      </c>
      <c r="C10" s="0" t="n">
        <f aca="false">-C6*C9/100</f>
        <v>-102.612</v>
      </c>
      <c r="D10" s="0" t="n">
        <f aca="false">-D6*D9/100</f>
        <v>-107.22954</v>
      </c>
      <c r="E10" s="0" t="n">
        <f aca="false">-E6*E9/100</f>
        <v>-112.0548693</v>
      </c>
      <c r="F10" s="0" t="n">
        <f aca="false">-F6*F9/100</f>
        <v>-116.537064072</v>
      </c>
      <c r="G10" s="0" t="n">
        <f aca="false">-G6*G9/100</f>
        <v>-121.19854663488</v>
      </c>
      <c r="H10" s="0" t="n">
        <f aca="false">-H6*H9/100</f>
        <v>-125.440495767101</v>
      </c>
      <c r="I10" s="0" t="n">
        <f aca="false">-I6*I9/100</f>
        <v>-129.830913118949</v>
      </c>
      <c r="J10" s="0" t="n">
        <f aca="false">-J6*J9/100</f>
        <v>-133.725840512518</v>
      </c>
      <c r="K10" s="0" t="n">
        <f aca="false">-K6*K9/100</f>
        <v>-137.737615727893</v>
      </c>
      <c r="L10" s="0" t="n">
        <f aca="false">-L6*L9/100</f>
        <v>-141.86974419973</v>
      </c>
    </row>
    <row r="11" customFormat="false" ht="15" hidden="false" customHeight="false" outlineLevel="0" collapsed="false">
      <c r="A11" s="0" t="s">
        <v>122</v>
      </c>
      <c r="C11" s="0" t="n">
        <f aca="false">C8+C10+C24</f>
        <v>14570.904</v>
      </c>
      <c r="D11" s="0" t="n">
        <f aca="false">D8+D10+D24</f>
        <v>15226.59468</v>
      </c>
      <c r="E11" s="0" t="n">
        <f aca="false">E8+E10+E24</f>
        <v>15911.7914406</v>
      </c>
      <c r="F11" s="0" t="n">
        <f aca="false">F8+F10+F24</f>
        <v>16431.726034152</v>
      </c>
      <c r="G11" s="0" t="n">
        <f aca="false">G8+G10+G24</f>
        <v>17088.9950755181</v>
      </c>
      <c r="H11" s="0" t="n">
        <f aca="false">H8+H10+H24</f>
        <v>17561.6694073941</v>
      </c>
      <c r="I11" s="0" t="n">
        <f aca="false">I8+I10+I24</f>
        <v>18176.3278366529</v>
      </c>
      <c r="J11" s="0" t="n">
        <f aca="false">J8+J10+J24</f>
        <v>18587.89183124</v>
      </c>
      <c r="K11" s="0" t="n">
        <f aca="false">K8+K10+K24</f>
        <v>19145.5285861772</v>
      </c>
      <c r="L11" s="0" t="n">
        <f aca="false">L8+L10+L24</f>
        <v>19719.8944437625</v>
      </c>
    </row>
    <row r="12" customFormat="false" ht="15" hidden="false" customHeight="false" outlineLevel="0" collapsed="false">
      <c r="A12" s="0" t="s">
        <v>123</v>
      </c>
      <c r="C12" s="4" t="n">
        <f aca="false">-C6*Assumptions!C45/100</f>
        <v>-5335.824</v>
      </c>
      <c r="D12" s="4" t="n">
        <f aca="false">-D6*Assumptions!D45/100</f>
        <v>-5575.93608</v>
      </c>
      <c r="E12" s="4" t="n">
        <f aca="false">-E6*Assumptions!E45/100</f>
        <v>-5714.7983343</v>
      </c>
      <c r="F12" s="4" t="n">
        <f aca="false">-F6*Assumptions!F45/100</f>
        <v>-5943.390267672</v>
      </c>
      <c r="G12" s="4" t="n">
        <f aca="false">-G6*Assumptions!G45/100</f>
        <v>-6059.927331744</v>
      </c>
      <c r="H12" s="4" t="n">
        <f aca="false">-H6*Assumptions!H45/100</f>
        <v>-6272.02478835504</v>
      </c>
      <c r="I12" s="4" t="n">
        <f aca="false">-I6*Assumptions!I45/100</f>
        <v>-6491.54565594747</v>
      </c>
      <c r="J12" s="4" t="n">
        <f aca="false">-J6*Assumptions!J45/100</f>
        <v>-6552.56618511337</v>
      </c>
      <c r="K12" s="4" t="n">
        <f aca="false">-K6*Assumptions!K45/100</f>
        <v>-6749.14317066677</v>
      </c>
      <c r="L12" s="4" t="n">
        <f aca="false">-L6*Assumptions!L45/100</f>
        <v>-6951.61746578678</v>
      </c>
    </row>
    <row r="13" customFormat="false" ht="15" hidden="false" customHeight="false" outlineLevel="0" collapsed="false">
      <c r="A13" s="0" t="s">
        <v>124</v>
      </c>
      <c r="C13" s="0" t="n">
        <f aca="false">C11+C12</f>
        <v>9235.08</v>
      </c>
      <c r="D13" s="0" t="n">
        <f aca="false">D11+D12</f>
        <v>9650.6586</v>
      </c>
      <c r="E13" s="0" t="n">
        <f aca="false">E11+E12</f>
        <v>10196.9931063</v>
      </c>
      <c r="F13" s="0" t="n">
        <f aca="false">F11+F12</f>
        <v>10488.33576648</v>
      </c>
      <c r="G13" s="0" t="n">
        <f aca="false">G11+G12</f>
        <v>11029.0677437741</v>
      </c>
      <c r="H13" s="0" t="n">
        <f aca="false">H11+H12</f>
        <v>11289.6446190391</v>
      </c>
      <c r="I13" s="0" t="n">
        <f aca="false">I11+I12</f>
        <v>11684.7821807054</v>
      </c>
      <c r="J13" s="0" t="n">
        <f aca="false">J11+J12</f>
        <v>12035.3256461266</v>
      </c>
      <c r="K13" s="0" t="n">
        <f aca="false">K11+K12</f>
        <v>12396.3854155104</v>
      </c>
      <c r="L13" s="0" t="n">
        <f aca="false">L11+L12</f>
        <v>12768.2769779757</v>
      </c>
    </row>
    <row r="14" customFormat="false" ht="15" hidden="false" customHeight="false" outlineLevel="0" collapsed="false">
      <c r="A14" s="0" t="s">
        <v>110</v>
      </c>
      <c r="C14" s="4" t="n">
        <f aca="false">Assumptions!C47</f>
        <v>20</v>
      </c>
      <c r="D14" s="4" t="n">
        <f aca="false">Assumptions!D47</f>
        <v>20</v>
      </c>
      <c r="E14" s="4" t="n">
        <f aca="false">Assumptions!E47</f>
        <v>20</v>
      </c>
      <c r="F14" s="4" t="n">
        <f aca="false">Assumptions!F47</f>
        <v>20</v>
      </c>
      <c r="G14" s="4" t="n">
        <f aca="false">Assumptions!G47</f>
        <v>20</v>
      </c>
      <c r="H14" s="4" t="n">
        <f aca="false">Assumptions!H47</f>
        <v>20</v>
      </c>
      <c r="I14" s="4" t="n">
        <f aca="false">Assumptions!I47</f>
        <v>20</v>
      </c>
      <c r="J14" s="4" t="n">
        <f aca="false">Assumptions!J47</f>
        <v>20</v>
      </c>
      <c r="K14" s="4" t="n">
        <f aca="false">Assumptions!K47</f>
        <v>20</v>
      </c>
      <c r="L14" s="4" t="n">
        <f aca="false">Assumptions!L47</f>
        <v>20</v>
      </c>
    </row>
    <row r="15" customFormat="false" ht="15" hidden="false" customHeight="false" outlineLevel="0" collapsed="false">
      <c r="A15" s="0" t="s">
        <v>125</v>
      </c>
      <c r="C15" s="0" t="n">
        <f aca="false">C13-MAX(0,C13)*C14/100</f>
        <v>7388.064</v>
      </c>
      <c r="D15" s="0" t="n">
        <f aca="false">D13-MAX(0,D13)*D14/100</f>
        <v>7720.52688</v>
      </c>
      <c r="E15" s="0" t="n">
        <f aca="false">E13-MAX(0,E13)*E14/100</f>
        <v>8157.59448504</v>
      </c>
      <c r="F15" s="0" t="n">
        <f aca="false">F13-MAX(0,F13)*F14/100</f>
        <v>8390.668613184</v>
      </c>
      <c r="G15" s="0" t="n">
        <f aca="false">G13-MAX(0,G13)*G14/100</f>
        <v>8823.25419501926</v>
      </c>
      <c r="H15" s="0" t="n">
        <f aca="false">H13-MAX(0,H13)*H14/100</f>
        <v>9031.71569523126</v>
      </c>
      <c r="I15" s="0" t="n">
        <f aca="false">I13-MAX(0,I13)*I14/100</f>
        <v>9347.82574456435</v>
      </c>
      <c r="J15" s="0" t="n">
        <f aca="false">J13-MAX(0,J13)*J14/100</f>
        <v>9628.26051690128</v>
      </c>
      <c r="K15" s="0" t="n">
        <f aca="false">K13-MAX(0,K13)*K14/100</f>
        <v>9917.10833240832</v>
      </c>
      <c r="L15" s="0" t="n">
        <f aca="false">L13-MAX(0,L13)*L14/100</f>
        <v>10214.6215823806</v>
      </c>
    </row>
    <row r="16" customFormat="false" ht="15" hidden="false" customHeight="false" outlineLevel="0" collapsed="false">
      <c r="A16" s="0" t="s">
        <v>126</v>
      </c>
      <c r="C16" s="0" t="n">
        <f aca="false">-C12</f>
        <v>5335.824</v>
      </c>
      <c r="D16" s="0" t="n">
        <f aca="false">-D12</f>
        <v>5575.93608</v>
      </c>
      <c r="E16" s="0" t="n">
        <f aca="false">-E12</f>
        <v>5714.7983343</v>
      </c>
      <c r="F16" s="0" t="n">
        <f aca="false">-F12</f>
        <v>5943.390267672</v>
      </c>
      <c r="G16" s="0" t="n">
        <f aca="false">-G12</f>
        <v>6059.927331744</v>
      </c>
      <c r="H16" s="0" t="n">
        <f aca="false">-H12</f>
        <v>6272.02478835504</v>
      </c>
      <c r="I16" s="0" t="n">
        <f aca="false">-I12</f>
        <v>6491.54565594747</v>
      </c>
      <c r="J16" s="0" t="n">
        <f aca="false">-J12</f>
        <v>6552.56618511337</v>
      </c>
      <c r="K16" s="0" t="n">
        <f aca="false">-K12</f>
        <v>6749.14317066677</v>
      </c>
      <c r="L16" s="0" t="n">
        <f aca="false">-L12</f>
        <v>6951.61746578678</v>
      </c>
    </row>
    <row r="17" customFormat="false" ht="15" hidden="false" customHeight="false" outlineLevel="0" collapsed="false">
      <c r="A17" s="0" t="s">
        <v>127</v>
      </c>
      <c r="C17" s="4" t="n">
        <f aca="false">-C6*Assumptions!C46/100</f>
        <v>-4514.928</v>
      </c>
      <c r="D17" s="4" t="n">
        <f aca="false">-D6*Assumptions!D46/100</f>
        <v>-4718.09976</v>
      </c>
      <c r="E17" s="4" t="n">
        <f aca="false">-E6*Assumptions!E46/100</f>
        <v>-5042.4691185</v>
      </c>
      <c r="F17" s="4" t="n">
        <f aca="false">-F6*Assumptions!F46/100</f>
        <v>-5244.16788324</v>
      </c>
      <c r="G17" s="4" t="n">
        <f aca="false">-G6*Assumptions!G46/100</f>
        <v>-5575.13314520448</v>
      </c>
      <c r="H17" s="4" t="n">
        <f aca="false">-H6*Assumptions!H46/100</f>
        <v>-5770.26280528664</v>
      </c>
      <c r="I17" s="4" t="n">
        <f aca="false">-I6*Assumptions!I46/100</f>
        <v>-5972.22200347167</v>
      </c>
      <c r="J17" s="4" t="n">
        <f aca="false">-J6*Assumptions!J46/100</f>
        <v>-6285.11450408834</v>
      </c>
      <c r="K17" s="4" t="n">
        <f aca="false">-K6*Assumptions!K46/100</f>
        <v>-6473.66793921099</v>
      </c>
      <c r="L17" s="4" t="n">
        <f aca="false">-L6*Assumptions!L46/100</f>
        <v>-6667.87797738732</v>
      </c>
    </row>
    <row r="18" customFormat="false" ht="15" hidden="false" customHeight="false" outlineLevel="0" collapsed="false">
      <c r="A18" s="0" t="s">
        <v>128</v>
      </c>
      <c r="C18" s="4" t="n">
        <f aca="false">(C6-B6)*Assumptions!$B$51/100</f>
        <v>0</v>
      </c>
      <c r="D18" s="4" t="n">
        <f aca="false">(D6-C6)*Assumptions!$B$51/100</f>
        <v>0</v>
      </c>
      <c r="E18" s="4" t="n">
        <f aca="false">(E6-D6)*Assumptions!$B$51/100</f>
        <v>0</v>
      </c>
      <c r="F18" s="4" t="n">
        <f aca="false">(F6-E6)*Assumptions!$B$51/100</f>
        <v>0</v>
      </c>
      <c r="G18" s="4" t="n">
        <f aca="false">(G6-F6)*Assumptions!$B$51/100</f>
        <v>0</v>
      </c>
      <c r="H18" s="4" t="n">
        <f aca="false">(H6-G6)*Assumptions!$B$51/100</f>
        <v>0</v>
      </c>
      <c r="I18" s="4" t="n">
        <f aca="false">(I6-H6)*Assumptions!$B$51/100</f>
        <v>0</v>
      </c>
      <c r="J18" s="4" t="n">
        <f aca="false">(J6-I6)*Assumptions!$B$51/100</f>
        <v>0</v>
      </c>
      <c r="K18" s="4" t="n">
        <f aca="false">(K6-J6)*Assumptions!$B$51/100</f>
        <v>0</v>
      </c>
      <c r="L18" s="4" t="n">
        <f aca="false">(L6-K6)*Assumptions!$B$51/100</f>
        <v>0</v>
      </c>
    </row>
    <row r="19" customFormat="false" ht="15" hidden="false" customHeight="false" outlineLevel="0" collapsed="false">
      <c r="A19" s="0" t="s">
        <v>129</v>
      </c>
      <c r="C19" s="0" t="n">
        <f aca="false">C15+C16+C17+C18</f>
        <v>8208.96</v>
      </c>
      <c r="D19" s="0" t="n">
        <f aca="false">D15+D16+D17+D18</f>
        <v>8578.3632</v>
      </c>
      <c r="E19" s="0" t="n">
        <f aca="false">E15+E16+E17+E18</f>
        <v>8829.92370084</v>
      </c>
      <c r="F19" s="0" t="n">
        <f aca="false">F15+F16+F17+F18</f>
        <v>9089.890997616</v>
      </c>
      <c r="G19" s="0" t="n">
        <f aca="false">G15+G16+G17+G18</f>
        <v>9308.04838155878</v>
      </c>
      <c r="H19" s="0" t="n">
        <f aca="false">H15+H16+H17+H18</f>
        <v>9533.47767829966</v>
      </c>
      <c r="I19" s="0" t="n">
        <f aca="false">I15+I16+I17+I18</f>
        <v>9867.14939704015</v>
      </c>
      <c r="J19" s="0" t="n">
        <f aca="false">J15+J16+J17+J18</f>
        <v>9895.71219792632</v>
      </c>
      <c r="K19" s="0" t="n">
        <f aca="false">K15+K16+K17+K18</f>
        <v>10192.5835638641</v>
      </c>
      <c r="L19" s="0" t="n">
        <f aca="false">L15+L16+L17+L18</f>
        <v>10498.36107078</v>
      </c>
    </row>
    <row r="20" customFormat="false" ht="15" hidden="false" customHeight="false" outlineLevel="0" collapsed="false">
      <c r="A20" s="0" t="s">
        <v>130</v>
      </c>
      <c r="C20" s="0" t="n">
        <f aca="false">1/(1+$B$27/100)^C4</f>
        <v>0.91324200913242</v>
      </c>
      <c r="D20" s="0" t="n">
        <f aca="false">1/(1+$B$27/100)^D4</f>
        <v>0.834010967244219</v>
      </c>
      <c r="E20" s="0" t="n">
        <f aca="false">1/(1+$B$27/100)^E4</f>
        <v>0.761653851364584</v>
      </c>
      <c r="F20" s="0" t="n">
        <f aca="false">1/(1+$B$27/100)^F4</f>
        <v>0.695574293483638</v>
      </c>
      <c r="G20" s="0" t="n">
        <f aca="false">1/(1+$B$27/100)^G4</f>
        <v>0.635227665281862</v>
      </c>
      <c r="H20" s="0" t="n">
        <f aca="false">1/(1+$B$27/100)^H4</f>
        <v>0.580116589298504</v>
      </c>
      <c r="I20" s="0" t="n">
        <f aca="false">1/(1+$B$27/100)^I4</f>
        <v>0.529786839542012</v>
      </c>
      <c r="J20" s="0" t="n">
        <f aca="false">1/(1+$B$27/100)^J4</f>
        <v>0.483823597755263</v>
      </c>
      <c r="K20" s="0" t="n">
        <f aca="false">1/(1+$B$27/100)^K4</f>
        <v>0.441848034479692</v>
      </c>
      <c r="L20" s="0" t="n">
        <f aca="false">1/(1+$B$27/100)^L4</f>
        <v>0.403514186739445</v>
      </c>
    </row>
    <row r="21" customFormat="false" ht="15" hidden="false" customHeight="false" outlineLevel="0" collapsed="false">
      <c r="A21" s="0" t="s">
        <v>131</v>
      </c>
      <c r="C21" s="0" t="n">
        <f aca="false">C19*C20</f>
        <v>7496.76712328767</v>
      </c>
      <c r="D21" s="0" t="n">
        <f aca="false">D19*D20</f>
        <v>7154.44898980422</v>
      </c>
      <c r="E21" s="0" t="n">
        <f aca="false">E19*E20</f>
        <v>6725.3453940002</v>
      </c>
      <c r="F21" s="0" t="n">
        <f aca="false">F19*F20</f>
        <v>6322.69450851003</v>
      </c>
      <c r="G21" s="0" t="n">
        <f aca="false">G19*G20</f>
        <v>5912.7298417482</v>
      </c>
      <c r="H21" s="0" t="n">
        <f aca="false">H19*H20</f>
        <v>5530.52855488861</v>
      </c>
      <c r="I21" s="0" t="n">
        <f aca="false">I19*I20</f>
        <v>5227.48589434677</v>
      </c>
      <c r="J21" s="0" t="n">
        <f aca="false">J19*J20</f>
        <v>4787.77907795135</v>
      </c>
      <c r="K21" s="0" t="n">
        <f aca="false">K19*K20</f>
        <v>4503.57301396337</v>
      </c>
      <c r="L21" s="0" t="n">
        <f aca="false">L19*L20</f>
        <v>4236.23762957285</v>
      </c>
    </row>
    <row r="23" customFormat="false" ht="15" hidden="false" customHeight="false" outlineLevel="0" collapsed="false">
      <c r="A23" s="0" t="s">
        <v>107</v>
      </c>
      <c r="C23" s="4" t="n">
        <f aca="false">Assumptions!C44</f>
        <v>0</v>
      </c>
      <c r="D23" s="4" t="n">
        <f aca="false">Assumptions!D44</f>
        <v>0</v>
      </c>
      <c r="E23" s="4" t="n">
        <f aca="false">Assumptions!E44</f>
        <v>0</v>
      </c>
      <c r="F23" s="4" t="n">
        <f aca="false">Assumptions!F44</f>
        <v>0</v>
      </c>
      <c r="G23" s="4" t="n">
        <f aca="false">Assumptions!G44</f>
        <v>0</v>
      </c>
      <c r="H23" s="4" t="n">
        <f aca="false">Assumptions!H44</f>
        <v>0</v>
      </c>
      <c r="I23" s="4" t="n">
        <f aca="false">Assumptions!I44</f>
        <v>0</v>
      </c>
      <c r="J23" s="4" t="n">
        <f aca="false">Assumptions!J44</f>
        <v>0</v>
      </c>
      <c r="K23" s="4" t="n">
        <f aca="false">Assumptions!K44</f>
        <v>0</v>
      </c>
      <c r="L23" s="4" t="n">
        <f aca="false">Assumptions!L44</f>
        <v>0</v>
      </c>
    </row>
    <row r="24" customFormat="false" ht="15" hidden="false" customHeight="false" outlineLevel="0" collapsed="false">
      <c r="A24" s="0" t="s">
        <v>132</v>
      </c>
      <c r="C24" s="0" t="n">
        <f aca="false">-C6*C23/100</f>
        <v>-0</v>
      </c>
      <c r="D24" s="0" t="n">
        <f aca="false">-D6*D23/100</f>
        <v>-0</v>
      </c>
      <c r="E24" s="0" t="n">
        <f aca="false">-E6*E23/100</f>
        <v>-0</v>
      </c>
      <c r="F24" s="0" t="n">
        <f aca="false">-F6*F23/100</f>
        <v>-0</v>
      </c>
      <c r="G24" s="0" t="n">
        <f aca="false">-G6*G23/100</f>
        <v>-0</v>
      </c>
      <c r="H24" s="0" t="n">
        <f aca="false">-H6*H23/100</f>
        <v>-0</v>
      </c>
      <c r="I24" s="0" t="n">
        <f aca="false">-I6*I23/100</f>
        <v>-0</v>
      </c>
      <c r="J24" s="0" t="n">
        <f aca="false">-J6*J23/100</f>
        <v>-0</v>
      </c>
      <c r="K24" s="0" t="n">
        <f aca="false">-K6*K23/100</f>
        <v>-0</v>
      </c>
      <c r="L24" s="0" t="n">
        <f aca="false">-L6*L23/100</f>
        <v>-0</v>
      </c>
    </row>
    <row r="26" customFormat="false" ht="15" hidden="false" customHeight="false" outlineLevel="0" collapsed="false">
      <c r="A26" s="2" t="s">
        <v>133</v>
      </c>
    </row>
    <row r="27" customFormat="false" ht="15" hidden="false" customHeight="false" outlineLevel="0" collapsed="false">
      <c r="A27" s="0" t="s">
        <v>111</v>
      </c>
      <c r="B27" s="4" t="n">
        <f aca="false">Assumptions!$B$48</f>
        <v>9.5</v>
      </c>
    </row>
    <row r="28" customFormat="false" ht="15" hidden="false" customHeight="false" outlineLevel="0" collapsed="false">
      <c r="A28" s="0" t="s">
        <v>112</v>
      </c>
      <c r="B28" s="4" t="n">
        <f aca="false">Assumptions!$B$49</f>
        <v>2</v>
      </c>
    </row>
    <row r="29" customFormat="false" ht="15" hidden="false" customHeight="false" outlineLevel="0" collapsed="false">
      <c r="A29" s="0" t="s">
        <v>113</v>
      </c>
      <c r="B29" s="4" t="n">
        <f aca="false">Assumptions!$B$50</f>
        <v>12</v>
      </c>
    </row>
    <row r="30" customFormat="false" ht="15" hidden="false" customHeight="false" outlineLevel="0" collapsed="false">
      <c r="A30" s="0" t="s">
        <v>134</v>
      </c>
      <c r="B30" s="0" t="n">
        <f aca="false">SUM(C21:L21)</f>
        <v>57897.5900280733</v>
      </c>
    </row>
    <row r="31" customFormat="false" ht="15" hidden="false" customHeight="false" outlineLevel="0" collapsed="false">
      <c r="A31" s="0" t="s">
        <v>135</v>
      </c>
      <c r="B31" s="0" t="n">
        <f aca="false">L19</f>
        <v>10498.36107078</v>
      </c>
    </row>
    <row r="32" customFormat="false" ht="15" hidden="false" customHeight="false" outlineLevel="0" collapsed="false">
      <c r="A32" s="0" t="s">
        <v>136</v>
      </c>
      <c r="B32" s="0" t="n">
        <f aca="false">IF(B27&gt;B28,B31*(1+B28/100)/((B27-B28)/100),B31*B29)</f>
        <v>142777.710562608</v>
      </c>
    </row>
    <row r="33" customFormat="false" ht="15" hidden="false" customHeight="false" outlineLevel="0" collapsed="false">
      <c r="A33" s="0" t="s">
        <v>137</v>
      </c>
      <c r="B33" s="0" t="n">
        <f aca="false">B31*B29</f>
        <v>125980.33284936</v>
      </c>
    </row>
    <row r="34" customFormat="false" ht="15" hidden="false" customHeight="false" outlineLevel="0" collapsed="false">
      <c r="A34" s="0" t="s">
        <v>138</v>
      </c>
      <c r="B34" s="0" t="n">
        <f aca="false">MAX(0,MIN(B32,B33))</f>
        <v>125980.33284936</v>
      </c>
    </row>
    <row r="35" customFormat="false" ht="15" hidden="false" customHeight="false" outlineLevel="0" collapsed="false">
      <c r="A35" s="0" t="s">
        <v>139</v>
      </c>
      <c r="B35" s="0" t="n">
        <f aca="false">B34/(1+B27/100)^L4</f>
        <v>50834.8515548742</v>
      </c>
    </row>
    <row r="36" customFormat="false" ht="15" hidden="false" customHeight="false" outlineLevel="0" collapsed="false">
      <c r="A36" s="0" t="s">
        <v>140</v>
      </c>
      <c r="B36" s="0" t="n">
        <f aca="false">B30+B35</f>
        <v>108732.441582947</v>
      </c>
    </row>
    <row r="37" customFormat="false" ht="15" hidden="false" customHeight="false" outlineLevel="0" collapsed="false">
      <c r="A37" s="0" t="s">
        <v>141</v>
      </c>
      <c r="B37" s="0" t="n">
        <f aca="false">B36+Assumptions!$B$5-Assumptions!$B$4</f>
        <v>90495.4415829475</v>
      </c>
    </row>
    <row r="38" customFormat="false" ht="15" hidden="false" customHeight="false" outlineLevel="0" collapsed="false">
      <c r="A38" s="0" t="s">
        <v>142</v>
      </c>
      <c r="B38" s="0" t="n">
        <f aca="false">B37/Assumptions!$B$3*Assumptions!$B$10</f>
        <v>323.198005653384</v>
      </c>
    </row>
    <row r="39" customFormat="false" ht="15" hidden="false" customHeight="false" outlineLevel="0" collapsed="false">
      <c r="A39" s="0" t="s">
        <v>143</v>
      </c>
      <c r="B39" s="4" t="n">
        <f aca="false">B38/Assumptions!$B$2-1</f>
        <v>0.731386969804381</v>
      </c>
    </row>
    <row r="41" customFormat="false" ht="15" hidden="false" customHeight="false" outlineLevel="0" collapsed="false">
      <c r="A41" s="0" t="s">
        <v>144</v>
      </c>
      <c r="B41" s="0" t="n">
        <f aca="false">SUMPRODUCT(-C10:L10/(1+$B$27/100)^C4:L4)</f>
        <v>750.894168208171</v>
      </c>
    </row>
    <row r="42" customFormat="false" ht="15" hidden="false" customHeight="false" outlineLevel="0" collapsed="false">
      <c r="A42" s="0" t="s">
        <v>145</v>
      </c>
      <c r="B42" s="0" t="n">
        <f aca="false">IF(B27&gt;B28,-L10*(1+B28/100)/((B27-B28)/100),-L10*20)/(1+B27/100)^L4</f>
        <v>778.551780570145</v>
      </c>
    </row>
    <row r="43" customFormat="false" ht="15" hidden="false" customHeight="false" outlineLevel="0" collapsed="false">
      <c r="A43" s="0" t="s">
        <v>146</v>
      </c>
      <c r="B43" s="0" t="n">
        <f aca="false">(B37+B41+B42)/Assumptions!$B$3*Assumptions!$B$10</f>
        <v>328.660312613306</v>
      </c>
    </row>
    <row r="45" customFormat="false" ht="15" hidden="false" customHeight="false" outlineLevel="0" collapsed="false">
      <c r="A45" s="0" t="s">
        <v>86</v>
      </c>
      <c r="B45" s="4" t="n">
        <f aca="false">Assumptions!$B$6</f>
        <v>15</v>
      </c>
    </row>
    <row r="46" customFormat="false" ht="15" hidden="false" customHeight="false" outlineLevel="0" collapsed="false">
      <c r="A46" s="0" t="s">
        <v>147</v>
      </c>
      <c r="B46" s="0" t="n">
        <f aca="false">MAX(0,MIN(IF(B45&gt;B28,B31*(1+B28/100)/((B45-B28)/100),B31*B29),B31*B29))</f>
        <v>82371.7560938126</v>
      </c>
    </row>
    <row r="47" customFormat="false" ht="15" hidden="false" customHeight="false" outlineLevel="0" collapsed="false">
      <c r="A47" s="0" t="s">
        <v>148</v>
      </c>
      <c r="B47" s="0" t="n">
        <f aca="false">(SUMPRODUCT(C19:L19/(1+B45/100)^C4:L4)+B46/(1+B45/100)^L4+Assumptions!$B$5-Assumptions!$B$4)/Assumptions!$B$3*Assumptions!$B$10</f>
        <v>171.206494099612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F28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customHeight="false" zeroHeight="false" outlineLevelRow="0" outlineLevelCol="0"/>
  <cols>
    <col collapsed="false" customWidth="true" hidden="false" outlineLevel="0" max="1" min="1" style="0" width="60"/>
  </cols>
  <sheetData>
    <row r="1" customFormat="false" ht="15" hidden="false" customHeight="false" outlineLevel="0" collapsed="false">
      <c r="A1" s="2" t="s">
        <v>151</v>
      </c>
    </row>
    <row r="3" customFormat="false" ht="15" hidden="false" customHeight="false" outlineLevel="0" collapsed="false">
      <c r="A3" s="2" t="s">
        <v>152</v>
      </c>
      <c r="B3" s="2" t="s">
        <v>153</v>
      </c>
      <c r="C3" s="2" t="s">
        <v>143</v>
      </c>
      <c r="D3" s="2" t="s">
        <v>154</v>
      </c>
      <c r="E3" s="2" t="s">
        <v>146</v>
      </c>
      <c r="F3" s="2" t="s">
        <v>155</v>
      </c>
    </row>
    <row r="4" customFormat="false" ht="15" hidden="false" customHeight="false" outlineLevel="0" collapsed="false">
      <c r="A4" s="0" t="s">
        <v>156</v>
      </c>
      <c r="B4" s="4" t="n">
        <f aca="false">DCF_Bear!$B$38</f>
        <v>111.051690580404</v>
      </c>
      <c r="C4" s="0" t="n">
        <f aca="false">B4/Assumptions!$B$2-1</f>
        <v>-0.405090852411184</v>
      </c>
      <c r="D4" s="4" t="n">
        <f aca="false">Assumptions!$B$24</f>
        <v>0.25</v>
      </c>
      <c r="E4" s="4" t="n">
        <f aca="false">DCF_Bear!$B$43</f>
        <v>114.181541186296</v>
      </c>
      <c r="F4" s="4" t="n">
        <f aca="false">DCF_Bear!$B$47</f>
        <v>43.8032780109175</v>
      </c>
    </row>
    <row r="5" customFormat="false" ht="15" hidden="false" customHeight="false" outlineLevel="0" collapsed="false">
      <c r="A5" s="0" t="s">
        <v>157</v>
      </c>
      <c r="B5" s="4" t="n">
        <f aca="false">DCF_Base!$B$38</f>
        <v>211.088928790343</v>
      </c>
      <c r="C5" s="0" t="n">
        <f aca="false">B5/Assumptions!$B$2-1</f>
        <v>0.130813353995518</v>
      </c>
      <c r="D5" s="4" t="n">
        <f aca="false">Assumptions!$B$38</f>
        <v>0.5</v>
      </c>
      <c r="E5" s="4" t="n">
        <f aca="false">DCF_Base!$B$43</f>
        <v>215.242622890001</v>
      </c>
      <c r="F5" s="4" t="n">
        <f aca="false">DCF_Base!$B$47</f>
        <v>102.602937921112</v>
      </c>
    </row>
    <row r="6" customFormat="false" ht="15" hidden="false" customHeight="false" outlineLevel="0" collapsed="false">
      <c r="A6" s="0" t="s">
        <v>158</v>
      </c>
      <c r="B6" s="4" t="n">
        <f aca="false">DCF_Bull!$B$38</f>
        <v>323.198005653384</v>
      </c>
      <c r="C6" s="0" t="n">
        <f aca="false">B6/Assumptions!$B$2-1</f>
        <v>0.731386969804381</v>
      </c>
      <c r="D6" s="4" t="n">
        <f aca="false">Assumptions!$B$52</f>
        <v>0.25</v>
      </c>
      <c r="E6" s="4" t="n">
        <f aca="false">DCF_Bull!$B$43</f>
        <v>328.660312613306</v>
      </c>
      <c r="F6" s="4" t="n">
        <f aca="false">DCF_Bull!$B$47</f>
        <v>171.206494099612</v>
      </c>
    </row>
    <row r="8" customFormat="false" ht="15" hidden="false" customHeight="false" outlineLevel="0" collapsed="false">
      <c r="A8" s="0" t="s">
        <v>159</v>
      </c>
      <c r="B8" s="0" t="n">
        <f aca="false">SUMPRODUCT(B4:B6,D4:D6)</f>
        <v>214.106888453619</v>
      </c>
    </row>
    <row r="9" customFormat="false" ht="15" hidden="false" customHeight="false" outlineLevel="0" collapsed="false">
      <c r="A9" s="0" t="s">
        <v>160</v>
      </c>
      <c r="B9" s="0" t="n">
        <f aca="false">SUMPRODUCT(E4:E6,D4:D6)</f>
        <v>218.331774894901</v>
      </c>
    </row>
    <row r="10" customFormat="false" ht="15" hidden="false" customHeight="false" outlineLevel="0" collapsed="false">
      <c r="A10" s="0" t="s">
        <v>161</v>
      </c>
      <c r="B10" s="0" t="n">
        <f aca="false">1-Assumptions!$B$2/B8</f>
        <v>0.128145753047839</v>
      </c>
    </row>
    <row r="11" customFormat="false" ht="15" hidden="false" customHeight="false" outlineLevel="0" collapsed="false">
      <c r="A11" s="0" t="s">
        <v>162</v>
      </c>
      <c r="B11" s="0" t="n">
        <f aca="false">IF(ABS(B9-B8)&gt;0.01*ABS(B8),(Assumptions!$B$2-B8)/(B9-B8)*100,"n/a")</f>
        <v>-649.411264301096</v>
      </c>
    </row>
    <row r="12" customFormat="false" ht="15" hidden="false" customHeight="false" outlineLevel="0" collapsed="false">
      <c r="A12" s="0" t="s">
        <v>163</v>
      </c>
      <c r="B12" s="0" t="n">
        <f aca="false">SUMPRODUCT(F4:F6,D4:D6)</f>
        <v>105.053911988188</v>
      </c>
    </row>
    <row r="14" customFormat="false" ht="15" hidden="false" customHeight="false" outlineLevel="0" collapsed="false">
      <c r="A14" s="2" t="s">
        <v>164</v>
      </c>
      <c r="C14" s="0" t="s">
        <v>165</v>
      </c>
    </row>
    <row r="15" customFormat="false" ht="15" hidden="false" customHeight="false" outlineLevel="0" collapsed="false">
      <c r="A15" s="0" t="s">
        <v>166</v>
      </c>
      <c r="B15" s="0" t="n">
        <f aca="false">(SUMPRODUCT(DCF_Base!$C$19:$L$19/(1+$C$15/100)^DCF_Base!$C$4:$L$4)+MAX(0,MIN(IF($C$15&gt;DCF_Base!$B$28,DCF_Base!$L$19*(1+DCF_Base!$B$28/100)/(($C$15-DCF_Base!$B$28)/100),DCF_Base!$L$19*DCF_Base!$B$29),DCF_Base!$L$19*DCF_Base!$B$29))/(1+$C$15/100)^DCF_Base!$L$4+Assumptions!$B$5-Assumptions!$B$4)/Assumptions!$B$3*Assumptions!$B$10</f>
        <v>220.401231026545</v>
      </c>
      <c r="C15" s="3" t="n">
        <v>9</v>
      </c>
    </row>
    <row r="16" customFormat="false" ht="15" hidden="false" customHeight="false" outlineLevel="0" collapsed="false">
      <c r="A16" s="0" t="s">
        <v>167</v>
      </c>
      <c r="B16" s="0" t="n">
        <f aca="false">(SUMPRODUCT(DCF_Base!$C$19:$L$19/(1+$C$16/100)^DCF_Base!$C$4:$L$4)+MAX(0,MIN(IF($C$16&gt;DCF_Base!$B$28,DCF_Base!$L$19*(1+DCF_Base!$B$28/100)/(($C$16-DCF_Base!$B$28)/100),DCF_Base!$L$19*DCF_Base!$B$29),DCF_Base!$L$19*DCF_Base!$B$29))/(1+$C$16/100)^DCF_Base!$L$4+Assumptions!$B$5-Assumptions!$B$4)/Assumptions!$B$3*Assumptions!$B$10</f>
        <v>211.088928790343</v>
      </c>
      <c r="C16" s="3" t="n">
        <v>9.5</v>
      </c>
    </row>
    <row r="17" customFormat="false" ht="15" hidden="false" customHeight="false" outlineLevel="0" collapsed="false">
      <c r="A17" s="0" t="s">
        <v>168</v>
      </c>
      <c r="B17" s="0" t="n">
        <f aca="false">(SUMPRODUCT(DCF_Base!$C$19:$L$19/(1+$C$17/100)^DCF_Base!$C$4:$L$4)+MAX(0,MIN(IF($C$17&gt;DCF_Base!$B$28,DCF_Base!$L$19*(1+DCF_Base!$B$28/100)/(($C$17-DCF_Base!$B$28)/100),DCF_Base!$L$19*DCF_Base!$B$29),DCF_Base!$L$19*DCF_Base!$B$29))/(1+$C$17/100)^DCF_Base!$L$4+Assumptions!$B$5-Assumptions!$B$4)/Assumptions!$B$3*Assumptions!$B$10</f>
        <v>201.591448166179</v>
      </c>
      <c r="C17" s="3" t="n">
        <v>10</v>
      </c>
    </row>
    <row r="18" customFormat="false" ht="15" hidden="false" customHeight="false" outlineLevel="0" collapsed="false">
      <c r="A18" s="0" t="s">
        <v>169</v>
      </c>
      <c r="B18" s="0" t="n">
        <f aca="false">(SUMPRODUCT(DCF_Base!$C$19:$L$19/(1+$C$18/100)^DCF_Base!$C$4:$L$4)+MAX(0,MIN(IF($C$18&gt;DCF_Base!$B$28,DCF_Base!$L$19*(1+DCF_Base!$B$28/100)/(($C$18-DCF_Base!$B$28)/100),DCF_Base!$L$19*DCF_Base!$B$29),DCF_Base!$L$19*DCF_Base!$B$29))/(1+$C$18/100)^DCF_Base!$L$4+Assumptions!$B$5-Assumptions!$B$4)/Assumptions!$B$3*Assumptions!$B$10</f>
        <v>173.455328482212</v>
      </c>
      <c r="C18" s="3" t="n">
        <v>11</v>
      </c>
    </row>
    <row r="19" customFormat="false" ht="15" hidden="false" customHeight="false" outlineLevel="0" collapsed="false">
      <c r="A19" s="0" t="s">
        <v>170</v>
      </c>
      <c r="B19" s="0" t="n">
        <f aca="false">(SUMPRODUCT(DCF_Base!$C$19:$L$19/(1+$C$19/100)^DCF_Base!$C$4:$L$4)+MAX(0,MIN(IF($C$19&gt;DCF_Base!$B$28,DCF_Base!$L$19*(1+DCF_Base!$B$28/100)/(($C$19-DCF_Base!$B$28)/100),DCF_Base!$L$19*DCF_Base!$B$29),DCF_Base!$L$19*DCF_Base!$B$29))/(1+$C$19/100)^DCF_Base!$L$4+Assumptions!$B$5-Assumptions!$B$4)/Assumptions!$B$3*Assumptions!$B$10</f>
        <v>150.679705926122</v>
      </c>
      <c r="C19" s="3" t="n">
        <v>12</v>
      </c>
    </row>
    <row r="20" customFormat="false" ht="15" hidden="false" customHeight="false" outlineLevel="0" collapsed="false">
      <c r="A20" s="0" t="s">
        <v>171</v>
      </c>
      <c r="B20" s="0" t="n">
        <f aca="false">(SUMPRODUCT(DCF_Base!$C$19:$L$19/(1+$C$20/100)^DCF_Base!$C$4:$L$4)+MAX(0,MIN(IF($C$20&gt;DCF_Base!$B$28,DCF_Base!$L$19*(1+DCF_Base!$B$28/100)/(($C$20-DCF_Base!$B$28)/100),DCF_Base!$L$19*DCF_Base!$B$29),DCF_Base!$L$19*DCF_Base!$B$29))/(1+$C$20/100)^DCF_Base!$L$4+Assumptions!$B$5-Assumptions!$B$4)/Assumptions!$B$3*Assumptions!$B$10</f>
        <v>102.602937921112</v>
      </c>
      <c r="C20" s="3" t="n">
        <v>15</v>
      </c>
    </row>
    <row r="22" customFormat="false" ht="15" hidden="false" customHeight="false" outlineLevel="0" collapsed="false">
      <c r="A22" s="2" t="s">
        <v>172</v>
      </c>
    </row>
    <row r="23" customFormat="false" ht="15" hidden="false" customHeight="false" outlineLevel="0" collapsed="false">
      <c r="B23" s="3" t="n">
        <v>0.5</v>
      </c>
      <c r="C23" s="3" t="n">
        <v>1</v>
      </c>
      <c r="D23" s="3" t="n">
        <v>1.5</v>
      </c>
      <c r="E23" s="3" t="n">
        <v>2</v>
      </c>
      <c r="F23" s="3" t="n">
        <v>2.5</v>
      </c>
    </row>
    <row r="24" customFormat="false" ht="15" hidden="false" customHeight="false" outlineLevel="0" collapsed="false">
      <c r="A24" s="3" t="n">
        <v>7.5</v>
      </c>
      <c r="B24" s="0" t="n">
        <f aca="false">(SUMPRODUCT(DCF_Base!$C$19:$L$19/(1+$A$24/100)^DCF_Base!$C$4:$L$4)+MAX(0,MIN(IF($A$24&gt;$B$23,DCF_Base!$L$19*(1+$B$23/100)/(($A$24-$B$23)/100),DCF_Base!$L$19*DCF_Base!$B$29),DCF_Base!$L$19*DCF_Base!$B$29))/(1+$A$24/100)^DCF_Base!$L$4+Assumptions!$B$5-Assumptions!$B$4)/Assumptions!$B$3*Assumptions!$B$10</f>
        <v>250.9832815556</v>
      </c>
      <c r="C24" s="0" t="n">
        <f aca="false">(SUMPRODUCT(DCF_Base!$C$19:$L$19/(1+$A$24/100)^DCF_Base!$C$4:$L$4)+MAX(0,MIN(IF($A$24&gt;$C$23,DCF_Base!$L$19*(1+$C$23/100)/(($A$24-$C$23)/100),DCF_Base!$L$19*DCF_Base!$B$29),DCF_Base!$L$19*DCF_Base!$B$29))/(1+$A$24/100)^DCF_Base!$L$4+Assumptions!$B$5-Assumptions!$B$4)/Assumptions!$B$3*Assumptions!$B$10</f>
        <v>250.9832815556</v>
      </c>
      <c r="D24" s="0" t="n">
        <f aca="false">(SUMPRODUCT(DCF_Base!$C$19:$L$19/(1+$A$24/100)^DCF_Base!$C$4:$L$4)+MAX(0,MIN(IF($A$24&gt;$D$23,DCF_Base!$L$19*(1+$D$23/100)/(($A$24-$D$23)/100),DCF_Base!$L$19*DCF_Base!$B$29),DCF_Base!$L$19*DCF_Base!$B$29))/(1+$A$24/100)^DCF_Base!$L$4+Assumptions!$B$5-Assumptions!$B$4)/Assumptions!$B$3*Assumptions!$B$10</f>
        <v>250.9832815556</v>
      </c>
      <c r="E24" s="0" t="n">
        <f aca="false">(SUMPRODUCT(DCF_Base!$C$19:$L$19/(1+$A$24/100)^DCF_Base!$C$4:$L$4)+MAX(0,MIN(IF($A$24&gt;$E$23,DCF_Base!$L$19*(1+$E$23/100)/(($A$24-$E$23)/100),DCF_Base!$L$19*DCF_Base!$B$29),DCF_Base!$L$19*DCF_Base!$B$29))/(1+$A$24/100)^DCF_Base!$L$4+Assumptions!$B$5-Assumptions!$B$4)/Assumptions!$B$3*Assumptions!$B$10</f>
        <v>250.9832815556</v>
      </c>
      <c r="F24" s="0" t="n">
        <f aca="false">(SUMPRODUCT(DCF_Base!$C$19:$L$19/(1+$A$24/100)^DCF_Base!$C$4:$L$4)+MAX(0,MIN(IF($A$24&gt;$F$23,DCF_Base!$L$19*(1+$F$23/100)/(($A$24-$F$23)/100),DCF_Base!$L$19*DCF_Base!$B$29),DCF_Base!$L$19*DCF_Base!$B$29))/(1+$A$24/100)^DCF_Base!$L$4+Assumptions!$B$5-Assumptions!$B$4)/Assumptions!$B$3*Assumptions!$B$10</f>
        <v>250.9832815556</v>
      </c>
    </row>
    <row r="25" customFormat="false" ht="15" hidden="false" customHeight="false" outlineLevel="0" collapsed="false">
      <c r="A25" s="3" t="n">
        <v>8.5</v>
      </c>
      <c r="B25" s="0" t="n">
        <f aca="false">(SUMPRODUCT(DCF_Base!$C$19:$L$19/(1+$A$25/100)^DCF_Base!$C$4:$L$4)+MAX(0,MIN(IF($A$25&gt;$B$23,DCF_Base!$L$19*(1+$B$23/100)/(($A$25-$B$23)/100),DCF_Base!$L$19*DCF_Base!$B$29),DCF_Base!$L$19*DCF_Base!$B$29))/(1+$A$25/100)^DCF_Base!$L$4+Assumptions!$B$5-Assumptions!$B$4)/Assumptions!$B$3*Assumptions!$B$10</f>
        <v>230.139073366418</v>
      </c>
      <c r="C25" s="0" t="n">
        <f aca="false">(SUMPRODUCT(DCF_Base!$C$19:$L$19/(1+$A$25/100)^DCF_Base!$C$4:$L$4)+MAX(0,MIN(IF($A$25&gt;$C$23,DCF_Base!$L$19*(1+$C$23/100)/(($A$25-$C$23)/100),DCF_Base!$L$19*DCF_Base!$B$29),DCF_Base!$L$19*DCF_Base!$B$29))/(1+$A$25/100)^DCF_Base!$L$4+Assumptions!$B$5-Assumptions!$B$4)/Assumptions!$B$3*Assumptions!$B$10</f>
        <v>230.139073366418</v>
      </c>
      <c r="D25" s="0" t="n">
        <f aca="false">(SUMPRODUCT(DCF_Base!$C$19:$L$19/(1+$A$25/100)^DCF_Base!$C$4:$L$4)+MAX(0,MIN(IF($A$25&gt;$D$23,DCF_Base!$L$19*(1+$D$23/100)/(($A$25-$D$23)/100),DCF_Base!$L$19*DCF_Base!$B$29),DCF_Base!$L$19*DCF_Base!$B$29))/(1+$A$25/100)^DCF_Base!$L$4+Assumptions!$B$5-Assumptions!$B$4)/Assumptions!$B$3*Assumptions!$B$10</f>
        <v>230.139073366418</v>
      </c>
      <c r="E25" s="0" t="n">
        <f aca="false">(SUMPRODUCT(DCF_Base!$C$19:$L$19/(1+$A$25/100)^DCF_Base!$C$4:$L$4)+MAX(0,MIN(IF($A$25&gt;$E$23,DCF_Base!$L$19*(1+$E$23/100)/(($A$25-$E$23)/100),DCF_Base!$L$19*DCF_Base!$B$29),DCF_Base!$L$19*DCF_Base!$B$29))/(1+$A$25/100)^DCF_Base!$L$4+Assumptions!$B$5-Assumptions!$B$4)/Assumptions!$B$3*Assumptions!$B$10</f>
        <v>230.139073366418</v>
      </c>
      <c r="F25" s="0" t="n">
        <f aca="false">(SUMPRODUCT(DCF_Base!$C$19:$L$19/(1+$A$25/100)^DCF_Base!$C$4:$L$4)+MAX(0,MIN(IF($A$25&gt;$F$23,DCF_Base!$L$19*(1+$F$23/100)/(($A$25-$F$23)/100),DCF_Base!$L$19*DCF_Base!$B$29),DCF_Base!$L$19*DCF_Base!$B$29))/(1+$A$25/100)^DCF_Base!$L$4+Assumptions!$B$5-Assumptions!$B$4)/Assumptions!$B$3*Assumptions!$B$10</f>
        <v>230.139073366418</v>
      </c>
    </row>
    <row r="26" customFormat="false" ht="15" hidden="false" customHeight="false" outlineLevel="0" collapsed="false">
      <c r="A26" s="3" t="n">
        <v>9.5</v>
      </c>
      <c r="B26" s="0" t="n">
        <f aca="false">(SUMPRODUCT(DCF_Base!$C$19:$L$19/(1+$A$26/100)^DCF_Base!$C$4:$L$4)+MAX(0,MIN(IF($A$26&gt;$B$23,DCF_Base!$L$19*(1+$B$23/100)/(($A$26-$B$23)/100),DCF_Base!$L$19*DCF_Base!$B$29),DCF_Base!$L$19*DCF_Base!$B$29))/(1+$A$26/100)^DCF_Base!$L$4+Assumptions!$B$5-Assumptions!$B$4)/Assumptions!$B$3*Assumptions!$B$10</f>
        <v>202.350756937736</v>
      </c>
      <c r="C26" s="0" t="n">
        <f aca="false">(SUMPRODUCT(DCF_Base!$C$19:$L$19/(1+$A$26/100)^DCF_Base!$C$4:$L$4)+MAX(0,MIN(IF($A$26&gt;$C$23,DCF_Base!$L$19*(1+$C$23/100)/(($A$26-$C$23)/100),DCF_Base!$L$19*DCF_Base!$B$29),DCF_Base!$L$19*DCF_Base!$B$29))/(1+$A$26/100)^DCF_Base!$L$4+Assumptions!$B$5-Assumptions!$B$4)/Assumptions!$B$3*Assumptions!$B$10</f>
        <v>209.855304528799</v>
      </c>
      <c r="D26" s="0" t="n">
        <f aca="false">(SUMPRODUCT(DCF_Base!$C$19:$L$19/(1+$A$26/100)^DCF_Base!$C$4:$L$4)+MAX(0,MIN(IF($A$26&gt;$D$23,DCF_Base!$L$19*(1+$D$23/100)/(($A$26-$D$23)/100),DCF_Base!$L$19*DCF_Base!$B$29),DCF_Base!$L$19*DCF_Base!$B$29))/(1+$A$26/100)^DCF_Base!$L$4+Assumptions!$B$5-Assumptions!$B$4)/Assumptions!$B$3*Assumptions!$B$10</f>
        <v>211.088928790343</v>
      </c>
      <c r="E26" s="0" t="n">
        <f aca="false">(SUMPRODUCT(DCF_Base!$C$19:$L$19/(1+$A$26/100)^DCF_Base!$C$4:$L$4)+MAX(0,MIN(IF($A$26&gt;$E$23,DCF_Base!$L$19*(1+$E$23/100)/(($A$26-$E$23)/100),DCF_Base!$L$19*DCF_Base!$B$29),DCF_Base!$L$19*DCF_Base!$B$29))/(1+$A$26/100)^DCF_Base!$L$4+Assumptions!$B$5-Assumptions!$B$4)/Assumptions!$B$3*Assumptions!$B$10</f>
        <v>211.088928790343</v>
      </c>
      <c r="F26" s="0" t="n">
        <f aca="false">(SUMPRODUCT(DCF_Base!$C$19:$L$19/(1+$A$26/100)^DCF_Base!$C$4:$L$4)+MAX(0,MIN(IF($A$26&gt;$F$23,DCF_Base!$L$19*(1+$F$23/100)/(($A$26-$F$23)/100),DCF_Base!$L$19*DCF_Base!$B$29),DCF_Base!$L$19*DCF_Base!$B$29))/(1+$A$26/100)^DCF_Base!$L$4+Assumptions!$B$5-Assumptions!$B$4)/Assumptions!$B$3*Assumptions!$B$10</f>
        <v>211.088928790343</v>
      </c>
    </row>
    <row r="27" customFormat="false" ht="15" hidden="false" customHeight="false" outlineLevel="0" collapsed="false">
      <c r="A27" s="3" t="n">
        <v>10.5</v>
      </c>
      <c r="B27" s="0" t="n">
        <f aca="false">(SUMPRODUCT(DCF_Base!$C$19:$L$19/(1+$A$27/100)^DCF_Base!$C$4:$L$4)+MAX(0,MIN(IF($A$27&gt;$B$23,DCF_Base!$L$19*(1+$B$23/100)/(($A$27-$B$23)/100),DCF_Base!$L$19*DCF_Base!$B$29),DCF_Base!$L$19*DCF_Base!$B$29))/(1+$A$27/100)^DCF_Base!$L$4+Assumptions!$B$5-Assumptions!$B$4)/Assumptions!$B$3*Assumptions!$B$10</f>
        <v>174.986171540931</v>
      </c>
      <c r="C27" s="0" t="n">
        <f aca="false">(SUMPRODUCT(DCF_Base!$C$19:$L$19/(1+$A$27/100)^DCF_Base!$C$4:$L$4)+MAX(0,MIN(IF($A$27&gt;$C$23,DCF_Base!$L$19*(1+$C$23/100)/(($A$27-$C$23)/100),DCF_Base!$L$19*DCF_Base!$B$29),DCF_Base!$L$19*DCF_Base!$B$29))/(1+$A$27/100)^DCF_Base!$L$4+Assumptions!$B$5-Assumptions!$B$4)/Assumptions!$B$3*Assumptions!$B$10</f>
        <v>180.554552199977</v>
      </c>
      <c r="D27" s="0" t="n">
        <f aca="false">(SUMPRODUCT(DCF_Base!$C$19:$L$19/(1+$A$27/100)^DCF_Base!$C$4:$L$4)+MAX(0,MIN(IF($A$27&gt;$D$23,DCF_Base!$L$19*(1+$D$23/100)/(($A$27-$D$23)/100),DCF_Base!$L$19*DCF_Base!$B$29),DCF_Base!$L$19*DCF_Base!$B$29))/(1+$A$27/100)^DCF_Base!$L$4+Assumptions!$B$5-Assumptions!$B$4)/Assumptions!$B$3*Assumptions!$B$10</f>
        <v>186.741641821139</v>
      </c>
      <c r="E27" s="0" t="n">
        <f aca="false">(SUMPRODUCT(DCF_Base!$C$19:$L$19/(1+$A$27/100)^DCF_Base!$C$4:$L$4)+MAX(0,MIN(IF($A$27&gt;$E$23,DCF_Base!$L$19*(1+$E$23/100)/(($A$27-$E$23)/100),DCF_Base!$L$19*DCF_Base!$B$29),DCF_Base!$L$19*DCF_Base!$B$29))/(1+$A$27/100)^DCF_Base!$L$4+Assumptions!$B$5-Assumptions!$B$4)/Assumptions!$B$3*Assumptions!$B$10</f>
        <v>193.656624338908</v>
      </c>
      <c r="F27" s="0" t="n">
        <f aca="false">(SUMPRODUCT(DCF_Base!$C$19:$L$19/(1+$A$27/100)^DCF_Base!$C$4:$L$4)+MAX(0,MIN(IF($A$27&gt;$F$23,DCF_Base!$L$19*(1+$F$23/100)/(($A$27-$F$23)/100),DCF_Base!$L$19*DCF_Base!$B$29),DCF_Base!$L$19*DCF_Base!$B$29))/(1+$A$27/100)^DCF_Base!$L$4+Assumptions!$B$5-Assumptions!$B$4)/Assumptions!$B$3*Assumptions!$B$10</f>
        <v>193.656624338908</v>
      </c>
    </row>
    <row r="28" customFormat="false" ht="15" hidden="false" customHeight="false" outlineLevel="0" collapsed="false">
      <c r="A28" s="3" t="n">
        <v>11.5</v>
      </c>
      <c r="B28" s="0" t="n">
        <f aca="false">(SUMPRODUCT(DCF_Base!$C$19:$L$19/(1+$A$28/100)^DCF_Base!$C$4:$L$4)+MAX(0,MIN(IF($A$28&gt;$B$23,DCF_Base!$L$19*(1+$B$23/100)/(($A$28-$B$23)/100),DCF_Base!$L$19*DCF_Base!$B$29),DCF_Base!$L$19*DCF_Base!$B$29))/(1+$A$28/100)^DCF_Base!$L$4+Assumptions!$B$5-Assumptions!$B$4)/Assumptions!$B$3*Assumptions!$B$10</f>
        <v>152.628932499365</v>
      </c>
      <c r="C28" s="0" t="n">
        <f aca="false">(SUMPRODUCT(DCF_Base!$C$19:$L$19/(1+$A$28/100)^DCF_Base!$C$4:$L$4)+MAX(0,MIN(IF($A$28&gt;$C$23,DCF_Base!$L$19*(1+$C$23/100)/(($A$28-$C$23)/100),DCF_Base!$L$19*DCF_Base!$B$29),DCF_Base!$L$19*DCF_Base!$B$29))/(1+$A$28/100)^DCF_Base!$L$4+Assumptions!$B$5-Assumptions!$B$4)/Assumptions!$B$3*Assumptions!$B$10</f>
        <v>156.852284046611</v>
      </c>
      <c r="D28" s="0" t="n">
        <f aca="false">(SUMPRODUCT(DCF_Base!$C$19:$L$19/(1+$A$28/100)^DCF_Base!$C$4:$L$4)+MAX(0,MIN(IF($A$28&gt;$D$23,DCF_Base!$L$19*(1+$D$23/100)/(($A$28-$D$23)/100),DCF_Base!$L$19*DCF_Base!$B$29),DCF_Base!$L$19*DCF_Base!$B$29))/(1+$A$28/100)^DCF_Base!$L$4+Assumptions!$B$5-Assumptions!$B$4)/Assumptions!$B$3*Assumptions!$B$10</f>
        <v>161.497970748582</v>
      </c>
      <c r="E28" s="0" t="n">
        <f aca="false">(SUMPRODUCT(DCF_Base!$C$19:$L$19/(1+$A$28/100)^DCF_Base!$C$4:$L$4)+MAX(0,MIN(IF($A$28&gt;$E$23,DCF_Base!$L$19*(1+$E$23/100)/(($A$28-$E$23)/100),DCF_Base!$L$19*DCF_Base!$B$29),DCF_Base!$L$19*DCF_Base!$B$29))/(1+$A$28/100)^DCF_Base!$L$4+Assumptions!$B$5-Assumptions!$B$4)/Assumptions!$B$3*Assumptions!$B$10</f>
        <v>166.632677103392</v>
      </c>
      <c r="F28" s="0" t="n">
        <f aca="false">(SUMPRODUCT(DCF_Base!$C$19:$L$19/(1+$A$28/100)^DCF_Base!$C$4:$L$4)+MAX(0,MIN(IF($A$28&gt;$F$23,DCF_Base!$L$19*(1+$F$23/100)/(($A$28-$F$23)/100),DCF_Base!$L$19*DCF_Base!$B$29),DCF_Base!$L$19*DCF_Base!$B$29))/(1+$A$28/100)^DCF_Base!$L$4+Assumptions!$B$5-Assumptions!$B$4)/Assumptions!$B$3*Assumptions!$B$10</f>
        <v>172.337906386514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LibreOffice/26.2.5.2$MacOSX_AARCH64 LibreOffice_project/cd7284b4cbbfeb507e630c1aac019f4157393acb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2026-09-28T08:05:54Z</dcterms:created>
  <dc:creator>openpyxl</dc:creator>
  <dc:description/>
  <dc:language>en-NZ</dc:language>
  <cp:lastModifiedBy/>
  <dcterms:modified xsi:type="dcterms:W3CDTF">2026-09-28T08:05:54Z</dcterms:modified>
  <cp:revision>0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