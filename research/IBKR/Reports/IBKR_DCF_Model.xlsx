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<sst xmlns="http://schemas.openxmlformats.org/spreadsheetml/2006/main" count="386" uniqueCount="174">
  <si>
    <t xml:space="preserve">Ticker</t>
  </si>
  <si>
    <t xml:space="preserve">IBKR</t>
  </si>
  <si>
    <t xml:space="preserve">Company</t>
  </si>
  <si>
    <t xml:space="preserve">Interactive Brokers Group, Inc.</t>
  </si>
  <si>
    <t xml:space="preserve">Valuation date</t>
  </si>
  <si>
    <t xml:space="preserve">2026-09-29</t>
  </si>
  <si>
    <t xml:space="preserve">Current price</t>
  </si>
  <si>
    <t xml:space="preserve">Price as of</t>
  </si>
  <si>
    <t xml:space="preserve">2026-09-28T20:00:01Z regular close</t>
  </si>
  <si>
    <t xml:space="preserve">Balance sheet date</t>
  </si>
  <si>
    <t xml:space="preserve">2026-06-30</t>
  </si>
  <si>
    <t xml:space="preserve">Model</t>
  </si>
  <si>
    <t xml:space="preserve">FCFE at cost of equity (engine route) - electronic broker, consolidated flows on as-if-exchanged IBG LLC units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</si>
  <si>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</si>
  <si>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</si>
  <si>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</si>
  <si>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</si>
  <si>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</si>
  <si>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</si>
  <si>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</si>
  <si>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</si>
  <si>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2026-09-28T21:45:36Z</t>
  </si>
  <si>
    <t xml:space="preserve">Drivers file</t>
  </si>
  <si>
    <t xml:space="preserve">IBKR_Drivers.json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</si>
  <si>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</si>
  <si>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</si>
  <si>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</si>
  <si>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IBKR is valued as a stream of free cash flow to equity at a 10% cost of equity, not as an operating-company owner-FCF DCF: consolidated net revenues (which are already net of interest expense) are taken to pretax income at the automated-broker margin, taxed at the ~21.5% all-in rate the public holder bears on its 26.5% share of the IBG LLC partnership, charged with the regulatory-capital retention that a growing margin-loan book requires (about $1.25 per $1 of revenue growth), and divided by the as-if-exchanged 1,698M IBG LLC units so that per-unit value equals per-Class-A value. Net debt is held at zero because the balance sheet is customer money; the $14.2B of excess regulatory capital (~$8/unit at face) is valued only through the interest it earns inside NII. The market price at ~35-40x attributable earnings is paying for the bull case at a sub-10% discount rate; the house value at 10% and a 3% terminal growth sits well below it.
key_risks_to_valuation: Interest-rate path: ~$81M of annual NII per 25bp of Fed funds (~1.2% of revenue per cut); a return toward 2% would push the base case toward the bear margin path; Retention assumption: if regulatory capital keeps compounding with margin loans (+67% YoY) faster than with revenue, the -125% capture understates the cash the business must keep; if IBKR ever distributes the $14.2B excess, value rises by up to ~$8/unit; Ownership/tax: the all-in tax rate depends on IBG Inc.'s share and on redemption step-ups; a 2pp change moves value ~2.5%; Terminal multiple: Gordon at 10%/3% (14.7x FCFE) binds below the 16x cap; a 9% cost of equity alone adds roughly a fifth to value (see required_return_table); Governance: Holdings controls ~90% of votes; the low Class A payout (0.4% yield) is a founder choice the model does not assume changes</t>
  </si>
  <si>
    <t xml:space="preserve">Data sources</t>
  </si>
  <si>
    <t xml:space="preserve">price: Yahoo Finance chart API at inputs.price_as_of; 52-week range 58.95-98.75
financials: SEC XBRL companyfacts (CIK 1381197): RevenuesNetOfInterestExpense, InterestIncomeExpenseNet, IncomeLossFromContinuingOperationsBeforeIncomeTaxes..., ProfitLoss, NetIncomeLossAttributableToNoncontrollingInterest, EarningsPerShareDiluted, WeightedAverageNumberOfDilutedSharesOutstanding, ExcessCapital, AllocatedShareBasedCompensationExpense; Q2-2026 10-Q (filed 2026-08-06) for the 26.5% ownership table, note 15 regulatory capital, D&amp;A and capex; IBKR_Metrics.csv for equity, cash and consolidated NI history
qualitative: IBKR_Analysis.json (2026-09-29): business mix, $81M/25bp NII sensitivity, account/customer-equity/margin-loan growth, bull and bear cases</t>
  </si>
  <si>
    <t xml:space="preserve">Scenario narrative: bear</t>
  </si>
  <si>
    <t xml:space="preserve">Fed funds falls to ~2.5% into a risk-asset drawdown that shrinks the margin book and DARTs together; zero-commission competition caps commission yields; a margin-liquidation loss adds to bad debt. Revenue flat for two years, pretax margin back to the pre-2023 66%.</t>
  </si>
  <si>
    <t xml:space="preserve">Scenario narrative: base</t>
  </si>
  <si>
    <t xml:space="preserve">Account growth normalises from +34% toward low-teens as the international cohort matures; Fed funds settles ~3% (another ~2-3 cuts, ~-$250M NII against a still-growing margin book); commissions keep tracking DARTs and customer equity. Net revenue +14% in the year to Jun-2027 decelerating to 3.5% by year 10; pretax margin eases from 78% to 72% as NII mix falls.</t>
  </si>
  <si>
    <t xml:space="preserve">Scenario narrative: bull</t>
  </si>
  <si>
    <t xml:space="preserve">International account growth stays above 25% for three more years, prediction markets and crypto add a third commission leg, the Fed pauses near 3.5% so margin-loan growth more than offsets rate drag, and the 77-78% pretax margin holds for a decade.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</si>
  <si>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</si>
  <si>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</si>
  <si>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</si>
  <si>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</si>
  <si>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</si>
  <si>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</si>
  <si>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</si>
  <si>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</si>
  <si>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</si>
  <si>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</si>
  <si>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</si>
  <si>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</si>
  <si>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</si>
  <si>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</si>
  <si>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</si>
  <si>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</si>
  <si>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</si>
  <si>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</si>
  <si>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</si>
  <si>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</si>
  <si>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</si>
  <si>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</si>
  <si>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</si>
  <si>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</si>
  <si>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</si>
  <si>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</si>
  <si>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</si>
  <si>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</si>
  <si>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</si>
  <si>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</si>
  <si>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</si>
  <si>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</si>
  <si>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</si>
  <si>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</si>
  <si>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</si>
  <si>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</si>
  <si>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</si>
  <si>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</si>
  <si>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</si>
  <si>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</si>
  <si>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</si>
  <si>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</si>
  <si>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</si>
  <si>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</si>
  <si>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</si>
  <si>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</si>
  <si>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</si>
  <si>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</si>
  <si>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</si>
  <si>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</si>
  <si>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</si>
  <si>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</si>
  <si>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</si>
  <si>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</si>
  <si>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</si>
  <si>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TTM to 2026-06-30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</si>
  <si>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</si>
  <si>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</si>
  <si>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</si>
  <si>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</si>
  <si>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TTM to 2027</t>
  </si>
  <si>
    <t xml:space="preserve">TTM to 2028</t>
  </si>
  <si>
    <t xml:space="preserve">TTM to 2029</t>
  </si>
  <si>
    <t xml:space="preserve">TTM to 2030</t>
  </si>
  <si>
    <t xml:space="preserve">TTM to 2031</t>
  </si>
  <si>
    <t xml:space="preserve">TTM to 2032</t>
  </si>
  <si>
    <t xml:space="preserve">TTM to 2033</t>
  </si>
  <si>
    <t xml:space="preserve">TTM to 2034</t>
  </si>
  <si>
    <t xml:space="preserve">TTM to 2035</t>
  </si>
  <si>
    <t xml:space="preserve">TTM to 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</si>
  <si>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</si>
  <si>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</si>
  <si>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</si>
  <si>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</si>
  <si>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</si>
  <si>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</si>
  <si>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</si>
  <si>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</si>
  <si>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</si>
  <si>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</si>
  <si>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</si>
  <si>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</si>
  <si>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</si>
  <si>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</si>
  <si>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IBKR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</si>
  <si>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</si>
  <si>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</si>
  <si>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</si>
  <si>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</si>
  <si>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</si>
  <si>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</si>
  <si>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</si>
  <si>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</si>
  <si>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</si>
  <si>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</si>
  <si>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</si>
  <si>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</si>
  <si>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</si>
  <si>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</si>
  <si>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</si>
  <si>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</si>
  <si>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</si>
  <si>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</si>
  <si>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</si>
  <si>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</si>
  <si>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</si>
  <si>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</si>
  <si>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</si>
  <si>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</si>
  <si>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</si>
  <si>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</si>
  <si>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</si>
  <si>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</si>
  <si>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</si>
  <si>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</si>
  <si>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IBKR owner-FCF component DCF: base case (millions, USD)</t>
  </si>
  <si>
    <t xml:space="preserve">IBKR owner-FCF component DCF: bull case (millions, USD)</t>
  </si>
  <si>
    <t xml:space="preserve">IBKR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</si>
  <si>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</si>
  <si>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</si>
  <si>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</si>
  <si>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</si>
  <si>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</si>
  <si>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</si>
  <si>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</si>
  <si>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</si>
  <si>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</si>
  <si>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</si>
  <si>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</si>
  <si>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</si>
  <si>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</si>
  <si>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</si>
  <si>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</si>
  <si>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 (WACC)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</si>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</sst>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87.08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3573.824</v>
      </c>
      <c r="S2" s="0" t="n">
        <v>521.776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2182.325</v>
      </c>
      <c r="I3" s="0" t="n">
        <v>1121.601</v>
      </c>
      <c r="J3" s="0" t="n">
        <v>51.3947739223076</v>
      </c>
      <c r="K3" s="0" t="n">
        <v>2.3</v>
      </c>
      <c r="L3" s="0" t="n">
        <v>2092.324</v>
      </c>
      <c r="O3" s="0" t="n">
        <v>4385.312</v>
      </c>
      <c r="S3" s="0" t="n">
        <v>943.497</v>
      </c>
      <c r="T3" s="0" t="n">
        <v>41.461018</v>
      </c>
      <c r="U3" s="0" t="n">
        <v>25.921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1169.773</v>
      </c>
      <c r="I4" s="0" t="n">
        <v>484.145</v>
      </c>
      <c r="J4" s="0" t="n">
        <v>41.3879444986335</v>
      </c>
      <c r="K4" s="0" t="n">
        <v>0.87</v>
      </c>
      <c r="L4" s="0" t="n">
        <v>150.653</v>
      </c>
      <c r="O4" s="0" t="n">
        <v>-1355.657</v>
      </c>
      <c r="P4" s="0" t="n">
        <v>26605.551</v>
      </c>
      <c r="Q4" s="0" t="n">
        <v>21728.42</v>
      </c>
      <c r="S4" s="0" t="n">
        <v>806.56</v>
      </c>
      <c r="T4" s="0" t="n">
        <v>41.799489</v>
      </c>
      <c r="U4" s="0" t="n">
        <v>39.402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988.317</v>
      </c>
      <c r="I5" s="0" t="n">
        <v>277.134</v>
      </c>
      <c r="J5" s="0" t="n">
        <v>28.0410030384988</v>
      </c>
      <c r="K5" s="0" t="n">
        <v>-0.23</v>
      </c>
      <c r="L5" s="0" t="n">
        <v>1693.344</v>
      </c>
      <c r="O5" s="0" t="n">
        <v>-2027.764</v>
      </c>
      <c r="P5" s="0" t="n">
        <v>28500.039</v>
      </c>
      <c r="Q5" s="0" t="n">
        <v>24311.542</v>
      </c>
      <c r="S5" s="0" t="n">
        <v>1023.816</v>
      </c>
      <c r="T5" s="0" t="n">
        <v>42.498705</v>
      </c>
      <c r="U5" s="0" t="n">
        <v>41.7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1444.568</v>
      </c>
      <c r="I6" s="0" t="n">
        <v>687.179</v>
      </c>
      <c r="J6" s="0" t="n">
        <v>47.569861716444</v>
      </c>
      <c r="K6" s="0" t="n">
        <v>1.39</v>
      </c>
      <c r="L6" s="0" t="n">
        <v>991.548</v>
      </c>
      <c r="O6" s="0" t="n">
        <v>-457.664</v>
      </c>
      <c r="P6" s="0" t="n">
        <v>30404.365</v>
      </c>
      <c r="Q6" s="0" t="n">
        <v>25592.41</v>
      </c>
      <c r="S6" s="0" t="n">
        <v>1284.542</v>
      </c>
      <c r="T6" s="0" t="n">
        <v>44.364902</v>
      </c>
      <c r="U6" s="0" t="n">
        <v>49.186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1192.47</v>
      </c>
      <c r="I7" s="0" t="n">
        <v>496.986</v>
      </c>
      <c r="J7" s="0" t="n">
        <v>41.6770233213414</v>
      </c>
      <c r="K7" s="0" t="n">
        <v>0.89</v>
      </c>
      <c r="L7" s="0" t="n">
        <v>725.464</v>
      </c>
      <c r="O7" s="0" t="n">
        <v>4813</v>
      </c>
      <c r="P7" s="0" t="n">
        <v>33199.557</v>
      </c>
      <c r="Q7" s="0" t="n">
        <v>28386.41</v>
      </c>
      <c r="S7" s="0" t="n">
        <v>1381</v>
      </c>
      <c r="T7" s="0" t="n">
        <v>47.070522</v>
      </c>
      <c r="U7" s="0" t="n">
        <v>67.092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1128</v>
      </c>
      <c r="I8" s="0" t="n">
        <v>418</v>
      </c>
      <c r="J8" s="0" t="n">
        <v>37.0567375886525</v>
      </c>
      <c r="K8" s="0" t="n">
        <v>0.74</v>
      </c>
      <c r="L8" s="0" t="n">
        <v>140.9</v>
      </c>
      <c r="O8" s="0" t="n">
        <v>5092</v>
      </c>
      <c r="P8" s="0" t="n">
        <v>37870.7</v>
      </c>
      <c r="Q8" s="0" t="n">
        <v>32778.574</v>
      </c>
      <c r="S8" s="0" t="n">
        <v>1213</v>
      </c>
      <c r="T8" s="0" t="n">
        <v>50.924736</v>
      </c>
      <c r="U8" s="0" t="n">
        <v>41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1115</v>
      </c>
      <c r="I9" s="0" t="n">
        <v>459</v>
      </c>
      <c r="J9" s="0" t="n">
        <v>41.1659192825112</v>
      </c>
      <c r="K9" s="0" t="n">
        <v>0.79</v>
      </c>
      <c r="L9" s="0" t="n">
        <v>416.966</v>
      </c>
      <c r="O9" s="0" t="n">
        <v>5185</v>
      </c>
      <c r="P9" s="0" t="n">
        <v>43385</v>
      </c>
      <c r="Q9" s="0" t="n">
        <v>38200</v>
      </c>
      <c r="S9" s="0" t="n">
        <v>1269</v>
      </c>
      <c r="T9" s="0" t="n">
        <v>58.473186</v>
      </c>
      <c r="U9" s="0" t="n">
        <v>41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1256</v>
      </c>
      <c r="I10" s="0" t="n">
        <v>415</v>
      </c>
      <c r="J10" s="0" t="n">
        <v>33.0414012738854</v>
      </c>
      <c r="K10" s="0" t="n">
        <v>0.8</v>
      </c>
      <c r="O10" s="0" t="n">
        <v>5344</v>
      </c>
      <c r="P10" s="0" t="n">
        <v>48734</v>
      </c>
      <c r="Q10" s="0" t="n">
        <v>43390</v>
      </c>
      <c r="S10" s="0" t="n">
        <v>1601</v>
      </c>
      <c r="T10" s="0" t="n">
        <v>63.985335</v>
      </c>
      <c r="U10" s="0" t="n">
        <v>50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1475</v>
      </c>
      <c r="I11" s="0" t="n">
        <v>699</v>
      </c>
      <c r="J11" s="0" t="n">
        <v>47.3898305084746</v>
      </c>
      <c r="K11" s="0" t="n">
        <v>1.28</v>
      </c>
      <c r="L11" s="0" t="n">
        <v>635</v>
      </c>
      <c r="O11" s="0" t="n">
        <v>5820</v>
      </c>
      <c r="P11" s="0" t="n">
        <v>54673</v>
      </c>
      <c r="Q11" s="0" t="n">
        <v>48853</v>
      </c>
      <c r="S11" s="0" t="n">
        <v>1925</v>
      </c>
      <c r="T11" s="0" t="n">
        <v>67.299413</v>
      </c>
      <c r="U11" s="0" t="n">
        <v>51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1927</v>
      </c>
      <c r="I12" s="0" t="n">
        <v>793</v>
      </c>
      <c r="J12" s="0" t="n">
        <v>41.1520498183705</v>
      </c>
      <c r="K12" s="0" t="n">
        <v>1.09</v>
      </c>
      <c r="L12" s="0" t="n">
        <v>1065</v>
      </c>
      <c r="O12" s="0" t="n">
        <v>6433</v>
      </c>
      <c r="P12" s="0" t="n">
        <v>61162</v>
      </c>
      <c r="Q12" s="0" t="n">
        <v>54729</v>
      </c>
      <c r="S12" s="0" t="n">
        <v>1732</v>
      </c>
      <c r="T12" s="0" t="n">
        <v>70.904921</v>
      </c>
      <c r="U12" s="0" t="n">
        <v>53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2366</v>
      </c>
      <c r="I13" s="0" t="n">
        <v>1125</v>
      </c>
      <c r="J13" s="0" t="n">
        <v>47.5486052409129</v>
      </c>
      <c r="K13" s="0" t="n">
        <v>2.3</v>
      </c>
      <c r="L13" s="0" t="n">
        <v>2356</v>
      </c>
      <c r="O13" s="0" t="n">
        <v>7156</v>
      </c>
      <c r="P13" s="0" t="n">
        <v>60547</v>
      </c>
      <c r="Q13" s="0" t="n">
        <v>53391</v>
      </c>
      <c r="S13" s="0" t="n">
        <v>2597</v>
      </c>
      <c r="T13" s="0" t="n">
        <v>74.26637</v>
      </c>
      <c r="U13" s="0" t="n">
        <v>58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2580</v>
      </c>
      <c r="I14" s="0" t="n">
        <v>1089</v>
      </c>
      <c r="J14" s="0" t="n">
        <v>42.2093023255814</v>
      </c>
      <c r="K14" s="0" t="n">
        <v>2.11</v>
      </c>
      <c r="L14" s="0" t="n">
        <v>2666</v>
      </c>
      <c r="O14" s="0" t="n">
        <v>7940</v>
      </c>
      <c r="P14" s="0" t="n">
        <v>71676</v>
      </c>
      <c r="Q14" s="0" t="n">
        <v>63736</v>
      </c>
      <c r="S14" s="0" t="n">
        <v>2882</v>
      </c>
      <c r="T14" s="0" t="n">
        <v>76.825863</v>
      </c>
      <c r="U14" s="0" t="n">
        <v>60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1287</v>
      </c>
      <c r="I15" s="0" t="n">
        <v>1179</v>
      </c>
      <c r="J15" s="0" t="n">
        <v>91.6083916083916</v>
      </c>
      <c r="K15" s="0" t="n">
        <v>2.44</v>
      </c>
      <c r="L15" s="0" t="n">
        <v>8068</v>
      </c>
      <c r="O15" s="0" t="n">
        <v>9003</v>
      </c>
      <c r="P15" s="0" t="n">
        <v>95679</v>
      </c>
      <c r="Q15" s="0" t="n">
        <v>86676</v>
      </c>
      <c r="S15" s="0" t="n">
        <v>4292</v>
      </c>
      <c r="T15" s="0" t="n">
        <v>80.638908</v>
      </c>
      <c r="U15" s="0" t="n">
        <v>65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1568</v>
      </c>
      <c r="I16" s="0" t="n">
        <v>1636</v>
      </c>
      <c r="J16" s="0" t="n">
        <v>104.336734693878</v>
      </c>
      <c r="K16" s="0" t="n">
        <v>3.27</v>
      </c>
      <c r="L16" s="0" t="n">
        <v>5896</v>
      </c>
      <c r="O16" s="0" t="n">
        <v>10222</v>
      </c>
      <c r="P16" s="0" t="n">
        <v>109113</v>
      </c>
      <c r="Q16" s="0" t="n">
        <v>98891</v>
      </c>
      <c r="S16" s="0" t="n">
        <v>2395</v>
      </c>
      <c r="T16" s="0" t="n">
        <v>95.00988</v>
      </c>
      <c r="U16" s="0" t="n">
        <v>80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1506</v>
      </c>
      <c r="I17" s="0" t="n">
        <v>1842</v>
      </c>
      <c r="J17" s="0" t="n">
        <v>122.310756972112</v>
      </c>
      <c r="K17" s="0" t="n">
        <v>3.78</v>
      </c>
      <c r="L17" s="0" t="n">
        <v>3968</v>
      </c>
      <c r="O17" s="0" t="n">
        <v>11615</v>
      </c>
      <c r="P17" s="0" t="n">
        <v>115143</v>
      </c>
      <c r="Q17" s="0" t="n">
        <v>103528</v>
      </c>
      <c r="S17" s="0" t="n">
        <v>3436</v>
      </c>
      <c r="T17" s="0" t="n">
        <v>101.299609</v>
      </c>
      <c r="U17" s="0" t="n">
        <v>92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1557</v>
      </c>
      <c r="I18" s="0" t="n">
        <v>2812</v>
      </c>
      <c r="J18" s="0" t="n">
        <v>180.603725112396</v>
      </c>
      <c r="K18" s="0" t="n">
        <v>1.43</v>
      </c>
      <c r="L18" s="0" t="n">
        <v>4544</v>
      </c>
      <c r="O18" s="0" t="n">
        <v>14067</v>
      </c>
      <c r="P18" s="0" t="n">
        <v>128251</v>
      </c>
      <c r="Q18" s="0" t="n">
        <v>114184</v>
      </c>
      <c r="S18" s="0" t="n">
        <v>3753</v>
      </c>
      <c r="T18" s="0" t="n">
        <v>423.387508</v>
      </c>
      <c r="U18" s="0" t="n">
        <v>100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1977</v>
      </c>
      <c r="I19" s="0" t="n">
        <v>3407</v>
      </c>
      <c r="J19" s="0" t="n">
        <v>172.331815882651</v>
      </c>
      <c r="K19" s="0" t="n">
        <v>1.75</v>
      </c>
      <c r="L19" s="0" t="n">
        <v>8724</v>
      </c>
      <c r="O19" s="0" t="n">
        <v>16597</v>
      </c>
      <c r="P19" s="0" t="n">
        <v>150142</v>
      </c>
      <c r="Q19" s="0" t="n">
        <v>133545</v>
      </c>
      <c r="S19" s="0" t="n">
        <v>3633</v>
      </c>
      <c r="T19" s="0" t="n">
        <v>436.011752</v>
      </c>
      <c r="U19" s="0" t="n">
        <v>112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2440</v>
      </c>
      <c r="I20" s="0" t="n">
        <v>4357</v>
      </c>
      <c r="J20" s="0" t="n">
        <v>178.565573770492</v>
      </c>
      <c r="K20" s="0" t="n">
        <v>2.23</v>
      </c>
      <c r="L20" s="0" t="n">
        <v>15811</v>
      </c>
      <c r="O20" s="0" t="n">
        <v>20472</v>
      </c>
      <c r="P20" s="0" t="n">
        <v>203240</v>
      </c>
      <c r="Q20" s="0" t="n">
        <v>182768</v>
      </c>
      <c r="S20" s="0" t="n">
        <v>4963</v>
      </c>
      <c r="T20" s="0" t="n">
        <v>443.859546</v>
      </c>
      <c r="U20" s="0" t="n">
        <v>118</v>
      </c>
      <c r="AA20" s="0" t="s">
        <v>17</v>
      </c>
      <c r="AB20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82</v>
      </c>
      <c r="B1" s="2" t="s">
        <v>83</v>
      </c>
    </row>
    <row r="2" customFormat="false" ht="15" hidden="false" customHeight="false" outlineLevel="0" collapsed="false">
      <c r="A2" s="0" t="s">
        <v>84</v>
      </c>
      <c r="B2" s="3" t="n">
        <v>87.08</v>
      </c>
    </row>
    <row r="3" customFormat="false" ht="15" hidden="false" customHeight="false" outlineLevel="0" collapsed="false">
      <c r="A3" s="0" t="s">
        <v>85</v>
      </c>
      <c r="B3" s="3" t="n">
        <v>1698.4</v>
      </c>
    </row>
    <row r="4" customFormat="false" ht="15" hidden="false" customHeight="false" outlineLevel="0" collapsed="false">
      <c r="A4" s="0" t="s">
        <v>86</v>
      </c>
      <c r="B4" s="3" t="n">
        <v>0</v>
      </c>
    </row>
    <row r="5" customFormat="false" ht="15" hidden="false" customHeight="false" outlineLevel="0" collapsed="false">
      <c r="A5" s="0" t="s">
        <v>87</v>
      </c>
      <c r="B5" s="3" t="n">
        <v>0</v>
      </c>
    </row>
    <row r="6" customFormat="false" ht="15" hidden="false" customHeight="false" outlineLevel="0" collapsed="false">
      <c r="A6" s="0" t="s">
        <v>88</v>
      </c>
      <c r="B6" s="3" t="n">
        <v>15</v>
      </c>
    </row>
    <row r="7" customFormat="false" ht="15" hidden="false" customHeight="false" outlineLevel="0" collapsed="false">
      <c r="A7" s="0" t="s">
        <v>89</v>
      </c>
      <c r="B7" s="3" t="n">
        <v>6863</v>
      </c>
    </row>
    <row r="8" customFormat="false" ht="15" hidden="false" customHeight="false" outlineLevel="0" collapsed="false">
      <c r="A8" s="0" t="s">
        <v>90</v>
      </c>
      <c r="B8" s="3" t="s">
        <v>91</v>
      </c>
    </row>
    <row r="9" customFormat="false" ht="15" hidden="false" customHeight="false" outlineLevel="0" collapsed="false">
      <c r="A9" s="0" t="s">
        <v>92</v>
      </c>
      <c r="B9" s="3" t="s">
        <v>93</v>
      </c>
    </row>
    <row r="10" customFormat="false" ht="15" hidden="false" customHeight="false" outlineLevel="0" collapsed="false">
      <c r="A10" s="0" t="s">
        <v>94</v>
      </c>
      <c r="B10" s="3" t="n">
        <v>1</v>
      </c>
    </row>
    <row r="12" customFormat="false" ht="15" hidden="false" customHeight="false" outlineLevel="0" collapsed="false">
      <c r="A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  <c r="H12" s="2" t="s">
        <v>101</v>
      </c>
      <c r="I12" s="2" t="s">
        <v>102</v>
      </c>
      <c r="J12" s="2" t="s">
        <v>103</v>
      </c>
      <c r="K12" s="2" t="s">
        <v>104</v>
      </c>
      <c r="L12" s="2" t="s">
        <v>105</v>
      </c>
    </row>
    <row r="13" customFormat="false" ht="15" hidden="false" customHeight="false" outlineLevel="0" collapsed="false">
      <c r="A13" s="0" t="s">
        <v>106</v>
      </c>
      <c r="C13" s="3" t="n">
        <v>4</v>
      </c>
      <c r="D13" s="3" t="n">
        <v>0</v>
      </c>
      <c r="E13" s="3" t="n">
        <v>3</v>
      </c>
      <c r="F13" s="3" t="n">
        <v>4</v>
      </c>
      <c r="G13" s="3" t="n">
        <v>4</v>
      </c>
      <c r="H13" s="3" t="n">
        <v>4</v>
      </c>
      <c r="I13" s="3" t="n">
        <v>4</v>
      </c>
      <c r="J13" s="3" t="n">
        <v>3.5</v>
      </c>
      <c r="K13" s="3" t="n">
        <v>3.5</v>
      </c>
      <c r="L13" s="3" t="n">
        <v>3</v>
      </c>
    </row>
    <row r="14" customFormat="false" ht="15" hidden="false" customHeight="false" outlineLevel="0" collapsed="false">
      <c r="A14" s="0" t="s">
        <v>107</v>
      </c>
      <c r="C14" s="3" t="n">
        <v>76.8</v>
      </c>
      <c r="D14" s="3" t="n">
        <v>72.8</v>
      </c>
      <c r="E14" s="3" t="n">
        <v>70.8</v>
      </c>
      <c r="F14" s="3" t="n">
        <v>69.8</v>
      </c>
      <c r="G14" s="3" t="n">
        <v>68.8</v>
      </c>
      <c r="H14" s="3" t="n">
        <v>68.8</v>
      </c>
      <c r="I14" s="3" t="n">
        <v>68.8</v>
      </c>
      <c r="J14" s="3" t="n">
        <v>68.8</v>
      </c>
      <c r="K14" s="3" t="n">
        <v>68.8</v>
      </c>
      <c r="L14" s="3" t="n">
        <v>68.8</v>
      </c>
    </row>
    <row r="15" customFormat="false" ht="15" hidden="false" customHeight="false" outlineLevel="0" collapsed="false">
      <c r="A15" s="0" t="s">
        <v>108</v>
      </c>
      <c r="C15" s="3" t="n">
        <v>1.8</v>
      </c>
      <c r="D15" s="3" t="n">
        <v>1.8</v>
      </c>
      <c r="E15" s="3" t="n">
        <v>1.8</v>
      </c>
      <c r="F15" s="3" t="n">
        <v>1.8</v>
      </c>
      <c r="G15" s="3" t="n">
        <v>1.8</v>
      </c>
      <c r="H15" s="3" t="n">
        <v>1.8</v>
      </c>
      <c r="I15" s="3" t="n">
        <v>1.8</v>
      </c>
      <c r="J15" s="3" t="n">
        <v>1.8</v>
      </c>
      <c r="K15" s="3" t="n">
        <v>1.8</v>
      </c>
      <c r="L15" s="3" t="n">
        <v>1.8</v>
      </c>
    </row>
    <row r="16" customFormat="false" ht="15" hidden="false" customHeight="false" outlineLevel="0" collapsed="false">
      <c r="A16" s="0" t="s">
        <v>109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110</v>
      </c>
      <c r="C17" s="3" t="n">
        <v>1</v>
      </c>
      <c r="D17" s="3" t="n">
        <v>1</v>
      </c>
      <c r="E17" s="3" t="n">
        <v>1</v>
      </c>
      <c r="F17" s="3" t="n">
        <v>1</v>
      </c>
      <c r="G17" s="3" t="n">
        <v>1</v>
      </c>
      <c r="H17" s="3" t="n">
        <v>1</v>
      </c>
      <c r="I17" s="3" t="n">
        <v>1</v>
      </c>
      <c r="J17" s="3" t="n">
        <v>1</v>
      </c>
      <c r="K17" s="3" t="n">
        <v>1</v>
      </c>
      <c r="L17" s="3" t="n">
        <v>1</v>
      </c>
    </row>
    <row r="18" customFormat="false" ht="15" hidden="false" customHeight="false" outlineLevel="0" collapsed="false">
      <c r="A18" s="0" t="s">
        <v>111</v>
      </c>
      <c r="C18" s="3" t="n">
        <v>1.3</v>
      </c>
      <c r="D18" s="3" t="n">
        <v>1.3</v>
      </c>
      <c r="E18" s="3" t="n">
        <v>1.3</v>
      </c>
      <c r="F18" s="3" t="n">
        <v>1.3</v>
      </c>
      <c r="G18" s="3" t="n">
        <v>1.3</v>
      </c>
      <c r="H18" s="3" t="n">
        <v>1.3</v>
      </c>
      <c r="I18" s="3" t="n">
        <v>1.3</v>
      </c>
      <c r="J18" s="3" t="n">
        <v>1.3</v>
      </c>
      <c r="K18" s="3" t="n">
        <v>1.3</v>
      </c>
      <c r="L18" s="3" t="n">
        <v>1.3</v>
      </c>
    </row>
    <row r="19" customFormat="false" ht="15" hidden="false" customHeight="false" outlineLevel="0" collapsed="false">
      <c r="A19" s="0" t="s">
        <v>112</v>
      </c>
      <c r="C19" s="3" t="n">
        <v>22.5</v>
      </c>
      <c r="D19" s="3" t="n">
        <v>22.5</v>
      </c>
      <c r="E19" s="3" t="n">
        <v>22.5</v>
      </c>
      <c r="F19" s="3" t="n">
        <v>22.5</v>
      </c>
      <c r="G19" s="3" t="n">
        <v>22.5</v>
      </c>
      <c r="H19" s="3" t="n">
        <v>22.5</v>
      </c>
      <c r="I19" s="3" t="n">
        <v>22.5</v>
      </c>
      <c r="J19" s="3" t="n">
        <v>22.5</v>
      </c>
      <c r="K19" s="3" t="n">
        <v>22.5</v>
      </c>
      <c r="L19" s="3" t="n">
        <v>22.5</v>
      </c>
    </row>
    <row r="20" customFormat="false" ht="15" hidden="false" customHeight="false" outlineLevel="0" collapsed="false">
      <c r="A20" s="0" t="s">
        <v>113</v>
      </c>
      <c r="B20" s="3" t="n">
        <v>10</v>
      </c>
    </row>
    <row r="21" customFormat="false" ht="15" hidden="false" customHeight="false" outlineLevel="0" collapsed="false">
      <c r="A21" s="0" t="s">
        <v>114</v>
      </c>
      <c r="B21" s="3" t="n">
        <v>2.5</v>
      </c>
    </row>
    <row r="22" customFormat="false" ht="15" hidden="false" customHeight="false" outlineLevel="0" collapsed="false">
      <c r="A22" s="0" t="s">
        <v>115</v>
      </c>
      <c r="B22" s="3" t="n">
        <v>16</v>
      </c>
    </row>
    <row r="23" customFormat="false" ht="15" hidden="false" customHeight="false" outlineLevel="0" collapsed="false">
      <c r="A23" s="0" t="s">
        <v>116</v>
      </c>
      <c r="B23" s="3" t="n">
        <v>-125</v>
      </c>
    </row>
    <row r="24" customFormat="false" ht="15" hidden="false" customHeight="false" outlineLevel="0" collapsed="false">
      <c r="A24" s="0" t="s">
        <v>117</v>
      </c>
      <c r="B24" s="3" t="n">
        <v>0.2</v>
      </c>
    </row>
    <row r="26" customFormat="false" ht="15" hidden="false" customHeight="false" outlineLevel="0" collapsed="false">
      <c r="A26" s="2" t="s">
        <v>118</v>
      </c>
      <c r="C26" s="2" t="s">
        <v>96</v>
      </c>
      <c r="D26" s="2" t="s">
        <v>97</v>
      </c>
      <c r="E26" s="2" t="s">
        <v>98</v>
      </c>
      <c r="F26" s="2" t="s">
        <v>99</v>
      </c>
      <c r="G26" s="2" t="s">
        <v>100</v>
      </c>
      <c r="H26" s="2" t="s">
        <v>101</v>
      </c>
      <c r="I26" s="2" t="s">
        <v>102</v>
      </c>
      <c r="J26" s="2" t="s">
        <v>103</v>
      </c>
      <c r="K26" s="2" t="s">
        <v>104</v>
      </c>
      <c r="L26" s="2" t="s">
        <v>105</v>
      </c>
    </row>
    <row r="27" customFormat="false" ht="15" hidden="false" customHeight="false" outlineLevel="0" collapsed="false">
      <c r="A27" s="0" t="s">
        <v>106</v>
      </c>
      <c r="C27" s="3" t="n">
        <v>14</v>
      </c>
      <c r="D27" s="3" t="n">
        <v>12</v>
      </c>
      <c r="E27" s="3" t="n">
        <v>10</v>
      </c>
      <c r="F27" s="3" t="n">
        <v>8</v>
      </c>
      <c r="G27" s="3" t="n">
        <v>7</v>
      </c>
      <c r="H27" s="3" t="n">
        <v>6</v>
      </c>
      <c r="I27" s="3" t="n">
        <v>5</v>
      </c>
      <c r="J27" s="3" t="n">
        <v>4.5</v>
      </c>
      <c r="K27" s="3" t="n">
        <v>4</v>
      </c>
      <c r="L27" s="3" t="n">
        <v>3.5</v>
      </c>
    </row>
    <row r="28" customFormat="false" ht="15" hidden="false" customHeight="false" outlineLevel="0" collapsed="false">
      <c r="A28" s="0" t="s">
        <v>107</v>
      </c>
      <c r="C28" s="3" t="n">
        <v>78.8</v>
      </c>
      <c r="D28" s="3" t="n">
        <v>77.8</v>
      </c>
      <c r="E28" s="3" t="n">
        <v>76.8</v>
      </c>
      <c r="F28" s="3" t="n">
        <v>76.3</v>
      </c>
      <c r="G28" s="3" t="n">
        <v>75.8</v>
      </c>
      <c r="H28" s="3" t="n">
        <v>75.3</v>
      </c>
      <c r="I28" s="3" t="n">
        <v>74.8</v>
      </c>
      <c r="J28" s="3" t="n">
        <v>74.8</v>
      </c>
      <c r="K28" s="3" t="n">
        <v>74.8</v>
      </c>
      <c r="L28" s="3" t="n">
        <v>74.8</v>
      </c>
    </row>
    <row r="29" customFormat="false" ht="15" hidden="false" customHeight="false" outlineLevel="0" collapsed="false">
      <c r="A29" s="0" t="s">
        <v>108</v>
      </c>
      <c r="C29" s="3" t="n">
        <v>1.8</v>
      </c>
      <c r="D29" s="3" t="n">
        <v>1.8</v>
      </c>
      <c r="E29" s="3" t="n">
        <v>1.8</v>
      </c>
      <c r="F29" s="3" t="n">
        <v>1.8</v>
      </c>
      <c r="G29" s="3" t="n">
        <v>1.8</v>
      </c>
      <c r="H29" s="3" t="n">
        <v>1.8</v>
      </c>
      <c r="I29" s="3" t="n">
        <v>1.8</v>
      </c>
      <c r="J29" s="3" t="n">
        <v>1.8</v>
      </c>
      <c r="K29" s="3" t="n">
        <v>1.8</v>
      </c>
      <c r="L29" s="3" t="n">
        <v>1.8</v>
      </c>
    </row>
    <row r="30" customFormat="false" ht="15" hidden="false" customHeight="false" outlineLevel="0" collapsed="false">
      <c r="A30" s="0" t="s">
        <v>109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110</v>
      </c>
      <c r="C31" s="3" t="n">
        <v>1</v>
      </c>
      <c r="D31" s="3" t="n">
        <v>1</v>
      </c>
      <c r="E31" s="3" t="n">
        <v>1</v>
      </c>
      <c r="F31" s="3" t="n">
        <v>1</v>
      </c>
      <c r="G31" s="3" t="n">
        <v>1</v>
      </c>
      <c r="H31" s="3" t="n">
        <v>1</v>
      </c>
      <c r="I31" s="3" t="n">
        <v>1</v>
      </c>
      <c r="J31" s="3" t="n">
        <v>1</v>
      </c>
      <c r="K31" s="3" t="n">
        <v>1</v>
      </c>
      <c r="L31" s="3" t="n">
        <v>1</v>
      </c>
    </row>
    <row r="32" customFormat="false" ht="15" hidden="false" customHeight="false" outlineLevel="0" collapsed="false">
      <c r="A32" s="0" t="s">
        <v>111</v>
      </c>
      <c r="C32" s="3" t="n">
        <v>1.3</v>
      </c>
      <c r="D32" s="3" t="n">
        <v>1.3</v>
      </c>
      <c r="E32" s="3" t="n">
        <v>1.3</v>
      </c>
      <c r="F32" s="3" t="n">
        <v>1.3</v>
      </c>
      <c r="G32" s="3" t="n">
        <v>1.3</v>
      </c>
      <c r="H32" s="3" t="n">
        <v>1.3</v>
      </c>
      <c r="I32" s="3" t="n">
        <v>1.3</v>
      </c>
      <c r="J32" s="3" t="n">
        <v>1.3</v>
      </c>
      <c r="K32" s="3" t="n">
        <v>1.3</v>
      </c>
      <c r="L32" s="3" t="n">
        <v>1.3</v>
      </c>
    </row>
    <row r="33" customFormat="false" ht="15" hidden="false" customHeight="false" outlineLevel="0" collapsed="false">
      <c r="A33" s="0" t="s">
        <v>112</v>
      </c>
      <c r="C33" s="3" t="n">
        <v>21.5</v>
      </c>
      <c r="D33" s="3" t="n">
        <v>21.5</v>
      </c>
      <c r="E33" s="3" t="n">
        <v>21.5</v>
      </c>
      <c r="F33" s="3" t="n">
        <v>21.5</v>
      </c>
      <c r="G33" s="3" t="n">
        <v>21.5</v>
      </c>
      <c r="H33" s="3" t="n">
        <v>21.5</v>
      </c>
      <c r="I33" s="3" t="n">
        <v>21.5</v>
      </c>
      <c r="J33" s="3" t="n">
        <v>21.5</v>
      </c>
      <c r="K33" s="3" t="n">
        <v>21.5</v>
      </c>
      <c r="L33" s="3" t="n">
        <v>21.5</v>
      </c>
    </row>
    <row r="34" customFormat="false" ht="15" hidden="false" customHeight="false" outlineLevel="0" collapsed="false">
      <c r="A34" s="0" t="s">
        <v>113</v>
      </c>
      <c r="B34" s="3" t="n">
        <v>10</v>
      </c>
    </row>
    <row r="35" customFormat="false" ht="15" hidden="false" customHeight="false" outlineLevel="0" collapsed="false">
      <c r="A35" s="0" t="s">
        <v>114</v>
      </c>
      <c r="B35" s="3" t="n">
        <v>3</v>
      </c>
    </row>
    <row r="36" customFormat="false" ht="15" hidden="false" customHeight="false" outlineLevel="0" collapsed="false">
      <c r="A36" s="0" t="s">
        <v>115</v>
      </c>
      <c r="B36" s="3" t="n">
        <v>16</v>
      </c>
    </row>
    <row r="37" customFormat="false" ht="15" hidden="false" customHeight="false" outlineLevel="0" collapsed="false">
      <c r="A37" s="0" t="s">
        <v>116</v>
      </c>
      <c r="B37" s="3" t="n">
        <v>-125</v>
      </c>
    </row>
    <row r="38" customFormat="false" ht="15" hidden="false" customHeight="false" outlineLevel="0" collapsed="false">
      <c r="A38" s="0" t="s">
        <v>117</v>
      </c>
      <c r="B38" s="3" t="n">
        <v>0.5</v>
      </c>
    </row>
    <row r="40" customFormat="false" ht="15" hidden="false" customHeight="false" outlineLevel="0" collapsed="false">
      <c r="A40" s="2" t="s">
        <v>119</v>
      </c>
      <c r="C40" s="2" t="s">
        <v>96</v>
      </c>
      <c r="D40" s="2" t="s">
        <v>97</v>
      </c>
      <c r="E40" s="2" t="s">
        <v>98</v>
      </c>
      <c r="F40" s="2" t="s">
        <v>99</v>
      </c>
      <c r="G40" s="2" t="s">
        <v>100</v>
      </c>
      <c r="H40" s="2" t="s">
        <v>101</v>
      </c>
      <c r="I40" s="2" t="s">
        <v>102</v>
      </c>
      <c r="J40" s="2" t="s">
        <v>103</v>
      </c>
      <c r="K40" s="2" t="s">
        <v>104</v>
      </c>
      <c r="L40" s="2" t="s">
        <v>105</v>
      </c>
    </row>
    <row r="41" customFormat="false" ht="15" hidden="false" customHeight="false" outlineLevel="0" collapsed="false">
      <c r="A41" s="0" t="s">
        <v>106</v>
      </c>
      <c r="C41" s="3" t="n">
        <v>20</v>
      </c>
      <c r="D41" s="3" t="n">
        <v>18</v>
      </c>
      <c r="E41" s="3" t="n">
        <v>15</v>
      </c>
      <c r="F41" s="3" t="n">
        <v>12</v>
      </c>
      <c r="G41" s="3" t="n">
        <v>10</v>
      </c>
      <c r="H41" s="3" t="n">
        <v>8</v>
      </c>
      <c r="I41" s="3" t="n">
        <v>7</v>
      </c>
      <c r="J41" s="3" t="n">
        <v>6</v>
      </c>
      <c r="K41" s="3" t="n">
        <v>5</v>
      </c>
      <c r="L41" s="3" t="n">
        <v>4</v>
      </c>
    </row>
    <row r="42" customFormat="false" ht="15" hidden="false" customHeight="false" outlineLevel="0" collapsed="false">
      <c r="A42" s="0" t="s">
        <v>107</v>
      </c>
      <c r="C42" s="3" t="n">
        <v>80.8</v>
      </c>
      <c r="D42" s="3" t="n">
        <v>80.8</v>
      </c>
      <c r="E42" s="3" t="n">
        <v>80.3</v>
      </c>
      <c r="F42" s="3" t="n">
        <v>80.3</v>
      </c>
      <c r="G42" s="3" t="n">
        <v>79.8</v>
      </c>
      <c r="H42" s="3" t="n">
        <v>79.8</v>
      </c>
      <c r="I42" s="3" t="n">
        <v>79.8</v>
      </c>
      <c r="J42" s="3" t="n">
        <v>79.8</v>
      </c>
      <c r="K42" s="3" t="n">
        <v>79.8</v>
      </c>
      <c r="L42" s="3" t="n">
        <v>79.8</v>
      </c>
    </row>
    <row r="43" customFormat="false" ht="15" hidden="false" customHeight="false" outlineLevel="0" collapsed="false">
      <c r="A43" s="0" t="s">
        <v>108</v>
      </c>
      <c r="C43" s="3" t="n">
        <v>1.8</v>
      </c>
      <c r="D43" s="3" t="n">
        <v>1.8</v>
      </c>
      <c r="E43" s="3" t="n">
        <v>1.8</v>
      </c>
      <c r="F43" s="3" t="n">
        <v>1.8</v>
      </c>
      <c r="G43" s="3" t="n">
        <v>1.8</v>
      </c>
      <c r="H43" s="3" t="n">
        <v>1.8</v>
      </c>
      <c r="I43" s="3" t="n">
        <v>1.8</v>
      </c>
      <c r="J43" s="3" t="n">
        <v>1.8</v>
      </c>
      <c r="K43" s="3" t="n">
        <v>1.8</v>
      </c>
      <c r="L43" s="3" t="n">
        <v>1.8</v>
      </c>
    </row>
    <row r="44" customFormat="false" ht="15" hidden="false" customHeight="false" outlineLevel="0" collapsed="false">
      <c r="A44" s="0" t="s">
        <v>109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110</v>
      </c>
      <c r="C45" s="3" t="n">
        <v>1</v>
      </c>
      <c r="D45" s="3" t="n">
        <v>1</v>
      </c>
      <c r="E45" s="3" t="n">
        <v>1</v>
      </c>
      <c r="F45" s="3" t="n">
        <v>1</v>
      </c>
      <c r="G45" s="3" t="n">
        <v>1</v>
      </c>
      <c r="H45" s="3" t="n">
        <v>1</v>
      </c>
      <c r="I45" s="3" t="n">
        <v>1</v>
      </c>
      <c r="J45" s="3" t="n">
        <v>1</v>
      </c>
      <c r="K45" s="3" t="n">
        <v>1</v>
      </c>
      <c r="L45" s="3" t="n">
        <v>1</v>
      </c>
    </row>
    <row r="46" customFormat="false" ht="15" hidden="false" customHeight="false" outlineLevel="0" collapsed="false">
      <c r="A46" s="0" t="s">
        <v>111</v>
      </c>
      <c r="C46" s="3" t="n">
        <v>1.3</v>
      </c>
      <c r="D46" s="3" t="n">
        <v>1.3</v>
      </c>
      <c r="E46" s="3" t="n">
        <v>1.3</v>
      </c>
      <c r="F46" s="3" t="n">
        <v>1.3</v>
      </c>
      <c r="G46" s="3" t="n">
        <v>1.3</v>
      </c>
      <c r="H46" s="3" t="n">
        <v>1.3</v>
      </c>
      <c r="I46" s="3" t="n">
        <v>1.3</v>
      </c>
      <c r="J46" s="3" t="n">
        <v>1.3</v>
      </c>
      <c r="K46" s="3" t="n">
        <v>1.3</v>
      </c>
      <c r="L46" s="3" t="n">
        <v>1.3</v>
      </c>
    </row>
    <row r="47" customFormat="false" ht="15" hidden="false" customHeight="false" outlineLevel="0" collapsed="false">
      <c r="A47" s="0" t="s">
        <v>112</v>
      </c>
      <c r="C47" s="3" t="n">
        <v>21</v>
      </c>
      <c r="D47" s="3" t="n">
        <v>21</v>
      </c>
      <c r="E47" s="3" t="n">
        <v>21</v>
      </c>
      <c r="F47" s="3" t="n">
        <v>21</v>
      </c>
      <c r="G47" s="3" t="n">
        <v>21</v>
      </c>
      <c r="H47" s="3" t="n">
        <v>21</v>
      </c>
      <c r="I47" s="3" t="n">
        <v>21</v>
      </c>
      <c r="J47" s="3" t="n">
        <v>21</v>
      </c>
      <c r="K47" s="3" t="n">
        <v>21</v>
      </c>
      <c r="L47" s="3" t="n">
        <v>21</v>
      </c>
    </row>
    <row r="48" customFormat="false" ht="15" hidden="false" customHeight="false" outlineLevel="0" collapsed="false">
      <c r="A48" s="0" t="s">
        <v>113</v>
      </c>
      <c r="B48" s="3" t="n">
        <v>10</v>
      </c>
    </row>
    <row r="49" customFormat="false" ht="15" hidden="false" customHeight="false" outlineLevel="0" collapsed="false">
      <c r="A49" s="0" t="s">
        <v>114</v>
      </c>
      <c r="B49" s="3" t="n">
        <v>3.5</v>
      </c>
    </row>
    <row r="50" customFormat="false" ht="15" hidden="false" customHeight="false" outlineLevel="0" collapsed="false">
      <c r="A50" s="0" t="s">
        <v>115</v>
      </c>
      <c r="B50" s="3" t="n">
        <v>16</v>
      </c>
    </row>
    <row r="51" customFormat="false" ht="15" hidden="false" customHeight="false" outlineLevel="0" collapsed="false">
      <c r="A51" s="0" t="s">
        <v>116</v>
      </c>
      <c r="B51" s="3" t="n">
        <v>-125</v>
      </c>
    </row>
    <row r="52" customFormat="false" ht="15" hidden="false" customHeight="false" outlineLevel="0" collapsed="false">
      <c r="A52" s="0" t="s">
        <v>117</v>
      </c>
      <c r="B52" s="3" t="n">
        <v>0.3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120</v>
      </c>
    </row>
    <row r="3" customFormat="false" ht="15" hidden="false" customHeight="false" outlineLevel="0" collapsed="false">
      <c r="A3" s="0" t="s">
        <v>121</v>
      </c>
      <c r="B3" s="0" t="s">
        <v>91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Assumptions!C13</f>
        <v>4</v>
      </c>
      <c r="D5" s="4" t="n">
        <f aca="false">Assumptions!D13</f>
        <v>0</v>
      </c>
      <c r="E5" s="4" t="n">
        <f aca="false">Assumptions!E13</f>
        <v>3</v>
      </c>
      <c r="F5" s="4" t="n">
        <f aca="false">Assumptions!F13</f>
        <v>4</v>
      </c>
      <c r="G5" s="4" t="n">
        <f aca="false">Assumptions!G13</f>
        <v>4</v>
      </c>
      <c r="H5" s="4" t="n">
        <f aca="false">Assumptions!H13</f>
        <v>4</v>
      </c>
      <c r="I5" s="4" t="n">
        <f aca="false">Assumptions!I13</f>
        <v>4</v>
      </c>
      <c r="J5" s="4" t="n">
        <f aca="false">Assumptions!J13</f>
        <v>3.5</v>
      </c>
      <c r="K5" s="4" t="n">
        <f aca="false">Assumptions!K13</f>
        <v>3.5</v>
      </c>
      <c r="L5" s="4" t="n">
        <f aca="false">Assumptions!L13</f>
        <v>3</v>
      </c>
    </row>
    <row r="6" customFormat="false" ht="15" hidden="false" customHeight="false" outlineLevel="0" collapsed="false">
      <c r="A6" s="0" t="s">
        <v>37</v>
      </c>
      <c r="B6" s="3" t="n">
        <v>6863</v>
      </c>
      <c r="C6" s="0" t="n">
        <f aca="false">B6*(1+C5/100)</f>
        <v>7137.52</v>
      </c>
      <c r="D6" s="0" t="n">
        <f aca="false">C6*(1+D5/100)</f>
        <v>7137.52</v>
      </c>
      <c r="E6" s="0" t="n">
        <f aca="false">D6*(1+E5/100)</f>
        <v>7351.6456</v>
      </c>
      <c r="F6" s="0" t="n">
        <f aca="false">E6*(1+F5/100)</f>
        <v>7645.711424</v>
      </c>
      <c r="G6" s="0" t="n">
        <f aca="false">F6*(1+G5/100)</f>
        <v>7951.53988096</v>
      </c>
      <c r="H6" s="0" t="n">
        <f aca="false">G6*(1+H5/100)</f>
        <v>8269.6014761984</v>
      </c>
      <c r="I6" s="0" t="n">
        <f aca="false">H6*(1+I5/100)</f>
        <v>8600.38553524634</v>
      </c>
      <c r="J6" s="0" t="n">
        <f aca="false">I6*(1+J5/100)</f>
        <v>8901.39902897996</v>
      </c>
      <c r="K6" s="0" t="n">
        <f aca="false">J6*(1+K5/100)</f>
        <v>9212.94799499425</v>
      </c>
      <c r="L6" s="0" t="n">
        <f aca="false">K6*(1+L5/100)</f>
        <v>9489.33643484408</v>
      </c>
    </row>
    <row r="7" customFormat="false" ht="15" hidden="false" customHeight="false" outlineLevel="0" collapsed="false">
      <c r="A7" s="0" t="s">
        <v>107</v>
      </c>
      <c r="C7" s="4" t="n">
        <f aca="false">Assumptions!C14</f>
        <v>76.8</v>
      </c>
      <c r="D7" s="4" t="n">
        <f aca="false">Assumptions!D14</f>
        <v>72.8</v>
      </c>
      <c r="E7" s="4" t="n">
        <f aca="false">Assumptions!E14</f>
        <v>70.8</v>
      </c>
      <c r="F7" s="4" t="n">
        <f aca="false">Assumptions!F14</f>
        <v>69.8</v>
      </c>
      <c r="G7" s="4" t="n">
        <f aca="false">Assumptions!G14</f>
        <v>68.8</v>
      </c>
      <c r="H7" s="4" t="n">
        <f aca="false">Assumptions!H14</f>
        <v>68.8</v>
      </c>
      <c r="I7" s="4" t="n">
        <f aca="false">Assumptions!I14</f>
        <v>68.8</v>
      </c>
      <c r="J7" s="4" t="n">
        <f aca="false">Assumptions!J14</f>
        <v>68.8</v>
      </c>
      <c r="K7" s="4" t="n">
        <f aca="false">Assumptions!K14</f>
        <v>68.8</v>
      </c>
      <c r="L7" s="4" t="n">
        <f aca="false">Assumptions!L14</f>
        <v>68.8</v>
      </c>
    </row>
    <row r="8" customFormat="false" ht="15" hidden="false" customHeight="false" outlineLevel="0" collapsed="false">
      <c r="A8" s="0" t="s">
        <v>43</v>
      </c>
      <c r="C8" s="0" t="n">
        <f aca="false">C6*C7/100</f>
        <v>5481.61536</v>
      </c>
      <c r="D8" s="0" t="n">
        <f aca="false">D6*D7/100</f>
        <v>5196.11456</v>
      </c>
      <c r="E8" s="0" t="n">
        <f aca="false">E6*E7/100</f>
        <v>5204.9650848</v>
      </c>
      <c r="F8" s="0" t="n">
        <f aca="false">F6*F7/100</f>
        <v>5336.706573952</v>
      </c>
      <c r="G8" s="0" t="n">
        <f aca="false">G6*G7/100</f>
        <v>5470.65943810048</v>
      </c>
      <c r="H8" s="0" t="n">
        <f aca="false">H6*H7/100</f>
        <v>5689.4858156245</v>
      </c>
      <c r="I8" s="0" t="n">
        <f aca="false">I6*I7/100</f>
        <v>5917.06524824948</v>
      </c>
      <c r="J8" s="0" t="n">
        <f aca="false">J6*J7/100</f>
        <v>6124.16253193821</v>
      </c>
      <c r="K8" s="0" t="n">
        <f aca="false">K6*K7/100</f>
        <v>6338.50822055605</v>
      </c>
      <c r="L8" s="0" t="n">
        <f aca="false">L6*L7/100</f>
        <v>6528.66346717273</v>
      </c>
    </row>
    <row r="9" customFormat="false" ht="15" hidden="false" customHeight="false" outlineLevel="0" collapsed="false">
      <c r="A9" s="0" t="s">
        <v>108</v>
      </c>
      <c r="C9" s="4" t="n">
        <f aca="false">Assumptions!C15</f>
        <v>1.8</v>
      </c>
      <c r="D9" s="4" t="n">
        <f aca="false">Assumptions!D15</f>
        <v>1.8</v>
      </c>
      <c r="E9" s="4" t="n">
        <f aca="false">Assumptions!E15</f>
        <v>1.8</v>
      </c>
      <c r="F9" s="4" t="n">
        <f aca="false">Assumptions!F15</f>
        <v>1.8</v>
      </c>
      <c r="G9" s="4" t="n">
        <f aca="false">Assumptions!G15</f>
        <v>1.8</v>
      </c>
      <c r="H9" s="4" t="n">
        <f aca="false">Assumptions!H15</f>
        <v>1.8</v>
      </c>
      <c r="I9" s="4" t="n">
        <f aca="false">Assumptions!I15</f>
        <v>1.8</v>
      </c>
      <c r="J9" s="4" t="n">
        <f aca="false">Assumptions!J15</f>
        <v>1.8</v>
      </c>
      <c r="K9" s="4" t="n">
        <f aca="false">Assumptions!K15</f>
        <v>1.8</v>
      </c>
      <c r="L9" s="4" t="n">
        <f aca="false">Assumptions!L15</f>
        <v>1.8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-128.47536</v>
      </c>
      <c r="D10" s="0" t="n">
        <f aca="false">-D6*D9/100</f>
        <v>-128.47536</v>
      </c>
      <c r="E10" s="0" t="n">
        <f aca="false">-E6*E9/100</f>
        <v>-132.3296208</v>
      </c>
      <c r="F10" s="0" t="n">
        <f aca="false">-F6*F9/100</f>
        <v>-137.622805632</v>
      </c>
      <c r="G10" s="0" t="n">
        <f aca="false">-G6*G9/100</f>
        <v>-143.12771785728</v>
      </c>
      <c r="H10" s="0" t="n">
        <f aca="false">-H6*H9/100</f>
        <v>-148.852826571571</v>
      </c>
      <c r="I10" s="0" t="n">
        <f aca="false">-I6*I9/100</f>
        <v>-154.806939634434</v>
      </c>
      <c r="J10" s="0" t="n">
        <f aca="false">-J6*J9/100</f>
        <v>-160.225182521639</v>
      </c>
      <c r="K10" s="0" t="n">
        <f aca="false">-K6*K9/100</f>
        <v>-165.833063909897</v>
      </c>
      <c r="L10" s="0" t="n">
        <f aca="false">-L6*L9/100</f>
        <v>-170.808055827194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5353.14</v>
      </c>
      <c r="D11" s="0" t="n">
        <f aca="false">D8+D10+D24</f>
        <v>5067.6392</v>
      </c>
      <c r="E11" s="0" t="n">
        <f aca="false">E8+E10+E24</f>
        <v>5072.635464</v>
      </c>
      <c r="F11" s="0" t="n">
        <f aca="false">F8+F10+F24</f>
        <v>5199.08376832</v>
      </c>
      <c r="G11" s="0" t="n">
        <f aca="false">G8+G10+G24</f>
        <v>5327.5317202432</v>
      </c>
      <c r="H11" s="0" t="n">
        <f aca="false">H8+H10+H24</f>
        <v>5540.63298905293</v>
      </c>
      <c r="I11" s="0" t="n">
        <f aca="false">I8+I10+I24</f>
        <v>5762.25830861505</v>
      </c>
      <c r="J11" s="0" t="n">
        <f aca="false">J8+J10+J24</f>
        <v>5963.93734941657</v>
      </c>
      <c r="K11" s="0" t="n">
        <f aca="false">K8+K10+K24</f>
        <v>6172.67515664615</v>
      </c>
      <c r="L11" s="0" t="n">
        <f aca="false">L8+L10+L24</f>
        <v>6357.85541134554</v>
      </c>
    </row>
    <row r="12" customFormat="false" ht="15" hidden="false" customHeight="false" outlineLevel="0" collapsed="false">
      <c r="A12" s="0" t="s">
        <v>125</v>
      </c>
      <c r="C12" s="4" t="n">
        <f aca="false">-C6*Assumptions!C17/100</f>
        <v>-71.3752</v>
      </c>
      <c r="D12" s="4" t="n">
        <f aca="false">-D6*Assumptions!D17/100</f>
        <v>-71.3752</v>
      </c>
      <c r="E12" s="4" t="n">
        <f aca="false">-E6*Assumptions!E17/100</f>
        <v>-73.516456</v>
      </c>
      <c r="F12" s="4" t="n">
        <f aca="false">-F6*Assumptions!F17/100</f>
        <v>-76.45711424</v>
      </c>
      <c r="G12" s="4" t="n">
        <f aca="false">-G6*Assumptions!G17/100</f>
        <v>-79.5153988096</v>
      </c>
      <c r="H12" s="4" t="n">
        <f aca="false">-H6*Assumptions!H17/100</f>
        <v>-82.696014761984</v>
      </c>
      <c r="I12" s="4" t="n">
        <f aca="false">-I6*Assumptions!I17/100</f>
        <v>-86.0038553524634</v>
      </c>
      <c r="J12" s="4" t="n">
        <f aca="false">-J6*Assumptions!J17/100</f>
        <v>-89.0139902897996</v>
      </c>
      <c r="K12" s="4" t="n">
        <f aca="false">-K6*Assumptions!K17/100</f>
        <v>-92.1294799499426</v>
      </c>
      <c r="L12" s="4" t="n">
        <f aca="false">-L6*Assumptions!L17/100</f>
        <v>-94.8933643484408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5281.7648</v>
      </c>
      <c r="D13" s="0" t="n">
        <f aca="false">D11+D12</f>
        <v>4996.264</v>
      </c>
      <c r="E13" s="0" t="n">
        <f aca="false">E11+E12</f>
        <v>4999.119008</v>
      </c>
      <c r="F13" s="0" t="n">
        <f aca="false">F11+F12</f>
        <v>5122.62665408</v>
      </c>
      <c r="G13" s="0" t="n">
        <f aca="false">G11+G12</f>
        <v>5248.0163214336</v>
      </c>
      <c r="H13" s="0" t="n">
        <f aca="false">H11+H12</f>
        <v>5457.93697429094</v>
      </c>
      <c r="I13" s="0" t="n">
        <f aca="false">I11+I12</f>
        <v>5676.25445326258</v>
      </c>
      <c r="J13" s="0" t="n">
        <f aca="false">J11+J12</f>
        <v>5874.92335912677</v>
      </c>
      <c r="K13" s="0" t="n">
        <f aca="false">K11+K12</f>
        <v>6080.54567669621</v>
      </c>
      <c r="L13" s="0" t="n">
        <f aca="false">L11+L12</f>
        <v>6262.9620469971</v>
      </c>
    </row>
    <row r="14" customFormat="false" ht="15" hidden="false" customHeight="false" outlineLevel="0" collapsed="false">
      <c r="A14" s="0" t="s">
        <v>112</v>
      </c>
      <c r="C14" s="4" t="n">
        <f aca="false">Assumptions!C19</f>
        <v>22.5</v>
      </c>
      <c r="D14" s="4" t="n">
        <f aca="false">Assumptions!D19</f>
        <v>22.5</v>
      </c>
      <c r="E14" s="4" t="n">
        <f aca="false">Assumptions!E19</f>
        <v>22.5</v>
      </c>
      <c r="F14" s="4" t="n">
        <f aca="false">Assumptions!F19</f>
        <v>22.5</v>
      </c>
      <c r="G14" s="4" t="n">
        <f aca="false">Assumptions!G19</f>
        <v>22.5</v>
      </c>
      <c r="H14" s="4" t="n">
        <f aca="false">Assumptions!H19</f>
        <v>22.5</v>
      </c>
      <c r="I14" s="4" t="n">
        <f aca="false">Assumptions!I19</f>
        <v>22.5</v>
      </c>
      <c r="J14" s="4" t="n">
        <f aca="false">Assumptions!J19</f>
        <v>22.5</v>
      </c>
      <c r="K14" s="4" t="n">
        <f aca="false">Assumptions!K19</f>
        <v>22.5</v>
      </c>
      <c r="L14" s="4" t="n">
        <f aca="false">Assumptions!L19</f>
        <v>22.5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4093.36772</v>
      </c>
      <c r="D15" s="0" t="n">
        <f aca="false">D13-MAX(0,D13)*D14/100</f>
        <v>3872.1046</v>
      </c>
      <c r="E15" s="0" t="n">
        <f aca="false">E13-MAX(0,E13)*E14/100</f>
        <v>3874.3172312</v>
      </c>
      <c r="F15" s="0" t="n">
        <f aca="false">F13-MAX(0,F13)*F14/100</f>
        <v>3970.035656912</v>
      </c>
      <c r="G15" s="0" t="n">
        <f aca="false">G13-MAX(0,G13)*G14/100</f>
        <v>4067.21264911104</v>
      </c>
      <c r="H15" s="0" t="n">
        <f aca="false">H13-MAX(0,H13)*H14/100</f>
        <v>4229.90115507548</v>
      </c>
      <c r="I15" s="0" t="n">
        <f aca="false">I13-MAX(0,I13)*I14/100</f>
        <v>4399.0972012785</v>
      </c>
      <c r="J15" s="0" t="n">
        <f aca="false">J13-MAX(0,J13)*J14/100</f>
        <v>4553.06560332325</v>
      </c>
      <c r="K15" s="0" t="n">
        <f aca="false">K13-MAX(0,K13)*K14/100</f>
        <v>4712.42289943956</v>
      </c>
      <c r="L15" s="0" t="n">
        <f aca="false">L13-MAX(0,L13)*L14/100</f>
        <v>4853.79558642275</v>
      </c>
    </row>
    <row r="16" customFormat="false" ht="15" hidden="false" customHeight="false" outlineLevel="0" collapsed="false">
      <c r="A16" s="0" t="s">
        <v>128</v>
      </c>
      <c r="C16" s="0" t="n">
        <f aca="false">-C12</f>
        <v>71.3752</v>
      </c>
      <c r="D16" s="0" t="n">
        <f aca="false">-D12</f>
        <v>71.3752</v>
      </c>
      <c r="E16" s="0" t="n">
        <f aca="false">-E12</f>
        <v>73.516456</v>
      </c>
      <c r="F16" s="0" t="n">
        <f aca="false">-F12</f>
        <v>76.45711424</v>
      </c>
      <c r="G16" s="0" t="n">
        <f aca="false">-G12</f>
        <v>79.5153988096</v>
      </c>
      <c r="H16" s="0" t="n">
        <f aca="false">-H12</f>
        <v>82.696014761984</v>
      </c>
      <c r="I16" s="0" t="n">
        <f aca="false">-I12</f>
        <v>86.0038553524634</v>
      </c>
      <c r="J16" s="0" t="n">
        <f aca="false">-J12</f>
        <v>89.0139902897996</v>
      </c>
      <c r="K16" s="0" t="n">
        <f aca="false">-K12</f>
        <v>92.1294799499426</v>
      </c>
      <c r="L16" s="0" t="n">
        <f aca="false">-L12</f>
        <v>94.8933643484408</v>
      </c>
    </row>
    <row r="17" customFormat="false" ht="15" hidden="false" customHeight="false" outlineLevel="0" collapsed="false">
      <c r="A17" s="0" t="s">
        <v>129</v>
      </c>
      <c r="C17" s="4" t="n">
        <f aca="false">-C6*Assumptions!C18/100</f>
        <v>-92.78776</v>
      </c>
      <c r="D17" s="4" t="n">
        <f aca="false">-D6*Assumptions!D18/100</f>
        <v>-92.78776</v>
      </c>
      <c r="E17" s="4" t="n">
        <f aca="false">-E6*Assumptions!E18/100</f>
        <v>-95.5713928</v>
      </c>
      <c r="F17" s="4" t="n">
        <f aca="false">-F6*Assumptions!F18/100</f>
        <v>-99.394248512</v>
      </c>
      <c r="G17" s="4" t="n">
        <f aca="false">-G6*Assumptions!G18/100</f>
        <v>-103.37001845248</v>
      </c>
      <c r="H17" s="4" t="n">
        <f aca="false">-H6*Assumptions!H18/100</f>
        <v>-107.504819190579</v>
      </c>
      <c r="I17" s="4" t="n">
        <f aca="false">-I6*Assumptions!I18/100</f>
        <v>-111.805011958202</v>
      </c>
      <c r="J17" s="4" t="n">
        <f aca="false">-J6*Assumptions!J18/100</f>
        <v>-115.718187376739</v>
      </c>
      <c r="K17" s="4" t="n">
        <f aca="false">-K6*Assumptions!K18/100</f>
        <v>-119.768323934925</v>
      </c>
      <c r="L17" s="4" t="n">
        <f aca="false">-L6*Assumptions!L18/100</f>
        <v>-123.361373652973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(C6-B6)*Assumptions!$B$23/100</f>
        <v>-343.150000000001</v>
      </c>
      <c r="D18" s="4" t="n">
        <f aca="false">(D6-C6)*Assumptions!$B$23/100</f>
        <v>-0</v>
      </c>
      <c r="E18" s="4" t="n">
        <f aca="false">(E6-D6)*Assumptions!$B$23/100</f>
        <v>-267.657</v>
      </c>
      <c r="F18" s="4" t="n">
        <f aca="false">(F6-E6)*Assumptions!$B$23/100</f>
        <v>-367.58228</v>
      </c>
      <c r="G18" s="4" t="n">
        <f aca="false">(G6-F6)*Assumptions!$B$23/100</f>
        <v>-382.2855712</v>
      </c>
      <c r="H18" s="4" t="n">
        <f aca="false">(H6-G6)*Assumptions!$B$23/100</f>
        <v>-397.576994047999</v>
      </c>
      <c r="I18" s="4" t="n">
        <f aca="false">(I6-H6)*Assumptions!$B$23/100</f>
        <v>-413.480073809919</v>
      </c>
      <c r="J18" s="4" t="n">
        <f aca="false">(J6-I6)*Assumptions!$B$23/100</f>
        <v>-376.266867167026</v>
      </c>
      <c r="K18" s="4" t="n">
        <f aca="false">(K6-J6)*Assumptions!$B$23/100</f>
        <v>-389.436207517872</v>
      </c>
      <c r="L18" s="4" t="n">
        <f aca="false">(L6-K6)*Assumptions!$B$23/100</f>
        <v>-345.485549812286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3728.80516</v>
      </c>
      <c r="D19" s="0" t="n">
        <f aca="false">D15+D16+D17+D18</f>
        <v>3850.69204</v>
      </c>
      <c r="E19" s="0" t="n">
        <f aca="false">E15+E16+E17+E18</f>
        <v>3584.6052944</v>
      </c>
      <c r="F19" s="0" t="n">
        <f aca="false">F15+F16+F17+F18</f>
        <v>3579.51624264</v>
      </c>
      <c r="G19" s="0" t="n">
        <f aca="false">G15+G16+G17+G18</f>
        <v>3661.07245826816</v>
      </c>
      <c r="H19" s="0" t="n">
        <f aca="false">H15+H16+H17+H18</f>
        <v>3807.51535659889</v>
      </c>
      <c r="I19" s="0" t="n">
        <f aca="false">I15+I16+I17+I18</f>
        <v>3959.81597086284</v>
      </c>
      <c r="J19" s="0" t="n">
        <f aca="false">J15+J16+J17+J18</f>
        <v>4150.09453906928</v>
      </c>
      <c r="K19" s="0" t="n">
        <f aca="false">K15+K16+K17+K18</f>
        <v>4295.34784793671</v>
      </c>
      <c r="L19" s="0" t="n">
        <f aca="false">L15+L16+L17+L18</f>
        <v>4479.84202730593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3389.82287272727</v>
      </c>
      <c r="D21" s="0" t="n">
        <f aca="false">D19*D20</f>
        <v>3182.39011570248</v>
      </c>
      <c r="E21" s="0" t="n">
        <f aca="false">E19*E20</f>
        <v>2693.16701307288</v>
      </c>
      <c r="F21" s="0" t="n">
        <f aca="false">F19*F20</f>
        <v>2444.85775742094</v>
      </c>
      <c r="G21" s="0" t="n">
        <f aca="false">G19*G20</f>
        <v>2273.2379546033</v>
      </c>
      <c r="H21" s="0" t="n">
        <f aca="false">H19*H20</f>
        <v>2149.24315707948</v>
      </c>
      <c r="I21" s="0" t="n">
        <f aca="false">I19*I20</f>
        <v>2032.01171214787</v>
      </c>
      <c r="J21" s="0" t="n">
        <f aca="false">J19*J20</f>
        <v>1936.04973104393</v>
      </c>
      <c r="K21" s="0" t="n">
        <f aca="false">K19*K20</f>
        <v>1821.64679239133</v>
      </c>
      <c r="L21" s="0" t="n">
        <f aca="false">L19*L20</f>
        <v>1727.17303133219</v>
      </c>
    </row>
    <row r="23" customFormat="false" ht="15" hidden="false" customHeight="false" outlineLevel="0" collapsed="false">
      <c r="A23" s="0" t="s">
        <v>109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Assumptions!$B$20</f>
        <v>10</v>
      </c>
    </row>
    <row r="28" customFormat="false" ht="15" hidden="false" customHeight="false" outlineLevel="0" collapsed="false">
      <c r="A28" s="0" t="s">
        <v>114</v>
      </c>
      <c r="B28" s="4" t="n">
        <f aca="false">Assumptions!$B$21</f>
        <v>2.5</v>
      </c>
    </row>
    <row r="29" customFormat="false" ht="15" hidden="false" customHeight="false" outlineLevel="0" collapsed="false">
      <c r="A29" s="0" t="s">
        <v>115</v>
      </c>
      <c r="B29" s="4" t="n">
        <f aca="false">Assumptions!$B$22</f>
        <v>16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23649.6001375217</v>
      </c>
    </row>
    <row r="31" customFormat="false" ht="15" hidden="false" customHeight="false" outlineLevel="0" collapsed="false">
      <c r="A31" s="0" t="s">
        <v>137</v>
      </c>
      <c r="B31" s="0" t="n">
        <f aca="false">L19</f>
        <v>4479.84202730593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61224.5077065144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71677.4724368949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61224.5077065144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23604.6980948733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47254.2982323949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47254.2982323949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27.8228322140809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-0.680491132130445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879.657763088521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900.003295963949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28.8706778682568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36734.7046239086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16.6497127788213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121</v>
      </c>
      <c r="B3" s="0" t="s">
        <v>91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Assumptions!C27</f>
        <v>14</v>
      </c>
      <c r="D5" s="4" t="n">
        <f aca="false">Assumptions!D27</f>
        <v>12</v>
      </c>
      <c r="E5" s="4" t="n">
        <f aca="false">Assumptions!E27</f>
        <v>10</v>
      </c>
      <c r="F5" s="4" t="n">
        <f aca="false">Assumptions!F27</f>
        <v>8</v>
      </c>
      <c r="G5" s="4" t="n">
        <f aca="false">Assumptions!G27</f>
        <v>7</v>
      </c>
      <c r="H5" s="4" t="n">
        <f aca="false">Assumptions!H27</f>
        <v>6</v>
      </c>
      <c r="I5" s="4" t="n">
        <f aca="false">Assumptions!I27</f>
        <v>5</v>
      </c>
      <c r="J5" s="4" t="n">
        <f aca="false">Assumptions!J27</f>
        <v>4.5</v>
      </c>
      <c r="K5" s="4" t="n">
        <f aca="false">Assumptions!K27</f>
        <v>4</v>
      </c>
      <c r="L5" s="4" t="n">
        <f aca="false">Assumptions!L27</f>
        <v>3.5</v>
      </c>
    </row>
    <row r="6" customFormat="false" ht="15" hidden="false" customHeight="false" outlineLevel="0" collapsed="false">
      <c r="A6" s="0" t="s">
        <v>37</v>
      </c>
      <c r="B6" s="3" t="n">
        <v>6863</v>
      </c>
      <c r="C6" s="0" t="n">
        <f aca="false">B6*(1+C5/100)</f>
        <v>7823.82</v>
      </c>
      <c r="D6" s="0" t="n">
        <f aca="false">C6*(1+D5/100)</f>
        <v>8762.6784</v>
      </c>
      <c r="E6" s="0" t="n">
        <f aca="false">D6*(1+E5/100)</f>
        <v>9638.94624</v>
      </c>
      <c r="F6" s="0" t="n">
        <f aca="false">E6*(1+F5/100)</f>
        <v>10410.0619392</v>
      </c>
      <c r="G6" s="0" t="n">
        <f aca="false">F6*(1+G5/100)</f>
        <v>11138.766274944</v>
      </c>
      <c r="H6" s="0" t="n">
        <f aca="false">G6*(1+H5/100)</f>
        <v>11807.0922514406</v>
      </c>
      <c r="I6" s="0" t="n">
        <f aca="false">H6*(1+I5/100)</f>
        <v>12397.4468640127</v>
      </c>
      <c r="J6" s="0" t="n">
        <f aca="false">I6*(1+J5/100)</f>
        <v>12955.3319728932</v>
      </c>
      <c r="K6" s="0" t="n">
        <f aca="false">J6*(1+K5/100)</f>
        <v>13473.545251809</v>
      </c>
      <c r="L6" s="0" t="n">
        <f aca="false">K6*(1+L5/100)</f>
        <v>13945.1193356223</v>
      </c>
    </row>
    <row r="7" customFormat="false" ht="15" hidden="false" customHeight="false" outlineLevel="0" collapsed="false">
      <c r="A7" s="0" t="s">
        <v>107</v>
      </c>
      <c r="C7" s="4" t="n">
        <f aca="false">Assumptions!C28</f>
        <v>78.8</v>
      </c>
      <c r="D7" s="4" t="n">
        <f aca="false">Assumptions!D28</f>
        <v>77.8</v>
      </c>
      <c r="E7" s="4" t="n">
        <f aca="false">Assumptions!E28</f>
        <v>76.8</v>
      </c>
      <c r="F7" s="4" t="n">
        <f aca="false">Assumptions!F28</f>
        <v>76.3</v>
      </c>
      <c r="G7" s="4" t="n">
        <f aca="false">Assumptions!G28</f>
        <v>75.8</v>
      </c>
      <c r="H7" s="4" t="n">
        <f aca="false">Assumptions!H28</f>
        <v>75.3</v>
      </c>
      <c r="I7" s="4" t="n">
        <f aca="false">Assumptions!I28</f>
        <v>74.8</v>
      </c>
      <c r="J7" s="4" t="n">
        <f aca="false">Assumptions!J28</f>
        <v>74.8</v>
      </c>
      <c r="K7" s="4" t="n">
        <f aca="false">Assumptions!K28</f>
        <v>74.8</v>
      </c>
      <c r="L7" s="4" t="n">
        <f aca="false">Assumptions!L28</f>
        <v>74.8</v>
      </c>
    </row>
    <row r="8" customFormat="false" ht="15" hidden="false" customHeight="false" outlineLevel="0" collapsed="false">
      <c r="A8" s="0" t="s">
        <v>43</v>
      </c>
      <c r="C8" s="0" t="n">
        <f aca="false">C6*C7/100</f>
        <v>6165.17016</v>
      </c>
      <c r="D8" s="0" t="n">
        <f aca="false">D6*D7/100</f>
        <v>6817.3637952</v>
      </c>
      <c r="E8" s="0" t="n">
        <f aca="false">E6*E7/100</f>
        <v>7402.71071232</v>
      </c>
      <c r="F8" s="0" t="n">
        <f aca="false">F6*F7/100</f>
        <v>7942.8772596096</v>
      </c>
      <c r="G8" s="0" t="n">
        <f aca="false">G6*G7/100</f>
        <v>8443.18483640756</v>
      </c>
      <c r="H8" s="0" t="n">
        <f aca="false">H6*H7/100</f>
        <v>8890.74046533481</v>
      </c>
      <c r="I8" s="0" t="n">
        <f aca="false">I6*I7/100</f>
        <v>9273.29025428148</v>
      </c>
      <c r="J8" s="0" t="n">
        <f aca="false">J6*J7/100</f>
        <v>9690.58831572415</v>
      </c>
      <c r="K8" s="0" t="n">
        <f aca="false">K6*K7/100</f>
        <v>10078.2118483531</v>
      </c>
      <c r="L8" s="0" t="n">
        <f aca="false">L6*L7/100</f>
        <v>10430.9492630455</v>
      </c>
    </row>
    <row r="9" customFormat="false" ht="15" hidden="false" customHeight="false" outlineLevel="0" collapsed="false">
      <c r="A9" s="0" t="s">
        <v>108</v>
      </c>
      <c r="C9" s="4" t="n">
        <f aca="false">Assumptions!C29</f>
        <v>1.8</v>
      </c>
      <c r="D9" s="4" t="n">
        <f aca="false">Assumptions!D29</f>
        <v>1.8</v>
      </c>
      <c r="E9" s="4" t="n">
        <f aca="false">Assumptions!E29</f>
        <v>1.8</v>
      </c>
      <c r="F9" s="4" t="n">
        <f aca="false">Assumptions!F29</f>
        <v>1.8</v>
      </c>
      <c r="G9" s="4" t="n">
        <f aca="false">Assumptions!G29</f>
        <v>1.8</v>
      </c>
      <c r="H9" s="4" t="n">
        <f aca="false">Assumptions!H29</f>
        <v>1.8</v>
      </c>
      <c r="I9" s="4" t="n">
        <f aca="false">Assumptions!I29</f>
        <v>1.8</v>
      </c>
      <c r="J9" s="4" t="n">
        <f aca="false">Assumptions!J29</f>
        <v>1.8</v>
      </c>
      <c r="K9" s="4" t="n">
        <f aca="false">Assumptions!K29</f>
        <v>1.8</v>
      </c>
      <c r="L9" s="4" t="n">
        <f aca="false">Assumptions!L29</f>
        <v>1.8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-140.82876</v>
      </c>
      <c r="D10" s="0" t="n">
        <f aca="false">-D6*D9/100</f>
        <v>-157.7282112</v>
      </c>
      <c r="E10" s="0" t="n">
        <f aca="false">-E6*E9/100</f>
        <v>-173.50103232</v>
      </c>
      <c r="F10" s="0" t="n">
        <f aca="false">-F6*F9/100</f>
        <v>-187.3811149056</v>
      </c>
      <c r="G10" s="0" t="n">
        <f aca="false">-G6*G9/100</f>
        <v>-200.497792948992</v>
      </c>
      <c r="H10" s="0" t="n">
        <f aca="false">-H6*H9/100</f>
        <v>-212.527660525932</v>
      </c>
      <c r="I10" s="0" t="n">
        <f aca="false">-I6*I9/100</f>
        <v>-223.154043552228</v>
      </c>
      <c r="J10" s="0" t="n">
        <f aca="false">-J6*J9/100</f>
        <v>-233.195975512078</v>
      </c>
      <c r="K10" s="0" t="n">
        <f aca="false">-K6*K9/100</f>
        <v>-242.523814532562</v>
      </c>
      <c r="L10" s="0" t="n">
        <f aca="false">-L6*L9/100</f>
        <v>-251.012148041201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6024.3414</v>
      </c>
      <c r="D11" s="0" t="n">
        <f aca="false">D8+D10+D24</f>
        <v>6659.635584</v>
      </c>
      <c r="E11" s="0" t="n">
        <f aca="false">E8+E10+E24</f>
        <v>7229.20968</v>
      </c>
      <c r="F11" s="0" t="n">
        <f aca="false">F8+F10+F24</f>
        <v>7755.496144704</v>
      </c>
      <c r="G11" s="0" t="n">
        <f aca="false">G8+G10+G24</f>
        <v>8242.68704345856</v>
      </c>
      <c r="H11" s="0" t="n">
        <f aca="false">H8+H10+H24</f>
        <v>8678.21280480887</v>
      </c>
      <c r="I11" s="0" t="n">
        <f aca="false">I8+I10+I24</f>
        <v>9050.13621072926</v>
      </c>
      <c r="J11" s="0" t="n">
        <f aca="false">J8+J10+J24</f>
        <v>9457.39234021207</v>
      </c>
      <c r="K11" s="0" t="n">
        <f aca="false">K8+K10+K24</f>
        <v>9835.68803382055</v>
      </c>
      <c r="L11" s="0" t="n">
        <f aca="false">L8+L10+L24</f>
        <v>10179.9371150043</v>
      </c>
    </row>
    <row r="12" customFormat="false" ht="15" hidden="false" customHeight="false" outlineLevel="0" collapsed="false">
      <c r="A12" s="0" t="s">
        <v>125</v>
      </c>
      <c r="C12" s="4" t="n">
        <f aca="false">-C6*Assumptions!C31/100</f>
        <v>-78.2382</v>
      </c>
      <c r="D12" s="4" t="n">
        <f aca="false">-D6*Assumptions!D31/100</f>
        <v>-87.626784</v>
      </c>
      <c r="E12" s="4" t="n">
        <f aca="false">-E6*Assumptions!E31/100</f>
        <v>-96.3894624</v>
      </c>
      <c r="F12" s="4" t="n">
        <f aca="false">-F6*Assumptions!F31/100</f>
        <v>-104.100619392</v>
      </c>
      <c r="G12" s="4" t="n">
        <f aca="false">-G6*Assumptions!G31/100</f>
        <v>-111.38766274944</v>
      </c>
      <c r="H12" s="4" t="n">
        <f aca="false">-H6*Assumptions!H31/100</f>
        <v>-118.070922514406</v>
      </c>
      <c r="I12" s="4" t="n">
        <f aca="false">-I6*Assumptions!I31/100</f>
        <v>-123.974468640127</v>
      </c>
      <c r="J12" s="4" t="n">
        <f aca="false">-J6*Assumptions!J31/100</f>
        <v>-129.553319728932</v>
      </c>
      <c r="K12" s="4" t="n">
        <f aca="false">-K6*Assumptions!K31/100</f>
        <v>-134.73545251809</v>
      </c>
      <c r="L12" s="4" t="n">
        <f aca="false">-L6*Assumptions!L31/100</f>
        <v>-139.451193356223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5946.1032</v>
      </c>
      <c r="D13" s="0" t="n">
        <f aca="false">D11+D12</f>
        <v>6572.0088</v>
      </c>
      <c r="E13" s="0" t="n">
        <f aca="false">E11+E12</f>
        <v>7132.8202176</v>
      </c>
      <c r="F13" s="0" t="n">
        <f aca="false">F11+F12</f>
        <v>7651.395525312</v>
      </c>
      <c r="G13" s="0" t="n">
        <f aca="false">G11+G12</f>
        <v>8131.29938070912</v>
      </c>
      <c r="H13" s="0" t="n">
        <f aca="false">H11+H12</f>
        <v>8560.14188229447</v>
      </c>
      <c r="I13" s="0" t="n">
        <f aca="false">I11+I12</f>
        <v>8926.16174208913</v>
      </c>
      <c r="J13" s="0" t="n">
        <f aca="false">J11+J12</f>
        <v>9327.83902048314</v>
      </c>
      <c r="K13" s="0" t="n">
        <f aca="false">K11+K12</f>
        <v>9700.95258130247</v>
      </c>
      <c r="L13" s="0" t="n">
        <f aca="false">L11+L12</f>
        <v>10040.485921648</v>
      </c>
    </row>
    <row r="14" customFormat="false" ht="15" hidden="false" customHeight="false" outlineLevel="0" collapsed="false">
      <c r="A14" s="0" t="s">
        <v>112</v>
      </c>
      <c r="C14" s="4" t="n">
        <f aca="false">Assumptions!C33</f>
        <v>21.5</v>
      </c>
      <c r="D14" s="4" t="n">
        <f aca="false">Assumptions!D33</f>
        <v>21.5</v>
      </c>
      <c r="E14" s="4" t="n">
        <f aca="false">Assumptions!E33</f>
        <v>21.5</v>
      </c>
      <c r="F14" s="4" t="n">
        <f aca="false">Assumptions!F33</f>
        <v>21.5</v>
      </c>
      <c r="G14" s="4" t="n">
        <f aca="false">Assumptions!G33</f>
        <v>21.5</v>
      </c>
      <c r="H14" s="4" t="n">
        <f aca="false">Assumptions!H33</f>
        <v>21.5</v>
      </c>
      <c r="I14" s="4" t="n">
        <f aca="false">Assumptions!I33</f>
        <v>21.5</v>
      </c>
      <c r="J14" s="4" t="n">
        <f aca="false">Assumptions!J33</f>
        <v>21.5</v>
      </c>
      <c r="K14" s="4" t="n">
        <f aca="false">Assumptions!K33</f>
        <v>21.5</v>
      </c>
      <c r="L14" s="4" t="n">
        <f aca="false">Assumptions!L33</f>
        <v>21.5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4667.691012</v>
      </c>
      <c r="D15" s="0" t="n">
        <f aca="false">D13-MAX(0,D13)*D14/100</f>
        <v>5159.026908</v>
      </c>
      <c r="E15" s="0" t="n">
        <f aca="false">E13-MAX(0,E13)*E14/100</f>
        <v>5599.263870816</v>
      </c>
      <c r="F15" s="0" t="n">
        <f aca="false">F13-MAX(0,F13)*F14/100</f>
        <v>6006.34548736992</v>
      </c>
      <c r="G15" s="0" t="n">
        <f aca="false">G13-MAX(0,G13)*G14/100</f>
        <v>6383.07001385666</v>
      </c>
      <c r="H15" s="0" t="n">
        <f aca="false">H13-MAX(0,H13)*H14/100</f>
        <v>6719.71137760116</v>
      </c>
      <c r="I15" s="0" t="n">
        <f aca="false">I13-MAX(0,I13)*I14/100</f>
        <v>7007.03696753997</v>
      </c>
      <c r="J15" s="0" t="n">
        <f aca="false">J13-MAX(0,J13)*J14/100</f>
        <v>7322.35363107926</v>
      </c>
      <c r="K15" s="0" t="n">
        <f aca="false">K13-MAX(0,K13)*K14/100</f>
        <v>7615.24777632243</v>
      </c>
      <c r="L15" s="0" t="n">
        <f aca="false">L13-MAX(0,L13)*L14/100</f>
        <v>7881.78144849372</v>
      </c>
    </row>
    <row r="16" customFormat="false" ht="15" hidden="false" customHeight="false" outlineLevel="0" collapsed="false">
      <c r="A16" s="0" t="s">
        <v>128</v>
      </c>
      <c r="C16" s="0" t="n">
        <f aca="false">-C12</f>
        <v>78.2382</v>
      </c>
      <c r="D16" s="0" t="n">
        <f aca="false">-D12</f>
        <v>87.626784</v>
      </c>
      <c r="E16" s="0" t="n">
        <f aca="false">-E12</f>
        <v>96.3894624</v>
      </c>
      <c r="F16" s="0" t="n">
        <f aca="false">-F12</f>
        <v>104.100619392</v>
      </c>
      <c r="G16" s="0" t="n">
        <f aca="false">-G12</f>
        <v>111.38766274944</v>
      </c>
      <c r="H16" s="0" t="n">
        <f aca="false">-H12</f>
        <v>118.070922514406</v>
      </c>
      <c r="I16" s="0" t="n">
        <f aca="false">-I12</f>
        <v>123.974468640127</v>
      </c>
      <c r="J16" s="0" t="n">
        <f aca="false">-J12</f>
        <v>129.553319728932</v>
      </c>
      <c r="K16" s="0" t="n">
        <f aca="false">-K12</f>
        <v>134.73545251809</v>
      </c>
      <c r="L16" s="0" t="n">
        <f aca="false">-L12</f>
        <v>139.451193356223</v>
      </c>
    </row>
    <row r="17" customFormat="false" ht="15" hidden="false" customHeight="false" outlineLevel="0" collapsed="false">
      <c r="A17" s="0" t="s">
        <v>129</v>
      </c>
      <c r="C17" s="4" t="n">
        <f aca="false">-C6*Assumptions!C32/100</f>
        <v>-101.70966</v>
      </c>
      <c r="D17" s="4" t="n">
        <f aca="false">-D6*Assumptions!D32/100</f>
        <v>-113.9148192</v>
      </c>
      <c r="E17" s="4" t="n">
        <f aca="false">-E6*Assumptions!E32/100</f>
        <v>-125.30630112</v>
      </c>
      <c r="F17" s="4" t="n">
        <f aca="false">-F6*Assumptions!F32/100</f>
        <v>-135.3308052096</v>
      </c>
      <c r="G17" s="4" t="n">
        <f aca="false">-G6*Assumptions!G32/100</f>
        <v>-144.803961574272</v>
      </c>
      <c r="H17" s="4" t="n">
        <f aca="false">-H6*Assumptions!H32/100</f>
        <v>-153.492199268728</v>
      </c>
      <c r="I17" s="4" t="n">
        <f aca="false">-I6*Assumptions!I32/100</f>
        <v>-161.166809232165</v>
      </c>
      <c r="J17" s="4" t="n">
        <f aca="false">-J6*Assumptions!J32/100</f>
        <v>-168.419315647612</v>
      </c>
      <c r="K17" s="4" t="n">
        <f aca="false">-K6*Assumptions!K32/100</f>
        <v>-175.156088273517</v>
      </c>
      <c r="L17" s="4" t="n">
        <f aca="false">-L6*Assumptions!L32/100</f>
        <v>-181.28655136309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(C6-B6)*Assumptions!$B$37/100</f>
        <v>-1201.025</v>
      </c>
      <c r="D18" s="4" t="n">
        <f aca="false">(D6-C6)*Assumptions!$B$37/100</f>
        <v>-1173.573</v>
      </c>
      <c r="E18" s="4" t="n">
        <f aca="false">(E6-D6)*Assumptions!$B$37/100</f>
        <v>-1095.3348</v>
      </c>
      <c r="F18" s="4" t="n">
        <f aca="false">(F6-E6)*Assumptions!$B$37/100</f>
        <v>-963.894624000002</v>
      </c>
      <c r="G18" s="4" t="n">
        <f aca="false">(G6-F6)*Assumptions!$B$37/100</f>
        <v>-910.880419680002</v>
      </c>
      <c r="H18" s="4" t="n">
        <f aca="false">(H6-G6)*Assumptions!$B$37/100</f>
        <v>-835.407470620801</v>
      </c>
      <c r="I18" s="4" t="n">
        <f aca="false">(I6-H6)*Assumptions!$B$37/100</f>
        <v>-737.943265715041</v>
      </c>
      <c r="J18" s="4" t="n">
        <f aca="false">(J6-I6)*Assumptions!$B$37/100</f>
        <v>-697.356386100712</v>
      </c>
      <c r="K18" s="4" t="n">
        <f aca="false">(K6-J6)*Assumptions!$B$37/100</f>
        <v>-647.766598644662</v>
      </c>
      <c r="L18" s="4" t="n">
        <f aca="false">(L6-K6)*Assumptions!$B$37/100</f>
        <v>-589.467604766642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3443.194552</v>
      </c>
      <c r="D19" s="0" t="n">
        <f aca="false">D15+D16+D17+D18</f>
        <v>3959.1658728</v>
      </c>
      <c r="E19" s="0" t="n">
        <f aca="false">E15+E16+E17+E18</f>
        <v>4475.012232096</v>
      </c>
      <c r="F19" s="0" t="n">
        <f aca="false">F15+F16+F17+F18</f>
        <v>5011.22067755232</v>
      </c>
      <c r="G19" s="0" t="n">
        <f aca="false">G15+G16+G17+G18</f>
        <v>5438.77329535183</v>
      </c>
      <c r="H19" s="0" t="n">
        <f aca="false">H15+H16+H17+H18</f>
        <v>5848.88263022604</v>
      </c>
      <c r="I19" s="0" t="n">
        <f aca="false">I15+I16+I17+I18</f>
        <v>6231.90136123289</v>
      </c>
      <c r="J19" s="0" t="n">
        <f aca="false">J15+J16+J17+J18</f>
        <v>6586.13124905987</v>
      </c>
      <c r="K19" s="0" t="n">
        <f aca="false">K15+K16+K17+K18</f>
        <v>6927.06054192235</v>
      </c>
      <c r="L19" s="0" t="n">
        <f aca="false">L15+L16+L17+L18</f>
        <v>7250.47848572021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3130.17686545454</v>
      </c>
      <c r="D21" s="0" t="n">
        <f aca="false">D19*D20</f>
        <v>3272.03791140496</v>
      </c>
      <c r="E21" s="0" t="n">
        <f aca="false">E19*E20</f>
        <v>3362.14292418933</v>
      </c>
      <c r="F21" s="0" t="n">
        <f aca="false">F19*F20</f>
        <v>3422.7311505719</v>
      </c>
      <c r="G21" s="0" t="n">
        <f aca="false">G19*G20</f>
        <v>3377.05031036866</v>
      </c>
      <c r="H21" s="0" t="n">
        <f aca="false">H19*H20</f>
        <v>3301.54176470696</v>
      </c>
      <c r="I21" s="0" t="n">
        <f aca="false">I19*I20</f>
        <v>3197.95077552965</v>
      </c>
      <c r="J21" s="0" t="n">
        <f aca="false">J19*J20</f>
        <v>3072.47883471638</v>
      </c>
      <c r="K21" s="0" t="n">
        <f aca="false">K19*K20</f>
        <v>2937.74987815128</v>
      </c>
      <c r="L21" s="0" t="n">
        <f aca="false">L19*L20</f>
        <v>2795.37332532262</v>
      </c>
    </row>
    <row r="23" customFormat="false" ht="15" hidden="false" customHeight="false" outlineLevel="0" collapsed="false">
      <c r="A23" s="0" t="s">
        <v>109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Assumptions!$B$34</f>
        <v>10</v>
      </c>
    </row>
    <row r="28" customFormat="false" ht="15" hidden="false" customHeight="false" outlineLevel="0" collapsed="false">
      <c r="A28" s="0" t="s">
        <v>114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115</v>
      </c>
      <c r="B29" s="4" t="n">
        <f aca="false">Assumptions!$B$36</f>
        <v>16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31869.2337404163</v>
      </c>
    </row>
    <row r="31" customFormat="false" ht="15" hidden="false" customHeight="false" outlineLevel="0" collapsed="false">
      <c r="A31" s="0" t="s">
        <v>137</v>
      </c>
      <c r="B31" s="0" t="n">
        <f aca="false">L19</f>
        <v>7250.47848572021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106685.612004169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116007.655771523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106685.612004169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41131.9217868899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73001.1555273062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73001.1555273062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42.9823101314803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-0.506404339326133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1184.10820803523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1423.99043885506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44.5179310964416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62233.2736690985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23.9450450672417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121</v>
      </c>
      <c r="B3" s="0" t="s">
        <v>91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Assumptions!C41</f>
        <v>20</v>
      </c>
      <c r="D5" s="4" t="n">
        <f aca="false">Assumptions!D41</f>
        <v>18</v>
      </c>
      <c r="E5" s="4" t="n">
        <f aca="false">Assumptions!E41</f>
        <v>15</v>
      </c>
      <c r="F5" s="4" t="n">
        <f aca="false">Assumptions!F41</f>
        <v>12</v>
      </c>
      <c r="G5" s="4" t="n">
        <f aca="false">Assumptions!G41</f>
        <v>10</v>
      </c>
      <c r="H5" s="4" t="n">
        <f aca="false">Assumptions!H41</f>
        <v>8</v>
      </c>
      <c r="I5" s="4" t="n">
        <f aca="false">Assumptions!I41</f>
        <v>7</v>
      </c>
      <c r="J5" s="4" t="n">
        <f aca="false">Assumptions!J41</f>
        <v>6</v>
      </c>
      <c r="K5" s="4" t="n">
        <f aca="false">Assumptions!K41</f>
        <v>5</v>
      </c>
      <c r="L5" s="4" t="n">
        <f aca="false">Assumptions!L41</f>
        <v>4</v>
      </c>
    </row>
    <row r="6" customFormat="false" ht="15" hidden="false" customHeight="false" outlineLevel="0" collapsed="false">
      <c r="A6" s="0" t="s">
        <v>37</v>
      </c>
      <c r="B6" s="3" t="n">
        <v>6863</v>
      </c>
      <c r="C6" s="0" t="n">
        <f aca="false">B6*(1+C5/100)</f>
        <v>8235.6</v>
      </c>
      <c r="D6" s="0" t="n">
        <f aca="false">C6*(1+D5/100)</f>
        <v>9718.008</v>
      </c>
      <c r="E6" s="0" t="n">
        <f aca="false">D6*(1+E5/100)</f>
        <v>11175.7092</v>
      </c>
      <c r="F6" s="0" t="n">
        <f aca="false">E6*(1+F5/100)</f>
        <v>12516.794304</v>
      </c>
      <c r="G6" s="0" t="n">
        <f aca="false">F6*(1+G5/100)</f>
        <v>13768.4737344</v>
      </c>
      <c r="H6" s="0" t="n">
        <f aca="false">G6*(1+H5/100)</f>
        <v>14869.951633152</v>
      </c>
      <c r="I6" s="0" t="n">
        <f aca="false">H6*(1+I5/100)</f>
        <v>15910.8482474726</v>
      </c>
      <c r="J6" s="0" t="n">
        <f aca="false">I6*(1+J5/100)</f>
        <v>16865.499142321</v>
      </c>
      <c r="K6" s="0" t="n">
        <f aca="false">J6*(1+K5/100)</f>
        <v>17708.7740994371</v>
      </c>
      <c r="L6" s="0" t="n">
        <f aca="false">K6*(1+L5/100)</f>
        <v>18417.1250634145</v>
      </c>
    </row>
    <row r="7" customFormat="false" ht="15" hidden="false" customHeight="false" outlineLevel="0" collapsed="false">
      <c r="A7" s="0" t="s">
        <v>107</v>
      </c>
      <c r="C7" s="4" t="n">
        <f aca="false">Assumptions!C42</f>
        <v>80.8</v>
      </c>
      <c r="D7" s="4" t="n">
        <f aca="false">Assumptions!D42</f>
        <v>80.8</v>
      </c>
      <c r="E7" s="4" t="n">
        <f aca="false">Assumptions!E42</f>
        <v>80.3</v>
      </c>
      <c r="F7" s="4" t="n">
        <f aca="false">Assumptions!F42</f>
        <v>80.3</v>
      </c>
      <c r="G7" s="4" t="n">
        <f aca="false">Assumptions!G42</f>
        <v>79.8</v>
      </c>
      <c r="H7" s="4" t="n">
        <f aca="false">Assumptions!H42</f>
        <v>79.8</v>
      </c>
      <c r="I7" s="4" t="n">
        <f aca="false">Assumptions!I42</f>
        <v>79.8</v>
      </c>
      <c r="J7" s="4" t="n">
        <f aca="false">Assumptions!J42</f>
        <v>79.8</v>
      </c>
      <c r="K7" s="4" t="n">
        <f aca="false">Assumptions!K42</f>
        <v>79.8</v>
      </c>
      <c r="L7" s="4" t="n">
        <f aca="false">Assumptions!L42</f>
        <v>79.8</v>
      </c>
    </row>
    <row r="8" customFormat="false" ht="15" hidden="false" customHeight="false" outlineLevel="0" collapsed="false">
      <c r="A8" s="0" t="s">
        <v>43</v>
      </c>
      <c r="C8" s="0" t="n">
        <f aca="false">C6*C7/100</f>
        <v>6654.3648</v>
      </c>
      <c r="D8" s="0" t="n">
        <f aca="false">D6*D7/100</f>
        <v>7852.150464</v>
      </c>
      <c r="E8" s="0" t="n">
        <f aca="false">E6*E7/100</f>
        <v>8974.0944876</v>
      </c>
      <c r="F8" s="0" t="n">
        <f aca="false">F6*F7/100</f>
        <v>10050.985826112</v>
      </c>
      <c r="G8" s="0" t="n">
        <f aca="false">G6*G7/100</f>
        <v>10987.2420400512</v>
      </c>
      <c r="H8" s="0" t="n">
        <f aca="false">H6*H7/100</f>
        <v>11866.2214032553</v>
      </c>
      <c r="I8" s="0" t="n">
        <f aca="false">I6*I7/100</f>
        <v>12696.8569014832</v>
      </c>
      <c r="J8" s="0" t="n">
        <f aca="false">J6*J7/100</f>
        <v>13458.6683155722</v>
      </c>
      <c r="K8" s="0" t="n">
        <f aca="false">K6*K7/100</f>
        <v>14131.6017313508</v>
      </c>
      <c r="L8" s="0" t="n">
        <f aca="false">L6*L7/100</f>
        <v>14696.8658006048</v>
      </c>
    </row>
    <row r="9" customFormat="false" ht="15" hidden="false" customHeight="false" outlineLevel="0" collapsed="false">
      <c r="A9" s="0" t="s">
        <v>108</v>
      </c>
      <c r="C9" s="4" t="n">
        <f aca="false">Assumptions!C43</f>
        <v>1.8</v>
      </c>
      <c r="D9" s="4" t="n">
        <f aca="false">Assumptions!D43</f>
        <v>1.8</v>
      </c>
      <c r="E9" s="4" t="n">
        <f aca="false">Assumptions!E43</f>
        <v>1.8</v>
      </c>
      <c r="F9" s="4" t="n">
        <f aca="false">Assumptions!F43</f>
        <v>1.8</v>
      </c>
      <c r="G9" s="4" t="n">
        <f aca="false">Assumptions!G43</f>
        <v>1.8</v>
      </c>
      <c r="H9" s="4" t="n">
        <f aca="false">Assumptions!H43</f>
        <v>1.8</v>
      </c>
      <c r="I9" s="4" t="n">
        <f aca="false">Assumptions!I43</f>
        <v>1.8</v>
      </c>
      <c r="J9" s="4" t="n">
        <f aca="false">Assumptions!J43</f>
        <v>1.8</v>
      </c>
      <c r="K9" s="4" t="n">
        <f aca="false">Assumptions!K43</f>
        <v>1.8</v>
      </c>
      <c r="L9" s="4" t="n">
        <f aca="false">Assumptions!L43</f>
        <v>1.8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-148.2408</v>
      </c>
      <c r="D10" s="0" t="n">
        <f aca="false">-D6*D9/100</f>
        <v>-174.924144</v>
      </c>
      <c r="E10" s="0" t="n">
        <f aca="false">-E6*E9/100</f>
        <v>-201.1627656</v>
      </c>
      <c r="F10" s="0" t="n">
        <f aca="false">-F6*F9/100</f>
        <v>-225.302297472</v>
      </c>
      <c r="G10" s="0" t="n">
        <f aca="false">-G6*G9/100</f>
        <v>-247.8325272192</v>
      </c>
      <c r="H10" s="0" t="n">
        <f aca="false">-H6*H9/100</f>
        <v>-267.659129396736</v>
      </c>
      <c r="I10" s="0" t="n">
        <f aca="false">-I6*I9/100</f>
        <v>-286.395268454508</v>
      </c>
      <c r="J10" s="0" t="n">
        <f aca="false">-J6*J9/100</f>
        <v>-303.578984561778</v>
      </c>
      <c r="K10" s="0" t="n">
        <f aca="false">-K6*K9/100</f>
        <v>-318.757933789867</v>
      </c>
      <c r="L10" s="0" t="n">
        <f aca="false">-L6*L9/100</f>
        <v>-331.508251141462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6506.124</v>
      </c>
      <c r="D11" s="0" t="n">
        <f aca="false">D8+D10+D24</f>
        <v>7677.22632</v>
      </c>
      <c r="E11" s="0" t="n">
        <f aca="false">E8+E10+E24</f>
        <v>8772.931722</v>
      </c>
      <c r="F11" s="0" t="n">
        <f aca="false">F8+F10+F24</f>
        <v>9825.68352864</v>
      </c>
      <c r="G11" s="0" t="n">
        <f aca="false">G8+G10+G24</f>
        <v>10739.409512832</v>
      </c>
      <c r="H11" s="0" t="n">
        <f aca="false">H8+H10+H24</f>
        <v>11598.5622738586</v>
      </c>
      <c r="I11" s="0" t="n">
        <f aca="false">I8+I10+I24</f>
        <v>12410.4616330287</v>
      </c>
      <c r="J11" s="0" t="n">
        <f aca="false">J8+J10+J24</f>
        <v>13155.0893310104</v>
      </c>
      <c r="K11" s="0" t="n">
        <f aca="false">K8+K10+K24</f>
        <v>13812.8437975609</v>
      </c>
      <c r="L11" s="0" t="n">
        <f aca="false">L8+L10+L24</f>
        <v>14365.3575494633</v>
      </c>
    </row>
    <row r="12" customFormat="false" ht="15" hidden="false" customHeight="false" outlineLevel="0" collapsed="false">
      <c r="A12" s="0" t="s">
        <v>125</v>
      </c>
      <c r="C12" s="4" t="n">
        <f aca="false">-C6*Assumptions!C45/100</f>
        <v>-82.356</v>
      </c>
      <c r="D12" s="4" t="n">
        <f aca="false">-D6*Assumptions!D45/100</f>
        <v>-97.18008</v>
      </c>
      <c r="E12" s="4" t="n">
        <f aca="false">-E6*Assumptions!E45/100</f>
        <v>-111.757092</v>
      </c>
      <c r="F12" s="4" t="n">
        <f aca="false">-F6*Assumptions!F45/100</f>
        <v>-125.16794304</v>
      </c>
      <c r="G12" s="4" t="n">
        <f aca="false">-G6*Assumptions!G45/100</f>
        <v>-137.684737344</v>
      </c>
      <c r="H12" s="4" t="n">
        <f aca="false">-H6*Assumptions!H45/100</f>
        <v>-148.69951633152</v>
      </c>
      <c r="I12" s="4" t="n">
        <f aca="false">-I6*Assumptions!I45/100</f>
        <v>-159.108482474726</v>
      </c>
      <c r="J12" s="4" t="n">
        <f aca="false">-J6*Assumptions!J45/100</f>
        <v>-168.65499142321</v>
      </c>
      <c r="K12" s="4" t="n">
        <f aca="false">-K6*Assumptions!K45/100</f>
        <v>-177.087740994371</v>
      </c>
      <c r="L12" s="4" t="n">
        <f aca="false">-L6*Assumptions!L45/100</f>
        <v>-184.171250634145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6423.768</v>
      </c>
      <c r="D13" s="0" t="n">
        <f aca="false">D11+D12</f>
        <v>7580.04624</v>
      </c>
      <c r="E13" s="0" t="n">
        <f aca="false">E11+E12</f>
        <v>8661.17463</v>
      </c>
      <c r="F13" s="0" t="n">
        <f aca="false">F11+F12</f>
        <v>9700.5155856</v>
      </c>
      <c r="G13" s="0" t="n">
        <f aca="false">G11+G12</f>
        <v>10601.724775488</v>
      </c>
      <c r="H13" s="0" t="n">
        <f aca="false">H11+H12</f>
        <v>11449.862757527</v>
      </c>
      <c r="I13" s="0" t="n">
        <f aca="false">I11+I12</f>
        <v>12251.3531505539</v>
      </c>
      <c r="J13" s="0" t="n">
        <f aca="false">J11+J12</f>
        <v>12986.4343395872</v>
      </c>
      <c r="K13" s="0" t="n">
        <f aca="false">K11+K12</f>
        <v>13635.7560565665</v>
      </c>
      <c r="L13" s="0" t="n">
        <f aca="false">L11+L12</f>
        <v>14181.1862988292</v>
      </c>
    </row>
    <row r="14" customFormat="false" ht="15" hidden="false" customHeight="false" outlineLevel="0" collapsed="false">
      <c r="A14" s="0" t="s">
        <v>112</v>
      </c>
      <c r="C14" s="4" t="n">
        <f aca="false">Assumptions!C47</f>
        <v>21</v>
      </c>
      <c r="D14" s="4" t="n">
        <f aca="false">Assumptions!D47</f>
        <v>21</v>
      </c>
      <c r="E14" s="4" t="n">
        <f aca="false">Assumptions!E47</f>
        <v>21</v>
      </c>
      <c r="F14" s="4" t="n">
        <f aca="false">Assumptions!F47</f>
        <v>21</v>
      </c>
      <c r="G14" s="4" t="n">
        <f aca="false">Assumptions!G47</f>
        <v>21</v>
      </c>
      <c r="H14" s="4" t="n">
        <f aca="false">Assumptions!H47</f>
        <v>21</v>
      </c>
      <c r="I14" s="4" t="n">
        <f aca="false">Assumptions!I47</f>
        <v>21</v>
      </c>
      <c r="J14" s="4" t="n">
        <f aca="false">Assumptions!J47</f>
        <v>21</v>
      </c>
      <c r="K14" s="4" t="n">
        <f aca="false">Assumptions!K47</f>
        <v>21</v>
      </c>
      <c r="L14" s="4" t="n">
        <f aca="false">Assumptions!L47</f>
        <v>21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5074.77672</v>
      </c>
      <c r="D15" s="0" t="n">
        <f aca="false">D13-MAX(0,D13)*D14/100</f>
        <v>5988.2365296</v>
      </c>
      <c r="E15" s="0" t="n">
        <f aca="false">E13-MAX(0,E13)*E14/100</f>
        <v>6842.3279577</v>
      </c>
      <c r="F15" s="0" t="n">
        <f aca="false">F13-MAX(0,F13)*F14/100</f>
        <v>7663.407312624</v>
      </c>
      <c r="G15" s="0" t="n">
        <f aca="false">G13-MAX(0,G13)*G14/100</f>
        <v>8375.36257263552</v>
      </c>
      <c r="H15" s="0" t="n">
        <f aca="false">H13-MAX(0,H13)*H14/100</f>
        <v>9045.39157844636</v>
      </c>
      <c r="I15" s="0" t="n">
        <f aca="false">I13-MAX(0,I13)*I14/100</f>
        <v>9678.56898893761</v>
      </c>
      <c r="J15" s="0" t="n">
        <f aca="false">J13-MAX(0,J13)*J14/100</f>
        <v>10259.2831282739</v>
      </c>
      <c r="K15" s="0" t="n">
        <f aca="false">K13-MAX(0,K13)*K14/100</f>
        <v>10772.2472846876</v>
      </c>
      <c r="L15" s="0" t="n">
        <f aca="false">L13-MAX(0,L13)*L14/100</f>
        <v>11203.1371760751</v>
      </c>
    </row>
    <row r="16" customFormat="false" ht="15" hidden="false" customHeight="false" outlineLevel="0" collapsed="false">
      <c r="A16" s="0" t="s">
        <v>128</v>
      </c>
      <c r="C16" s="0" t="n">
        <f aca="false">-C12</f>
        <v>82.356</v>
      </c>
      <c r="D16" s="0" t="n">
        <f aca="false">-D12</f>
        <v>97.18008</v>
      </c>
      <c r="E16" s="0" t="n">
        <f aca="false">-E12</f>
        <v>111.757092</v>
      </c>
      <c r="F16" s="0" t="n">
        <f aca="false">-F12</f>
        <v>125.16794304</v>
      </c>
      <c r="G16" s="0" t="n">
        <f aca="false">-G12</f>
        <v>137.684737344</v>
      </c>
      <c r="H16" s="0" t="n">
        <f aca="false">-H12</f>
        <v>148.69951633152</v>
      </c>
      <c r="I16" s="0" t="n">
        <f aca="false">-I12</f>
        <v>159.108482474726</v>
      </c>
      <c r="J16" s="0" t="n">
        <f aca="false">-J12</f>
        <v>168.65499142321</v>
      </c>
      <c r="K16" s="0" t="n">
        <f aca="false">-K12</f>
        <v>177.087740994371</v>
      </c>
      <c r="L16" s="0" t="n">
        <f aca="false">-L12</f>
        <v>184.171250634145</v>
      </c>
    </row>
    <row r="17" customFormat="false" ht="15" hidden="false" customHeight="false" outlineLevel="0" collapsed="false">
      <c r="A17" s="0" t="s">
        <v>129</v>
      </c>
      <c r="C17" s="4" t="n">
        <f aca="false">-C6*Assumptions!C46/100</f>
        <v>-107.0628</v>
      </c>
      <c r="D17" s="4" t="n">
        <f aca="false">-D6*Assumptions!D46/100</f>
        <v>-126.334104</v>
      </c>
      <c r="E17" s="4" t="n">
        <f aca="false">-E6*Assumptions!E46/100</f>
        <v>-145.2842196</v>
      </c>
      <c r="F17" s="4" t="n">
        <f aca="false">-F6*Assumptions!F46/100</f>
        <v>-162.718325952</v>
      </c>
      <c r="G17" s="4" t="n">
        <f aca="false">-G6*Assumptions!G46/100</f>
        <v>-178.9901585472</v>
      </c>
      <c r="H17" s="4" t="n">
        <f aca="false">-H6*Assumptions!H46/100</f>
        <v>-193.309371230976</v>
      </c>
      <c r="I17" s="4" t="n">
        <f aca="false">-I6*Assumptions!I46/100</f>
        <v>-206.841027217144</v>
      </c>
      <c r="J17" s="4" t="n">
        <f aca="false">-J6*Assumptions!J46/100</f>
        <v>-219.251488850173</v>
      </c>
      <c r="K17" s="4" t="n">
        <f aca="false">-K6*Assumptions!K46/100</f>
        <v>-230.214063292682</v>
      </c>
      <c r="L17" s="4" t="n">
        <f aca="false">-L6*Assumptions!L46/100</f>
        <v>-239.422625824389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(C6-B6)*Assumptions!$B$51/100</f>
        <v>-1715.75</v>
      </c>
      <c r="D18" s="4" t="n">
        <f aca="false">(D6-C6)*Assumptions!$B$51/100</f>
        <v>-1853.01</v>
      </c>
      <c r="E18" s="4" t="n">
        <f aca="false">(E6-D6)*Assumptions!$B$51/100</f>
        <v>-1822.1265</v>
      </c>
      <c r="F18" s="4" t="n">
        <f aca="false">(F6-E6)*Assumptions!$B$51/100</f>
        <v>-1676.35638</v>
      </c>
      <c r="G18" s="4" t="n">
        <f aca="false">(G6-F6)*Assumptions!$B$51/100</f>
        <v>-1564.599288</v>
      </c>
      <c r="H18" s="4" t="n">
        <f aca="false">(H6-G6)*Assumptions!$B$51/100</f>
        <v>-1376.84737344</v>
      </c>
      <c r="I18" s="4" t="n">
        <f aca="false">(I6-H6)*Assumptions!$B$51/100</f>
        <v>-1301.1207679008</v>
      </c>
      <c r="J18" s="4" t="n">
        <f aca="false">(J6-I6)*Assumptions!$B$51/100</f>
        <v>-1193.31361856045</v>
      </c>
      <c r="K18" s="4" t="n">
        <f aca="false">(K6-J6)*Assumptions!$B$51/100</f>
        <v>-1054.09369639506</v>
      </c>
      <c r="L18" s="4" t="n">
        <f aca="false">(L6-K6)*Assumptions!$B$51/100</f>
        <v>-885.438704971853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3334.31992</v>
      </c>
      <c r="D19" s="0" t="n">
        <f aca="false">D15+D16+D17+D18</f>
        <v>4106.0725056</v>
      </c>
      <c r="E19" s="0" t="n">
        <f aca="false">E15+E16+E17+E18</f>
        <v>4986.6743301</v>
      </c>
      <c r="F19" s="0" t="n">
        <f aca="false">F15+F16+F17+F18</f>
        <v>5949.500549712</v>
      </c>
      <c r="G19" s="0" t="n">
        <f aca="false">G15+G16+G17+G18</f>
        <v>6769.45786343232</v>
      </c>
      <c r="H19" s="0" t="n">
        <f aca="false">H15+H16+H17+H18</f>
        <v>7623.9343501069</v>
      </c>
      <c r="I19" s="0" t="n">
        <f aca="false">I15+I16+I17+I18</f>
        <v>8329.71567629439</v>
      </c>
      <c r="J19" s="0" t="n">
        <f aca="false">J15+J16+J17+J18</f>
        <v>9015.37301228645</v>
      </c>
      <c r="K19" s="0" t="n">
        <f aca="false">K15+K16+K17+K18</f>
        <v>9665.02726599419</v>
      </c>
      <c r="L19" s="0" t="n">
        <f aca="false">L15+L16+L17+L18</f>
        <v>10262.447095913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3031.19992727273</v>
      </c>
      <c r="D21" s="0" t="n">
        <f aca="false">D19*D20</f>
        <v>3393.44835173554</v>
      </c>
      <c r="E21" s="0" t="n">
        <f aca="false">E19*E20</f>
        <v>3746.56223148009</v>
      </c>
      <c r="F21" s="0" t="n">
        <f aca="false">F19*F20</f>
        <v>4063.58892815518</v>
      </c>
      <c r="G21" s="0" t="n">
        <f aca="false">G19*G20</f>
        <v>4203.3007329556</v>
      </c>
      <c r="H21" s="0" t="n">
        <f aca="false">H19*H20</f>
        <v>4303.51218507683</v>
      </c>
      <c r="I21" s="0" t="n">
        <f aca="false">I19*I20</f>
        <v>4274.46122184405</v>
      </c>
      <c r="J21" s="0" t="n">
        <f aca="false">J19*J20</f>
        <v>4205.73804557528</v>
      </c>
      <c r="K21" s="0" t="n">
        <f aca="false">K19*K20</f>
        <v>4098.91504501326</v>
      </c>
      <c r="L21" s="0" t="n">
        <f aca="false">L19*L20</f>
        <v>3956.61761095483</v>
      </c>
    </row>
    <row r="23" customFormat="false" ht="15" hidden="false" customHeight="false" outlineLevel="0" collapsed="false">
      <c r="A23" s="0" t="s">
        <v>109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Assumptions!$B$48</f>
        <v>10</v>
      </c>
    </row>
    <row r="28" customFormat="false" ht="15" hidden="false" customHeight="false" outlineLevel="0" collapsed="false">
      <c r="A28" s="0" t="s">
        <v>114</v>
      </c>
      <c r="B28" s="4" t="n">
        <f aca="false">Assumptions!$B$49</f>
        <v>3.5</v>
      </c>
    </row>
    <row r="29" customFormat="false" ht="15" hidden="false" customHeight="false" outlineLevel="0" collapsed="false">
      <c r="A29" s="0" t="s">
        <v>115</v>
      </c>
      <c r="B29" s="4" t="n">
        <f aca="false">Assumptions!$B$50</f>
        <v>16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39277.3442800634</v>
      </c>
    </row>
    <row r="31" customFormat="false" ht="15" hidden="false" customHeight="false" outlineLevel="0" collapsed="false">
      <c r="A31" s="0" t="s">
        <v>137</v>
      </c>
      <c r="B31" s="0" t="n">
        <f aca="false">L19</f>
        <v>10262.447095913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163409.73452723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164199.153534607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163409.73452723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63001.5265744345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102278.870854498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102278.870854498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60.2207200038259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-0.308443729859601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1440.90509314849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2035.14090730376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62.2673792127592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92362.0238632167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31.5234943635856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2" t="s">
        <v>154</v>
      </c>
      <c r="B3" s="2" t="s">
        <v>155</v>
      </c>
      <c r="C3" s="2" t="s">
        <v>145</v>
      </c>
      <c r="D3" s="2" t="s">
        <v>156</v>
      </c>
      <c r="E3" s="2" t="s">
        <v>148</v>
      </c>
      <c r="F3" s="2" t="s">
        <v>157</v>
      </c>
    </row>
    <row r="4" customFormat="false" ht="15" hidden="false" customHeight="false" outlineLevel="0" collapsed="false">
      <c r="A4" s="0" t="s">
        <v>158</v>
      </c>
      <c r="B4" s="4" t="n">
        <f aca="false">DCF_Bear!$B$38</f>
        <v>27.8228322140809</v>
      </c>
      <c r="C4" s="0" t="n">
        <f aca="false">B4/Assumptions!$B$2-1</f>
        <v>-0.680491132130445</v>
      </c>
      <c r="D4" s="4" t="n">
        <f aca="false">Assumptions!$B$24</f>
        <v>0.2</v>
      </c>
      <c r="E4" s="4" t="n">
        <f aca="false">DCF_Bear!$B$43</f>
        <v>28.8706778682568</v>
      </c>
      <c r="F4" s="4" t="n">
        <f aca="false">DCF_Bear!$B$47</f>
        <v>16.6497127788213</v>
      </c>
    </row>
    <row r="5" customFormat="false" ht="15" hidden="false" customHeight="false" outlineLevel="0" collapsed="false">
      <c r="A5" s="0" t="s">
        <v>159</v>
      </c>
      <c r="B5" s="4" t="n">
        <f aca="false">DCF_Base!$B$38</f>
        <v>42.9823101314803</v>
      </c>
      <c r="C5" s="0" t="n">
        <f aca="false">B5/Assumptions!$B$2-1</f>
        <v>-0.506404339326133</v>
      </c>
      <c r="D5" s="4" t="n">
        <f aca="false">Assumptions!$B$38</f>
        <v>0.5</v>
      </c>
      <c r="E5" s="4" t="n">
        <f aca="false">DCF_Base!$B$43</f>
        <v>44.5179310964416</v>
      </c>
      <c r="F5" s="4" t="n">
        <f aca="false">DCF_Base!$B$47</f>
        <v>23.9450450672417</v>
      </c>
    </row>
    <row r="6" customFormat="false" ht="15" hidden="false" customHeight="false" outlineLevel="0" collapsed="false">
      <c r="A6" s="0" t="s">
        <v>160</v>
      </c>
      <c r="B6" s="4" t="n">
        <f aca="false">DCF_Bull!$B$38</f>
        <v>60.2207200038259</v>
      </c>
      <c r="C6" s="0" t="n">
        <f aca="false">B6/Assumptions!$B$2-1</f>
        <v>-0.308443729859601</v>
      </c>
      <c r="D6" s="4" t="n">
        <f aca="false">Assumptions!$B$52</f>
        <v>0.3</v>
      </c>
      <c r="E6" s="4" t="n">
        <f aca="false">DCF_Bull!$B$43</f>
        <v>62.2673792127592</v>
      </c>
      <c r="F6" s="4" t="n">
        <f aca="false">DCF_Bull!$B$47</f>
        <v>31.5234943635856</v>
      </c>
    </row>
    <row r="8" customFormat="false" ht="15" hidden="false" customHeight="false" outlineLevel="0" collapsed="false">
      <c r="A8" s="0" t="s">
        <v>161</v>
      </c>
      <c r="B8" s="0" t="n">
        <f aca="false">SUMPRODUCT(B4:B6,D4:D6)</f>
        <v>45.1219375097041</v>
      </c>
    </row>
    <row r="9" customFormat="false" ht="15" hidden="false" customHeight="false" outlineLevel="0" collapsed="false">
      <c r="A9" s="0" t="s">
        <v>162</v>
      </c>
      <c r="B9" s="0" t="n">
        <f aca="false">SUMPRODUCT(E4:E6,D4:D6)</f>
        <v>46.7133148856999</v>
      </c>
    </row>
    <row r="10" customFormat="false" ht="15" hidden="false" customHeight="false" outlineLevel="0" collapsed="false">
      <c r="A10" s="0" t="s">
        <v>163</v>
      </c>
      <c r="B10" s="0" t="n">
        <f aca="false">1-Assumptions!$B$2/B8</f>
        <v>-0.929881667454378</v>
      </c>
    </row>
    <row r="11" customFormat="false" ht="15" hidden="false" customHeight="false" outlineLevel="0" collapsed="false">
      <c r="A11" s="0" t="s">
        <v>164</v>
      </c>
      <c r="B11" s="0" t="n">
        <f aca="false">IF(ABS(B9-B8)&gt;0.01*ABS(B8),(Assumptions!$B$2-B8)/(B9-B8)*100,"n/a")</f>
        <v>2636.58784667842</v>
      </c>
    </row>
    <row r="12" customFormat="false" ht="15" hidden="false" customHeight="false" outlineLevel="0" collapsed="false">
      <c r="A12" s="0" t="s">
        <v>165</v>
      </c>
      <c r="B12" s="0" t="n">
        <f aca="false">SUMPRODUCT(F4:F6,D4:D6)</f>
        <v>24.7595133984608</v>
      </c>
    </row>
    <row r="14" customFormat="false" ht="15" hidden="false" customHeight="false" outlineLevel="0" collapsed="false">
      <c r="A14" s="2" t="s">
        <v>166</v>
      </c>
      <c r="C14" s="0" t="s">
        <v>167</v>
      </c>
    </row>
    <row r="15" customFormat="false" ht="15" hidden="false" customHeight="false" outlineLevel="0" collapsed="false">
      <c r="A15" s="0" t="s">
        <v>168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48.5684038787375</v>
      </c>
      <c r="C15" s="3" t="n">
        <v>9</v>
      </c>
    </row>
    <row r="16" customFormat="false" ht="15" hidden="false" customHeight="false" outlineLevel="0" collapsed="false">
      <c r="A16" s="0" t="s">
        <v>169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42.9823101314803</v>
      </c>
      <c r="C16" s="3" t="n">
        <v>10</v>
      </c>
    </row>
    <row r="17" customFormat="false" ht="15" hidden="false" customHeight="false" outlineLevel="0" collapsed="false">
      <c r="A17" s="0" t="s">
        <v>170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37.2353744613721</v>
      </c>
      <c r="C17" s="3" t="n">
        <v>11</v>
      </c>
    </row>
    <row r="18" customFormat="false" ht="15" hidden="false" customHeight="false" outlineLevel="0" collapsed="false">
      <c r="A18" s="0" t="s">
        <v>171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32.7825197194739</v>
      </c>
      <c r="C18" s="3" t="n">
        <v>12</v>
      </c>
    </row>
    <row r="19" customFormat="false" ht="15" hidden="false" customHeight="false" outlineLevel="0" collapsed="false">
      <c r="A19" s="0" t="s">
        <v>172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23.9450450672417</v>
      </c>
      <c r="C19" s="3" t="n">
        <v>15</v>
      </c>
    </row>
    <row r="21" customFormat="false" ht="15" hidden="false" customHeight="false" outlineLevel="0" collapsed="false">
      <c r="A21" s="2" t="s">
        <v>173</v>
      </c>
    </row>
    <row r="22" customFormat="false" ht="15" hidden="false" customHeight="false" outlineLevel="0" collapsed="false">
      <c r="B22" s="3" t="n">
        <v>2</v>
      </c>
      <c r="C22" s="3" t="n">
        <v>2.5</v>
      </c>
      <c r="D22" s="3" t="n">
        <v>3</v>
      </c>
      <c r="E22" s="3" t="n">
        <v>3.5</v>
      </c>
      <c r="F22" s="3" t="n">
        <v>4</v>
      </c>
    </row>
    <row r="23" customFormat="false" ht="15" hidden="false" customHeight="false" outlineLevel="0" collapsed="false">
      <c r="A23" s="3" t="n">
        <v>8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52.3774009565907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52.3774009565907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52.3774009565907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52.3774009565907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52.3774009565907</v>
      </c>
    </row>
    <row r="24" customFormat="false" ht="15" hidden="false" customHeight="false" outlineLevel="0" collapsed="false">
      <c r="A24" s="3" t="n">
        <v>9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45.9922982435742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48.1522637376726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48.5684038787375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48.5684038787375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48.5684038787375</v>
      </c>
    </row>
    <row r="25" customFormat="false" ht="15" hidden="false" customHeight="false" outlineLevel="0" collapsed="false">
      <c r="A25" s="3" t="n">
        <v>10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39.7493191464199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41.2580482727815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42.9823101314803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44.9718430453637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45.098449685338</v>
      </c>
    </row>
    <row r="26" customFormat="false" ht="15" hidden="false" customHeight="false" outlineLevel="0" collapsed="false">
      <c r="A26" s="3" t="n">
        <v>11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34.9175134967564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36.008271597752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37.2353744613721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38.6260910401415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40.2154814158779</v>
      </c>
    </row>
    <row r="27" customFormat="false" ht="15" hidden="false" customHeight="false" outlineLevel="0" collapsed="false">
      <c r="A27" s="3" t="n">
        <v>12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31.0720240713711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31.8822588520514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32.7825197194739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33.7886936301226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34.9206392796024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2026-09-28T21:45:36Z</dcterms:created>
  <dc:creator>openpyxl</dc:creator>
  <dc:description/>
  <dc:language>en-NZ</dc:language>
  <cp:lastModifiedBy/>
  <dcterms:modified xsi:type="dcterms:W3CDTF">2026-09-28T21:45:36Z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