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<sst xmlns="http://schemas.openxmlformats.org/spreadsheetml/2006/main" count="361" uniqueCount="167">
  <si>
    <t xml:space="preserve">Ticker</t>
  </si>
  <si>
    <t xml:space="preserve">BHP</t>
  </si>
  <si>
    <t xml:space="preserve">Company</t>
  </si>
  <si>
    <t xml:space="preserve">BHP Group Limited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</si>
  <si>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</si>
  <si>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</si>
  <si>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</si>
  <si>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</si>
  <si>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2026-10-02T06:18:01Z ASX regular close (Friday session; Saturday valuation date,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</si>
  <si>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</si>
  <si>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</si>
  <si>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</si>
  <si>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</si>
  <si>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</si>
  <si>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</si>
  <si>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</si>
  <si>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</si>
  <si>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</si>
  <si>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</si>
  <si>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</si>
  <si>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</si>
  <si>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</si>
  <si>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2026-10-02T22:49:26Z</t>
  </si>
  <si>
    <t xml:space="preserve">Drivers file</t>
  </si>
  <si>
    <t xml:space="preserve">BHP_Drivers.json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</si>
  <si>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</si>
  <si>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</si>
  <si>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</si>
  <si>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BHP on what its tier-one asset base earns through a commodity cycle, not at the top of one. The base case strips every exceptional item (Woodside gain, Jansen and Nickel West impairments, Samarco charges), builds FY2027 on a mid-cycle price deck with guided volumes, charges the full US$11bn/yr Jansen/Escondida capex cycle explicitly, makes the flows attributable (NCI calibrated to cash paid to Escondida's partners), and deducts the debt-like claims the flows do not carry (Samarco, the Antamina silver stream, closed-site rehabilitation). The gap between that value and the price is the market's commodity-price view; the bull scenario is roughly what the current deck capitalised looks like.
key_risks_to_valuation: Commodity price deck: a US$10/t move in iron ore or US$1,000/t in copper moves annual EBITDA by roughly US$2.5bn and US$1.5-2bn respectively -- the dominant driver, and the reason a mid-cycle base sits far from a price set off spot.; China / CMRG single-desk buyer leverage over WAIO pricing and the yuan-settlement shift; China takes over half of iron ore shipments.; Jansen potash execution and returns: Stage 1 already US$5.7bn -&gt; ~US$8.4bn with a US$2.3bn impairment; Stage 2 is sanctioned and sits inside the capex path.; Samarco tail: the provision covers the Brazil settlement and a best estimate of the UK group action, but stage-2 (2027-28) and stage-3 outcomes could be materially higher or lower.; Capital allocation: a renewed large acquisition (three Anglo American approaches since 2024) would replace the modelled organic capex path with an acquisition at a control premium.; FX: per-share AUD values move one-for-one with AUD/USD (fx_rate 1.4374); a weaker AUD lifts the AUD value of USD flows and lowers BHP's AUD cost base -- a natural hedge the USD-only model does not capture.; Operating-site closure provisions (7,953 pre-tax) are not deducted; deducting them after tax would lower every scenario by ~US$1.1/share.</t>
  </si>
  <si>
    <t xml:space="preserve">Data sources</t>
  </si>
  <si>
    <t xml:space="preserve">price: Yahoo Finance chart API, BHP.AX regularMarketPrice at inputs.price_as_of; 52-week range A$40.18-68.77. FX from Yahoo AUDUSD=X (see inputs.fx_note); ADR parity check against NYSE BHP (1 ADR = 2 shares).
financials: BHP_Metrics.csv / BHP.duckdb core_metrics + kpis (FY2017-FY2026, USD millions, from the SEC 20-F filings); FY2026 20-F (research/BHP/Extracted/BHP_20F_FY2026.txt) for net debt composition (note 21), leases (note 22), Samarco provision (note 4), closure provisions (note 15), streaming liability (note 24), cash flow statement, share capital and diluted EPS.
qualitative: BHP_Analysis.json (2026-10-03): FY2027 guidance (copper 1,650-1,800kt, iron ore 258-269Mt, ~US$11bn capex), Jansen status, Escondida New Concentrator, CMRG dispute, Samarco, Anglo American approaches.</t>
  </si>
  <si>
    <t xml:space="preserve">Scenario narrative: bear</t>
  </si>
  <si>
    <t xml:space="preserve">China rolls over: steel output declines, CMRG squeezes WAIO pricing and Simandou adds supply (iron ore US$70-80/t), copper softens, Jansen overruns into an oversupplied potash market, revenue falls ~15%, margins sit in the high-40s and the exit multiple compresses to 10x.</t>
  </si>
  <si>
    <t xml:space="preserve">Scenario narrative: base</t>
  </si>
  <si>
    <t xml:space="preserve">Mid-cycle: commodity prices revert from FY2026's copper-led high, the guided FY2027 copper dip passes, Jansen ramps at its revised cost, Escondida New Concentrator is built, iron ore is a flat cash engine on a ~1bn t China steel plateau, and the US$11bn capex cycle normalises in the early 2030s.</t>
  </si>
  <si>
    <t xml:space="preserve">Scenario narrative: bull</t>
  </si>
  <si>
    <t xml:space="preserve">Copper supercycle: structural electrification/AI-power demand keeps copper at US$11-12k/t, copper volumes deliver the ~50%-by-mid-2030s ambition, China steel stays resilient, Jansen ramps cleanly, FY2026's ~56% margin holds and the market pays 13x at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</si>
  <si>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</si>
  <si>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</si>
  <si>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</si>
  <si>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</si>
  <si>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</si>
  <si>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</si>
  <si>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</si>
  <si>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</si>
  <si>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</si>
  <si>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</si>
  <si>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</si>
  <si>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</si>
  <si>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</si>
  <si>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</si>
  <si>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</si>
  <si>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</si>
  <si>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</si>
  <si>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</si>
  <si>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</si>
  <si>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</si>
  <si>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</si>
  <si>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</si>
  <si>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</si>
  <si>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</si>
  <si>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</si>
  <si>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</si>
  <si>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</si>
  <si>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</si>
  <si>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</si>
  <si>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</si>
  <si>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</si>
  <si>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</si>
  <si>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</si>
  <si>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</si>
  <si>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</si>
  <si>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</si>
  <si>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</si>
  <si>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</si>
  <si>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</si>
  <si>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</si>
  <si>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</si>
  <si>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</si>
  <si>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</si>
  <si>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</si>
  <si>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</si>
  <si>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</si>
  <si>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</si>
  <si>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</si>
  <si>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</si>
  <si>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</si>
  <si>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</si>
  <si>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</si>
  <si>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</si>
  <si>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</si>
  <si>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</si>
  <si>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</si>
  <si>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</si>
  <si>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</si>
  <si>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</si>
  <si>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</si>
  <si>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</si>
  <si>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</si>
  <si>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</si>
  <si>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</si>
  <si>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</si>
  <si>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</si>
  <si>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</si>
  <si>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</si>
  <si>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</si>
  <si>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</si>
  <si>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</si>
  <si>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</si>
  <si>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</si>
  <si>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</si>
  <si>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</si>
  <si>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BHP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</si>
  <si>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</si>
  <si>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</si>
  <si>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</si>
  <si>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</si>
  <si>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</si>
  <si>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</si>
  <si>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</si>
  <si>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</si>
  <si>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</si>
  <si>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</si>
  <si>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</si>
  <si>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</si>
  <si>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</si>
  <si>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</si>
  <si>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</si>
  <si>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</si>
  <si>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</si>
  <si>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</si>
  <si>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</si>
  <si>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</si>
  <si>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</si>
  <si>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</si>
  <si>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</si>
  <si>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</si>
  <si>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</si>
  <si>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</si>
  <si>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</si>
  <si>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</si>
  <si>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</si>
  <si>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</si>
  <si>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BHP owner-FCF component DCF: base case (millions, USD)</t>
  </si>
  <si>
    <t xml:space="preserve">BHP owner-FCF component DCF: bull case (millions, USD)</t>
  </si>
  <si>
    <t xml:space="preserve">BHP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</si>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</sst>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61.21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38285</v>
      </c>
      <c r="F2" s="0" t="n">
        <v>11753</v>
      </c>
      <c r="G2" s="0" t="n">
        <v>30.7</v>
      </c>
      <c r="H2" s="0" t="n">
        <v>20296</v>
      </c>
      <c r="I2" s="0" t="n">
        <v>5890</v>
      </c>
      <c r="J2" s="0" t="n">
        <v>15.4</v>
      </c>
      <c r="K2" s="0" t="n">
        <v>1.107</v>
      </c>
      <c r="L2" s="0" t="n">
        <v>16804</v>
      </c>
      <c r="M2" s="0" t="n">
        <v>4252</v>
      </c>
      <c r="N2" s="0" t="n">
        <v>12552</v>
      </c>
      <c r="O2" s="0" t="n">
        <v>57258</v>
      </c>
      <c r="P2" s="0" t="n">
        <v>117006</v>
      </c>
      <c r="Q2" s="0" t="n">
        <v>54280</v>
      </c>
      <c r="R2" s="0" t="n">
        <v>30474</v>
      </c>
      <c r="S2" s="0" t="n">
        <v>14153</v>
      </c>
      <c r="T2" s="0" t="n">
        <v>5336</v>
      </c>
      <c r="U2" s="0" t="n">
        <v>106</v>
      </c>
      <c r="V2" s="0" t="n">
        <v>0.83</v>
      </c>
      <c r="W2" s="0" t="n">
        <v>20296</v>
      </c>
      <c r="X2" s="0" t="n">
        <v>36135</v>
      </c>
      <c r="Z2" s="0" t="n">
        <v>12389</v>
      </c>
      <c r="AA2" s="0" t="s">
        <v>18</v>
      </c>
      <c r="AB2" s="0" t="s">
        <v>14</v>
      </c>
      <c r="AC2" s="0" t="n">
        <v>62726</v>
      </c>
    </row>
    <row r="3" customFormat="false" ht="15" hidden="false" customHeight="false" outlineLevel="0" collapsed="false">
      <c r="A3" s="0" t="s">
        <v>66</v>
      </c>
      <c r="B3" s="0" t="n">
        <v>43638</v>
      </c>
      <c r="F3" s="0" t="n">
        <v>15996</v>
      </c>
      <c r="G3" s="0" t="n">
        <v>36.7</v>
      </c>
      <c r="H3" s="0" t="n">
        <v>23183</v>
      </c>
      <c r="I3" s="0" t="n">
        <v>3705</v>
      </c>
      <c r="J3" s="0" t="n">
        <v>8.5</v>
      </c>
      <c r="K3" s="0" t="n">
        <v>0.696</v>
      </c>
      <c r="L3" s="0" t="n">
        <v>18461</v>
      </c>
      <c r="M3" s="0" t="n">
        <v>4979</v>
      </c>
      <c r="N3" s="0" t="n">
        <v>13482</v>
      </c>
      <c r="O3" s="0" t="n">
        <v>55592</v>
      </c>
      <c r="P3" s="0" t="n">
        <v>111993</v>
      </c>
      <c r="Q3" s="0" t="n">
        <v>51323</v>
      </c>
      <c r="R3" s="0" t="n">
        <v>26805</v>
      </c>
      <c r="S3" s="0" t="n">
        <v>15871</v>
      </c>
      <c r="T3" s="0" t="n">
        <v>5337</v>
      </c>
      <c r="U3" s="0" t="n">
        <v>123</v>
      </c>
      <c r="V3" s="0" t="n">
        <v>1.18</v>
      </c>
      <c r="W3" s="0" t="n">
        <v>23183</v>
      </c>
      <c r="X3" s="0" t="n">
        <v>43638</v>
      </c>
      <c r="AA3" s="0" t="s">
        <v>18</v>
      </c>
      <c r="AB3" s="0" t="s">
        <v>14</v>
      </c>
      <c r="AC3" s="0" t="n">
        <v>60670</v>
      </c>
    </row>
    <row r="4" customFormat="false" ht="15" hidden="false" customHeight="false" outlineLevel="0" collapsed="false">
      <c r="A4" s="0" t="s">
        <v>67</v>
      </c>
      <c r="B4" s="0" t="n">
        <v>44288</v>
      </c>
      <c r="F4" s="0" t="n">
        <v>16113</v>
      </c>
      <c r="G4" s="0" t="n">
        <v>36.4</v>
      </c>
      <c r="H4" s="0" t="n">
        <v>23158</v>
      </c>
      <c r="I4" s="0" t="n">
        <v>8306</v>
      </c>
      <c r="J4" s="0" t="n">
        <v>18.8</v>
      </c>
      <c r="K4" s="0" t="n">
        <v>1.603</v>
      </c>
      <c r="L4" s="0" t="n">
        <v>17871</v>
      </c>
      <c r="M4" s="0" t="n">
        <v>6250</v>
      </c>
      <c r="N4" s="0" t="n">
        <v>11621</v>
      </c>
      <c r="O4" s="0" t="n">
        <v>47240</v>
      </c>
      <c r="P4" s="0" t="n">
        <v>100861</v>
      </c>
      <c r="Q4" s="0" t="n">
        <v>49037</v>
      </c>
      <c r="R4" s="0" t="n">
        <v>24828</v>
      </c>
      <c r="S4" s="0" t="n">
        <v>15613</v>
      </c>
      <c r="T4" s="0" t="n">
        <v>5193</v>
      </c>
      <c r="U4" s="0" t="n">
        <v>138</v>
      </c>
      <c r="V4" s="0" t="n">
        <v>2.35</v>
      </c>
      <c r="W4" s="0" t="n">
        <v>23158</v>
      </c>
      <c r="X4" s="0" t="n">
        <v>44288</v>
      </c>
      <c r="AA4" s="0" t="s">
        <v>18</v>
      </c>
      <c r="AB4" s="0" t="s">
        <v>14</v>
      </c>
      <c r="AC4" s="0" t="n">
        <v>51824</v>
      </c>
    </row>
    <row r="5" customFormat="false" ht="15" hidden="false" customHeight="false" outlineLevel="0" collapsed="false">
      <c r="A5" s="0" t="s">
        <v>68</v>
      </c>
      <c r="B5" s="0" t="n">
        <v>42931</v>
      </c>
      <c r="F5" s="0" t="n">
        <v>14421</v>
      </c>
      <c r="G5" s="0" t="n">
        <v>33.6</v>
      </c>
      <c r="H5" s="0" t="n">
        <v>22071</v>
      </c>
      <c r="I5" s="0" t="n">
        <v>7956</v>
      </c>
      <c r="J5" s="0" t="n">
        <v>18.5</v>
      </c>
      <c r="K5" s="0" t="n">
        <v>1.573</v>
      </c>
      <c r="L5" s="0" t="n">
        <v>15706</v>
      </c>
      <c r="M5" s="0" t="n">
        <v>6900</v>
      </c>
      <c r="N5" s="0" t="n">
        <v>8806</v>
      </c>
      <c r="O5" s="0" t="n">
        <v>47936</v>
      </c>
      <c r="P5" s="0" t="n">
        <v>104783</v>
      </c>
      <c r="Q5" s="0" t="n">
        <v>52537</v>
      </c>
      <c r="R5" s="0" t="n">
        <v>27048</v>
      </c>
      <c r="S5" s="0" t="n">
        <v>13426</v>
      </c>
      <c r="T5" s="0" t="n">
        <v>5069</v>
      </c>
      <c r="U5" s="0" t="n">
        <v>175</v>
      </c>
      <c r="V5" s="0" t="n">
        <v>1.2</v>
      </c>
      <c r="W5" s="0" t="n">
        <v>22071</v>
      </c>
      <c r="X5" s="0" t="n">
        <v>38924</v>
      </c>
      <c r="AA5" s="0" t="s">
        <v>18</v>
      </c>
      <c r="AB5" s="0" t="s">
        <v>14</v>
      </c>
      <c r="AC5" s="0" t="n">
        <v>52246</v>
      </c>
    </row>
    <row r="6" customFormat="false" ht="15" hidden="false" customHeight="false" outlineLevel="0" collapsed="false">
      <c r="A6" s="0" t="s">
        <v>69</v>
      </c>
      <c r="B6" s="0" t="n">
        <v>60817</v>
      </c>
      <c r="F6" s="0" t="n">
        <v>25906</v>
      </c>
      <c r="G6" s="0" t="n">
        <v>42.6</v>
      </c>
      <c r="H6" s="0" t="n">
        <v>37379</v>
      </c>
      <c r="I6" s="0" t="n">
        <v>11304</v>
      </c>
      <c r="J6" s="0" t="n">
        <v>18.6</v>
      </c>
      <c r="K6" s="0" t="n">
        <v>2.235</v>
      </c>
      <c r="L6" s="0" t="n">
        <v>27234</v>
      </c>
      <c r="M6" s="0" t="n">
        <v>6606</v>
      </c>
      <c r="N6" s="0" t="n">
        <v>20628</v>
      </c>
      <c r="O6" s="0" t="n">
        <v>51264</v>
      </c>
      <c r="P6" s="0" t="n">
        <v>108927</v>
      </c>
      <c r="Q6" s="0" t="n">
        <v>53322</v>
      </c>
      <c r="R6" s="0" t="n">
        <v>20983</v>
      </c>
      <c r="S6" s="0" t="n">
        <v>15246</v>
      </c>
      <c r="T6" s="0" t="n">
        <v>5068</v>
      </c>
      <c r="U6" s="0" t="n">
        <v>175</v>
      </c>
      <c r="V6" s="0" t="n">
        <v>3.01</v>
      </c>
      <c r="W6" s="0" t="n">
        <v>37379</v>
      </c>
      <c r="X6" s="0" t="n">
        <v>56921</v>
      </c>
      <c r="AA6" s="0" t="s">
        <v>18</v>
      </c>
      <c r="AB6" s="0" t="s">
        <v>14</v>
      </c>
      <c r="AC6" s="0" t="n">
        <v>55605</v>
      </c>
    </row>
    <row r="7" customFormat="false" ht="15" hidden="false" customHeight="false" outlineLevel="0" collapsed="false">
      <c r="A7" s="0" t="s">
        <v>70</v>
      </c>
      <c r="B7" s="0" t="n">
        <v>65098</v>
      </c>
      <c r="F7" s="0" t="n">
        <v>34106</v>
      </c>
      <c r="G7" s="0" t="n">
        <v>52.4</v>
      </c>
      <c r="H7" s="0" t="n">
        <v>40634</v>
      </c>
      <c r="I7" s="0" t="n">
        <v>30900</v>
      </c>
      <c r="J7" s="0" t="n">
        <v>47.5</v>
      </c>
      <c r="K7" s="0" t="n">
        <v>6.106</v>
      </c>
      <c r="L7" s="0" t="n">
        <v>32174</v>
      </c>
      <c r="M7" s="0" t="n">
        <v>5855</v>
      </c>
      <c r="N7" s="0" t="n">
        <v>26319</v>
      </c>
      <c r="O7" s="0" t="n">
        <v>44957</v>
      </c>
      <c r="P7" s="0" t="n">
        <v>95166</v>
      </c>
      <c r="Q7" s="0" t="n">
        <v>46400</v>
      </c>
      <c r="R7" s="0" t="n">
        <v>16428</v>
      </c>
      <c r="S7" s="0" t="n">
        <v>17236</v>
      </c>
      <c r="T7" s="0" t="n">
        <v>5071</v>
      </c>
      <c r="U7" s="0" t="n">
        <v>143</v>
      </c>
      <c r="V7" s="0" t="n">
        <v>3.25</v>
      </c>
      <c r="W7" s="0" t="n">
        <v>40634</v>
      </c>
      <c r="X7" s="0" t="n">
        <v>65098</v>
      </c>
      <c r="Y7" s="0" t="n">
        <v>40634</v>
      </c>
      <c r="Z7" s="0" t="n">
        <v>34436</v>
      </c>
      <c r="AA7" s="0" t="s">
        <v>18</v>
      </c>
      <c r="AB7" s="0" t="s">
        <v>14</v>
      </c>
      <c r="AC7" s="0" t="n">
        <v>48766</v>
      </c>
    </row>
    <row r="8" customFormat="false" ht="15" hidden="false" customHeight="false" outlineLevel="0" collapsed="false">
      <c r="A8" s="0" t="s">
        <v>71</v>
      </c>
      <c r="B8" s="0" t="n">
        <v>53817</v>
      </c>
      <c r="F8" s="0" t="n">
        <v>22932</v>
      </c>
      <c r="G8" s="0" t="n">
        <v>42.6</v>
      </c>
      <c r="H8" s="0" t="n">
        <v>27956</v>
      </c>
      <c r="I8" s="0" t="n">
        <v>12921</v>
      </c>
      <c r="J8" s="0" t="n">
        <v>24</v>
      </c>
      <c r="K8" s="0" t="n">
        <v>2.552</v>
      </c>
      <c r="L8" s="0" t="n">
        <v>18701</v>
      </c>
      <c r="M8" s="0" t="n">
        <v>6733</v>
      </c>
      <c r="N8" s="0" t="n">
        <v>11968</v>
      </c>
      <c r="O8" s="0" t="n">
        <v>44496</v>
      </c>
      <c r="P8" s="0" t="n">
        <v>101296</v>
      </c>
      <c r="Q8" s="0" t="n">
        <v>52766</v>
      </c>
      <c r="R8" s="0" t="n">
        <v>22345</v>
      </c>
      <c r="S8" s="0" t="n">
        <v>12428</v>
      </c>
      <c r="T8" s="0" t="n">
        <v>5073</v>
      </c>
      <c r="U8" s="0" t="n">
        <v>130</v>
      </c>
      <c r="V8" s="0" t="n">
        <v>1.7</v>
      </c>
      <c r="W8" s="0" t="n">
        <v>27956</v>
      </c>
      <c r="X8" s="0" t="n">
        <v>53817</v>
      </c>
      <c r="Y8" s="0" t="n">
        <v>27956</v>
      </c>
      <c r="Z8" s="0" t="n">
        <v>22820</v>
      </c>
      <c r="AA8" s="0" t="s">
        <v>18</v>
      </c>
      <c r="AB8" s="0" t="s">
        <v>14</v>
      </c>
      <c r="AC8" s="0" t="n">
        <v>48530</v>
      </c>
    </row>
    <row r="9" customFormat="false" ht="15" hidden="false" customHeight="false" outlineLevel="0" collapsed="false">
      <c r="A9" s="0" t="s">
        <v>72</v>
      </c>
      <c r="B9" s="0" t="n">
        <v>55658</v>
      </c>
      <c r="F9" s="0" t="n">
        <v>17537</v>
      </c>
      <c r="G9" s="0" t="n">
        <v>31.5</v>
      </c>
      <c r="H9" s="0" t="n">
        <v>29016</v>
      </c>
      <c r="I9" s="0" t="n">
        <v>7897</v>
      </c>
      <c r="J9" s="0" t="n">
        <v>14.2</v>
      </c>
      <c r="K9" s="0" t="n">
        <v>1.558</v>
      </c>
      <c r="L9" s="0" t="n">
        <v>20665</v>
      </c>
      <c r="M9" s="0" t="n">
        <v>8816</v>
      </c>
      <c r="N9" s="0" t="n">
        <v>11849</v>
      </c>
      <c r="O9" s="0" t="n">
        <v>44811</v>
      </c>
      <c r="P9" s="0" t="n">
        <v>102362</v>
      </c>
      <c r="Q9" s="0" t="n">
        <v>53242</v>
      </c>
      <c r="R9" s="0" t="n">
        <v>20718</v>
      </c>
      <c r="S9" s="0" t="n">
        <v>12501</v>
      </c>
      <c r="T9" s="0" t="n">
        <v>5077</v>
      </c>
      <c r="U9" s="0" t="n">
        <v>129</v>
      </c>
      <c r="V9" s="0" t="n">
        <v>1.46</v>
      </c>
      <c r="W9" s="0" t="n">
        <v>29016</v>
      </c>
      <c r="X9" s="0" t="n">
        <v>55658</v>
      </c>
      <c r="Y9" s="0" t="n">
        <v>29016</v>
      </c>
      <c r="Z9" s="0" t="n">
        <v>23631</v>
      </c>
      <c r="AA9" s="0" t="s">
        <v>18</v>
      </c>
      <c r="AB9" s="0" t="s">
        <v>14</v>
      </c>
      <c r="AC9" s="0" t="n">
        <v>49120</v>
      </c>
    </row>
    <row r="10" customFormat="false" ht="15" hidden="false" customHeight="false" outlineLevel="0" collapsed="false">
      <c r="A10" s="0" t="s">
        <v>73</v>
      </c>
      <c r="B10" s="0" t="n">
        <v>51262</v>
      </c>
      <c r="F10" s="0" t="n">
        <v>19464</v>
      </c>
      <c r="G10" s="0" t="n">
        <v>38</v>
      </c>
      <c r="H10" s="0" t="n">
        <v>25978</v>
      </c>
      <c r="I10" s="0" t="n">
        <v>9019</v>
      </c>
      <c r="J10" s="0" t="n">
        <v>17.6</v>
      </c>
      <c r="K10" s="0" t="n">
        <v>1.778</v>
      </c>
      <c r="L10" s="0" t="n">
        <v>18692</v>
      </c>
      <c r="M10" s="0" t="n">
        <v>9398</v>
      </c>
      <c r="N10" s="0" t="n">
        <v>9294</v>
      </c>
      <c r="O10" s="0" t="n">
        <v>47665</v>
      </c>
      <c r="P10" s="0" t="n">
        <v>108790</v>
      </c>
      <c r="Q10" s="0" t="n">
        <v>56572</v>
      </c>
      <c r="R10" s="0" t="n">
        <v>24496</v>
      </c>
      <c r="S10" s="0" t="n">
        <v>11894</v>
      </c>
      <c r="T10" s="0" t="n">
        <v>5083</v>
      </c>
      <c r="U10" s="0" t="n">
        <v>130</v>
      </c>
      <c r="V10" s="0" t="n">
        <v>1.1</v>
      </c>
      <c r="W10" s="0" t="n">
        <v>25978</v>
      </c>
      <c r="X10" s="0" t="n">
        <v>51262</v>
      </c>
      <c r="Y10" s="0" t="n">
        <v>25978</v>
      </c>
      <c r="Z10" s="0" t="n">
        <v>20240</v>
      </c>
      <c r="AA10" s="0" t="s">
        <v>18</v>
      </c>
      <c r="AB10" s="0" t="s">
        <v>14</v>
      </c>
      <c r="AC10" s="0" t="n">
        <v>52218</v>
      </c>
    </row>
    <row r="11" customFormat="false" ht="15" hidden="false" customHeight="false" outlineLevel="0" collapsed="false">
      <c r="A11" s="0" t="s">
        <v>74</v>
      </c>
      <c r="B11" s="0" t="n">
        <v>58760</v>
      </c>
      <c r="F11" s="0" t="n">
        <v>23869</v>
      </c>
      <c r="G11" s="0" t="n">
        <v>40.6</v>
      </c>
      <c r="H11" s="0" t="n">
        <v>32947</v>
      </c>
      <c r="I11" s="0" t="n">
        <v>9833</v>
      </c>
      <c r="J11" s="0" t="n">
        <v>16.7</v>
      </c>
      <c r="K11" s="0" t="n">
        <v>1.936</v>
      </c>
      <c r="L11" s="0" t="n">
        <v>21778</v>
      </c>
      <c r="M11" s="0" t="n">
        <v>9849</v>
      </c>
      <c r="N11" s="0" t="n">
        <v>11929</v>
      </c>
      <c r="O11" s="0" t="n">
        <v>50923</v>
      </c>
      <c r="P11" s="0" t="n">
        <v>121387</v>
      </c>
      <c r="Q11" s="0" t="n">
        <v>65066</v>
      </c>
      <c r="R11" s="0" t="n">
        <v>27121</v>
      </c>
      <c r="S11" s="0" t="n">
        <v>18532</v>
      </c>
      <c r="T11" s="0" t="n">
        <v>5089</v>
      </c>
      <c r="U11" s="0" t="n">
        <v>188</v>
      </c>
      <c r="V11" s="0" t="n">
        <v>1.72</v>
      </c>
      <c r="W11" s="0" t="n">
        <v>32947</v>
      </c>
      <c r="X11" s="0" t="n">
        <v>58760</v>
      </c>
      <c r="Y11" s="0" t="n">
        <v>32947</v>
      </c>
      <c r="Z11" s="0" t="n">
        <v>26640</v>
      </c>
      <c r="AA11" s="0" t="s">
        <v>18</v>
      </c>
      <c r="AB11" s="0" t="s">
        <v>14</v>
      </c>
      <c r="AC11" s="0" t="n">
        <v>56321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61.21</v>
      </c>
    </row>
    <row r="3" customFormat="false" ht="15" hidden="false" customHeight="false" outlineLevel="0" collapsed="false">
      <c r="A3" s="0" t="s">
        <v>78</v>
      </c>
      <c r="B3" s="3" t="n">
        <v>5092</v>
      </c>
    </row>
    <row r="4" customFormat="false" ht="15" hidden="false" customHeight="false" outlineLevel="0" collapsed="false">
      <c r="A4" s="0" t="s">
        <v>79</v>
      </c>
      <c r="B4" s="3" t="n">
        <v>5933</v>
      </c>
    </row>
    <row r="5" customFormat="false" ht="15" hidden="false" customHeight="false" outlineLevel="0" collapsed="false">
      <c r="A5" s="0" t="s">
        <v>80</v>
      </c>
      <c r="B5" s="3" t="n">
        <v>-12020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58760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1.4374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-15</v>
      </c>
      <c r="D13" s="3" t="n">
        <v>-2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46.3</v>
      </c>
      <c r="D14" s="3" t="n">
        <v>46.3</v>
      </c>
      <c r="E14" s="3" t="n">
        <v>46.8</v>
      </c>
      <c r="F14" s="3" t="n">
        <v>47.3</v>
      </c>
      <c r="G14" s="3" t="n">
        <v>47.3</v>
      </c>
      <c r="H14" s="3" t="n">
        <v>47.3</v>
      </c>
      <c r="I14" s="3" t="n">
        <v>47.3</v>
      </c>
      <c r="J14" s="3" t="n">
        <v>47.3</v>
      </c>
      <c r="K14" s="3" t="n">
        <v>47.3</v>
      </c>
      <c r="L14" s="3" t="n">
        <v>47.3</v>
      </c>
    </row>
    <row r="15" customFormat="false" ht="15" hidden="false" customHeight="false" outlineLevel="0" collapsed="false">
      <c r="A15" s="0" t="s">
        <v>100</v>
      </c>
      <c r="C15" s="3" t="n">
        <v>0.32</v>
      </c>
      <c r="D15" s="3" t="n">
        <v>0.32</v>
      </c>
      <c r="E15" s="3" t="n">
        <v>0.32</v>
      </c>
      <c r="F15" s="3" t="n">
        <v>0.32</v>
      </c>
      <c r="G15" s="3" t="n">
        <v>0.32</v>
      </c>
      <c r="H15" s="3" t="n">
        <v>0.32</v>
      </c>
      <c r="I15" s="3" t="n">
        <v>0.32</v>
      </c>
      <c r="J15" s="3" t="n">
        <v>0.32</v>
      </c>
      <c r="K15" s="3" t="n">
        <v>0.32</v>
      </c>
      <c r="L15" s="3" t="n">
        <v>0.32</v>
      </c>
    </row>
    <row r="16" customFormat="false" ht="15" hidden="false" customHeight="false" outlineLevel="0" collapsed="false">
      <c r="A16" s="0" t="s">
        <v>101</v>
      </c>
      <c r="C16" s="3" t="n">
        <v>2.1</v>
      </c>
      <c r="D16" s="3" t="n">
        <v>2.1</v>
      </c>
      <c r="E16" s="3" t="n">
        <v>2.1</v>
      </c>
      <c r="F16" s="3" t="n">
        <v>2.1</v>
      </c>
      <c r="G16" s="3" t="n">
        <v>2.1</v>
      </c>
      <c r="H16" s="3" t="n">
        <v>2.1</v>
      </c>
      <c r="I16" s="3" t="n">
        <v>2.1</v>
      </c>
      <c r="J16" s="3" t="n">
        <v>2.1</v>
      </c>
      <c r="K16" s="3" t="n">
        <v>2.1</v>
      </c>
      <c r="L16" s="3" t="n">
        <v>2.1</v>
      </c>
    </row>
    <row r="17" customFormat="false" ht="15" hidden="false" customHeight="false" outlineLevel="0" collapsed="false">
      <c r="A17" s="0" t="s">
        <v>102</v>
      </c>
      <c r="C17" s="3" t="n">
        <v>10.4</v>
      </c>
      <c r="D17" s="3" t="n">
        <v>10.7</v>
      </c>
      <c r="E17" s="3" t="n">
        <v>10.9</v>
      </c>
      <c r="F17" s="3" t="n">
        <v>11</v>
      </c>
      <c r="G17" s="3" t="n">
        <v>11</v>
      </c>
      <c r="H17" s="3" t="n">
        <v>11</v>
      </c>
      <c r="I17" s="3" t="n">
        <v>11</v>
      </c>
      <c r="J17" s="3" t="n">
        <v>11</v>
      </c>
      <c r="K17" s="3" t="n">
        <v>11</v>
      </c>
      <c r="L17" s="3" t="n">
        <v>11</v>
      </c>
    </row>
    <row r="18" customFormat="false" ht="15" hidden="false" customHeight="false" outlineLevel="0" collapsed="false">
      <c r="A18" s="0" t="s">
        <v>103</v>
      </c>
      <c r="C18" s="3" t="n">
        <v>21.5</v>
      </c>
      <c r="D18" s="3" t="n">
        <v>21</v>
      </c>
      <c r="E18" s="3" t="n">
        <v>19.5</v>
      </c>
      <c r="F18" s="3" t="n">
        <v>18</v>
      </c>
      <c r="G18" s="3" t="n">
        <v>17</v>
      </c>
      <c r="H18" s="3" t="n">
        <v>16</v>
      </c>
      <c r="I18" s="3" t="n">
        <v>15</v>
      </c>
      <c r="J18" s="3" t="n">
        <v>14</v>
      </c>
      <c r="K18" s="3" t="n">
        <v>13</v>
      </c>
      <c r="L18" s="3" t="n">
        <v>12.5</v>
      </c>
    </row>
    <row r="19" customFormat="false" ht="15" hidden="false" customHeight="false" outlineLevel="0" collapsed="false">
      <c r="A19" s="0" t="s">
        <v>104</v>
      </c>
      <c r="C19" s="3" t="n">
        <v>45.5</v>
      </c>
      <c r="D19" s="3" t="n">
        <v>45.5</v>
      </c>
      <c r="E19" s="3" t="n">
        <v>45.5</v>
      </c>
      <c r="F19" s="3" t="n">
        <v>45.5</v>
      </c>
      <c r="G19" s="3" t="n">
        <v>45.5</v>
      </c>
      <c r="H19" s="3" t="n">
        <v>45.5</v>
      </c>
      <c r="I19" s="3" t="n">
        <v>45.5</v>
      </c>
      <c r="J19" s="3" t="n">
        <v>45.5</v>
      </c>
      <c r="K19" s="3" t="n">
        <v>45.5</v>
      </c>
      <c r="L19" s="3" t="n">
        <v>45.5</v>
      </c>
    </row>
    <row r="20" customFormat="false" ht="15" hidden="false" customHeight="false" outlineLevel="0" collapsed="false">
      <c r="A20" s="0" t="s">
        <v>105</v>
      </c>
      <c r="B20" s="3" t="n">
        <v>8.5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11</v>
      </c>
    </row>
    <row r="23" customFormat="false" ht="15" hidden="false" customHeight="false" outlineLevel="0" collapsed="false">
      <c r="A23" s="0" t="s">
        <v>108</v>
      </c>
      <c r="B23" s="3" t="n">
        <v>-10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-6</v>
      </c>
      <c r="D27" s="3" t="n">
        <v>2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52.3</v>
      </c>
      <c r="D28" s="3" t="n">
        <v>52.3</v>
      </c>
      <c r="E28" s="3" t="n">
        <v>52.8</v>
      </c>
      <c r="F28" s="3" t="n">
        <v>52.8</v>
      </c>
      <c r="G28" s="3" t="n">
        <v>52.8</v>
      </c>
      <c r="H28" s="3" t="n">
        <v>52.8</v>
      </c>
      <c r="I28" s="3" t="n">
        <v>52.8</v>
      </c>
      <c r="J28" s="3" t="n">
        <v>52.8</v>
      </c>
      <c r="K28" s="3" t="n">
        <v>52.8</v>
      </c>
      <c r="L28" s="3" t="n">
        <v>52.8</v>
      </c>
    </row>
    <row r="29" customFormat="false" ht="15" hidden="false" customHeight="false" outlineLevel="0" collapsed="false">
      <c r="A29" s="0" t="s">
        <v>100</v>
      </c>
      <c r="C29" s="3" t="n">
        <v>0.32</v>
      </c>
      <c r="D29" s="3" t="n">
        <v>0.32</v>
      </c>
      <c r="E29" s="3" t="n">
        <v>0.32</v>
      </c>
      <c r="F29" s="3" t="n">
        <v>0.32</v>
      </c>
      <c r="G29" s="3" t="n">
        <v>0.32</v>
      </c>
      <c r="H29" s="3" t="n">
        <v>0.32</v>
      </c>
      <c r="I29" s="3" t="n">
        <v>0.32</v>
      </c>
      <c r="J29" s="3" t="n">
        <v>0.32</v>
      </c>
      <c r="K29" s="3" t="n">
        <v>0.32</v>
      </c>
      <c r="L29" s="3" t="n">
        <v>0.32</v>
      </c>
    </row>
    <row r="30" customFormat="false" ht="15" hidden="false" customHeight="false" outlineLevel="0" collapsed="false">
      <c r="A30" s="0" t="s">
        <v>101</v>
      </c>
      <c r="C30" s="3" t="n">
        <v>1.9</v>
      </c>
      <c r="D30" s="3" t="n">
        <v>1.9</v>
      </c>
      <c r="E30" s="3" t="n">
        <v>1.9</v>
      </c>
      <c r="F30" s="3" t="n">
        <v>1.9</v>
      </c>
      <c r="G30" s="3" t="n">
        <v>1.9</v>
      </c>
      <c r="H30" s="3" t="n">
        <v>1.9</v>
      </c>
      <c r="I30" s="3" t="n">
        <v>1.9</v>
      </c>
      <c r="J30" s="3" t="n">
        <v>1.9</v>
      </c>
      <c r="K30" s="3" t="n">
        <v>1.9</v>
      </c>
      <c r="L30" s="3" t="n">
        <v>1.9</v>
      </c>
    </row>
    <row r="31" customFormat="false" ht="15" hidden="false" customHeight="false" outlineLevel="0" collapsed="false">
      <c r="A31" s="0" t="s">
        <v>102</v>
      </c>
      <c r="C31" s="3" t="n">
        <v>9.4</v>
      </c>
      <c r="D31" s="3" t="n">
        <v>9.7</v>
      </c>
      <c r="E31" s="3" t="n">
        <v>9.9</v>
      </c>
      <c r="F31" s="3" t="n">
        <v>10</v>
      </c>
      <c r="G31" s="3" t="n">
        <v>10</v>
      </c>
      <c r="H31" s="3" t="n">
        <v>10</v>
      </c>
      <c r="I31" s="3" t="n">
        <v>10</v>
      </c>
      <c r="J31" s="3" t="n">
        <v>10</v>
      </c>
      <c r="K31" s="3" t="n">
        <v>10</v>
      </c>
      <c r="L31" s="3" t="n">
        <v>10</v>
      </c>
    </row>
    <row r="32" customFormat="false" ht="15" hidden="false" customHeight="false" outlineLevel="0" collapsed="false">
      <c r="A32" s="0" t="s">
        <v>103</v>
      </c>
      <c r="C32" s="3" t="n">
        <v>19.9</v>
      </c>
      <c r="D32" s="3" t="n">
        <v>19.5</v>
      </c>
      <c r="E32" s="3" t="n">
        <v>18.8</v>
      </c>
      <c r="F32" s="3" t="n">
        <v>18</v>
      </c>
      <c r="G32" s="3" t="n">
        <v>17.3</v>
      </c>
      <c r="H32" s="3" t="n">
        <v>16.3</v>
      </c>
      <c r="I32" s="3" t="n">
        <v>15</v>
      </c>
      <c r="J32" s="3" t="n">
        <v>13.7</v>
      </c>
      <c r="K32" s="3" t="n">
        <v>12.6</v>
      </c>
      <c r="L32" s="3" t="n">
        <v>12</v>
      </c>
    </row>
    <row r="33" customFormat="false" ht="15" hidden="false" customHeight="false" outlineLevel="0" collapsed="false">
      <c r="A33" s="0" t="s">
        <v>104</v>
      </c>
      <c r="C33" s="3" t="n">
        <v>46</v>
      </c>
      <c r="D33" s="3" t="n">
        <v>46</v>
      </c>
      <c r="E33" s="3" t="n">
        <v>46</v>
      </c>
      <c r="F33" s="3" t="n">
        <v>46</v>
      </c>
      <c r="G33" s="3" t="n">
        <v>46</v>
      </c>
      <c r="H33" s="3" t="n">
        <v>46</v>
      </c>
      <c r="I33" s="3" t="n">
        <v>46</v>
      </c>
      <c r="J33" s="3" t="n">
        <v>46</v>
      </c>
      <c r="K33" s="3" t="n">
        <v>46</v>
      </c>
      <c r="L33" s="3" t="n">
        <v>46</v>
      </c>
    </row>
    <row r="34" customFormat="false" ht="15" hidden="false" customHeight="false" outlineLevel="0" collapsed="false">
      <c r="A34" s="0" t="s">
        <v>105</v>
      </c>
      <c r="B34" s="3" t="n">
        <v>8.5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0</v>
      </c>
      <c r="D41" s="3" t="n">
        <v>5</v>
      </c>
      <c r="E41" s="3" t="n">
        <v>6</v>
      </c>
      <c r="F41" s="3" t="n">
        <v>6</v>
      </c>
      <c r="G41" s="3" t="n">
        <v>5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55.3</v>
      </c>
      <c r="D42" s="3" t="n">
        <v>55.8</v>
      </c>
      <c r="E42" s="3" t="n">
        <v>56.3</v>
      </c>
      <c r="F42" s="3" t="n">
        <v>56.3</v>
      </c>
      <c r="G42" s="3" t="n">
        <v>56.3</v>
      </c>
      <c r="H42" s="3" t="n">
        <v>56.3</v>
      </c>
      <c r="I42" s="3" t="n">
        <v>56.3</v>
      </c>
      <c r="J42" s="3" t="n">
        <v>56.3</v>
      </c>
      <c r="K42" s="3" t="n">
        <v>56.3</v>
      </c>
      <c r="L42" s="3" t="n">
        <v>56.3</v>
      </c>
    </row>
    <row r="43" customFormat="false" ht="15" hidden="false" customHeight="false" outlineLevel="0" collapsed="false">
      <c r="A43" s="0" t="s">
        <v>100</v>
      </c>
      <c r="C43" s="3" t="n">
        <v>0.32</v>
      </c>
      <c r="D43" s="3" t="n">
        <v>0.32</v>
      </c>
      <c r="E43" s="3" t="n">
        <v>0.32</v>
      </c>
      <c r="F43" s="3" t="n">
        <v>0.32</v>
      </c>
      <c r="G43" s="3" t="n">
        <v>0.32</v>
      </c>
      <c r="H43" s="3" t="n">
        <v>0.32</v>
      </c>
      <c r="I43" s="3" t="n">
        <v>0.32</v>
      </c>
      <c r="J43" s="3" t="n">
        <v>0.32</v>
      </c>
      <c r="K43" s="3" t="n">
        <v>0.32</v>
      </c>
      <c r="L43" s="3" t="n">
        <v>0.32</v>
      </c>
    </row>
    <row r="44" customFormat="false" ht="15" hidden="false" customHeight="false" outlineLevel="0" collapsed="false">
      <c r="A44" s="0" t="s">
        <v>101</v>
      </c>
      <c r="C44" s="3" t="n">
        <v>1.8</v>
      </c>
      <c r="D44" s="3" t="n">
        <v>1.8</v>
      </c>
      <c r="E44" s="3" t="n">
        <v>1.8</v>
      </c>
      <c r="F44" s="3" t="n">
        <v>1.8</v>
      </c>
      <c r="G44" s="3" t="n">
        <v>1.8</v>
      </c>
      <c r="H44" s="3" t="n">
        <v>1.8</v>
      </c>
      <c r="I44" s="3" t="n">
        <v>1.8</v>
      </c>
      <c r="J44" s="3" t="n">
        <v>1.8</v>
      </c>
      <c r="K44" s="3" t="n">
        <v>1.8</v>
      </c>
      <c r="L44" s="3" t="n">
        <v>1.8</v>
      </c>
    </row>
    <row r="45" customFormat="false" ht="15" hidden="false" customHeight="false" outlineLevel="0" collapsed="false">
      <c r="A45" s="0" t="s">
        <v>102</v>
      </c>
      <c r="C45" s="3" t="n">
        <v>8.9</v>
      </c>
      <c r="D45" s="3" t="n">
        <v>9.1</v>
      </c>
      <c r="E45" s="3" t="n">
        <v>9.3</v>
      </c>
      <c r="F45" s="3" t="n">
        <v>9.4</v>
      </c>
      <c r="G45" s="3" t="n">
        <v>9.4</v>
      </c>
      <c r="H45" s="3" t="n">
        <v>9.4</v>
      </c>
      <c r="I45" s="3" t="n">
        <v>9.4</v>
      </c>
      <c r="J45" s="3" t="n">
        <v>9.4</v>
      </c>
      <c r="K45" s="3" t="n">
        <v>9.4</v>
      </c>
      <c r="L45" s="3" t="n">
        <v>9.4</v>
      </c>
    </row>
    <row r="46" customFormat="false" ht="15" hidden="false" customHeight="false" outlineLevel="0" collapsed="false">
      <c r="A46" s="0" t="s">
        <v>103</v>
      </c>
      <c r="C46" s="3" t="n">
        <v>18.7</v>
      </c>
      <c r="D46" s="3" t="n">
        <v>18.3</v>
      </c>
      <c r="E46" s="3" t="n">
        <v>17.8</v>
      </c>
      <c r="F46" s="3" t="n">
        <v>17.3</v>
      </c>
      <c r="G46" s="3" t="n">
        <v>16.8</v>
      </c>
      <c r="H46" s="3" t="n">
        <v>15.8</v>
      </c>
      <c r="I46" s="3" t="n">
        <v>14.5</v>
      </c>
      <c r="J46" s="3" t="n">
        <v>13.3</v>
      </c>
      <c r="K46" s="3" t="n">
        <v>12.5</v>
      </c>
      <c r="L46" s="3" t="n">
        <v>12</v>
      </c>
    </row>
    <row r="47" customFormat="false" ht="15" hidden="false" customHeight="false" outlineLevel="0" collapsed="false">
      <c r="A47" s="0" t="s">
        <v>104</v>
      </c>
      <c r="C47" s="3" t="n">
        <v>46.5</v>
      </c>
      <c r="D47" s="3" t="n">
        <v>46.5</v>
      </c>
      <c r="E47" s="3" t="n">
        <v>46.5</v>
      </c>
      <c r="F47" s="3" t="n">
        <v>46.5</v>
      </c>
      <c r="G47" s="3" t="n">
        <v>46.5</v>
      </c>
      <c r="H47" s="3" t="n">
        <v>46.5</v>
      </c>
      <c r="I47" s="3" t="n">
        <v>46.5</v>
      </c>
      <c r="J47" s="3" t="n">
        <v>46.5</v>
      </c>
      <c r="K47" s="3" t="n">
        <v>46.5</v>
      </c>
      <c r="L47" s="3" t="n">
        <v>46.5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-10</v>
      </c>
    </row>
    <row r="52" customFormat="false" ht="15" hidden="false" customHeight="false" outlineLevel="0" collapsed="false">
      <c r="A52" s="0" t="s">
        <v>109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-15</v>
      </c>
      <c r="D5" s="4" t="n">
        <f aca="false">Assumptions!D13</f>
        <v>-2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58760</v>
      </c>
      <c r="C6" s="0" t="n">
        <f aca="false">B6*(1+C5/100)</f>
        <v>49946</v>
      </c>
      <c r="D6" s="0" t="n">
        <f aca="false">C6*(1+D5/100)</f>
        <v>48947.08</v>
      </c>
      <c r="E6" s="0" t="n">
        <f aca="false">D6*(1+E5/100)</f>
        <v>49926.0216</v>
      </c>
      <c r="F6" s="0" t="n">
        <f aca="false">E6*(1+F5/100)</f>
        <v>51423.802248</v>
      </c>
      <c r="G6" s="0" t="n">
        <f aca="false">F6*(1+G5/100)</f>
        <v>52966.51631544</v>
      </c>
      <c r="H6" s="0" t="n">
        <f aca="false">G6*(1+H5/100)</f>
        <v>54555.5118049032</v>
      </c>
      <c r="I6" s="0" t="n">
        <f aca="false">H6*(1+I5/100)</f>
        <v>55919.3996000258</v>
      </c>
      <c r="J6" s="0" t="n">
        <f aca="false">I6*(1+J5/100)</f>
        <v>57317.3845900264</v>
      </c>
      <c r="K6" s="0" t="n">
        <f aca="false">J6*(1+K5/100)</f>
        <v>58463.7322818269</v>
      </c>
      <c r="L6" s="0" t="n">
        <f aca="false">K6*(1+L5/100)</f>
        <v>59633.0069274635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46.3</v>
      </c>
      <c r="D7" s="4" t="n">
        <f aca="false">Assumptions!D14</f>
        <v>46.3</v>
      </c>
      <c r="E7" s="4" t="n">
        <f aca="false">Assumptions!E14</f>
        <v>46.8</v>
      </c>
      <c r="F7" s="4" t="n">
        <f aca="false">Assumptions!F14</f>
        <v>47.3</v>
      </c>
      <c r="G7" s="4" t="n">
        <f aca="false">Assumptions!G14</f>
        <v>47.3</v>
      </c>
      <c r="H7" s="4" t="n">
        <f aca="false">Assumptions!H14</f>
        <v>47.3</v>
      </c>
      <c r="I7" s="4" t="n">
        <f aca="false">Assumptions!I14</f>
        <v>47.3</v>
      </c>
      <c r="J7" s="4" t="n">
        <f aca="false">Assumptions!J14</f>
        <v>47.3</v>
      </c>
      <c r="K7" s="4" t="n">
        <f aca="false">Assumptions!K14</f>
        <v>47.3</v>
      </c>
      <c r="L7" s="4" t="n">
        <f aca="false">Assumptions!L14</f>
        <v>47.3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23124.998</v>
      </c>
      <c r="D8" s="0" t="n">
        <f aca="false">D6*D7/100</f>
        <v>22662.49804</v>
      </c>
      <c r="E8" s="0" t="n">
        <f aca="false">E6*E7/100</f>
        <v>23365.3781088</v>
      </c>
      <c r="F8" s="0" t="n">
        <f aca="false">F6*F7/100</f>
        <v>24323.458463304</v>
      </c>
      <c r="G8" s="0" t="n">
        <f aca="false">G6*G7/100</f>
        <v>25053.1622172031</v>
      </c>
      <c r="H8" s="0" t="n">
        <f aca="false">H6*H7/100</f>
        <v>25804.7570837192</v>
      </c>
      <c r="I8" s="0" t="n">
        <f aca="false">I6*I7/100</f>
        <v>26449.8760108122</v>
      </c>
      <c r="J8" s="0" t="n">
        <f aca="false">J6*J7/100</f>
        <v>27111.1229110825</v>
      </c>
      <c r="K8" s="0" t="n">
        <f aca="false">K6*K7/100</f>
        <v>27653.3453693041</v>
      </c>
      <c r="L8" s="0" t="n">
        <f aca="false">L6*L7/100</f>
        <v>28206.4122766902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0.32</v>
      </c>
      <c r="D9" s="4" t="n">
        <f aca="false">Assumptions!D15</f>
        <v>0.32</v>
      </c>
      <c r="E9" s="4" t="n">
        <f aca="false">Assumptions!E15</f>
        <v>0.32</v>
      </c>
      <c r="F9" s="4" t="n">
        <f aca="false">Assumptions!F15</f>
        <v>0.32</v>
      </c>
      <c r="G9" s="4" t="n">
        <f aca="false">Assumptions!G15</f>
        <v>0.32</v>
      </c>
      <c r="H9" s="4" t="n">
        <f aca="false">Assumptions!H15</f>
        <v>0.32</v>
      </c>
      <c r="I9" s="4" t="n">
        <f aca="false">Assumptions!I15</f>
        <v>0.32</v>
      </c>
      <c r="J9" s="4" t="n">
        <f aca="false">Assumptions!J15</f>
        <v>0.32</v>
      </c>
      <c r="K9" s="4" t="n">
        <f aca="false">Assumptions!K15</f>
        <v>0.32</v>
      </c>
      <c r="L9" s="4" t="n">
        <f aca="false">Assumptions!L15</f>
        <v>0.32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-159.8272</v>
      </c>
      <c r="D10" s="0" t="n">
        <f aca="false">-D6*D9/100</f>
        <v>-156.630656</v>
      </c>
      <c r="E10" s="0" t="n">
        <f aca="false">-E6*E9/100</f>
        <v>-159.76326912</v>
      </c>
      <c r="F10" s="0" t="n">
        <f aca="false">-F6*F9/100</f>
        <v>-164.5561671936</v>
      </c>
      <c r="G10" s="0" t="n">
        <f aca="false">-G6*G9/100</f>
        <v>-169.492852209408</v>
      </c>
      <c r="H10" s="0" t="n">
        <f aca="false">-H6*H9/100</f>
        <v>-174.57763777569</v>
      </c>
      <c r="I10" s="0" t="n">
        <f aca="false">-I6*I9/100</f>
        <v>-178.942078720083</v>
      </c>
      <c r="J10" s="0" t="n">
        <f aca="false">-J6*J9/100</f>
        <v>-183.415630688085</v>
      </c>
      <c r="K10" s="0" t="n">
        <f aca="false">-K6*K9/100</f>
        <v>-187.083943301846</v>
      </c>
      <c r="L10" s="0" t="n">
        <f aca="false">-L6*L9/100</f>
        <v>-190.825622167883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21916.3048</v>
      </c>
      <c r="D11" s="0" t="n">
        <f aca="false">D8+D10+D24</f>
        <v>21477.978704</v>
      </c>
      <c r="E11" s="0" t="n">
        <f aca="false">E8+E10+E24</f>
        <v>22157.16838608</v>
      </c>
      <c r="F11" s="0" t="n">
        <f aca="false">F8+F10+F24</f>
        <v>23079.0024489024</v>
      </c>
      <c r="G11" s="0" t="n">
        <f aca="false">G8+G10+G24</f>
        <v>23771.3725223695</v>
      </c>
      <c r="H11" s="0" t="n">
        <f aca="false">H8+H10+H24</f>
        <v>24484.5136980406</v>
      </c>
      <c r="I11" s="0" t="n">
        <f aca="false">I8+I10+I24</f>
        <v>25096.6265404916</v>
      </c>
      <c r="J11" s="0" t="n">
        <f aca="false">J8+J10+J24</f>
        <v>25724.0422040039</v>
      </c>
      <c r="K11" s="0" t="n">
        <f aca="false">K8+K10+K24</f>
        <v>26238.5230480839</v>
      </c>
      <c r="L11" s="0" t="n">
        <f aca="false">L8+L10+L24</f>
        <v>26763.2935090456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-5194.384</v>
      </c>
      <c r="D12" s="4" t="n">
        <f aca="false">-D6*Assumptions!D17/100</f>
        <v>-5237.33756</v>
      </c>
      <c r="E12" s="4" t="n">
        <f aca="false">-E6*Assumptions!E17/100</f>
        <v>-5441.9363544</v>
      </c>
      <c r="F12" s="4" t="n">
        <f aca="false">-F6*Assumptions!F17/100</f>
        <v>-5656.61824728</v>
      </c>
      <c r="G12" s="4" t="n">
        <f aca="false">-G6*Assumptions!G17/100</f>
        <v>-5826.3167946984</v>
      </c>
      <c r="H12" s="4" t="n">
        <f aca="false">-H6*Assumptions!H17/100</f>
        <v>-6001.10629853935</v>
      </c>
      <c r="I12" s="4" t="n">
        <f aca="false">-I6*Assumptions!I17/100</f>
        <v>-6151.13395600284</v>
      </c>
      <c r="J12" s="4" t="n">
        <f aca="false">-J6*Assumptions!J17/100</f>
        <v>-6304.91230490291</v>
      </c>
      <c r="K12" s="4" t="n">
        <f aca="false">-K6*Assumptions!K17/100</f>
        <v>-6431.01055100096</v>
      </c>
      <c r="L12" s="4" t="n">
        <f aca="false">-L6*Assumptions!L17/100</f>
        <v>-6559.63076202098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16721.9208</v>
      </c>
      <c r="D13" s="0" t="n">
        <f aca="false">D11+D12</f>
        <v>16240.641144</v>
      </c>
      <c r="E13" s="0" t="n">
        <f aca="false">E11+E12</f>
        <v>16715.23203168</v>
      </c>
      <c r="F13" s="0" t="n">
        <f aca="false">F11+F12</f>
        <v>17422.3842016224</v>
      </c>
      <c r="G13" s="0" t="n">
        <f aca="false">G11+G12</f>
        <v>17945.0557276711</v>
      </c>
      <c r="H13" s="0" t="n">
        <f aca="false">H11+H12</f>
        <v>18483.4073995012</v>
      </c>
      <c r="I13" s="0" t="n">
        <f aca="false">I11+I12</f>
        <v>18945.4925844887</v>
      </c>
      <c r="J13" s="0" t="n">
        <f aca="false">J11+J12</f>
        <v>19419.1298991009</v>
      </c>
      <c r="K13" s="0" t="n">
        <f aca="false">K11+K12</f>
        <v>19807.512497083</v>
      </c>
      <c r="L13" s="0" t="n">
        <f aca="false">L11+L12</f>
        <v>20203.6627470246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45.5</v>
      </c>
      <c r="D14" s="4" t="n">
        <f aca="false">Assumptions!D19</f>
        <v>45.5</v>
      </c>
      <c r="E14" s="4" t="n">
        <f aca="false">Assumptions!E19</f>
        <v>45.5</v>
      </c>
      <c r="F14" s="4" t="n">
        <f aca="false">Assumptions!F19</f>
        <v>45.5</v>
      </c>
      <c r="G14" s="4" t="n">
        <f aca="false">Assumptions!G19</f>
        <v>45.5</v>
      </c>
      <c r="H14" s="4" t="n">
        <f aca="false">Assumptions!H19</f>
        <v>45.5</v>
      </c>
      <c r="I14" s="4" t="n">
        <f aca="false">Assumptions!I19</f>
        <v>45.5</v>
      </c>
      <c r="J14" s="4" t="n">
        <f aca="false">Assumptions!J19</f>
        <v>45.5</v>
      </c>
      <c r="K14" s="4" t="n">
        <f aca="false">Assumptions!K19</f>
        <v>45.5</v>
      </c>
      <c r="L14" s="4" t="n">
        <f aca="false">Assumptions!L19</f>
        <v>45.5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9113.446836</v>
      </c>
      <c r="D15" s="0" t="n">
        <f aca="false">D13-MAX(0,D13)*D14/100</f>
        <v>8851.14942348</v>
      </c>
      <c r="E15" s="0" t="n">
        <f aca="false">E13-MAX(0,E13)*E14/100</f>
        <v>9109.8014572656</v>
      </c>
      <c r="F15" s="0" t="n">
        <f aca="false">F13-MAX(0,F13)*F14/100</f>
        <v>9495.19938988421</v>
      </c>
      <c r="G15" s="0" t="n">
        <f aca="false">G13-MAX(0,G13)*G14/100</f>
        <v>9780.05537158073</v>
      </c>
      <c r="H15" s="0" t="n">
        <f aca="false">H13-MAX(0,H13)*H14/100</f>
        <v>10073.4570327282</v>
      </c>
      <c r="I15" s="0" t="n">
        <f aca="false">I13-MAX(0,I13)*I14/100</f>
        <v>10325.2934585464</v>
      </c>
      <c r="J15" s="0" t="n">
        <f aca="false">J13-MAX(0,J13)*J14/100</f>
        <v>10583.42579501</v>
      </c>
      <c r="K15" s="0" t="n">
        <f aca="false">K13-MAX(0,K13)*K14/100</f>
        <v>10795.0943109102</v>
      </c>
      <c r="L15" s="0" t="n">
        <f aca="false">L13-MAX(0,L13)*L14/100</f>
        <v>11010.9961971284</v>
      </c>
    </row>
    <row r="16" customFormat="false" ht="15" hidden="false" customHeight="false" outlineLevel="0" collapsed="false">
      <c r="A16" s="0" t="s">
        <v>120</v>
      </c>
      <c r="C16" s="0" t="n">
        <f aca="false">-C12</f>
        <v>5194.384</v>
      </c>
      <c r="D16" s="0" t="n">
        <f aca="false">-D12</f>
        <v>5237.33756</v>
      </c>
      <c r="E16" s="0" t="n">
        <f aca="false">-E12</f>
        <v>5441.9363544</v>
      </c>
      <c r="F16" s="0" t="n">
        <f aca="false">-F12</f>
        <v>5656.61824728</v>
      </c>
      <c r="G16" s="0" t="n">
        <f aca="false">-G12</f>
        <v>5826.3167946984</v>
      </c>
      <c r="H16" s="0" t="n">
        <f aca="false">-H12</f>
        <v>6001.10629853935</v>
      </c>
      <c r="I16" s="0" t="n">
        <f aca="false">-I12</f>
        <v>6151.13395600284</v>
      </c>
      <c r="J16" s="0" t="n">
        <f aca="false">-J12</f>
        <v>6304.91230490291</v>
      </c>
      <c r="K16" s="0" t="n">
        <f aca="false">-K12</f>
        <v>6431.01055100096</v>
      </c>
      <c r="L16" s="0" t="n">
        <f aca="false">-L12</f>
        <v>6559.63076202098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-10738.39</v>
      </c>
      <c r="D17" s="4" t="n">
        <f aca="false">-D6*Assumptions!D18/100</f>
        <v>-10278.8868</v>
      </c>
      <c r="E17" s="4" t="n">
        <f aca="false">-E6*Assumptions!E18/100</f>
        <v>-9735.574212</v>
      </c>
      <c r="F17" s="4" t="n">
        <f aca="false">-F6*Assumptions!F18/100</f>
        <v>-9256.28440464</v>
      </c>
      <c r="G17" s="4" t="n">
        <f aca="false">-G6*Assumptions!G18/100</f>
        <v>-9004.3077736248</v>
      </c>
      <c r="H17" s="4" t="n">
        <f aca="false">-H6*Assumptions!H18/100</f>
        <v>-8728.88188878451</v>
      </c>
      <c r="I17" s="4" t="n">
        <f aca="false">-I6*Assumptions!I18/100</f>
        <v>-8387.90994000387</v>
      </c>
      <c r="J17" s="4" t="n">
        <f aca="false">-J6*Assumptions!J18/100</f>
        <v>-8024.4338426037</v>
      </c>
      <c r="K17" s="4" t="n">
        <f aca="false">-K6*Assumptions!K18/100</f>
        <v>-7600.2851966375</v>
      </c>
      <c r="L17" s="4" t="n">
        <f aca="false">-L6*Assumptions!L18/100</f>
        <v>-7454.12586593294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881.4</v>
      </c>
      <c r="D18" s="4" t="n">
        <f aca="false">(D6-C6)*Assumptions!$B$23/100</f>
        <v>99.8919999999998</v>
      </c>
      <c r="E18" s="4" t="n">
        <f aca="false">(E6-D6)*Assumptions!$B$23/100</f>
        <v>-97.8941599999998</v>
      </c>
      <c r="F18" s="4" t="n">
        <f aca="false">(F6-E6)*Assumptions!$B$23/100</f>
        <v>-149.7780648</v>
      </c>
      <c r="G18" s="4" t="n">
        <f aca="false">(G6-F6)*Assumptions!$B$23/100</f>
        <v>-154.271406744</v>
      </c>
      <c r="H18" s="4" t="n">
        <f aca="false">(H6-G6)*Assumptions!$B$23/100</f>
        <v>-158.89954894632</v>
      </c>
      <c r="I18" s="4" t="n">
        <f aca="false">(I6-H6)*Assumptions!$B$23/100</f>
        <v>-136.388779512257</v>
      </c>
      <c r="J18" s="4" t="n">
        <f aca="false">(J6-I6)*Assumptions!$B$23/100</f>
        <v>-139.798499000064</v>
      </c>
      <c r="K18" s="4" t="n">
        <f aca="false">(K6-J6)*Assumptions!$B$23/100</f>
        <v>-114.634769180053</v>
      </c>
      <c r="L18" s="4" t="n">
        <f aca="false">(L6-K6)*Assumptions!$B$23/100</f>
        <v>-116.927464563654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4450.840836</v>
      </c>
      <c r="D19" s="0" t="n">
        <f aca="false">D15+D16+D17+D18</f>
        <v>3909.49218348</v>
      </c>
      <c r="E19" s="0" t="n">
        <f aca="false">E15+E16+E17+E18</f>
        <v>4718.2694396656</v>
      </c>
      <c r="F19" s="0" t="n">
        <f aca="false">F15+F16+F17+F18</f>
        <v>5745.75516772421</v>
      </c>
      <c r="G19" s="0" t="n">
        <f aca="false">G15+G16+G17+G18</f>
        <v>6447.79298591033</v>
      </c>
      <c r="H19" s="0" t="n">
        <f aca="false">H15+H16+H17+H18</f>
        <v>7186.78189353668</v>
      </c>
      <c r="I19" s="0" t="n">
        <f aca="false">I15+I16+I17+I18</f>
        <v>7952.12869503307</v>
      </c>
      <c r="J19" s="0" t="n">
        <f aca="false">J15+J16+J17+J18</f>
        <v>8724.10575830916</v>
      </c>
      <c r="K19" s="0" t="n">
        <f aca="false">K15+K16+K17+K18</f>
        <v>9511.18489609363</v>
      </c>
      <c r="L19" s="0" t="n">
        <f aca="false">L15+L16+L17+L18</f>
        <v>9999.57362865282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4102.15745253456</v>
      </c>
      <c r="D21" s="0" t="n">
        <f aca="false">D19*D20</f>
        <v>3320.93880394997</v>
      </c>
      <c r="E21" s="0" t="n">
        <f aca="false">E19*E20</f>
        <v>3693.97135489242</v>
      </c>
      <c r="F21" s="0" t="n">
        <f aca="false">F19*F20</f>
        <v>4145.98917272949</v>
      </c>
      <c r="G21" s="0" t="n">
        <f aca="false">G19*G20</f>
        <v>4288.07521559095</v>
      </c>
      <c r="H21" s="0" t="n">
        <f aca="false">H19*H20</f>
        <v>4405.10267877306</v>
      </c>
      <c r="I21" s="0" t="n">
        <f aca="false">I19*I20</f>
        <v>4492.36704456021</v>
      </c>
      <c r="J21" s="0" t="n">
        <f aca="false">J19*J20</f>
        <v>4542.37532700186</v>
      </c>
      <c r="K21" s="0" t="n">
        <f aca="false">K19*K20</f>
        <v>4564.22431979864</v>
      </c>
      <c r="L21" s="0" t="n">
        <f aca="false">L19*L20</f>
        <v>4422.6655725407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2.1</v>
      </c>
      <c r="D23" s="4" t="n">
        <f aca="false">Assumptions!D16</f>
        <v>2.1</v>
      </c>
      <c r="E23" s="4" t="n">
        <f aca="false">Assumptions!E16</f>
        <v>2.1</v>
      </c>
      <c r="F23" s="4" t="n">
        <f aca="false">Assumptions!F16</f>
        <v>2.1</v>
      </c>
      <c r="G23" s="4" t="n">
        <f aca="false">Assumptions!G16</f>
        <v>2.1</v>
      </c>
      <c r="H23" s="4" t="n">
        <f aca="false">Assumptions!H16</f>
        <v>2.1</v>
      </c>
      <c r="I23" s="4" t="n">
        <f aca="false">Assumptions!I16</f>
        <v>2.1</v>
      </c>
      <c r="J23" s="4" t="n">
        <f aca="false">Assumptions!J16</f>
        <v>2.1</v>
      </c>
      <c r="K23" s="4" t="n">
        <f aca="false">Assumptions!K16</f>
        <v>2.1</v>
      </c>
      <c r="L23" s="4" t="n">
        <f aca="false">Assumptions!L16</f>
        <v>2.1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-1048.866</v>
      </c>
      <c r="D24" s="0" t="n">
        <f aca="false">-D6*D23/100</f>
        <v>-1027.88868</v>
      </c>
      <c r="E24" s="0" t="n">
        <f aca="false">-E6*E23/100</f>
        <v>-1048.4464536</v>
      </c>
      <c r="F24" s="0" t="n">
        <f aca="false">-F6*F23/100</f>
        <v>-1079.899847208</v>
      </c>
      <c r="G24" s="0" t="n">
        <f aca="false">-G6*G23/100</f>
        <v>-1112.29684262424</v>
      </c>
      <c r="H24" s="0" t="n">
        <f aca="false">-H6*H23/100</f>
        <v>-1145.66574790297</v>
      </c>
      <c r="I24" s="0" t="n">
        <f aca="false">-I6*I23/100</f>
        <v>-1174.30739160054</v>
      </c>
      <c r="J24" s="0" t="n">
        <f aca="false">-J6*J23/100</f>
        <v>-1203.66507639055</v>
      </c>
      <c r="K24" s="0" t="n">
        <f aca="false">-K6*K23/100</f>
        <v>-1227.73837791837</v>
      </c>
      <c r="L24" s="0" t="n">
        <f aca="false">-L6*L23/100</f>
        <v>-1252.29314547673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41977.8669423719</v>
      </c>
    </row>
    <row r="31" customFormat="false" ht="15" hidden="false" customHeight="false" outlineLevel="0" collapsed="false">
      <c r="A31" s="0" t="s">
        <v>129</v>
      </c>
      <c r="B31" s="0" t="n">
        <f aca="false">L19</f>
        <v>9999.57362865282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144993.817615466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109995.309915181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109995.309915181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48649.3212979478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90627.1882403196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72674.1882403196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20.5149014486715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-0.664843956074636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1114.66850349502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1223.79114775284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21.1750157265002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75181.9795043156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8.80007748121735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-6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58760</v>
      </c>
      <c r="C6" s="0" t="n">
        <f aca="false">B6*(1+C5/100)</f>
        <v>55234.4</v>
      </c>
      <c r="D6" s="0" t="n">
        <f aca="false">C6*(1+D5/100)</f>
        <v>56339.088</v>
      </c>
      <c r="E6" s="0" t="n">
        <f aca="false">D6*(1+E5/100)</f>
        <v>58592.65152</v>
      </c>
      <c r="F6" s="0" t="n">
        <f aca="false">E6*(1+F5/100)</f>
        <v>60936.3575808</v>
      </c>
      <c r="G6" s="0" t="n">
        <f aca="false">F6*(1+G5/100)</f>
        <v>63069.130096128</v>
      </c>
      <c r="H6" s="0" t="n">
        <f aca="false">G6*(1+H5/100)</f>
        <v>65276.5496494925</v>
      </c>
      <c r="I6" s="0" t="n">
        <f aca="false">H6*(1+I5/100)</f>
        <v>67234.8461389773</v>
      </c>
      <c r="J6" s="0" t="n">
        <f aca="false">I6*(1+J5/100)</f>
        <v>69251.8915231466</v>
      </c>
      <c r="K6" s="0" t="n">
        <f aca="false">J6*(1+K5/100)</f>
        <v>70983.1888112252</v>
      </c>
      <c r="L6" s="0" t="n">
        <f aca="false">K6*(1+L5/100)</f>
        <v>72757.7685315059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52.3</v>
      </c>
      <c r="D7" s="4" t="n">
        <f aca="false">Assumptions!D28</f>
        <v>52.3</v>
      </c>
      <c r="E7" s="4" t="n">
        <f aca="false">Assumptions!E28</f>
        <v>52.8</v>
      </c>
      <c r="F7" s="4" t="n">
        <f aca="false">Assumptions!F28</f>
        <v>52.8</v>
      </c>
      <c r="G7" s="4" t="n">
        <f aca="false">Assumptions!G28</f>
        <v>52.8</v>
      </c>
      <c r="H7" s="4" t="n">
        <f aca="false">Assumptions!H28</f>
        <v>52.8</v>
      </c>
      <c r="I7" s="4" t="n">
        <f aca="false">Assumptions!I28</f>
        <v>52.8</v>
      </c>
      <c r="J7" s="4" t="n">
        <f aca="false">Assumptions!J28</f>
        <v>52.8</v>
      </c>
      <c r="K7" s="4" t="n">
        <f aca="false">Assumptions!K28</f>
        <v>52.8</v>
      </c>
      <c r="L7" s="4" t="n">
        <f aca="false">Assumptions!L28</f>
        <v>52.8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28887.5912</v>
      </c>
      <c r="D8" s="0" t="n">
        <f aca="false">D6*D7/100</f>
        <v>29465.343024</v>
      </c>
      <c r="E8" s="0" t="n">
        <f aca="false">E6*E7/100</f>
        <v>30936.92000256</v>
      </c>
      <c r="F8" s="0" t="n">
        <f aca="false">F6*F7/100</f>
        <v>32174.3968026624</v>
      </c>
      <c r="G8" s="0" t="n">
        <f aca="false">G6*G7/100</f>
        <v>33300.5006907556</v>
      </c>
      <c r="H8" s="0" t="n">
        <f aca="false">H6*H7/100</f>
        <v>34466.018214932</v>
      </c>
      <c r="I8" s="0" t="n">
        <f aca="false">I6*I7/100</f>
        <v>35499.99876138</v>
      </c>
      <c r="J8" s="0" t="n">
        <f aca="false">J6*J7/100</f>
        <v>36564.9987242214</v>
      </c>
      <c r="K8" s="0" t="n">
        <f aca="false">K6*K7/100</f>
        <v>37479.1236923269</v>
      </c>
      <c r="L8" s="0" t="n">
        <f aca="false">L6*L7/100</f>
        <v>38416.1017846351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0.32</v>
      </c>
      <c r="D9" s="4" t="n">
        <f aca="false">Assumptions!D29</f>
        <v>0.32</v>
      </c>
      <c r="E9" s="4" t="n">
        <f aca="false">Assumptions!E29</f>
        <v>0.32</v>
      </c>
      <c r="F9" s="4" t="n">
        <f aca="false">Assumptions!F29</f>
        <v>0.32</v>
      </c>
      <c r="G9" s="4" t="n">
        <f aca="false">Assumptions!G29</f>
        <v>0.32</v>
      </c>
      <c r="H9" s="4" t="n">
        <f aca="false">Assumptions!H29</f>
        <v>0.32</v>
      </c>
      <c r="I9" s="4" t="n">
        <f aca="false">Assumptions!I29</f>
        <v>0.32</v>
      </c>
      <c r="J9" s="4" t="n">
        <f aca="false">Assumptions!J29</f>
        <v>0.32</v>
      </c>
      <c r="K9" s="4" t="n">
        <f aca="false">Assumptions!K29</f>
        <v>0.32</v>
      </c>
      <c r="L9" s="4" t="n">
        <f aca="false">Assumptions!L29</f>
        <v>0.32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-176.75008</v>
      </c>
      <c r="D10" s="0" t="n">
        <f aca="false">-D6*D9/100</f>
        <v>-180.2850816</v>
      </c>
      <c r="E10" s="0" t="n">
        <f aca="false">-E6*E9/100</f>
        <v>-187.496484864</v>
      </c>
      <c r="F10" s="0" t="n">
        <f aca="false">-F6*F9/100</f>
        <v>-194.99634425856</v>
      </c>
      <c r="G10" s="0" t="n">
        <f aca="false">-G6*G9/100</f>
        <v>-201.82121630761</v>
      </c>
      <c r="H10" s="0" t="n">
        <f aca="false">-H6*H9/100</f>
        <v>-208.884958878376</v>
      </c>
      <c r="I10" s="0" t="n">
        <f aca="false">-I6*I9/100</f>
        <v>-215.151507644727</v>
      </c>
      <c r="J10" s="0" t="n">
        <f aca="false">-J6*J9/100</f>
        <v>-221.606052874069</v>
      </c>
      <c r="K10" s="0" t="n">
        <f aca="false">-K6*K9/100</f>
        <v>-227.146204195921</v>
      </c>
      <c r="L10" s="0" t="n">
        <f aca="false">-L6*L9/100</f>
        <v>-232.824859300819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27661.38752</v>
      </c>
      <c r="D11" s="0" t="n">
        <f aca="false">D8+D10+D24</f>
        <v>28214.6152704</v>
      </c>
      <c r="E11" s="0" t="n">
        <f aca="false">E8+E10+E24</f>
        <v>29636.163138816</v>
      </c>
      <c r="F11" s="0" t="n">
        <f aca="false">F8+F10+F24</f>
        <v>30821.6096643686</v>
      </c>
      <c r="G11" s="0" t="n">
        <f aca="false">G8+G10+G24</f>
        <v>31900.3660026215</v>
      </c>
      <c r="H11" s="0" t="n">
        <f aca="false">H8+H10+H24</f>
        <v>33016.8788127133</v>
      </c>
      <c r="I11" s="0" t="n">
        <f aca="false">I8+I10+I24</f>
        <v>34007.3851770947</v>
      </c>
      <c r="J11" s="0" t="n">
        <f aca="false">J8+J10+J24</f>
        <v>35027.6067324075</v>
      </c>
      <c r="K11" s="0" t="n">
        <f aca="false">K8+K10+K24</f>
        <v>35903.2969007177</v>
      </c>
      <c r="L11" s="0" t="n">
        <f aca="false">L8+L10+L24</f>
        <v>36800.8793232357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-5192.0336</v>
      </c>
      <c r="D12" s="4" t="n">
        <f aca="false">-D6*Assumptions!D31/100</f>
        <v>-5464.891536</v>
      </c>
      <c r="E12" s="4" t="n">
        <f aca="false">-E6*Assumptions!E31/100</f>
        <v>-5800.67250048</v>
      </c>
      <c r="F12" s="4" t="n">
        <f aca="false">-F6*Assumptions!F31/100</f>
        <v>-6093.63575808</v>
      </c>
      <c r="G12" s="4" t="n">
        <f aca="false">-G6*Assumptions!G31/100</f>
        <v>-6306.9130096128</v>
      </c>
      <c r="H12" s="4" t="n">
        <f aca="false">-H6*Assumptions!H31/100</f>
        <v>-6527.65496494925</v>
      </c>
      <c r="I12" s="4" t="n">
        <f aca="false">-I6*Assumptions!I31/100</f>
        <v>-6723.48461389773</v>
      </c>
      <c r="J12" s="4" t="n">
        <f aca="false">-J6*Assumptions!J31/100</f>
        <v>-6925.18915231466</v>
      </c>
      <c r="K12" s="4" t="n">
        <f aca="false">-K6*Assumptions!K31/100</f>
        <v>-7098.31888112252</v>
      </c>
      <c r="L12" s="4" t="n">
        <f aca="false">-L6*Assumptions!L31/100</f>
        <v>-7275.77685315059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22469.35392</v>
      </c>
      <c r="D13" s="0" t="n">
        <f aca="false">D11+D12</f>
        <v>22749.7237344</v>
      </c>
      <c r="E13" s="0" t="n">
        <f aca="false">E11+E12</f>
        <v>23835.490638336</v>
      </c>
      <c r="F13" s="0" t="n">
        <f aca="false">F11+F12</f>
        <v>24727.9739062886</v>
      </c>
      <c r="G13" s="0" t="n">
        <f aca="false">G11+G12</f>
        <v>25593.4529930087</v>
      </c>
      <c r="H13" s="0" t="n">
        <f aca="false">H11+H12</f>
        <v>26489.223847764</v>
      </c>
      <c r="I13" s="0" t="n">
        <f aca="false">I11+I12</f>
        <v>27283.900563197</v>
      </c>
      <c r="J13" s="0" t="n">
        <f aca="false">J11+J12</f>
        <v>28102.4175800929</v>
      </c>
      <c r="K13" s="0" t="n">
        <f aca="false">K11+K12</f>
        <v>28804.9780195952</v>
      </c>
      <c r="L13" s="0" t="n">
        <f aca="false">L11+L12</f>
        <v>29525.1024700851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46</v>
      </c>
      <c r="D14" s="4" t="n">
        <f aca="false">Assumptions!D33</f>
        <v>46</v>
      </c>
      <c r="E14" s="4" t="n">
        <f aca="false">Assumptions!E33</f>
        <v>46</v>
      </c>
      <c r="F14" s="4" t="n">
        <f aca="false">Assumptions!F33</f>
        <v>46</v>
      </c>
      <c r="G14" s="4" t="n">
        <f aca="false">Assumptions!G33</f>
        <v>46</v>
      </c>
      <c r="H14" s="4" t="n">
        <f aca="false">Assumptions!H33</f>
        <v>46</v>
      </c>
      <c r="I14" s="4" t="n">
        <f aca="false">Assumptions!I33</f>
        <v>46</v>
      </c>
      <c r="J14" s="4" t="n">
        <f aca="false">Assumptions!J33</f>
        <v>46</v>
      </c>
      <c r="K14" s="4" t="n">
        <f aca="false">Assumptions!K33</f>
        <v>46</v>
      </c>
      <c r="L14" s="4" t="n">
        <f aca="false">Assumptions!L33</f>
        <v>46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12133.4511168</v>
      </c>
      <c r="D15" s="0" t="n">
        <f aca="false">D13-MAX(0,D13)*D14/100</f>
        <v>12284.850816576</v>
      </c>
      <c r="E15" s="0" t="n">
        <f aca="false">E13-MAX(0,E13)*E14/100</f>
        <v>12871.1649447014</v>
      </c>
      <c r="F15" s="0" t="n">
        <f aca="false">F13-MAX(0,F13)*F14/100</f>
        <v>13353.1059093959</v>
      </c>
      <c r="G15" s="0" t="n">
        <f aca="false">G13-MAX(0,G13)*G14/100</f>
        <v>13820.4646162247</v>
      </c>
      <c r="H15" s="0" t="n">
        <f aca="false">H13-MAX(0,H13)*H14/100</f>
        <v>14304.1808777926</v>
      </c>
      <c r="I15" s="0" t="n">
        <f aca="false">I13-MAX(0,I13)*I14/100</f>
        <v>14733.3063041264</v>
      </c>
      <c r="J15" s="0" t="n">
        <f aca="false">J13-MAX(0,J13)*J14/100</f>
        <v>15175.3054932502</v>
      </c>
      <c r="K15" s="0" t="n">
        <f aca="false">K13-MAX(0,K13)*K14/100</f>
        <v>15554.6881305814</v>
      </c>
      <c r="L15" s="0" t="n">
        <f aca="false">L13-MAX(0,L13)*L14/100</f>
        <v>15943.5553338459</v>
      </c>
    </row>
    <row r="16" customFormat="false" ht="15" hidden="false" customHeight="false" outlineLevel="0" collapsed="false">
      <c r="A16" s="0" t="s">
        <v>120</v>
      </c>
      <c r="C16" s="0" t="n">
        <f aca="false">-C12</f>
        <v>5192.0336</v>
      </c>
      <c r="D16" s="0" t="n">
        <f aca="false">-D12</f>
        <v>5464.891536</v>
      </c>
      <c r="E16" s="0" t="n">
        <f aca="false">-E12</f>
        <v>5800.67250048</v>
      </c>
      <c r="F16" s="0" t="n">
        <f aca="false">-F12</f>
        <v>6093.63575808</v>
      </c>
      <c r="G16" s="0" t="n">
        <f aca="false">-G12</f>
        <v>6306.9130096128</v>
      </c>
      <c r="H16" s="0" t="n">
        <f aca="false">-H12</f>
        <v>6527.65496494925</v>
      </c>
      <c r="I16" s="0" t="n">
        <f aca="false">-I12</f>
        <v>6723.48461389773</v>
      </c>
      <c r="J16" s="0" t="n">
        <f aca="false">-J12</f>
        <v>6925.18915231466</v>
      </c>
      <c r="K16" s="0" t="n">
        <f aca="false">-K12</f>
        <v>7098.31888112252</v>
      </c>
      <c r="L16" s="0" t="n">
        <f aca="false">-L12</f>
        <v>7275.77685315059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-10991.6456</v>
      </c>
      <c r="D17" s="4" t="n">
        <f aca="false">-D6*Assumptions!D32/100</f>
        <v>-10986.12216</v>
      </c>
      <c r="E17" s="4" t="n">
        <f aca="false">-E6*Assumptions!E32/100</f>
        <v>-11015.41848576</v>
      </c>
      <c r="F17" s="4" t="n">
        <f aca="false">-F6*Assumptions!F32/100</f>
        <v>-10968.544364544</v>
      </c>
      <c r="G17" s="4" t="n">
        <f aca="false">-G6*Assumptions!G32/100</f>
        <v>-10910.9595066301</v>
      </c>
      <c r="H17" s="4" t="n">
        <f aca="false">-H6*Assumptions!H32/100</f>
        <v>-10640.0775928673</v>
      </c>
      <c r="I17" s="4" t="n">
        <f aca="false">-I6*Assumptions!I32/100</f>
        <v>-10085.2269208466</v>
      </c>
      <c r="J17" s="4" t="n">
        <f aca="false">-J6*Assumptions!J32/100</f>
        <v>-9487.50913867108</v>
      </c>
      <c r="K17" s="4" t="n">
        <f aca="false">-K6*Assumptions!K32/100</f>
        <v>-8943.88179021438</v>
      </c>
      <c r="L17" s="4" t="n">
        <f aca="false">-L6*Assumptions!L32/100</f>
        <v>-8730.9322237807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352.560000000001</v>
      </c>
      <c r="D18" s="4" t="n">
        <f aca="false">(D6-C6)*Assumptions!$B$37/100</f>
        <v>-110.4688</v>
      </c>
      <c r="E18" s="4" t="n">
        <f aca="false">(E6-D6)*Assumptions!$B$37/100</f>
        <v>-225.356352</v>
      </c>
      <c r="F18" s="4" t="n">
        <f aca="false">(F6-E6)*Assumptions!$B$37/100</f>
        <v>-234.37060608</v>
      </c>
      <c r="G18" s="4" t="n">
        <f aca="false">(G6-F6)*Assumptions!$B$37/100</f>
        <v>-213.2772515328</v>
      </c>
      <c r="H18" s="4" t="n">
        <f aca="false">(H6-G6)*Assumptions!$B$37/100</f>
        <v>-220.741955336447</v>
      </c>
      <c r="I18" s="4" t="n">
        <f aca="false">(I6-H6)*Assumptions!$B$37/100</f>
        <v>-195.829648948478</v>
      </c>
      <c r="J18" s="4" t="n">
        <f aca="false">(J6-I6)*Assumptions!$B$37/100</f>
        <v>-201.704538416932</v>
      </c>
      <c r="K18" s="4" t="n">
        <f aca="false">(K6-J6)*Assumptions!$B$37/100</f>
        <v>-173.129728807865</v>
      </c>
      <c r="L18" s="4" t="n">
        <f aca="false">(L6-K6)*Assumptions!$B$37/100</f>
        <v>-177.457972028063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6686.3991168</v>
      </c>
      <c r="D19" s="0" t="n">
        <f aca="false">D15+D16+D17+D18</f>
        <v>6653.15139257599</v>
      </c>
      <c r="E19" s="0" t="n">
        <f aca="false">E15+E16+E17+E18</f>
        <v>7431.06260742144</v>
      </c>
      <c r="F19" s="0" t="n">
        <f aca="false">F15+F16+F17+F18</f>
        <v>8243.82669685187</v>
      </c>
      <c r="G19" s="0" t="n">
        <f aca="false">G15+G16+G17+G18</f>
        <v>9003.14086767457</v>
      </c>
      <c r="H19" s="0" t="n">
        <f aca="false">H15+H16+H17+H18</f>
        <v>9971.01629453811</v>
      </c>
      <c r="I19" s="0" t="n">
        <f aca="false">I15+I16+I17+I18</f>
        <v>11175.734348229</v>
      </c>
      <c r="J19" s="0" t="n">
        <f aca="false">J15+J16+J17+J18</f>
        <v>12411.2809684768</v>
      </c>
      <c r="K19" s="0" t="n">
        <f aca="false">K15+K16+K17+K18</f>
        <v>13535.9954926817</v>
      </c>
      <c r="L19" s="0" t="n">
        <f aca="false">L15+L16+L17+L18</f>
        <v>14310.9419911878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6162.57983115207</v>
      </c>
      <c r="D21" s="0" t="n">
        <f aca="false">D19*D20</f>
        <v>5651.55462428677</v>
      </c>
      <c r="E21" s="0" t="n">
        <f aca="false">E19*E20</f>
        <v>5817.83909529602</v>
      </c>
      <c r="F21" s="0" t="n">
        <f aca="false">F19*F20</f>
        <v>5948.53334840993</v>
      </c>
      <c r="G21" s="0" t="n">
        <f aca="false">G19*G20</f>
        <v>5987.49762926806</v>
      </c>
      <c r="H21" s="0" t="n">
        <f aca="false">H19*H20</f>
        <v>6111.68548591428</v>
      </c>
      <c r="I21" s="0" t="n">
        <f aca="false">I19*I20</f>
        <v>6313.46682255056</v>
      </c>
      <c r="J21" s="0" t="n">
        <f aca="false">J19*J20</f>
        <v>6462.17480731496</v>
      </c>
      <c r="K21" s="0" t="n">
        <f aca="false">K19*K20</f>
        <v>6495.64912209382</v>
      </c>
      <c r="L21" s="0" t="n">
        <f aca="false">L19*L20</f>
        <v>6329.52091814141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1.9</v>
      </c>
      <c r="D23" s="4" t="n">
        <f aca="false">Assumptions!D30</f>
        <v>1.9</v>
      </c>
      <c r="E23" s="4" t="n">
        <f aca="false">Assumptions!E30</f>
        <v>1.9</v>
      </c>
      <c r="F23" s="4" t="n">
        <f aca="false">Assumptions!F30</f>
        <v>1.9</v>
      </c>
      <c r="G23" s="4" t="n">
        <f aca="false">Assumptions!G30</f>
        <v>1.9</v>
      </c>
      <c r="H23" s="4" t="n">
        <f aca="false">Assumptions!H30</f>
        <v>1.9</v>
      </c>
      <c r="I23" s="4" t="n">
        <f aca="false">Assumptions!I30</f>
        <v>1.9</v>
      </c>
      <c r="J23" s="4" t="n">
        <f aca="false">Assumptions!J30</f>
        <v>1.9</v>
      </c>
      <c r="K23" s="4" t="n">
        <f aca="false">Assumptions!K30</f>
        <v>1.9</v>
      </c>
      <c r="L23" s="4" t="n">
        <f aca="false">Assumptions!L30</f>
        <v>1.9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-1049.4536</v>
      </c>
      <c r="D24" s="0" t="n">
        <f aca="false">-D6*D23/100</f>
        <v>-1070.442672</v>
      </c>
      <c r="E24" s="0" t="n">
        <f aca="false">-E6*E23/100</f>
        <v>-1113.26037888</v>
      </c>
      <c r="F24" s="0" t="n">
        <f aca="false">-F6*F23/100</f>
        <v>-1157.7907940352</v>
      </c>
      <c r="G24" s="0" t="n">
        <f aca="false">-G6*G23/100</f>
        <v>-1198.31347182643</v>
      </c>
      <c r="H24" s="0" t="n">
        <f aca="false">-H6*H23/100</f>
        <v>-1240.25444334036</v>
      </c>
      <c r="I24" s="0" t="n">
        <f aca="false">-I6*I23/100</f>
        <v>-1277.46207664057</v>
      </c>
      <c r="J24" s="0" t="n">
        <f aca="false">-J6*J23/100</f>
        <v>-1315.78593893978</v>
      </c>
      <c r="K24" s="0" t="n">
        <f aca="false">-K6*K23/100</f>
        <v>-1348.68058741328</v>
      </c>
      <c r="L24" s="0" t="n">
        <f aca="false">-L6*L23/100</f>
        <v>-1382.39760209861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61280.5016844279</v>
      </c>
    </row>
    <row r="31" customFormat="false" ht="15" hidden="false" customHeight="false" outlineLevel="0" collapsed="false">
      <c r="A31" s="0" t="s">
        <v>129</v>
      </c>
      <c r="B31" s="0" t="n">
        <f aca="false">L19</f>
        <v>14310.9419911878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224571.705092485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200353.187876629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200353.187876629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88613.2928539798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149893.794538408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131940.794538408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37.2450310427155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-0.391520486150703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1314.70570895867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1615.91600488161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38.0723043442618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112285.852546242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15.4347129790525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58760</v>
      </c>
      <c r="C6" s="0" t="n">
        <f aca="false">B6*(1+C5/100)</f>
        <v>58760</v>
      </c>
      <c r="D6" s="0" t="n">
        <f aca="false">C6*(1+D5/100)</f>
        <v>61698</v>
      </c>
      <c r="E6" s="0" t="n">
        <f aca="false">D6*(1+E5/100)</f>
        <v>65399.88</v>
      </c>
      <c r="F6" s="0" t="n">
        <f aca="false">E6*(1+F5/100)</f>
        <v>69323.8728</v>
      </c>
      <c r="G6" s="0" t="n">
        <f aca="false">F6*(1+G5/100)</f>
        <v>72790.06644</v>
      </c>
      <c r="H6" s="0" t="n">
        <f aca="false">G6*(1+H5/100)</f>
        <v>76429.569762</v>
      </c>
      <c r="I6" s="0" t="n">
        <f aca="false">H6*(1+I5/100)</f>
        <v>79486.75255248</v>
      </c>
      <c r="J6" s="0" t="n">
        <f aca="false">I6*(1+J5/100)</f>
        <v>82666.2226545792</v>
      </c>
      <c r="K6" s="0" t="n">
        <f aca="false">J6*(1+K5/100)</f>
        <v>85146.2093342166</v>
      </c>
      <c r="L6" s="0" t="n">
        <f aca="false">K6*(1+L5/100)</f>
        <v>87700.5956142431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55.3</v>
      </c>
      <c r="D7" s="4" t="n">
        <f aca="false">Assumptions!D42</f>
        <v>55.8</v>
      </c>
      <c r="E7" s="4" t="n">
        <f aca="false">Assumptions!E42</f>
        <v>56.3</v>
      </c>
      <c r="F7" s="4" t="n">
        <f aca="false">Assumptions!F42</f>
        <v>56.3</v>
      </c>
      <c r="G7" s="4" t="n">
        <f aca="false">Assumptions!G42</f>
        <v>56.3</v>
      </c>
      <c r="H7" s="4" t="n">
        <f aca="false">Assumptions!H42</f>
        <v>56.3</v>
      </c>
      <c r="I7" s="4" t="n">
        <f aca="false">Assumptions!I42</f>
        <v>56.3</v>
      </c>
      <c r="J7" s="4" t="n">
        <f aca="false">Assumptions!J42</f>
        <v>56.3</v>
      </c>
      <c r="K7" s="4" t="n">
        <f aca="false">Assumptions!K42</f>
        <v>56.3</v>
      </c>
      <c r="L7" s="4" t="n">
        <f aca="false">Assumptions!L42</f>
        <v>56.3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32494.28</v>
      </c>
      <c r="D8" s="0" t="n">
        <f aca="false">D6*D7/100</f>
        <v>34427.484</v>
      </c>
      <c r="E8" s="0" t="n">
        <f aca="false">E6*E7/100</f>
        <v>36820.13244</v>
      </c>
      <c r="F8" s="0" t="n">
        <f aca="false">F6*F7/100</f>
        <v>39029.3403864</v>
      </c>
      <c r="G8" s="0" t="n">
        <f aca="false">G6*G7/100</f>
        <v>40980.80740572</v>
      </c>
      <c r="H8" s="0" t="n">
        <f aca="false">H6*H7/100</f>
        <v>43029.847776006</v>
      </c>
      <c r="I8" s="0" t="n">
        <f aca="false">I6*I7/100</f>
        <v>44751.0416870462</v>
      </c>
      <c r="J8" s="0" t="n">
        <f aca="false">J6*J7/100</f>
        <v>46541.0833545281</v>
      </c>
      <c r="K8" s="0" t="n">
        <f aca="false">K6*K7/100</f>
        <v>47937.315855164</v>
      </c>
      <c r="L8" s="0" t="n">
        <f aca="false">L6*L7/100</f>
        <v>49375.4353308189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0.32</v>
      </c>
      <c r="D9" s="4" t="n">
        <f aca="false">Assumptions!D43</f>
        <v>0.32</v>
      </c>
      <c r="E9" s="4" t="n">
        <f aca="false">Assumptions!E43</f>
        <v>0.32</v>
      </c>
      <c r="F9" s="4" t="n">
        <f aca="false">Assumptions!F43</f>
        <v>0.32</v>
      </c>
      <c r="G9" s="4" t="n">
        <f aca="false">Assumptions!G43</f>
        <v>0.32</v>
      </c>
      <c r="H9" s="4" t="n">
        <f aca="false">Assumptions!H43</f>
        <v>0.32</v>
      </c>
      <c r="I9" s="4" t="n">
        <f aca="false">Assumptions!I43</f>
        <v>0.32</v>
      </c>
      <c r="J9" s="4" t="n">
        <f aca="false">Assumptions!J43</f>
        <v>0.32</v>
      </c>
      <c r="K9" s="4" t="n">
        <f aca="false">Assumptions!K43</f>
        <v>0.32</v>
      </c>
      <c r="L9" s="4" t="n">
        <f aca="false">Assumptions!L43</f>
        <v>0.32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-188.032</v>
      </c>
      <c r="D10" s="0" t="n">
        <f aca="false">-D6*D9/100</f>
        <v>-197.4336</v>
      </c>
      <c r="E10" s="0" t="n">
        <f aca="false">-E6*E9/100</f>
        <v>-209.279616</v>
      </c>
      <c r="F10" s="0" t="n">
        <f aca="false">-F6*F9/100</f>
        <v>-221.83639296</v>
      </c>
      <c r="G10" s="0" t="n">
        <f aca="false">-G6*G9/100</f>
        <v>-232.928212608</v>
      </c>
      <c r="H10" s="0" t="n">
        <f aca="false">-H6*H9/100</f>
        <v>-244.5746232384</v>
      </c>
      <c r="I10" s="0" t="n">
        <f aca="false">-I6*I9/100</f>
        <v>-254.357608167936</v>
      </c>
      <c r="J10" s="0" t="n">
        <f aca="false">-J6*J9/100</f>
        <v>-264.531912494654</v>
      </c>
      <c r="K10" s="0" t="n">
        <f aca="false">-K6*K9/100</f>
        <v>-272.467869869493</v>
      </c>
      <c r="L10" s="0" t="n">
        <f aca="false">-L6*L9/100</f>
        <v>-280.641905965578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31248.568</v>
      </c>
      <c r="D11" s="0" t="n">
        <f aca="false">D8+D10+D24</f>
        <v>33119.4864</v>
      </c>
      <c r="E11" s="0" t="n">
        <f aca="false">E8+E10+E24</f>
        <v>35433.654984</v>
      </c>
      <c r="F11" s="0" t="n">
        <f aca="false">F8+F10+F24</f>
        <v>37559.67428304</v>
      </c>
      <c r="G11" s="0" t="n">
        <f aca="false">G8+G10+G24</f>
        <v>39437.657997192</v>
      </c>
      <c r="H11" s="0" t="n">
        <f aca="false">H8+H10+H24</f>
        <v>41409.5408970516</v>
      </c>
      <c r="I11" s="0" t="n">
        <f aca="false">I8+I10+I24</f>
        <v>43065.9225329337</v>
      </c>
      <c r="J11" s="0" t="n">
        <f aca="false">J8+J10+J24</f>
        <v>44788.559434251</v>
      </c>
      <c r="K11" s="0" t="n">
        <f aca="false">K8+K10+K24</f>
        <v>46132.2162172786</v>
      </c>
      <c r="L11" s="0" t="n">
        <f aca="false">L8+L10+L24</f>
        <v>47516.1827037969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-5229.64</v>
      </c>
      <c r="D12" s="4" t="n">
        <f aca="false">-D6*Assumptions!D45/100</f>
        <v>-5614.518</v>
      </c>
      <c r="E12" s="4" t="n">
        <f aca="false">-E6*Assumptions!E45/100</f>
        <v>-6082.18884</v>
      </c>
      <c r="F12" s="4" t="n">
        <f aca="false">-F6*Assumptions!F45/100</f>
        <v>-6516.4440432</v>
      </c>
      <c r="G12" s="4" t="n">
        <f aca="false">-G6*Assumptions!G45/100</f>
        <v>-6842.26624536</v>
      </c>
      <c r="H12" s="4" t="n">
        <f aca="false">-H6*Assumptions!H45/100</f>
        <v>-7184.379557628</v>
      </c>
      <c r="I12" s="4" t="n">
        <f aca="false">-I6*Assumptions!I45/100</f>
        <v>-7471.75473993312</v>
      </c>
      <c r="J12" s="4" t="n">
        <f aca="false">-J6*Assumptions!J45/100</f>
        <v>-7770.62492953045</v>
      </c>
      <c r="K12" s="4" t="n">
        <f aca="false">-K6*Assumptions!K45/100</f>
        <v>-8003.74367741636</v>
      </c>
      <c r="L12" s="4" t="n">
        <f aca="false">-L6*Assumptions!L45/100</f>
        <v>-8243.85598773885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26018.928</v>
      </c>
      <c r="D13" s="0" t="n">
        <f aca="false">D11+D12</f>
        <v>27504.9684</v>
      </c>
      <c r="E13" s="0" t="n">
        <f aca="false">E11+E12</f>
        <v>29351.466144</v>
      </c>
      <c r="F13" s="0" t="n">
        <f aca="false">F11+F12</f>
        <v>31043.23023984</v>
      </c>
      <c r="G13" s="0" t="n">
        <f aca="false">G11+G12</f>
        <v>32595.391751832</v>
      </c>
      <c r="H13" s="0" t="n">
        <f aca="false">H11+H12</f>
        <v>34225.1613394236</v>
      </c>
      <c r="I13" s="0" t="n">
        <f aca="false">I11+I12</f>
        <v>35594.1677930005</v>
      </c>
      <c r="J13" s="0" t="n">
        <f aca="false">J11+J12</f>
        <v>37017.9345047206</v>
      </c>
      <c r="K13" s="0" t="n">
        <f aca="false">K11+K12</f>
        <v>38128.4725398622</v>
      </c>
      <c r="L13" s="0" t="n">
        <f aca="false">L11+L12</f>
        <v>39272.3267160581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46.5</v>
      </c>
      <c r="D14" s="4" t="n">
        <f aca="false">Assumptions!D47</f>
        <v>46.5</v>
      </c>
      <c r="E14" s="4" t="n">
        <f aca="false">Assumptions!E47</f>
        <v>46.5</v>
      </c>
      <c r="F14" s="4" t="n">
        <f aca="false">Assumptions!F47</f>
        <v>46.5</v>
      </c>
      <c r="G14" s="4" t="n">
        <f aca="false">Assumptions!G47</f>
        <v>46.5</v>
      </c>
      <c r="H14" s="4" t="n">
        <f aca="false">Assumptions!H47</f>
        <v>46.5</v>
      </c>
      <c r="I14" s="4" t="n">
        <f aca="false">Assumptions!I47</f>
        <v>46.5</v>
      </c>
      <c r="J14" s="4" t="n">
        <f aca="false">Assumptions!J47</f>
        <v>46.5</v>
      </c>
      <c r="K14" s="4" t="n">
        <f aca="false">Assumptions!K47</f>
        <v>46.5</v>
      </c>
      <c r="L14" s="4" t="n">
        <f aca="false">Assumptions!L47</f>
        <v>46.5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13920.12648</v>
      </c>
      <c r="D15" s="0" t="n">
        <f aca="false">D13-MAX(0,D13)*D14/100</f>
        <v>14715.158094</v>
      </c>
      <c r="E15" s="0" t="n">
        <f aca="false">E13-MAX(0,E13)*E14/100</f>
        <v>15703.03438704</v>
      </c>
      <c r="F15" s="0" t="n">
        <f aca="false">F13-MAX(0,F13)*F14/100</f>
        <v>16608.1281783144</v>
      </c>
      <c r="G15" s="0" t="n">
        <f aca="false">G13-MAX(0,G13)*G14/100</f>
        <v>17438.5345872301</v>
      </c>
      <c r="H15" s="0" t="n">
        <f aca="false">H13-MAX(0,H13)*H14/100</f>
        <v>18310.4613165916</v>
      </c>
      <c r="I15" s="0" t="n">
        <f aca="false">I13-MAX(0,I13)*I14/100</f>
        <v>19042.8797692553</v>
      </c>
      <c r="J15" s="0" t="n">
        <f aca="false">J13-MAX(0,J13)*J14/100</f>
        <v>19804.5949600255</v>
      </c>
      <c r="K15" s="0" t="n">
        <f aca="false">K13-MAX(0,K13)*K14/100</f>
        <v>20398.7328088263</v>
      </c>
      <c r="L15" s="0" t="n">
        <f aca="false">L13-MAX(0,L13)*L14/100</f>
        <v>21010.6947930911</v>
      </c>
    </row>
    <row r="16" customFormat="false" ht="15" hidden="false" customHeight="false" outlineLevel="0" collapsed="false">
      <c r="A16" s="0" t="s">
        <v>120</v>
      </c>
      <c r="C16" s="0" t="n">
        <f aca="false">-C12</f>
        <v>5229.64</v>
      </c>
      <c r="D16" s="0" t="n">
        <f aca="false">-D12</f>
        <v>5614.518</v>
      </c>
      <c r="E16" s="0" t="n">
        <f aca="false">-E12</f>
        <v>6082.18884</v>
      </c>
      <c r="F16" s="0" t="n">
        <f aca="false">-F12</f>
        <v>6516.4440432</v>
      </c>
      <c r="G16" s="0" t="n">
        <f aca="false">-G12</f>
        <v>6842.26624536</v>
      </c>
      <c r="H16" s="0" t="n">
        <f aca="false">-H12</f>
        <v>7184.379557628</v>
      </c>
      <c r="I16" s="0" t="n">
        <f aca="false">-I12</f>
        <v>7471.75473993312</v>
      </c>
      <c r="J16" s="0" t="n">
        <f aca="false">-J12</f>
        <v>7770.62492953045</v>
      </c>
      <c r="K16" s="0" t="n">
        <f aca="false">-K12</f>
        <v>8003.74367741636</v>
      </c>
      <c r="L16" s="0" t="n">
        <f aca="false">-L12</f>
        <v>8243.85598773885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-10988.12</v>
      </c>
      <c r="D17" s="4" t="n">
        <f aca="false">-D6*Assumptions!D46/100</f>
        <v>-11290.734</v>
      </c>
      <c r="E17" s="4" t="n">
        <f aca="false">-E6*Assumptions!E46/100</f>
        <v>-11641.17864</v>
      </c>
      <c r="F17" s="4" t="n">
        <f aca="false">-F6*Assumptions!F46/100</f>
        <v>-11993.0299944</v>
      </c>
      <c r="G17" s="4" t="n">
        <f aca="false">-G6*Assumptions!G46/100</f>
        <v>-12228.73116192</v>
      </c>
      <c r="H17" s="4" t="n">
        <f aca="false">-H6*Assumptions!H46/100</f>
        <v>-12075.872022396</v>
      </c>
      <c r="I17" s="4" t="n">
        <f aca="false">-I6*Assumptions!I46/100</f>
        <v>-11525.5791201096</v>
      </c>
      <c r="J17" s="4" t="n">
        <f aca="false">-J6*Assumptions!J46/100</f>
        <v>-10994.607613059</v>
      </c>
      <c r="K17" s="4" t="n">
        <f aca="false">-K6*Assumptions!K46/100</f>
        <v>-10643.2761667771</v>
      </c>
      <c r="L17" s="4" t="n">
        <f aca="false">-L6*Assumptions!L46/100</f>
        <v>-10524.0714737092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-0</v>
      </c>
      <c r="D18" s="4" t="n">
        <f aca="false">(D6-C6)*Assumptions!$B$51/100</f>
        <v>-293.8</v>
      </c>
      <c r="E18" s="4" t="n">
        <f aca="false">(E6-D6)*Assumptions!$B$51/100</f>
        <v>-370.188</v>
      </c>
      <c r="F18" s="4" t="n">
        <f aca="false">(F6-E6)*Assumptions!$B$51/100</f>
        <v>-392.399280000001</v>
      </c>
      <c r="G18" s="4" t="n">
        <f aca="false">(G6-F6)*Assumptions!$B$51/100</f>
        <v>-346.619364</v>
      </c>
      <c r="H18" s="4" t="n">
        <f aca="false">(H6-G6)*Assumptions!$B$51/100</f>
        <v>-363.9503322</v>
      </c>
      <c r="I18" s="4" t="n">
        <f aca="false">(I6-H6)*Assumptions!$B$51/100</f>
        <v>-305.718279048</v>
      </c>
      <c r="J18" s="4" t="n">
        <f aca="false">(J6-I6)*Assumptions!$B$51/100</f>
        <v>-317.947010209921</v>
      </c>
      <c r="K18" s="4" t="n">
        <f aca="false">(K6-J6)*Assumptions!$B$51/100</f>
        <v>-247.998667963738</v>
      </c>
      <c r="L18" s="4" t="n">
        <f aca="false">(L6-K6)*Assumptions!$B$51/100</f>
        <v>-255.438628002651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8161.64648</v>
      </c>
      <c r="D19" s="0" t="n">
        <f aca="false">D15+D16+D17+D18</f>
        <v>8745.142094</v>
      </c>
      <c r="E19" s="0" t="n">
        <f aca="false">E15+E16+E17+E18</f>
        <v>9773.85658704</v>
      </c>
      <c r="F19" s="0" t="n">
        <f aca="false">F15+F16+F17+F18</f>
        <v>10739.1429471144</v>
      </c>
      <c r="G19" s="0" t="n">
        <f aca="false">G15+G16+G17+G18</f>
        <v>11705.4503066701</v>
      </c>
      <c r="H19" s="0" t="n">
        <f aca="false">H15+H16+H17+H18</f>
        <v>13055.0185196236</v>
      </c>
      <c r="I19" s="0" t="n">
        <f aca="false">I15+I16+I17+I18</f>
        <v>14683.3371100308</v>
      </c>
      <c r="J19" s="0" t="n">
        <f aca="false">J15+J16+J17+J18</f>
        <v>16262.665266287</v>
      </c>
      <c r="K19" s="0" t="n">
        <f aca="false">K15+K16+K17+K18</f>
        <v>17511.2016515018</v>
      </c>
      <c r="L19" s="0" t="n">
        <f aca="false">L15+L16+L17+L18</f>
        <v>18475.0406791181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7522.2548202765</v>
      </c>
      <c r="D21" s="0" t="n">
        <f aca="false">D19*D20</f>
        <v>7428.60718554227</v>
      </c>
      <c r="E21" s="0" t="n">
        <f aca="false">E19*E20</f>
        <v>7652.03147489414</v>
      </c>
      <c r="F21" s="0" t="n">
        <f aca="false">F19*F20</f>
        <v>7749.08938571531</v>
      </c>
      <c r="G21" s="0" t="n">
        <f aca="false">G19*G20</f>
        <v>7784.65615398119</v>
      </c>
      <c r="H21" s="0" t="n">
        <f aca="false">H19*H20</f>
        <v>8002.00950914421</v>
      </c>
      <c r="I21" s="0" t="n">
        <f aca="false">I19*I20</f>
        <v>8295.00405073562</v>
      </c>
      <c r="J21" s="0" t="n">
        <f aca="false">J19*J20</f>
        <v>8467.47294260098</v>
      </c>
      <c r="K21" s="0" t="n">
        <f aca="false">K19*K20</f>
        <v>8403.26976289874</v>
      </c>
      <c r="L21" s="0" t="n">
        <f aca="false">L19*L20</f>
        <v>8171.24103458727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1.8</v>
      </c>
      <c r="D23" s="4" t="n">
        <f aca="false">Assumptions!D44</f>
        <v>1.8</v>
      </c>
      <c r="E23" s="4" t="n">
        <f aca="false">Assumptions!E44</f>
        <v>1.8</v>
      </c>
      <c r="F23" s="4" t="n">
        <f aca="false">Assumptions!F44</f>
        <v>1.8</v>
      </c>
      <c r="G23" s="4" t="n">
        <f aca="false">Assumptions!G44</f>
        <v>1.8</v>
      </c>
      <c r="H23" s="4" t="n">
        <f aca="false">Assumptions!H44</f>
        <v>1.8</v>
      </c>
      <c r="I23" s="4" t="n">
        <f aca="false">Assumptions!I44</f>
        <v>1.8</v>
      </c>
      <c r="J23" s="4" t="n">
        <f aca="false">Assumptions!J44</f>
        <v>1.8</v>
      </c>
      <c r="K23" s="4" t="n">
        <f aca="false">Assumptions!K44</f>
        <v>1.8</v>
      </c>
      <c r="L23" s="4" t="n">
        <f aca="false">Assumptions!L44</f>
        <v>1.8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-1057.68</v>
      </c>
      <c r="D24" s="0" t="n">
        <f aca="false">-D6*D23/100</f>
        <v>-1110.564</v>
      </c>
      <c r="E24" s="0" t="n">
        <f aca="false">-E6*E23/100</f>
        <v>-1177.19784</v>
      </c>
      <c r="F24" s="0" t="n">
        <f aca="false">-F6*F23/100</f>
        <v>-1247.8297104</v>
      </c>
      <c r="G24" s="0" t="n">
        <f aca="false">-G6*G23/100</f>
        <v>-1310.22119592</v>
      </c>
      <c r="H24" s="0" t="n">
        <f aca="false">-H6*H23/100</f>
        <v>-1375.732255716</v>
      </c>
      <c r="I24" s="0" t="n">
        <f aca="false">-I6*I23/100</f>
        <v>-1430.76154594464</v>
      </c>
      <c r="J24" s="0" t="n">
        <f aca="false">-J6*J23/100</f>
        <v>-1487.99200778243</v>
      </c>
      <c r="K24" s="0" t="n">
        <f aca="false">-K6*K23/100</f>
        <v>-1532.6317680159</v>
      </c>
      <c r="L24" s="0" t="n">
        <f aca="false">-L6*L23/100</f>
        <v>-1578.61072105638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79475.6363203762</v>
      </c>
    </row>
    <row r="31" customFormat="false" ht="15" hidden="false" customHeight="false" outlineLevel="0" collapsed="false">
      <c r="A31" s="0" t="s">
        <v>129</v>
      </c>
      <c r="B31" s="0" t="n">
        <f aca="false">L19</f>
        <v>18475.0406791181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315615.278268267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277125.610186771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277125.610186771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122568.615518809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202044.251839185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184091.251839185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51.9663718369295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-0.151015000213536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1506.05181176281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2120.44862338582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52.9900819165608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151495.333568768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21.9096674767173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20.5149014486715</v>
      </c>
      <c r="C4" s="0" t="n">
        <f aca="false">B4/Assumptions!$B$2-1</f>
        <v>-0.664843956074636</v>
      </c>
      <c r="D4" s="4" t="n">
        <f aca="false">Assumptions!$B$24</f>
        <v>0.2</v>
      </c>
      <c r="E4" s="4" t="n">
        <f aca="false">DCF_Bear!$B$43</f>
        <v>21.1750157265002</v>
      </c>
      <c r="F4" s="4" t="n">
        <f aca="false">DCF_Bear!$B$47</f>
        <v>8.80007748121735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37.2450310427155</v>
      </c>
      <c r="C5" s="0" t="n">
        <f aca="false">B5/Assumptions!$B$2-1</f>
        <v>-0.391520486150703</v>
      </c>
      <c r="D5" s="4" t="n">
        <f aca="false">Assumptions!$B$38</f>
        <v>0.5</v>
      </c>
      <c r="E5" s="4" t="n">
        <f aca="false">DCF_Base!$B$43</f>
        <v>38.0723043442618</v>
      </c>
      <c r="F5" s="4" t="n">
        <f aca="false">DCF_Base!$B$47</f>
        <v>15.4347129790525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51.9663718369295</v>
      </c>
      <c r="C6" s="0" t="n">
        <f aca="false">B6/Assumptions!$B$2-1</f>
        <v>-0.151015000213536</v>
      </c>
      <c r="D6" s="4" t="n">
        <f aca="false">Assumptions!$B$52</f>
        <v>0.3</v>
      </c>
      <c r="E6" s="4" t="n">
        <f aca="false">DCF_Bull!$B$43</f>
        <v>52.9900819165608</v>
      </c>
      <c r="F6" s="4" t="n">
        <f aca="false">DCF_Bull!$B$47</f>
        <v>21.9096674767173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38.3154073621709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39.1681798923992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-0.597529667932831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2684.7244518652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16.0502722287849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37.2450310427155</v>
      </c>
      <c r="C15" s="3" t="n">
        <v>8.5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35.6830142127952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30.8220285444202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26.3174101164027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22.74248983708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15.4347129790525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44.2860156106149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44.2860156106149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44.2860156106149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44.2860156106149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44.2860156106149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40.5983595148685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40.5983595148685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40.5983595148685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40.5983595148685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40.5983595148685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36.2921058405436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37.2450310427155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37.2450310427155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37.2450310427155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37.2450310427155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30.7401999050368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32.0526762534585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33.5401494483365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34.1921924926665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34.1921924926665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26.3960046209903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27.3578402362687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28.4328329827564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29.642199822555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31.0128155743267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2026-10-02T22:49:26Z</dcterms:created>
  <dc:creator>openpyxl</dc:creator>
  <dc:description/>
  <dc:language>en-NZ</dc:language>
  <cp:lastModifiedBy/>
  <dcterms:modified xsi:type="dcterms:W3CDTF">2026-10-02T22:49:26Z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