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<sst xmlns="http://schemas.openxmlformats.org/spreadsheetml/2006/main" count="346" uniqueCount="162">
  <si>
    <t xml:space="preserve">Ticker</t>
  </si>
  <si>
    <t xml:space="preserve">0325.HK</t>
  </si>
  <si>
    <t xml:space="preserve">Company</t>
  </si>
  <si>
    <t xml:space="preserve">Bloks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</si>
  <si>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</si>
  <si>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</si>
  <si>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</si>
  <si>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</si>
  <si>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</si>
  <si>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</si>
  <si>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</si>
  <si>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</si>
  <si>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</si>
  <si>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</si>
  <si>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</si>
  <si>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</si>
  <si>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</si>
  <si>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</si>
  <si>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</si>
  <si>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</si>
  <si>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</si>
  <si>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</si>
  <si>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2026-10-10T22:14:17Z</t>
  </si>
  <si>
    <t xml:space="preserve">Drivers file</t>
  </si>
  <si>
    <t xml:space="preserve">0325.HK_Drivers.json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</si>
  <si>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</si>
  <si>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</si>
  <si>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</si>
  <si>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fast-growing licensed-IP toy maker valued on owner FCF (SBC expensed, interest income on the RMB3.1bn cash pile stripped and the cash added back once). The front-loaded growth phase and wide bear/bull spread reflect a business whose current profitability is about two years old and whose revenue is concentrated in a handful of licensed franchises.
key_risks_to_valuation: IP licence concentration (Ultraman) and renewal terms with licensors; Fad risk in kids' collectibles; the H1 FY2026 growth rate may not survive H2; Gross margin compression (48.4% -&gt; 44.3% H1 YoY) from price-point mix and royalties; Short profitable history: losses through FY2024, IPO in Jan-2025; CNY/HKD rate: the valuation is in RMB and converted at spot; refresh_price.py does not update fx_rate</t>
  </si>
  <si>
    <t xml:space="preserve">Data sources</t>
  </si>
  <si>
    <t xml:space="preserve">price: Yahoo Finance chart API at inputs.price_as_of; 52-week range 39.2-110.0 HKD
fx: Yahoo Finance CNYHKD=X, 2026-10-10
financials: 0325.HK_Metrics.csv (core_metrics) and kpis; FY2024 and FY2025 annual reports, H1 FY2025 and H1 FY2026 interim reports (HKEXnews)
qualitative: Interim Report 2026 MD&amp;A (business outlook, revenue review); Analysis JSON not yet available at build time</t>
  </si>
  <si>
    <t xml:space="preserve">Scenario narrative: bear</t>
  </si>
  <si>
    <t xml:space="preserve">Kids' collectible demand is faddish and Bloks is concentrated in a handful of licensed IPs led by Ultraman. In the bear case the cycle turns after H1 FY2026: growth stalls in FY2027, revenue falls 6% and 3% in FY2028-29, low-price competition and licensor terms push EBITDA margin to ~18%, and the business settles as a mid-sized licensed-toy maker growing 2%.</t>
  </si>
  <si>
    <t xml:space="preserve">Scenario narrative: base</t>
  </si>
  <si>
    <t xml:space="preserve">Revenue ~RMB3.6bn in FY2026 on the H1 run-rate, then decelerating growth (17% -&gt; 3%) as Ultraman matures and Transformers, Marvel, owned series and overseas partially replace it. Adj. EBITDA margin eases from 30.5% to 27% as the gross-margin compression already visible in H1 FY2026 (44.3% vs 48.4%) continues from lower-price-point products and licensor royalties, partly offset by scale. Capex (moulds and capitalised IP/design assets) normalises from ~11% to 8% of revenue; cash tax ramps from ~10% to 17%.</t>
  </si>
  <si>
    <t xml:space="preserve">Scenario narrative: bull</t>
  </si>
  <si>
    <t xml:space="preserve">The IP matrix broadens: adult-fan lines and owned IPs scale, overseas channels compound and Bloks sustains ~20%+ growth for four years, reaching ~RMB10bn+ revenue by year 10 with margins held near 30-32%. This needs several independent things to go right (new IP hits, overseas success, licence renewals on current terms).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</si>
  <si>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</si>
  <si>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</si>
  <si>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</si>
  <si>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</si>
  <si>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</si>
  <si>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</si>
  <si>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</si>
  <si>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</si>
  <si>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</si>
  <si>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</si>
  <si>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</si>
  <si>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</si>
  <si>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</si>
  <si>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</si>
  <si>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</si>
  <si>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</si>
  <si>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</si>
  <si>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</si>
  <si>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</si>
  <si>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</si>
  <si>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</si>
  <si>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</si>
  <si>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</si>
  <si>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</si>
  <si>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</si>
  <si>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</si>
  <si>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</si>
  <si>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MarketingExpense</t>
  </si>
  <si>
    <t xml:space="preserve">TimeDeposits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</si>
  <si>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</si>
  <si>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</si>
  <si>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</si>
  <si>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</si>
  <si>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</si>
  <si>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</si>
  <si>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</si>
  <si>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</si>
  <si>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</si>
  <si>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</si>
  <si>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</si>
  <si>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</si>
  <si>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</si>
  <si>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</si>
  <si>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</si>
  <si>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</si>
  <si>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</si>
  <si>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</si>
  <si>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</si>
  <si>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</si>
  <si>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</si>
  <si>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</si>
  <si>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</si>
  <si>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</si>
  <si>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</si>
  <si>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</si>
  <si>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</si>
  <si>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</si>
  <si>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</si>
  <si>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</si>
  <si>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</si>
  <si>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</si>
  <si>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</si>
  <si>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</si>
  <si>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</si>
  <si>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</si>
  <si>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</si>
  <si>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</si>
  <si>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</si>
  <si>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</si>
  <si>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</si>
  <si>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</si>
  <si>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0325.HK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</si>
  <si>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</si>
  <si>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</si>
  <si>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</si>
  <si>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</si>
  <si>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</si>
  <si>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</si>
  <si>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</si>
  <si>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</si>
  <si>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</si>
  <si>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</si>
  <si>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</si>
  <si>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</si>
  <si>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</si>
  <si>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</si>
  <si>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</si>
  <si>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</si>
  <si>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</si>
  <si>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</si>
  <si>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</si>
  <si>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</si>
  <si>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</si>
  <si>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</si>
  <si>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</si>
  <si>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</si>
  <si>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</si>
  <si>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</si>
  <si>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</si>
  <si>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</si>
  <si>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</si>
  <si>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</si>
  <si>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0325.HK owner-FCF component DCF: base case (millions, CNY)</t>
  </si>
  <si>
    <t xml:space="preserve">0325.HK owner-FCF component DCF: bull case (millions, CNY)</t>
  </si>
  <si>
    <t xml:space="preserve">0325.HK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</si>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</sst>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329.772</v>
      </c>
      <c r="D2" s="0" t="n">
        <v>123.401</v>
      </c>
      <c r="E2" s="0" t="n">
        <v>37.4</v>
      </c>
      <c r="I2" s="0" t="n">
        <v>-502.594</v>
      </c>
      <c r="J2" s="0" t="n">
        <v>-152.4</v>
      </c>
      <c r="O2" s="0" t="n">
        <v>-958.619</v>
      </c>
      <c r="P2" s="0" t="n">
        <v>2485.976</v>
      </c>
      <c r="Q2" s="0" t="n">
        <v>3444.595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325.574</v>
      </c>
      <c r="D3" s="0" t="n">
        <v>123.419</v>
      </c>
      <c r="E3" s="0" t="n">
        <v>37.9</v>
      </c>
      <c r="I3" s="0" t="n">
        <v>-419.886</v>
      </c>
      <c r="J3" s="0" t="n">
        <v>-129</v>
      </c>
      <c r="O3" s="0" t="n">
        <v>-1377.115</v>
      </c>
      <c r="P3" s="0" t="n">
        <v>1945.851</v>
      </c>
      <c r="Q3" s="0" t="n">
        <v>3322.966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876.686</v>
      </c>
      <c r="C4" s="0" t="n">
        <v>461.764</v>
      </c>
      <c r="D4" s="0" t="n">
        <v>414.922</v>
      </c>
      <c r="E4" s="0" t="n">
        <v>47.3</v>
      </c>
      <c r="F4" s="0" t="n">
        <v>85.947</v>
      </c>
      <c r="G4" s="0" t="n">
        <v>9.8</v>
      </c>
      <c r="H4" s="0" t="n">
        <v>130.639</v>
      </c>
      <c r="I4" s="0" t="n">
        <v>-206.1</v>
      </c>
      <c r="J4" s="0" t="n">
        <v>-23.5</v>
      </c>
      <c r="K4" s="0" t="n">
        <v>-1.38</v>
      </c>
      <c r="L4" s="0" t="n">
        <v>284.892</v>
      </c>
      <c r="M4" s="0" t="n">
        <v>43.341</v>
      </c>
      <c r="N4" s="0" t="n">
        <v>241.551</v>
      </c>
      <c r="O4" s="0" t="n">
        <v>-1608.294</v>
      </c>
      <c r="P4" s="0" t="n">
        <v>1012.656</v>
      </c>
      <c r="Q4" s="0" t="n">
        <v>2620.95</v>
      </c>
      <c r="R4" s="0" t="n">
        <v>0</v>
      </c>
      <c r="S4" s="0" t="n">
        <v>360.837</v>
      </c>
      <c r="T4" s="0" t="n">
        <v>148.844</v>
      </c>
      <c r="U4" s="0" t="n">
        <v>6.231</v>
      </c>
      <c r="V4" s="0" t="n">
        <v>0</v>
      </c>
      <c r="AA4" s="0" t="s">
        <v>18</v>
      </c>
      <c r="AB4" s="0" t="s">
        <v>14</v>
      </c>
      <c r="AC4" s="0" t="n">
        <v>73.706</v>
      </c>
    </row>
    <row r="5" customFormat="false" ht="15" hidden="false" customHeight="false" outlineLevel="0" collapsed="false">
      <c r="A5" s="0" t="s">
        <v>69</v>
      </c>
      <c r="B5" s="0" t="n">
        <v>2240.929</v>
      </c>
      <c r="C5" s="0" t="n">
        <v>1062.123</v>
      </c>
      <c r="D5" s="0" t="n">
        <v>1178.806</v>
      </c>
      <c r="E5" s="0" t="n">
        <v>52.6</v>
      </c>
      <c r="F5" s="0" t="n">
        <v>248.319</v>
      </c>
      <c r="G5" s="0" t="n">
        <v>11.1</v>
      </c>
      <c r="H5" s="0" t="n">
        <v>335.866</v>
      </c>
      <c r="I5" s="0" t="n">
        <v>-401.047</v>
      </c>
      <c r="J5" s="0" t="n">
        <v>-17.9</v>
      </c>
      <c r="K5" s="0" t="n">
        <v>-2.69</v>
      </c>
      <c r="L5" s="0" t="n">
        <v>762.325</v>
      </c>
      <c r="M5" s="0" t="n">
        <v>120.483</v>
      </c>
      <c r="N5" s="0" t="n">
        <v>641.842</v>
      </c>
      <c r="O5" s="0" t="n">
        <v>-1600.59</v>
      </c>
      <c r="P5" s="0" t="n">
        <v>1605.991</v>
      </c>
      <c r="Q5" s="0" t="n">
        <v>3206.581</v>
      </c>
      <c r="R5" s="0" t="n">
        <v>0</v>
      </c>
      <c r="S5" s="0" t="n">
        <v>719.962</v>
      </c>
      <c r="T5" s="0" t="n">
        <v>148.844</v>
      </c>
      <c r="U5" s="0" t="n">
        <v>407.264</v>
      </c>
      <c r="V5" s="0" t="n">
        <v>0</v>
      </c>
      <c r="AA5" s="0" t="s">
        <v>18</v>
      </c>
      <c r="AB5" s="0" t="s">
        <v>14</v>
      </c>
      <c r="AC5" s="0" t="n">
        <v>111.702</v>
      </c>
    </row>
    <row r="6" customFormat="false" ht="15" hidden="false" customHeight="false" outlineLevel="0" collapsed="false">
      <c r="A6" s="0" t="s">
        <v>70</v>
      </c>
      <c r="B6" s="0" t="n">
        <v>2913.338</v>
      </c>
      <c r="C6" s="0" t="n">
        <v>1549.354</v>
      </c>
      <c r="D6" s="0" t="n">
        <v>1363.984</v>
      </c>
      <c r="E6" s="0" t="n">
        <v>46.8</v>
      </c>
      <c r="F6" s="0" t="n">
        <v>695.25</v>
      </c>
      <c r="G6" s="0" t="n">
        <v>23.9</v>
      </c>
      <c r="H6" s="0" t="n">
        <v>893.466</v>
      </c>
      <c r="I6" s="0" t="n">
        <v>633.737</v>
      </c>
      <c r="J6" s="0" t="n">
        <v>21.8</v>
      </c>
      <c r="K6" s="0" t="n">
        <v>2.56</v>
      </c>
      <c r="L6" s="0" t="n">
        <v>896.927</v>
      </c>
      <c r="M6" s="0" t="n">
        <v>347.699</v>
      </c>
      <c r="N6" s="0" t="n">
        <v>549.228</v>
      </c>
      <c r="O6" s="0" t="n">
        <v>2868.846</v>
      </c>
      <c r="P6" s="0" t="n">
        <v>4121.572</v>
      </c>
      <c r="Q6" s="0" t="n">
        <v>1252.726</v>
      </c>
      <c r="R6" s="0" t="n">
        <v>0</v>
      </c>
      <c r="S6" s="0" t="n">
        <v>2840.013</v>
      </c>
      <c r="T6" s="0" t="n">
        <v>247.55</v>
      </c>
      <c r="U6" s="0" t="n">
        <v>41.203</v>
      </c>
      <c r="V6" s="0" t="n">
        <v>0</v>
      </c>
      <c r="AA6" s="0" t="s">
        <v>18</v>
      </c>
      <c r="AB6" s="0" t="s">
        <v>14</v>
      </c>
      <c r="AC6" s="0" t="n">
        <v>149.346</v>
      </c>
      <c r="AD6" s="0" t="n">
        <v>514.704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70</v>
      </c>
    </row>
    <row r="3" customFormat="false" ht="15" hidden="false" customHeight="false" outlineLevel="0" collapsed="false">
      <c r="A3" s="0" t="s">
        <v>74</v>
      </c>
      <c r="B3" s="3" t="n">
        <v>247.454</v>
      </c>
    </row>
    <row r="4" customFormat="false" ht="15" hidden="false" customHeight="false" outlineLevel="0" collapsed="false">
      <c r="A4" s="0" t="s">
        <v>75</v>
      </c>
      <c r="B4" s="3" t="n">
        <v>-3142.9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2913.338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16</v>
      </c>
      <c r="D13" s="3" t="n">
        <v>0</v>
      </c>
      <c r="E13" s="3" t="n">
        <v>-6</v>
      </c>
      <c r="F13" s="3" t="n">
        <v>-3</v>
      </c>
      <c r="G13" s="3" t="n">
        <v>1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28</v>
      </c>
      <c r="D14" s="3" t="n">
        <v>24</v>
      </c>
      <c r="E14" s="3" t="n">
        <v>21</v>
      </c>
      <c r="F14" s="3" t="n">
        <v>19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96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97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98</v>
      </c>
      <c r="C17" s="3" t="n">
        <v>8</v>
      </c>
      <c r="D17" s="3" t="n">
        <v>8.5</v>
      </c>
      <c r="E17" s="3" t="n">
        <v>8.5</v>
      </c>
      <c r="F17" s="3" t="n">
        <v>8</v>
      </c>
      <c r="G17" s="3" t="n">
        <v>7.5</v>
      </c>
      <c r="H17" s="3" t="n">
        <v>7.2</v>
      </c>
      <c r="I17" s="3" t="n">
        <v>7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99</v>
      </c>
      <c r="C18" s="3" t="n">
        <v>10.5</v>
      </c>
      <c r="D18" s="3" t="n">
        <v>10</v>
      </c>
      <c r="E18" s="3" t="n">
        <v>9</v>
      </c>
      <c r="F18" s="3" t="n">
        <v>8.5</v>
      </c>
      <c r="G18" s="3" t="n">
        <v>8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100</v>
      </c>
      <c r="C19" s="3" t="n">
        <v>10</v>
      </c>
      <c r="D19" s="3" t="n">
        <v>12</v>
      </c>
      <c r="E19" s="3" t="n">
        <v>14</v>
      </c>
      <c r="F19" s="3" t="n">
        <v>15</v>
      </c>
      <c r="G19" s="3" t="n">
        <v>16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25</v>
      </c>
      <c r="D27" s="3" t="n">
        <v>17</v>
      </c>
      <c r="E27" s="3" t="n">
        <v>13</v>
      </c>
      <c r="F27" s="3" t="n">
        <v>10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30.5</v>
      </c>
      <c r="D28" s="3" t="n">
        <v>30</v>
      </c>
      <c r="E28" s="3" t="n">
        <v>29.5</v>
      </c>
      <c r="F28" s="3" t="n">
        <v>29</v>
      </c>
      <c r="G28" s="3" t="n">
        <v>28.5</v>
      </c>
      <c r="H28" s="3" t="n">
        <v>28</v>
      </c>
      <c r="I28" s="3" t="n">
        <v>27.5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96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97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98</v>
      </c>
      <c r="C31" s="3" t="n">
        <v>8</v>
      </c>
      <c r="D31" s="3" t="n">
        <v>8</v>
      </c>
      <c r="E31" s="3" t="n">
        <v>7.8</v>
      </c>
      <c r="F31" s="3" t="n">
        <v>7.6</v>
      </c>
      <c r="G31" s="3" t="n">
        <v>7.5</v>
      </c>
      <c r="H31" s="3" t="n">
        <v>7.4</v>
      </c>
      <c r="I31" s="3" t="n">
        <v>7.3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99</v>
      </c>
      <c r="C32" s="3" t="n">
        <v>10.5</v>
      </c>
      <c r="D32" s="3" t="n">
        <v>10</v>
      </c>
      <c r="E32" s="3" t="n">
        <v>9.5</v>
      </c>
      <c r="F32" s="3" t="n">
        <v>9</v>
      </c>
      <c r="G32" s="3" t="n">
        <v>8.5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100</v>
      </c>
      <c r="C33" s="3" t="n">
        <v>10</v>
      </c>
      <c r="D33" s="3" t="n">
        <v>12</v>
      </c>
      <c r="E33" s="3" t="n">
        <v>14</v>
      </c>
      <c r="F33" s="3" t="n">
        <v>15</v>
      </c>
      <c r="G33" s="3" t="n">
        <v>16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30</v>
      </c>
      <c r="D41" s="3" t="n">
        <v>24</v>
      </c>
      <c r="E41" s="3" t="n">
        <v>19</v>
      </c>
      <c r="F41" s="3" t="n">
        <v>15</v>
      </c>
      <c r="G41" s="3" t="n">
        <v>12</v>
      </c>
      <c r="H41" s="3" t="n">
        <v>10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95</v>
      </c>
      <c r="C42" s="3" t="n">
        <v>32</v>
      </c>
      <c r="D42" s="3" t="n">
        <v>32</v>
      </c>
      <c r="E42" s="3" t="n">
        <v>32</v>
      </c>
      <c r="F42" s="3" t="n">
        <v>31.5</v>
      </c>
      <c r="G42" s="3" t="n">
        <v>31</v>
      </c>
      <c r="H42" s="3" t="n">
        <v>31</v>
      </c>
      <c r="I42" s="3" t="n">
        <v>30.5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96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97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98</v>
      </c>
      <c r="C45" s="3" t="n">
        <v>8</v>
      </c>
      <c r="D45" s="3" t="n">
        <v>8</v>
      </c>
      <c r="E45" s="3" t="n">
        <v>7.8</v>
      </c>
      <c r="F45" s="3" t="n">
        <v>7.6</v>
      </c>
      <c r="G45" s="3" t="n">
        <v>7.5</v>
      </c>
      <c r="H45" s="3" t="n">
        <v>7.4</v>
      </c>
      <c r="I45" s="3" t="n">
        <v>7.3</v>
      </c>
      <c r="J45" s="3" t="n">
        <v>7.2</v>
      </c>
      <c r="K45" s="3" t="n">
        <v>7.2</v>
      </c>
      <c r="L45" s="3" t="n">
        <v>7.2</v>
      </c>
    </row>
    <row r="46" customFormat="false" ht="15" hidden="false" customHeight="false" outlineLevel="0" collapsed="false">
      <c r="A46" s="0" t="s">
        <v>99</v>
      </c>
      <c r="C46" s="3" t="n">
        <v>10.5</v>
      </c>
      <c r="D46" s="3" t="n">
        <v>10</v>
      </c>
      <c r="E46" s="3" t="n">
        <v>9.5</v>
      </c>
      <c r="F46" s="3" t="n">
        <v>9</v>
      </c>
      <c r="G46" s="3" t="n">
        <v>8.5</v>
      </c>
      <c r="H46" s="3" t="n">
        <v>8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100</v>
      </c>
      <c r="C47" s="3" t="n">
        <v>10</v>
      </c>
      <c r="D47" s="3" t="n">
        <v>12</v>
      </c>
      <c r="E47" s="3" t="n">
        <v>14</v>
      </c>
      <c r="F47" s="3" t="n">
        <v>15</v>
      </c>
      <c r="G47" s="3" t="n">
        <v>16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16</v>
      </c>
      <c r="D5" s="4" t="n">
        <f aca="false">Assumptions!D13</f>
        <v>0</v>
      </c>
      <c r="E5" s="4" t="n">
        <f aca="false">Assumptions!E13</f>
        <v>-6</v>
      </c>
      <c r="F5" s="4" t="n">
        <f aca="false">Assumptions!F13</f>
        <v>-3</v>
      </c>
      <c r="G5" s="4" t="n">
        <f aca="false">Assumptions!G13</f>
        <v>1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2913.338</v>
      </c>
      <c r="C6" s="0" t="n">
        <f aca="false">B6*(1+C5/100)</f>
        <v>3379.47208</v>
      </c>
      <c r="D6" s="0" t="n">
        <f aca="false">C6*(1+D5/100)</f>
        <v>3379.47208</v>
      </c>
      <c r="E6" s="0" t="n">
        <f aca="false">D6*(1+E5/100)</f>
        <v>3176.7037552</v>
      </c>
      <c r="F6" s="0" t="n">
        <f aca="false">E6*(1+F5/100)</f>
        <v>3081.402642544</v>
      </c>
      <c r="G6" s="0" t="n">
        <f aca="false">F6*(1+G5/100)</f>
        <v>3112.21666896944</v>
      </c>
      <c r="H6" s="0" t="n">
        <f aca="false">G6*(1+H5/100)</f>
        <v>3174.46100234883</v>
      </c>
      <c r="I6" s="0" t="n">
        <f aca="false">H6*(1+I5/100)</f>
        <v>3237.95022239581</v>
      </c>
      <c r="J6" s="0" t="n">
        <f aca="false">I6*(1+J5/100)</f>
        <v>3302.70922684372</v>
      </c>
      <c r="K6" s="0" t="n">
        <f aca="false">J6*(1+K5/100)</f>
        <v>3368.7634113806</v>
      </c>
      <c r="L6" s="0" t="n">
        <f aca="false">K6*(1+L5/100)</f>
        <v>3436.13867960821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28</v>
      </c>
      <c r="D7" s="4" t="n">
        <f aca="false">Assumptions!D14</f>
        <v>24</v>
      </c>
      <c r="E7" s="4" t="n">
        <f aca="false">Assumptions!E14</f>
        <v>21</v>
      </c>
      <c r="F7" s="4" t="n">
        <f aca="false">Assumptions!F14</f>
        <v>19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946.2521824</v>
      </c>
      <c r="D8" s="0" t="n">
        <f aca="false">D6*D7/100</f>
        <v>811.0732992</v>
      </c>
      <c r="E8" s="0" t="n">
        <f aca="false">E6*E7/100</f>
        <v>667.107788592</v>
      </c>
      <c r="F8" s="0" t="n">
        <f aca="false">F6*F7/100</f>
        <v>585.46650208336</v>
      </c>
      <c r="G8" s="0" t="n">
        <f aca="false">G6*G7/100</f>
        <v>560.199000414499</v>
      </c>
      <c r="H8" s="0" t="n">
        <f aca="false">H6*H7/100</f>
        <v>571.402980422789</v>
      </c>
      <c r="I8" s="0" t="n">
        <f aca="false">I6*I7/100</f>
        <v>582.831040031245</v>
      </c>
      <c r="J8" s="0" t="n">
        <f aca="false">J6*J7/100</f>
        <v>594.48766083187</v>
      </c>
      <c r="K8" s="0" t="n">
        <f aca="false">K6*K7/100</f>
        <v>606.377414048507</v>
      </c>
      <c r="L8" s="0" t="n">
        <f aca="false">L6*L7/100</f>
        <v>618.504962329477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-40.55366496</v>
      </c>
      <c r="D10" s="0" t="n">
        <f aca="false">-D6*D9/100</f>
        <v>-40.55366496</v>
      </c>
      <c r="E10" s="0" t="n">
        <f aca="false">-E6*E9/100</f>
        <v>-38.1204450624</v>
      </c>
      <c r="F10" s="0" t="n">
        <f aca="false">-F6*F9/100</f>
        <v>-36.976831710528</v>
      </c>
      <c r="G10" s="0" t="n">
        <f aca="false">-G6*G9/100</f>
        <v>-37.3466000276333</v>
      </c>
      <c r="H10" s="0" t="n">
        <f aca="false">-H6*H9/100</f>
        <v>-38.0935320281859</v>
      </c>
      <c r="I10" s="0" t="n">
        <f aca="false">-I6*I9/100</f>
        <v>-38.8554026687497</v>
      </c>
      <c r="J10" s="0" t="n">
        <f aca="false">-J6*J9/100</f>
        <v>-39.6325107221247</v>
      </c>
      <c r="K10" s="0" t="n">
        <f aca="false">-K6*K9/100</f>
        <v>-40.4251609365671</v>
      </c>
      <c r="L10" s="0" t="n">
        <f aca="false">-L6*L9/100</f>
        <v>-41.2336641552985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878.6627408</v>
      </c>
      <c r="D11" s="0" t="n">
        <f aca="false">D8+D10+D24</f>
        <v>743.4838576</v>
      </c>
      <c r="E11" s="0" t="n">
        <f aca="false">E8+E10+E24</f>
        <v>603.573713488</v>
      </c>
      <c r="F11" s="0" t="n">
        <f aca="false">F8+F10+F24</f>
        <v>523.83844923248</v>
      </c>
      <c r="G11" s="0" t="n">
        <f aca="false">G8+G10+G24</f>
        <v>497.95466703511</v>
      </c>
      <c r="H11" s="0" t="n">
        <f aca="false">H8+H10+H24</f>
        <v>507.913760375813</v>
      </c>
      <c r="I11" s="0" t="n">
        <f aca="false">I8+I10+I24</f>
        <v>518.072035583329</v>
      </c>
      <c r="J11" s="0" t="n">
        <f aca="false">J8+J10+J24</f>
        <v>528.433476294996</v>
      </c>
      <c r="K11" s="0" t="n">
        <f aca="false">K8+K10+K24</f>
        <v>539.002145820895</v>
      </c>
      <c r="L11" s="0" t="n">
        <f aca="false">L8+L10+L24</f>
        <v>549.782188737313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-270.3577664</v>
      </c>
      <c r="D12" s="4" t="n">
        <f aca="false">-D6*Assumptions!D17/100</f>
        <v>-287.2551268</v>
      </c>
      <c r="E12" s="4" t="n">
        <f aca="false">-E6*Assumptions!E17/100</f>
        <v>-270.019819192</v>
      </c>
      <c r="F12" s="4" t="n">
        <f aca="false">-F6*Assumptions!F17/100</f>
        <v>-246.51221140352</v>
      </c>
      <c r="G12" s="4" t="n">
        <f aca="false">-G6*Assumptions!G17/100</f>
        <v>-233.416250172708</v>
      </c>
      <c r="H12" s="4" t="n">
        <f aca="false">-H6*Assumptions!H17/100</f>
        <v>-228.561192169116</v>
      </c>
      <c r="I12" s="4" t="n">
        <f aca="false">-I6*Assumptions!I17/100</f>
        <v>-226.656515567706</v>
      </c>
      <c r="J12" s="4" t="n">
        <f aca="false">-J6*Assumptions!J17/100</f>
        <v>-231.189645879061</v>
      </c>
      <c r="K12" s="4" t="n">
        <f aca="false">-K6*Assumptions!K17/100</f>
        <v>-235.813438796642</v>
      </c>
      <c r="L12" s="4" t="n">
        <f aca="false">-L6*Assumptions!L17/100</f>
        <v>-240.529707572575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608.3049744</v>
      </c>
      <c r="D13" s="0" t="n">
        <f aca="false">D11+D12</f>
        <v>456.2287308</v>
      </c>
      <c r="E13" s="0" t="n">
        <f aca="false">E11+E12</f>
        <v>333.553894296</v>
      </c>
      <c r="F13" s="0" t="n">
        <f aca="false">F11+F12</f>
        <v>277.32623782896</v>
      </c>
      <c r="G13" s="0" t="n">
        <f aca="false">G11+G12</f>
        <v>264.538416862402</v>
      </c>
      <c r="H13" s="0" t="n">
        <f aca="false">H11+H12</f>
        <v>279.352568206697</v>
      </c>
      <c r="I13" s="0" t="n">
        <f aca="false">I11+I12</f>
        <v>291.415520015622</v>
      </c>
      <c r="J13" s="0" t="n">
        <f aca="false">J11+J12</f>
        <v>297.243830415935</v>
      </c>
      <c r="K13" s="0" t="n">
        <f aca="false">K11+K12</f>
        <v>303.188707024253</v>
      </c>
      <c r="L13" s="0" t="n">
        <f aca="false">L11+L12</f>
        <v>309.252481164739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10</v>
      </c>
      <c r="D14" s="4" t="n">
        <f aca="false">Assumptions!D19</f>
        <v>12</v>
      </c>
      <c r="E14" s="4" t="n">
        <f aca="false">Assumptions!E19</f>
        <v>14</v>
      </c>
      <c r="F14" s="4" t="n">
        <f aca="false">Assumptions!F19</f>
        <v>15</v>
      </c>
      <c r="G14" s="4" t="n">
        <f aca="false">Assumptions!G19</f>
        <v>16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547.47447696</v>
      </c>
      <c r="D15" s="0" t="n">
        <f aca="false">D13-MAX(0,D13)*D14/100</f>
        <v>401.481283104</v>
      </c>
      <c r="E15" s="0" t="n">
        <f aca="false">E13-MAX(0,E13)*E14/100</f>
        <v>286.85634909456</v>
      </c>
      <c r="F15" s="0" t="n">
        <f aca="false">F13-MAX(0,F13)*F14/100</f>
        <v>235.727302154616</v>
      </c>
      <c r="G15" s="0" t="n">
        <f aca="false">G13-MAX(0,G13)*G14/100</f>
        <v>222.212270164418</v>
      </c>
      <c r="H15" s="0" t="n">
        <f aca="false">H13-MAX(0,H13)*H14/100</f>
        <v>231.862631611558</v>
      </c>
      <c r="I15" s="0" t="n">
        <f aca="false">I13-MAX(0,I13)*I14/100</f>
        <v>241.874881612967</v>
      </c>
      <c r="J15" s="0" t="n">
        <f aca="false">J13-MAX(0,J13)*J14/100</f>
        <v>246.712379245226</v>
      </c>
      <c r="K15" s="0" t="n">
        <f aca="false">K13-MAX(0,K13)*K14/100</f>
        <v>251.64662683013</v>
      </c>
      <c r="L15" s="0" t="n">
        <f aca="false">L13-MAX(0,L13)*L14/100</f>
        <v>256.679559366733</v>
      </c>
    </row>
    <row r="16" customFormat="false" ht="15" hidden="false" customHeight="false" outlineLevel="0" collapsed="false">
      <c r="A16" s="0" t="s">
        <v>116</v>
      </c>
      <c r="C16" s="0" t="n">
        <f aca="false">-C12</f>
        <v>270.3577664</v>
      </c>
      <c r="D16" s="0" t="n">
        <f aca="false">-D12</f>
        <v>287.2551268</v>
      </c>
      <c r="E16" s="0" t="n">
        <f aca="false">-E12</f>
        <v>270.019819192</v>
      </c>
      <c r="F16" s="0" t="n">
        <f aca="false">-F12</f>
        <v>246.51221140352</v>
      </c>
      <c r="G16" s="0" t="n">
        <f aca="false">-G12</f>
        <v>233.416250172708</v>
      </c>
      <c r="H16" s="0" t="n">
        <f aca="false">-H12</f>
        <v>228.561192169116</v>
      </c>
      <c r="I16" s="0" t="n">
        <f aca="false">-I12</f>
        <v>226.656515567706</v>
      </c>
      <c r="J16" s="0" t="n">
        <f aca="false">-J12</f>
        <v>231.189645879061</v>
      </c>
      <c r="K16" s="0" t="n">
        <f aca="false">-K12</f>
        <v>235.813438796642</v>
      </c>
      <c r="L16" s="0" t="n">
        <f aca="false">-L12</f>
        <v>240.529707572575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-354.8445684</v>
      </c>
      <c r="D17" s="4" t="n">
        <f aca="false">-D6*Assumptions!D18/100</f>
        <v>-337.947208</v>
      </c>
      <c r="E17" s="4" t="n">
        <f aca="false">-E6*Assumptions!E18/100</f>
        <v>-285.903337968</v>
      </c>
      <c r="F17" s="4" t="n">
        <f aca="false">-F6*Assumptions!F18/100</f>
        <v>-261.91922461624</v>
      </c>
      <c r="G17" s="4" t="n">
        <f aca="false">-G6*Assumptions!G18/100</f>
        <v>-248.977333517555</v>
      </c>
      <c r="H17" s="4" t="n">
        <f aca="false">-H6*Assumptions!H18/100</f>
        <v>-238.084575176162</v>
      </c>
      <c r="I17" s="4" t="n">
        <f aca="false">-I6*Assumptions!I18/100</f>
        <v>-242.846266679685</v>
      </c>
      <c r="J17" s="4" t="n">
        <f aca="false">-J6*Assumptions!J18/100</f>
        <v>-247.703192013279</v>
      </c>
      <c r="K17" s="4" t="n">
        <f aca="false">-K6*Assumptions!K18/100</f>
        <v>-252.657255853545</v>
      </c>
      <c r="L17" s="4" t="n">
        <f aca="false">-L6*Assumptions!L18/100</f>
        <v>-257.710400970616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462.98767496</v>
      </c>
      <c r="D19" s="0" t="n">
        <f aca="false">D15+D16+D17+D18</f>
        <v>350.789201904</v>
      </c>
      <c r="E19" s="0" t="n">
        <f aca="false">E15+E16+E17+E18</f>
        <v>270.97283031856</v>
      </c>
      <c r="F19" s="0" t="n">
        <f aca="false">F15+F16+F17+F18</f>
        <v>220.320288941896</v>
      </c>
      <c r="G19" s="0" t="n">
        <f aca="false">G15+G16+G17+G18</f>
        <v>206.651186819571</v>
      </c>
      <c r="H19" s="0" t="n">
        <f aca="false">H15+H16+H17+H18</f>
        <v>222.339248604512</v>
      </c>
      <c r="I19" s="0" t="n">
        <f aca="false">I15+I16+I17+I18</f>
        <v>225.685130500988</v>
      </c>
      <c r="J19" s="0" t="n">
        <f aca="false">J15+J16+J17+J18</f>
        <v>230.198833111007</v>
      </c>
      <c r="K19" s="0" t="n">
        <f aca="false">K15+K16+K17+K18</f>
        <v>234.802809773227</v>
      </c>
      <c r="L19" s="0" t="n">
        <f aca="false">L15+L16+L17+L18</f>
        <v>239.498865968692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420.897886327273</v>
      </c>
      <c r="D21" s="0" t="n">
        <f aca="false">D19*D20</f>
        <v>289.90843132562</v>
      </c>
      <c r="E21" s="0" t="n">
        <f aca="false">E19*E20</f>
        <v>203.585898060526</v>
      </c>
      <c r="F21" s="0" t="n">
        <f aca="false">F19*F20</f>
        <v>150.481721837235</v>
      </c>
      <c r="G21" s="0" t="n">
        <f aca="false">G19*G20</f>
        <v>128.314128331753</v>
      </c>
      <c r="H21" s="0" t="n">
        <f aca="false">H19*H20</f>
        <v>125.504709464993</v>
      </c>
      <c r="I21" s="0" t="n">
        <f aca="false">I19*I20</f>
        <v>115.812156880538</v>
      </c>
      <c r="J21" s="0" t="n">
        <f aca="false">J19*J20</f>
        <v>107.389454561954</v>
      </c>
      <c r="K21" s="0" t="n">
        <f aca="false">K19*K20</f>
        <v>99.5793124119933</v>
      </c>
      <c r="L21" s="0" t="n">
        <f aca="false">L19*L20</f>
        <v>92.337180600212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-27.03577664</v>
      </c>
      <c r="D24" s="0" t="n">
        <f aca="false">-D6*D23/100</f>
        <v>-27.03577664</v>
      </c>
      <c r="E24" s="0" t="n">
        <f aca="false">-E6*E23/100</f>
        <v>-25.4136300416</v>
      </c>
      <c r="F24" s="0" t="n">
        <f aca="false">-F6*F23/100</f>
        <v>-24.651221140352</v>
      </c>
      <c r="G24" s="0" t="n">
        <f aca="false">-G6*G23/100</f>
        <v>-24.8977333517555</v>
      </c>
      <c r="H24" s="0" t="n">
        <f aca="false">-H6*H23/100</f>
        <v>-25.3956880187906</v>
      </c>
      <c r="I24" s="0" t="n">
        <f aca="false">-I6*I23/100</f>
        <v>-25.9036017791664</v>
      </c>
      <c r="J24" s="0" t="n">
        <f aca="false">-J6*J23/100</f>
        <v>-26.4216738147498</v>
      </c>
      <c r="K24" s="0" t="n">
        <f aca="false">-K6*K23/100</f>
        <v>-26.9501072910448</v>
      </c>
      <c r="L24" s="0" t="n">
        <f aca="false">-L6*L23/100</f>
        <v>-27.4891094368657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1733.8108798021</v>
      </c>
    </row>
    <row r="31" customFormat="false" ht="15" hidden="false" customHeight="false" outlineLevel="0" collapsed="false">
      <c r="A31" s="0" t="s">
        <v>125</v>
      </c>
      <c r="B31" s="0" t="n">
        <f aca="false">L19</f>
        <v>239.498865968692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3053.61054110082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3592.48298953038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3053.61054110082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1177.2990526527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2911.1099324548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6054.0099324548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28.6756530176529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-0.590347814033531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240.44002900802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202.691372049246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30.7746060157019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1879.14494836974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23.9876901042608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25</v>
      </c>
      <c r="D5" s="4" t="n">
        <f aca="false">Assumptions!D27</f>
        <v>17</v>
      </c>
      <c r="E5" s="4" t="n">
        <f aca="false">Assumptions!E27</f>
        <v>13</v>
      </c>
      <c r="F5" s="4" t="n">
        <f aca="false">Assumptions!F27</f>
        <v>10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2913.338</v>
      </c>
      <c r="C6" s="0" t="n">
        <f aca="false">B6*(1+C5/100)</f>
        <v>3641.6725</v>
      </c>
      <c r="D6" s="0" t="n">
        <f aca="false">C6*(1+D5/100)</f>
        <v>4260.756825</v>
      </c>
      <c r="E6" s="0" t="n">
        <f aca="false">D6*(1+E5/100)</f>
        <v>4814.65521225</v>
      </c>
      <c r="F6" s="0" t="n">
        <f aca="false">E6*(1+F5/100)</f>
        <v>5296.120733475</v>
      </c>
      <c r="G6" s="0" t="n">
        <f aca="false">F6*(1+G5/100)</f>
        <v>5719.810392153</v>
      </c>
      <c r="H6" s="0" t="n">
        <f aca="false">G6*(1+H5/100)</f>
        <v>6120.19711960371</v>
      </c>
      <c r="I6" s="0" t="n">
        <f aca="false">H6*(1+I5/100)</f>
        <v>6487.40894677993</v>
      </c>
      <c r="J6" s="0" t="n">
        <f aca="false">I6*(1+J5/100)</f>
        <v>6811.77939411893</v>
      </c>
      <c r="K6" s="0" t="n">
        <f aca="false">J6*(1+K5/100)</f>
        <v>7084.25056988369</v>
      </c>
      <c r="L6" s="0" t="n">
        <f aca="false">K6*(1+L5/100)</f>
        <v>7296.7780869802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30.5</v>
      </c>
      <c r="D7" s="4" t="n">
        <f aca="false">Assumptions!D28</f>
        <v>30</v>
      </c>
      <c r="E7" s="4" t="n">
        <f aca="false">Assumptions!E28</f>
        <v>29.5</v>
      </c>
      <c r="F7" s="4" t="n">
        <f aca="false">Assumptions!F28</f>
        <v>29</v>
      </c>
      <c r="G7" s="4" t="n">
        <f aca="false">Assumptions!G28</f>
        <v>28.5</v>
      </c>
      <c r="H7" s="4" t="n">
        <f aca="false">Assumptions!H28</f>
        <v>28</v>
      </c>
      <c r="I7" s="4" t="n">
        <f aca="false">Assumptions!I28</f>
        <v>27.5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1110.7101125</v>
      </c>
      <c r="D8" s="0" t="n">
        <f aca="false">D6*D7/100</f>
        <v>1278.2270475</v>
      </c>
      <c r="E8" s="0" t="n">
        <f aca="false">E6*E7/100</f>
        <v>1420.32328761375</v>
      </c>
      <c r="F8" s="0" t="n">
        <f aca="false">F6*F7/100</f>
        <v>1535.87501270775</v>
      </c>
      <c r="G8" s="0" t="n">
        <f aca="false">G6*G7/100</f>
        <v>1630.1459617636</v>
      </c>
      <c r="H8" s="0" t="n">
        <f aca="false">H6*H7/100</f>
        <v>1713.65519348904</v>
      </c>
      <c r="I8" s="0" t="n">
        <f aca="false">I6*I7/100</f>
        <v>1784.03746036448</v>
      </c>
      <c r="J8" s="0" t="n">
        <f aca="false">J6*J7/100</f>
        <v>1839.18043641211</v>
      </c>
      <c r="K8" s="0" t="n">
        <f aca="false">K6*K7/100</f>
        <v>1912.7476538686</v>
      </c>
      <c r="L8" s="0" t="n">
        <f aca="false">L6*L7/100</f>
        <v>1970.13008348465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-36.416725</v>
      </c>
      <c r="D10" s="0" t="n">
        <f aca="false">-D6*D9/100</f>
        <v>-42.60756825</v>
      </c>
      <c r="E10" s="0" t="n">
        <f aca="false">-E6*E9/100</f>
        <v>-48.1465521225</v>
      </c>
      <c r="F10" s="0" t="n">
        <f aca="false">-F6*F9/100</f>
        <v>-52.96120733475</v>
      </c>
      <c r="G10" s="0" t="n">
        <f aca="false">-G6*G9/100</f>
        <v>-57.19810392153</v>
      </c>
      <c r="H10" s="0" t="n">
        <f aca="false">-H6*H9/100</f>
        <v>-61.2019711960371</v>
      </c>
      <c r="I10" s="0" t="n">
        <f aca="false">-I6*I9/100</f>
        <v>-64.8740894677993</v>
      </c>
      <c r="J10" s="0" t="n">
        <f aca="false">-J6*J9/100</f>
        <v>-68.1177939411893</v>
      </c>
      <c r="K10" s="0" t="n">
        <f aca="false">-K6*K9/100</f>
        <v>-70.8425056988369</v>
      </c>
      <c r="L10" s="0" t="n">
        <f aca="false">-L6*L9/100</f>
        <v>-72.967780869802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1045.1600075</v>
      </c>
      <c r="D11" s="0" t="n">
        <f aca="false">D8+D10+D24</f>
        <v>1201.53342465</v>
      </c>
      <c r="E11" s="0" t="n">
        <f aca="false">E8+E10+E24</f>
        <v>1333.65949379325</v>
      </c>
      <c r="F11" s="0" t="n">
        <f aca="false">F8+F10+F24</f>
        <v>1440.5448395052</v>
      </c>
      <c r="G11" s="0" t="n">
        <f aca="false">G8+G10+G24</f>
        <v>1527.18937470485</v>
      </c>
      <c r="H11" s="0" t="n">
        <f aca="false">H8+H10+H24</f>
        <v>1603.49164533617</v>
      </c>
      <c r="I11" s="0" t="n">
        <f aca="false">I8+I10+I24</f>
        <v>1667.26409932244</v>
      </c>
      <c r="J11" s="0" t="n">
        <f aca="false">J8+J10+J24</f>
        <v>1716.56840731797</v>
      </c>
      <c r="K11" s="0" t="n">
        <f aca="false">K8+K10+K24</f>
        <v>1785.23114361069</v>
      </c>
      <c r="L11" s="0" t="n">
        <f aca="false">L8+L10+L24</f>
        <v>1838.78807791901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-291.3338</v>
      </c>
      <c r="D12" s="4" t="n">
        <f aca="false">-D6*Assumptions!D31/100</f>
        <v>-340.860546</v>
      </c>
      <c r="E12" s="4" t="n">
        <f aca="false">-E6*Assumptions!E31/100</f>
        <v>-375.5431065555</v>
      </c>
      <c r="F12" s="4" t="n">
        <f aca="false">-F6*Assumptions!F31/100</f>
        <v>-402.5051757441</v>
      </c>
      <c r="G12" s="4" t="n">
        <f aca="false">-G6*Assumptions!G31/100</f>
        <v>-428.985779411475</v>
      </c>
      <c r="H12" s="4" t="n">
        <f aca="false">-H6*Assumptions!H31/100</f>
        <v>-452.894586850675</v>
      </c>
      <c r="I12" s="4" t="n">
        <f aca="false">-I6*Assumptions!I31/100</f>
        <v>-473.580853114935</v>
      </c>
      <c r="J12" s="4" t="n">
        <f aca="false">-J6*Assumptions!J31/100</f>
        <v>-490.448116376563</v>
      </c>
      <c r="K12" s="4" t="n">
        <f aca="false">-K6*Assumptions!K31/100</f>
        <v>-510.066041031625</v>
      </c>
      <c r="L12" s="4" t="n">
        <f aca="false">-L6*Assumptions!L31/100</f>
        <v>-525.368022262574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753.8262075</v>
      </c>
      <c r="D13" s="0" t="n">
        <f aca="false">D11+D12</f>
        <v>860.67287865</v>
      </c>
      <c r="E13" s="0" t="n">
        <f aca="false">E11+E12</f>
        <v>958.11638723775</v>
      </c>
      <c r="F13" s="0" t="n">
        <f aca="false">F11+F12</f>
        <v>1038.0396637611</v>
      </c>
      <c r="G13" s="0" t="n">
        <f aca="false">G11+G12</f>
        <v>1098.20359529338</v>
      </c>
      <c r="H13" s="0" t="n">
        <f aca="false">H11+H12</f>
        <v>1150.5970584855</v>
      </c>
      <c r="I13" s="0" t="n">
        <f aca="false">I11+I12</f>
        <v>1193.68324620751</v>
      </c>
      <c r="J13" s="0" t="n">
        <f aca="false">J11+J12</f>
        <v>1226.12029094141</v>
      </c>
      <c r="K13" s="0" t="n">
        <f aca="false">K11+K12</f>
        <v>1275.16510257906</v>
      </c>
      <c r="L13" s="0" t="n">
        <f aca="false">L11+L12</f>
        <v>1313.42005565644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10</v>
      </c>
      <c r="D14" s="4" t="n">
        <f aca="false">Assumptions!D33</f>
        <v>12</v>
      </c>
      <c r="E14" s="4" t="n">
        <f aca="false">Assumptions!E33</f>
        <v>14</v>
      </c>
      <c r="F14" s="4" t="n">
        <f aca="false">Assumptions!F33</f>
        <v>15</v>
      </c>
      <c r="G14" s="4" t="n">
        <f aca="false">Assumptions!G33</f>
        <v>16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678.44358675</v>
      </c>
      <c r="D15" s="0" t="n">
        <f aca="false">D13-MAX(0,D13)*D14/100</f>
        <v>757.392133212</v>
      </c>
      <c r="E15" s="0" t="n">
        <f aca="false">E13-MAX(0,E13)*E14/100</f>
        <v>823.980093024465</v>
      </c>
      <c r="F15" s="0" t="n">
        <f aca="false">F13-MAX(0,F13)*F14/100</f>
        <v>882.333714196935</v>
      </c>
      <c r="G15" s="0" t="n">
        <f aca="false">G13-MAX(0,G13)*G14/100</f>
        <v>922.491020046436</v>
      </c>
      <c r="H15" s="0" t="n">
        <f aca="false">H13-MAX(0,H13)*H14/100</f>
        <v>954.995558542963</v>
      </c>
      <c r="I15" s="0" t="n">
        <f aca="false">I13-MAX(0,I13)*I14/100</f>
        <v>990.757094352231</v>
      </c>
      <c r="J15" s="0" t="n">
        <f aca="false">J13-MAX(0,J13)*J14/100</f>
        <v>1017.67984148137</v>
      </c>
      <c r="K15" s="0" t="n">
        <f aca="false">K13-MAX(0,K13)*K14/100</f>
        <v>1058.38703514062</v>
      </c>
      <c r="L15" s="0" t="n">
        <f aca="false">L13-MAX(0,L13)*L14/100</f>
        <v>1090.13864619484</v>
      </c>
    </row>
    <row r="16" customFormat="false" ht="15" hidden="false" customHeight="false" outlineLevel="0" collapsed="false">
      <c r="A16" s="0" t="s">
        <v>116</v>
      </c>
      <c r="C16" s="0" t="n">
        <f aca="false">-C12</f>
        <v>291.3338</v>
      </c>
      <c r="D16" s="0" t="n">
        <f aca="false">-D12</f>
        <v>340.860546</v>
      </c>
      <c r="E16" s="0" t="n">
        <f aca="false">-E12</f>
        <v>375.5431065555</v>
      </c>
      <c r="F16" s="0" t="n">
        <f aca="false">-F12</f>
        <v>402.5051757441</v>
      </c>
      <c r="G16" s="0" t="n">
        <f aca="false">-G12</f>
        <v>428.985779411475</v>
      </c>
      <c r="H16" s="0" t="n">
        <f aca="false">-H12</f>
        <v>452.894586850675</v>
      </c>
      <c r="I16" s="0" t="n">
        <f aca="false">-I12</f>
        <v>473.580853114935</v>
      </c>
      <c r="J16" s="0" t="n">
        <f aca="false">-J12</f>
        <v>490.448116376563</v>
      </c>
      <c r="K16" s="0" t="n">
        <f aca="false">-K12</f>
        <v>510.066041031625</v>
      </c>
      <c r="L16" s="0" t="n">
        <f aca="false">-L12</f>
        <v>525.368022262574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-382.3756125</v>
      </c>
      <c r="D17" s="4" t="n">
        <f aca="false">-D6*Assumptions!D32/100</f>
        <v>-426.0756825</v>
      </c>
      <c r="E17" s="4" t="n">
        <f aca="false">-E6*Assumptions!E32/100</f>
        <v>-457.39224516375</v>
      </c>
      <c r="F17" s="4" t="n">
        <f aca="false">-F6*Assumptions!F32/100</f>
        <v>-476.65086601275</v>
      </c>
      <c r="G17" s="4" t="n">
        <f aca="false">-G6*Assumptions!G32/100</f>
        <v>-486.183883333005</v>
      </c>
      <c r="H17" s="4" t="n">
        <f aca="false">-H6*Assumptions!H32/100</f>
        <v>-489.615769568297</v>
      </c>
      <c r="I17" s="4" t="n">
        <f aca="false">-I6*Assumptions!I32/100</f>
        <v>-518.992715742395</v>
      </c>
      <c r="J17" s="4" t="n">
        <f aca="false">-J6*Assumptions!J32/100</f>
        <v>-544.942351529514</v>
      </c>
      <c r="K17" s="4" t="n">
        <f aca="false">-K6*Assumptions!K32/100</f>
        <v>-566.740045590695</v>
      </c>
      <c r="L17" s="4" t="n">
        <f aca="false">-L6*Assumptions!L32/100</f>
        <v>-583.742246958416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587.40177425</v>
      </c>
      <c r="D19" s="0" t="n">
        <f aca="false">D15+D16+D17+D18</f>
        <v>672.176996712</v>
      </c>
      <c r="E19" s="0" t="n">
        <f aca="false">E15+E16+E17+E18</f>
        <v>742.130954416215</v>
      </c>
      <c r="F19" s="0" t="n">
        <f aca="false">F15+F16+F17+F18</f>
        <v>808.188023928285</v>
      </c>
      <c r="G19" s="0" t="n">
        <f aca="false">G15+G16+G17+G18</f>
        <v>865.292916124906</v>
      </c>
      <c r="H19" s="0" t="n">
        <f aca="false">H15+H16+H17+H18</f>
        <v>918.274375825341</v>
      </c>
      <c r="I19" s="0" t="n">
        <f aca="false">I15+I16+I17+I18</f>
        <v>945.345231724772</v>
      </c>
      <c r="J19" s="0" t="n">
        <f aca="false">J15+J16+J17+J18</f>
        <v>963.185606328417</v>
      </c>
      <c r="K19" s="0" t="n">
        <f aca="false">K15+K16+K17+K18</f>
        <v>1001.71303058155</v>
      </c>
      <c r="L19" s="0" t="n">
        <f aca="false">L15+L16+L17+L18</f>
        <v>1031.764421499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534.001612954546</v>
      </c>
      <c r="D21" s="0" t="n">
        <f aca="false">D19*D20</f>
        <v>555.518179100826</v>
      </c>
      <c r="E21" s="0" t="n">
        <f aca="false">E19*E20</f>
        <v>557.573970260116</v>
      </c>
      <c r="F21" s="0" t="n">
        <f aca="false">F19*F20</f>
        <v>552.003294807926</v>
      </c>
      <c r="G21" s="0" t="n">
        <f aca="false">G19*G20</f>
        <v>537.278822313991</v>
      </c>
      <c r="H21" s="0" t="n">
        <f aca="false">H19*H20</f>
        <v>518.341945789809</v>
      </c>
      <c r="I21" s="0" t="n">
        <f aca="false">I19*I20</f>
        <v>485.111580190255</v>
      </c>
      <c r="J21" s="0" t="n">
        <f aca="false">J19*J20</f>
        <v>449.333193863993</v>
      </c>
      <c r="K21" s="0" t="n">
        <f aca="false">K19*K20</f>
        <v>424.82411056232</v>
      </c>
      <c r="L21" s="0" t="n">
        <f aca="false">L19*L20</f>
        <v>397.789848981082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-29.13338</v>
      </c>
      <c r="D24" s="0" t="n">
        <f aca="false">-D6*D23/100</f>
        <v>-34.0860546</v>
      </c>
      <c r="E24" s="0" t="n">
        <f aca="false">-E6*E23/100</f>
        <v>-38.517241698</v>
      </c>
      <c r="F24" s="0" t="n">
        <f aca="false">-F6*F23/100</f>
        <v>-42.3689658678</v>
      </c>
      <c r="G24" s="0" t="n">
        <f aca="false">-G6*G23/100</f>
        <v>-45.758483137224</v>
      </c>
      <c r="H24" s="0" t="n">
        <f aca="false">-H6*H23/100</f>
        <v>-48.9615769568297</v>
      </c>
      <c r="I24" s="0" t="n">
        <f aca="false">-I6*I23/100</f>
        <v>-51.8992715742395</v>
      </c>
      <c r="J24" s="0" t="n">
        <f aca="false">-J6*J23/100</f>
        <v>-54.4942351529514</v>
      </c>
      <c r="K24" s="0" t="n">
        <f aca="false">-K6*K23/100</f>
        <v>-56.6740045590695</v>
      </c>
      <c r="L24" s="0" t="n">
        <f aca="false">-L6*L23/100</f>
        <v>-58.3742246958416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5011.77655882486</v>
      </c>
    </row>
    <row r="31" customFormat="false" ht="15" hidden="false" customHeight="false" outlineLevel="0" collapsed="false">
      <c r="A31" s="0" t="s">
        <v>125</v>
      </c>
      <c r="B31" s="0" t="n">
        <f aca="false">L19</f>
        <v>1031.764421499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14100.780427153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15476.466322485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14100.780427153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5436.46126940812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10448.237828233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13591.137828233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64.3762988210814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-0.0803385882702656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333.972349449931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384.473922871861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67.7793186784625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8460.4682562918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43.7690644360311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30</v>
      </c>
      <c r="D5" s="4" t="n">
        <f aca="false">Assumptions!D41</f>
        <v>24</v>
      </c>
      <c r="E5" s="4" t="n">
        <f aca="false">Assumptions!E41</f>
        <v>19</v>
      </c>
      <c r="F5" s="4" t="n">
        <f aca="false">Assumptions!F41</f>
        <v>15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2913.338</v>
      </c>
      <c r="C6" s="0" t="n">
        <f aca="false">B6*(1+C5/100)</f>
        <v>3787.3394</v>
      </c>
      <c r="D6" s="0" t="n">
        <f aca="false">C6*(1+D5/100)</f>
        <v>4696.300856</v>
      </c>
      <c r="E6" s="0" t="n">
        <f aca="false">D6*(1+E5/100)</f>
        <v>5588.59801864</v>
      </c>
      <c r="F6" s="0" t="n">
        <f aca="false">E6*(1+F5/100)</f>
        <v>6426.887721436</v>
      </c>
      <c r="G6" s="0" t="n">
        <f aca="false">F6*(1+G5/100)</f>
        <v>7198.11424800832</v>
      </c>
      <c r="H6" s="0" t="n">
        <f aca="false">G6*(1+H5/100)</f>
        <v>7917.92567280915</v>
      </c>
      <c r="I6" s="0" t="n">
        <f aca="false">H6*(1+I5/100)</f>
        <v>8551.35972663389</v>
      </c>
      <c r="J6" s="0" t="n">
        <f aca="false">I6*(1+J5/100)</f>
        <v>9064.44131023192</v>
      </c>
      <c r="K6" s="0" t="n">
        <f aca="false">J6*(1+K5/100)</f>
        <v>9517.66337574352</v>
      </c>
      <c r="L6" s="0" t="n">
        <f aca="false">K6*(1+L5/100)</f>
        <v>9898.36991077326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32</v>
      </c>
      <c r="D7" s="4" t="n">
        <f aca="false">Assumptions!D42</f>
        <v>32</v>
      </c>
      <c r="E7" s="4" t="n">
        <f aca="false">Assumptions!E42</f>
        <v>32</v>
      </c>
      <c r="F7" s="4" t="n">
        <f aca="false">Assumptions!F42</f>
        <v>31.5</v>
      </c>
      <c r="G7" s="4" t="n">
        <f aca="false">Assumptions!G42</f>
        <v>31</v>
      </c>
      <c r="H7" s="4" t="n">
        <f aca="false">Assumptions!H42</f>
        <v>31</v>
      </c>
      <c r="I7" s="4" t="n">
        <f aca="false">Assumptions!I42</f>
        <v>30.5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1211.948608</v>
      </c>
      <c r="D8" s="0" t="n">
        <f aca="false">D6*D7/100</f>
        <v>1502.81627392</v>
      </c>
      <c r="E8" s="0" t="n">
        <f aca="false">E6*E7/100</f>
        <v>1788.3513659648</v>
      </c>
      <c r="F8" s="0" t="n">
        <f aca="false">F6*F7/100</f>
        <v>2024.46963225234</v>
      </c>
      <c r="G8" s="0" t="n">
        <f aca="false">G6*G7/100</f>
        <v>2231.41541688258</v>
      </c>
      <c r="H8" s="0" t="n">
        <f aca="false">H6*H7/100</f>
        <v>2454.55695857084</v>
      </c>
      <c r="I8" s="0" t="n">
        <f aca="false">I6*I7/100</f>
        <v>2608.16471662334</v>
      </c>
      <c r="J8" s="0" t="n">
        <f aca="false">J6*J7/100</f>
        <v>2719.33239306958</v>
      </c>
      <c r="K8" s="0" t="n">
        <f aca="false">K6*K7/100</f>
        <v>2855.29901272305</v>
      </c>
      <c r="L8" s="0" t="n">
        <f aca="false">L6*L7/100</f>
        <v>2969.51097323198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-37.873394</v>
      </c>
      <c r="D10" s="0" t="n">
        <f aca="false">-D6*D9/100</f>
        <v>-46.96300856</v>
      </c>
      <c r="E10" s="0" t="n">
        <f aca="false">-E6*E9/100</f>
        <v>-55.8859801864</v>
      </c>
      <c r="F10" s="0" t="n">
        <f aca="false">-F6*F9/100</f>
        <v>-64.26887721436</v>
      </c>
      <c r="G10" s="0" t="n">
        <f aca="false">-G6*G9/100</f>
        <v>-71.9811424800832</v>
      </c>
      <c r="H10" s="0" t="n">
        <f aca="false">-H6*H9/100</f>
        <v>-79.1792567280915</v>
      </c>
      <c r="I10" s="0" t="n">
        <f aca="false">-I6*I9/100</f>
        <v>-85.5135972663389</v>
      </c>
      <c r="J10" s="0" t="n">
        <f aca="false">-J6*J9/100</f>
        <v>-90.6444131023192</v>
      </c>
      <c r="K10" s="0" t="n">
        <f aca="false">-K6*K9/100</f>
        <v>-95.1766337574352</v>
      </c>
      <c r="L10" s="0" t="n">
        <f aca="false">-L6*L9/100</f>
        <v>-98.9836991077326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1143.7764988</v>
      </c>
      <c r="D11" s="0" t="n">
        <f aca="false">D8+D10+D24</f>
        <v>1418.282858512</v>
      </c>
      <c r="E11" s="0" t="n">
        <f aca="false">E8+E10+E24</f>
        <v>1687.75660162928</v>
      </c>
      <c r="F11" s="0" t="n">
        <f aca="false">F8+F10+F24</f>
        <v>1908.78565326649</v>
      </c>
      <c r="G11" s="0" t="n">
        <f aca="false">G8+G10+G24</f>
        <v>2101.84936041843</v>
      </c>
      <c r="H11" s="0" t="n">
        <f aca="false">H8+H10+H24</f>
        <v>2312.03429646027</v>
      </c>
      <c r="I11" s="0" t="n">
        <f aca="false">I8+I10+I24</f>
        <v>2454.24024154393</v>
      </c>
      <c r="J11" s="0" t="n">
        <f aca="false">J8+J10+J24</f>
        <v>2556.1724494854</v>
      </c>
      <c r="K11" s="0" t="n">
        <f aca="false">K8+K10+K24</f>
        <v>2683.98107195967</v>
      </c>
      <c r="L11" s="0" t="n">
        <f aca="false">L8+L10+L24</f>
        <v>2791.34031483806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-302.987152</v>
      </c>
      <c r="D12" s="4" t="n">
        <f aca="false">-D6*Assumptions!D45/100</f>
        <v>-375.70406848</v>
      </c>
      <c r="E12" s="4" t="n">
        <f aca="false">-E6*Assumptions!E45/100</f>
        <v>-435.91064545392</v>
      </c>
      <c r="F12" s="4" t="n">
        <f aca="false">-F6*Assumptions!F45/100</f>
        <v>-488.443466829136</v>
      </c>
      <c r="G12" s="4" t="n">
        <f aca="false">-G6*Assumptions!G45/100</f>
        <v>-539.858568600624</v>
      </c>
      <c r="H12" s="4" t="n">
        <f aca="false">-H6*Assumptions!H45/100</f>
        <v>-585.926499787877</v>
      </c>
      <c r="I12" s="4" t="n">
        <f aca="false">-I6*Assumptions!I45/100</f>
        <v>-624.249260044274</v>
      </c>
      <c r="J12" s="4" t="n">
        <f aca="false">-J6*Assumptions!J45/100</f>
        <v>-652.639774336698</v>
      </c>
      <c r="K12" s="4" t="n">
        <f aca="false">-K6*Assumptions!K45/100</f>
        <v>-685.271763053533</v>
      </c>
      <c r="L12" s="4" t="n">
        <f aca="false">-L6*Assumptions!L45/100</f>
        <v>-712.682633575675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840.7893468</v>
      </c>
      <c r="D13" s="0" t="n">
        <f aca="false">D11+D12</f>
        <v>1042.578790032</v>
      </c>
      <c r="E13" s="0" t="n">
        <f aca="false">E11+E12</f>
        <v>1251.84595617536</v>
      </c>
      <c r="F13" s="0" t="n">
        <f aca="false">F11+F12</f>
        <v>1420.34218643736</v>
      </c>
      <c r="G13" s="0" t="n">
        <f aca="false">G11+G12</f>
        <v>1561.99079181781</v>
      </c>
      <c r="H13" s="0" t="n">
        <f aca="false">H11+H12</f>
        <v>1726.1077966724</v>
      </c>
      <c r="I13" s="0" t="n">
        <f aca="false">I11+I12</f>
        <v>1829.99098149965</v>
      </c>
      <c r="J13" s="0" t="n">
        <f aca="false">J11+J12</f>
        <v>1903.5326751487</v>
      </c>
      <c r="K13" s="0" t="n">
        <f aca="false">K11+K12</f>
        <v>1998.70930890614</v>
      </c>
      <c r="L13" s="0" t="n">
        <f aca="false">L11+L12</f>
        <v>2078.65768126238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10</v>
      </c>
      <c r="D14" s="4" t="n">
        <f aca="false">Assumptions!D47</f>
        <v>12</v>
      </c>
      <c r="E14" s="4" t="n">
        <f aca="false">Assumptions!E47</f>
        <v>14</v>
      </c>
      <c r="F14" s="4" t="n">
        <f aca="false">Assumptions!F47</f>
        <v>15</v>
      </c>
      <c r="G14" s="4" t="n">
        <f aca="false">Assumptions!G47</f>
        <v>16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756.71041212</v>
      </c>
      <c r="D15" s="0" t="n">
        <f aca="false">D13-MAX(0,D13)*D14/100</f>
        <v>917.46933522816</v>
      </c>
      <c r="E15" s="0" t="n">
        <f aca="false">E13-MAX(0,E13)*E14/100</f>
        <v>1076.58752231081</v>
      </c>
      <c r="F15" s="0" t="n">
        <f aca="false">F13-MAX(0,F13)*F14/100</f>
        <v>1207.29085847175</v>
      </c>
      <c r="G15" s="0" t="n">
        <f aca="false">G13-MAX(0,G13)*G14/100</f>
        <v>1312.07226512696</v>
      </c>
      <c r="H15" s="0" t="n">
        <f aca="false">H13-MAX(0,H13)*H14/100</f>
        <v>1432.66947123809</v>
      </c>
      <c r="I15" s="0" t="n">
        <f aca="false">I13-MAX(0,I13)*I14/100</f>
        <v>1518.89251464471</v>
      </c>
      <c r="J15" s="0" t="n">
        <f aca="false">J13-MAX(0,J13)*J14/100</f>
        <v>1579.93212037342</v>
      </c>
      <c r="K15" s="0" t="n">
        <f aca="false">K13-MAX(0,K13)*K14/100</f>
        <v>1658.9287263921</v>
      </c>
      <c r="L15" s="0" t="n">
        <f aca="false">L13-MAX(0,L13)*L14/100</f>
        <v>1725.28587544778</v>
      </c>
    </row>
    <row r="16" customFormat="false" ht="15" hidden="false" customHeight="false" outlineLevel="0" collapsed="false">
      <c r="A16" s="0" t="s">
        <v>116</v>
      </c>
      <c r="C16" s="0" t="n">
        <f aca="false">-C12</f>
        <v>302.987152</v>
      </c>
      <c r="D16" s="0" t="n">
        <f aca="false">-D12</f>
        <v>375.70406848</v>
      </c>
      <c r="E16" s="0" t="n">
        <f aca="false">-E12</f>
        <v>435.91064545392</v>
      </c>
      <c r="F16" s="0" t="n">
        <f aca="false">-F12</f>
        <v>488.443466829136</v>
      </c>
      <c r="G16" s="0" t="n">
        <f aca="false">-G12</f>
        <v>539.858568600624</v>
      </c>
      <c r="H16" s="0" t="n">
        <f aca="false">-H12</f>
        <v>585.926499787877</v>
      </c>
      <c r="I16" s="0" t="n">
        <f aca="false">-I12</f>
        <v>624.249260044274</v>
      </c>
      <c r="J16" s="0" t="n">
        <f aca="false">-J12</f>
        <v>652.639774336698</v>
      </c>
      <c r="K16" s="0" t="n">
        <f aca="false">-K12</f>
        <v>685.271763053533</v>
      </c>
      <c r="L16" s="0" t="n">
        <f aca="false">-L12</f>
        <v>712.682633575675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-397.670637</v>
      </c>
      <c r="D17" s="4" t="n">
        <f aca="false">-D6*Assumptions!D46/100</f>
        <v>-469.6300856</v>
      </c>
      <c r="E17" s="4" t="n">
        <f aca="false">-E6*Assumptions!E46/100</f>
        <v>-530.9168117708</v>
      </c>
      <c r="F17" s="4" t="n">
        <f aca="false">-F6*Assumptions!F46/100</f>
        <v>-578.41989492924</v>
      </c>
      <c r="G17" s="4" t="n">
        <f aca="false">-G6*Assumptions!G46/100</f>
        <v>-611.839711080707</v>
      </c>
      <c r="H17" s="4" t="n">
        <f aca="false">-H6*Assumptions!H46/100</f>
        <v>-633.434053824732</v>
      </c>
      <c r="I17" s="4" t="n">
        <f aca="false">-I6*Assumptions!I46/100</f>
        <v>-684.108778130711</v>
      </c>
      <c r="J17" s="4" t="n">
        <f aca="false">-J6*Assumptions!J46/100</f>
        <v>-725.155304818554</v>
      </c>
      <c r="K17" s="4" t="n">
        <f aca="false">-K6*Assumptions!K46/100</f>
        <v>-761.413070059481</v>
      </c>
      <c r="L17" s="4" t="n">
        <f aca="false">-L6*Assumptions!L46/100</f>
        <v>-791.869592861861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662.02692712</v>
      </c>
      <c r="D19" s="0" t="n">
        <f aca="false">D15+D16+D17+D18</f>
        <v>823.54331810816</v>
      </c>
      <c r="E19" s="0" t="n">
        <f aca="false">E15+E16+E17+E18</f>
        <v>981.58135599393</v>
      </c>
      <c r="F19" s="0" t="n">
        <f aca="false">F15+F16+F17+F18</f>
        <v>1117.31443037165</v>
      </c>
      <c r="G19" s="0" t="n">
        <f aca="false">G15+G16+G17+G18</f>
        <v>1240.09112264687</v>
      </c>
      <c r="H19" s="0" t="n">
        <f aca="false">H15+H16+H17+H18</f>
        <v>1385.16191720123</v>
      </c>
      <c r="I19" s="0" t="n">
        <f aca="false">I15+I16+I17+I18</f>
        <v>1459.03299655827</v>
      </c>
      <c r="J19" s="0" t="n">
        <f aca="false">J15+J16+J17+J18</f>
        <v>1507.41658989157</v>
      </c>
      <c r="K19" s="0" t="n">
        <f aca="false">K15+K16+K17+K18</f>
        <v>1582.78741938615</v>
      </c>
      <c r="L19" s="0" t="n">
        <f aca="false">L15+L16+L17+L18</f>
        <v>1646.09891616159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601.842661018182</v>
      </c>
      <c r="D21" s="0" t="n">
        <f aca="false">D19*D20</f>
        <v>680.614312486083</v>
      </c>
      <c r="E21" s="0" t="n">
        <f aca="false">E19*E20</f>
        <v>737.47660104728</v>
      </c>
      <c r="F21" s="0" t="n">
        <f aca="false">F19*F20</f>
        <v>763.140789817395</v>
      </c>
      <c r="G21" s="0" t="n">
        <f aca="false">G19*G20</f>
        <v>769.999020587809</v>
      </c>
      <c r="H21" s="0" t="n">
        <f aca="false">H19*H20</f>
        <v>781.887791163405</v>
      </c>
      <c r="I21" s="0" t="n">
        <f aca="false">I19*I20</f>
        <v>748.714626950353</v>
      </c>
      <c r="J21" s="0" t="n">
        <f aca="false">J19*J20</f>
        <v>703.220964235005</v>
      </c>
      <c r="K21" s="0" t="n">
        <f aca="false">K19*K20</f>
        <v>671.256374951596</v>
      </c>
      <c r="L21" s="0" t="n">
        <f aca="false">L19*L20</f>
        <v>634.642390863327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-30.2987152</v>
      </c>
      <c r="D24" s="0" t="n">
        <f aca="false">-D6*D23/100</f>
        <v>-37.570406848</v>
      </c>
      <c r="E24" s="0" t="n">
        <f aca="false">-E6*E23/100</f>
        <v>-44.70878414912</v>
      </c>
      <c r="F24" s="0" t="n">
        <f aca="false">-F6*F23/100</f>
        <v>-51.415101771488</v>
      </c>
      <c r="G24" s="0" t="n">
        <f aca="false">-G6*G23/100</f>
        <v>-57.5849139840666</v>
      </c>
      <c r="H24" s="0" t="n">
        <f aca="false">-H6*H23/100</f>
        <v>-63.3434053824732</v>
      </c>
      <c r="I24" s="0" t="n">
        <f aca="false">-I6*I23/100</f>
        <v>-68.4108778130711</v>
      </c>
      <c r="J24" s="0" t="n">
        <f aca="false">-J6*J23/100</f>
        <v>-72.5155304818554</v>
      </c>
      <c r="K24" s="0" t="n">
        <f aca="false">-K6*K23/100</f>
        <v>-76.1413070059481</v>
      </c>
      <c r="L24" s="0" t="n">
        <f aca="false">-L6*L23/100</f>
        <v>-79.1869592861861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7092.79553312043</v>
      </c>
    </row>
    <row r="31" customFormat="false" ht="15" hidden="false" customHeight="false" outlineLevel="0" collapsed="false">
      <c r="A31" s="0" t="s">
        <v>125</v>
      </c>
      <c r="B31" s="0" t="n">
        <f aca="false">L19</f>
        <v>1646.09891616159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24221.1697663777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24691.4837424239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24221.1697663777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9338.30946556038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16431.1049986808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19574.0049986808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92.714974334437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0.3244996333491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413.211455372528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561.533942607359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97.3319903494226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14129.0156970537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57.9361412549801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28.6756530176529</v>
      </c>
      <c r="C4" s="0" t="n">
        <f aca="false">B4/Assumptions!$B$2-1</f>
        <v>-0.590347814033531</v>
      </c>
      <c r="D4" s="4" t="n">
        <f aca="false">Assumptions!$B$24</f>
        <v>0.3</v>
      </c>
      <c r="E4" s="4" t="n">
        <f aca="false">DCF_Bear!$B$43</f>
        <v>30.7746060157019</v>
      </c>
      <c r="F4" s="4" t="n">
        <f aca="false">DCF_Bear!$B$47</f>
        <v>23.9876901042608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64.3762988210814</v>
      </c>
      <c r="C5" s="0" t="n">
        <f aca="false">B5/Assumptions!$B$2-1</f>
        <v>-0.0803385882702656</v>
      </c>
      <c r="D5" s="4" t="n">
        <f aca="false">Assumptions!$B$38</f>
        <v>0.5</v>
      </c>
      <c r="E5" s="4" t="n">
        <f aca="false">DCF_Base!$B$43</f>
        <v>67.7793186784625</v>
      </c>
      <c r="F5" s="4" t="n">
        <f aca="false">DCF_Base!$B$47</f>
        <v>43.7690644360311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92.714974334437</v>
      </c>
      <c r="C6" s="0" t="n">
        <f aca="false">B6/Assumptions!$B$2-1</f>
        <v>0.3244996333491</v>
      </c>
      <c r="D6" s="4" t="n">
        <f aca="false">Assumptions!$B$52</f>
        <v>0.2</v>
      </c>
      <c r="E6" s="4" t="n">
        <f aca="false">DCF_Bull!$B$43</f>
        <v>97.3319903494226</v>
      </c>
      <c r="F6" s="4" t="n">
        <f aca="false">DCF_Bull!$B$47</f>
        <v>57.9361412549801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59.333840182724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62.5884392138263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-0.179765202866166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327.725772525145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40.6680675002898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70.7562613820356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64.3762988210814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58.2947598253599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53.5033007802136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43.7690644360311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74.997112092926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74.997112092926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74.997112092926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74.997112092926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74.997112092926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67.7285311463167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69.8715350144554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70.7562613820356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70.7562613820356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70.7562613820356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61.125153516897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62.6491278782334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64.3762988210814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66.3502084700505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66.8885474652239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55.9288325260977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57.0460759729715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58.2947598253599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59.6995291592968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61.2916010710919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51.7365486358972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52.5757559044475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53.5033007802136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54.5339061977315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55.685759311428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2026-10-10T22:14:17Z</dcterms:created>
  <dc:creator>openpyxl</dc:creator>
  <dc:description/>
  <dc:language>en-NZ</dc:language>
  <cp:lastModifiedBy/>
  <dcterms:modified xsi:type="dcterms:W3CDTF">2026-10-10T22:14:17Z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