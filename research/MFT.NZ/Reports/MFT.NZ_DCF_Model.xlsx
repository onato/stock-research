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<sst xmlns="http://schemas.openxmlformats.org/spreadsheetml/2006/main" count="133" uniqueCount="123">
  <si>
    <t>MFT.NZ (Mainfreight Limited) DCF Valuation Model</t>
  </si>
  <si>
    <t>Gray cells are INPUTS - adjust to see valuation change. Owner FCF = Reported FCF less IFRS16 lease principal repayment (SBC is verified NIL).</t>
  </si>
  <si>
    <t>KEY INPUTS</t>
  </si>
  <si>
    <t>Current Stock Price (NZD)</t>
  </si>
  <si>
    <t>Shares Outstanding (M) - static, no SBC/buybacks</t>
  </si>
  <si>
    <t>Cash &amp; Equivalents (M)</t>
  </si>
  <si>
    <t>Total Debt (M) - bank/asset-finance only, excl. IFRS16 leases</t>
  </si>
  <si>
    <t>Net Debt (M)</t>
  </si>
  <si>
    <t>Reported FCF FY2026 (M) [OCF - capex]</t>
  </si>
  <si>
    <t>Less: SBC (verified NIL for MFT)</t>
  </si>
  <si>
    <t>Less: IFRS16 Lease Principal Repayment FY2026 (M)</t>
  </si>
  <si>
    <t>Base Year Owner FCF (M)</t>
  </si>
  <si>
    <t>Annual Share Growth (dilution) - zero, SBC nil</t>
  </si>
  <si>
    <t>WACC (Base)</t>
  </si>
  <si>
    <t>Terminal Growth Rate (Base)</t>
  </si>
  <si>
    <t>Terminal Cap Multiple (x Year-5 FCF)</t>
  </si>
  <si>
    <t>BASE CASE COMPONENT ASSUMPTIONS</t>
  </si>
  <si>
    <t>Year 1</t>
  </si>
  <si>
    <t>Year 2</t>
  </si>
  <si>
    <t>Year 3</t>
  </si>
  <si>
    <t>Year 4</t>
  </si>
  <si>
    <t>Year 5</t>
  </si>
  <si>
    <t>Revenue Growth %</t>
  </si>
  <si>
    <t>EBITDA Margin %</t>
  </si>
  <si>
    <t>D&amp;A % of Revenue</t>
  </si>
  <si>
    <t>Capex % of Revenue</t>
  </si>
  <si>
    <t>Lease Principal % of Revenue</t>
  </si>
  <si>
    <t>Cash Tax Rate %</t>
  </si>
  <si>
    <t>Working Capital Capture % (of YoY revenue change)</t>
  </si>
  <si>
    <t>PROJECTIONS (Base Case, formula-driven)</t>
  </si>
  <si>
    <t>Revenue</t>
  </si>
  <si>
    <t>FY2026 Revenue (actual, anchor)</t>
  </si>
  <si>
    <t>Adj. EBITDA</t>
  </si>
  <si>
    <t>D&amp;A</t>
  </si>
  <si>
    <t>EBIT</t>
  </si>
  <si>
    <t>NOPAT (EBIT x (1-tax))</t>
  </si>
  <si>
    <t>Capex</t>
  </si>
  <si>
    <t>Lease Principal Repayment</t>
  </si>
  <si>
    <t>Working Capital (capture x YoY rev change)</t>
  </si>
  <si>
    <t>Owner Free Cash Flow</t>
  </si>
  <si>
    <t>Owner FCF Margin %</t>
  </si>
  <si>
    <t>Shares Outstanding (M)</t>
  </si>
  <si>
    <t>Discount Factor</t>
  </si>
  <si>
    <t>PV of Owner FCF</t>
  </si>
  <si>
    <t>VALUATION (Base Case)</t>
  </si>
  <si>
    <t>Sum of PV of FCF (Yr1-5)</t>
  </si>
  <si>
    <t>Terminal FCF (Year 5 x (1+g))</t>
  </si>
  <si>
    <t>Terminal Value (Gordon Growth)</t>
  </si>
  <si>
    <t>Terminal Value (Cap: 15x Year-5 FCF)</t>
  </si>
  <si>
    <t>Terminal Value Used (lower of the two)</t>
  </si>
  <si>
    <t>PV of Terminal Value</t>
  </si>
  <si>
    <t>Enterprise Value</t>
  </si>
  <si>
    <t>Less: Net Debt (net cash is negative, so this ADDS value)</t>
  </si>
  <si>
    <t>Equity Value</t>
  </si>
  <si>
    <t>INTRINSIC VALUE/SHARE</t>
  </si>
  <si>
    <t>ENTRY PRICE (15% IRR Target)</t>
  </si>
  <si>
    <t>PV of Yrs 1-5 FCF @15%</t>
  </si>
  <si>
    <t>PV of Terminal Value @15% (using Gordon TV at WACC)</t>
  </si>
  <si>
    <t>Less: Net Debt</t>
  </si>
  <si>
    <t>Entry Price (15% IRR)</t>
  </si>
  <si>
    <t>Upside to Intrinsic Value</t>
  </si>
  <si>
    <t>Discount of Entry Price to Current Price</t>
  </si>
  <si>
    <t>Sensitivity Analysis</t>
  </si>
  <si>
    <t>Intrinsic Value by WACC &amp; Terminal Growth (Base Case FCF path)</t>
  </si>
  <si>
    <t>WACC \ Term G</t>
  </si>
  <si>
    <t>Historical Growth Rates (Through-Cycle FY2017-FY2026)</t>
  </si>
  <si>
    <t>Metric</t>
  </si>
  <si>
    <t>3-Year CAGR</t>
  </si>
  <si>
    <t>5-Year / Through-Cycle CAGR</t>
  </si>
  <si>
    <t>EPS</t>
  </si>
  <si>
    <t>Equity (Book Value)</t>
  </si>
  <si>
    <t>Owner FCF (post-IFRS16 lease deduction)</t>
  </si>
  <si>
    <t>Selected Growth Rate (Revenue, 9yr through-cycle):</t>
  </si>
  <si>
    <t>Note:</t>
  </si>
  <si>
    <t>Equity CAGR (14.2% through-cycle) diverges materially above Revenue CAGR (9.7%) and EPS CAGR (10.5%). This is NOT SBC-driven dilution-avoidance (SBC is nil) -- it is retained-earnings compounding on a static share count with zero buybacks and zero dividends-out-of-capital, i.e. equity simply accumulates faster than revenue because margins expanded structurally post-IFRS16 (EBITDA margin ~8.5% pre-IFRS16 vs ~13-15% post-IFRS16, an accounting-driven step change, not organic margin gain) and because FY2022/23 windfall profits were retained rather than distributed. Revenue CAGR is used as the primary growth driver instead of equity CAGR because it is the cleanest, least distorted through-cycle series and is directly tied to the volume/branch-density growth drivers in the qualitative analysis.</t>
  </si>
  <si>
    <t>Note on 3yr CAGRs:</t>
  </si>
  <si>
    <t>3yr CAGRs (FY23-&gt;FY26) are all negative because FY2023 was the peak of the COVID freight-rate super-spike (revenue $5,675.7m, EBITDA $851.0m, NPAT $426.5m) -- using FY2023 as a CAGR start point systematically understates growth. The 9-10yr through-cycle CAGRs (FY2017-&gt;FY2026) are used instead as they span a full up-cycle and down-cycle. Owner FCF CAGR cannot be cleanly computed pre/post IFRS16 (lease principal repayment is 0 pre-FY2020 as operating leases sat in opex instead), so the FY2020-&gt;FY2026 6yr owner-FCF CAGR (28.7%) is shown for reference only and not used as a growth driver -- it is distorted by FY2020 being an unusually low owner-FCF base (COVID-affected, high capex year, only 1.30% owner-FCF margin).</t>
  </si>
  <si>
    <t>FCF Quality: Reported vs Owner FCF Reconciliation</t>
  </si>
  <si>
    <t>MFT.NZ: SBC is verified NIL. The material adjustment is IFRS16 lease principal repayment, a real recurring cash outflow excluded from the reported OCF-minus-capex FreeCashFlow figure.</t>
  </si>
  <si>
    <t>FY</t>
  </si>
  <si>
    <t>Reported FCF (OCF - capex)</t>
  </si>
  <si>
    <t>Less: SBC (nil)</t>
  </si>
  <si>
    <t>Less: IFRS16 Lease Principal</t>
  </si>
  <si>
    <t>Reported FCF Margin %</t>
  </si>
  <si>
    <t>Memo: cash tax rate on EBIT (post-IFRS16)</t>
  </si>
  <si>
    <t>Average ~27% is close to NZ statutory rate 28% -- no abnormal one-off, no ramp required.</t>
  </si>
  <si>
    <t>Memo: pre/post IFRS16 break</t>
  </si>
  <si>
    <t>FY2020 was the first year of IFRS16 adoption (lease principal repayment became a distinct cash flow line item, and D&amp;A/EBITDA jumped structurally as operating lease rent moved out of opex). Pre-FY2020 FCF/EBITDA figures are NOT directly comparable to post-FY2020 figures for this reason.</t>
  </si>
  <si>
    <t>Model Provenance &amp; Methodology</t>
  </si>
  <si>
    <t>Built by</t>
  </si>
  <si>
    <t>Claude Agent (dcf-analyst), per .claude/agents/dcf-analyst.md and Step 8/8c of .claude/skills/research-stock/SKILL.md</t>
  </si>
  <si>
    <t>Valuation date</t>
  </si>
  <si>
    <t>2026-08-13</t>
  </si>
  <si>
    <t>Share price date/source</t>
  </si>
  <si>
    <t>NZ$69.01 - live Yahoo Finance quote fetched 2026-08-13 (MFT.NZ)</t>
  </si>
  <si>
    <t>Data vintage</t>
  </si>
  <si>
    <t>FY2026 annual report (year to 31 March 2026), H1-2026 interim (six months to 30 September 2025); MFT.NZ_Metrics.csv 20 periods FY2017-FY2026 + H1-2017..H1-2026; MFT.NZ_Analysis.json dated 2026-08-13</t>
  </si>
  <si>
    <t>Fiscal year</t>
  </si>
  <si>
    <t>Ends 31 March. FY2026 = year to 31-Mar-2026, used as the base year (complete and recent).</t>
  </si>
  <si>
    <t>SBC treatment</t>
  </si>
  <si>
    <t>Verified NIL - 10-K/annual report footnotes confirm no share-based payment expense since FY2019 (trivial $55k in FY2017 only). Share count static at 100,698,548 since FY2017. The SBC adjustment step is a genuine no-op, documented explicitly rather than skipped silently.</t>
  </si>
  <si>
    <t>Lease principal adjustment</t>
  </si>
  <si>
    <t>IFRS16 lease principal repayment (from kpis.LeasePrincipalRepayment) is deducted from reported FCF to reach owner FCF. FY2026: 392.09 - 209.505 = 182.59. Consequently net debt uses BANK/ASSET-FINANCE DEBT ONLY (excludes ~NZ$1.29bn IFRS16 lease liabilities) to avoid double-counting the same lease obligation as both a cash outflow and a balance-sheet liability.</t>
  </si>
  <si>
    <t>Interest income</t>
  </si>
  <si>
    <t>Not stripped - FY2026 interest income ($3.3m) is immaterial against a small net-cash position (~$26.6m), well below the 1x-FCF-base materiality threshold.</t>
  </si>
  <si>
    <t>Horizon</t>
  </si>
  <si>
    <t>5 years explicit + Gordon Growth/15x cap terminal value. Base-case owner FCF margin is 4.33% (Y1) -&gt; 5.25% (Y5), essentially flat by Y4-Y5 (capex and EBITDA margin paths deliberately held near steady-state from Y3 onward rather than tapering indefinitely), so a 5-year horizon is adequate without needing a 10-year extension.</t>
  </si>
  <si>
    <t>Growth driver</t>
  </si>
  <si>
    <t>Revenue 9-year through-cycle CAGR (FY2017-&gt;FY2026, 9.73%), spanning both the COVID freight-rate super-spike and its unwind. Equity CAGR (14.2%) was rejected as the primary driver despite the normal preference for it, because it is inflated by retained-earnings compounding on a static, zero-SBC, zero-buyback share base plus a one-off post-IFRS16 EBITDA-margin step change, not organic growth.</t>
  </si>
  <si>
    <t>Cyclicality handling</t>
  </si>
  <si>
    <t>FY2022/FY2023 (COVID freight-rate super-spike; FY2023 EBITDA $851.0m, NPAT $426.5m) explicitly excluded from historical multiple averages (Step 8c) and from 3-year CAGR windows (which would otherwise show negative growth off an unrepeatable peak). FY2026 is a soft-patch year (PBT -8.5%, H1 PBT -18.3%) reflecting global freight-rate weakness and a cost-discipline lag, not a structural declining growth rate.</t>
  </si>
  <si>
    <t>WACC</t>
  </si>
  <si>
    <t>10.5% base (9.5% bull, 12.0% bear). No small-cap illiquidity premium (market cap ~NZ$6.9bn is large-cap for NZX). Premiums applied for freight-cycle earnings volatility (EBITDA range $398.7m FY2020 -&gt; $851.0m FY2023 -&gt; $759.8m FY2026, &gt;2x swing) and offshore-execution/FX risk (66% of revenue generated offshore, Europe/Americas persistent underperformance).</t>
  </si>
  <si>
    <t>Terminal growth</t>
  </si>
  <si>
    <t>2.25% base (2.0% bear, 2.5% bull) - conservative for a mature global logistics operator, below long-run NZ/global nominal GDP growth.</t>
  </si>
  <si>
    <t>Sanity check (Step 8c)</t>
  </si>
  <si>
    <t>PASSED. Implied multiples at base IV ($39.02): P/E 15.65x, P/B 1.84x, EV/EBITDA 5.14x - all comfortably BELOW the FY2017-2026 historical average (ex FY2022/23 spike years) of P/E 26.25x, P/B 3.85x avg / 6.27x max, EV/EBITDA 11.17x avg / 15.20x max. The large negative base-case upside (-43.5%) reflects Mainfreights persistent premium market rating for its quality/compounding reputation, not an inflated DCF - see valuation_philosophy in the JSON.</t>
  </si>
  <si>
    <t>What to refresh after next earnings print</t>
  </si>
  <si>
    <t>Update FY2027 H1 (due ~Nov 2026) actuals into Metrics.csv/kpis; re-fetch live price; re-check whether FY2027 capex tracks the $234m guidance; re-check whether Europe/Americas PBT trend has inflected (bull-case trigger) or deteriorated further (bear-case trigger); refresh 10y monthly price series for Step 8c sanity check.</t>
  </si>
  <si>
    <t>Cell colour conventions</t>
  </si>
  <si>
    <t>Gray-filled cells = adjustable inputs. White cells with borders = formula-driven outputs that recalculate automatically. Green-filled bold cells = headline valuation outputs (Intrinsic Value, Entry Price).</t>
  </si>
  <si>
    <t>Staleness warning</t>
  </si>
  <si>
    <t>All figures are point-in-time as of the valuation date above. Share price, WACC assumptions, and especially the freight-rate-cycle-dependent margin/growth assumptions must be re-checked against current conditions before relying on this model - do not treat it as evergreen.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</si>
</sst>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0%"/>
    <numFmt numFmtId="166" formatCode="0.0%"/>
    <numFmt numFmtId="167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6" fontId="0" fillId="0" borderId="2" xfId="0" applyNumberFormat="1" applyBorder="1"/>
    <xf numFmtId="0" fontId="5" fillId="0" borderId="0" xfId="0" applyFont="1"/>
    <xf numFmtId="167" fontId="4" fillId="4" borderId="2" xfId="0" applyNumberFormat="1" applyFont="1" applyFill="1" applyBorder="1"/>
    <xf numFmtId="165" fontId="4" fillId="3" borderId="0" xfId="0" applyNumberFormat="1" applyFont="1" applyFill="1"/>
    <xf numFmtId="167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69.01000000000001</v>
      </c>
    </row>
    <row r="6" spans="1:2">
      <c r="A6" t="s">
        <v>4</v>
      </c>
      <c r="B6" s="4">
        <v>100.698548</v>
      </c>
    </row>
    <row r="7" spans="1:2">
      <c r="A7" t="s">
        <v>5</v>
      </c>
      <c r="B7" s="4">
        <v>162.189</v>
      </c>
    </row>
    <row r="8" spans="1:2">
      <c r="A8" t="s">
        <v>6</v>
      </c>
      <c r="B8" s="4">
        <v>135.549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4">
        <v>392.09</v>
      </c>
    </row>
    <row r="11" spans="1:2">
      <c r="A11" t="s">
        <v>9</v>
      </c>
      <c r="B11" s="4">
        <v>0</v>
      </c>
    </row>
    <row r="12" spans="1:2">
      <c r="A12" t="s">
        <v>10</v>
      </c>
      <c r="B12" s="4">
        <v>209.505</v>
      </c>
    </row>
    <row r="13" spans="1:2">
      <c r="A13" t="s">
        <v>11</v>
      </c>
      <c r="B13" s="5">
        <f>B10-B11-B12</f>
        <v>0</v>
      </c>
    </row>
    <row r="14" spans="1:2">
      <c r="A14" t="s">
        <v>12</v>
      </c>
      <c r="B14" s="6">
        <v>0</v>
      </c>
    </row>
    <row r="16" spans="1:2">
      <c r="A16" t="s">
        <v>13</v>
      </c>
      <c r="B16" s="6">
        <v>0.105</v>
      </c>
    </row>
    <row r="17" spans="1:6">
      <c r="A17" t="s">
        <v>14</v>
      </c>
      <c r="B17" s="6">
        <v>0.0225</v>
      </c>
    </row>
    <row r="18" spans="1:6">
      <c r="A18" t="s">
        <v>15</v>
      </c>
      <c r="B18" s="4">
        <v>15</v>
      </c>
    </row>
    <row r="20" spans="1:6">
      <c r="A20" s="3" t="s">
        <v>16</v>
      </c>
    </row>
    <row r="21" spans="1:6">
      <c r="B21" s="7" t="s">
        <v>17</v>
      </c>
      <c r="C21" s="7" t="s">
        <v>18</v>
      </c>
      <c r="D21" s="7" t="s">
        <v>19</v>
      </c>
      <c r="E21" s="7" t="s">
        <v>20</v>
      </c>
      <c r="F21" s="7" t="s">
        <v>21</v>
      </c>
    </row>
    <row r="22" spans="1:6">
      <c r="A22" t="s">
        <v>22</v>
      </c>
      <c r="B22" s="6">
        <v>0.03</v>
      </c>
      <c r="C22" s="6">
        <v>0.05</v>
      </c>
      <c r="D22" s="6">
        <v>0.06</v>
      </c>
      <c r="E22" s="6">
        <v>0.065</v>
      </c>
      <c r="F22" s="6">
        <v>0.065</v>
      </c>
    </row>
    <row r="23" spans="1:6">
      <c r="A23" t="s">
        <v>23</v>
      </c>
      <c r="B23" s="6">
        <v>0.142</v>
      </c>
      <c r="C23" s="6">
        <v>0.144</v>
      </c>
      <c r="D23" s="6">
        <v>0.145</v>
      </c>
      <c r="E23" s="6">
        <v>0.145</v>
      </c>
      <c r="F23" s="6">
        <v>0.145</v>
      </c>
    </row>
    <row r="24" spans="1:6">
      <c r="A24" t="s">
        <v>24</v>
      </c>
      <c r="B24" s="6">
        <v>0.065</v>
      </c>
      <c r="C24" s="6">
        <v>0.065</v>
      </c>
      <c r="D24" s="6">
        <v>0.064</v>
      </c>
      <c r="E24" s="6">
        <v>0.064</v>
      </c>
      <c r="F24" s="6">
        <v>0.064</v>
      </c>
    </row>
    <row r="25" spans="1:6">
      <c r="A25" t="s">
        <v>25</v>
      </c>
      <c r="B25" s="6">
        <v>0.043</v>
      </c>
      <c r="C25" s="6">
        <v>0.042</v>
      </c>
      <c r="D25" s="6">
        <v>0.042</v>
      </c>
      <c r="E25" s="6">
        <v>0.042</v>
      </c>
      <c r="F25" s="6">
        <v>0.042</v>
      </c>
    </row>
    <row r="26" spans="1:6">
      <c r="A26" t="s">
        <v>26</v>
      </c>
      <c r="B26" s="6">
        <v>0.0385</v>
      </c>
      <c r="C26" s="6">
        <v>0.038</v>
      </c>
      <c r="D26" s="6">
        <v>0.0375</v>
      </c>
      <c r="E26" s="6">
        <v>0.0372</v>
      </c>
      <c r="F26" s="6">
        <v>0.03700000000000001</v>
      </c>
    </row>
    <row r="27" spans="1:6">
      <c r="A27" t="s">
        <v>27</v>
      </c>
      <c r="B27" s="6">
        <v>0.28</v>
      </c>
      <c r="C27" s="6">
        <v>0.28</v>
      </c>
      <c r="D27" s="6">
        <v>0.28</v>
      </c>
      <c r="E27" s="6">
        <v>0.28</v>
      </c>
      <c r="F27" s="6">
        <v>0.28</v>
      </c>
    </row>
    <row r="28" spans="1:6">
      <c r="A28" t="s">
        <v>28</v>
      </c>
      <c r="B28" s="6">
        <v>0.15</v>
      </c>
    </row>
    <row r="30" spans="1:6">
      <c r="A30" s="3" t="s">
        <v>29</v>
      </c>
    </row>
    <row r="31" spans="1:6">
      <c r="A31" s="7"/>
      <c r="B31" s="7" t="s">
        <v>17</v>
      </c>
      <c r="C31" s="7" t="s">
        <v>18</v>
      </c>
      <c r="D31" s="7" t="s">
        <v>19</v>
      </c>
      <c r="E31" s="7" t="s">
        <v>20</v>
      </c>
      <c r="F31" s="7" t="s">
        <v>21</v>
      </c>
    </row>
    <row r="32" spans="1:6">
      <c r="A32" t="s">
        <v>30</v>
      </c>
      <c r="B32" s="5">
        <f>$B$33*(1+B22)</f>
        <v>0</v>
      </c>
      <c r="C32" s="5">
        <f>B32*(1+C22)</f>
        <v>0</v>
      </c>
      <c r="D32" s="5">
        <f>C32*(1+D22)</f>
        <v>0</v>
      </c>
      <c r="E32" s="5">
        <f>D32*(1+E22)</f>
        <v>0</v>
      </c>
      <c r="F32" s="5">
        <f>E32*(1+F22)</f>
        <v>0</v>
      </c>
    </row>
    <row r="33" spans="1:6">
      <c r="A33" t="s">
        <v>31</v>
      </c>
      <c r="B33" s="4">
        <v>5383.52</v>
      </c>
    </row>
    <row r="34" spans="1:6">
      <c r="A34" t="s">
        <v>32</v>
      </c>
      <c r="B34" s="5">
        <f>B32*B23</f>
        <v>0</v>
      </c>
      <c r="C34" s="5">
        <f>C32*C23</f>
        <v>0</v>
      </c>
      <c r="D34" s="5">
        <f>D32*D23</f>
        <v>0</v>
      </c>
      <c r="E34" s="5">
        <f>E32*E23</f>
        <v>0</v>
      </c>
      <c r="F34" s="5">
        <f>F32*F23</f>
        <v>0</v>
      </c>
    </row>
    <row r="35" spans="1:6">
      <c r="A35" t="s">
        <v>33</v>
      </c>
      <c r="B35" s="5">
        <f>B32*B24</f>
        <v>0</v>
      </c>
      <c r="C35" s="5">
        <f>C32*C24</f>
        <v>0</v>
      </c>
      <c r="D35" s="5">
        <f>D32*D24</f>
        <v>0</v>
      </c>
      <c r="E35" s="5">
        <f>E32*E24</f>
        <v>0</v>
      </c>
      <c r="F35" s="5">
        <f>F32*F24</f>
        <v>0</v>
      </c>
    </row>
    <row r="36" spans="1:6">
      <c r="A36" t="s">
        <v>34</v>
      </c>
      <c r="B36" s="5">
        <f>B34-B35</f>
        <v>0</v>
      </c>
      <c r="C36" s="5">
        <f>C34-C35</f>
        <v>0</v>
      </c>
      <c r="D36" s="5">
        <f>D34-D35</f>
        <v>0</v>
      </c>
      <c r="E36" s="5">
        <f>E34-E35</f>
        <v>0</v>
      </c>
      <c r="F36" s="5">
        <f>F34-F35</f>
        <v>0</v>
      </c>
    </row>
    <row r="37" spans="1:6">
      <c r="A37" t="s">
        <v>35</v>
      </c>
      <c r="B37" s="5">
        <f>B36*(1-B27)</f>
        <v>0</v>
      </c>
      <c r="C37" s="5">
        <f>C36*(1-C27)</f>
        <v>0</v>
      </c>
      <c r="D37" s="5">
        <f>D36*(1-D27)</f>
        <v>0</v>
      </c>
      <c r="E37" s="5">
        <f>E36*(1-E27)</f>
        <v>0</v>
      </c>
      <c r="F37" s="5">
        <f>F36*(1-F27)</f>
        <v>0</v>
      </c>
    </row>
    <row r="38" spans="1:6">
      <c r="A38" t="s">
        <v>36</v>
      </c>
      <c r="B38" s="5">
        <f>B32*B25</f>
        <v>0</v>
      </c>
      <c r="C38" s="5">
        <f>C32*C25</f>
        <v>0</v>
      </c>
      <c r="D38" s="5">
        <f>D32*D25</f>
        <v>0</v>
      </c>
      <c r="E38" s="5">
        <f>E32*E25</f>
        <v>0</v>
      </c>
      <c r="F38" s="5">
        <f>F32*F25</f>
        <v>0</v>
      </c>
    </row>
    <row r="39" spans="1:6">
      <c r="A39" t="s">
        <v>37</v>
      </c>
      <c r="B39" s="5">
        <f>B32*B26</f>
        <v>0</v>
      </c>
      <c r="C39" s="5">
        <f>C32*C26</f>
        <v>0</v>
      </c>
      <c r="D39" s="5">
        <f>D32*D26</f>
        <v>0</v>
      </c>
      <c r="E39" s="5">
        <f>E32*E26</f>
        <v>0</v>
      </c>
      <c r="F39" s="5">
        <f>F32*F26</f>
        <v>0</v>
      </c>
    </row>
    <row r="40" spans="1:6">
      <c r="A40" t="s">
        <v>38</v>
      </c>
      <c r="B40" s="5">
        <f>$B$28*(B32-$B$33)</f>
        <v>0</v>
      </c>
      <c r="C40" s="5">
        <f>$B$28*(C32-B32)</f>
        <v>0</v>
      </c>
      <c r="D40" s="5">
        <f>$B$28*(D32-C32)</f>
        <v>0</v>
      </c>
      <c r="E40" s="5">
        <f>$B$28*(E32-D32)</f>
        <v>0</v>
      </c>
      <c r="F40" s="5">
        <f>$B$28*(F32-E32)</f>
        <v>0</v>
      </c>
    </row>
    <row r="41" spans="1:6">
      <c r="A41" t="s">
        <v>39</v>
      </c>
      <c r="B41" s="5">
        <f>B37+B35-B38-B39+B40</f>
        <v>0</v>
      </c>
      <c r="C41" s="5">
        <f>C37+C35-C38-C39+C40</f>
        <v>0</v>
      </c>
      <c r="D41" s="5">
        <f>D37+D35-D38-D39+D40</f>
        <v>0</v>
      </c>
      <c r="E41" s="5">
        <f>E37+E35-E38-E39+E40</f>
        <v>0</v>
      </c>
      <c r="F41" s="5">
        <f>F37+F35-F38-F39+F40</f>
        <v>0</v>
      </c>
    </row>
    <row r="42" spans="1:6">
      <c r="A42" t="s">
        <v>40</v>
      </c>
      <c r="B42" s="8">
        <f>B41/B32</f>
        <v>0</v>
      </c>
      <c r="C42" s="8">
        <f>C41/C32</f>
        <v>0</v>
      </c>
      <c r="D42" s="8">
        <f>D41/D32</f>
        <v>0</v>
      </c>
      <c r="E42" s="8">
        <f>E41/E32</f>
        <v>0</v>
      </c>
      <c r="F42" s="8">
        <f>F41/F32</f>
        <v>0</v>
      </c>
    </row>
    <row r="43" spans="1:6">
      <c r="A43" t="s">
        <v>41</v>
      </c>
      <c r="B43" s="5">
        <f>$B$6*(1+$B$14)^1</f>
        <v>0</v>
      </c>
      <c r="C43" s="5">
        <f>$B$6*(1+$B$14)^2</f>
        <v>0</v>
      </c>
      <c r="D43" s="5">
        <f>$B$6*(1+$B$14)^3</f>
        <v>0</v>
      </c>
      <c r="E43" s="5">
        <f>$B$6*(1+$B$14)^4</f>
        <v>0</v>
      </c>
      <c r="F43" s="5">
        <f>$B$6*(1+$B$14)^5</f>
        <v>0</v>
      </c>
    </row>
    <row r="44" spans="1:6">
      <c r="A44" t="s">
        <v>42</v>
      </c>
      <c r="B44" s="5">
        <f>1/(1+$B$16)^1</f>
        <v>0</v>
      </c>
      <c r="C44" s="5">
        <f>1/(1+$B$16)^2</f>
        <v>0</v>
      </c>
      <c r="D44" s="5">
        <f>1/(1+$B$16)^3</f>
        <v>0</v>
      </c>
      <c r="E44" s="5">
        <f>1/(1+$B$16)^4</f>
        <v>0</v>
      </c>
      <c r="F44" s="5">
        <f>1/(1+$B$16)^5</f>
        <v>0</v>
      </c>
    </row>
    <row r="45" spans="1:6">
      <c r="A45" t="s">
        <v>43</v>
      </c>
      <c r="B45" s="5">
        <f>B41*B44</f>
        <v>0</v>
      </c>
      <c r="C45" s="5">
        <f>C41*C44</f>
        <v>0</v>
      </c>
      <c r="D45" s="5">
        <f>D41*D44</f>
        <v>0</v>
      </c>
      <c r="E45" s="5">
        <f>E41*E44</f>
        <v>0</v>
      </c>
      <c r="F45" s="5">
        <f>F41*F44</f>
        <v>0</v>
      </c>
    </row>
    <row r="47" spans="1:6">
      <c r="A47" s="3" t="s">
        <v>44</v>
      </c>
    </row>
    <row r="48" spans="1:6">
      <c r="A48" t="s">
        <v>45</v>
      </c>
      <c r="B48" s="5">
        <f>SUM(B45:F45)</f>
        <v>0</v>
      </c>
    </row>
    <row r="49" spans="1:2">
      <c r="A49" t="s">
        <v>46</v>
      </c>
      <c r="B49" s="5">
        <f>F41*(1+$B$17)</f>
        <v>0</v>
      </c>
    </row>
    <row r="50" spans="1:2">
      <c r="A50" t="s">
        <v>47</v>
      </c>
      <c r="B50" s="5">
        <f>B49/($B$16-$B$17)</f>
        <v>0</v>
      </c>
    </row>
    <row r="51" spans="1:2">
      <c r="A51" t="s">
        <v>48</v>
      </c>
      <c r="B51" s="5">
        <f>$B$18*F41</f>
        <v>0</v>
      </c>
    </row>
    <row r="52" spans="1:2">
      <c r="A52" t="s">
        <v>49</v>
      </c>
      <c r="B52" s="5">
        <f>MIN(B50,B51)</f>
        <v>0</v>
      </c>
    </row>
    <row r="53" spans="1:2">
      <c r="A53" t="s">
        <v>50</v>
      </c>
      <c r="B53" s="5">
        <f>B52*F44</f>
        <v>0</v>
      </c>
    </row>
    <row r="54" spans="1:2">
      <c r="A54" t="s">
        <v>51</v>
      </c>
      <c r="B54" s="5">
        <f>B48+B53</f>
        <v>0</v>
      </c>
    </row>
    <row r="55" spans="1:2">
      <c r="A55" t="s">
        <v>52</v>
      </c>
      <c r="B55" s="5">
        <f>B9</f>
        <v>0</v>
      </c>
    </row>
    <row r="56" spans="1:2">
      <c r="A56" t="s">
        <v>53</v>
      </c>
      <c r="B56" s="5">
        <f>B54-B55</f>
        <v>0</v>
      </c>
    </row>
    <row r="57" spans="1:2">
      <c r="A57" s="9" t="s">
        <v>54</v>
      </c>
      <c r="B57" s="10">
        <f>B56/F43</f>
        <v>0</v>
      </c>
    </row>
    <row r="59" spans="1:2">
      <c r="A59" s="3" t="s">
        <v>55</v>
      </c>
    </row>
    <row r="60" spans="1:2">
      <c r="A60" t="s">
        <v>56</v>
      </c>
      <c r="B60" s="5">
        <f>NPV(0.15,B41:F41)</f>
        <v>0</v>
      </c>
    </row>
    <row r="61" spans="1:2">
      <c r="A61" t="s">
        <v>57</v>
      </c>
      <c r="B61" s="5">
        <f>B50/(1.15^5)</f>
        <v>0</v>
      </c>
    </row>
    <row r="62" spans="1:2">
      <c r="A62" t="s">
        <v>58</v>
      </c>
      <c r="B62" s="5">
        <f>B9</f>
        <v>0</v>
      </c>
    </row>
    <row r="63" spans="1:2">
      <c r="A63" t="s">
        <v>59</v>
      </c>
      <c r="B63" s="10">
        <f>(B60+B61-B62)/F43</f>
        <v>0</v>
      </c>
    </row>
    <row r="65" spans="1:2">
      <c r="A65" t="s">
        <v>60</v>
      </c>
      <c r="B65" s="8">
        <f>(B57-B5)/B5</f>
        <v>0</v>
      </c>
    </row>
    <row r="66" spans="1:2">
      <c r="A66" t="s">
        <v>61</v>
      </c>
      <c r="B66" s="8">
        <f>(B5-B63)/B5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62</v>
      </c>
    </row>
    <row r="2" spans="1:6">
      <c r="A2" t="s">
        <v>63</v>
      </c>
    </row>
    <row r="4" spans="1:6">
      <c r="A4" s="7" t="s">
        <v>64</v>
      </c>
      <c r="B4" s="11">
        <v>0.0125</v>
      </c>
      <c r="C4" s="11">
        <v>0.0175</v>
      </c>
      <c r="D4" s="11">
        <v>0.0225</v>
      </c>
      <c r="E4" s="11">
        <v>0.0275</v>
      </c>
      <c r="F4" s="11">
        <v>0.0325</v>
      </c>
    </row>
    <row r="5" spans="1:6">
      <c r="A5" s="11">
        <v>0.08500000000000001</v>
      </c>
      <c r="B5" s="12">
        <f>((MIN('DCF Model'!$F$41*(1+0.0125)/(0.085-0.0125),'DCF Model'!$B$18*'DCF Model'!$F$41)/(1+0.085)^5+ SUMPRODUCT('DCF Model'!$B$41:$F$41,1/(1+0.085)^{1,2,3,4,5})- 'DCF Model'!$B$9))/'DCF Model'!$F$43</f>
        <v>0</v>
      </c>
      <c r="C5" s="12">
        <f>((MIN('DCF Model'!$F$41*(1+0.0175)/(0.085-0.0175),'DCF Model'!$B$18*'DCF Model'!$F$41)/(1+0.085)^5+ SUMPRODUCT('DCF Model'!$B$41:$F$41,1/(1+0.085)^{1,2,3,4,5})- 'DCF Model'!$B$9))/'DCF Model'!$F$43</f>
        <v>0</v>
      </c>
      <c r="D5" s="12">
        <f>((MIN('DCF Model'!$F$41*(1+0.0225)/(0.085-0.0225),'DCF Model'!$B$18*'DCF Model'!$F$41)/(1+0.085)^5+ SUMPRODUCT('DCF Model'!$B$41:$F$41,1/(1+0.085)^{1,2,3,4,5})- 'DCF Model'!$B$9))/'DCF Model'!$F$43</f>
        <v>0</v>
      </c>
      <c r="E5" s="12">
        <f>((MIN('DCF Model'!$F$41*(1+0.0275)/(0.085-0.0275),'DCF Model'!$B$18*'DCF Model'!$F$41)/(1+0.085)^5+ SUMPRODUCT('DCF Model'!$B$41:$F$41,1/(1+0.085)^{1,2,3,4,5})- 'DCF Model'!$B$9))/'DCF Model'!$F$43</f>
        <v>0</v>
      </c>
      <c r="F5" s="12">
        <f>((MIN('DCF Model'!$F$41*(1+0.0325)/(0.085-0.0325),'DCF Model'!$B$18*'DCF Model'!$F$41)/(1+0.085)^5+ SUMPRODUCT('DCF Model'!$B$41:$F$41,1/(1+0.085)^{1,2,3,4,5})- 'DCF Model'!$B$9))/'DCF Model'!$F$43</f>
        <v>0</v>
      </c>
    </row>
    <row r="6" spans="1:6">
      <c r="A6" s="11">
        <v>0.095</v>
      </c>
      <c r="B6" s="12">
        <f>((MIN('DCF Model'!$F$41*(1+0.0125)/(0.095-0.0125),'DCF Model'!$B$18*'DCF Model'!$F$41)/(1+0.095)^5+ SUMPRODUCT('DCF Model'!$B$41:$F$41,1/(1+0.095)^{1,2,3,4,5})- 'DCF Model'!$B$9))/'DCF Model'!$F$43</f>
        <v>0</v>
      </c>
      <c r="C6" s="12">
        <f>((MIN('DCF Model'!$F$41*(1+0.0175)/(0.095-0.0175),'DCF Model'!$B$18*'DCF Model'!$F$41)/(1+0.095)^5+ SUMPRODUCT('DCF Model'!$B$41:$F$41,1/(1+0.095)^{1,2,3,4,5})- 'DCF Model'!$B$9))/'DCF Model'!$F$43</f>
        <v>0</v>
      </c>
      <c r="D6" s="12">
        <f>((MIN('DCF Model'!$F$41*(1+0.0225)/(0.095-0.0225),'DCF Model'!$B$18*'DCF Model'!$F$41)/(1+0.095)^5+ SUMPRODUCT('DCF Model'!$B$41:$F$41,1/(1+0.095)^{1,2,3,4,5})- 'DCF Model'!$B$9))/'DCF Model'!$F$43</f>
        <v>0</v>
      </c>
      <c r="E6" s="12">
        <f>((MIN('DCF Model'!$F$41*(1+0.0275)/(0.095-0.0275),'DCF Model'!$B$18*'DCF Model'!$F$41)/(1+0.095)^5+ SUMPRODUCT('DCF Model'!$B$41:$F$41,1/(1+0.095)^{1,2,3,4,5})- 'DCF Model'!$B$9))/'DCF Model'!$F$43</f>
        <v>0</v>
      </c>
      <c r="F6" s="12">
        <f>((MIN('DCF Model'!$F$41*(1+0.0325)/(0.095-0.0325),'DCF Model'!$B$18*'DCF Model'!$F$41)/(1+0.095)^5+ SUMPRODUCT('DCF Model'!$B$41:$F$41,1/(1+0.095)^{1,2,3,4,5})- 'DCF Model'!$B$9))/'DCF Model'!$F$43</f>
        <v>0</v>
      </c>
    </row>
    <row r="7" spans="1:6">
      <c r="A7" s="11">
        <v>0.105</v>
      </c>
      <c r="B7" s="12">
        <f>((MIN('DCF Model'!$F$41*(1+0.0125)/(0.105-0.0125),'DCF Model'!$B$18*'DCF Model'!$F$41)/(1+0.105)^5+ SUMPRODUCT('DCF Model'!$B$41:$F$41,1/(1+0.105)^{1,2,3,4,5})- 'DCF Model'!$B$9))/'DCF Model'!$F$43</f>
        <v>0</v>
      </c>
      <c r="C7" s="12">
        <f>((MIN('DCF Model'!$F$41*(1+0.0175)/(0.105-0.0175),'DCF Model'!$B$18*'DCF Model'!$F$41)/(1+0.105)^5+ SUMPRODUCT('DCF Model'!$B$41:$F$41,1/(1+0.105)^{1,2,3,4,5})- 'DCF Model'!$B$9))/'DCF Model'!$F$43</f>
        <v>0</v>
      </c>
      <c r="D7" s="12">
        <f>((MIN('DCF Model'!$F$41*(1+0.0225)/(0.105-0.0225),'DCF Model'!$B$18*'DCF Model'!$F$41)/(1+0.105)^5+ SUMPRODUCT('DCF Model'!$B$41:$F$41,1/(1+0.105)^{1,2,3,4,5})- 'DCF Model'!$B$9))/'DCF Model'!$F$43</f>
        <v>0</v>
      </c>
      <c r="E7" s="12">
        <f>((MIN('DCF Model'!$F$41*(1+0.0275)/(0.105-0.0275),'DCF Model'!$B$18*'DCF Model'!$F$41)/(1+0.105)^5+ SUMPRODUCT('DCF Model'!$B$41:$F$41,1/(1+0.105)^{1,2,3,4,5})- 'DCF Model'!$B$9))/'DCF Model'!$F$43</f>
        <v>0</v>
      </c>
      <c r="F7" s="12">
        <f>((MIN('DCF Model'!$F$41*(1+0.0325)/(0.105-0.0325),'DCF Model'!$B$18*'DCF Model'!$F$41)/(1+0.105)^5+ SUMPRODUCT('DCF Model'!$B$41:$F$41,1/(1+0.105)^{1,2,3,4,5})- 'DCF Model'!$B$9))/'DCF Model'!$F$43</f>
        <v>0</v>
      </c>
    </row>
    <row r="8" spans="1:6">
      <c r="A8" s="11">
        <v>0.115</v>
      </c>
      <c r="B8" s="12">
        <f>((MIN('DCF Model'!$F$41*(1+0.0125)/(0.115-0.0125),'DCF Model'!$B$18*'DCF Model'!$F$41)/(1+0.115)^5+ SUMPRODUCT('DCF Model'!$B$41:$F$41,1/(1+0.115)^{1,2,3,4,5})- 'DCF Model'!$B$9))/'DCF Model'!$F$43</f>
        <v>0</v>
      </c>
      <c r="C8" s="12">
        <f>((MIN('DCF Model'!$F$41*(1+0.0175)/(0.115-0.0175),'DCF Model'!$B$18*'DCF Model'!$F$41)/(1+0.115)^5+ SUMPRODUCT('DCF Model'!$B$41:$F$41,1/(1+0.115)^{1,2,3,4,5})- 'DCF Model'!$B$9))/'DCF Model'!$F$43</f>
        <v>0</v>
      </c>
      <c r="D8" s="12">
        <f>((MIN('DCF Model'!$F$41*(1+0.0225)/(0.115-0.0225),'DCF Model'!$B$18*'DCF Model'!$F$41)/(1+0.115)^5+ SUMPRODUCT('DCF Model'!$B$41:$F$41,1/(1+0.115)^{1,2,3,4,5})- 'DCF Model'!$B$9))/'DCF Model'!$F$43</f>
        <v>0</v>
      </c>
      <c r="E8" s="12">
        <f>((MIN('DCF Model'!$F$41*(1+0.0275)/(0.115-0.0275),'DCF Model'!$B$18*'DCF Model'!$F$41)/(1+0.115)^5+ SUMPRODUCT('DCF Model'!$B$41:$F$41,1/(1+0.115)^{1,2,3,4,5})- 'DCF Model'!$B$9))/'DCF Model'!$F$43</f>
        <v>0</v>
      </c>
      <c r="F8" s="12">
        <f>((MIN('DCF Model'!$F$41*(1+0.0325)/(0.115-0.0325),'DCF Model'!$B$18*'DCF Model'!$F$41)/(1+0.115)^5+ SUMPRODUCT('DCF Model'!$B$41:$F$41,1/(1+0.115)^{1,2,3,4,5})- 'DCF Model'!$B$9))/'DCF Model'!$F$43</f>
        <v>0</v>
      </c>
    </row>
    <row r="9" spans="1:6">
      <c r="A9" s="11">
        <v>0.125</v>
      </c>
      <c r="B9" s="12">
        <f>((MIN('DCF Model'!$F$41*(1+0.0125)/(0.125-0.0125),'DCF Model'!$B$18*'DCF Model'!$F$41)/(1+0.125)^5+ SUMPRODUCT('DCF Model'!$B$41:$F$41,1/(1+0.125)^{1,2,3,4,5})- 'DCF Model'!$B$9))/'DCF Model'!$F$43</f>
        <v>0</v>
      </c>
      <c r="C9" s="12">
        <f>((MIN('DCF Model'!$F$41*(1+0.0175)/(0.125-0.0175),'DCF Model'!$B$18*'DCF Model'!$F$41)/(1+0.125)^5+ SUMPRODUCT('DCF Model'!$B$41:$F$41,1/(1+0.125)^{1,2,3,4,5})- 'DCF Model'!$B$9))/'DCF Model'!$F$43</f>
        <v>0</v>
      </c>
      <c r="D9" s="12">
        <f>((MIN('DCF Model'!$F$41*(1+0.0225)/(0.125-0.0225),'DCF Model'!$B$18*'DCF Model'!$F$41)/(1+0.125)^5+ SUMPRODUCT('DCF Model'!$B$41:$F$41,1/(1+0.125)^{1,2,3,4,5})- 'DCF Model'!$B$9))/'DCF Model'!$F$43</f>
        <v>0</v>
      </c>
      <c r="E9" s="12">
        <f>((MIN('DCF Model'!$F$41*(1+0.0275)/(0.125-0.0275),'DCF Model'!$B$18*'DCF Model'!$F$41)/(1+0.125)^5+ SUMPRODUCT('DCF Model'!$B$41:$F$41,1/(1+0.125)^{1,2,3,4,5})- 'DCF Model'!$B$9))/'DCF Model'!$F$43</f>
        <v>0</v>
      </c>
      <c r="F9" s="12">
        <f>((MIN('DCF Model'!$F$41*(1+0.0325)/(0.125-0.0325),'DCF Model'!$B$18*'DCF Model'!$F$41)/(1+0.125)^5+ SUMPRODUCT('DCF Model'!$B$41:$F$41,1/(1+0.125)^{1,2,3,4,5})- 'DCF Model'!$B$9))/'DCF Model'!$F$43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32.7109375" customWidth="1"/>
    <col min="2" max="3" width="15.7109375" customWidth="1"/>
  </cols>
  <sheetData>
    <row r="1" spans="1:3">
      <c r="A1" s="1" t="s">
        <v>65</v>
      </c>
    </row>
    <row r="3" spans="1:3">
      <c r="A3" s="7" t="s">
        <v>66</v>
      </c>
      <c r="B3" s="7" t="s">
        <v>67</v>
      </c>
      <c r="C3" s="7" t="s">
        <v>68</v>
      </c>
    </row>
    <row r="4" spans="1:3">
      <c r="A4" t="s">
        <v>30</v>
      </c>
      <c r="B4" s="8">
        <v>-0.0175</v>
      </c>
      <c r="C4" s="8">
        <v>0.0973</v>
      </c>
    </row>
    <row r="5" spans="1:3">
      <c r="A5" t="s">
        <v>69</v>
      </c>
      <c r="B5" s="8">
        <v>-0.162</v>
      </c>
      <c r="C5" s="8">
        <v>0.1055</v>
      </c>
    </row>
    <row r="6" spans="1:3">
      <c r="A6" t="s">
        <v>70</v>
      </c>
      <c r="B6" s="8">
        <v>0.0742</v>
      </c>
      <c r="C6" s="8">
        <v>0.1424</v>
      </c>
    </row>
    <row r="7" spans="1:3">
      <c r="A7" t="s">
        <v>71</v>
      </c>
      <c r="B7" s="8">
        <v>-0.1395</v>
      </c>
      <c r="C7" s="8">
        <v>0.2872</v>
      </c>
    </row>
    <row r="9" spans="1:3">
      <c r="A9" s="9" t="s">
        <v>72</v>
      </c>
      <c r="B9" s="8">
        <v>0.0973</v>
      </c>
    </row>
    <row r="10" spans="1:3">
      <c r="A10" s="9" t="s">
        <v>73</v>
      </c>
    </row>
    <row r="11" spans="1:3" ht="90" customHeight="1">
      <c r="A11" s="13" t="s">
        <v>74</v>
      </c>
    </row>
    <row r="13" spans="1:3">
      <c r="A13" s="9" t="s">
        <v>75</v>
      </c>
    </row>
    <row r="14" spans="1:3" ht="90" customHeight="1">
      <c r="A14" s="13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cols>
    <col min="1" max="1" width="14.7109375" customWidth="1"/>
    <col min="2" max="11" width="12.7109375" customWidth="1"/>
  </cols>
  <sheetData>
    <row r="1" spans="1:11">
      <c r="A1" s="1" t="s">
        <v>77</v>
      </c>
    </row>
    <row r="2" spans="1:11" ht="40" customHeight="1">
      <c r="A2" s="13" t="s">
        <v>78</v>
      </c>
    </row>
    <row r="4" spans="1:11">
      <c r="A4" s="7" t="s">
        <v>79</v>
      </c>
      <c r="B4" s="7">
        <v>2017</v>
      </c>
      <c r="C4" s="7">
        <v>2018</v>
      </c>
      <c r="D4" s="7">
        <v>2019</v>
      </c>
      <c r="E4" s="7">
        <v>2020</v>
      </c>
      <c r="F4" s="7">
        <v>2021</v>
      </c>
      <c r="G4" s="7">
        <v>2022</v>
      </c>
      <c r="H4" s="7">
        <v>2023</v>
      </c>
      <c r="I4" s="7">
        <v>2024</v>
      </c>
      <c r="J4" s="7">
        <v>2025</v>
      </c>
      <c r="K4" s="7">
        <v>2026</v>
      </c>
    </row>
    <row r="5" spans="1:11">
      <c r="A5" s="5" t="s">
        <v>30</v>
      </c>
      <c r="B5" s="5">
        <v>2333.591</v>
      </c>
      <c r="C5" s="5">
        <v>2618.86</v>
      </c>
      <c r="D5" s="5">
        <v>2954.087</v>
      </c>
      <c r="E5" s="5">
        <v>3095.394</v>
      </c>
      <c r="F5" s="5">
        <v>3543.838</v>
      </c>
      <c r="G5" s="5">
        <v>5218.259</v>
      </c>
      <c r="H5" s="5">
        <v>5675.709</v>
      </c>
      <c r="I5" s="5">
        <v>4717.796</v>
      </c>
      <c r="J5" s="5">
        <v>5236.437</v>
      </c>
      <c r="K5" s="5">
        <v>5383.52</v>
      </c>
    </row>
    <row r="6" spans="1:11">
      <c r="A6" s="5" t="s">
        <v>80</v>
      </c>
      <c r="B6" s="5">
        <v>63.927</v>
      </c>
      <c r="C6" s="5">
        <v>71.001</v>
      </c>
      <c r="D6" s="5">
        <v>94.14700000000001</v>
      </c>
      <c r="E6" s="5">
        <v>140.786</v>
      </c>
      <c r="F6" s="5">
        <v>254.204</v>
      </c>
      <c r="G6" s="5">
        <v>310.927</v>
      </c>
      <c r="H6" s="5">
        <v>433.318</v>
      </c>
      <c r="I6" s="5">
        <v>230.092</v>
      </c>
      <c r="J6" s="5">
        <v>330.739</v>
      </c>
      <c r="K6" s="5">
        <v>392.09</v>
      </c>
    </row>
    <row r="7" spans="1:11">
      <c r="A7" s="5" t="s">
        <v>81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>
      <c r="A8" s="5" t="s">
        <v>82</v>
      </c>
      <c r="B8" s="5">
        <v>0</v>
      </c>
      <c r="C8" s="5">
        <v>0</v>
      </c>
      <c r="D8" s="5">
        <v>0</v>
      </c>
      <c r="E8" s="5">
        <v>100.644</v>
      </c>
      <c r="F8" s="5">
        <v>107.125</v>
      </c>
      <c r="G8" s="5">
        <v>119.336</v>
      </c>
      <c r="H8" s="5">
        <v>146.734</v>
      </c>
      <c r="I8" s="5">
        <v>182.85</v>
      </c>
      <c r="J8" s="5">
        <v>193.99</v>
      </c>
      <c r="K8" s="5">
        <v>209.505</v>
      </c>
    </row>
    <row r="9" spans="1:11">
      <c r="A9" s="5" t="inlineStr">
        <is>
          <t>= Owner FCF</t>
        </is>
      </c>
      <c r="B9" s="5">
        <v>63.927</v>
      </c>
      <c r="C9" s="5">
        <v>71.001</v>
      </c>
      <c r="D9" s="5">
        <v>94.14700000000001</v>
      </c>
      <c r="E9" s="5">
        <v>40.142</v>
      </c>
      <c r="F9" s="5">
        <v>147.079</v>
      </c>
      <c r="G9" s="5">
        <v>191.591</v>
      </c>
      <c r="H9" s="5">
        <v>286.5839999999999</v>
      </c>
      <c r="I9" s="5">
        <v>47.24200000000002</v>
      </c>
      <c r="J9" s="5">
        <v>136.749</v>
      </c>
      <c r="K9" s="5">
        <v>182.585</v>
      </c>
    </row>
    <row r="10" spans="1:11">
      <c r="A10" s="5" t="s">
        <v>83</v>
      </c>
      <c r="B10" s="5">
        <v>2.739426060522174</v>
      </c>
      <c r="C10" s="5">
        <v>2.711141489044852</v>
      </c>
      <c r="D10" s="5">
        <v>3.187008371791352</v>
      </c>
      <c r="E10" s="5">
        <v>4.548241677796106</v>
      </c>
      <c r="F10" s="5">
        <v>7.173126988310413</v>
      </c>
      <c r="G10" s="5">
        <v>5.958443227904173</v>
      </c>
      <c r="H10" s="5">
        <v>7.634605650148731</v>
      </c>
      <c r="I10" s="5">
        <v>4.877107869861265</v>
      </c>
      <c r="J10" s="5">
        <v>6.316107689255117</v>
      </c>
      <c r="K10" s="5">
        <v>7.283153029987814</v>
      </c>
    </row>
    <row r="11" spans="1:11">
      <c r="A11" s="5" t="s">
        <v>40</v>
      </c>
      <c r="B11" s="5">
        <v>2.739426060522174</v>
      </c>
      <c r="C11" s="5">
        <v>2.711141489044852</v>
      </c>
      <c r="D11" s="5">
        <v>3.187008371791352</v>
      </c>
      <c r="E11" s="5">
        <v>1.296830064282608</v>
      </c>
      <c r="F11" s="5">
        <v>4.150274363557251</v>
      </c>
      <c r="G11" s="5">
        <v>3.671550223934841</v>
      </c>
      <c r="H11" s="5">
        <v>5.049307496208843</v>
      </c>
      <c r="I11" s="5">
        <v>1.001357413504103</v>
      </c>
      <c r="J11" s="5">
        <v>2.6114894536113</v>
      </c>
      <c r="K11" s="5">
        <v>3.391554224745148</v>
      </c>
    </row>
    <row r="13" spans="1:11">
      <c r="A13" s="9" t="s">
        <v>84</v>
      </c>
    </row>
    <row r="14" spans="1:11">
      <c r="A14" s="7" t="s">
        <v>79</v>
      </c>
      <c r="B14" s="7">
        <v>2020</v>
      </c>
      <c r="C14" s="7">
        <v>2021</v>
      </c>
      <c r="D14" s="7">
        <v>2022</v>
      </c>
      <c r="E14" s="7">
        <v>2023</v>
      </c>
      <c r="F14" s="7">
        <v>2024</v>
      </c>
      <c r="G14" s="7">
        <v>2025</v>
      </c>
      <c r="H14" s="7">
        <v>2026</v>
      </c>
    </row>
    <row r="15" spans="1:11">
      <c r="A15" s="5" t="s">
        <v>27</v>
      </c>
      <c r="B15" s="5">
        <v>27.9</v>
      </c>
      <c r="C15" s="5">
        <v>24.2</v>
      </c>
      <c r="D15" s="5">
        <v>23</v>
      </c>
      <c r="E15" s="5">
        <v>29.7</v>
      </c>
      <c r="F15" s="5">
        <v>32.9</v>
      </c>
      <c r="G15" s="5">
        <v>24.2</v>
      </c>
      <c r="H15" s="5">
        <v>28.9</v>
      </c>
    </row>
    <row r="16" spans="1:11">
      <c r="A16" s="13" t="s">
        <v>85</v>
      </c>
    </row>
    <row r="18" spans="1:1">
      <c r="A18" s="9" t="s">
        <v>86</v>
      </c>
    </row>
    <row r="19" spans="1:1" ht="50" customHeight="1">
      <c r="A19" s="13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88</v>
      </c>
    </row>
    <row r="3" spans="1:2" ht="35" customHeight="1">
      <c r="A3" s="9" t="s">
        <v>89</v>
      </c>
      <c r="B3" s="13" t="s">
        <v>90</v>
      </c>
    </row>
    <row r="4" spans="1:2" ht="20" customHeight="1">
      <c r="A4" s="9" t="s">
        <v>91</v>
      </c>
      <c r="B4" s="13" t="s">
        <v>92</v>
      </c>
    </row>
    <row r="5" spans="1:2" ht="20" customHeight="1">
      <c r="A5" s="9" t="s">
        <v>93</v>
      </c>
      <c r="B5" s="13" t="s">
        <v>94</v>
      </c>
    </row>
    <row r="6" spans="1:2" ht="50" customHeight="1">
      <c r="A6" s="9" t="s">
        <v>95</v>
      </c>
      <c r="B6" s="13" t="s">
        <v>96</v>
      </c>
    </row>
    <row r="7" spans="1:2" ht="20" customHeight="1">
      <c r="A7" s="9" t="s">
        <v>97</v>
      </c>
      <c r="B7" s="13" t="s">
        <v>98</v>
      </c>
    </row>
    <row r="8" spans="1:2" ht="65" customHeight="1">
      <c r="A8" s="9" t="s">
        <v>99</v>
      </c>
      <c r="B8" s="13" t="s">
        <v>100</v>
      </c>
    </row>
    <row r="9" spans="1:2" ht="80" customHeight="1">
      <c r="A9" s="9" t="s">
        <v>101</v>
      </c>
      <c r="B9" s="13" t="s">
        <v>102</v>
      </c>
    </row>
    <row r="10" spans="1:2" ht="35" customHeight="1">
      <c r="A10" s="9" t="s">
        <v>103</v>
      </c>
      <c r="B10" s="13" t="s">
        <v>104</v>
      </c>
    </row>
    <row r="11" spans="1:2" ht="65" customHeight="1">
      <c r="A11" s="9" t="s">
        <v>105</v>
      </c>
      <c r="B11" s="13" t="s">
        <v>106</v>
      </c>
    </row>
    <row r="12" spans="1:2" ht="80" customHeight="1">
      <c r="A12" s="9" t="s">
        <v>107</v>
      </c>
      <c r="B12" s="13" t="s">
        <v>108</v>
      </c>
    </row>
    <row r="13" spans="1:2" ht="80" customHeight="1">
      <c r="A13" s="9" t="s">
        <v>109</v>
      </c>
      <c r="B13" s="13" t="s">
        <v>110</v>
      </c>
    </row>
    <row r="14" spans="1:2" ht="65" customHeight="1">
      <c r="A14" s="9" t="s">
        <v>111</v>
      </c>
      <c r="B14" s="13" t="s">
        <v>112</v>
      </c>
    </row>
    <row r="15" spans="1:2" ht="35" customHeight="1">
      <c r="A15" s="9" t="s">
        <v>113</v>
      </c>
      <c r="B15" s="13" t="s">
        <v>114</v>
      </c>
    </row>
    <row r="16" spans="1:2" ht="80" customHeight="1">
      <c r="A16" s="9" t="s">
        <v>115</v>
      </c>
      <c r="B16" s="13" t="s">
        <v>116</v>
      </c>
    </row>
    <row r="17" spans="1:2" ht="65" customHeight="1">
      <c r="A17" s="9" t="s">
        <v>117</v>
      </c>
      <c r="B17" s="13" t="s">
        <v>118</v>
      </c>
    </row>
    <row r="18" spans="1:2" ht="50" customHeight="1">
      <c r="A18" s="9" t="s">
        <v>119</v>
      </c>
      <c r="B18" s="13" t="s">
        <v>120</v>
      </c>
    </row>
    <row r="19" spans="1:2" ht="65" customHeight="1">
      <c r="A19" s="9" t="s">
        <v>121</v>
      </c>
      <c r="B19" s="1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2026-08-13T11:59:53Z</dcterms:created>
  <dcterms:modified xsi:type="dcterms:W3CDTF">2026-08-13T11:59:53Z</dcterms:modified>
</cp:coreProperties>
</file>