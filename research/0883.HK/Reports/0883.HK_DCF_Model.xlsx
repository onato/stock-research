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3.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Model_Info" sheetId="1" state="visible" r:id="rId3"/>
    <sheet name="Actuals" sheetId="2" state="visible" r:id="rId4"/>
    <sheet name="Assumptions" sheetId="3" state="visible" r:id="rId5"/>
    <sheet name="DCF_Bear" sheetId="4" state="visible" r:id="rId6"/>
    <sheet name="DCF_Base" sheetId="5" state="visible" r:id="rId7"/>
    <sheet name="DCF_Bull" sheetId="6" state="visible" r:id="rId8"/>
    <sheet name="Valuation"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<sst xmlns="http://schemas.openxmlformats.org/spreadsheetml/2006/main" count="353" uniqueCount="163">
  <si>
    <t xml:space="preserve">Ticker</t>
  </si>
  <si>
    <t xml:space="preserve">0883.HK</t>
  </si>
  <si>
    <t xml:space="preserve">Company</t>
  </si>
  <si>
    <t xml:space="preserve">CNOOC Limited</t>
  </si>
  <si>
    <t xml:space="preserve">Valuation date</t>
  </si>
  <si>
    <t xml:space="preserve">2026-10-11</t>
  </si>
  <si>
    <t xml:space="preserve">Current price</t>
  </si>
  <si>
    <t xml:space="preserve">Price as of</t>
  </si>
  <si>
    <t xml:space="preserve">2026-10-09T08:08:06Z regular close (HKEX)</t>
  </si>
  <si>
    <t xml:space="preserve">Balance sheet date</t>
  </si>
  <si>
    <t xml:space="preserve">2026-06-30</t>
  </si>
  <si>
    <t xml:space="preserve">Model</t>
  </si>
  <si>
    <t xml:space="preserve">owner_fcf_dcf_component</t>
  </si>
  <si>
    <t xml:space="preserve">Currency (model)</t>
  </si>
  <si>
    <t xml:space="preserve">CNY</t>
  </si>
  <si>
    <t xml:space="preserve">Currency (quote)</t>
  </si>
  <si>
    <t xml:space="preserve">HKD</t>
  </si>
  <si>
    <t xml:space="preserve">Units</t>
  </si>
  <si>
    <t xml:space="preserve">millions</t>
  </si>
  <si>
    <t xml:space="preserve">Engine</t>
  </si>
  <si>
    <t xml:space="preserve">dcf_engine v1</t>
  </si>
  <si>
    <t xml:space="preserve">Built at</t>
  </si>
  <si>
    <t xml:space="preserve">2026-10-11T10:05:44Z</t>
  </si>
  <si>
    <t xml:space="preserve">Drivers file</t>
  </si>
  <si>
    <t xml:space="preserve">0883.HK_Drivers.json</t>
  </si>
  <si>
    <t xml:space="preserve">Convention</t>
  </si>
  <si>
    <t xml:space="preserve">Percents stored as percents; formulas divide by 100. Blue = input, green = link, black = formula.</t>
  </si>
  <si>
    <t xml:space="preserve">Methodology</t>
  </si>
  <si>
    <t xml:space="preserve">summary: Value the mid-cycle owner FCF of a depleting, reinvesting asset base at a currency-consistent 9% WACC with a cyclical 12x terminal cap; treat the RMB 326bn cash pile as surplus (its interest stripped from the flows), but deduct the two dividends already committed out of it, the minority stake, and the dismantlement provision that forward capex does not carry. The result is intentionally below what a peak-earnings or sell-side EV/EBITDA framing would give.
key_risks_to_valuation: Oil price: every US$10/bbl on ~600 mmbbl of liquids is ~RMB 43bn of revenue, roughly 45% of base-year owner FCF, before the special oil gain levy offset.; Mid-cycle anchor could be wrong in either direction: if US$70 Brent is too high for a decarbonising demand curve the base case overstates; if under-investment keeps US$80+, the bull case is the base.; Dismantlement deduction (RMB 118.7bn, HK$2.9/share) is a judgment: a reader who treats abandonment as fully absorbed by perpetual reinvestment would add it back.; Time deposits and wealth-management products (RMB 164.6bn) are counted as cash; if a portion is restricted (dismantlement fund accounts) or trapped by capital controls, net cash is overstated.; Terminal cap 12x binds in base and bull; CNOOC has historically traded 3-5x EV/EBITDA under the SOE/sanctions discount, so realizing the model value requires either a re-rating or distribution of the cash flows (the 45% payout floor delivers the latter).; Sanctions escalation (OFAC CMIC, DoD 1260H) can impair H-share liquidity and the multiple independently of cash flows.</t>
  </si>
  <si>
    <t xml:space="preserve">Data sources</t>
  </si>
  <si>
    <t xml:space="preserve">price: Yahoo Finance chart API at inputs.price_as_of; 52-week range HK$18.42-30.98. FX from Yahoo CNYHKD=X at the date in inputs.fx_note.
financials: 0883.HK_Metrics.csv (core_metrics, millions CNY) for FY2018-FY2025 and H1 2026; 30 June 2026 balance sheet, share count, dividends and lease lines read from 0883.HK_HalfYear_H1-2026.txt; FY2025 capex, production, realized prices, cash taxes, lease principal and interest, dismantlement utilisation and 2026 guidance from 0883.HK_Annual_FY2025.txt.
qualitative: 0883.HK_Analysis.json (business model, Guyana/Brazil growth drivers, sanctions and governance risks, bull and bear cases).</t>
  </si>
  <si>
    <t xml:space="preserve">Scenario narrative: bear</t>
  </si>
  <si>
    <t xml:space="preserve">A 2027 price-down cycle to the high US$50s with sticky capex and D&amp;A compresses owner FCF by ~45% in the trough year; growth is volume-only and slower; sanctions and transition risk hold the exit multiple at 10x. The balance sheet (RMB 269bn net cash before dividends) keeps the dividend intact, so this is an earnings bear, not a solvency bear.</t>
  </si>
  <si>
    <t xml:space="preserve">Scenario narrative: base</t>
  </si>
  <si>
    <t xml:space="preserve">CNOOC is a low-cost (US$28-30/boe all-in), net-cash, volume-growing offshore producer whose earnings are a near-linear function of Brent. The base case anchors on FY2025 as the mid-cycle year (realized US$66, Brent US$68): FY2026 benefits from the known H1 price spike and 780-800 mmboe production, FY2027 reverts to a ~US$70 deck, and value thereafter comes from 2-3% volume growth out of Bohai, Guyana and Brazil at a ~60% EBITDA margin and 27-28% capex intensity. Terminal value is bound by the 12x cyclical cap, not Gordon.</t>
  </si>
  <si>
    <t xml:space="preserve">Scenario narrative: bull</t>
  </si>
  <si>
    <t xml:space="preserve">Structurally higher oil (US$80-85) plus faster deepwater delivery and stable unit costs. Requires two independent things to go right: price and non-operated project pacing.</t>
  </si>
  <si>
    <t xml:space="preserve">Period</t>
  </si>
  <si>
    <t xml:space="preserve">Revenue</t>
  </si>
  <si>
    <t xml:space="preserve">CostOfRevenue</t>
  </si>
  <si>
    <t xml:space="preserve">GrossProfit</t>
  </si>
  <si>
    <t xml:space="preserve">GrossMargin</t>
  </si>
  <si>
    <t xml:space="preserve">OperatingIncome</t>
  </si>
  <si>
    <t xml:space="preserve">OperatingMargin</t>
  </si>
  <si>
    <t xml:space="preserve">EBITDA</t>
  </si>
  <si>
    <t xml:space="preserve">NetIncome</t>
  </si>
  <si>
    <t xml:space="preserve">NetMargin</t>
  </si>
  <si>
    <t xml:space="preserve">EPS</t>
  </si>
  <si>
    <t xml:space="preserve">OperatingCashFlow</t>
  </si>
  <si>
    <t xml:space="preserve">CapEx</t>
  </si>
  <si>
    <t xml:space="preserve">FreeCashFlow</t>
  </si>
  <si>
    <t xml:space="preserve">ShareholdersEquity</t>
  </si>
  <si>
    <t xml:space="preserve">TotalAssets</t>
  </si>
  <si>
    <t xml:space="preserve">TotalLiabilities</t>
  </si>
  <si>
    <t xml:space="preserve">TotalDebt</t>
  </si>
  <si>
    <t xml:space="preserve">CashAndEquivalents</t>
  </si>
  <si>
    <t xml:space="preserve">SharesOutstanding</t>
  </si>
  <si>
    <t xml:space="preserve">StockBasedComp</t>
  </si>
  <si>
    <t xml:space="preserve">DividendPerShare</t>
  </si>
  <si>
    <t xml:space="preserve">EBITDABeforeSignificant</t>
  </si>
  <si>
    <t xml:space="preserve">RevenueContinuing</t>
  </si>
  <si>
    <t xml:space="preserve">EBITDAContinuingBeforeSignificant</t>
  </si>
  <si>
    <t xml:space="preserve">EBITContinuingBeforeSignificant</t>
  </si>
  <si>
    <t xml:space="preserve">Currency</t>
  </si>
  <si>
    <t xml:space="preserve">FY2018</t>
  </si>
  <si>
    <t xml:space="preserve">FY2019</t>
  </si>
  <si>
    <t xml:space="preserve">FY2020</t>
  </si>
  <si>
    <t xml:space="preserve">FY2021</t>
  </si>
  <si>
    <t xml:space="preserve">FY2022</t>
  </si>
  <si>
    <t xml:space="preserve">FY2023</t>
  </si>
  <si>
    <t xml:space="preserve">FY2024</t>
  </si>
  <si>
    <t xml:space="preserve">FY2025</t>
  </si>
  <si>
    <t xml:space="preserve">Input</t>
  </si>
  <si>
    <t xml:space="preserve">Value</t>
  </si>
  <si>
    <t xml:space="preserve">Current price (quote currency)</t>
  </si>
  <si>
    <t xml:space="preserve">Shares, final projected (m)</t>
  </si>
  <si>
    <t xml:space="preserve">Net debt (m, model currency)</t>
  </si>
  <si>
    <t xml:space="preserve">Equity bridge total (m, + adds)</t>
  </si>
  <si>
    <t xml:space="preserve">Hurdle rate (%)</t>
  </si>
  <si>
    <t xml:space="preserve">Base revenue FY0 (m)</t>
  </si>
  <si>
    <t xml:space="preserve">FY0</t>
  </si>
  <si>
    <t xml:space="preserve">Currency / units</t>
  </si>
  <si>
    <t xml:space="preserve">CNY millions</t>
  </si>
  <si>
    <t xml:space="preserve">FX rate (model -&gt; quote)</t>
  </si>
  <si>
    <t xml:space="preserve">BEAR</t>
  </si>
  <si>
    <t xml:space="preserve">FY2026</t>
  </si>
  <si>
    <t xml:space="preserve">FY2027</t>
  </si>
  <si>
    <t xml:space="preserve">FY2028</t>
  </si>
  <si>
    <t xml:space="preserve">FY2029</t>
  </si>
  <si>
    <t xml:space="preserve">FY2030</t>
  </si>
  <si>
    <t xml:space="preserve">FY2031</t>
  </si>
  <si>
    <t xml:space="preserve">FY2032</t>
  </si>
  <si>
    <t xml:space="preserve">FY2033</t>
  </si>
  <si>
    <t xml:space="preserve">FY2034</t>
  </si>
  <si>
    <t xml:space="preserve">FY2035</t>
  </si>
  <si>
    <t xml:space="preserve">Revenue growth (%)</t>
  </si>
  <si>
    <t xml:space="preserve">EBITDA margin (%)</t>
  </si>
  <si>
    <t xml:space="preserve">SBC (% of revenue)</t>
  </si>
  <si>
    <t xml:space="preserve">Lease cost (% of revenue)</t>
  </si>
  <si>
    <t xml:space="preserve">D&amp;A (% of revenue)</t>
  </si>
  <si>
    <t xml:space="preserve">Capex (% of revenue)</t>
  </si>
  <si>
    <t xml:space="preserve">Cash tax rate (%)</t>
  </si>
  <si>
    <t xml:space="preserve">WACC (%)</t>
  </si>
  <si>
    <t xml:space="preserve">Terminal growth (%)</t>
  </si>
  <si>
    <t xml:space="preserve">Terminal cap multiple (x FCF)</t>
  </si>
  <si>
    <t xml:space="preserve">Working-capital capture (% of revenue change)</t>
  </si>
  <si>
    <t xml:space="preserve">Scenario weight</t>
  </si>
  <si>
    <t xml:space="preserve">BASE</t>
  </si>
  <si>
    <t xml:space="preserve">BULL</t>
  </si>
  <si>
    <t xml:space="preserve">0883.HK owner-FCF component DCF: bear case (millions, CNY)</t>
  </si>
  <si>
    <t xml:space="preserve">Line</t>
  </si>
  <si>
    <t xml:space="preserve">Year index (discount exponent)</t>
  </si>
  <si>
    <t xml:space="preserve">SBC charge</t>
  </si>
  <si>
    <t xml:space="preserve">Owner EBITDA (after SBC and leases)</t>
  </si>
  <si>
    <t xml:space="preserve">D&amp;A</t>
  </si>
  <si>
    <t xml:space="preserve">EBIT</t>
  </si>
  <si>
    <t xml:space="preserve">NOPAT</t>
  </si>
  <si>
    <t xml:space="preserve">D&amp;A add-back</t>
  </si>
  <si>
    <t xml:space="preserve">Capex</t>
  </si>
  <si>
    <t xml:space="preserve">Working capital</t>
  </si>
  <si>
    <t xml:space="preserve">Unlevered owner FCF</t>
  </si>
  <si>
    <t xml:space="preserve">Discount factor</t>
  </si>
  <si>
    <t xml:space="preserve">PV of FCF</t>
  </si>
  <si>
    <t xml:space="preserve">Lease cost</t>
  </si>
  <si>
    <t xml:space="preserve">Valuation</t>
  </si>
  <si>
    <t xml:space="preserve">Sum of PV of FCF</t>
  </si>
  <si>
    <t xml:space="preserve">Terminal-year FCF</t>
  </si>
  <si>
    <t xml:space="preserve">Gordon terminal value</t>
  </si>
  <si>
    <t xml:space="preserve">Cap terminal value</t>
  </si>
  <si>
    <t xml:space="preserve">Terminal value used: MAX(0,MIN(Gordon,cap))</t>
  </si>
  <si>
    <t xml:space="preserve">PV of terminal value</t>
  </si>
  <si>
    <t xml:space="preserve">Enterprise value</t>
  </si>
  <si>
    <t xml:space="preserve">Equity value (EV + bridge - net debt)</t>
  </si>
  <si>
    <t xml:space="preserve">Value per share (quote currency)</t>
  </si>
  <si>
    <t xml:space="preserve">Upside vs price</t>
  </si>
  <si>
    <t xml:space="preserve">Street memo: PV of explicit-period SBC</t>
  </si>
  <si>
    <t xml:space="preserve">Street memo: PV of terminal SBC (Gordon)</t>
  </si>
  <si>
    <t xml:space="preserve">Street value per share</t>
  </si>
  <si>
    <t xml:space="preserve">Terminal value at hurdle: MAX(0,MIN(Gordon@hurdle,cap))</t>
  </si>
  <si>
    <t xml:space="preserve">Hurdle entry price (quote currency)</t>
  </si>
  <si>
    <t xml:space="preserve">0883.HK owner-FCF component DCF: base case (millions, CNY)</t>
  </si>
  <si>
    <t xml:space="preserve">0883.HK owner-FCF component DCF: bull case (millions, CNY)</t>
  </si>
  <si>
    <t xml:space="preserve">0883.HK valuation summary</t>
  </si>
  <si>
    <t xml:space="preserve">Scenario</t>
  </si>
  <si>
    <t xml:space="preserve">Value per share</t>
  </si>
  <si>
    <t xml:space="preserve">Weight</t>
  </si>
  <si>
    <t xml:space="preserve">Hurdle entry price</t>
  </si>
  <si>
    <t xml:space="preserve">Bear</t>
  </si>
  <si>
    <t xml:space="preserve">Base</t>
  </si>
  <si>
    <t xml:space="preserve">Bull</t>
  </si>
  <si>
    <t xml:space="preserve">Probability-weighted value per share</t>
  </si>
  <si>
    <t xml:space="preserve">Street weighted value per share</t>
  </si>
  <si>
    <t xml:space="preserve">Margin of safety (1 - price/weighted)</t>
  </si>
  <si>
    <t xml:space="preserve">Band position (%; 0 = house, 100 = street)</t>
  </si>
  <si>
    <t xml:space="preserve">Weighted 15% hurdle entry price</t>
  </si>
  <si>
    <t xml:space="preserve">Required-return table (base case; each row rebuilds its own terminal value)</t>
  </si>
  <si>
    <t xml:space="preserve">Rate (%)</t>
  </si>
  <si>
    <t xml:space="preserve">Value per share at 9% (WACC)</t>
  </si>
  <si>
    <t xml:space="preserve">Value per share at 10%</t>
  </si>
  <si>
    <t xml:space="preserve">Value per share at 11%</t>
  </si>
  <si>
    <t xml:space="preserve">Value per share at 12%</t>
  </si>
  <si>
    <t xml:space="preserve">Value per share at 15%</t>
  </si>
  <si>
    <t xml:space="preserve">Sensitivity: value per share, rows WACC (%) x columns terminal growth (%)</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</si>
</sst>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
      <sz val="11"/>
      <color rgb="FF0000FF"/>
      <name val="Cambria"/>
      <family val="0"/>
      <charset val="1"/>
    </font>
    <font>
      <sz val="11"/>
      <color rgb="FF008000"/>
      <name val="Cambria"/>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2" min="2" style="0" width="100"/>
  </cols>
  <sheetData>
    <row r="1" customFormat="false" ht="15" hidden="false" customHeight="false" outlineLevel="0" collapsed="false">
      <c r="A1" s="0" t="s">
        <v>0</v>
      </c>
      <c r="B1" s="0" t="s">
        <v>1</v>
      </c>
    </row>
    <row r="2" customFormat="false" ht="15" hidden="false" customHeight="false" outlineLevel="0" collapsed="false">
      <c r="A2" s="0" t="s">
        <v>2</v>
      </c>
      <c r="B2" s="0" t="s">
        <v>3</v>
      </c>
    </row>
    <row r="3" customFormat="false" ht="15" hidden="false" customHeight="false" outlineLevel="0" collapsed="false">
      <c r="A3" s="0" t="s">
        <v>4</v>
      </c>
      <c r="B3" s="0" t="s">
        <v>5</v>
      </c>
    </row>
    <row r="4" customFormat="false" ht="15" hidden="false" customHeight="false" outlineLevel="0" collapsed="false">
      <c r="A4" s="0" t="s">
        <v>6</v>
      </c>
      <c r="B4" s="0" t="n">
        <v>23.9</v>
      </c>
    </row>
    <row r="5" customFormat="false" ht="15" hidden="false" customHeight="false" outlineLevel="0" collapsed="false">
      <c r="A5" s="0" t="s">
        <v>7</v>
      </c>
      <c r="B5" s="0" t="s">
        <v>8</v>
      </c>
    </row>
    <row r="6" customFormat="false" ht="15" hidden="false" customHeight="false" outlineLevel="0" collapsed="false">
      <c r="A6" s="0" t="s">
        <v>9</v>
      </c>
      <c r="B6" s="0" t="s">
        <v>10</v>
      </c>
    </row>
    <row r="7" customFormat="false" ht="15" hidden="false" customHeight="false" outlineLevel="0" collapsed="false">
      <c r="A7" s="0" t="s">
        <v>11</v>
      </c>
      <c r="B7" s="0" t="s">
        <v>12</v>
      </c>
    </row>
    <row r="8" customFormat="false" ht="15" hidden="false" customHeight="false" outlineLevel="0" collapsed="false">
      <c r="A8" s="0" t="s">
        <v>13</v>
      </c>
      <c r="B8" s="0" t="s">
        <v>14</v>
      </c>
    </row>
    <row r="9" customFormat="false" ht="15" hidden="false" customHeight="false" outlineLevel="0" collapsed="false">
      <c r="A9" s="0" t="s">
        <v>15</v>
      </c>
      <c r="B9" s="0" t="s">
        <v>16</v>
      </c>
    </row>
    <row r="10" customFormat="false" ht="15" hidden="false" customHeight="false" outlineLevel="0" collapsed="false">
      <c r="A10" s="0" t="s">
        <v>17</v>
      </c>
      <c r="B10" s="0" t="s">
        <v>18</v>
      </c>
    </row>
    <row r="11" customFormat="false" ht="15" hidden="false" customHeight="false" outlineLevel="0" collapsed="false">
      <c r="A11" s="0" t="s">
        <v>19</v>
      </c>
      <c r="B11" s="0" t="s">
        <v>20</v>
      </c>
    </row>
    <row r="12" customFormat="false" ht="15" hidden="false" customHeight="false" outlineLevel="0" collapsed="false">
      <c r="A12" s="0" t="s">
        <v>21</v>
      </c>
      <c r="B12" s="0" t="s">
        <v>22</v>
      </c>
    </row>
    <row r="13" customFormat="false" ht="15" hidden="false" customHeight="false" outlineLevel="0" collapsed="false">
      <c r="A13" s="0" t="s">
        <v>23</v>
      </c>
      <c r="B13" s="0" t="s">
        <v>24</v>
      </c>
    </row>
    <row r="14" customFormat="false" ht="15" hidden="false" customHeight="false" outlineLevel="0" collapsed="false">
      <c r="A14" s="0" t="s">
        <v>25</v>
      </c>
      <c r="B14" s="0" t="s">
        <v>26</v>
      </c>
    </row>
    <row r="15" customFormat="false" ht="23.85" hidden="false" customHeight="false" outlineLevel="0" collapsed="false">
      <c r="A15" s="0" t="s">
        <v>27</v>
      </c>
      <c r="B15" s="1" t="s">
        <v>28</v>
      </c>
    </row>
    <row r="16" customFormat="false" ht="35.05" hidden="false" customHeight="false" outlineLevel="0" collapsed="false">
      <c r="A16" s="0" t="s">
        <v>29</v>
      </c>
      <c r="B16" s="1" t="s">
        <v>30</v>
      </c>
    </row>
    <row r="17" customFormat="false" ht="15" hidden="false" customHeight="false" outlineLevel="0" collapsed="false">
      <c r="A17" s="0" t="s">
        <v>31</v>
      </c>
      <c r="B17" s="0" t="s">
        <v>32</v>
      </c>
    </row>
    <row r="18" customFormat="false" ht="15" hidden="false" customHeight="false" outlineLevel="0" collapsed="false">
      <c r="A18" s="0" t="s">
        <v>33</v>
      </c>
      <c r="B18" s="0" t="s">
        <v>34</v>
      </c>
    </row>
    <row r="19" customFormat="false" ht="15" hidden="false" customHeight="false" outlineLevel="0" collapsed="false">
      <c r="A19" s="0" t="s">
        <v>35</v>
      </c>
      <c r="B19" s="0" t="s">
        <v>36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B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sheetData>
    <row r="1" customFormat="false" ht="15" hidden="false" customHeight="false" outlineLevel="0" collapsed="false">
      <c r="A1" s="2" t="s">
        <v>37</v>
      </c>
      <c r="B1" s="2" t="s">
        <v>38</v>
      </c>
      <c r="C1" s="2" t="s">
        <v>39</v>
      </c>
      <c r="D1" s="2" t="s">
        <v>40</v>
      </c>
      <c r="E1" s="2" t="s">
        <v>41</v>
      </c>
      <c r="F1" s="2" t="s">
        <v>42</v>
      </c>
      <c r="G1" s="2" t="s">
        <v>43</v>
      </c>
      <c r="H1" s="2" t="s">
        <v>44</v>
      </c>
      <c r="I1" s="2" t="s">
        <v>45</v>
      </c>
      <c r="J1" s="2" t="s">
        <v>46</v>
      </c>
      <c r="K1" s="2" t="s">
        <v>47</v>
      </c>
      <c r="L1" s="2" t="s">
        <v>48</v>
      </c>
      <c r="M1" s="2" t="s">
        <v>49</v>
      </c>
      <c r="N1" s="2" t="s">
        <v>50</v>
      </c>
      <c r="O1" s="2" t="s">
        <v>51</v>
      </c>
      <c r="P1" s="2" t="s">
        <v>52</v>
      </c>
      <c r="Q1" s="2" t="s">
        <v>53</v>
      </c>
      <c r="R1" s="2" t="s">
        <v>54</v>
      </c>
      <c r="S1" s="2" t="s">
        <v>55</v>
      </c>
      <c r="T1" s="2" t="s">
        <v>56</v>
      </c>
      <c r="U1" s="2" t="s">
        <v>57</v>
      </c>
      <c r="V1" s="2" t="s">
        <v>58</v>
      </c>
      <c r="W1" s="2" t="s">
        <v>59</v>
      </c>
      <c r="X1" s="2" t="s">
        <v>60</v>
      </c>
      <c r="Y1" s="2" t="s">
        <v>61</v>
      </c>
      <c r="Z1" s="2" t="s">
        <v>62</v>
      </c>
      <c r="AA1" s="2" t="s">
        <v>17</v>
      </c>
      <c r="AB1" s="2" t="s">
        <v>63</v>
      </c>
    </row>
    <row r="2" customFormat="false" ht="15" hidden="false" customHeight="false" outlineLevel="0" collapsed="false">
      <c r="A2" s="0" t="s">
        <v>64</v>
      </c>
      <c r="B2" s="0" t="n">
        <v>227711</v>
      </c>
      <c r="F2" s="0" t="n">
        <v>80167</v>
      </c>
      <c r="G2" s="0" t="n">
        <v>35.2</v>
      </c>
      <c r="H2" s="0" t="n">
        <v>131005</v>
      </c>
      <c r="I2" s="0" t="n">
        <v>52675</v>
      </c>
      <c r="J2" s="0" t="n">
        <v>23.1</v>
      </c>
      <c r="K2" s="0" t="n">
        <v>1.18</v>
      </c>
      <c r="L2" s="0" t="n">
        <v>124398</v>
      </c>
      <c r="M2" s="0" t="n">
        <v>51002</v>
      </c>
      <c r="N2" s="0" t="n">
        <v>73396</v>
      </c>
      <c r="O2" s="0" t="n">
        <v>419910</v>
      </c>
      <c r="P2" s="0" t="n">
        <v>686381</v>
      </c>
      <c r="Q2" s="0" t="n">
        <v>266471</v>
      </c>
      <c r="R2" s="0" t="n">
        <v>142470</v>
      </c>
      <c r="S2" s="0" t="n">
        <v>14995</v>
      </c>
      <c r="T2" s="0" t="n">
        <v>44647.455984</v>
      </c>
      <c r="AA2" s="0" t="s">
        <v>18</v>
      </c>
      <c r="AB2" s="0" t="s">
        <v>14</v>
      </c>
    </row>
    <row r="3" customFormat="false" ht="15" hidden="false" customHeight="false" outlineLevel="0" collapsed="false">
      <c r="A3" s="0" t="s">
        <v>65</v>
      </c>
      <c r="B3" s="0" t="n">
        <v>233199</v>
      </c>
      <c r="F3" s="0" t="n">
        <v>84195</v>
      </c>
      <c r="G3" s="0" t="n">
        <v>36.1</v>
      </c>
      <c r="H3" s="0" t="n">
        <v>141894</v>
      </c>
      <c r="I3" s="0" t="n">
        <v>61045</v>
      </c>
      <c r="J3" s="0" t="n">
        <v>26.2</v>
      </c>
      <c r="K3" s="0" t="n">
        <v>1.37</v>
      </c>
      <c r="L3" s="0" t="n">
        <v>123521</v>
      </c>
      <c r="M3" s="0" t="n">
        <v>66395</v>
      </c>
      <c r="N3" s="0" t="n">
        <v>57126</v>
      </c>
      <c r="O3" s="0" t="n">
        <v>448226</v>
      </c>
      <c r="P3" s="0" t="n">
        <v>757731</v>
      </c>
      <c r="Q3" s="0" t="n">
        <v>309505</v>
      </c>
      <c r="R3" s="0" t="n">
        <v>148742</v>
      </c>
      <c r="S3" s="0" t="n">
        <v>33679</v>
      </c>
      <c r="T3" s="0" t="n">
        <v>44647.455984</v>
      </c>
      <c r="AA3" s="0" t="s">
        <v>18</v>
      </c>
      <c r="AB3" s="0" t="s">
        <v>14</v>
      </c>
    </row>
    <row r="4" customFormat="false" ht="15" hidden="false" customHeight="false" outlineLevel="0" collapsed="false">
      <c r="A4" s="0" t="s">
        <v>66</v>
      </c>
      <c r="B4" s="0" t="n">
        <v>155372</v>
      </c>
      <c r="F4" s="0" t="n">
        <v>36389</v>
      </c>
      <c r="G4" s="0" t="n">
        <v>23.4</v>
      </c>
      <c r="H4" s="0" t="n">
        <v>88695</v>
      </c>
      <c r="I4" s="0" t="n">
        <v>24956</v>
      </c>
      <c r="J4" s="0" t="n">
        <v>16.1</v>
      </c>
      <c r="K4" s="0" t="n">
        <v>0.56</v>
      </c>
      <c r="L4" s="0" t="n">
        <v>82338</v>
      </c>
      <c r="M4" s="0" t="n">
        <v>71000</v>
      </c>
      <c r="N4" s="0" t="n">
        <v>11338</v>
      </c>
      <c r="O4" s="0" t="n">
        <v>433930</v>
      </c>
      <c r="P4" s="0" t="n">
        <v>721275</v>
      </c>
      <c r="Q4" s="0" t="n">
        <v>287345</v>
      </c>
      <c r="R4" s="0" t="n">
        <v>136230</v>
      </c>
      <c r="S4" s="0" t="n">
        <v>24019</v>
      </c>
      <c r="T4" s="0" t="n">
        <v>44647.455984</v>
      </c>
      <c r="AA4" s="0" t="s">
        <v>18</v>
      </c>
      <c r="AB4" s="0" t="s">
        <v>14</v>
      </c>
    </row>
    <row r="5" customFormat="false" ht="15" hidden="false" customHeight="false" outlineLevel="0" collapsed="false">
      <c r="A5" s="0" t="s">
        <v>67</v>
      </c>
      <c r="B5" s="0" t="n">
        <v>246111</v>
      </c>
      <c r="F5" s="0" t="n">
        <v>95979</v>
      </c>
      <c r="G5" s="0" t="n">
        <v>39</v>
      </c>
      <c r="H5" s="0" t="n">
        <v>153215</v>
      </c>
      <c r="I5" s="0" t="n">
        <v>70320</v>
      </c>
      <c r="J5" s="0" t="n">
        <v>28.6</v>
      </c>
      <c r="K5" s="0" t="n">
        <v>1.57</v>
      </c>
      <c r="L5" s="0" t="n">
        <v>147893</v>
      </c>
      <c r="M5" s="0" t="n">
        <v>73088</v>
      </c>
      <c r="N5" s="0" t="n">
        <v>74805</v>
      </c>
      <c r="O5" s="0" t="n">
        <v>481976</v>
      </c>
      <c r="P5" s="0" t="n">
        <v>786569</v>
      </c>
      <c r="Q5" s="0" t="n">
        <v>304593</v>
      </c>
      <c r="R5" s="0" t="n">
        <v>128222</v>
      </c>
      <c r="S5" s="0" t="n">
        <v>41432</v>
      </c>
      <c r="T5" s="0" t="n">
        <v>44647.455984</v>
      </c>
      <c r="AA5" s="0" t="s">
        <v>18</v>
      </c>
      <c r="AB5" s="0" t="s">
        <v>14</v>
      </c>
    </row>
    <row r="6" customFormat="false" ht="15" hidden="false" customHeight="false" outlineLevel="0" collapsed="false">
      <c r="A6" s="0" t="s">
        <v>68</v>
      </c>
      <c r="B6" s="0" t="n">
        <v>422230</v>
      </c>
      <c r="F6" s="0" t="n">
        <v>193325</v>
      </c>
      <c r="G6" s="0" t="n">
        <v>45.8</v>
      </c>
      <c r="H6" s="0" t="n">
        <v>256177</v>
      </c>
      <c r="I6" s="0" t="n">
        <v>141700</v>
      </c>
      <c r="J6" s="0" t="n">
        <v>33.6</v>
      </c>
      <c r="K6" s="0" t="n">
        <v>3.03</v>
      </c>
      <c r="L6" s="0" t="n">
        <v>205574</v>
      </c>
      <c r="M6" s="0" t="n">
        <v>81373</v>
      </c>
      <c r="N6" s="0" t="n">
        <v>124201</v>
      </c>
      <c r="O6" s="0" t="n">
        <v>598383</v>
      </c>
      <c r="P6" s="0" t="n">
        <v>929031</v>
      </c>
      <c r="Q6" s="0" t="n">
        <v>330648</v>
      </c>
      <c r="R6" s="0" t="n">
        <v>125962</v>
      </c>
      <c r="S6" s="0" t="n">
        <v>85633</v>
      </c>
      <c r="T6" s="0" t="n">
        <v>46697.155252</v>
      </c>
      <c r="AA6" s="0" t="s">
        <v>18</v>
      </c>
      <c r="AB6" s="0" t="s">
        <v>14</v>
      </c>
    </row>
    <row r="7" customFormat="false" ht="15" hidden="false" customHeight="false" outlineLevel="0" collapsed="false">
      <c r="A7" s="0" t="s">
        <v>69</v>
      </c>
      <c r="B7" s="0" t="n">
        <v>416609</v>
      </c>
      <c r="F7" s="0" t="n">
        <v>167769</v>
      </c>
      <c r="G7" s="0" t="n">
        <v>40.3</v>
      </c>
      <c r="H7" s="0" t="n">
        <v>236716</v>
      </c>
      <c r="I7" s="0" t="n">
        <v>123843</v>
      </c>
      <c r="J7" s="0" t="n">
        <v>29.7</v>
      </c>
      <c r="K7" s="0" t="n">
        <v>2.6</v>
      </c>
      <c r="L7" s="0" t="n">
        <v>209743</v>
      </c>
      <c r="M7" s="0" t="n">
        <v>120875</v>
      </c>
      <c r="N7" s="0" t="n">
        <v>88868</v>
      </c>
      <c r="O7" s="0" t="n">
        <v>667876</v>
      </c>
      <c r="P7" s="0" t="n">
        <v>1005598</v>
      </c>
      <c r="Q7" s="0" t="n">
        <v>337722</v>
      </c>
      <c r="R7" s="0" t="n">
        <v>110102</v>
      </c>
      <c r="S7" s="0" t="n">
        <v>133439</v>
      </c>
      <c r="T7" s="0" t="n">
        <v>47566.763984</v>
      </c>
      <c r="AA7" s="0" t="s">
        <v>18</v>
      </c>
      <c r="AB7" s="0" t="s">
        <v>14</v>
      </c>
    </row>
    <row r="8" customFormat="false" ht="15" hidden="false" customHeight="false" outlineLevel="0" collapsed="false">
      <c r="A8" s="0" t="s">
        <v>70</v>
      </c>
      <c r="B8" s="0" t="n">
        <v>420506</v>
      </c>
      <c r="F8" s="0" t="n">
        <v>184705</v>
      </c>
      <c r="G8" s="0" t="n">
        <v>43.9</v>
      </c>
      <c r="H8" s="0" t="n">
        <v>259311</v>
      </c>
      <c r="I8" s="0" t="n">
        <v>137936</v>
      </c>
      <c r="J8" s="0" t="n">
        <v>32.8</v>
      </c>
      <c r="K8" s="0" t="n">
        <v>2.9</v>
      </c>
      <c r="L8" s="0" t="n">
        <v>220891</v>
      </c>
      <c r="M8" s="0" t="n">
        <v>123359</v>
      </c>
      <c r="N8" s="0" t="n">
        <v>97532</v>
      </c>
      <c r="O8" s="0" t="n">
        <v>749436</v>
      </c>
      <c r="P8" s="0" t="n">
        <v>1056281</v>
      </c>
      <c r="Q8" s="0" t="n">
        <v>306845</v>
      </c>
      <c r="R8" s="0" t="n">
        <v>81327</v>
      </c>
      <c r="S8" s="0" t="n">
        <v>81284</v>
      </c>
      <c r="T8" s="0" t="n">
        <v>47553.28014</v>
      </c>
      <c r="AA8" s="0" t="s">
        <v>18</v>
      </c>
      <c r="AB8" s="0" t="s">
        <v>14</v>
      </c>
    </row>
    <row r="9" customFormat="false" ht="15" hidden="false" customHeight="false" outlineLevel="0" collapsed="false">
      <c r="A9" s="0" t="s">
        <v>71</v>
      </c>
      <c r="B9" s="0" t="n">
        <v>398220</v>
      </c>
      <c r="F9" s="0" t="n">
        <v>169593</v>
      </c>
      <c r="G9" s="0" t="n">
        <v>42.6</v>
      </c>
      <c r="H9" s="0" t="n">
        <v>249364</v>
      </c>
      <c r="I9" s="0" t="n">
        <v>122082</v>
      </c>
      <c r="J9" s="0" t="n">
        <v>30.7</v>
      </c>
      <c r="K9" s="0" t="n">
        <v>2.57</v>
      </c>
      <c r="L9" s="0" t="n">
        <v>209042</v>
      </c>
      <c r="M9" s="0" t="n">
        <v>111555</v>
      </c>
      <c r="N9" s="0" t="n">
        <v>97487</v>
      </c>
      <c r="O9" s="0" t="n">
        <v>805184</v>
      </c>
      <c r="P9" s="0" t="n">
        <v>1098559</v>
      </c>
      <c r="Q9" s="0" t="n">
        <v>293375</v>
      </c>
      <c r="R9" s="0" t="n">
        <v>60140</v>
      </c>
      <c r="S9" s="0" t="n">
        <v>78679</v>
      </c>
      <c r="T9" s="0" t="n">
        <v>47529.953984</v>
      </c>
      <c r="AA9" s="0" t="s">
        <v>18</v>
      </c>
      <c r="AB9" s="0" t="s">
        <v>14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4"/>
  </cols>
  <sheetData>
    <row r="1" customFormat="false" ht="15" hidden="false" customHeight="false" outlineLevel="0" collapsed="false">
      <c r="A1" s="2" t="s">
        <v>72</v>
      </c>
      <c r="B1" s="2" t="s">
        <v>73</v>
      </c>
    </row>
    <row r="2" customFormat="false" ht="15" hidden="false" customHeight="false" outlineLevel="0" collapsed="false">
      <c r="A2" s="0" t="s">
        <v>74</v>
      </c>
      <c r="B2" s="3" t="n">
        <v>23.9</v>
      </c>
    </row>
    <row r="3" customFormat="false" ht="15" hidden="false" customHeight="false" outlineLevel="0" collapsed="false">
      <c r="A3" s="0" t="s">
        <v>75</v>
      </c>
      <c r="B3" s="3" t="n">
        <v>47529.954</v>
      </c>
    </row>
    <row r="4" customFormat="false" ht="15" hidden="false" customHeight="false" outlineLevel="0" collapsed="false">
      <c r="A4" s="0" t="s">
        <v>76</v>
      </c>
      <c r="B4" s="3" t="n">
        <v>-268698</v>
      </c>
    </row>
    <row r="5" customFormat="false" ht="15" hidden="false" customHeight="false" outlineLevel="0" collapsed="false">
      <c r="A5" s="0" t="s">
        <v>77</v>
      </c>
      <c r="B5" s="3" t="n">
        <v>-182079</v>
      </c>
    </row>
    <row r="6" customFormat="false" ht="15" hidden="false" customHeight="false" outlineLevel="0" collapsed="false">
      <c r="A6" s="0" t="s">
        <v>78</v>
      </c>
      <c r="B6" s="3" t="n">
        <v>15</v>
      </c>
    </row>
    <row r="7" customFormat="false" ht="15" hidden="false" customHeight="false" outlineLevel="0" collapsed="false">
      <c r="A7" s="0" t="s">
        <v>79</v>
      </c>
      <c r="B7" s="3" t="n">
        <v>398220</v>
      </c>
    </row>
    <row r="8" customFormat="false" ht="15" hidden="false" customHeight="false" outlineLevel="0" collapsed="false">
      <c r="A8" s="0" t="s">
        <v>80</v>
      </c>
      <c r="B8" s="3" t="s">
        <v>71</v>
      </c>
    </row>
    <row r="9" customFormat="false" ht="15" hidden="false" customHeight="false" outlineLevel="0" collapsed="false">
      <c r="A9" s="0" t="s">
        <v>81</v>
      </c>
      <c r="B9" s="3" t="s">
        <v>82</v>
      </c>
    </row>
    <row r="10" customFormat="false" ht="15" hidden="false" customHeight="false" outlineLevel="0" collapsed="false">
      <c r="A10" s="0" t="s">
        <v>83</v>
      </c>
      <c r="B10" s="3" t="n">
        <v>1.1721</v>
      </c>
    </row>
    <row r="12" customFormat="false" ht="15" hidden="false" customHeight="false" outlineLevel="0" collapsed="false">
      <c r="A12" s="2" t="s">
        <v>84</v>
      </c>
      <c r="C12" s="2" t="s">
        <v>85</v>
      </c>
      <c r="D12" s="2" t="s">
        <v>86</v>
      </c>
      <c r="E12" s="2" t="s">
        <v>87</v>
      </c>
      <c r="F12" s="2" t="s">
        <v>88</v>
      </c>
      <c r="G12" s="2" t="s">
        <v>89</v>
      </c>
      <c r="H12" s="2" t="s">
        <v>90</v>
      </c>
      <c r="I12" s="2" t="s">
        <v>91</v>
      </c>
      <c r="J12" s="2" t="s">
        <v>92</v>
      </c>
      <c r="K12" s="2" t="s">
        <v>93</v>
      </c>
      <c r="L12" s="2" t="s">
        <v>94</v>
      </c>
    </row>
    <row r="13" customFormat="false" ht="15" hidden="false" customHeight="false" outlineLevel="0" collapsed="false">
      <c r="A13" s="0" t="s">
        <v>95</v>
      </c>
      <c r="C13" s="3" t="n">
        <v>8</v>
      </c>
      <c r="D13" s="3" t="n">
        <v>-22</v>
      </c>
      <c r="E13" s="3" t="n">
        <v>1</v>
      </c>
      <c r="F13" s="3" t="n">
        <v>2</v>
      </c>
      <c r="G13" s="3" t="n">
        <v>2</v>
      </c>
      <c r="H13" s="3" t="n">
        <v>2</v>
      </c>
      <c r="I13" s="3" t="n">
        <v>1.5</v>
      </c>
      <c r="J13" s="3" t="n">
        <v>1.5</v>
      </c>
      <c r="K13" s="3" t="n">
        <v>1.5</v>
      </c>
      <c r="L13" s="3" t="n">
        <v>1.5</v>
      </c>
    </row>
    <row r="14" customFormat="false" ht="15" hidden="false" customHeight="false" outlineLevel="0" collapsed="false">
      <c r="A14" s="0" t="s">
        <v>96</v>
      </c>
      <c r="C14" s="3" t="n">
        <v>61</v>
      </c>
      <c r="D14" s="3" t="n">
        <v>54</v>
      </c>
      <c r="E14" s="3" t="n">
        <v>55</v>
      </c>
      <c r="F14" s="3" t="n">
        <v>56</v>
      </c>
      <c r="G14" s="3" t="n">
        <v>56</v>
      </c>
      <c r="H14" s="3" t="n">
        <v>56</v>
      </c>
      <c r="I14" s="3" t="n">
        <v>56</v>
      </c>
      <c r="J14" s="3" t="n">
        <v>56</v>
      </c>
      <c r="K14" s="3" t="n">
        <v>56</v>
      </c>
      <c r="L14" s="3" t="n">
        <v>56</v>
      </c>
    </row>
    <row r="15" customFormat="false" ht="15" hidden="false" customHeight="false" outlineLevel="0" collapsed="false">
      <c r="A15" s="0" t="s">
        <v>97</v>
      </c>
      <c r="C15" s="3" t="n">
        <v>0</v>
      </c>
      <c r="D15" s="3" t="n">
        <v>0</v>
      </c>
      <c r="E15" s="3" t="n">
        <v>0</v>
      </c>
      <c r="F15" s="3" t="n">
        <v>0</v>
      </c>
      <c r="G15" s="3" t="n">
        <v>0</v>
      </c>
      <c r="H15" s="3" t="n">
        <v>0</v>
      </c>
      <c r="I15" s="3" t="n">
        <v>0</v>
      </c>
      <c r="J15" s="3" t="n">
        <v>0</v>
      </c>
      <c r="K15" s="3" t="n">
        <v>0</v>
      </c>
      <c r="L15" s="3" t="n">
        <v>0</v>
      </c>
    </row>
    <row r="16" customFormat="false" ht="15" hidden="false" customHeight="false" outlineLevel="0" collapsed="false">
      <c r="A16" s="0" t="s">
        <v>98</v>
      </c>
      <c r="C16" s="3" t="n">
        <v>1</v>
      </c>
      <c r="D16" s="3" t="n">
        <v>1</v>
      </c>
      <c r="E16" s="3" t="n">
        <v>1</v>
      </c>
      <c r="F16" s="3" t="n">
        <v>1</v>
      </c>
      <c r="G16" s="3" t="n">
        <v>1</v>
      </c>
      <c r="H16" s="3" t="n">
        <v>1</v>
      </c>
      <c r="I16" s="3" t="n">
        <v>1</v>
      </c>
      <c r="J16" s="3" t="n">
        <v>1</v>
      </c>
      <c r="K16" s="3" t="n">
        <v>1</v>
      </c>
      <c r="L16" s="3" t="n">
        <v>1</v>
      </c>
    </row>
    <row r="17" customFormat="false" ht="15" hidden="false" customHeight="false" outlineLevel="0" collapsed="false">
      <c r="A17" s="0" t="s">
        <v>99</v>
      </c>
      <c r="C17" s="3" t="n">
        <v>20.5</v>
      </c>
      <c r="D17" s="3" t="n">
        <v>24</v>
      </c>
      <c r="E17" s="3" t="n">
        <v>24</v>
      </c>
      <c r="F17" s="3" t="n">
        <v>23.5</v>
      </c>
      <c r="G17" s="3" t="n">
        <v>23</v>
      </c>
      <c r="H17" s="3" t="n">
        <v>23</v>
      </c>
      <c r="I17" s="3" t="n">
        <v>23</v>
      </c>
      <c r="J17" s="3" t="n">
        <v>23</v>
      </c>
      <c r="K17" s="3" t="n">
        <v>23</v>
      </c>
      <c r="L17" s="3" t="n">
        <v>23</v>
      </c>
    </row>
    <row r="18" customFormat="false" ht="15" hidden="false" customHeight="false" outlineLevel="0" collapsed="false">
      <c r="A18" s="0" t="s">
        <v>100</v>
      </c>
      <c r="C18" s="3" t="n">
        <v>25</v>
      </c>
      <c r="D18" s="3" t="n">
        <v>30</v>
      </c>
      <c r="E18" s="3" t="n">
        <v>29</v>
      </c>
      <c r="F18" s="3" t="n">
        <v>28</v>
      </c>
      <c r="G18" s="3" t="n">
        <v>28</v>
      </c>
      <c r="H18" s="3" t="n">
        <v>28</v>
      </c>
      <c r="I18" s="3" t="n">
        <v>28</v>
      </c>
      <c r="J18" s="3" t="n">
        <v>28</v>
      </c>
      <c r="K18" s="3" t="n">
        <v>28</v>
      </c>
      <c r="L18" s="3" t="n">
        <v>28</v>
      </c>
    </row>
    <row r="19" customFormat="false" ht="15" hidden="false" customHeight="false" outlineLevel="0" collapsed="false">
      <c r="A19" s="0" t="s">
        <v>101</v>
      </c>
      <c r="C19" s="3" t="n">
        <v>28</v>
      </c>
      <c r="D19" s="3" t="n">
        <v>27</v>
      </c>
      <c r="E19" s="3" t="n">
        <v>27</v>
      </c>
      <c r="F19" s="3" t="n">
        <v>27</v>
      </c>
      <c r="G19" s="3" t="n">
        <v>27</v>
      </c>
      <c r="H19" s="3" t="n">
        <v>27</v>
      </c>
      <c r="I19" s="3" t="n">
        <v>27</v>
      </c>
      <c r="J19" s="3" t="n">
        <v>27</v>
      </c>
      <c r="K19" s="3" t="n">
        <v>27</v>
      </c>
      <c r="L19" s="3" t="n">
        <v>27</v>
      </c>
    </row>
    <row r="20" customFormat="false" ht="15" hidden="false" customHeight="false" outlineLevel="0" collapsed="false">
      <c r="A20" s="0" t="s">
        <v>102</v>
      </c>
      <c r="B20" s="3" t="n">
        <v>9</v>
      </c>
    </row>
    <row r="21" customFormat="false" ht="15" hidden="false" customHeight="false" outlineLevel="0" collapsed="false">
      <c r="A21" s="0" t="s">
        <v>103</v>
      </c>
      <c r="B21" s="3" t="n">
        <v>1</v>
      </c>
    </row>
    <row r="22" customFormat="false" ht="15" hidden="false" customHeight="false" outlineLevel="0" collapsed="false">
      <c r="A22" s="0" t="s">
        <v>104</v>
      </c>
      <c r="B22" s="3" t="n">
        <v>10</v>
      </c>
    </row>
    <row r="23" customFormat="false" ht="15" hidden="false" customHeight="false" outlineLevel="0" collapsed="false">
      <c r="A23" s="0" t="s">
        <v>105</v>
      </c>
      <c r="B23" s="3" t="n">
        <v>0</v>
      </c>
    </row>
    <row r="24" customFormat="false" ht="15" hidden="false" customHeight="false" outlineLevel="0" collapsed="false">
      <c r="A24" s="0" t="s">
        <v>106</v>
      </c>
      <c r="B24" s="3" t="n">
        <v>0.25</v>
      </c>
    </row>
    <row r="26" customFormat="false" ht="15" hidden="false" customHeight="false" outlineLevel="0" collapsed="false">
      <c r="A26" s="2" t="s">
        <v>107</v>
      </c>
      <c r="C26" s="2" t="s">
        <v>85</v>
      </c>
      <c r="D26" s="2" t="s">
        <v>86</v>
      </c>
      <c r="E26" s="2" t="s">
        <v>87</v>
      </c>
      <c r="F26" s="2" t="s">
        <v>88</v>
      </c>
      <c r="G26" s="2" t="s">
        <v>89</v>
      </c>
      <c r="H26" s="2" t="s">
        <v>90</v>
      </c>
      <c r="I26" s="2" t="s">
        <v>91</v>
      </c>
      <c r="J26" s="2" t="s">
        <v>92</v>
      </c>
      <c r="K26" s="2" t="s">
        <v>93</v>
      </c>
      <c r="L26" s="2" t="s">
        <v>94</v>
      </c>
    </row>
    <row r="27" customFormat="false" ht="15" hidden="false" customHeight="false" outlineLevel="0" collapsed="false">
      <c r="A27" s="0" t="s">
        <v>95</v>
      </c>
      <c r="C27" s="3" t="n">
        <v>12</v>
      </c>
      <c r="D27" s="3" t="n">
        <v>-6</v>
      </c>
      <c r="E27" s="3" t="n">
        <v>3</v>
      </c>
      <c r="F27" s="3" t="n">
        <v>3</v>
      </c>
      <c r="G27" s="3" t="n">
        <v>2.5</v>
      </c>
      <c r="H27" s="3" t="n">
        <v>2.5</v>
      </c>
      <c r="I27" s="3" t="n">
        <v>2</v>
      </c>
      <c r="J27" s="3" t="n">
        <v>2</v>
      </c>
      <c r="K27" s="3" t="n">
        <v>2</v>
      </c>
      <c r="L27" s="3" t="n">
        <v>2</v>
      </c>
    </row>
    <row r="28" customFormat="false" ht="15" hidden="false" customHeight="false" outlineLevel="0" collapsed="false">
      <c r="A28" s="0" t="s">
        <v>96</v>
      </c>
      <c r="C28" s="3" t="n">
        <v>63</v>
      </c>
      <c r="D28" s="3" t="n">
        <v>61</v>
      </c>
      <c r="E28" s="3" t="n">
        <v>61</v>
      </c>
      <c r="F28" s="3" t="n">
        <v>61</v>
      </c>
      <c r="G28" s="3" t="n">
        <v>60.5</v>
      </c>
      <c r="H28" s="3" t="n">
        <v>60</v>
      </c>
      <c r="I28" s="3" t="n">
        <v>60</v>
      </c>
      <c r="J28" s="3" t="n">
        <v>60</v>
      </c>
      <c r="K28" s="3" t="n">
        <v>60</v>
      </c>
      <c r="L28" s="3" t="n">
        <v>60</v>
      </c>
    </row>
    <row r="29" customFormat="false" ht="15" hidden="false" customHeight="false" outlineLevel="0" collapsed="false">
      <c r="A29" s="0" t="s">
        <v>97</v>
      </c>
      <c r="C29" s="3" t="n">
        <v>0</v>
      </c>
      <c r="D29" s="3" t="n">
        <v>0</v>
      </c>
      <c r="E29" s="3" t="n">
        <v>0</v>
      </c>
      <c r="F29" s="3" t="n">
        <v>0</v>
      </c>
      <c r="G29" s="3" t="n">
        <v>0</v>
      </c>
      <c r="H29" s="3" t="n">
        <v>0</v>
      </c>
      <c r="I29" s="3" t="n">
        <v>0</v>
      </c>
      <c r="J29" s="3" t="n">
        <v>0</v>
      </c>
      <c r="K29" s="3" t="n">
        <v>0</v>
      </c>
      <c r="L29" s="3" t="n">
        <v>0</v>
      </c>
    </row>
    <row r="30" customFormat="false" ht="15" hidden="false" customHeight="false" outlineLevel="0" collapsed="false">
      <c r="A30" s="0" t="s">
        <v>98</v>
      </c>
      <c r="C30" s="3" t="n">
        <v>1</v>
      </c>
      <c r="D30" s="3" t="n">
        <v>1</v>
      </c>
      <c r="E30" s="3" t="n">
        <v>1</v>
      </c>
      <c r="F30" s="3" t="n">
        <v>1</v>
      </c>
      <c r="G30" s="3" t="n">
        <v>1</v>
      </c>
      <c r="H30" s="3" t="n">
        <v>1</v>
      </c>
      <c r="I30" s="3" t="n">
        <v>1</v>
      </c>
      <c r="J30" s="3" t="n">
        <v>1</v>
      </c>
      <c r="K30" s="3" t="n">
        <v>1</v>
      </c>
      <c r="L30" s="3" t="n">
        <v>1</v>
      </c>
    </row>
    <row r="31" customFormat="false" ht="15" hidden="false" customHeight="false" outlineLevel="0" collapsed="false">
      <c r="A31" s="0" t="s">
        <v>99</v>
      </c>
      <c r="C31" s="3" t="n">
        <v>20</v>
      </c>
      <c r="D31" s="3" t="n">
        <v>21</v>
      </c>
      <c r="E31" s="3" t="n">
        <v>21</v>
      </c>
      <c r="F31" s="3" t="n">
        <v>21</v>
      </c>
      <c r="G31" s="3" t="n">
        <v>21</v>
      </c>
      <c r="H31" s="3" t="n">
        <v>21</v>
      </c>
      <c r="I31" s="3" t="n">
        <v>21</v>
      </c>
      <c r="J31" s="3" t="n">
        <v>21</v>
      </c>
      <c r="K31" s="3" t="n">
        <v>21</v>
      </c>
      <c r="L31" s="3" t="n">
        <v>21</v>
      </c>
    </row>
    <row r="32" customFormat="false" ht="15" hidden="false" customHeight="false" outlineLevel="0" collapsed="false">
      <c r="A32" s="0" t="s">
        <v>100</v>
      </c>
      <c r="C32" s="3" t="n">
        <v>25</v>
      </c>
      <c r="D32" s="3" t="n">
        <v>28</v>
      </c>
      <c r="E32" s="3" t="n">
        <v>28</v>
      </c>
      <c r="F32" s="3" t="n">
        <v>28</v>
      </c>
      <c r="G32" s="3" t="n">
        <v>28</v>
      </c>
      <c r="H32" s="3" t="n">
        <v>27.5</v>
      </c>
      <c r="I32" s="3" t="n">
        <v>27</v>
      </c>
      <c r="J32" s="3" t="n">
        <v>27</v>
      </c>
      <c r="K32" s="3" t="n">
        <v>27</v>
      </c>
      <c r="L32" s="3" t="n">
        <v>27</v>
      </c>
    </row>
    <row r="33" customFormat="false" ht="15" hidden="false" customHeight="false" outlineLevel="0" collapsed="false">
      <c r="A33" s="0" t="s">
        <v>101</v>
      </c>
      <c r="C33" s="3" t="n">
        <v>28</v>
      </c>
      <c r="D33" s="3" t="n">
        <v>28</v>
      </c>
      <c r="E33" s="3" t="n">
        <v>28</v>
      </c>
      <c r="F33" s="3" t="n">
        <v>28</v>
      </c>
      <c r="G33" s="3" t="n">
        <v>28</v>
      </c>
      <c r="H33" s="3" t="n">
        <v>28</v>
      </c>
      <c r="I33" s="3" t="n">
        <v>28</v>
      </c>
      <c r="J33" s="3" t="n">
        <v>28</v>
      </c>
      <c r="K33" s="3" t="n">
        <v>28</v>
      </c>
      <c r="L33" s="3" t="n">
        <v>28</v>
      </c>
    </row>
    <row r="34" customFormat="false" ht="15" hidden="false" customHeight="false" outlineLevel="0" collapsed="false">
      <c r="A34" s="0" t="s">
        <v>102</v>
      </c>
      <c r="B34" s="3" t="n">
        <v>9</v>
      </c>
    </row>
    <row r="35" customFormat="false" ht="15" hidden="false" customHeight="false" outlineLevel="0" collapsed="false">
      <c r="A35" s="0" t="s">
        <v>103</v>
      </c>
      <c r="B35" s="3" t="n">
        <v>2</v>
      </c>
    </row>
    <row r="36" customFormat="false" ht="15" hidden="false" customHeight="false" outlineLevel="0" collapsed="false">
      <c r="A36" s="0" t="s">
        <v>104</v>
      </c>
      <c r="B36" s="3" t="n">
        <v>12</v>
      </c>
    </row>
    <row r="37" customFormat="false" ht="15" hidden="false" customHeight="false" outlineLevel="0" collapsed="false">
      <c r="A37" s="0" t="s">
        <v>105</v>
      </c>
      <c r="B37" s="3" t="n">
        <v>0</v>
      </c>
    </row>
    <row r="38" customFormat="false" ht="15" hidden="false" customHeight="false" outlineLevel="0" collapsed="false">
      <c r="A38" s="0" t="s">
        <v>106</v>
      </c>
      <c r="B38" s="3" t="n">
        <v>0.5</v>
      </c>
    </row>
    <row r="40" customFormat="false" ht="15" hidden="false" customHeight="false" outlineLevel="0" collapsed="false">
      <c r="A40" s="2" t="s">
        <v>108</v>
      </c>
      <c r="C40" s="2" t="s">
        <v>85</v>
      </c>
      <c r="D40" s="2" t="s">
        <v>86</v>
      </c>
      <c r="E40" s="2" t="s">
        <v>87</v>
      </c>
      <c r="F40" s="2" t="s">
        <v>88</v>
      </c>
      <c r="G40" s="2" t="s">
        <v>89</v>
      </c>
      <c r="H40" s="2" t="s">
        <v>90</v>
      </c>
      <c r="I40" s="2" t="s">
        <v>91</v>
      </c>
      <c r="J40" s="2" t="s">
        <v>92</v>
      </c>
      <c r="K40" s="2" t="s">
        <v>93</v>
      </c>
      <c r="L40" s="2" t="s">
        <v>94</v>
      </c>
    </row>
    <row r="41" customFormat="false" ht="15" hidden="false" customHeight="false" outlineLevel="0" collapsed="false">
      <c r="A41" s="0" t="s">
        <v>95</v>
      </c>
      <c r="C41" s="3" t="n">
        <v>17</v>
      </c>
      <c r="D41" s="3" t="n">
        <v>2</v>
      </c>
      <c r="E41" s="3" t="n">
        <v>4</v>
      </c>
      <c r="F41" s="3" t="n">
        <v>4</v>
      </c>
      <c r="G41" s="3" t="n">
        <v>3.5</v>
      </c>
      <c r="H41" s="3" t="n">
        <v>3</v>
      </c>
      <c r="I41" s="3" t="n">
        <v>3</v>
      </c>
      <c r="J41" s="3" t="n">
        <v>2.5</v>
      </c>
      <c r="K41" s="3" t="n">
        <v>2.5</v>
      </c>
      <c r="L41" s="3" t="n">
        <v>2.5</v>
      </c>
    </row>
    <row r="42" customFormat="false" ht="15" hidden="false" customHeight="false" outlineLevel="0" collapsed="false">
      <c r="A42" s="0" t="s">
        <v>96</v>
      </c>
      <c r="C42" s="3" t="n">
        <v>64.5</v>
      </c>
      <c r="D42" s="3" t="n">
        <v>63.5</v>
      </c>
      <c r="E42" s="3" t="n">
        <v>63</v>
      </c>
      <c r="F42" s="3" t="n">
        <v>63</v>
      </c>
      <c r="G42" s="3" t="n">
        <v>62.5</v>
      </c>
      <c r="H42" s="3" t="n">
        <v>62</v>
      </c>
      <c r="I42" s="3" t="n">
        <v>62</v>
      </c>
      <c r="J42" s="3" t="n">
        <v>62</v>
      </c>
      <c r="K42" s="3" t="n">
        <v>62</v>
      </c>
      <c r="L42" s="3" t="n">
        <v>62</v>
      </c>
    </row>
    <row r="43" customFormat="false" ht="15" hidden="false" customHeight="false" outlineLevel="0" collapsed="false">
      <c r="A43" s="0" t="s">
        <v>97</v>
      </c>
      <c r="C43" s="3" t="n">
        <v>0</v>
      </c>
      <c r="D43" s="3" t="n">
        <v>0</v>
      </c>
      <c r="E43" s="3" t="n">
        <v>0</v>
      </c>
      <c r="F43" s="3" t="n">
        <v>0</v>
      </c>
      <c r="G43" s="3" t="n">
        <v>0</v>
      </c>
      <c r="H43" s="3" t="n">
        <v>0</v>
      </c>
      <c r="I43" s="3" t="n">
        <v>0</v>
      </c>
      <c r="J43" s="3" t="n">
        <v>0</v>
      </c>
      <c r="K43" s="3" t="n">
        <v>0</v>
      </c>
      <c r="L43" s="3" t="n">
        <v>0</v>
      </c>
    </row>
    <row r="44" customFormat="false" ht="15" hidden="false" customHeight="false" outlineLevel="0" collapsed="false">
      <c r="A44" s="0" t="s">
        <v>98</v>
      </c>
      <c r="C44" s="3" t="n">
        <v>1</v>
      </c>
      <c r="D44" s="3" t="n">
        <v>1</v>
      </c>
      <c r="E44" s="3" t="n">
        <v>1</v>
      </c>
      <c r="F44" s="3" t="n">
        <v>1</v>
      </c>
      <c r="G44" s="3" t="n">
        <v>1</v>
      </c>
      <c r="H44" s="3" t="n">
        <v>1</v>
      </c>
      <c r="I44" s="3" t="n">
        <v>1</v>
      </c>
      <c r="J44" s="3" t="n">
        <v>1</v>
      </c>
      <c r="K44" s="3" t="n">
        <v>1</v>
      </c>
      <c r="L44" s="3" t="n">
        <v>1</v>
      </c>
    </row>
    <row r="45" customFormat="false" ht="15" hidden="false" customHeight="false" outlineLevel="0" collapsed="false">
      <c r="A45" s="0" t="s">
        <v>99</v>
      </c>
      <c r="C45" s="3" t="n">
        <v>19.5</v>
      </c>
      <c r="D45" s="3" t="n">
        <v>20</v>
      </c>
      <c r="E45" s="3" t="n">
        <v>20</v>
      </c>
      <c r="F45" s="3" t="n">
        <v>20</v>
      </c>
      <c r="G45" s="3" t="n">
        <v>20</v>
      </c>
      <c r="H45" s="3" t="n">
        <v>20</v>
      </c>
      <c r="I45" s="3" t="n">
        <v>20</v>
      </c>
      <c r="J45" s="3" t="n">
        <v>20</v>
      </c>
      <c r="K45" s="3" t="n">
        <v>20</v>
      </c>
      <c r="L45" s="3" t="n">
        <v>20</v>
      </c>
    </row>
    <row r="46" customFormat="false" ht="15" hidden="false" customHeight="false" outlineLevel="0" collapsed="false">
      <c r="A46" s="0" t="s">
        <v>100</v>
      </c>
      <c r="C46" s="3" t="n">
        <v>24</v>
      </c>
      <c r="D46" s="3" t="n">
        <v>26</v>
      </c>
      <c r="E46" s="3" t="n">
        <v>26</v>
      </c>
      <c r="F46" s="3" t="n">
        <v>26</v>
      </c>
      <c r="G46" s="3" t="n">
        <v>26</v>
      </c>
      <c r="H46" s="3" t="n">
        <v>26</v>
      </c>
      <c r="I46" s="3" t="n">
        <v>26</v>
      </c>
      <c r="J46" s="3" t="n">
        <v>26</v>
      </c>
      <c r="K46" s="3" t="n">
        <v>26</v>
      </c>
      <c r="L46" s="3" t="n">
        <v>26</v>
      </c>
    </row>
    <row r="47" customFormat="false" ht="15" hidden="false" customHeight="false" outlineLevel="0" collapsed="false">
      <c r="A47" s="0" t="s">
        <v>101</v>
      </c>
      <c r="C47" s="3" t="n">
        <v>28</v>
      </c>
      <c r="D47" s="3" t="n">
        <v>28</v>
      </c>
      <c r="E47" s="3" t="n">
        <v>28</v>
      </c>
      <c r="F47" s="3" t="n">
        <v>28</v>
      </c>
      <c r="G47" s="3" t="n">
        <v>28</v>
      </c>
      <c r="H47" s="3" t="n">
        <v>28</v>
      </c>
      <c r="I47" s="3" t="n">
        <v>28</v>
      </c>
      <c r="J47" s="3" t="n">
        <v>28</v>
      </c>
      <c r="K47" s="3" t="n">
        <v>28</v>
      </c>
      <c r="L47" s="3" t="n">
        <v>28</v>
      </c>
    </row>
    <row r="48" customFormat="false" ht="15" hidden="false" customHeight="false" outlineLevel="0" collapsed="false">
      <c r="A48" s="0" t="s">
        <v>102</v>
      </c>
      <c r="B48" s="3" t="n">
        <v>9</v>
      </c>
    </row>
    <row r="49" customFormat="false" ht="15" hidden="false" customHeight="false" outlineLevel="0" collapsed="false">
      <c r="A49" s="0" t="s">
        <v>103</v>
      </c>
      <c r="B49" s="3" t="n">
        <v>2.5</v>
      </c>
    </row>
    <row r="50" customFormat="false" ht="15" hidden="false" customHeight="false" outlineLevel="0" collapsed="false">
      <c r="A50" s="0" t="s">
        <v>104</v>
      </c>
      <c r="B50" s="3" t="n">
        <v>12</v>
      </c>
    </row>
    <row r="51" customFormat="false" ht="15" hidden="false" customHeight="false" outlineLevel="0" collapsed="false">
      <c r="A51" s="0" t="s">
        <v>105</v>
      </c>
      <c r="B51" s="3" t="n">
        <v>0</v>
      </c>
    </row>
    <row r="52" customFormat="false" ht="15" hidden="false" customHeight="false" outlineLevel="0" collapsed="false">
      <c r="A52" s="0" t="s">
        <v>106</v>
      </c>
      <c r="B52" s="3" t="n">
        <v>0.25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109</v>
      </c>
    </row>
    <row r="3" customFormat="false" ht="15" hidden="false" customHeight="false" outlineLevel="0" collapsed="false">
      <c r="A3" s="0" t="s">
        <v>110</v>
      </c>
      <c r="B3" s="0" t="s">
        <v>71</v>
      </c>
      <c r="C3" s="2" t="s">
        <v>85</v>
      </c>
      <c r="D3" s="2" t="s">
        <v>86</v>
      </c>
      <c r="E3" s="2" t="s">
        <v>87</v>
      </c>
      <c r="F3" s="2" t="s">
        <v>88</v>
      </c>
      <c r="G3" s="2" t="s">
        <v>89</v>
      </c>
      <c r="H3" s="2" t="s">
        <v>90</v>
      </c>
      <c r="I3" s="2" t="s">
        <v>91</v>
      </c>
      <c r="J3" s="2" t="s">
        <v>92</v>
      </c>
      <c r="K3" s="2" t="s">
        <v>93</v>
      </c>
      <c r="L3" s="2" t="s">
        <v>94</v>
      </c>
    </row>
    <row r="4" customFormat="false" ht="15" hidden="false" customHeight="false" outlineLevel="0" collapsed="false">
      <c r="A4" s="0" t="s">
        <v>111</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95</v>
      </c>
      <c r="C5" s="4" t="n">
        <f aca="false">Assumptions!C13</f>
        <v>8</v>
      </c>
      <c r="D5" s="4" t="n">
        <f aca="false">Assumptions!D13</f>
        <v>-22</v>
      </c>
      <c r="E5" s="4" t="n">
        <f aca="false">Assumptions!E13</f>
        <v>1</v>
      </c>
      <c r="F5" s="4" t="n">
        <f aca="false">Assumptions!F13</f>
        <v>2</v>
      </c>
      <c r="G5" s="4" t="n">
        <f aca="false">Assumptions!G13</f>
        <v>2</v>
      </c>
      <c r="H5" s="4" t="n">
        <f aca="false">Assumptions!H13</f>
        <v>2</v>
      </c>
      <c r="I5" s="4" t="n">
        <f aca="false">Assumptions!I13</f>
        <v>1.5</v>
      </c>
      <c r="J5" s="4" t="n">
        <f aca="false">Assumptions!J13</f>
        <v>1.5</v>
      </c>
      <c r="K5" s="4" t="n">
        <f aca="false">Assumptions!K13</f>
        <v>1.5</v>
      </c>
      <c r="L5" s="4" t="n">
        <f aca="false">Assumptions!L13</f>
        <v>1.5</v>
      </c>
    </row>
    <row r="6" customFormat="false" ht="15" hidden="false" customHeight="false" outlineLevel="0" collapsed="false">
      <c r="A6" s="0" t="s">
        <v>38</v>
      </c>
      <c r="B6" s="3" t="n">
        <v>398220</v>
      </c>
      <c r="C6" s="0" t="n">
        <f aca="false">B6*(1+C5/100)</f>
        <v>430077.6</v>
      </c>
      <c r="D6" s="0" t="n">
        <f aca="false">C6*(1+D5/100)</f>
        <v>335460.528</v>
      </c>
      <c r="E6" s="0" t="n">
        <f aca="false">D6*(1+E5/100)</f>
        <v>338815.13328</v>
      </c>
      <c r="F6" s="0" t="n">
        <f aca="false">E6*(1+F5/100)</f>
        <v>345591.4359456</v>
      </c>
      <c r="G6" s="0" t="n">
        <f aca="false">F6*(1+G5/100)</f>
        <v>352503.264664512</v>
      </c>
      <c r="H6" s="0" t="n">
        <f aca="false">G6*(1+H5/100)</f>
        <v>359553.329957802</v>
      </c>
      <c r="I6" s="0" t="n">
        <f aca="false">H6*(1+I5/100)</f>
        <v>364946.629907169</v>
      </c>
      <c r="J6" s="0" t="n">
        <f aca="false">I6*(1+J5/100)</f>
        <v>370420.829355777</v>
      </c>
      <c r="K6" s="0" t="n">
        <f aca="false">J6*(1+K5/100)</f>
        <v>375977.141796114</v>
      </c>
      <c r="L6" s="0" t="n">
        <f aca="false">K6*(1+L5/100)</f>
        <v>381616.798923055</v>
      </c>
    </row>
    <row r="7" customFormat="false" ht="15" hidden="false" customHeight="false" outlineLevel="0" collapsed="false">
      <c r="A7" s="0" t="s">
        <v>96</v>
      </c>
      <c r="C7" s="4" t="n">
        <f aca="false">Assumptions!C14</f>
        <v>61</v>
      </c>
      <c r="D7" s="4" t="n">
        <f aca="false">Assumptions!D14</f>
        <v>54</v>
      </c>
      <c r="E7" s="4" t="n">
        <f aca="false">Assumptions!E14</f>
        <v>55</v>
      </c>
      <c r="F7" s="4" t="n">
        <f aca="false">Assumptions!F14</f>
        <v>56</v>
      </c>
      <c r="G7" s="4" t="n">
        <f aca="false">Assumptions!G14</f>
        <v>56</v>
      </c>
      <c r="H7" s="4" t="n">
        <f aca="false">Assumptions!H14</f>
        <v>56</v>
      </c>
      <c r="I7" s="4" t="n">
        <f aca="false">Assumptions!I14</f>
        <v>56</v>
      </c>
      <c r="J7" s="4" t="n">
        <f aca="false">Assumptions!J14</f>
        <v>56</v>
      </c>
      <c r="K7" s="4" t="n">
        <f aca="false">Assumptions!K14</f>
        <v>56</v>
      </c>
      <c r="L7" s="4" t="n">
        <f aca="false">Assumptions!L14</f>
        <v>56</v>
      </c>
    </row>
    <row r="8" customFormat="false" ht="15" hidden="false" customHeight="false" outlineLevel="0" collapsed="false">
      <c r="A8" s="0" t="s">
        <v>44</v>
      </c>
      <c r="C8" s="0" t="n">
        <f aca="false">C6*C7/100</f>
        <v>262347.336</v>
      </c>
      <c r="D8" s="0" t="n">
        <f aca="false">D6*D7/100</f>
        <v>181148.68512</v>
      </c>
      <c r="E8" s="0" t="n">
        <f aca="false">E6*E7/100</f>
        <v>186348.323304</v>
      </c>
      <c r="F8" s="0" t="n">
        <f aca="false">F6*F7/100</f>
        <v>193531.204129536</v>
      </c>
      <c r="G8" s="0" t="n">
        <f aca="false">G6*G7/100</f>
        <v>197401.828212127</v>
      </c>
      <c r="H8" s="0" t="n">
        <f aca="false">H6*H7/100</f>
        <v>201349.864776369</v>
      </c>
      <c r="I8" s="0" t="n">
        <f aca="false">I6*I7/100</f>
        <v>204370.112748015</v>
      </c>
      <c r="J8" s="0" t="n">
        <f aca="false">J6*J7/100</f>
        <v>207435.664439235</v>
      </c>
      <c r="K8" s="0" t="n">
        <f aca="false">K6*K7/100</f>
        <v>210547.199405824</v>
      </c>
      <c r="L8" s="0" t="n">
        <f aca="false">L6*L7/100</f>
        <v>213705.407396911</v>
      </c>
    </row>
    <row r="9" customFormat="false" ht="15" hidden="false" customHeight="false" outlineLevel="0" collapsed="false">
      <c r="A9" s="0" t="s">
        <v>97</v>
      </c>
      <c r="C9" s="4" t="n">
        <f aca="false">Assumptions!C15</f>
        <v>0</v>
      </c>
      <c r="D9" s="4" t="n">
        <f aca="false">Assumptions!D15</f>
        <v>0</v>
      </c>
      <c r="E9" s="4" t="n">
        <f aca="false">Assumptions!E15</f>
        <v>0</v>
      </c>
      <c r="F9" s="4" t="n">
        <f aca="false">Assumptions!F15</f>
        <v>0</v>
      </c>
      <c r="G9" s="4" t="n">
        <f aca="false">Assumptions!G15</f>
        <v>0</v>
      </c>
      <c r="H9" s="4" t="n">
        <f aca="false">Assumptions!H15</f>
        <v>0</v>
      </c>
      <c r="I9" s="4" t="n">
        <f aca="false">Assumptions!I15</f>
        <v>0</v>
      </c>
      <c r="J9" s="4" t="n">
        <f aca="false">Assumptions!J15</f>
        <v>0</v>
      </c>
      <c r="K9" s="4" t="n">
        <f aca="false">Assumptions!K15</f>
        <v>0</v>
      </c>
      <c r="L9" s="4" t="n">
        <f aca="false">Assumptions!L15</f>
        <v>0</v>
      </c>
    </row>
    <row r="10" customFormat="false" ht="15" hidden="false" customHeight="false" outlineLevel="0" collapsed="false">
      <c r="A10" s="0" t="s">
        <v>112</v>
      </c>
      <c r="C10" s="0" t="n">
        <f aca="false">-C6*C9/100</f>
        <v>-0</v>
      </c>
      <c r="D10" s="0" t="n">
        <f aca="false">-D6*D9/100</f>
        <v>-0</v>
      </c>
      <c r="E10" s="0" t="n">
        <f aca="false">-E6*E9/100</f>
        <v>-0</v>
      </c>
      <c r="F10" s="0" t="n">
        <f aca="false">-F6*F9/100</f>
        <v>-0</v>
      </c>
      <c r="G10" s="0" t="n">
        <f aca="false">-G6*G9/100</f>
        <v>-0</v>
      </c>
      <c r="H10" s="0" t="n">
        <f aca="false">-H6*H9/100</f>
        <v>-0</v>
      </c>
      <c r="I10" s="0" t="n">
        <f aca="false">-I6*I9/100</f>
        <v>-0</v>
      </c>
      <c r="J10" s="0" t="n">
        <f aca="false">-J6*J9/100</f>
        <v>-0</v>
      </c>
      <c r="K10" s="0" t="n">
        <f aca="false">-K6*K9/100</f>
        <v>-0</v>
      </c>
      <c r="L10" s="0" t="n">
        <f aca="false">-L6*L9/100</f>
        <v>-0</v>
      </c>
    </row>
    <row r="11" customFormat="false" ht="15" hidden="false" customHeight="false" outlineLevel="0" collapsed="false">
      <c r="A11" s="0" t="s">
        <v>113</v>
      </c>
      <c r="C11" s="0" t="n">
        <f aca="false">C8+C10+C24</f>
        <v>258046.56</v>
      </c>
      <c r="D11" s="0" t="n">
        <f aca="false">D8+D10+D24</f>
        <v>177794.07984</v>
      </c>
      <c r="E11" s="0" t="n">
        <f aca="false">E8+E10+E24</f>
        <v>182960.1719712</v>
      </c>
      <c r="F11" s="0" t="n">
        <f aca="false">F8+F10+F24</f>
        <v>190075.28977008</v>
      </c>
      <c r="G11" s="0" t="n">
        <f aca="false">G8+G10+G24</f>
        <v>193876.795565482</v>
      </c>
      <c r="H11" s="0" t="n">
        <f aca="false">H8+H10+H24</f>
        <v>197754.331476791</v>
      </c>
      <c r="I11" s="0" t="n">
        <f aca="false">I8+I10+I24</f>
        <v>200720.646448943</v>
      </c>
      <c r="J11" s="0" t="n">
        <f aca="false">J8+J10+J24</f>
        <v>203731.456145677</v>
      </c>
      <c r="K11" s="0" t="n">
        <f aca="false">K8+K10+K24</f>
        <v>206787.427987862</v>
      </c>
      <c r="L11" s="0" t="n">
        <f aca="false">L8+L10+L24</f>
        <v>209889.23940768</v>
      </c>
    </row>
    <row r="12" customFormat="false" ht="15" hidden="false" customHeight="false" outlineLevel="0" collapsed="false">
      <c r="A12" s="0" t="s">
        <v>114</v>
      </c>
      <c r="C12" s="4" t="n">
        <f aca="false">-C6*Assumptions!C17/100</f>
        <v>-88165.908</v>
      </c>
      <c r="D12" s="4" t="n">
        <f aca="false">-D6*Assumptions!D17/100</f>
        <v>-80510.52672</v>
      </c>
      <c r="E12" s="4" t="n">
        <f aca="false">-E6*Assumptions!E17/100</f>
        <v>-81315.6319872</v>
      </c>
      <c r="F12" s="4" t="n">
        <f aca="false">-F6*Assumptions!F17/100</f>
        <v>-81213.987447216</v>
      </c>
      <c r="G12" s="4" t="n">
        <f aca="false">-G6*Assumptions!G17/100</f>
        <v>-81075.7508728378</v>
      </c>
      <c r="H12" s="4" t="n">
        <f aca="false">-H6*Assumptions!H17/100</f>
        <v>-82697.2658902945</v>
      </c>
      <c r="I12" s="4" t="n">
        <f aca="false">-I6*Assumptions!I17/100</f>
        <v>-83937.724878649</v>
      </c>
      <c r="J12" s="4" t="n">
        <f aca="false">-J6*Assumptions!J17/100</f>
        <v>-85196.7907518287</v>
      </c>
      <c r="K12" s="4" t="n">
        <f aca="false">-K6*Assumptions!K17/100</f>
        <v>-86474.7426131061</v>
      </c>
      <c r="L12" s="4" t="n">
        <f aca="false">-L6*Assumptions!L17/100</f>
        <v>-87771.8637523027</v>
      </c>
    </row>
    <row r="13" customFormat="false" ht="15" hidden="false" customHeight="false" outlineLevel="0" collapsed="false">
      <c r="A13" s="0" t="s">
        <v>115</v>
      </c>
      <c r="C13" s="0" t="n">
        <f aca="false">C11+C12</f>
        <v>169880.652</v>
      </c>
      <c r="D13" s="0" t="n">
        <f aca="false">D11+D12</f>
        <v>97283.55312</v>
      </c>
      <c r="E13" s="0" t="n">
        <f aca="false">E11+E12</f>
        <v>101644.539984</v>
      </c>
      <c r="F13" s="0" t="n">
        <f aca="false">F11+F12</f>
        <v>108861.302322864</v>
      </c>
      <c r="G13" s="0" t="n">
        <f aca="false">G11+G12</f>
        <v>112801.044692644</v>
      </c>
      <c r="H13" s="0" t="n">
        <f aca="false">H11+H12</f>
        <v>115057.065586497</v>
      </c>
      <c r="I13" s="0" t="n">
        <f aca="false">I11+I12</f>
        <v>116782.921570294</v>
      </c>
      <c r="J13" s="0" t="n">
        <f aca="false">J11+J12</f>
        <v>118534.665393849</v>
      </c>
      <c r="K13" s="0" t="n">
        <f aca="false">K11+K12</f>
        <v>120312.685374756</v>
      </c>
      <c r="L13" s="0" t="n">
        <f aca="false">L11+L12</f>
        <v>122117.375655378</v>
      </c>
    </row>
    <row r="14" customFormat="false" ht="15" hidden="false" customHeight="false" outlineLevel="0" collapsed="false">
      <c r="A14" s="0" t="s">
        <v>101</v>
      </c>
      <c r="C14" s="4" t="n">
        <f aca="false">Assumptions!C19</f>
        <v>28</v>
      </c>
      <c r="D14" s="4" t="n">
        <f aca="false">Assumptions!D19</f>
        <v>27</v>
      </c>
      <c r="E14" s="4" t="n">
        <f aca="false">Assumptions!E19</f>
        <v>27</v>
      </c>
      <c r="F14" s="4" t="n">
        <f aca="false">Assumptions!F19</f>
        <v>27</v>
      </c>
      <c r="G14" s="4" t="n">
        <f aca="false">Assumptions!G19</f>
        <v>27</v>
      </c>
      <c r="H14" s="4" t="n">
        <f aca="false">Assumptions!H19</f>
        <v>27</v>
      </c>
      <c r="I14" s="4" t="n">
        <f aca="false">Assumptions!I19</f>
        <v>27</v>
      </c>
      <c r="J14" s="4" t="n">
        <f aca="false">Assumptions!J19</f>
        <v>27</v>
      </c>
      <c r="K14" s="4" t="n">
        <f aca="false">Assumptions!K19</f>
        <v>27</v>
      </c>
      <c r="L14" s="4" t="n">
        <f aca="false">Assumptions!L19</f>
        <v>27</v>
      </c>
    </row>
    <row r="15" customFormat="false" ht="15" hidden="false" customHeight="false" outlineLevel="0" collapsed="false">
      <c r="A15" s="0" t="s">
        <v>116</v>
      </c>
      <c r="C15" s="0" t="n">
        <f aca="false">C13-MAX(0,C13)*C14/100</f>
        <v>122314.06944</v>
      </c>
      <c r="D15" s="0" t="n">
        <f aca="false">D13-MAX(0,D13)*D14/100</f>
        <v>71016.9937776</v>
      </c>
      <c r="E15" s="0" t="n">
        <f aca="false">E13-MAX(0,E13)*E14/100</f>
        <v>74200.51418832</v>
      </c>
      <c r="F15" s="0" t="n">
        <f aca="false">F13-MAX(0,F13)*F14/100</f>
        <v>79468.7506956908</v>
      </c>
      <c r="G15" s="0" t="n">
        <f aca="false">G13-MAX(0,G13)*G14/100</f>
        <v>82344.76262563</v>
      </c>
      <c r="H15" s="0" t="n">
        <f aca="false">H13-MAX(0,H13)*H14/100</f>
        <v>83991.6578781426</v>
      </c>
      <c r="I15" s="0" t="n">
        <f aca="false">I13-MAX(0,I13)*I14/100</f>
        <v>85251.5327463148</v>
      </c>
      <c r="J15" s="0" t="n">
        <f aca="false">J13-MAX(0,J13)*J14/100</f>
        <v>86530.3057375095</v>
      </c>
      <c r="K15" s="0" t="n">
        <f aca="false">K13-MAX(0,K13)*K14/100</f>
        <v>87828.2603235721</v>
      </c>
      <c r="L15" s="0" t="n">
        <f aca="false">L13-MAX(0,L13)*L14/100</f>
        <v>89145.6842284257</v>
      </c>
    </row>
    <row r="16" customFormat="false" ht="15" hidden="false" customHeight="false" outlineLevel="0" collapsed="false">
      <c r="A16" s="0" t="s">
        <v>117</v>
      </c>
      <c r="C16" s="0" t="n">
        <f aca="false">-C12</f>
        <v>88165.908</v>
      </c>
      <c r="D16" s="0" t="n">
        <f aca="false">-D12</f>
        <v>80510.52672</v>
      </c>
      <c r="E16" s="0" t="n">
        <f aca="false">-E12</f>
        <v>81315.6319872</v>
      </c>
      <c r="F16" s="0" t="n">
        <f aca="false">-F12</f>
        <v>81213.987447216</v>
      </c>
      <c r="G16" s="0" t="n">
        <f aca="false">-G12</f>
        <v>81075.7508728378</v>
      </c>
      <c r="H16" s="0" t="n">
        <f aca="false">-H12</f>
        <v>82697.2658902945</v>
      </c>
      <c r="I16" s="0" t="n">
        <f aca="false">-I12</f>
        <v>83937.724878649</v>
      </c>
      <c r="J16" s="0" t="n">
        <f aca="false">-J12</f>
        <v>85196.7907518287</v>
      </c>
      <c r="K16" s="0" t="n">
        <f aca="false">-K12</f>
        <v>86474.7426131061</v>
      </c>
      <c r="L16" s="0" t="n">
        <f aca="false">-L12</f>
        <v>87771.8637523027</v>
      </c>
    </row>
    <row r="17" customFormat="false" ht="15" hidden="false" customHeight="false" outlineLevel="0" collapsed="false">
      <c r="A17" s="0" t="s">
        <v>118</v>
      </c>
      <c r="C17" s="4" t="n">
        <f aca="false">-C6*Assumptions!C18/100</f>
        <v>-107519.4</v>
      </c>
      <c r="D17" s="4" t="n">
        <f aca="false">-D6*Assumptions!D18/100</f>
        <v>-100638.1584</v>
      </c>
      <c r="E17" s="4" t="n">
        <f aca="false">-E6*Assumptions!E18/100</f>
        <v>-98256.3886512</v>
      </c>
      <c r="F17" s="4" t="n">
        <f aca="false">-F6*Assumptions!F18/100</f>
        <v>-96765.602064768</v>
      </c>
      <c r="G17" s="4" t="n">
        <f aca="false">-G6*Assumptions!G18/100</f>
        <v>-98700.9141060634</v>
      </c>
      <c r="H17" s="4" t="n">
        <f aca="false">-H6*Assumptions!H18/100</f>
        <v>-100674.932388185</v>
      </c>
      <c r="I17" s="4" t="n">
        <f aca="false">-I6*Assumptions!I18/100</f>
        <v>-102185.056374007</v>
      </c>
      <c r="J17" s="4" t="n">
        <f aca="false">-J6*Assumptions!J18/100</f>
        <v>-103717.832219618</v>
      </c>
      <c r="K17" s="4" t="n">
        <f aca="false">-K6*Assumptions!K18/100</f>
        <v>-105273.599702912</v>
      </c>
      <c r="L17" s="4" t="n">
        <f aca="false">-L6*Assumptions!L18/100</f>
        <v>-106852.703698455</v>
      </c>
    </row>
    <row r="18" customFormat="false" ht="15" hidden="false" customHeight="false" outlineLevel="0" collapsed="false">
      <c r="A18" s="0" t="s">
        <v>119</v>
      </c>
      <c r="C18" s="4" t="n">
        <f aca="false">(C6-B6)*Assumptions!$B$23/100</f>
        <v>0</v>
      </c>
      <c r="D18" s="4" t="n">
        <f aca="false">(D6-C6)*Assumptions!$B$23/100</f>
        <v>-0</v>
      </c>
      <c r="E18" s="4" t="n">
        <f aca="false">(E6-D6)*Assumptions!$B$23/100</f>
        <v>0</v>
      </c>
      <c r="F18" s="4" t="n">
        <f aca="false">(F6-E6)*Assumptions!$B$23/100</f>
        <v>0</v>
      </c>
      <c r="G18" s="4" t="n">
        <f aca="false">(G6-F6)*Assumptions!$B$23/100</f>
        <v>0</v>
      </c>
      <c r="H18" s="4" t="n">
        <f aca="false">(H6-G6)*Assumptions!$B$23/100</f>
        <v>0</v>
      </c>
      <c r="I18" s="4" t="n">
        <f aca="false">(I6-H6)*Assumptions!$B$23/100</f>
        <v>0</v>
      </c>
      <c r="J18" s="4" t="n">
        <f aca="false">(J6-I6)*Assumptions!$B$23/100</f>
        <v>0</v>
      </c>
      <c r="K18" s="4" t="n">
        <f aca="false">(K6-J6)*Assumptions!$B$23/100</f>
        <v>0</v>
      </c>
      <c r="L18" s="4" t="n">
        <f aca="false">(L6-K6)*Assumptions!$B$23/100</f>
        <v>0</v>
      </c>
    </row>
    <row r="19" customFormat="false" ht="15" hidden="false" customHeight="false" outlineLevel="0" collapsed="false">
      <c r="A19" s="0" t="s">
        <v>120</v>
      </c>
      <c r="C19" s="0" t="n">
        <f aca="false">C15+C16+C17+C18</f>
        <v>102960.57744</v>
      </c>
      <c r="D19" s="0" t="n">
        <f aca="false">D15+D16+D17+D18</f>
        <v>50889.3620976</v>
      </c>
      <c r="E19" s="0" t="n">
        <f aca="false">E15+E16+E17+E18</f>
        <v>57259.75752432</v>
      </c>
      <c r="F19" s="0" t="n">
        <f aca="false">F15+F16+F17+F18</f>
        <v>63917.1360781388</v>
      </c>
      <c r="G19" s="0" t="n">
        <f aca="false">G15+G16+G17+G18</f>
        <v>64719.5993924044</v>
      </c>
      <c r="H19" s="0" t="n">
        <f aca="false">H15+H16+H17+H18</f>
        <v>66013.9913802525</v>
      </c>
      <c r="I19" s="0" t="n">
        <f aca="false">I15+I16+I17+I18</f>
        <v>67004.2012509563</v>
      </c>
      <c r="J19" s="0" t="n">
        <f aca="false">J15+J16+J17+J18</f>
        <v>68009.2642697206</v>
      </c>
      <c r="K19" s="0" t="n">
        <f aca="false">K15+K16+K17+K18</f>
        <v>69029.4032337665</v>
      </c>
      <c r="L19" s="0" t="n">
        <f aca="false">L15+L16+L17+L18</f>
        <v>70064.8442822729</v>
      </c>
    </row>
    <row r="20" customFormat="false" ht="15" hidden="false" customHeight="false" outlineLevel="0" collapsed="false">
      <c r="A20" s="0" t="s">
        <v>121</v>
      </c>
      <c r="C20" s="0" t="n">
        <f aca="false">1/(1+$B$27/100)^C4</f>
        <v>0.91743119266055</v>
      </c>
      <c r="D20" s="0" t="n">
        <f aca="false">1/(1+$B$27/100)^D4</f>
        <v>0.84167999326656</v>
      </c>
      <c r="E20" s="0" t="n">
        <f aca="false">1/(1+$B$27/100)^E4</f>
        <v>0.772183480061064</v>
      </c>
      <c r="F20" s="0" t="n">
        <f aca="false">1/(1+$B$27/100)^F4</f>
        <v>0.708425211065196</v>
      </c>
      <c r="G20" s="0" t="n">
        <f aca="false">1/(1+$B$27/100)^G4</f>
        <v>0.649931386298345</v>
      </c>
      <c r="H20" s="0" t="n">
        <f aca="false">1/(1+$B$27/100)^H4</f>
        <v>0.596267326879216</v>
      </c>
      <c r="I20" s="0" t="n">
        <f aca="false">1/(1+$B$27/100)^I4</f>
        <v>0.547034244843317</v>
      </c>
      <c r="J20" s="0" t="n">
        <f aca="false">1/(1+$B$27/100)^J4</f>
        <v>0.501866279672768</v>
      </c>
      <c r="K20" s="0" t="n">
        <f aca="false">1/(1+$B$27/100)^K4</f>
        <v>0.460427779516301</v>
      </c>
      <c r="L20" s="0" t="n">
        <f aca="false">1/(1+$B$27/100)^L4</f>
        <v>0.422410806895689</v>
      </c>
    </row>
    <row r="21" customFormat="false" ht="15" hidden="false" customHeight="false" outlineLevel="0" collapsed="false">
      <c r="A21" s="0" t="s">
        <v>122</v>
      </c>
      <c r="C21" s="0" t="n">
        <f aca="false">C19*C20</f>
        <v>94459.2453577982</v>
      </c>
      <c r="D21" s="0" t="n">
        <f aca="false">D19*D20</f>
        <v>42832.5579476475</v>
      </c>
      <c r="E21" s="0" t="n">
        <f aca="false">E19*E20</f>
        <v>44215.0388325821</v>
      </c>
      <c r="F21" s="0" t="n">
        <f aca="false">F19*F20</f>
        <v>45280.5106168383</v>
      </c>
      <c r="G21" s="0" t="n">
        <f aca="false">G19*G20</f>
        <v>42063.298953779</v>
      </c>
      <c r="H21" s="0" t="n">
        <f aca="false">H19*H20</f>
        <v>39361.9861769308</v>
      </c>
      <c r="I21" s="0" t="n">
        <f aca="false">I19*I20</f>
        <v>36653.5926326465</v>
      </c>
      <c r="J21" s="0" t="n">
        <f aca="false">J19*J20</f>
        <v>34131.5564423268</v>
      </c>
      <c r="K21" s="0" t="n">
        <f aca="false">K19*K20</f>
        <v>31783.0548522584</v>
      </c>
      <c r="L21" s="0" t="n">
        <f aca="false">L19*L20</f>
        <v>29596.1474082957</v>
      </c>
    </row>
    <row r="23" customFormat="false" ht="15" hidden="false" customHeight="false" outlineLevel="0" collapsed="false">
      <c r="A23" s="0" t="s">
        <v>98</v>
      </c>
      <c r="C23" s="4" t="n">
        <f aca="false">Assumptions!C16</f>
        <v>1</v>
      </c>
      <c r="D23" s="4" t="n">
        <f aca="false">Assumptions!D16</f>
        <v>1</v>
      </c>
      <c r="E23" s="4" t="n">
        <f aca="false">Assumptions!E16</f>
        <v>1</v>
      </c>
      <c r="F23" s="4" t="n">
        <f aca="false">Assumptions!F16</f>
        <v>1</v>
      </c>
      <c r="G23" s="4" t="n">
        <f aca="false">Assumptions!G16</f>
        <v>1</v>
      </c>
      <c r="H23" s="4" t="n">
        <f aca="false">Assumptions!H16</f>
        <v>1</v>
      </c>
      <c r="I23" s="4" t="n">
        <f aca="false">Assumptions!I16</f>
        <v>1</v>
      </c>
      <c r="J23" s="4" t="n">
        <f aca="false">Assumptions!J16</f>
        <v>1</v>
      </c>
      <c r="K23" s="4" t="n">
        <f aca="false">Assumptions!K16</f>
        <v>1</v>
      </c>
      <c r="L23" s="4" t="n">
        <f aca="false">Assumptions!L16</f>
        <v>1</v>
      </c>
    </row>
    <row r="24" customFormat="false" ht="15" hidden="false" customHeight="false" outlineLevel="0" collapsed="false">
      <c r="A24" s="0" t="s">
        <v>123</v>
      </c>
      <c r="C24" s="0" t="n">
        <f aca="false">-C6*C23/100</f>
        <v>-4300.776</v>
      </c>
      <c r="D24" s="0" t="n">
        <f aca="false">-D6*D23/100</f>
        <v>-3354.60528</v>
      </c>
      <c r="E24" s="0" t="n">
        <f aca="false">-E6*E23/100</f>
        <v>-3388.1513328</v>
      </c>
      <c r="F24" s="0" t="n">
        <f aca="false">-F6*F23/100</f>
        <v>-3455.914359456</v>
      </c>
      <c r="G24" s="0" t="n">
        <f aca="false">-G6*G23/100</f>
        <v>-3525.03264664512</v>
      </c>
      <c r="H24" s="0" t="n">
        <f aca="false">-H6*H23/100</f>
        <v>-3595.53329957802</v>
      </c>
      <c r="I24" s="0" t="n">
        <f aca="false">-I6*I23/100</f>
        <v>-3649.46629907169</v>
      </c>
      <c r="J24" s="0" t="n">
        <f aca="false">-J6*J23/100</f>
        <v>-3704.20829355777</v>
      </c>
      <c r="K24" s="0" t="n">
        <f aca="false">-K6*K23/100</f>
        <v>-3759.77141796114</v>
      </c>
      <c r="L24" s="0" t="n">
        <f aca="false">-L6*L23/100</f>
        <v>-3816.16798923055</v>
      </c>
    </row>
    <row r="26" customFormat="false" ht="15" hidden="false" customHeight="false" outlineLevel="0" collapsed="false">
      <c r="A26" s="2" t="s">
        <v>124</v>
      </c>
    </row>
    <row r="27" customFormat="false" ht="15" hidden="false" customHeight="false" outlineLevel="0" collapsed="false">
      <c r="A27" s="0" t="s">
        <v>102</v>
      </c>
      <c r="B27" s="4" t="n">
        <f aca="false">Assumptions!$B$20</f>
        <v>9</v>
      </c>
    </row>
    <row r="28" customFormat="false" ht="15" hidden="false" customHeight="false" outlineLevel="0" collapsed="false">
      <c r="A28" s="0" t="s">
        <v>103</v>
      </c>
      <c r="B28" s="4" t="n">
        <f aca="false">Assumptions!$B$21</f>
        <v>1</v>
      </c>
    </row>
    <row r="29" customFormat="false" ht="15" hidden="false" customHeight="false" outlineLevel="0" collapsed="false">
      <c r="A29" s="0" t="s">
        <v>104</v>
      </c>
      <c r="B29" s="4" t="n">
        <f aca="false">Assumptions!$B$22</f>
        <v>10</v>
      </c>
    </row>
    <row r="30" customFormat="false" ht="15" hidden="false" customHeight="false" outlineLevel="0" collapsed="false">
      <c r="A30" s="0" t="s">
        <v>125</v>
      </c>
      <c r="B30" s="0" t="n">
        <f aca="false">SUM(C21:L21)</f>
        <v>440376.989221103</v>
      </c>
    </row>
    <row r="31" customFormat="false" ht="15" hidden="false" customHeight="false" outlineLevel="0" collapsed="false">
      <c r="A31" s="0" t="s">
        <v>126</v>
      </c>
      <c r="B31" s="0" t="n">
        <f aca="false">L19</f>
        <v>70064.8442822729</v>
      </c>
    </row>
    <row r="32" customFormat="false" ht="15" hidden="false" customHeight="false" outlineLevel="0" collapsed="false">
      <c r="A32" s="0" t="s">
        <v>127</v>
      </c>
      <c r="B32" s="0" t="n">
        <f aca="false">IF(B27&gt;B28,B31*(1+B28/100)/((B27-B28)/100),B31*B29)</f>
        <v>884568.659063696</v>
      </c>
    </row>
    <row r="33" customFormat="false" ht="15" hidden="false" customHeight="false" outlineLevel="0" collapsed="false">
      <c r="A33" s="0" t="s">
        <v>128</v>
      </c>
      <c r="B33" s="0" t="n">
        <f aca="false">B31*B29</f>
        <v>700648.44282273</v>
      </c>
    </row>
    <row r="34" customFormat="false" ht="15" hidden="false" customHeight="false" outlineLevel="0" collapsed="false">
      <c r="A34" s="0" t="s">
        <v>129</v>
      </c>
      <c r="B34" s="0" t="n">
        <f aca="false">MAX(0,MIN(B32,B33))</f>
        <v>700648.44282273</v>
      </c>
    </row>
    <row r="35" customFormat="false" ht="15" hidden="false" customHeight="false" outlineLevel="0" collapsed="false">
      <c r="A35" s="0" t="s">
        <v>130</v>
      </c>
      <c r="B35" s="0" t="n">
        <f aca="false">B34/(1+B27/100)^L4</f>
        <v>295961.474082957</v>
      </c>
    </row>
    <row r="36" customFormat="false" ht="15" hidden="false" customHeight="false" outlineLevel="0" collapsed="false">
      <c r="A36" s="0" t="s">
        <v>131</v>
      </c>
      <c r="B36" s="0" t="n">
        <f aca="false">B30+B35</f>
        <v>736338.46330406</v>
      </c>
    </row>
    <row r="37" customFormat="false" ht="15" hidden="false" customHeight="false" outlineLevel="0" collapsed="false">
      <c r="A37" s="0" t="s">
        <v>132</v>
      </c>
      <c r="B37" s="0" t="n">
        <f aca="false">B36+Assumptions!$B$5-Assumptions!$B$4</f>
        <v>822957.46330406</v>
      </c>
    </row>
    <row r="38" customFormat="false" ht="15" hidden="false" customHeight="false" outlineLevel="0" collapsed="false">
      <c r="A38" s="0" t="s">
        <v>133</v>
      </c>
      <c r="B38" s="0" t="n">
        <f aca="false">B37/Assumptions!$B$3*Assumptions!$B$10</f>
        <v>20.2943272938722</v>
      </c>
    </row>
    <row r="39" customFormat="false" ht="15" hidden="false" customHeight="false" outlineLevel="0" collapsed="false">
      <c r="A39" s="0" t="s">
        <v>134</v>
      </c>
      <c r="B39" s="4" t="n">
        <f aca="false">B38/Assumptions!$B$2-1</f>
        <v>-0.150864966783591</v>
      </c>
    </row>
    <row r="41" customFormat="false" ht="15" hidden="false" customHeight="false" outlineLevel="0" collapsed="false">
      <c r="A41" s="0" t="s">
        <v>135</v>
      </c>
      <c r="B41" s="0" t="n">
        <f aca="false">SUMPRODUCT(-C10:L10/(1+$B$27/100)^C4:L4)</f>
        <v>0</v>
      </c>
    </row>
    <row r="42" customFormat="false" ht="15" hidden="false" customHeight="false" outlineLevel="0" collapsed="false">
      <c r="A42" s="0" t="s">
        <v>136</v>
      </c>
      <c r="B42" s="0" t="n">
        <f aca="false">IF(B27&gt;B28,-L10*(1+B28/100)/((B27-B28)/100),-L10*20)/(1+B27/100)^L4</f>
        <v>0</v>
      </c>
    </row>
    <row r="43" customFormat="false" ht="15" hidden="false" customHeight="false" outlineLevel="0" collapsed="false">
      <c r="A43" s="0" t="s">
        <v>137</v>
      </c>
      <c r="B43" s="0" t="n">
        <f aca="false">(B37+B41+B42)/Assumptions!$B$3*Assumptions!$B$10</f>
        <v>20.2943272938722</v>
      </c>
    </row>
    <row r="45" customFormat="false" ht="15" hidden="false" customHeight="false" outlineLevel="0" collapsed="false">
      <c r="A45" s="0" t="s">
        <v>78</v>
      </c>
      <c r="B45" s="4" t="n">
        <f aca="false">Assumptions!$B$6</f>
        <v>15</v>
      </c>
    </row>
    <row r="46" customFormat="false" ht="15" hidden="false" customHeight="false" outlineLevel="0" collapsed="false">
      <c r="A46" s="0" t="s">
        <v>138</v>
      </c>
      <c r="B46" s="0" t="n">
        <f aca="false">MAX(0,MIN(IF(B45&gt;B28,B31*(1+B28/100)/((B45-B28)/100),B31*B29),B31*B29))</f>
        <v>505467.805179255</v>
      </c>
    </row>
    <row r="47" customFormat="false" ht="15" hidden="false" customHeight="false" outlineLevel="0" collapsed="false">
      <c r="A47" s="0" t="s">
        <v>139</v>
      </c>
      <c r="B47" s="0" t="n">
        <f aca="false">(SUMPRODUCT(C19:L19/(1+B45/100)^C4:L4)+B46/(1+B45/100)^L4+Assumptions!$B$5-Assumptions!$B$4)/Assumptions!$B$3*Assumptions!$B$10</f>
        <v>13.781311355622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140</v>
      </c>
    </row>
    <row r="3" customFormat="false" ht="15" hidden="false" customHeight="false" outlineLevel="0" collapsed="false">
      <c r="A3" s="0" t="s">
        <v>110</v>
      </c>
      <c r="B3" s="0" t="s">
        <v>71</v>
      </c>
      <c r="C3" s="2" t="s">
        <v>85</v>
      </c>
      <c r="D3" s="2" t="s">
        <v>86</v>
      </c>
      <c r="E3" s="2" t="s">
        <v>87</v>
      </c>
      <c r="F3" s="2" t="s">
        <v>88</v>
      </c>
      <c r="G3" s="2" t="s">
        <v>89</v>
      </c>
      <c r="H3" s="2" t="s">
        <v>90</v>
      </c>
      <c r="I3" s="2" t="s">
        <v>91</v>
      </c>
      <c r="J3" s="2" t="s">
        <v>92</v>
      </c>
      <c r="K3" s="2" t="s">
        <v>93</v>
      </c>
      <c r="L3" s="2" t="s">
        <v>94</v>
      </c>
    </row>
    <row r="4" customFormat="false" ht="15" hidden="false" customHeight="false" outlineLevel="0" collapsed="false">
      <c r="A4" s="0" t="s">
        <v>111</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95</v>
      </c>
      <c r="C5" s="4" t="n">
        <f aca="false">Assumptions!C27</f>
        <v>12</v>
      </c>
      <c r="D5" s="4" t="n">
        <f aca="false">Assumptions!D27</f>
        <v>-6</v>
      </c>
      <c r="E5" s="4" t="n">
        <f aca="false">Assumptions!E27</f>
        <v>3</v>
      </c>
      <c r="F5" s="4" t="n">
        <f aca="false">Assumptions!F27</f>
        <v>3</v>
      </c>
      <c r="G5" s="4" t="n">
        <f aca="false">Assumptions!G27</f>
        <v>2.5</v>
      </c>
      <c r="H5" s="4" t="n">
        <f aca="false">Assumptions!H27</f>
        <v>2.5</v>
      </c>
      <c r="I5" s="4" t="n">
        <f aca="false">Assumptions!I27</f>
        <v>2</v>
      </c>
      <c r="J5" s="4" t="n">
        <f aca="false">Assumptions!J27</f>
        <v>2</v>
      </c>
      <c r="K5" s="4" t="n">
        <f aca="false">Assumptions!K27</f>
        <v>2</v>
      </c>
      <c r="L5" s="4" t="n">
        <f aca="false">Assumptions!L27</f>
        <v>2</v>
      </c>
    </row>
    <row r="6" customFormat="false" ht="15" hidden="false" customHeight="false" outlineLevel="0" collapsed="false">
      <c r="A6" s="0" t="s">
        <v>38</v>
      </c>
      <c r="B6" s="3" t="n">
        <v>398220</v>
      </c>
      <c r="C6" s="0" t="n">
        <f aca="false">B6*(1+C5/100)</f>
        <v>446006.4</v>
      </c>
      <c r="D6" s="0" t="n">
        <f aca="false">C6*(1+D5/100)</f>
        <v>419246.016</v>
      </c>
      <c r="E6" s="0" t="n">
        <f aca="false">D6*(1+E5/100)</f>
        <v>431823.39648</v>
      </c>
      <c r="F6" s="0" t="n">
        <f aca="false">E6*(1+F5/100)</f>
        <v>444778.0983744</v>
      </c>
      <c r="G6" s="0" t="n">
        <f aca="false">F6*(1+G5/100)</f>
        <v>455897.55083376</v>
      </c>
      <c r="H6" s="0" t="n">
        <f aca="false">G6*(1+H5/100)</f>
        <v>467294.989604604</v>
      </c>
      <c r="I6" s="0" t="n">
        <f aca="false">H6*(1+I5/100)</f>
        <v>476640.889396696</v>
      </c>
      <c r="J6" s="0" t="n">
        <f aca="false">I6*(1+J5/100)</f>
        <v>486173.70718463</v>
      </c>
      <c r="K6" s="0" t="n">
        <f aca="false">J6*(1+K5/100)</f>
        <v>495897.181328323</v>
      </c>
      <c r="L6" s="0" t="n">
        <f aca="false">K6*(1+L5/100)</f>
        <v>505815.124954889</v>
      </c>
    </row>
    <row r="7" customFormat="false" ht="15" hidden="false" customHeight="false" outlineLevel="0" collapsed="false">
      <c r="A7" s="0" t="s">
        <v>96</v>
      </c>
      <c r="C7" s="4" t="n">
        <f aca="false">Assumptions!C28</f>
        <v>63</v>
      </c>
      <c r="D7" s="4" t="n">
        <f aca="false">Assumptions!D28</f>
        <v>61</v>
      </c>
      <c r="E7" s="4" t="n">
        <f aca="false">Assumptions!E28</f>
        <v>61</v>
      </c>
      <c r="F7" s="4" t="n">
        <f aca="false">Assumptions!F28</f>
        <v>61</v>
      </c>
      <c r="G7" s="4" t="n">
        <f aca="false">Assumptions!G28</f>
        <v>60.5</v>
      </c>
      <c r="H7" s="4" t="n">
        <f aca="false">Assumptions!H28</f>
        <v>60</v>
      </c>
      <c r="I7" s="4" t="n">
        <f aca="false">Assumptions!I28</f>
        <v>60</v>
      </c>
      <c r="J7" s="4" t="n">
        <f aca="false">Assumptions!J28</f>
        <v>60</v>
      </c>
      <c r="K7" s="4" t="n">
        <f aca="false">Assumptions!K28</f>
        <v>60</v>
      </c>
      <c r="L7" s="4" t="n">
        <f aca="false">Assumptions!L28</f>
        <v>60</v>
      </c>
    </row>
    <row r="8" customFormat="false" ht="15" hidden="false" customHeight="false" outlineLevel="0" collapsed="false">
      <c r="A8" s="0" t="s">
        <v>44</v>
      </c>
      <c r="C8" s="0" t="n">
        <f aca="false">C6*C7/100</f>
        <v>280984.032</v>
      </c>
      <c r="D8" s="0" t="n">
        <f aca="false">D6*D7/100</f>
        <v>255740.06976</v>
      </c>
      <c r="E8" s="0" t="n">
        <f aca="false">E6*E7/100</f>
        <v>263412.2718528</v>
      </c>
      <c r="F8" s="0" t="n">
        <f aca="false">F6*F7/100</f>
        <v>271314.640008384</v>
      </c>
      <c r="G8" s="0" t="n">
        <f aca="false">G6*G7/100</f>
        <v>275818.018254425</v>
      </c>
      <c r="H8" s="0" t="n">
        <f aca="false">H6*H7/100</f>
        <v>280376.993762762</v>
      </c>
      <c r="I8" s="0" t="n">
        <f aca="false">I6*I7/100</f>
        <v>285984.533638018</v>
      </c>
      <c r="J8" s="0" t="n">
        <f aca="false">J6*J7/100</f>
        <v>291704.224310778</v>
      </c>
      <c r="K8" s="0" t="n">
        <f aca="false">K6*K7/100</f>
        <v>297538.308796994</v>
      </c>
      <c r="L8" s="0" t="n">
        <f aca="false">L6*L7/100</f>
        <v>303489.074972933</v>
      </c>
    </row>
    <row r="9" customFormat="false" ht="15" hidden="false" customHeight="false" outlineLevel="0" collapsed="false">
      <c r="A9" s="0" t="s">
        <v>97</v>
      </c>
      <c r="C9" s="4" t="n">
        <f aca="false">Assumptions!C29</f>
        <v>0</v>
      </c>
      <c r="D9" s="4" t="n">
        <f aca="false">Assumptions!D29</f>
        <v>0</v>
      </c>
      <c r="E9" s="4" t="n">
        <f aca="false">Assumptions!E29</f>
        <v>0</v>
      </c>
      <c r="F9" s="4" t="n">
        <f aca="false">Assumptions!F29</f>
        <v>0</v>
      </c>
      <c r="G9" s="4" t="n">
        <f aca="false">Assumptions!G29</f>
        <v>0</v>
      </c>
      <c r="H9" s="4" t="n">
        <f aca="false">Assumptions!H29</f>
        <v>0</v>
      </c>
      <c r="I9" s="4" t="n">
        <f aca="false">Assumptions!I29</f>
        <v>0</v>
      </c>
      <c r="J9" s="4" t="n">
        <f aca="false">Assumptions!J29</f>
        <v>0</v>
      </c>
      <c r="K9" s="4" t="n">
        <f aca="false">Assumptions!K29</f>
        <v>0</v>
      </c>
      <c r="L9" s="4" t="n">
        <f aca="false">Assumptions!L29</f>
        <v>0</v>
      </c>
    </row>
    <row r="10" customFormat="false" ht="15" hidden="false" customHeight="false" outlineLevel="0" collapsed="false">
      <c r="A10" s="0" t="s">
        <v>112</v>
      </c>
      <c r="C10" s="0" t="n">
        <f aca="false">-C6*C9/100</f>
        <v>-0</v>
      </c>
      <c r="D10" s="0" t="n">
        <f aca="false">-D6*D9/100</f>
        <v>-0</v>
      </c>
      <c r="E10" s="0" t="n">
        <f aca="false">-E6*E9/100</f>
        <v>-0</v>
      </c>
      <c r="F10" s="0" t="n">
        <f aca="false">-F6*F9/100</f>
        <v>-0</v>
      </c>
      <c r="G10" s="0" t="n">
        <f aca="false">-G6*G9/100</f>
        <v>-0</v>
      </c>
      <c r="H10" s="0" t="n">
        <f aca="false">-H6*H9/100</f>
        <v>-0</v>
      </c>
      <c r="I10" s="0" t="n">
        <f aca="false">-I6*I9/100</f>
        <v>-0</v>
      </c>
      <c r="J10" s="0" t="n">
        <f aca="false">-J6*J9/100</f>
        <v>-0</v>
      </c>
      <c r="K10" s="0" t="n">
        <f aca="false">-K6*K9/100</f>
        <v>-0</v>
      </c>
      <c r="L10" s="0" t="n">
        <f aca="false">-L6*L9/100</f>
        <v>-0</v>
      </c>
    </row>
    <row r="11" customFormat="false" ht="15" hidden="false" customHeight="false" outlineLevel="0" collapsed="false">
      <c r="A11" s="0" t="s">
        <v>113</v>
      </c>
      <c r="C11" s="0" t="n">
        <f aca="false">C8+C10+C24</f>
        <v>276523.968</v>
      </c>
      <c r="D11" s="0" t="n">
        <f aca="false">D8+D10+D24</f>
        <v>251547.6096</v>
      </c>
      <c r="E11" s="0" t="n">
        <f aca="false">E8+E10+E24</f>
        <v>259094.037888</v>
      </c>
      <c r="F11" s="0" t="n">
        <f aca="false">F8+F10+F24</f>
        <v>266866.85902464</v>
      </c>
      <c r="G11" s="0" t="n">
        <f aca="false">G8+G10+G24</f>
        <v>271259.042746087</v>
      </c>
      <c r="H11" s="0" t="n">
        <f aca="false">H8+H10+H24</f>
        <v>275704.043866716</v>
      </c>
      <c r="I11" s="0" t="n">
        <f aca="false">I8+I10+I24</f>
        <v>281218.124744051</v>
      </c>
      <c r="J11" s="0" t="n">
        <f aca="false">J8+J10+J24</f>
        <v>286842.487238932</v>
      </c>
      <c r="K11" s="0" t="n">
        <f aca="false">K8+K10+K24</f>
        <v>292579.33698371</v>
      </c>
      <c r="L11" s="0" t="n">
        <f aca="false">L8+L10+L24</f>
        <v>298430.923723385</v>
      </c>
    </row>
    <row r="12" customFormat="false" ht="15" hidden="false" customHeight="false" outlineLevel="0" collapsed="false">
      <c r="A12" s="0" t="s">
        <v>114</v>
      </c>
      <c r="C12" s="4" t="n">
        <f aca="false">-C6*Assumptions!C31/100</f>
        <v>-89201.28</v>
      </c>
      <c r="D12" s="4" t="n">
        <f aca="false">-D6*Assumptions!D31/100</f>
        <v>-88041.66336</v>
      </c>
      <c r="E12" s="4" t="n">
        <f aca="false">-E6*Assumptions!E31/100</f>
        <v>-90682.9132608</v>
      </c>
      <c r="F12" s="4" t="n">
        <f aca="false">-F6*Assumptions!F31/100</f>
        <v>-93403.400658624</v>
      </c>
      <c r="G12" s="4" t="n">
        <f aca="false">-G6*Assumptions!G31/100</f>
        <v>-95738.4856750896</v>
      </c>
      <c r="H12" s="4" t="n">
        <f aca="false">-H6*Assumptions!H31/100</f>
        <v>-98131.9478169668</v>
      </c>
      <c r="I12" s="4" t="n">
        <f aca="false">-I6*Assumptions!I31/100</f>
        <v>-100094.586773306</v>
      </c>
      <c r="J12" s="4" t="n">
        <f aca="false">-J6*Assumptions!J31/100</f>
        <v>-102096.478508772</v>
      </c>
      <c r="K12" s="4" t="n">
        <f aca="false">-K6*Assumptions!K31/100</f>
        <v>-104138.408078948</v>
      </c>
      <c r="L12" s="4" t="n">
        <f aca="false">-L6*Assumptions!L31/100</f>
        <v>-106221.176240527</v>
      </c>
    </row>
    <row r="13" customFormat="false" ht="15" hidden="false" customHeight="false" outlineLevel="0" collapsed="false">
      <c r="A13" s="0" t="s">
        <v>115</v>
      </c>
      <c r="C13" s="0" t="n">
        <f aca="false">C11+C12</f>
        <v>187322.688</v>
      </c>
      <c r="D13" s="0" t="n">
        <f aca="false">D11+D12</f>
        <v>163505.94624</v>
      </c>
      <c r="E13" s="0" t="n">
        <f aca="false">E11+E12</f>
        <v>168411.1246272</v>
      </c>
      <c r="F13" s="0" t="n">
        <f aca="false">F11+F12</f>
        <v>173463.458366016</v>
      </c>
      <c r="G13" s="0" t="n">
        <f aca="false">G11+G12</f>
        <v>175520.557070998</v>
      </c>
      <c r="H13" s="0" t="n">
        <f aca="false">H11+H12</f>
        <v>177572.09604975</v>
      </c>
      <c r="I13" s="0" t="n">
        <f aca="false">I11+I12</f>
        <v>181123.537970744</v>
      </c>
      <c r="J13" s="0" t="n">
        <f aca="false">J11+J12</f>
        <v>184746.008730159</v>
      </c>
      <c r="K13" s="0" t="n">
        <f aca="false">K11+K12</f>
        <v>188440.928904763</v>
      </c>
      <c r="L13" s="0" t="n">
        <f aca="false">L11+L12</f>
        <v>192209.747482858</v>
      </c>
    </row>
    <row r="14" customFormat="false" ht="15" hidden="false" customHeight="false" outlineLevel="0" collapsed="false">
      <c r="A14" s="0" t="s">
        <v>101</v>
      </c>
      <c r="C14" s="4" t="n">
        <f aca="false">Assumptions!C33</f>
        <v>28</v>
      </c>
      <c r="D14" s="4" t="n">
        <f aca="false">Assumptions!D33</f>
        <v>28</v>
      </c>
      <c r="E14" s="4" t="n">
        <f aca="false">Assumptions!E33</f>
        <v>28</v>
      </c>
      <c r="F14" s="4" t="n">
        <f aca="false">Assumptions!F33</f>
        <v>28</v>
      </c>
      <c r="G14" s="4" t="n">
        <f aca="false">Assumptions!G33</f>
        <v>28</v>
      </c>
      <c r="H14" s="4" t="n">
        <f aca="false">Assumptions!H33</f>
        <v>28</v>
      </c>
      <c r="I14" s="4" t="n">
        <f aca="false">Assumptions!I33</f>
        <v>28</v>
      </c>
      <c r="J14" s="4" t="n">
        <f aca="false">Assumptions!J33</f>
        <v>28</v>
      </c>
      <c r="K14" s="4" t="n">
        <f aca="false">Assumptions!K33</f>
        <v>28</v>
      </c>
      <c r="L14" s="4" t="n">
        <f aca="false">Assumptions!L33</f>
        <v>28</v>
      </c>
    </row>
    <row r="15" customFormat="false" ht="15" hidden="false" customHeight="false" outlineLevel="0" collapsed="false">
      <c r="A15" s="0" t="s">
        <v>116</v>
      </c>
      <c r="C15" s="0" t="n">
        <f aca="false">C13-MAX(0,C13)*C14/100</f>
        <v>134872.33536</v>
      </c>
      <c r="D15" s="0" t="n">
        <f aca="false">D13-MAX(0,D13)*D14/100</f>
        <v>117724.2812928</v>
      </c>
      <c r="E15" s="0" t="n">
        <f aca="false">E13-MAX(0,E13)*E14/100</f>
        <v>121256.009731584</v>
      </c>
      <c r="F15" s="0" t="n">
        <f aca="false">F13-MAX(0,F13)*F14/100</f>
        <v>124893.690023532</v>
      </c>
      <c r="G15" s="0" t="n">
        <f aca="false">G13-MAX(0,G13)*G14/100</f>
        <v>126374.801091118</v>
      </c>
      <c r="H15" s="0" t="n">
        <f aca="false">H13-MAX(0,H13)*H14/100</f>
        <v>127851.90915582</v>
      </c>
      <c r="I15" s="0" t="n">
        <f aca="false">I13-MAX(0,I13)*I14/100</f>
        <v>130408.947338936</v>
      </c>
      <c r="J15" s="0" t="n">
        <f aca="false">J13-MAX(0,J13)*J14/100</f>
        <v>133017.126285715</v>
      </c>
      <c r="K15" s="0" t="n">
        <f aca="false">K13-MAX(0,K13)*K14/100</f>
        <v>135677.468811429</v>
      </c>
      <c r="L15" s="0" t="n">
        <f aca="false">L13-MAX(0,L13)*L14/100</f>
        <v>138391.018187658</v>
      </c>
    </row>
    <row r="16" customFormat="false" ht="15" hidden="false" customHeight="false" outlineLevel="0" collapsed="false">
      <c r="A16" s="0" t="s">
        <v>117</v>
      </c>
      <c r="C16" s="0" t="n">
        <f aca="false">-C12</f>
        <v>89201.28</v>
      </c>
      <c r="D16" s="0" t="n">
        <f aca="false">-D12</f>
        <v>88041.66336</v>
      </c>
      <c r="E16" s="0" t="n">
        <f aca="false">-E12</f>
        <v>90682.9132608</v>
      </c>
      <c r="F16" s="0" t="n">
        <f aca="false">-F12</f>
        <v>93403.400658624</v>
      </c>
      <c r="G16" s="0" t="n">
        <f aca="false">-G12</f>
        <v>95738.4856750896</v>
      </c>
      <c r="H16" s="0" t="n">
        <f aca="false">-H12</f>
        <v>98131.9478169668</v>
      </c>
      <c r="I16" s="0" t="n">
        <f aca="false">-I12</f>
        <v>100094.586773306</v>
      </c>
      <c r="J16" s="0" t="n">
        <f aca="false">-J12</f>
        <v>102096.478508772</v>
      </c>
      <c r="K16" s="0" t="n">
        <f aca="false">-K12</f>
        <v>104138.408078948</v>
      </c>
      <c r="L16" s="0" t="n">
        <f aca="false">-L12</f>
        <v>106221.176240527</v>
      </c>
    </row>
    <row r="17" customFormat="false" ht="15" hidden="false" customHeight="false" outlineLevel="0" collapsed="false">
      <c r="A17" s="0" t="s">
        <v>118</v>
      </c>
      <c r="C17" s="4" t="n">
        <f aca="false">-C6*Assumptions!C32/100</f>
        <v>-111501.6</v>
      </c>
      <c r="D17" s="4" t="n">
        <f aca="false">-D6*Assumptions!D32/100</f>
        <v>-117388.88448</v>
      </c>
      <c r="E17" s="4" t="n">
        <f aca="false">-E6*Assumptions!E32/100</f>
        <v>-120910.5510144</v>
      </c>
      <c r="F17" s="4" t="n">
        <f aca="false">-F6*Assumptions!F32/100</f>
        <v>-124537.867544832</v>
      </c>
      <c r="G17" s="4" t="n">
        <f aca="false">-G6*Assumptions!G32/100</f>
        <v>-127651.314233453</v>
      </c>
      <c r="H17" s="4" t="n">
        <f aca="false">-H6*Assumptions!H32/100</f>
        <v>-128506.122141266</v>
      </c>
      <c r="I17" s="4" t="n">
        <f aca="false">-I6*Assumptions!I32/100</f>
        <v>-128693.040137108</v>
      </c>
      <c r="J17" s="4" t="n">
        <f aca="false">-J6*Assumptions!J32/100</f>
        <v>-131266.90093985</v>
      </c>
      <c r="K17" s="4" t="n">
        <f aca="false">-K6*Assumptions!K32/100</f>
        <v>-133892.238958647</v>
      </c>
      <c r="L17" s="4" t="n">
        <f aca="false">-L6*Assumptions!L32/100</f>
        <v>-136570.08373782</v>
      </c>
    </row>
    <row r="18" customFormat="false" ht="15" hidden="false" customHeight="false" outlineLevel="0" collapsed="false">
      <c r="A18" s="0" t="s">
        <v>119</v>
      </c>
      <c r="C18" s="4" t="n">
        <f aca="false">(C6-B6)*Assumptions!$B$37/100</f>
        <v>0</v>
      </c>
      <c r="D18" s="4" t="n">
        <f aca="false">(D6-C6)*Assumptions!$B$37/100</f>
        <v>-0</v>
      </c>
      <c r="E18" s="4" t="n">
        <f aca="false">(E6-D6)*Assumptions!$B$37/100</f>
        <v>0</v>
      </c>
      <c r="F18" s="4" t="n">
        <f aca="false">(F6-E6)*Assumptions!$B$37/100</f>
        <v>0</v>
      </c>
      <c r="G18" s="4" t="n">
        <f aca="false">(G6-F6)*Assumptions!$B$37/100</f>
        <v>0</v>
      </c>
      <c r="H18" s="4" t="n">
        <f aca="false">(H6-G6)*Assumptions!$B$37/100</f>
        <v>0</v>
      </c>
      <c r="I18" s="4" t="n">
        <f aca="false">(I6-H6)*Assumptions!$B$37/100</f>
        <v>0</v>
      </c>
      <c r="J18" s="4" t="n">
        <f aca="false">(J6-I6)*Assumptions!$B$37/100</f>
        <v>0</v>
      </c>
      <c r="K18" s="4" t="n">
        <f aca="false">(K6-J6)*Assumptions!$B$37/100</f>
        <v>0</v>
      </c>
      <c r="L18" s="4" t="n">
        <f aca="false">(L6-K6)*Assumptions!$B$37/100</f>
        <v>0</v>
      </c>
    </row>
    <row r="19" customFormat="false" ht="15" hidden="false" customHeight="false" outlineLevel="0" collapsed="false">
      <c r="A19" s="0" t="s">
        <v>120</v>
      </c>
      <c r="C19" s="0" t="n">
        <f aca="false">C15+C16+C17+C18</f>
        <v>112572.01536</v>
      </c>
      <c r="D19" s="0" t="n">
        <f aca="false">D15+D16+D17+D18</f>
        <v>88377.0601728</v>
      </c>
      <c r="E19" s="0" t="n">
        <f aca="false">E15+E16+E17+E18</f>
        <v>91028.371977984</v>
      </c>
      <c r="F19" s="0" t="n">
        <f aca="false">F15+F16+F17+F18</f>
        <v>93759.2231373235</v>
      </c>
      <c r="G19" s="0" t="n">
        <f aca="false">G15+G16+G17+G18</f>
        <v>94461.9725327551</v>
      </c>
      <c r="H19" s="0" t="n">
        <f aca="false">H15+H16+H17+H18</f>
        <v>97477.7348315204</v>
      </c>
      <c r="I19" s="0" t="n">
        <f aca="false">I15+I16+I17+I18</f>
        <v>101810.493975134</v>
      </c>
      <c r="J19" s="0" t="n">
        <f aca="false">J15+J16+J17+J18</f>
        <v>103846.703854637</v>
      </c>
      <c r="K19" s="0" t="n">
        <f aca="false">K15+K16+K17+K18</f>
        <v>105923.63793173</v>
      </c>
      <c r="L19" s="0" t="n">
        <f aca="false">L15+L16+L17+L18</f>
        <v>108042.110690364</v>
      </c>
    </row>
    <row r="20" customFormat="false" ht="15" hidden="false" customHeight="false" outlineLevel="0" collapsed="false">
      <c r="A20" s="0" t="s">
        <v>121</v>
      </c>
      <c r="C20" s="0" t="n">
        <f aca="false">1/(1+$B$27/100)^C4</f>
        <v>0.91743119266055</v>
      </c>
      <c r="D20" s="0" t="n">
        <f aca="false">1/(1+$B$27/100)^D4</f>
        <v>0.84167999326656</v>
      </c>
      <c r="E20" s="0" t="n">
        <f aca="false">1/(1+$B$27/100)^E4</f>
        <v>0.772183480061064</v>
      </c>
      <c r="F20" s="0" t="n">
        <f aca="false">1/(1+$B$27/100)^F4</f>
        <v>0.708425211065196</v>
      </c>
      <c r="G20" s="0" t="n">
        <f aca="false">1/(1+$B$27/100)^G4</f>
        <v>0.649931386298345</v>
      </c>
      <c r="H20" s="0" t="n">
        <f aca="false">1/(1+$B$27/100)^H4</f>
        <v>0.596267326879216</v>
      </c>
      <c r="I20" s="0" t="n">
        <f aca="false">1/(1+$B$27/100)^I4</f>
        <v>0.547034244843317</v>
      </c>
      <c r="J20" s="0" t="n">
        <f aca="false">1/(1+$B$27/100)^J4</f>
        <v>0.501866279672768</v>
      </c>
      <c r="K20" s="0" t="n">
        <f aca="false">1/(1+$B$27/100)^K4</f>
        <v>0.460427779516301</v>
      </c>
      <c r="L20" s="0" t="n">
        <f aca="false">1/(1+$B$27/100)^L4</f>
        <v>0.422410806895689</v>
      </c>
    </row>
    <row r="21" customFormat="false" ht="15" hidden="false" customHeight="false" outlineLevel="0" collapsed="false">
      <c r="A21" s="0" t="s">
        <v>122</v>
      </c>
      <c r="C21" s="0" t="n">
        <f aca="false">C19*C20</f>
        <v>103277.078311927</v>
      </c>
      <c r="D21" s="0" t="n">
        <f aca="false">D19*D20</f>
        <v>74385.2034111607</v>
      </c>
      <c r="E21" s="0" t="n">
        <f aca="false">E19*E20</f>
        <v>70290.6050582527</v>
      </c>
      <c r="F21" s="0" t="n">
        <f aca="false">F19*F20</f>
        <v>66421.3974403673</v>
      </c>
      <c r="G21" s="0" t="n">
        <f aca="false">G19*G20</f>
        <v>61393.8007606897</v>
      </c>
      <c r="H21" s="0" t="n">
        <f aca="false">H19*H20</f>
        <v>58122.7883782317</v>
      </c>
      <c r="I21" s="0" t="n">
        <f aca="false">I19*I20</f>
        <v>55693.8266888127</v>
      </c>
      <c r="J21" s="0" t="n">
        <f aca="false">J19*J20</f>
        <v>52117.1589198063</v>
      </c>
      <c r="K21" s="0" t="n">
        <f aca="false">K19*K20</f>
        <v>48770.1854111949</v>
      </c>
      <c r="L21" s="0" t="n">
        <f aca="false">L19*L20</f>
        <v>45638.1551554301</v>
      </c>
    </row>
    <row r="23" customFormat="false" ht="15" hidden="false" customHeight="false" outlineLevel="0" collapsed="false">
      <c r="A23" s="0" t="s">
        <v>98</v>
      </c>
      <c r="C23" s="4" t="n">
        <f aca="false">Assumptions!C30</f>
        <v>1</v>
      </c>
      <c r="D23" s="4" t="n">
        <f aca="false">Assumptions!D30</f>
        <v>1</v>
      </c>
      <c r="E23" s="4" t="n">
        <f aca="false">Assumptions!E30</f>
        <v>1</v>
      </c>
      <c r="F23" s="4" t="n">
        <f aca="false">Assumptions!F30</f>
        <v>1</v>
      </c>
      <c r="G23" s="4" t="n">
        <f aca="false">Assumptions!G30</f>
        <v>1</v>
      </c>
      <c r="H23" s="4" t="n">
        <f aca="false">Assumptions!H30</f>
        <v>1</v>
      </c>
      <c r="I23" s="4" t="n">
        <f aca="false">Assumptions!I30</f>
        <v>1</v>
      </c>
      <c r="J23" s="4" t="n">
        <f aca="false">Assumptions!J30</f>
        <v>1</v>
      </c>
      <c r="K23" s="4" t="n">
        <f aca="false">Assumptions!K30</f>
        <v>1</v>
      </c>
      <c r="L23" s="4" t="n">
        <f aca="false">Assumptions!L30</f>
        <v>1</v>
      </c>
    </row>
    <row r="24" customFormat="false" ht="15" hidden="false" customHeight="false" outlineLevel="0" collapsed="false">
      <c r="A24" s="0" t="s">
        <v>123</v>
      </c>
      <c r="C24" s="0" t="n">
        <f aca="false">-C6*C23/100</f>
        <v>-4460.064</v>
      </c>
      <c r="D24" s="0" t="n">
        <f aca="false">-D6*D23/100</f>
        <v>-4192.46016</v>
      </c>
      <c r="E24" s="0" t="n">
        <f aca="false">-E6*E23/100</f>
        <v>-4318.2339648</v>
      </c>
      <c r="F24" s="0" t="n">
        <f aca="false">-F6*F23/100</f>
        <v>-4447.780983744</v>
      </c>
      <c r="G24" s="0" t="n">
        <f aca="false">-G6*G23/100</f>
        <v>-4558.9755083376</v>
      </c>
      <c r="H24" s="0" t="n">
        <f aca="false">-H6*H23/100</f>
        <v>-4672.94989604604</v>
      </c>
      <c r="I24" s="0" t="n">
        <f aca="false">-I6*I23/100</f>
        <v>-4766.40889396696</v>
      </c>
      <c r="J24" s="0" t="n">
        <f aca="false">-J6*J23/100</f>
        <v>-4861.7370718463</v>
      </c>
      <c r="K24" s="0" t="n">
        <f aca="false">-K6*K23/100</f>
        <v>-4958.97181328323</v>
      </c>
      <c r="L24" s="0" t="n">
        <f aca="false">-L6*L23/100</f>
        <v>-5058.15124954889</v>
      </c>
    </row>
    <row r="26" customFormat="false" ht="15" hidden="false" customHeight="false" outlineLevel="0" collapsed="false">
      <c r="A26" s="2" t="s">
        <v>124</v>
      </c>
    </row>
    <row r="27" customFormat="false" ht="15" hidden="false" customHeight="false" outlineLevel="0" collapsed="false">
      <c r="A27" s="0" t="s">
        <v>102</v>
      </c>
      <c r="B27" s="4" t="n">
        <f aca="false">Assumptions!$B$34</f>
        <v>9</v>
      </c>
    </row>
    <row r="28" customFormat="false" ht="15" hidden="false" customHeight="false" outlineLevel="0" collapsed="false">
      <c r="A28" s="0" t="s">
        <v>103</v>
      </c>
      <c r="B28" s="4" t="n">
        <f aca="false">Assumptions!$B$35</f>
        <v>2</v>
      </c>
    </row>
    <row r="29" customFormat="false" ht="15" hidden="false" customHeight="false" outlineLevel="0" collapsed="false">
      <c r="A29" s="0" t="s">
        <v>104</v>
      </c>
      <c r="B29" s="4" t="n">
        <f aca="false">Assumptions!$B$36</f>
        <v>12</v>
      </c>
    </row>
    <row r="30" customFormat="false" ht="15" hidden="false" customHeight="false" outlineLevel="0" collapsed="false">
      <c r="A30" s="0" t="s">
        <v>125</v>
      </c>
      <c r="B30" s="0" t="n">
        <f aca="false">SUM(C21:L21)</f>
        <v>636110.199535873</v>
      </c>
    </row>
    <row r="31" customFormat="false" ht="15" hidden="false" customHeight="false" outlineLevel="0" collapsed="false">
      <c r="A31" s="0" t="s">
        <v>126</v>
      </c>
      <c r="B31" s="0" t="n">
        <f aca="false">L19</f>
        <v>108042.110690364</v>
      </c>
    </row>
    <row r="32" customFormat="false" ht="15" hidden="false" customHeight="false" outlineLevel="0" collapsed="false">
      <c r="A32" s="0" t="s">
        <v>127</v>
      </c>
      <c r="B32" s="0" t="n">
        <f aca="false">IF(B27&gt;B28,B31*(1+B28/100)/((B27-B28)/100),B31*B29)</f>
        <v>1574327.89863102</v>
      </c>
    </row>
    <row r="33" customFormat="false" ht="15" hidden="false" customHeight="false" outlineLevel="0" collapsed="false">
      <c r="A33" s="0" t="s">
        <v>128</v>
      </c>
      <c r="B33" s="0" t="n">
        <f aca="false">B31*B29</f>
        <v>1296505.32828437</v>
      </c>
    </row>
    <row r="34" customFormat="false" ht="15" hidden="false" customHeight="false" outlineLevel="0" collapsed="false">
      <c r="A34" s="0" t="s">
        <v>129</v>
      </c>
      <c r="B34" s="0" t="n">
        <f aca="false">MAX(0,MIN(B32,B33))</f>
        <v>1296505.32828437</v>
      </c>
    </row>
    <row r="35" customFormat="false" ht="15" hidden="false" customHeight="false" outlineLevel="0" collapsed="false">
      <c r="A35" s="0" t="s">
        <v>130</v>
      </c>
      <c r="B35" s="0" t="n">
        <f aca="false">B34/(1+B27/100)^L4</f>
        <v>547657.861865161</v>
      </c>
    </row>
    <row r="36" customFormat="false" ht="15" hidden="false" customHeight="false" outlineLevel="0" collapsed="false">
      <c r="A36" s="0" t="s">
        <v>131</v>
      </c>
      <c r="B36" s="0" t="n">
        <f aca="false">B30+B35</f>
        <v>1183768.06140103</v>
      </c>
    </row>
    <row r="37" customFormat="false" ht="15" hidden="false" customHeight="false" outlineLevel="0" collapsed="false">
      <c r="A37" s="0" t="s">
        <v>132</v>
      </c>
      <c r="B37" s="0" t="n">
        <f aca="false">B36+Assumptions!$B$5-Assumptions!$B$4</f>
        <v>1270387.06140103</v>
      </c>
    </row>
    <row r="38" customFormat="false" ht="15" hidden="false" customHeight="false" outlineLevel="0" collapsed="false">
      <c r="A38" s="0" t="s">
        <v>133</v>
      </c>
      <c r="B38" s="0" t="n">
        <f aca="false">B37/Assumptions!$B$3*Assumptions!$B$10</f>
        <v>31.3280478804619</v>
      </c>
    </row>
    <row r="39" customFormat="false" ht="15" hidden="false" customHeight="false" outlineLevel="0" collapsed="false">
      <c r="A39" s="0" t="s">
        <v>134</v>
      </c>
      <c r="B39" s="4" t="n">
        <f aca="false">B38/Assumptions!$B$2-1</f>
        <v>0.310796982446105</v>
      </c>
    </row>
    <row r="41" customFormat="false" ht="15" hidden="false" customHeight="false" outlineLevel="0" collapsed="false">
      <c r="A41" s="0" t="s">
        <v>135</v>
      </c>
      <c r="B41" s="0" t="n">
        <f aca="false">SUMPRODUCT(-C10:L10/(1+$B$27/100)^C4:L4)</f>
        <v>0</v>
      </c>
    </row>
    <row r="42" customFormat="false" ht="15" hidden="false" customHeight="false" outlineLevel="0" collapsed="false">
      <c r="A42" s="0" t="s">
        <v>136</v>
      </c>
      <c r="B42" s="0" t="n">
        <f aca="false">IF(B27&gt;B28,-L10*(1+B28/100)/((B27-B28)/100),-L10*20)/(1+B27/100)^L4</f>
        <v>0</v>
      </c>
    </row>
    <row r="43" customFormat="false" ht="15" hidden="false" customHeight="false" outlineLevel="0" collapsed="false">
      <c r="A43" s="0" t="s">
        <v>137</v>
      </c>
      <c r="B43" s="0" t="n">
        <f aca="false">(B37+B41+B42)/Assumptions!$B$3*Assumptions!$B$10</f>
        <v>31.3280478804619</v>
      </c>
    </row>
    <row r="45" customFormat="false" ht="15" hidden="false" customHeight="false" outlineLevel="0" collapsed="false">
      <c r="A45" s="0" t="s">
        <v>78</v>
      </c>
      <c r="B45" s="4" t="n">
        <f aca="false">Assumptions!$B$6</f>
        <v>15</v>
      </c>
    </row>
    <row r="46" customFormat="false" ht="15" hidden="false" customHeight="false" outlineLevel="0" collapsed="false">
      <c r="A46" s="0" t="s">
        <v>138</v>
      </c>
      <c r="B46" s="0" t="n">
        <f aca="false">MAX(0,MIN(IF(B45&gt;B28,B31*(1+B28/100)/((B45-B28)/100),B31*B29),B31*B29))</f>
        <v>847715.022339781</v>
      </c>
    </row>
    <row r="47" customFormat="false" ht="15" hidden="false" customHeight="false" outlineLevel="0" collapsed="false">
      <c r="A47" s="0" t="s">
        <v>139</v>
      </c>
      <c r="B47" s="0" t="n">
        <f aca="false">(SUMPRODUCT(C19:L19/(1+B45/100)^C4:L4)+B46/(1+B45/100)^L4+Assumptions!$B$5-Assumptions!$B$4)/Assumptions!$B$3*Assumptions!$B$10</f>
        <v>19.5427583053479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141</v>
      </c>
    </row>
    <row r="3" customFormat="false" ht="15" hidden="false" customHeight="false" outlineLevel="0" collapsed="false">
      <c r="A3" s="0" t="s">
        <v>110</v>
      </c>
      <c r="B3" s="0" t="s">
        <v>71</v>
      </c>
      <c r="C3" s="2" t="s">
        <v>85</v>
      </c>
      <c r="D3" s="2" t="s">
        <v>86</v>
      </c>
      <c r="E3" s="2" t="s">
        <v>87</v>
      </c>
      <c r="F3" s="2" t="s">
        <v>88</v>
      </c>
      <c r="G3" s="2" t="s">
        <v>89</v>
      </c>
      <c r="H3" s="2" t="s">
        <v>90</v>
      </c>
      <c r="I3" s="2" t="s">
        <v>91</v>
      </c>
      <c r="J3" s="2" t="s">
        <v>92</v>
      </c>
      <c r="K3" s="2" t="s">
        <v>93</v>
      </c>
      <c r="L3" s="2" t="s">
        <v>94</v>
      </c>
    </row>
    <row r="4" customFormat="false" ht="15" hidden="false" customHeight="false" outlineLevel="0" collapsed="false">
      <c r="A4" s="0" t="s">
        <v>111</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95</v>
      </c>
      <c r="C5" s="4" t="n">
        <f aca="false">Assumptions!C41</f>
        <v>17</v>
      </c>
      <c r="D5" s="4" t="n">
        <f aca="false">Assumptions!D41</f>
        <v>2</v>
      </c>
      <c r="E5" s="4" t="n">
        <f aca="false">Assumptions!E41</f>
        <v>4</v>
      </c>
      <c r="F5" s="4" t="n">
        <f aca="false">Assumptions!F41</f>
        <v>4</v>
      </c>
      <c r="G5" s="4" t="n">
        <f aca="false">Assumptions!G41</f>
        <v>3.5</v>
      </c>
      <c r="H5" s="4" t="n">
        <f aca="false">Assumptions!H41</f>
        <v>3</v>
      </c>
      <c r="I5" s="4" t="n">
        <f aca="false">Assumptions!I41</f>
        <v>3</v>
      </c>
      <c r="J5" s="4" t="n">
        <f aca="false">Assumptions!J41</f>
        <v>2.5</v>
      </c>
      <c r="K5" s="4" t="n">
        <f aca="false">Assumptions!K41</f>
        <v>2.5</v>
      </c>
      <c r="L5" s="4" t="n">
        <f aca="false">Assumptions!L41</f>
        <v>2.5</v>
      </c>
    </row>
    <row r="6" customFormat="false" ht="15" hidden="false" customHeight="false" outlineLevel="0" collapsed="false">
      <c r="A6" s="0" t="s">
        <v>38</v>
      </c>
      <c r="B6" s="3" t="n">
        <v>398220</v>
      </c>
      <c r="C6" s="0" t="n">
        <f aca="false">B6*(1+C5/100)</f>
        <v>465917.4</v>
      </c>
      <c r="D6" s="0" t="n">
        <f aca="false">C6*(1+D5/100)</f>
        <v>475235.748</v>
      </c>
      <c r="E6" s="0" t="n">
        <f aca="false">D6*(1+E5/100)</f>
        <v>494245.17792</v>
      </c>
      <c r="F6" s="0" t="n">
        <f aca="false">E6*(1+F5/100)</f>
        <v>514014.9850368</v>
      </c>
      <c r="G6" s="0" t="n">
        <f aca="false">F6*(1+G5/100)</f>
        <v>532005.509513088</v>
      </c>
      <c r="H6" s="0" t="n">
        <f aca="false">G6*(1+H5/100)</f>
        <v>547965.674798481</v>
      </c>
      <c r="I6" s="0" t="n">
        <f aca="false">H6*(1+I5/100)</f>
        <v>564404.645042435</v>
      </c>
      <c r="J6" s="0" t="n">
        <f aca="false">I6*(1+J5/100)</f>
        <v>578514.761168496</v>
      </c>
      <c r="K6" s="0" t="n">
        <f aca="false">J6*(1+K5/100)</f>
        <v>592977.630197708</v>
      </c>
      <c r="L6" s="0" t="n">
        <f aca="false">K6*(1+L5/100)</f>
        <v>607802.070952651</v>
      </c>
    </row>
    <row r="7" customFormat="false" ht="15" hidden="false" customHeight="false" outlineLevel="0" collapsed="false">
      <c r="A7" s="0" t="s">
        <v>96</v>
      </c>
      <c r="C7" s="4" t="n">
        <f aca="false">Assumptions!C42</f>
        <v>64.5</v>
      </c>
      <c r="D7" s="4" t="n">
        <f aca="false">Assumptions!D42</f>
        <v>63.5</v>
      </c>
      <c r="E7" s="4" t="n">
        <f aca="false">Assumptions!E42</f>
        <v>63</v>
      </c>
      <c r="F7" s="4" t="n">
        <f aca="false">Assumptions!F42</f>
        <v>63</v>
      </c>
      <c r="G7" s="4" t="n">
        <f aca="false">Assumptions!G42</f>
        <v>62.5</v>
      </c>
      <c r="H7" s="4" t="n">
        <f aca="false">Assumptions!H42</f>
        <v>62</v>
      </c>
      <c r="I7" s="4" t="n">
        <f aca="false">Assumptions!I42</f>
        <v>62</v>
      </c>
      <c r="J7" s="4" t="n">
        <f aca="false">Assumptions!J42</f>
        <v>62</v>
      </c>
      <c r="K7" s="4" t="n">
        <f aca="false">Assumptions!K42</f>
        <v>62</v>
      </c>
      <c r="L7" s="4" t="n">
        <f aca="false">Assumptions!L42</f>
        <v>62</v>
      </c>
    </row>
    <row r="8" customFormat="false" ht="15" hidden="false" customHeight="false" outlineLevel="0" collapsed="false">
      <c r="A8" s="0" t="s">
        <v>44</v>
      </c>
      <c r="C8" s="0" t="n">
        <f aca="false">C6*C7/100</f>
        <v>300516.723</v>
      </c>
      <c r="D8" s="0" t="n">
        <f aca="false">D6*D7/100</f>
        <v>301774.69998</v>
      </c>
      <c r="E8" s="0" t="n">
        <f aca="false">E6*E7/100</f>
        <v>311374.4620896</v>
      </c>
      <c r="F8" s="0" t="n">
        <f aca="false">F6*F7/100</f>
        <v>323829.440573184</v>
      </c>
      <c r="G8" s="0" t="n">
        <f aca="false">G6*G7/100</f>
        <v>332503.44344568</v>
      </c>
      <c r="H8" s="0" t="n">
        <f aca="false">H6*H7/100</f>
        <v>339738.718375058</v>
      </c>
      <c r="I8" s="0" t="n">
        <f aca="false">I6*I7/100</f>
        <v>349930.87992631</v>
      </c>
      <c r="J8" s="0" t="n">
        <f aca="false">J6*J7/100</f>
        <v>358679.151924468</v>
      </c>
      <c r="K8" s="0" t="n">
        <f aca="false">K6*K7/100</f>
        <v>367646.130722579</v>
      </c>
      <c r="L8" s="0" t="n">
        <f aca="false">L6*L7/100</f>
        <v>376837.283990644</v>
      </c>
    </row>
    <row r="9" customFormat="false" ht="15" hidden="false" customHeight="false" outlineLevel="0" collapsed="false">
      <c r="A9" s="0" t="s">
        <v>97</v>
      </c>
      <c r="C9" s="4" t="n">
        <f aca="false">Assumptions!C43</f>
        <v>0</v>
      </c>
      <c r="D9" s="4" t="n">
        <f aca="false">Assumptions!D43</f>
        <v>0</v>
      </c>
      <c r="E9" s="4" t="n">
        <f aca="false">Assumptions!E43</f>
        <v>0</v>
      </c>
      <c r="F9" s="4" t="n">
        <f aca="false">Assumptions!F43</f>
        <v>0</v>
      </c>
      <c r="G9" s="4" t="n">
        <f aca="false">Assumptions!G43</f>
        <v>0</v>
      </c>
      <c r="H9" s="4" t="n">
        <f aca="false">Assumptions!H43</f>
        <v>0</v>
      </c>
      <c r="I9" s="4" t="n">
        <f aca="false">Assumptions!I43</f>
        <v>0</v>
      </c>
      <c r="J9" s="4" t="n">
        <f aca="false">Assumptions!J43</f>
        <v>0</v>
      </c>
      <c r="K9" s="4" t="n">
        <f aca="false">Assumptions!K43</f>
        <v>0</v>
      </c>
      <c r="L9" s="4" t="n">
        <f aca="false">Assumptions!L43</f>
        <v>0</v>
      </c>
    </row>
    <row r="10" customFormat="false" ht="15" hidden="false" customHeight="false" outlineLevel="0" collapsed="false">
      <c r="A10" s="0" t="s">
        <v>112</v>
      </c>
      <c r="C10" s="0" t="n">
        <f aca="false">-C6*C9/100</f>
        <v>-0</v>
      </c>
      <c r="D10" s="0" t="n">
        <f aca="false">-D6*D9/100</f>
        <v>-0</v>
      </c>
      <c r="E10" s="0" t="n">
        <f aca="false">-E6*E9/100</f>
        <v>-0</v>
      </c>
      <c r="F10" s="0" t="n">
        <f aca="false">-F6*F9/100</f>
        <v>-0</v>
      </c>
      <c r="G10" s="0" t="n">
        <f aca="false">-G6*G9/100</f>
        <v>-0</v>
      </c>
      <c r="H10" s="0" t="n">
        <f aca="false">-H6*H9/100</f>
        <v>-0</v>
      </c>
      <c r="I10" s="0" t="n">
        <f aca="false">-I6*I9/100</f>
        <v>-0</v>
      </c>
      <c r="J10" s="0" t="n">
        <f aca="false">-J6*J9/100</f>
        <v>-0</v>
      </c>
      <c r="K10" s="0" t="n">
        <f aca="false">-K6*K9/100</f>
        <v>-0</v>
      </c>
      <c r="L10" s="0" t="n">
        <f aca="false">-L6*L9/100</f>
        <v>-0</v>
      </c>
    </row>
    <row r="11" customFormat="false" ht="15" hidden="false" customHeight="false" outlineLevel="0" collapsed="false">
      <c r="A11" s="0" t="s">
        <v>113</v>
      </c>
      <c r="C11" s="0" t="n">
        <f aca="false">C8+C10+C24</f>
        <v>295857.549</v>
      </c>
      <c r="D11" s="0" t="n">
        <f aca="false">D8+D10+D24</f>
        <v>297022.3425</v>
      </c>
      <c r="E11" s="0" t="n">
        <f aca="false">E8+E10+E24</f>
        <v>306432.0103104</v>
      </c>
      <c r="F11" s="0" t="n">
        <f aca="false">F8+F10+F24</f>
        <v>318689.290722816</v>
      </c>
      <c r="G11" s="0" t="n">
        <f aca="false">G8+G10+G24</f>
        <v>327183.388350549</v>
      </c>
      <c r="H11" s="0" t="n">
        <f aca="false">H8+H10+H24</f>
        <v>334259.061627073</v>
      </c>
      <c r="I11" s="0" t="n">
        <f aca="false">I8+I10+I24</f>
        <v>344286.833475885</v>
      </c>
      <c r="J11" s="0" t="n">
        <f aca="false">J8+J10+J24</f>
        <v>352894.004312783</v>
      </c>
      <c r="K11" s="0" t="n">
        <f aca="false">K8+K10+K24</f>
        <v>361716.354420602</v>
      </c>
      <c r="L11" s="0" t="n">
        <f aca="false">L8+L10+L24</f>
        <v>370759.263281117</v>
      </c>
    </row>
    <row r="12" customFormat="false" ht="15" hidden="false" customHeight="false" outlineLevel="0" collapsed="false">
      <c r="A12" s="0" t="s">
        <v>114</v>
      </c>
      <c r="C12" s="4" t="n">
        <f aca="false">-C6*Assumptions!C45/100</f>
        <v>-90853.893</v>
      </c>
      <c r="D12" s="4" t="n">
        <f aca="false">-D6*Assumptions!D45/100</f>
        <v>-95047.1496</v>
      </c>
      <c r="E12" s="4" t="n">
        <f aca="false">-E6*Assumptions!E45/100</f>
        <v>-98849.035584</v>
      </c>
      <c r="F12" s="4" t="n">
        <f aca="false">-F6*Assumptions!F45/100</f>
        <v>-102802.99700736</v>
      </c>
      <c r="G12" s="4" t="n">
        <f aca="false">-G6*Assumptions!G45/100</f>
        <v>-106401.101902618</v>
      </c>
      <c r="H12" s="4" t="n">
        <f aca="false">-H6*Assumptions!H45/100</f>
        <v>-109593.134959696</v>
      </c>
      <c r="I12" s="4" t="n">
        <f aca="false">-I6*Assumptions!I45/100</f>
        <v>-112880.929008487</v>
      </c>
      <c r="J12" s="4" t="n">
        <f aca="false">-J6*Assumptions!J45/100</f>
        <v>-115702.952233699</v>
      </c>
      <c r="K12" s="4" t="n">
        <f aca="false">-K6*Assumptions!K45/100</f>
        <v>-118595.526039542</v>
      </c>
      <c r="L12" s="4" t="n">
        <f aca="false">-L6*Assumptions!L45/100</f>
        <v>-121560.41419053</v>
      </c>
    </row>
    <row r="13" customFormat="false" ht="15" hidden="false" customHeight="false" outlineLevel="0" collapsed="false">
      <c r="A13" s="0" t="s">
        <v>115</v>
      </c>
      <c r="C13" s="0" t="n">
        <f aca="false">C11+C12</f>
        <v>205003.656</v>
      </c>
      <c r="D13" s="0" t="n">
        <f aca="false">D11+D12</f>
        <v>201975.1929</v>
      </c>
      <c r="E13" s="0" t="n">
        <f aca="false">E11+E12</f>
        <v>207582.9747264</v>
      </c>
      <c r="F13" s="0" t="n">
        <f aca="false">F11+F12</f>
        <v>215886.293715456</v>
      </c>
      <c r="G13" s="0" t="n">
        <f aca="false">G11+G12</f>
        <v>220782.286447932</v>
      </c>
      <c r="H13" s="0" t="n">
        <f aca="false">H11+H12</f>
        <v>224665.926667377</v>
      </c>
      <c r="I13" s="0" t="n">
        <f aca="false">I11+I12</f>
        <v>231405.904467398</v>
      </c>
      <c r="J13" s="0" t="n">
        <f aca="false">J11+J12</f>
        <v>237191.052079083</v>
      </c>
      <c r="K13" s="0" t="n">
        <f aca="false">K11+K12</f>
        <v>243120.82838106</v>
      </c>
      <c r="L13" s="0" t="n">
        <f aca="false">L11+L12</f>
        <v>249198.849090587</v>
      </c>
    </row>
    <row r="14" customFormat="false" ht="15" hidden="false" customHeight="false" outlineLevel="0" collapsed="false">
      <c r="A14" s="0" t="s">
        <v>101</v>
      </c>
      <c r="C14" s="4" t="n">
        <f aca="false">Assumptions!C47</f>
        <v>28</v>
      </c>
      <c r="D14" s="4" t="n">
        <f aca="false">Assumptions!D47</f>
        <v>28</v>
      </c>
      <c r="E14" s="4" t="n">
        <f aca="false">Assumptions!E47</f>
        <v>28</v>
      </c>
      <c r="F14" s="4" t="n">
        <f aca="false">Assumptions!F47</f>
        <v>28</v>
      </c>
      <c r="G14" s="4" t="n">
        <f aca="false">Assumptions!G47</f>
        <v>28</v>
      </c>
      <c r="H14" s="4" t="n">
        <f aca="false">Assumptions!H47</f>
        <v>28</v>
      </c>
      <c r="I14" s="4" t="n">
        <f aca="false">Assumptions!I47</f>
        <v>28</v>
      </c>
      <c r="J14" s="4" t="n">
        <f aca="false">Assumptions!J47</f>
        <v>28</v>
      </c>
      <c r="K14" s="4" t="n">
        <f aca="false">Assumptions!K47</f>
        <v>28</v>
      </c>
      <c r="L14" s="4" t="n">
        <f aca="false">Assumptions!L47</f>
        <v>28</v>
      </c>
    </row>
    <row r="15" customFormat="false" ht="15" hidden="false" customHeight="false" outlineLevel="0" collapsed="false">
      <c r="A15" s="0" t="s">
        <v>116</v>
      </c>
      <c r="C15" s="0" t="n">
        <f aca="false">C13-MAX(0,C13)*C14/100</f>
        <v>147602.63232</v>
      </c>
      <c r="D15" s="0" t="n">
        <f aca="false">D13-MAX(0,D13)*D14/100</f>
        <v>145422.138888</v>
      </c>
      <c r="E15" s="0" t="n">
        <f aca="false">E13-MAX(0,E13)*E14/100</f>
        <v>149459.741803008</v>
      </c>
      <c r="F15" s="0" t="n">
        <f aca="false">F13-MAX(0,F13)*F14/100</f>
        <v>155438.131475128</v>
      </c>
      <c r="G15" s="0" t="n">
        <f aca="false">G13-MAX(0,G13)*G14/100</f>
        <v>158963.246242511</v>
      </c>
      <c r="H15" s="0" t="n">
        <f aca="false">H13-MAX(0,H13)*H14/100</f>
        <v>161759.467200511</v>
      </c>
      <c r="I15" s="0" t="n">
        <f aca="false">I13-MAX(0,I13)*I14/100</f>
        <v>166612.251216527</v>
      </c>
      <c r="J15" s="0" t="n">
        <f aca="false">J13-MAX(0,J13)*J14/100</f>
        <v>170777.55749694</v>
      </c>
      <c r="K15" s="0" t="n">
        <f aca="false">K13-MAX(0,K13)*K14/100</f>
        <v>175046.996434363</v>
      </c>
      <c r="L15" s="0" t="n">
        <f aca="false">L13-MAX(0,L13)*L14/100</f>
        <v>179423.171345223</v>
      </c>
    </row>
    <row r="16" customFormat="false" ht="15" hidden="false" customHeight="false" outlineLevel="0" collapsed="false">
      <c r="A16" s="0" t="s">
        <v>117</v>
      </c>
      <c r="C16" s="0" t="n">
        <f aca="false">-C12</f>
        <v>90853.893</v>
      </c>
      <c r="D16" s="0" t="n">
        <f aca="false">-D12</f>
        <v>95047.1496</v>
      </c>
      <c r="E16" s="0" t="n">
        <f aca="false">-E12</f>
        <v>98849.035584</v>
      </c>
      <c r="F16" s="0" t="n">
        <f aca="false">-F12</f>
        <v>102802.99700736</v>
      </c>
      <c r="G16" s="0" t="n">
        <f aca="false">-G12</f>
        <v>106401.101902618</v>
      </c>
      <c r="H16" s="0" t="n">
        <f aca="false">-H12</f>
        <v>109593.134959696</v>
      </c>
      <c r="I16" s="0" t="n">
        <f aca="false">-I12</f>
        <v>112880.929008487</v>
      </c>
      <c r="J16" s="0" t="n">
        <f aca="false">-J12</f>
        <v>115702.952233699</v>
      </c>
      <c r="K16" s="0" t="n">
        <f aca="false">-K12</f>
        <v>118595.526039542</v>
      </c>
      <c r="L16" s="0" t="n">
        <f aca="false">-L12</f>
        <v>121560.41419053</v>
      </c>
    </row>
    <row r="17" customFormat="false" ht="15" hidden="false" customHeight="false" outlineLevel="0" collapsed="false">
      <c r="A17" s="0" t="s">
        <v>118</v>
      </c>
      <c r="C17" s="4" t="n">
        <f aca="false">-C6*Assumptions!C46/100</f>
        <v>-111820.176</v>
      </c>
      <c r="D17" s="4" t="n">
        <f aca="false">-D6*Assumptions!D46/100</f>
        <v>-123561.29448</v>
      </c>
      <c r="E17" s="4" t="n">
        <f aca="false">-E6*Assumptions!E46/100</f>
        <v>-128503.7462592</v>
      </c>
      <c r="F17" s="4" t="n">
        <f aca="false">-F6*Assumptions!F46/100</f>
        <v>-133643.896109568</v>
      </c>
      <c r="G17" s="4" t="n">
        <f aca="false">-G6*Assumptions!G46/100</f>
        <v>-138321.432473403</v>
      </c>
      <c r="H17" s="4" t="n">
        <f aca="false">-H6*Assumptions!H46/100</f>
        <v>-142471.075447605</v>
      </c>
      <c r="I17" s="4" t="n">
        <f aca="false">-I6*Assumptions!I46/100</f>
        <v>-146745.207711033</v>
      </c>
      <c r="J17" s="4" t="n">
        <f aca="false">-J6*Assumptions!J46/100</f>
        <v>-150413.837903809</v>
      </c>
      <c r="K17" s="4" t="n">
        <f aca="false">-K6*Assumptions!K46/100</f>
        <v>-154174.183851404</v>
      </c>
      <c r="L17" s="4" t="n">
        <f aca="false">-L6*Assumptions!L46/100</f>
        <v>-158028.538447689</v>
      </c>
    </row>
    <row r="18" customFormat="false" ht="15" hidden="false" customHeight="false" outlineLevel="0" collapsed="false">
      <c r="A18" s="0" t="s">
        <v>119</v>
      </c>
      <c r="C18" s="4" t="n">
        <f aca="false">(C6-B6)*Assumptions!$B$51/100</f>
        <v>0</v>
      </c>
      <c r="D18" s="4" t="n">
        <f aca="false">(D6-C6)*Assumptions!$B$51/100</f>
        <v>0</v>
      </c>
      <c r="E18" s="4" t="n">
        <f aca="false">(E6-D6)*Assumptions!$B$51/100</f>
        <v>0</v>
      </c>
      <c r="F18" s="4" t="n">
        <f aca="false">(F6-E6)*Assumptions!$B$51/100</f>
        <v>0</v>
      </c>
      <c r="G18" s="4" t="n">
        <f aca="false">(G6-F6)*Assumptions!$B$51/100</f>
        <v>0</v>
      </c>
      <c r="H18" s="4" t="n">
        <f aca="false">(H6-G6)*Assumptions!$B$51/100</f>
        <v>0</v>
      </c>
      <c r="I18" s="4" t="n">
        <f aca="false">(I6-H6)*Assumptions!$B$51/100</f>
        <v>0</v>
      </c>
      <c r="J18" s="4" t="n">
        <f aca="false">(J6-I6)*Assumptions!$B$51/100</f>
        <v>0</v>
      </c>
      <c r="K18" s="4" t="n">
        <f aca="false">(K6-J6)*Assumptions!$B$51/100</f>
        <v>0</v>
      </c>
      <c r="L18" s="4" t="n">
        <f aca="false">(L6-K6)*Assumptions!$B$51/100</f>
        <v>0</v>
      </c>
    </row>
    <row r="19" customFormat="false" ht="15" hidden="false" customHeight="false" outlineLevel="0" collapsed="false">
      <c r="A19" s="0" t="s">
        <v>120</v>
      </c>
      <c r="C19" s="0" t="n">
        <f aca="false">C15+C16+C17+C18</f>
        <v>126636.34932</v>
      </c>
      <c r="D19" s="0" t="n">
        <f aca="false">D15+D16+D17+D18</f>
        <v>116907.994008</v>
      </c>
      <c r="E19" s="0" t="n">
        <f aca="false">E15+E16+E17+E18</f>
        <v>119805.031127808</v>
      </c>
      <c r="F19" s="0" t="n">
        <f aca="false">F15+F16+F17+F18</f>
        <v>124597.23237292</v>
      </c>
      <c r="G19" s="0" t="n">
        <f aca="false">G15+G16+G17+G18</f>
        <v>127042.915671725</v>
      </c>
      <c r="H19" s="0" t="n">
        <f aca="false">H15+H16+H17+H18</f>
        <v>128881.526712603</v>
      </c>
      <c r="I19" s="0" t="n">
        <f aca="false">I15+I16+I17+I18</f>
        <v>132747.972513981</v>
      </c>
      <c r="J19" s="0" t="n">
        <f aca="false">J15+J16+J17+J18</f>
        <v>136066.67182683</v>
      </c>
      <c r="K19" s="0" t="n">
        <f aca="false">K15+K16+K17+K18</f>
        <v>139468.338622501</v>
      </c>
      <c r="L19" s="0" t="n">
        <f aca="false">L15+L16+L17+L18</f>
        <v>142955.047088064</v>
      </c>
    </row>
    <row r="20" customFormat="false" ht="15" hidden="false" customHeight="false" outlineLevel="0" collapsed="false">
      <c r="A20" s="0" t="s">
        <v>121</v>
      </c>
      <c r="C20" s="0" t="n">
        <f aca="false">1/(1+$B$27/100)^C4</f>
        <v>0.91743119266055</v>
      </c>
      <c r="D20" s="0" t="n">
        <f aca="false">1/(1+$B$27/100)^D4</f>
        <v>0.84167999326656</v>
      </c>
      <c r="E20" s="0" t="n">
        <f aca="false">1/(1+$B$27/100)^E4</f>
        <v>0.772183480061064</v>
      </c>
      <c r="F20" s="0" t="n">
        <f aca="false">1/(1+$B$27/100)^F4</f>
        <v>0.708425211065196</v>
      </c>
      <c r="G20" s="0" t="n">
        <f aca="false">1/(1+$B$27/100)^G4</f>
        <v>0.649931386298345</v>
      </c>
      <c r="H20" s="0" t="n">
        <f aca="false">1/(1+$B$27/100)^H4</f>
        <v>0.596267326879216</v>
      </c>
      <c r="I20" s="0" t="n">
        <f aca="false">1/(1+$B$27/100)^I4</f>
        <v>0.547034244843317</v>
      </c>
      <c r="J20" s="0" t="n">
        <f aca="false">1/(1+$B$27/100)^J4</f>
        <v>0.501866279672768</v>
      </c>
      <c r="K20" s="0" t="n">
        <f aca="false">1/(1+$B$27/100)^K4</f>
        <v>0.460427779516301</v>
      </c>
      <c r="L20" s="0" t="n">
        <f aca="false">1/(1+$B$27/100)^L4</f>
        <v>0.422410806895689</v>
      </c>
    </row>
    <row r="21" customFormat="false" ht="15" hidden="false" customHeight="false" outlineLevel="0" collapsed="false">
      <c r="A21" s="0" t="s">
        <v>122</v>
      </c>
      <c r="C21" s="0" t="n">
        <f aca="false">C19*C20</f>
        <v>116180.136990826</v>
      </c>
      <c r="D21" s="0" t="n">
        <f aca="false">D19*D20</f>
        <v>98399.1196094605</v>
      </c>
      <c r="E21" s="0" t="n">
        <f aca="false">E19*E20</f>
        <v>92511.4658650949</v>
      </c>
      <c r="F21" s="0" t="n">
        <f aca="false">F19*F20</f>
        <v>88267.8206419254</v>
      </c>
      <c r="G21" s="0" t="n">
        <f aca="false">G19*G20</f>
        <v>82569.1783019083</v>
      </c>
      <c r="H21" s="0" t="n">
        <f aca="false">H19*H20</f>
        <v>76847.8434170358</v>
      </c>
      <c r="I21" s="0" t="n">
        <f aca="false">I19*I20</f>
        <v>72617.6868986669</v>
      </c>
      <c r="J21" s="0" t="n">
        <f aca="false">J19*J20</f>
        <v>68287.2743771867</v>
      </c>
      <c r="K21" s="0" t="n">
        <f aca="false">K19*K20</f>
        <v>64215.0974647857</v>
      </c>
      <c r="L21" s="0" t="n">
        <f aca="false">L19*L20</f>
        <v>60385.7567902801</v>
      </c>
    </row>
    <row r="23" customFormat="false" ht="15" hidden="false" customHeight="false" outlineLevel="0" collapsed="false">
      <c r="A23" s="0" t="s">
        <v>98</v>
      </c>
      <c r="C23" s="4" t="n">
        <f aca="false">Assumptions!C44</f>
        <v>1</v>
      </c>
      <c r="D23" s="4" t="n">
        <f aca="false">Assumptions!D44</f>
        <v>1</v>
      </c>
      <c r="E23" s="4" t="n">
        <f aca="false">Assumptions!E44</f>
        <v>1</v>
      </c>
      <c r="F23" s="4" t="n">
        <f aca="false">Assumptions!F44</f>
        <v>1</v>
      </c>
      <c r="G23" s="4" t="n">
        <f aca="false">Assumptions!G44</f>
        <v>1</v>
      </c>
      <c r="H23" s="4" t="n">
        <f aca="false">Assumptions!H44</f>
        <v>1</v>
      </c>
      <c r="I23" s="4" t="n">
        <f aca="false">Assumptions!I44</f>
        <v>1</v>
      </c>
      <c r="J23" s="4" t="n">
        <f aca="false">Assumptions!J44</f>
        <v>1</v>
      </c>
      <c r="K23" s="4" t="n">
        <f aca="false">Assumptions!K44</f>
        <v>1</v>
      </c>
      <c r="L23" s="4" t="n">
        <f aca="false">Assumptions!L44</f>
        <v>1</v>
      </c>
    </row>
    <row r="24" customFormat="false" ht="15" hidden="false" customHeight="false" outlineLevel="0" collapsed="false">
      <c r="A24" s="0" t="s">
        <v>123</v>
      </c>
      <c r="C24" s="0" t="n">
        <f aca="false">-C6*C23/100</f>
        <v>-4659.174</v>
      </c>
      <c r="D24" s="0" t="n">
        <f aca="false">-D6*D23/100</f>
        <v>-4752.35748</v>
      </c>
      <c r="E24" s="0" t="n">
        <f aca="false">-E6*E23/100</f>
        <v>-4942.4517792</v>
      </c>
      <c r="F24" s="0" t="n">
        <f aca="false">-F6*F23/100</f>
        <v>-5140.149850368</v>
      </c>
      <c r="G24" s="0" t="n">
        <f aca="false">-G6*G23/100</f>
        <v>-5320.05509513088</v>
      </c>
      <c r="H24" s="0" t="n">
        <f aca="false">-H6*H23/100</f>
        <v>-5479.65674798481</v>
      </c>
      <c r="I24" s="0" t="n">
        <f aca="false">-I6*I23/100</f>
        <v>-5644.04645042435</v>
      </c>
      <c r="J24" s="0" t="n">
        <f aca="false">-J6*J23/100</f>
        <v>-5785.14761168496</v>
      </c>
      <c r="K24" s="0" t="n">
        <f aca="false">-K6*K23/100</f>
        <v>-5929.77630197708</v>
      </c>
      <c r="L24" s="0" t="n">
        <f aca="false">-L6*L23/100</f>
        <v>-6078.02070952651</v>
      </c>
    </row>
    <row r="26" customFormat="false" ht="15" hidden="false" customHeight="false" outlineLevel="0" collapsed="false">
      <c r="A26" s="2" t="s">
        <v>124</v>
      </c>
    </row>
    <row r="27" customFormat="false" ht="15" hidden="false" customHeight="false" outlineLevel="0" collapsed="false">
      <c r="A27" s="0" t="s">
        <v>102</v>
      </c>
      <c r="B27" s="4" t="n">
        <f aca="false">Assumptions!$B$48</f>
        <v>9</v>
      </c>
    </row>
    <row r="28" customFormat="false" ht="15" hidden="false" customHeight="false" outlineLevel="0" collapsed="false">
      <c r="A28" s="0" t="s">
        <v>103</v>
      </c>
      <c r="B28" s="4" t="n">
        <f aca="false">Assumptions!$B$49</f>
        <v>2.5</v>
      </c>
    </row>
    <row r="29" customFormat="false" ht="15" hidden="false" customHeight="false" outlineLevel="0" collapsed="false">
      <c r="A29" s="0" t="s">
        <v>104</v>
      </c>
      <c r="B29" s="4" t="n">
        <f aca="false">Assumptions!$B$50</f>
        <v>12</v>
      </c>
    </row>
    <row r="30" customFormat="false" ht="15" hidden="false" customHeight="false" outlineLevel="0" collapsed="false">
      <c r="A30" s="0" t="s">
        <v>125</v>
      </c>
      <c r="B30" s="0" t="n">
        <f aca="false">SUM(C21:L21)</f>
        <v>820281.38035717</v>
      </c>
    </row>
    <row r="31" customFormat="false" ht="15" hidden="false" customHeight="false" outlineLevel="0" collapsed="false">
      <c r="A31" s="0" t="s">
        <v>126</v>
      </c>
      <c r="B31" s="0" t="n">
        <f aca="false">L19</f>
        <v>142955.047088064</v>
      </c>
    </row>
    <row r="32" customFormat="false" ht="15" hidden="false" customHeight="false" outlineLevel="0" collapsed="false">
      <c r="A32" s="0" t="s">
        <v>127</v>
      </c>
      <c r="B32" s="0" t="n">
        <f aca="false">IF(B27&gt;B28,B31*(1+B28/100)/((B27-B28)/100),B31*B29)</f>
        <v>2254291.12715792</v>
      </c>
    </row>
    <row r="33" customFormat="false" ht="15" hidden="false" customHeight="false" outlineLevel="0" collapsed="false">
      <c r="A33" s="0" t="s">
        <v>128</v>
      </c>
      <c r="B33" s="0" t="n">
        <f aca="false">B31*B29</f>
        <v>1715460.56505676</v>
      </c>
    </row>
    <row r="34" customFormat="false" ht="15" hidden="false" customHeight="false" outlineLevel="0" collapsed="false">
      <c r="A34" s="0" t="s">
        <v>129</v>
      </c>
      <c r="B34" s="0" t="n">
        <f aca="false">MAX(0,MIN(B32,B33))</f>
        <v>1715460.56505676</v>
      </c>
    </row>
    <row r="35" customFormat="false" ht="15" hidden="false" customHeight="false" outlineLevel="0" collapsed="false">
      <c r="A35" s="0" t="s">
        <v>130</v>
      </c>
      <c r="B35" s="0" t="n">
        <f aca="false">B34/(1+B27/100)^L4</f>
        <v>724629.081483361</v>
      </c>
    </row>
    <row r="36" customFormat="false" ht="15" hidden="false" customHeight="false" outlineLevel="0" collapsed="false">
      <c r="A36" s="0" t="s">
        <v>131</v>
      </c>
      <c r="B36" s="0" t="n">
        <f aca="false">B30+B35</f>
        <v>1544910.46184053</v>
      </c>
    </row>
    <row r="37" customFormat="false" ht="15" hidden="false" customHeight="false" outlineLevel="0" collapsed="false">
      <c r="A37" s="0" t="s">
        <v>132</v>
      </c>
      <c r="B37" s="0" t="n">
        <f aca="false">B36+Assumptions!$B$5-Assumptions!$B$4</f>
        <v>1631529.46184053</v>
      </c>
    </row>
    <row r="38" customFormat="false" ht="15" hidden="false" customHeight="false" outlineLevel="0" collapsed="false">
      <c r="A38" s="0" t="s">
        <v>133</v>
      </c>
      <c r="B38" s="0" t="n">
        <f aca="false">B37/Assumptions!$B$3*Assumptions!$B$10</f>
        <v>40.2339055961065</v>
      </c>
    </row>
    <row r="39" customFormat="false" ht="15" hidden="false" customHeight="false" outlineLevel="0" collapsed="false">
      <c r="A39" s="0" t="s">
        <v>134</v>
      </c>
      <c r="B39" s="4" t="n">
        <f aca="false">B38/Assumptions!$B$2-1</f>
        <v>0.683427012389395</v>
      </c>
    </row>
    <row r="41" customFormat="false" ht="15" hidden="false" customHeight="false" outlineLevel="0" collapsed="false">
      <c r="A41" s="0" t="s">
        <v>135</v>
      </c>
      <c r="B41" s="0" t="n">
        <f aca="false">SUMPRODUCT(-C10:L10/(1+$B$27/100)^C4:L4)</f>
        <v>0</v>
      </c>
    </row>
    <row r="42" customFormat="false" ht="15" hidden="false" customHeight="false" outlineLevel="0" collapsed="false">
      <c r="A42" s="0" t="s">
        <v>136</v>
      </c>
      <c r="B42" s="0" t="n">
        <f aca="false">IF(B27&gt;B28,-L10*(1+B28/100)/((B27-B28)/100),-L10*20)/(1+B27/100)^L4</f>
        <v>0</v>
      </c>
    </row>
    <row r="43" customFormat="false" ht="15" hidden="false" customHeight="false" outlineLevel="0" collapsed="false">
      <c r="A43" s="0" t="s">
        <v>137</v>
      </c>
      <c r="B43" s="0" t="n">
        <f aca="false">(B37+B41+B42)/Assumptions!$B$3*Assumptions!$B$10</f>
        <v>40.2339055961065</v>
      </c>
    </row>
    <row r="45" customFormat="false" ht="15" hidden="false" customHeight="false" outlineLevel="0" collapsed="false">
      <c r="A45" s="0" t="s">
        <v>78</v>
      </c>
      <c r="B45" s="4" t="n">
        <f aca="false">Assumptions!$B$6</f>
        <v>15</v>
      </c>
    </row>
    <row r="46" customFormat="false" ht="15" hidden="false" customHeight="false" outlineLevel="0" collapsed="false">
      <c r="A46" s="0" t="s">
        <v>138</v>
      </c>
      <c r="B46" s="0" t="n">
        <f aca="false">MAX(0,MIN(IF(B45&gt;B28,B31*(1+B28/100)/((B45-B28)/100),B31*B29),B31*B29))</f>
        <v>1172231.38612212</v>
      </c>
    </row>
    <row r="47" customFormat="false" ht="15" hidden="false" customHeight="false" outlineLevel="0" collapsed="false">
      <c r="A47" s="0" t="s">
        <v>139</v>
      </c>
      <c r="B47" s="0" t="n">
        <f aca="false">(SUMPRODUCT(C19:L19/(1+B45/100)^C4:L4)+B46/(1+B45/100)^L4+Assumptions!$B$5-Assumptions!$B$4)/Assumptions!$B$3*Assumptions!$B$10</f>
        <v>24.9846721618655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60"/>
  </cols>
  <sheetData>
    <row r="1" customFormat="false" ht="15" hidden="false" customHeight="false" outlineLevel="0" collapsed="false">
      <c r="A1" s="2" t="s">
        <v>142</v>
      </c>
    </row>
    <row r="3" customFormat="false" ht="15" hidden="false" customHeight="false" outlineLevel="0" collapsed="false">
      <c r="A3" s="2" t="s">
        <v>143</v>
      </c>
      <c r="B3" s="2" t="s">
        <v>144</v>
      </c>
      <c r="C3" s="2" t="s">
        <v>134</v>
      </c>
      <c r="D3" s="2" t="s">
        <v>145</v>
      </c>
      <c r="E3" s="2" t="s">
        <v>137</v>
      </c>
      <c r="F3" s="2" t="s">
        <v>146</v>
      </c>
    </row>
    <row r="4" customFormat="false" ht="15" hidden="false" customHeight="false" outlineLevel="0" collapsed="false">
      <c r="A4" s="0" t="s">
        <v>147</v>
      </c>
      <c r="B4" s="4" t="n">
        <f aca="false">DCF_Bear!$B$38</f>
        <v>20.2943272938722</v>
      </c>
      <c r="C4" s="0" t="n">
        <f aca="false">B4/Assumptions!$B$2-1</f>
        <v>-0.150864966783591</v>
      </c>
      <c r="D4" s="4" t="n">
        <f aca="false">Assumptions!$B$24</f>
        <v>0.25</v>
      </c>
      <c r="E4" s="4" t="n">
        <f aca="false">DCF_Bear!$B$43</f>
        <v>20.2943272938722</v>
      </c>
      <c r="F4" s="4" t="n">
        <f aca="false">DCF_Bear!$B$47</f>
        <v>13.781311355622</v>
      </c>
    </row>
    <row r="5" customFormat="false" ht="15" hidden="false" customHeight="false" outlineLevel="0" collapsed="false">
      <c r="A5" s="0" t="s">
        <v>148</v>
      </c>
      <c r="B5" s="4" t="n">
        <f aca="false">DCF_Base!$B$38</f>
        <v>31.3280478804619</v>
      </c>
      <c r="C5" s="0" t="n">
        <f aca="false">B5/Assumptions!$B$2-1</f>
        <v>0.310796982446105</v>
      </c>
      <c r="D5" s="4" t="n">
        <f aca="false">Assumptions!$B$38</f>
        <v>0.5</v>
      </c>
      <c r="E5" s="4" t="n">
        <f aca="false">DCF_Base!$B$43</f>
        <v>31.3280478804619</v>
      </c>
      <c r="F5" s="4" t="n">
        <f aca="false">DCF_Base!$B$47</f>
        <v>19.5427583053479</v>
      </c>
    </row>
    <row r="6" customFormat="false" ht="15" hidden="false" customHeight="false" outlineLevel="0" collapsed="false">
      <c r="A6" s="0" t="s">
        <v>149</v>
      </c>
      <c r="B6" s="4" t="n">
        <f aca="false">DCF_Bull!$B$38</f>
        <v>40.2339055961065</v>
      </c>
      <c r="C6" s="0" t="n">
        <f aca="false">B6/Assumptions!$B$2-1</f>
        <v>0.683427012389395</v>
      </c>
      <c r="D6" s="4" t="n">
        <f aca="false">Assumptions!$B$52</f>
        <v>0.25</v>
      </c>
      <c r="E6" s="4" t="n">
        <f aca="false">DCF_Bull!$B$43</f>
        <v>40.2339055961065</v>
      </c>
      <c r="F6" s="4" t="n">
        <f aca="false">DCF_Bull!$B$47</f>
        <v>24.9846721618655</v>
      </c>
    </row>
    <row r="8" customFormat="false" ht="15" hidden="false" customHeight="false" outlineLevel="0" collapsed="false">
      <c r="A8" s="0" t="s">
        <v>150</v>
      </c>
      <c r="B8" s="0" t="n">
        <f aca="false">SUMPRODUCT(B4:B6,D4:D6)</f>
        <v>30.7960821627256</v>
      </c>
    </row>
    <row r="9" customFormat="false" ht="15" hidden="false" customHeight="false" outlineLevel="0" collapsed="false">
      <c r="A9" s="0" t="s">
        <v>151</v>
      </c>
      <c r="B9" s="0" t="n">
        <f aca="false">SUMPRODUCT(E4:E6,D4:D6)</f>
        <v>30.7960821627256</v>
      </c>
    </row>
    <row r="10" customFormat="false" ht="15" hidden="false" customHeight="false" outlineLevel="0" collapsed="false">
      <c r="A10" s="0" t="s">
        <v>152</v>
      </c>
      <c r="B10" s="0" t="n">
        <f aca="false">1-Assumptions!$B$2/B8</f>
        <v>0.223927255625795</v>
      </c>
    </row>
    <row r="11" customFormat="false" ht="15" hidden="false" customHeight="false" outlineLevel="0" collapsed="false">
      <c r="A11" s="0" t="s">
        <v>153</v>
      </c>
      <c r="B11" s="0" t="str">
        <f aca="false">IF(ABS(B9-B8)&gt;0.01*ABS(B8),(Assumptions!$B$2-B8)/(B9-B8)*100,"n/a")</f>
        <v>n/a</v>
      </c>
    </row>
    <row r="12" customFormat="false" ht="15" hidden="false" customHeight="false" outlineLevel="0" collapsed="false">
      <c r="A12" s="0" t="s">
        <v>154</v>
      </c>
      <c r="B12" s="0" t="n">
        <f aca="false">SUMPRODUCT(F4:F6,D4:D6)</f>
        <v>19.4628750320458</v>
      </c>
    </row>
    <row r="14" customFormat="false" ht="15" hidden="false" customHeight="false" outlineLevel="0" collapsed="false">
      <c r="A14" s="2" t="s">
        <v>155</v>
      </c>
      <c r="C14" s="0" t="s">
        <v>156</v>
      </c>
    </row>
    <row r="15" customFormat="false" ht="15" hidden="false" customHeight="false" outlineLevel="0" collapsed="false">
      <c r="A15" s="0" t="s">
        <v>157</v>
      </c>
      <c r="B15" s="0" t="n">
        <f aca="false">(SUMPRODUCT(DCF_Base!$C$19:$L$19/(1+$C$15/100)^DCF_Base!$C$4:$L$4)+MAX(0,MIN(IF($C$15&gt;DCF_Base!$B$28,DCF_Base!$L$19*(1+DCF_Base!$B$28/100)/(($C$15-DCF_Base!$B$28)/100),DCF_Base!$L$19*DCF_Base!$B$29),DCF_Base!$L$19*DCF_Base!$B$29))/(1+$C$15/100)^DCF_Base!$L$4+Assumptions!$B$5-Assumptions!$B$4)/Assumptions!$B$3*Assumptions!$B$10</f>
        <v>31.3280478804619</v>
      </c>
      <c r="C15" s="3" t="n">
        <v>9</v>
      </c>
    </row>
    <row r="16" customFormat="false" ht="15" hidden="false" customHeight="false" outlineLevel="0" collapsed="false">
      <c r="A16" s="0" t="s">
        <v>158</v>
      </c>
      <c r="B16" s="0" t="n">
        <f aca="false">(SUMPRODUCT(DCF_Base!$C$19:$L$19/(1+$C$16/100)^DCF_Base!$C$4:$L$4)+MAX(0,MIN(IF($C$16&gt;DCF_Base!$B$28,DCF_Base!$L$19*(1+DCF_Base!$B$28/100)/(($C$16-DCF_Base!$B$28)/100),DCF_Base!$L$19*DCF_Base!$B$29),DCF_Base!$L$19*DCF_Base!$B$29))/(1+$C$16/100)^DCF_Base!$L$4+Assumptions!$B$5-Assumptions!$B$4)/Assumptions!$B$3*Assumptions!$B$10</f>
        <v>29.4746295318324</v>
      </c>
      <c r="C16" s="3" t="n">
        <v>10</v>
      </c>
    </row>
    <row r="17" customFormat="false" ht="15" hidden="false" customHeight="false" outlineLevel="0" collapsed="false">
      <c r="A17" s="0" t="s">
        <v>159</v>
      </c>
      <c r="B17" s="0" t="n">
        <f aca="false">(SUMPRODUCT(DCF_Base!$C$19:$L$19/(1+$C$17/100)^DCF_Base!$C$4:$L$4)+MAX(0,MIN(IF($C$17&gt;DCF_Base!$B$28,DCF_Base!$L$19*(1+DCF_Base!$B$28/100)/(($C$17-DCF_Base!$B$28)/100),DCF_Base!$L$19*DCF_Base!$B$29),DCF_Base!$L$19*DCF_Base!$B$29))/(1+$C$17/100)^DCF_Base!$L$4+Assumptions!$B$5-Assumptions!$B$4)/Assumptions!$B$3*Assumptions!$B$10</f>
        <v>27.1524019191776</v>
      </c>
      <c r="C17" s="3" t="n">
        <v>11</v>
      </c>
    </row>
    <row r="18" customFormat="false" ht="15" hidden="false" customHeight="false" outlineLevel="0" collapsed="false">
      <c r="A18" s="0" t="s">
        <v>160</v>
      </c>
      <c r="B18" s="0" t="n">
        <f aca="false">(SUMPRODUCT(DCF_Base!$C$19:$L$19/(1+$C$18/100)^DCF_Base!$C$4:$L$4)+MAX(0,MIN(IF($C$18&gt;DCF_Base!$B$28,DCF_Base!$L$19*(1+DCF_Base!$B$28/100)/(($C$18-DCF_Base!$B$28)/100),DCF_Base!$L$19*DCF_Base!$B$29),DCF_Base!$L$19*DCF_Base!$B$29))/(1+$C$18/100)^DCF_Base!$L$4+Assumptions!$B$5-Assumptions!$B$4)/Assumptions!$B$3*Assumptions!$B$10</f>
        <v>24.6787439797179</v>
      </c>
      <c r="C18" s="3" t="n">
        <v>12</v>
      </c>
    </row>
    <row r="19" customFormat="false" ht="15" hidden="false" customHeight="false" outlineLevel="0" collapsed="false">
      <c r="A19" s="0" t="s">
        <v>161</v>
      </c>
      <c r="B19" s="0" t="n">
        <f aca="false">(SUMPRODUCT(DCF_Base!$C$19:$L$19/(1+$C$19/100)^DCF_Base!$C$4:$L$4)+MAX(0,MIN(IF($C$19&gt;DCF_Base!$B$28,DCF_Base!$L$19*(1+DCF_Base!$B$28/100)/(($C$19-DCF_Base!$B$28)/100),DCF_Base!$L$19*DCF_Base!$B$29),DCF_Base!$L$19*DCF_Base!$B$29))/(1+$C$19/100)^DCF_Base!$L$4+Assumptions!$B$5-Assumptions!$B$4)/Assumptions!$B$3*Assumptions!$B$10</f>
        <v>19.5427583053479</v>
      </c>
      <c r="C19" s="3" t="n">
        <v>15</v>
      </c>
    </row>
    <row r="21" customFormat="false" ht="15" hidden="false" customHeight="false" outlineLevel="0" collapsed="false">
      <c r="A21" s="2" t="s">
        <v>162</v>
      </c>
    </row>
    <row r="22" customFormat="false" ht="15" hidden="false" customHeight="false" outlineLevel="0" collapsed="false">
      <c r="B22" s="3" t="n">
        <v>1</v>
      </c>
      <c r="C22" s="3" t="n">
        <v>1.5</v>
      </c>
      <c r="D22" s="3" t="n">
        <v>2</v>
      </c>
      <c r="E22" s="3" t="n">
        <v>2.5</v>
      </c>
      <c r="F22" s="3" t="n">
        <v>3</v>
      </c>
    </row>
    <row r="23" customFormat="false" ht="15" hidden="false" customHeight="false" outlineLevel="0" collapsed="false">
      <c r="A23" s="3" t="n">
        <v>7</v>
      </c>
      <c r="B23" s="0" t="n">
        <f aca="false">(SUMPRODUCT(DCF_Base!$C$19:$L$19/(1+$A$23/100)^DCF_Base!$C$4:$L$4)+MAX(0,MIN(IF($A$23&gt;$B$22,DCF_Base!$L$19*(1+$B$22/100)/(($A$23-$B$22)/100),DCF_Base!$L$19*DCF_Base!$B$29),DCF_Base!$L$19*DCF_Base!$B$29))/(1+$A$23/100)^DCF_Base!$L$4+Assumptions!$B$5-Assumptions!$B$4)/Assumptions!$B$3*Assumptions!$B$10</f>
        <v>35.5752324296496</v>
      </c>
      <c r="C23" s="0" t="n">
        <f aca="false">(SUMPRODUCT(DCF_Base!$C$19:$L$19/(1+$A$23/100)^DCF_Base!$C$4:$L$4)+MAX(0,MIN(IF($A$23&gt;$C$22,DCF_Base!$L$19*(1+$C$22/100)/(($A$23-$C$22)/100),DCF_Base!$L$19*DCF_Base!$B$29),DCF_Base!$L$19*DCF_Base!$B$29))/(1+$A$23/100)^DCF_Base!$L$4+Assumptions!$B$5-Assumptions!$B$4)/Assumptions!$B$3*Assumptions!$B$10</f>
        <v>35.5752324296496</v>
      </c>
      <c r="D23" s="0" t="n">
        <f aca="false">(SUMPRODUCT(DCF_Base!$C$19:$L$19/(1+$A$23/100)^DCF_Base!$C$4:$L$4)+MAX(0,MIN(IF($A$23&gt;$D$22,DCF_Base!$L$19*(1+$D$22/100)/(($A$23-$D$22)/100),DCF_Base!$L$19*DCF_Base!$B$29),DCF_Base!$L$19*DCF_Base!$B$29))/(1+$A$23/100)^DCF_Base!$L$4+Assumptions!$B$5-Assumptions!$B$4)/Assumptions!$B$3*Assumptions!$B$10</f>
        <v>35.5752324296496</v>
      </c>
      <c r="E23" s="0" t="n">
        <f aca="false">(SUMPRODUCT(DCF_Base!$C$19:$L$19/(1+$A$23/100)^DCF_Base!$C$4:$L$4)+MAX(0,MIN(IF($A$23&gt;$E$22,DCF_Base!$L$19*(1+$E$22/100)/(($A$23-$E$22)/100),DCF_Base!$L$19*DCF_Base!$B$29),DCF_Base!$L$19*DCF_Base!$B$29))/(1+$A$23/100)^DCF_Base!$L$4+Assumptions!$B$5-Assumptions!$B$4)/Assumptions!$B$3*Assumptions!$B$10</f>
        <v>35.5752324296496</v>
      </c>
      <c r="F23" s="0" t="n">
        <f aca="false">(SUMPRODUCT(DCF_Base!$C$19:$L$19/(1+$A$23/100)^DCF_Base!$C$4:$L$4)+MAX(0,MIN(IF($A$23&gt;$F$22,DCF_Base!$L$19*(1+$F$22/100)/(($A$23-$F$22)/100),DCF_Base!$L$19*DCF_Base!$B$29),DCF_Base!$L$19*DCF_Base!$B$29))/(1+$A$23/100)^DCF_Base!$L$4+Assumptions!$B$5-Assumptions!$B$4)/Assumptions!$B$3*Assumptions!$B$10</f>
        <v>35.5752324296496</v>
      </c>
    </row>
    <row r="24" customFormat="false" ht="15" hidden="false" customHeight="false" outlineLevel="0" collapsed="false">
      <c r="A24" s="3" t="n">
        <v>8</v>
      </c>
      <c r="B24" s="0" t="n">
        <f aca="false">(SUMPRODUCT(DCF_Base!$C$19:$L$19/(1+$A$24/100)^DCF_Base!$C$4:$L$4)+MAX(0,MIN(IF($A$24&gt;$B$22,DCF_Base!$L$19*(1+$B$22/100)/(($A$24-$B$22)/100),DCF_Base!$L$19*DCF_Base!$B$29),DCF_Base!$L$19*DCF_Base!$B$29))/(1+$A$24/100)^DCF_Base!$L$4+Assumptions!$B$5-Assumptions!$B$4)/Assumptions!$B$3*Assumptions!$B$10</f>
        <v>33.3552230642279</v>
      </c>
      <c r="C24" s="0" t="n">
        <f aca="false">(SUMPRODUCT(DCF_Base!$C$19:$L$19/(1+$A$24/100)^DCF_Base!$C$4:$L$4)+MAX(0,MIN(IF($A$24&gt;$C$22,DCF_Base!$L$19*(1+$C$22/100)/(($A$24-$C$22)/100),DCF_Base!$L$19*DCF_Base!$B$29),DCF_Base!$L$19*DCF_Base!$B$29))/(1+$A$24/100)^DCF_Base!$L$4+Assumptions!$B$5-Assumptions!$B$4)/Assumptions!$B$3*Assumptions!$B$10</f>
        <v>33.3552230642279</v>
      </c>
      <c r="D24" s="0" t="n">
        <f aca="false">(SUMPRODUCT(DCF_Base!$C$19:$L$19/(1+$A$24/100)^DCF_Base!$C$4:$L$4)+MAX(0,MIN(IF($A$24&gt;$D$22,DCF_Base!$L$19*(1+$D$22/100)/(($A$24-$D$22)/100),DCF_Base!$L$19*DCF_Base!$B$29),DCF_Base!$L$19*DCF_Base!$B$29))/(1+$A$24/100)^DCF_Base!$L$4+Assumptions!$B$5-Assumptions!$B$4)/Assumptions!$B$3*Assumptions!$B$10</f>
        <v>33.3552230642279</v>
      </c>
      <c r="E24" s="0" t="n">
        <f aca="false">(SUMPRODUCT(DCF_Base!$C$19:$L$19/(1+$A$24/100)^DCF_Base!$C$4:$L$4)+MAX(0,MIN(IF($A$24&gt;$E$22,DCF_Base!$L$19*(1+$E$22/100)/(($A$24-$E$22)/100),DCF_Base!$L$19*DCF_Base!$B$29),DCF_Base!$L$19*DCF_Base!$B$29))/(1+$A$24/100)^DCF_Base!$L$4+Assumptions!$B$5-Assumptions!$B$4)/Assumptions!$B$3*Assumptions!$B$10</f>
        <v>33.3552230642279</v>
      </c>
      <c r="F24" s="0" t="n">
        <f aca="false">(SUMPRODUCT(DCF_Base!$C$19:$L$19/(1+$A$24/100)^DCF_Base!$C$4:$L$4)+MAX(0,MIN(IF($A$24&gt;$F$22,DCF_Base!$L$19*(1+$F$22/100)/(($A$24-$F$22)/100),DCF_Base!$L$19*DCF_Base!$B$29),DCF_Base!$L$19*DCF_Base!$B$29))/(1+$A$24/100)^DCF_Base!$L$4+Assumptions!$B$5-Assumptions!$B$4)/Assumptions!$B$3*Assumptions!$B$10</f>
        <v>33.3552230642279</v>
      </c>
    </row>
    <row r="25" customFormat="false" ht="15" hidden="false" customHeight="false" outlineLevel="0" collapsed="false">
      <c r="A25" s="3" t="n">
        <v>9</v>
      </c>
      <c r="B25" s="0" t="n">
        <f aca="false">(SUMPRODUCT(DCF_Base!$C$19:$L$19/(1+$A$25/100)^DCF_Base!$C$4:$L$4)+MAX(0,MIN(IF($A$25&gt;$B$22,DCF_Base!$L$19*(1+$B$22/100)/(($A$25-$B$22)/100),DCF_Base!$L$19*DCF_Base!$B$29),DCF_Base!$L$19*DCF_Base!$B$29))/(1+$A$25/100)^DCF_Base!$L$4+Assumptions!$B$5-Assumptions!$B$4)/Assumptions!$B$3*Assumptions!$B$10</f>
        <v>31.3280478804619</v>
      </c>
      <c r="C25" s="0" t="n">
        <f aca="false">(SUMPRODUCT(DCF_Base!$C$19:$L$19/(1+$A$25/100)^DCF_Base!$C$4:$L$4)+MAX(0,MIN(IF($A$25&gt;$C$22,DCF_Base!$L$19*(1+$C$22/100)/(($A$25-$C$22)/100),DCF_Base!$L$19*DCF_Base!$B$29),DCF_Base!$L$19*DCF_Base!$B$29))/(1+$A$25/100)^DCF_Base!$L$4+Assumptions!$B$5-Assumptions!$B$4)/Assumptions!$B$3*Assumptions!$B$10</f>
        <v>31.3280478804619</v>
      </c>
      <c r="D25" s="0" t="n">
        <f aca="false">(SUMPRODUCT(DCF_Base!$C$19:$L$19/(1+$A$25/100)^DCF_Base!$C$4:$L$4)+MAX(0,MIN(IF($A$25&gt;$D$22,DCF_Base!$L$19*(1+$D$22/100)/(($A$25-$D$22)/100),DCF_Base!$L$19*DCF_Base!$B$29),DCF_Base!$L$19*DCF_Base!$B$29))/(1+$A$25/100)^DCF_Base!$L$4+Assumptions!$B$5-Assumptions!$B$4)/Assumptions!$B$3*Assumptions!$B$10</f>
        <v>31.3280478804619</v>
      </c>
      <c r="E25" s="0" t="n">
        <f aca="false">(SUMPRODUCT(DCF_Base!$C$19:$L$19/(1+$A$25/100)^DCF_Base!$C$4:$L$4)+MAX(0,MIN(IF($A$25&gt;$E$22,DCF_Base!$L$19*(1+$E$22/100)/(($A$25-$E$22)/100),DCF_Base!$L$19*DCF_Base!$B$29),DCF_Base!$L$19*DCF_Base!$B$29))/(1+$A$25/100)^DCF_Base!$L$4+Assumptions!$B$5-Assumptions!$B$4)/Assumptions!$B$3*Assumptions!$B$10</f>
        <v>31.3280478804619</v>
      </c>
      <c r="F25" s="0" t="n">
        <f aca="false">(SUMPRODUCT(DCF_Base!$C$19:$L$19/(1+$A$25/100)^DCF_Base!$C$4:$L$4)+MAX(0,MIN(IF($A$25&gt;$F$22,DCF_Base!$L$19*(1+$F$22/100)/(($A$25-$F$22)/100),DCF_Base!$L$19*DCF_Base!$B$29),DCF_Base!$L$19*DCF_Base!$B$29))/(1+$A$25/100)^DCF_Base!$L$4+Assumptions!$B$5-Assumptions!$B$4)/Assumptions!$B$3*Assumptions!$B$10</f>
        <v>31.3280478804619</v>
      </c>
    </row>
    <row r="26" customFormat="false" ht="15" hidden="false" customHeight="false" outlineLevel="0" collapsed="false">
      <c r="A26" s="3" t="n">
        <v>10</v>
      </c>
      <c r="B26" s="0" t="n">
        <f aca="false">(SUMPRODUCT(DCF_Base!$C$19:$L$19/(1+$A$26/100)^DCF_Base!$C$4:$L$4)+MAX(0,MIN(IF($A$26&gt;$B$22,DCF_Base!$L$19*(1+$B$22/100)/(($A$26-$B$22)/100),DCF_Base!$L$19*DCF_Base!$B$29),DCF_Base!$L$19*DCF_Base!$B$29))/(1+$A$26/100)^DCF_Base!$L$4+Assumptions!$B$5-Assumptions!$B$4)/Assumptions!$B$3*Assumptions!$B$10</f>
        <v>28.6756806176596</v>
      </c>
      <c r="C26" s="0" t="n">
        <f aca="false">(SUMPRODUCT(DCF_Base!$C$19:$L$19/(1+$A$26/100)^DCF_Base!$C$4:$L$4)+MAX(0,MIN(IF($A$26&gt;$C$22,DCF_Base!$L$19*(1+$C$22/100)/(($A$26-$C$22)/100),DCF_Base!$L$19*DCF_Base!$B$29),DCF_Base!$L$19*DCF_Base!$B$29))/(1+$A$26/100)^DCF_Base!$L$4+Assumptions!$B$5-Assumptions!$B$4)/Assumptions!$B$3*Assumptions!$B$10</f>
        <v>29.4142048240378</v>
      </c>
      <c r="D26" s="0" t="n">
        <f aca="false">(SUMPRODUCT(DCF_Base!$C$19:$L$19/(1+$A$26/100)^DCF_Base!$C$4:$L$4)+MAX(0,MIN(IF($A$26&gt;$D$22,DCF_Base!$L$19*(1+$D$22/100)/(($A$26-$D$22)/100),DCF_Base!$L$19*DCF_Base!$B$29),DCF_Base!$L$19*DCF_Base!$B$29))/(1+$A$26/100)^DCF_Base!$L$4+Assumptions!$B$5-Assumptions!$B$4)/Assumptions!$B$3*Assumptions!$B$10</f>
        <v>29.4746295318324</v>
      </c>
      <c r="E26" s="0" t="n">
        <f aca="false">(SUMPRODUCT(DCF_Base!$C$19:$L$19/(1+$A$26/100)^DCF_Base!$C$4:$L$4)+MAX(0,MIN(IF($A$26&gt;$E$22,DCF_Base!$L$19*(1+$E$22/100)/(($A$26-$E$22)/100),DCF_Base!$L$19*DCF_Base!$B$29),DCF_Base!$L$19*DCF_Base!$B$29))/(1+$A$26/100)^DCF_Base!$L$4+Assumptions!$B$5-Assumptions!$B$4)/Assumptions!$B$3*Assumptions!$B$10</f>
        <v>29.4746295318324</v>
      </c>
      <c r="F26" s="0" t="n">
        <f aca="false">(SUMPRODUCT(DCF_Base!$C$19:$L$19/(1+$A$26/100)^DCF_Base!$C$4:$L$4)+MAX(0,MIN(IF($A$26&gt;$F$22,DCF_Base!$L$19*(1+$F$22/100)/(($A$26-$F$22)/100),DCF_Base!$L$19*DCF_Base!$B$29),DCF_Base!$L$19*DCF_Base!$B$29))/(1+$A$26/100)^DCF_Base!$L$4+Assumptions!$B$5-Assumptions!$B$4)/Assumptions!$B$3*Assumptions!$B$10</f>
        <v>29.4746295318324</v>
      </c>
    </row>
    <row r="27" customFormat="false" ht="15" hidden="false" customHeight="false" outlineLevel="0" collapsed="false">
      <c r="A27" s="3" t="n">
        <v>11</v>
      </c>
      <c r="B27" s="0" t="n">
        <f aca="false">(SUMPRODUCT(DCF_Base!$C$19:$L$19/(1+$A$27/100)^DCF_Base!$C$4:$L$4)+MAX(0,MIN(IF($A$27&gt;$B$22,DCF_Base!$L$19*(1+$B$22/100)/(($A$27-$B$22)/100),DCF_Base!$L$19*DCF_Base!$B$29),DCF_Base!$L$19*DCF_Base!$B$29))/(1+$A$27/100)^DCF_Base!$L$4+Assumptions!$B$5-Assumptions!$B$4)/Assumptions!$B$3*Assumptions!$B$10</f>
        <v>25.9951150825496</v>
      </c>
      <c r="C27" s="0" t="n">
        <f aca="false">(SUMPRODUCT(DCF_Base!$C$19:$L$19/(1+$A$27/100)^DCF_Base!$C$4:$L$4)+MAX(0,MIN(IF($A$27&gt;$C$22,DCF_Base!$L$19*(1+$C$22/100)/(($A$27-$C$22)/100),DCF_Base!$L$19*DCF_Base!$B$29),DCF_Base!$L$19*DCF_Base!$B$29))/(1+$A$27/100)^DCF_Base!$L$4+Assumptions!$B$5-Assumptions!$B$4)/Assumptions!$B$3*Assumptions!$B$10</f>
        <v>26.5433035841103</v>
      </c>
      <c r="D27" s="0" t="n">
        <f aca="false">(SUMPRODUCT(DCF_Base!$C$19:$L$19/(1+$A$27/100)^DCF_Base!$C$4:$L$4)+MAX(0,MIN(IF($A$27&gt;$D$22,DCF_Base!$L$19*(1+$D$22/100)/(($A$27-$D$22)/100),DCF_Base!$L$19*DCF_Base!$B$29),DCF_Base!$L$19*DCF_Base!$B$29))/(1+$A$27/100)^DCF_Base!$L$4+Assumptions!$B$5-Assumptions!$B$4)/Assumptions!$B$3*Assumptions!$B$10</f>
        <v>27.1524019191776</v>
      </c>
      <c r="E27" s="0" t="n">
        <f aca="false">(SUMPRODUCT(DCF_Base!$C$19:$L$19/(1+$A$27/100)^DCF_Base!$C$4:$L$4)+MAX(0,MIN(IF($A$27&gt;$E$22,DCF_Base!$L$19*(1+$E$22/100)/(($A$27-$E$22)/100),DCF_Base!$L$19*DCF_Base!$B$29),DCF_Base!$L$19*DCF_Base!$B$29))/(1+$A$27/100)^DCF_Base!$L$4+Assumptions!$B$5-Assumptions!$B$4)/Assumptions!$B$3*Assumptions!$B$10</f>
        <v>27.777962371409</v>
      </c>
      <c r="F27" s="0" t="n">
        <f aca="false">(SUMPRODUCT(DCF_Base!$C$19:$L$19/(1+$A$27/100)^DCF_Base!$C$4:$L$4)+MAX(0,MIN(IF($A$27&gt;$F$22,DCF_Base!$L$19*(1+$F$22/100)/(($A$27-$F$22)/100),DCF_Base!$L$19*DCF_Base!$B$29),DCF_Base!$L$19*DCF_Base!$B$29))/(1+$A$27/100)^DCF_Base!$L$4+Assumptions!$B$5-Assumptions!$B$4)/Assumptions!$B$3*Assumptions!$B$10</f>
        <v>27.777962371409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LibreOffice/26.2.5.2$MacOSX_AARCH64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2026-10-11T10:05:44Z</dcterms:created>
  <dc:creator>openpyxl</dc:creator>
  <dc:description/>
  <dc:language>en-NZ</dc:language>
  <cp:lastModifiedBy/>
  <dcterms:modified xsi:type="dcterms:W3CDTF">2026-10-11T10:05:44Z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