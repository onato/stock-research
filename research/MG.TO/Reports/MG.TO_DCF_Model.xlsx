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<sst xmlns="http://schemas.openxmlformats.org/spreadsheetml/2006/main" count="360" uniqueCount="166">
  <si>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</si>
  <si>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MG.TO</t>
  </si>
  <si>
    <t xml:space="preserve">Company</t>
  </si>
  <si>
    <t xml:space="preserve">Magna International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</si>
  <si>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</si>
  <si>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</si>
  <si>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</si>
  <si>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</si>
  <si>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</si>
  <si>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</si>
  <si>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</si>
  <si>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</si>
  <si>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</si>
  <si>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</si>
  <si>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</si>
  <si>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</si>
  <si>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</si>
  <si>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</si>
  <si>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</si>
  <si>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</si>
  <si>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</si>
  <si>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</si>
  <si>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2026-10-10T09:17:56Z</t>
  </si>
  <si>
    <t xml:space="preserve">Drivers file</t>
  </si>
  <si>
    <t xml:space="preserve">MG.TO_Drivers.json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</si>
  <si>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</si>
  <si>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</si>
  <si>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</si>
  <si>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Magna on mid-cycle owner cash flow, not on the FY2025 reported trough (2.0% net margin, depressed by US$736M of Other expense) and not on the FY2017-18 peak. Recurring restructuring is charged as a cost, the cyclicality sits in the probability-weighted flows and a 12x terminal cap, and the WACC carries no extra premium.
key_risks_to_valuation: The terminal value is capped at 12x FCF in every scenario (Gordon at 9.5%/2% would be ~13.6x), so the value is sensitive to the cap multiple a cyclical supplier can command; Customer concentration (GM, Mercedes-Benz, Ford, BMW, VW, Stellantis) and Chinese-OEM share gains; USMCA annual review and Section 232/IEEPA tariff regime changes; Recurring 'Other expense' (restructuring/impairments) running above the 0.35%-of-sales haircut; USD/CAD moves change the CAD value one-for-one; the rate is static between refreshes</t>
  </si>
  <si>
    <t xml:space="preserve">Data sources</t>
  </si>
  <si>
    <t xml:space="preserve">price: Yahoo Finance chart API (MG.TO, CAD) at inputs.price_as_of; 52-week range 60.67-101.10; MGA (NYSE) and CAD=X used for the parity check in inputs.fx_note
financials: MG.TO_Metrics.csv (core_metrics, USD millions); Q2-2026 quarterly report (balance sheet 2026-06-30, cash flow, subsequent-event buyback); FY2025 annual report (SBC, capex lines, cash taxes US$610M, interest income)
qualitative: MG.TO_Analysis.json (2026-10-10): FY2026 guidance as raised at Q2 2026 (sales US$41.3-42.5bn, Adjusted EBIT 6.3-6.6%, FCF US$1.75-1.85bn), risks, bull/bear case</t>
  </si>
  <si>
    <t xml:space="preserve">Scenario narrative: bear</t>
  </si>
  <si>
    <t xml:space="preserve">A North American volume shock (USMCA non-renewal path, Section 232 tariffs hitting affordability) plus more Detroit EV-program cancellations cut sales ~5% in FY2027 and take Adjusted EBIT to a FY2022-type ~4.6%. Chinese OEMs keep taking share from GM, Mercedes, BMW, VW and Stellantis faster than Magna can win COEM work, so mid-cycle margins settle at ~5.4%, i.e. the FY2023-25 trough becomes the norm, and capex intensity stays high to defend programs.</t>
  </si>
  <si>
    <t xml:space="preserve">Scenario narrative: base</t>
  </si>
  <si>
    <t xml:space="preserve">Magna delivers its raised FY2026 guide (sales ~US$41.9bn, Adjusted EBIT ~6.4%, FCF ~US$1.8bn), absorbs the Lighting/Rooftop exit in FY2027, and grows 3-3.5% for a few years as European and North American light-vehicle production edges off its lows and ADAS/eDrive content outgrows the market by 1-3pp. Cost programs (MAFACT, 'Most Impactful Divisions') lift Adjusted EBIT to ~6.9%, mid-cycle rather than the 2017-18 peak; restructuring keeps recurring at ~0.35% of sales. Tariffs stay largely recovered from OEMs; USMCA stays in annual review without a rupture.</t>
  </si>
  <si>
    <t xml:space="preserve">Scenario narrative: bull</t>
  </si>
  <si>
    <t xml:space="preserve">European volumes recover toward pre-COVID levels, the Chery/XPENG/GAC wins become a real Chinese-OEM channel, and Power &amp; Vision's ADAS/electrification mix keeps compounding, so sales grow 4-5% and Adjusted EBIT returns to ~7.9% (FY2017-18). EV-program recoveries from GM/Ford are fully collected, buybacks keep shrinking the count, and the November 2026 investor day adds an adjacent-market (robotics/automation) option the base gives no credit for.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</si>
  <si>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</si>
  <si>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</si>
  <si>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</si>
  <si>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</si>
  <si>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</si>
  <si>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</si>
  <si>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</si>
  <si>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</si>
  <si>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</si>
  <si>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</si>
  <si>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</si>
  <si>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</si>
  <si>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</si>
  <si>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</si>
  <si>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</si>
  <si>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</si>
  <si>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</si>
  <si>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</si>
  <si>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</si>
  <si>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</si>
  <si>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</si>
  <si>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</si>
  <si>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</si>
  <si>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</si>
  <si>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</si>
  <si>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</si>
  <si>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</si>
  <si>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</si>
  <si>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</si>
  <si>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</si>
  <si>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</si>
  <si>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</si>
  <si>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</si>
  <si>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</si>
  <si>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</si>
  <si>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</si>
  <si>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</si>
  <si>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</si>
  <si>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</si>
  <si>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</si>
  <si>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</si>
  <si>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</si>
  <si>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</si>
  <si>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</si>
  <si>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</si>
  <si>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</si>
  <si>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</si>
  <si>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</si>
  <si>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</si>
  <si>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</si>
  <si>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</si>
  <si>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</si>
  <si>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</si>
  <si>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</si>
  <si>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</si>
  <si>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</si>
  <si>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</si>
  <si>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</si>
  <si>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</si>
  <si>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</si>
  <si>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</si>
  <si>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</si>
  <si>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</si>
  <si>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</si>
  <si>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</si>
  <si>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</si>
  <si>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</si>
  <si>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</si>
  <si>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</si>
  <si>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</si>
  <si>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</si>
  <si>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</si>
  <si>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</si>
  <si>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</si>
  <si>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MG.TO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</si>
  <si>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</si>
  <si>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</si>
  <si>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</si>
  <si>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</si>
  <si>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</si>
  <si>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</si>
  <si>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</si>
  <si>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</si>
  <si>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</si>
  <si>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</si>
  <si>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</si>
  <si>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</si>
  <si>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</si>
  <si>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</si>
  <si>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</si>
  <si>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</si>
  <si>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</si>
  <si>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</si>
  <si>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</si>
  <si>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</si>
  <si>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</si>
  <si>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</si>
  <si>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</si>
  <si>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</si>
  <si>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</si>
  <si>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</si>
  <si>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</si>
  <si>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</si>
  <si>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</si>
  <si>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</si>
  <si>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MG.TO owner-FCF component DCF: base case (millions, USD)</t>
  </si>
  <si>
    <t xml:space="preserve">MG.TO owner-FCF component DCF: bull case (millions, USD)</t>
  </si>
  <si>
    <t xml:space="preserve">MG.TO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</si>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</sst>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91.24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36445</v>
      </c>
      <c r="C2" s="0" t="n">
        <v>31123</v>
      </c>
      <c r="D2" s="0" t="n">
        <v>5322</v>
      </c>
      <c r="E2" s="0" t="n">
        <v>14.6</v>
      </c>
      <c r="F2" s="0" t="n">
        <v>2868</v>
      </c>
      <c r="G2" s="0" t="n">
        <v>7.9</v>
      </c>
      <c r="H2" s="0" t="n">
        <v>3924</v>
      </c>
      <c r="I2" s="0" t="n">
        <v>2031</v>
      </c>
      <c r="J2" s="0" t="n">
        <v>5.6</v>
      </c>
      <c r="K2" s="0" t="n">
        <v>5.16</v>
      </c>
      <c r="L2" s="0" t="n">
        <v>3386</v>
      </c>
      <c r="M2" s="0" t="n">
        <v>1807</v>
      </c>
      <c r="N2" s="0" t="n">
        <v>1579</v>
      </c>
      <c r="O2" s="0" t="n">
        <v>9768</v>
      </c>
      <c r="P2" s="0" t="n">
        <v>22566</v>
      </c>
      <c r="Q2" s="0" t="n">
        <v>12347</v>
      </c>
      <c r="R2" s="0" t="n">
        <v>3156</v>
      </c>
      <c r="S2" s="0" t="n">
        <v>974</v>
      </c>
      <c r="T2" s="0" t="n">
        <v>393.2</v>
      </c>
      <c r="W2" s="0" t="n">
        <v>3954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38946</v>
      </c>
      <c r="C3" s="0" t="n">
        <v>33258</v>
      </c>
      <c r="D3" s="0" t="n">
        <v>5688</v>
      </c>
      <c r="E3" s="0" t="n">
        <v>14.6</v>
      </c>
      <c r="F3" s="0" t="n">
        <v>3069</v>
      </c>
      <c r="G3" s="0" t="n">
        <v>7.9</v>
      </c>
      <c r="H3" s="0" t="n">
        <v>4242</v>
      </c>
      <c r="I3" s="0" t="n">
        <v>2206</v>
      </c>
      <c r="J3" s="0" t="n">
        <v>5.7</v>
      </c>
      <c r="K3" s="0" t="n">
        <v>5.9</v>
      </c>
      <c r="L3" s="0" t="n">
        <v>3329</v>
      </c>
      <c r="M3" s="0" t="n">
        <v>1858</v>
      </c>
      <c r="N3" s="0" t="n">
        <v>1471</v>
      </c>
      <c r="O3" s="0" t="n">
        <v>11228</v>
      </c>
      <c r="P3" s="0" t="n">
        <v>25393</v>
      </c>
      <c r="Q3" s="0" t="n">
        <v>13661</v>
      </c>
      <c r="R3" s="0" t="n">
        <v>3562</v>
      </c>
      <c r="S3" s="0" t="n">
        <v>726</v>
      </c>
      <c r="T3" s="0" t="n">
        <v>373.9</v>
      </c>
      <c r="W3" s="0" t="n">
        <v>4281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40827</v>
      </c>
      <c r="C4" s="0" t="n">
        <v>35055</v>
      </c>
      <c r="D4" s="0" t="n">
        <v>5772</v>
      </c>
      <c r="E4" s="0" t="n">
        <v>14.1</v>
      </c>
      <c r="F4" s="0" t="n">
        <v>3044</v>
      </c>
      <c r="G4" s="0" t="n">
        <v>7.5</v>
      </c>
      <c r="H4" s="0" t="n">
        <v>4322</v>
      </c>
      <c r="I4" s="0" t="n">
        <v>2296</v>
      </c>
      <c r="J4" s="0" t="n">
        <v>5.6</v>
      </c>
      <c r="K4" s="0" t="n">
        <v>6.61</v>
      </c>
      <c r="L4" s="0" t="n">
        <v>3718</v>
      </c>
      <c r="M4" s="0" t="n">
        <v>1650</v>
      </c>
      <c r="N4" s="0" t="n">
        <v>2068</v>
      </c>
      <c r="O4" s="0" t="n">
        <v>10701</v>
      </c>
      <c r="P4" s="0" t="n">
        <v>25945</v>
      </c>
      <c r="Q4" s="0" t="n">
        <v>14786</v>
      </c>
      <c r="R4" s="0" t="n">
        <v>4383</v>
      </c>
      <c r="S4" s="0" t="n">
        <v>684</v>
      </c>
      <c r="T4" s="0" t="n">
        <v>347.5</v>
      </c>
      <c r="W4" s="0" t="n">
        <v>4385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39431</v>
      </c>
      <c r="C5" s="0" t="n">
        <v>34022</v>
      </c>
      <c r="D5" s="0" t="n">
        <v>5409</v>
      </c>
      <c r="E5" s="0" t="n">
        <v>13.7</v>
      </c>
      <c r="F5" s="0" t="n">
        <v>2305</v>
      </c>
      <c r="G5" s="0" t="n">
        <v>5.8</v>
      </c>
      <c r="H5" s="0" t="n">
        <v>3650</v>
      </c>
      <c r="I5" s="0" t="n">
        <v>1765</v>
      </c>
      <c r="J5" s="0" t="n">
        <v>4.5</v>
      </c>
      <c r="K5" s="0" t="n">
        <v>5.59</v>
      </c>
      <c r="L5" s="0" t="n">
        <v>3960</v>
      </c>
      <c r="M5" s="0" t="n">
        <v>1441</v>
      </c>
      <c r="N5" s="0" t="n">
        <v>2519</v>
      </c>
      <c r="O5" s="0" t="n">
        <v>10831</v>
      </c>
      <c r="P5" s="0" t="n">
        <v>25790</v>
      </c>
      <c r="Q5" s="0" t="n">
        <v>14659</v>
      </c>
      <c r="R5" s="0" t="n">
        <v>3168</v>
      </c>
      <c r="S5" s="0" t="n">
        <v>1276</v>
      </c>
      <c r="T5" s="0" t="n">
        <v>315.8</v>
      </c>
      <c r="W5" s="0" t="n">
        <v>3890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32647</v>
      </c>
      <c r="C6" s="0" t="n">
        <v>28207</v>
      </c>
      <c r="D6" s="0" t="n">
        <v>4440</v>
      </c>
      <c r="E6" s="0" t="n">
        <v>13.6</v>
      </c>
      <c r="F6" s="0" t="n">
        <v>1092</v>
      </c>
      <c r="G6" s="0" t="n">
        <v>3.3</v>
      </c>
      <c r="H6" s="0" t="n">
        <v>2458</v>
      </c>
      <c r="I6" s="0" t="n">
        <v>757</v>
      </c>
      <c r="J6" s="0" t="n">
        <v>2.3</v>
      </c>
      <c r="K6" s="0" t="n">
        <v>2.52</v>
      </c>
      <c r="L6" s="0" t="n">
        <v>3278</v>
      </c>
      <c r="M6" s="0" t="n">
        <v>1145</v>
      </c>
      <c r="N6" s="0" t="n">
        <v>2133</v>
      </c>
      <c r="O6" s="0" t="n">
        <v>11370</v>
      </c>
      <c r="P6" s="0" t="n">
        <v>28605</v>
      </c>
      <c r="Q6" s="0" t="n">
        <v>16885</v>
      </c>
      <c r="R6" s="0" t="n">
        <v>4102</v>
      </c>
      <c r="S6" s="0" t="n">
        <v>3268</v>
      </c>
      <c r="T6" s="0" t="n">
        <v>300.4</v>
      </c>
      <c r="U6" s="0" t="n">
        <v>35</v>
      </c>
      <c r="W6" s="0" t="n">
        <v>3042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36242</v>
      </c>
      <c r="C7" s="0" t="n">
        <v>31097</v>
      </c>
      <c r="D7" s="0" t="n">
        <v>5145</v>
      </c>
      <c r="E7" s="0" t="n">
        <v>14.2</v>
      </c>
      <c r="F7" s="0" t="n">
        <v>2026</v>
      </c>
      <c r="G7" s="0" t="n">
        <v>5.6</v>
      </c>
      <c r="H7" s="0" t="n">
        <v>3538</v>
      </c>
      <c r="I7" s="0" t="n">
        <v>1514</v>
      </c>
      <c r="J7" s="0" t="n">
        <v>4.2</v>
      </c>
      <c r="K7" s="0" t="n">
        <v>5</v>
      </c>
      <c r="L7" s="0" t="n">
        <v>2940</v>
      </c>
      <c r="M7" s="0" t="n">
        <v>1372</v>
      </c>
      <c r="N7" s="0" t="n">
        <v>1568</v>
      </c>
      <c r="O7" s="0" t="n">
        <v>11836</v>
      </c>
      <c r="P7" s="0" t="n">
        <v>29086</v>
      </c>
      <c r="Q7" s="0" t="n">
        <v>16861</v>
      </c>
      <c r="R7" s="0" t="n">
        <v>3993</v>
      </c>
      <c r="S7" s="0" t="n">
        <v>2948</v>
      </c>
      <c r="T7" s="0" t="n">
        <v>302.8</v>
      </c>
      <c r="U7" s="0" t="n">
        <v>20</v>
      </c>
      <c r="W7" s="0" t="n">
        <v>3576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37840</v>
      </c>
      <c r="C8" s="0" t="n">
        <v>33188</v>
      </c>
      <c r="D8" s="0" t="n">
        <v>4652</v>
      </c>
      <c r="E8" s="0" t="n">
        <v>12.3</v>
      </c>
      <c r="F8" s="0" t="n">
        <v>959</v>
      </c>
      <c r="G8" s="0" t="n">
        <v>2.5</v>
      </c>
      <c r="H8" s="0" t="n">
        <v>2378</v>
      </c>
      <c r="I8" s="0" t="n">
        <v>592</v>
      </c>
      <c r="J8" s="0" t="n">
        <v>1.6</v>
      </c>
      <c r="K8" s="0" t="n">
        <v>2.03</v>
      </c>
      <c r="L8" s="0" t="n">
        <v>2095</v>
      </c>
      <c r="M8" s="0" t="n">
        <v>1681</v>
      </c>
      <c r="N8" s="0" t="n">
        <v>414</v>
      </c>
      <c r="O8" s="0" t="n">
        <v>10935</v>
      </c>
      <c r="P8" s="0" t="n">
        <v>27789</v>
      </c>
      <c r="Q8" s="0" t="n">
        <v>16454</v>
      </c>
      <c r="R8" s="0" t="n">
        <v>3509</v>
      </c>
      <c r="S8" s="0" t="n">
        <v>1234</v>
      </c>
      <c r="T8" s="0" t="n">
        <v>291.2</v>
      </c>
      <c r="U8" s="0" t="n">
        <v>31</v>
      </c>
      <c r="W8" s="0" t="n">
        <v>3081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42797</v>
      </c>
      <c r="C9" s="0" t="n">
        <v>37185</v>
      </c>
      <c r="D9" s="0" t="n">
        <v>5612</v>
      </c>
      <c r="E9" s="0" t="n">
        <v>13.1</v>
      </c>
      <c r="F9" s="0" t="n">
        <v>1762</v>
      </c>
      <c r="G9" s="0" t="n">
        <v>4.1</v>
      </c>
      <c r="H9" s="0" t="n">
        <v>3286</v>
      </c>
      <c r="I9" s="0" t="n">
        <v>1213</v>
      </c>
      <c r="J9" s="0" t="n">
        <v>2.8</v>
      </c>
      <c r="K9" s="0" t="n">
        <v>4.23</v>
      </c>
      <c r="L9" s="0" t="n">
        <v>3149</v>
      </c>
      <c r="M9" s="0" t="n">
        <v>2500</v>
      </c>
      <c r="N9" s="0" t="n">
        <v>649</v>
      </c>
      <c r="O9" s="0" t="n">
        <v>11884</v>
      </c>
      <c r="P9" s="0" t="n">
        <v>32255</v>
      </c>
      <c r="Q9" s="0" t="n">
        <v>19978</v>
      </c>
      <c r="R9" s="0" t="n">
        <v>5505</v>
      </c>
      <c r="S9" s="0" t="n">
        <v>1198</v>
      </c>
      <c r="T9" s="0" t="n">
        <v>286.6</v>
      </c>
      <c r="U9" s="0" t="n">
        <v>45</v>
      </c>
      <c r="W9" s="0" t="n">
        <v>3674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42836</v>
      </c>
      <c r="C10" s="0" t="n">
        <v>37037</v>
      </c>
      <c r="D10" s="0" t="n">
        <v>5799</v>
      </c>
      <c r="E10" s="0" t="n">
        <v>13.5</v>
      </c>
      <c r="F10" s="0" t="n">
        <v>1753</v>
      </c>
      <c r="G10" s="0" t="n">
        <v>4.1</v>
      </c>
      <c r="H10" s="0" t="n">
        <v>3375</v>
      </c>
      <c r="I10" s="0" t="n">
        <v>1009</v>
      </c>
      <c r="J10" s="0" t="n">
        <v>2.4</v>
      </c>
      <c r="K10" s="0" t="n">
        <v>3.52</v>
      </c>
      <c r="L10" s="0" t="n">
        <v>3634</v>
      </c>
      <c r="M10" s="0" t="n">
        <v>2178</v>
      </c>
      <c r="N10" s="0" t="n">
        <v>1456</v>
      </c>
      <c r="O10" s="0" t="n">
        <v>11522</v>
      </c>
      <c r="P10" s="0" t="n">
        <v>31039</v>
      </c>
      <c r="Q10" s="0" t="n">
        <v>19099</v>
      </c>
      <c r="R10" s="0" t="n">
        <v>5113</v>
      </c>
      <c r="S10" s="0" t="n">
        <v>1247</v>
      </c>
      <c r="T10" s="0" t="n">
        <v>286.9</v>
      </c>
      <c r="U10" s="0" t="n">
        <v>49</v>
      </c>
      <c r="W10" s="0" t="n">
        <v>3839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42010</v>
      </c>
      <c r="C11" s="0" t="n">
        <v>36021</v>
      </c>
      <c r="D11" s="0" t="n">
        <v>5989</v>
      </c>
      <c r="E11" s="0" t="n">
        <v>14.3</v>
      </c>
      <c r="F11" s="0" t="n">
        <v>1517</v>
      </c>
      <c r="G11" s="0" t="n">
        <v>3.6</v>
      </c>
      <c r="H11" s="0" t="n">
        <v>3175</v>
      </c>
      <c r="I11" s="0" t="n">
        <v>829</v>
      </c>
      <c r="J11" s="0" t="n">
        <v>2</v>
      </c>
      <c r="K11" s="0" t="n">
        <v>2.93</v>
      </c>
      <c r="L11" s="0" t="n">
        <v>3598</v>
      </c>
      <c r="M11" s="0" t="n">
        <v>1313</v>
      </c>
      <c r="N11" s="0" t="n">
        <v>2285</v>
      </c>
      <c r="O11" s="0" t="n">
        <v>12493</v>
      </c>
      <c r="P11" s="0" t="n">
        <v>31417</v>
      </c>
      <c r="Q11" s="0" t="n">
        <v>18578</v>
      </c>
      <c r="R11" s="0" t="n">
        <v>4712</v>
      </c>
      <c r="S11" s="0" t="n">
        <v>1612</v>
      </c>
      <c r="T11" s="0" t="n">
        <v>282.5</v>
      </c>
      <c r="U11" s="0" t="n">
        <v>60</v>
      </c>
      <c r="W11" s="0" t="n">
        <v>3911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91.24</v>
      </c>
    </row>
    <row r="3" customFormat="false" ht="15" hidden="false" customHeight="false" outlineLevel="0" collapsed="false">
      <c r="A3" s="0" t="s">
        <v>77</v>
      </c>
      <c r="B3" s="3" t="n">
        <v>266</v>
      </c>
    </row>
    <row r="4" customFormat="false" ht="15" hidden="false" customHeight="false" outlineLevel="0" collapsed="false">
      <c r="A4" s="0" t="s">
        <v>78</v>
      </c>
      <c r="B4" s="3" t="n">
        <v>3374</v>
      </c>
    </row>
    <row r="5" customFormat="false" ht="15" hidden="false" customHeight="false" outlineLevel="0" collapsed="false">
      <c r="A5" s="0" t="s">
        <v>79</v>
      </c>
      <c r="B5" s="3" t="n">
        <v>-840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42010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1.4254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-0.8</v>
      </c>
      <c r="D13" s="3" t="n">
        <v>-5</v>
      </c>
      <c r="E13" s="3" t="n">
        <v>-2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9.8</v>
      </c>
      <c r="D14" s="3" t="n">
        <v>8.6</v>
      </c>
      <c r="E14" s="3" t="n">
        <v>8.8</v>
      </c>
      <c r="F14" s="3" t="n">
        <v>9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99</v>
      </c>
      <c r="C15" s="3" t="n">
        <v>0.18</v>
      </c>
      <c r="D15" s="3" t="n">
        <v>0.18</v>
      </c>
      <c r="E15" s="3" t="n">
        <v>0.18</v>
      </c>
      <c r="F15" s="3" t="n">
        <v>0.18</v>
      </c>
      <c r="G15" s="3" t="n">
        <v>0.18</v>
      </c>
      <c r="H15" s="3" t="n">
        <v>0.18</v>
      </c>
      <c r="I15" s="3" t="n">
        <v>0.18</v>
      </c>
      <c r="J15" s="3" t="n">
        <v>0.18</v>
      </c>
      <c r="K15" s="3" t="n">
        <v>0.18</v>
      </c>
      <c r="L15" s="3" t="n">
        <v>0.18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3.95</v>
      </c>
      <c r="D17" s="3" t="n">
        <v>4.1</v>
      </c>
      <c r="E17" s="3" t="n">
        <v>4.1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102</v>
      </c>
      <c r="C18" s="3" t="n">
        <v>3.8</v>
      </c>
      <c r="D18" s="3" t="n">
        <v>4</v>
      </c>
      <c r="E18" s="3" t="n">
        <v>4.2</v>
      </c>
      <c r="F18" s="3" t="n">
        <v>4.3</v>
      </c>
      <c r="G18" s="3" t="n">
        <v>4.3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103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-0.3</v>
      </c>
      <c r="D27" s="3" t="n">
        <v>1.5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10</v>
      </c>
      <c r="D28" s="3" t="n">
        <v>10.2</v>
      </c>
      <c r="E28" s="3" t="n">
        <v>10.4</v>
      </c>
      <c r="F28" s="3" t="n">
        <v>10.5</v>
      </c>
      <c r="G28" s="3" t="n">
        <v>10.5</v>
      </c>
      <c r="H28" s="3" t="n">
        <v>10.5</v>
      </c>
      <c r="I28" s="3" t="n">
        <v>10.5</v>
      </c>
      <c r="J28" s="3" t="n">
        <v>10.5</v>
      </c>
      <c r="K28" s="3" t="n">
        <v>10.5</v>
      </c>
      <c r="L28" s="3" t="n">
        <v>10.5</v>
      </c>
    </row>
    <row r="29" customFormat="false" ht="15" hidden="false" customHeight="false" outlineLevel="0" collapsed="false">
      <c r="A29" s="0" t="s">
        <v>99</v>
      </c>
      <c r="C29" s="3" t="n">
        <v>0.18</v>
      </c>
      <c r="D29" s="3" t="n">
        <v>0.18</v>
      </c>
      <c r="E29" s="3" t="n">
        <v>0.18</v>
      </c>
      <c r="F29" s="3" t="n">
        <v>0.18</v>
      </c>
      <c r="G29" s="3" t="n">
        <v>0.18</v>
      </c>
      <c r="H29" s="3" t="n">
        <v>0.18</v>
      </c>
      <c r="I29" s="3" t="n">
        <v>0.18</v>
      </c>
      <c r="J29" s="3" t="n">
        <v>0.18</v>
      </c>
      <c r="K29" s="3" t="n">
        <v>0.18</v>
      </c>
      <c r="L29" s="3" t="n">
        <v>0.18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3.95</v>
      </c>
      <c r="D31" s="3" t="n">
        <v>3.95</v>
      </c>
      <c r="E31" s="3" t="n">
        <v>3.95</v>
      </c>
      <c r="F31" s="3" t="n">
        <v>3.95</v>
      </c>
      <c r="G31" s="3" t="n">
        <v>3.95</v>
      </c>
      <c r="H31" s="3" t="n">
        <v>3.95</v>
      </c>
      <c r="I31" s="3" t="n">
        <v>3.95</v>
      </c>
      <c r="J31" s="3" t="n">
        <v>3.95</v>
      </c>
      <c r="K31" s="3" t="n">
        <v>3.95</v>
      </c>
      <c r="L31" s="3" t="n">
        <v>3.95</v>
      </c>
    </row>
    <row r="32" customFormat="false" ht="15" hidden="false" customHeight="false" outlineLevel="0" collapsed="false">
      <c r="A32" s="0" t="s">
        <v>102</v>
      </c>
      <c r="C32" s="3" t="n">
        <v>3.8</v>
      </c>
      <c r="D32" s="3" t="n">
        <v>4</v>
      </c>
      <c r="E32" s="3" t="n">
        <v>4.1</v>
      </c>
      <c r="F32" s="3" t="n">
        <v>4.2</v>
      </c>
      <c r="G32" s="3" t="n">
        <v>4.2</v>
      </c>
      <c r="H32" s="3" t="n">
        <v>4.2</v>
      </c>
      <c r="I32" s="3" t="n">
        <v>4.2</v>
      </c>
      <c r="J32" s="3" t="n">
        <v>4.2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103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0</v>
      </c>
      <c r="D41" s="3" t="n">
        <v>4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10.1</v>
      </c>
      <c r="D42" s="3" t="n">
        <v>10.6</v>
      </c>
      <c r="E42" s="3" t="n">
        <v>11</v>
      </c>
      <c r="F42" s="3" t="n">
        <v>11.3</v>
      </c>
      <c r="G42" s="3" t="n">
        <v>11.5</v>
      </c>
      <c r="H42" s="3" t="n">
        <v>11.5</v>
      </c>
      <c r="I42" s="3" t="n">
        <v>11.5</v>
      </c>
      <c r="J42" s="3" t="n">
        <v>11.5</v>
      </c>
      <c r="K42" s="3" t="n">
        <v>11.5</v>
      </c>
      <c r="L42" s="3" t="n">
        <v>11.5</v>
      </c>
    </row>
    <row r="43" customFormat="false" ht="15" hidden="false" customHeight="false" outlineLevel="0" collapsed="false">
      <c r="A43" s="0" t="s">
        <v>99</v>
      </c>
      <c r="C43" s="3" t="n">
        <v>0.18</v>
      </c>
      <c r="D43" s="3" t="n">
        <v>0.18</v>
      </c>
      <c r="E43" s="3" t="n">
        <v>0.18</v>
      </c>
      <c r="F43" s="3" t="n">
        <v>0.18</v>
      </c>
      <c r="G43" s="3" t="n">
        <v>0.18</v>
      </c>
      <c r="H43" s="3" t="n">
        <v>0.18</v>
      </c>
      <c r="I43" s="3" t="n">
        <v>0.18</v>
      </c>
      <c r="J43" s="3" t="n">
        <v>0.18</v>
      </c>
      <c r="K43" s="3" t="n">
        <v>0.18</v>
      </c>
      <c r="L43" s="3" t="n">
        <v>0.18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3.95</v>
      </c>
      <c r="D45" s="3" t="n">
        <v>3.95</v>
      </c>
      <c r="E45" s="3" t="n">
        <v>3.95</v>
      </c>
      <c r="F45" s="3" t="n">
        <v>3.95</v>
      </c>
      <c r="G45" s="3" t="n">
        <v>3.95</v>
      </c>
      <c r="H45" s="3" t="n">
        <v>3.95</v>
      </c>
      <c r="I45" s="3" t="n">
        <v>3.95</v>
      </c>
      <c r="J45" s="3" t="n">
        <v>3.95</v>
      </c>
      <c r="K45" s="3" t="n">
        <v>3.95</v>
      </c>
      <c r="L45" s="3" t="n">
        <v>3.95</v>
      </c>
    </row>
    <row r="46" customFormat="false" ht="15" hidden="false" customHeight="false" outlineLevel="0" collapsed="false">
      <c r="A46" s="0" t="s">
        <v>102</v>
      </c>
      <c r="C46" s="3" t="n">
        <v>3.8</v>
      </c>
      <c r="D46" s="3" t="n">
        <v>4</v>
      </c>
      <c r="E46" s="3" t="n">
        <v>4.2</v>
      </c>
      <c r="F46" s="3" t="n">
        <v>4.3</v>
      </c>
      <c r="G46" s="3" t="n">
        <v>4.3</v>
      </c>
      <c r="H46" s="3" t="n">
        <v>4.3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103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-0.8</v>
      </c>
      <c r="D5" s="4" t="n">
        <f aca="false">Assumptions!D13</f>
        <v>-5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42010</v>
      </c>
      <c r="C6" s="0" t="n">
        <f aca="false">B6*(1+C5/100)</f>
        <v>41673.92</v>
      </c>
      <c r="D6" s="0" t="n">
        <f aca="false">C6*(1+D5/100)</f>
        <v>39590.224</v>
      </c>
      <c r="E6" s="0" t="n">
        <f aca="false">D6*(1+E5/100)</f>
        <v>38798.41952</v>
      </c>
      <c r="F6" s="0" t="n">
        <f aca="false">E6*(1+F5/100)</f>
        <v>39574.3879104</v>
      </c>
      <c r="G6" s="0" t="n">
        <f aca="false">F6*(1+G5/100)</f>
        <v>40563.74760816</v>
      </c>
      <c r="H6" s="0" t="n">
        <f aca="false">G6*(1+H5/100)</f>
        <v>41577.841298364</v>
      </c>
      <c r="I6" s="0" t="n">
        <f aca="false">H6*(1+I5/100)</f>
        <v>42409.3981243313</v>
      </c>
      <c r="J6" s="0" t="n">
        <f aca="false">I6*(1+J5/100)</f>
        <v>43257.5860868179</v>
      </c>
      <c r="K6" s="0" t="n">
        <f aca="false">J6*(1+K5/100)</f>
        <v>43906.4498781202</v>
      </c>
      <c r="L6" s="0" t="n">
        <f aca="false">K6*(1+L5/100)</f>
        <v>44565.046626292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9.8</v>
      </c>
      <c r="D7" s="4" t="n">
        <f aca="false">Assumptions!D14</f>
        <v>8.6</v>
      </c>
      <c r="E7" s="4" t="n">
        <f aca="false">Assumptions!E14</f>
        <v>8.8</v>
      </c>
      <c r="F7" s="4" t="n">
        <f aca="false">Assumptions!F14</f>
        <v>9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4084.04416</v>
      </c>
      <c r="D8" s="0" t="n">
        <f aca="false">D6*D7/100</f>
        <v>3404.759264</v>
      </c>
      <c r="E8" s="0" t="n">
        <f aca="false">E6*E7/100</f>
        <v>3414.26091776</v>
      </c>
      <c r="F8" s="0" t="n">
        <f aca="false">F6*F7/100</f>
        <v>3561.694911936</v>
      </c>
      <c r="G8" s="0" t="n">
        <f aca="false">G6*G7/100</f>
        <v>3650.7372847344</v>
      </c>
      <c r="H8" s="0" t="n">
        <f aca="false">H6*H7/100</f>
        <v>3742.00571685276</v>
      </c>
      <c r="I8" s="0" t="n">
        <f aca="false">I6*I7/100</f>
        <v>3816.84583118981</v>
      </c>
      <c r="J8" s="0" t="n">
        <f aca="false">J6*J7/100</f>
        <v>3893.18274781361</v>
      </c>
      <c r="K8" s="0" t="n">
        <f aca="false">K6*K7/100</f>
        <v>3951.58048903081</v>
      </c>
      <c r="L8" s="0" t="n">
        <f aca="false">L6*L7/100</f>
        <v>4010.85419636628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0.18</v>
      </c>
      <c r="D9" s="4" t="n">
        <f aca="false">Assumptions!D15</f>
        <v>0.18</v>
      </c>
      <c r="E9" s="4" t="n">
        <f aca="false">Assumptions!E15</f>
        <v>0.18</v>
      </c>
      <c r="F9" s="4" t="n">
        <f aca="false">Assumptions!F15</f>
        <v>0.18</v>
      </c>
      <c r="G9" s="4" t="n">
        <f aca="false">Assumptions!G15</f>
        <v>0.18</v>
      </c>
      <c r="H9" s="4" t="n">
        <f aca="false">Assumptions!H15</f>
        <v>0.18</v>
      </c>
      <c r="I9" s="4" t="n">
        <f aca="false">Assumptions!I15</f>
        <v>0.18</v>
      </c>
      <c r="J9" s="4" t="n">
        <f aca="false">Assumptions!J15</f>
        <v>0.18</v>
      </c>
      <c r="K9" s="4" t="n">
        <f aca="false">Assumptions!K15</f>
        <v>0.18</v>
      </c>
      <c r="L9" s="4" t="n">
        <f aca="false">Assumptions!L15</f>
        <v>0.18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-75.013056</v>
      </c>
      <c r="D10" s="0" t="n">
        <f aca="false">-D6*D9/100</f>
        <v>-71.2624032</v>
      </c>
      <c r="E10" s="0" t="n">
        <f aca="false">-E6*E9/100</f>
        <v>-69.837155136</v>
      </c>
      <c r="F10" s="0" t="n">
        <f aca="false">-F6*F9/100</f>
        <v>-71.23389823872</v>
      </c>
      <c r="G10" s="0" t="n">
        <f aca="false">-G6*G9/100</f>
        <v>-73.014745694688</v>
      </c>
      <c r="H10" s="0" t="n">
        <f aca="false">-H6*H9/100</f>
        <v>-74.8401143370552</v>
      </c>
      <c r="I10" s="0" t="n">
        <f aca="false">-I6*I9/100</f>
        <v>-76.3369166237963</v>
      </c>
      <c r="J10" s="0" t="n">
        <f aca="false">-J6*J9/100</f>
        <v>-77.8636549562722</v>
      </c>
      <c r="K10" s="0" t="n">
        <f aca="false">-K6*K9/100</f>
        <v>-79.0316097806163</v>
      </c>
      <c r="L10" s="0" t="n">
        <f aca="false">-L6*L9/100</f>
        <v>-80.2170839273255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4009.031104</v>
      </c>
      <c r="D11" s="0" t="n">
        <f aca="false">D8+D10+D24</f>
        <v>3333.4968608</v>
      </c>
      <c r="E11" s="0" t="n">
        <f aca="false">E8+E10+E24</f>
        <v>3344.423762624</v>
      </c>
      <c r="F11" s="0" t="n">
        <f aca="false">F8+F10+F24</f>
        <v>3490.46101369728</v>
      </c>
      <c r="G11" s="0" t="n">
        <f aca="false">G8+G10+G24</f>
        <v>3577.72253903971</v>
      </c>
      <c r="H11" s="0" t="n">
        <f aca="false">H8+H10+H24</f>
        <v>3667.1656025157</v>
      </c>
      <c r="I11" s="0" t="n">
        <f aca="false">I8+I10+I24</f>
        <v>3740.50891456602</v>
      </c>
      <c r="J11" s="0" t="n">
        <f aca="false">J8+J10+J24</f>
        <v>3815.31909285734</v>
      </c>
      <c r="K11" s="0" t="n">
        <f aca="false">K8+K10+K24</f>
        <v>3872.5488792502</v>
      </c>
      <c r="L11" s="0" t="n">
        <f aca="false">L8+L10+L24</f>
        <v>3930.63711243895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-1646.11984</v>
      </c>
      <c r="D12" s="4" t="n">
        <f aca="false">-D6*Assumptions!D17/100</f>
        <v>-1623.199184</v>
      </c>
      <c r="E12" s="4" t="n">
        <f aca="false">-E6*Assumptions!E17/100</f>
        <v>-1590.73520032</v>
      </c>
      <c r="F12" s="4" t="n">
        <f aca="false">-F6*Assumptions!F17/100</f>
        <v>-1582.975516416</v>
      </c>
      <c r="G12" s="4" t="n">
        <f aca="false">-G6*Assumptions!G17/100</f>
        <v>-1622.5499043264</v>
      </c>
      <c r="H12" s="4" t="n">
        <f aca="false">-H6*Assumptions!H17/100</f>
        <v>-1663.11365193456</v>
      </c>
      <c r="I12" s="4" t="n">
        <f aca="false">-I6*Assumptions!I17/100</f>
        <v>-1696.37592497325</v>
      </c>
      <c r="J12" s="4" t="n">
        <f aca="false">-J6*Assumptions!J17/100</f>
        <v>-1730.30344347272</v>
      </c>
      <c r="K12" s="4" t="n">
        <f aca="false">-K6*Assumptions!K17/100</f>
        <v>-1756.25799512481</v>
      </c>
      <c r="L12" s="4" t="n">
        <f aca="false">-L6*Assumptions!L17/100</f>
        <v>-1782.60186505168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2362.911264</v>
      </c>
      <c r="D13" s="0" t="n">
        <f aca="false">D11+D12</f>
        <v>1710.2976768</v>
      </c>
      <c r="E13" s="0" t="n">
        <f aca="false">E11+E12</f>
        <v>1753.688562304</v>
      </c>
      <c r="F13" s="0" t="n">
        <f aca="false">F11+F12</f>
        <v>1907.48549728128</v>
      </c>
      <c r="G13" s="0" t="n">
        <f aca="false">G11+G12</f>
        <v>1955.17263471331</v>
      </c>
      <c r="H13" s="0" t="n">
        <f aca="false">H11+H12</f>
        <v>2004.05195058114</v>
      </c>
      <c r="I13" s="0" t="n">
        <f aca="false">I11+I12</f>
        <v>2044.13298959277</v>
      </c>
      <c r="J13" s="0" t="n">
        <f aca="false">J11+J12</f>
        <v>2085.01564938462</v>
      </c>
      <c r="K13" s="0" t="n">
        <f aca="false">K11+K12</f>
        <v>2116.29088412539</v>
      </c>
      <c r="L13" s="0" t="n">
        <f aca="false">L11+L12</f>
        <v>2148.03524738727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1843.07078592</v>
      </c>
      <c r="D15" s="0" t="n">
        <f aca="false">D13-MAX(0,D13)*D14/100</f>
        <v>1334.032187904</v>
      </c>
      <c r="E15" s="0" t="n">
        <f aca="false">E13-MAX(0,E13)*E14/100</f>
        <v>1367.87707859712</v>
      </c>
      <c r="F15" s="0" t="n">
        <f aca="false">F13-MAX(0,F13)*F14/100</f>
        <v>1487.8386878794</v>
      </c>
      <c r="G15" s="0" t="n">
        <f aca="false">G13-MAX(0,G13)*G14/100</f>
        <v>1525.03465507638</v>
      </c>
      <c r="H15" s="0" t="n">
        <f aca="false">H13-MAX(0,H13)*H14/100</f>
        <v>1563.16052145329</v>
      </c>
      <c r="I15" s="0" t="n">
        <f aca="false">I13-MAX(0,I13)*I14/100</f>
        <v>1594.42373188236</v>
      </c>
      <c r="J15" s="0" t="n">
        <f aca="false">J13-MAX(0,J13)*J14/100</f>
        <v>1626.31220652001</v>
      </c>
      <c r="K15" s="0" t="n">
        <f aca="false">K13-MAX(0,K13)*K14/100</f>
        <v>1650.70688961781</v>
      </c>
      <c r="L15" s="0" t="n">
        <f aca="false">L13-MAX(0,L13)*L14/100</f>
        <v>1675.46749296207</v>
      </c>
    </row>
    <row r="16" customFormat="false" ht="15" hidden="false" customHeight="false" outlineLevel="0" collapsed="false">
      <c r="A16" s="0" t="s">
        <v>119</v>
      </c>
      <c r="C16" s="0" t="n">
        <f aca="false">-C12</f>
        <v>1646.11984</v>
      </c>
      <c r="D16" s="0" t="n">
        <f aca="false">-D12</f>
        <v>1623.199184</v>
      </c>
      <c r="E16" s="0" t="n">
        <f aca="false">-E12</f>
        <v>1590.73520032</v>
      </c>
      <c r="F16" s="0" t="n">
        <f aca="false">-F12</f>
        <v>1582.975516416</v>
      </c>
      <c r="G16" s="0" t="n">
        <f aca="false">-G12</f>
        <v>1622.5499043264</v>
      </c>
      <c r="H16" s="0" t="n">
        <f aca="false">-H12</f>
        <v>1663.11365193456</v>
      </c>
      <c r="I16" s="0" t="n">
        <f aca="false">-I12</f>
        <v>1696.37592497325</v>
      </c>
      <c r="J16" s="0" t="n">
        <f aca="false">-J12</f>
        <v>1730.30344347272</v>
      </c>
      <c r="K16" s="0" t="n">
        <f aca="false">-K12</f>
        <v>1756.25799512481</v>
      </c>
      <c r="L16" s="0" t="n">
        <f aca="false">-L12</f>
        <v>1782.60186505168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-1583.60896</v>
      </c>
      <c r="D17" s="4" t="n">
        <f aca="false">-D6*Assumptions!D18/100</f>
        <v>-1583.60896</v>
      </c>
      <c r="E17" s="4" t="n">
        <f aca="false">-E6*Assumptions!E18/100</f>
        <v>-1629.53361984</v>
      </c>
      <c r="F17" s="4" t="n">
        <f aca="false">-F6*Assumptions!F18/100</f>
        <v>-1701.6986801472</v>
      </c>
      <c r="G17" s="4" t="n">
        <f aca="false">-G6*Assumptions!G18/100</f>
        <v>-1744.24114715088</v>
      </c>
      <c r="H17" s="4" t="n">
        <f aca="false">-H6*Assumptions!H18/100</f>
        <v>-1787.84717582965</v>
      </c>
      <c r="I17" s="4" t="n">
        <f aca="false">-I6*Assumptions!I18/100</f>
        <v>-1823.60411934624</v>
      </c>
      <c r="J17" s="4" t="n">
        <f aca="false">-J6*Assumptions!J18/100</f>
        <v>-1860.07620173317</v>
      </c>
      <c r="K17" s="4" t="n">
        <f aca="false">-K6*Assumptions!K18/100</f>
        <v>-1887.97734475917</v>
      </c>
      <c r="L17" s="4" t="n">
        <f aca="false">-L6*Assumptions!L18/100</f>
        <v>-1916.29700493055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33.6080000000002</v>
      </c>
      <c r="D18" s="4" t="n">
        <f aca="false">(D6-C6)*Assumptions!$B$23/100</f>
        <v>208.3696</v>
      </c>
      <c r="E18" s="4" t="n">
        <f aca="false">(E6-D6)*Assumptions!$B$23/100</f>
        <v>79.1804479999999</v>
      </c>
      <c r="F18" s="4" t="n">
        <f aca="false">(F6-E6)*Assumptions!$B$23/100</f>
        <v>-77.5968390399998</v>
      </c>
      <c r="G18" s="4" t="n">
        <f aca="false">(G6-F6)*Assumptions!$B$23/100</f>
        <v>-98.9359697759996</v>
      </c>
      <c r="H18" s="4" t="n">
        <f aca="false">(H6-G6)*Assumptions!$B$23/100</f>
        <v>-101.4093690204</v>
      </c>
      <c r="I18" s="4" t="n">
        <f aca="false">(I6-H6)*Assumptions!$B$23/100</f>
        <v>-83.155682596728</v>
      </c>
      <c r="J18" s="4" t="n">
        <f aca="false">(J6-I6)*Assumptions!$B$23/100</f>
        <v>-84.8187962486627</v>
      </c>
      <c r="K18" s="4" t="n">
        <f aca="false">(K6-J6)*Assumptions!$B$23/100</f>
        <v>-64.8863791302261</v>
      </c>
      <c r="L18" s="4" t="n">
        <f aca="false">(L6-K6)*Assumptions!$B$23/100</f>
        <v>-65.8596748171796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1939.18966592</v>
      </c>
      <c r="D19" s="0" t="n">
        <f aca="false">D15+D16+D17+D18</f>
        <v>1581.992011904</v>
      </c>
      <c r="E19" s="0" t="n">
        <f aca="false">E15+E16+E17+E18</f>
        <v>1408.25910707712</v>
      </c>
      <c r="F19" s="0" t="n">
        <f aca="false">F15+F16+F17+F18</f>
        <v>1291.5186851082</v>
      </c>
      <c r="G19" s="0" t="n">
        <f aca="false">G15+G16+G17+G18</f>
        <v>1304.4074424759</v>
      </c>
      <c r="H19" s="0" t="n">
        <f aca="false">H15+H16+H17+H18</f>
        <v>1337.0176285378</v>
      </c>
      <c r="I19" s="0" t="n">
        <f aca="false">I15+I16+I17+I18</f>
        <v>1384.03985491264</v>
      </c>
      <c r="J19" s="0" t="n">
        <f aca="false">J15+J16+J17+J18</f>
        <v>1411.72065201089</v>
      </c>
      <c r="K19" s="0" t="n">
        <f aca="false">K15+K16+K17+K18</f>
        <v>1454.10116085322</v>
      </c>
      <c r="L19" s="0" t="n">
        <f aca="false">L15+L16+L17+L18</f>
        <v>1475.91267826602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1770.94946659361</v>
      </c>
      <c r="D21" s="0" t="n">
        <f aca="false">D19*D20</f>
        <v>1319.39868802068</v>
      </c>
      <c r="E21" s="0" t="n">
        <f aca="false">E19*E20</f>
        <v>1072.60597262454</v>
      </c>
      <c r="F21" s="0" t="n">
        <f aca="false">F19*F20</f>
        <v>898.347196915052</v>
      </c>
      <c r="G21" s="0" t="n">
        <f aca="false">G19*G20</f>
        <v>828.595694260253</v>
      </c>
      <c r="H21" s="0" t="n">
        <f aca="false">H19*H20</f>
        <v>775.626106499323</v>
      </c>
      <c r="I21" s="0" t="n">
        <f aca="false">I19*I20</f>
        <v>733.246100534351</v>
      </c>
      <c r="J21" s="0" t="n">
        <f aca="false">J19*J20</f>
        <v>683.023764881313</v>
      </c>
      <c r="K21" s="0" t="n">
        <f aca="false">K19*K20</f>
        <v>642.491739857633</v>
      </c>
      <c r="L21" s="0" t="n">
        <f aca="false">L19*L20</f>
        <v>595.551704068947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9319.8364342557</v>
      </c>
    </row>
    <row r="31" customFormat="false" ht="15" hidden="false" customHeight="false" outlineLevel="0" collapsed="false">
      <c r="A31" s="0" t="s">
        <v>128</v>
      </c>
      <c r="B31" s="0" t="n">
        <f aca="false">L19</f>
        <v>1475.91267826602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18725.6421055001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17710.9521391922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17710.9521391922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7146.62044882737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16466.4568830831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12252.4568830831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65.6565866208519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-0.280396902445726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465.879145022151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410.678279428721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70.3537480975898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11096.6768032593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32.4857392936203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-0.3</v>
      </c>
      <c r="D5" s="4" t="n">
        <f aca="false">Assumptions!D27</f>
        <v>1.5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42010</v>
      </c>
      <c r="C6" s="0" t="n">
        <f aca="false">B6*(1+C5/100)</f>
        <v>41883.97</v>
      </c>
      <c r="D6" s="0" t="n">
        <f aca="false">C6*(1+D5/100)</f>
        <v>42512.22955</v>
      </c>
      <c r="E6" s="0" t="n">
        <f aca="false">D6*(1+E5/100)</f>
        <v>44000.15758425</v>
      </c>
      <c r="F6" s="0" t="n">
        <f aca="false">E6*(1+F5/100)</f>
        <v>45540.1630996987</v>
      </c>
      <c r="G6" s="0" t="n">
        <f aca="false">F6*(1+G5/100)</f>
        <v>46906.3679926897</v>
      </c>
      <c r="H6" s="0" t="n">
        <f aca="false">G6*(1+H5/100)</f>
        <v>48313.5590324704</v>
      </c>
      <c r="I6" s="0" t="n">
        <f aca="false">H6*(1+I5/100)</f>
        <v>49521.3980082822</v>
      </c>
      <c r="J6" s="0" t="n">
        <f aca="false">I6*(1+J5/100)</f>
        <v>50759.4329584892</v>
      </c>
      <c r="K6" s="0" t="n">
        <f aca="false">J6*(1+K5/100)</f>
        <v>51774.621617659</v>
      </c>
      <c r="L6" s="0" t="n">
        <f aca="false">K6*(1+L5/100)</f>
        <v>52810.1140500122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10</v>
      </c>
      <c r="D7" s="4" t="n">
        <f aca="false">Assumptions!D28</f>
        <v>10.2</v>
      </c>
      <c r="E7" s="4" t="n">
        <f aca="false">Assumptions!E28</f>
        <v>10.4</v>
      </c>
      <c r="F7" s="4" t="n">
        <f aca="false">Assumptions!F28</f>
        <v>10.5</v>
      </c>
      <c r="G7" s="4" t="n">
        <f aca="false">Assumptions!G28</f>
        <v>10.5</v>
      </c>
      <c r="H7" s="4" t="n">
        <f aca="false">Assumptions!H28</f>
        <v>10.5</v>
      </c>
      <c r="I7" s="4" t="n">
        <f aca="false">Assumptions!I28</f>
        <v>10.5</v>
      </c>
      <c r="J7" s="4" t="n">
        <f aca="false">Assumptions!J28</f>
        <v>10.5</v>
      </c>
      <c r="K7" s="4" t="n">
        <f aca="false">Assumptions!K28</f>
        <v>10.5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4188.397</v>
      </c>
      <c r="D8" s="0" t="n">
        <f aca="false">D6*D7/100</f>
        <v>4336.2474141</v>
      </c>
      <c r="E8" s="0" t="n">
        <f aca="false">E6*E7/100</f>
        <v>4576.016388762</v>
      </c>
      <c r="F8" s="0" t="n">
        <f aca="false">F6*F7/100</f>
        <v>4781.71712546837</v>
      </c>
      <c r="G8" s="0" t="n">
        <f aca="false">G6*G7/100</f>
        <v>4925.16863923242</v>
      </c>
      <c r="H8" s="0" t="n">
        <f aca="false">H6*H7/100</f>
        <v>5072.92369840939</v>
      </c>
      <c r="I8" s="0" t="n">
        <f aca="false">I6*I7/100</f>
        <v>5199.74679086963</v>
      </c>
      <c r="J8" s="0" t="n">
        <f aca="false">J6*J7/100</f>
        <v>5329.74046064137</v>
      </c>
      <c r="K8" s="0" t="n">
        <f aca="false">K6*K7/100</f>
        <v>5436.3352698542</v>
      </c>
      <c r="L8" s="0" t="n">
        <f aca="false">L6*L7/100</f>
        <v>5545.06197525128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0.18</v>
      </c>
      <c r="D9" s="4" t="n">
        <f aca="false">Assumptions!D29</f>
        <v>0.18</v>
      </c>
      <c r="E9" s="4" t="n">
        <f aca="false">Assumptions!E29</f>
        <v>0.18</v>
      </c>
      <c r="F9" s="4" t="n">
        <f aca="false">Assumptions!F29</f>
        <v>0.18</v>
      </c>
      <c r="G9" s="4" t="n">
        <f aca="false">Assumptions!G29</f>
        <v>0.18</v>
      </c>
      <c r="H9" s="4" t="n">
        <f aca="false">Assumptions!H29</f>
        <v>0.18</v>
      </c>
      <c r="I9" s="4" t="n">
        <f aca="false">Assumptions!I29</f>
        <v>0.18</v>
      </c>
      <c r="J9" s="4" t="n">
        <f aca="false">Assumptions!J29</f>
        <v>0.18</v>
      </c>
      <c r="K9" s="4" t="n">
        <f aca="false">Assumptions!K29</f>
        <v>0.18</v>
      </c>
      <c r="L9" s="4" t="n">
        <f aca="false">Assumptions!L29</f>
        <v>0.18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-75.391146</v>
      </c>
      <c r="D10" s="0" t="n">
        <f aca="false">-D6*D9/100</f>
        <v>-76.52201319</v>
      </c>
      <c r="E10" s="0" t="n">
        <f aca="false">-E6*E9/100</f>
        <v>-79.20028365165</v>
      </c>
      <c r="F10" s="0" t="n">
        <f aca="false">-F6*F9/100</f>
        <v>-81.9722935794577</v>
      </c>
      <c r="G10" s="0" t="n">
        <f aca="false">-G6*G9/100</f>
        <v>-84.4314623868415</v>
      </c>
      <c r="H10" s="0" t="n">
        <f aca="false">-H6*H9/100</f>
        <v>-86.9644062584467</v>
      </c>
      <c r="I10" s="0" t="n">
        <f aca="false">-I6*I9/100</f>
        <v>-89.1385164149079</v>
      </c>
      <c r="J10" s="0" t="n">
        <f aca="false">-J6*J9/100</f>
        <v>-91.3669793252806</v>
      </c>
      <c r="K10" s="0" t="n">
        <f aca="false">-K6*K9/100</f>
        <v>-93.1943189117862</v>
      </c>
      <c r="L10" s="0" t="n">
        <f aca="false">-L6*L9/100</f>
        <v>-95.0582052900219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4113.005854</v>
      </c>
      <c r="D11" s="0" t="n">
        <f aca="false">D8+D10+D24</f>
        <v>4259.72540091</v>
      </c>
      <c r="E11" s="0" t="n">
        <f aca="false">E8+E10+E24</f>
        <v>4496.81610511035</v>
      </c>
      <c r="F11" s="0" t="n">
        <f aca="false">F8+F10+F24</f>
        <v>4699.74483188891</v>
      </c>
      <c r="G11" s="0" t="n">
        <f aca="false">G8+G10+G24</f>
        <v>4840.73717684558</v>
      </c>
      <c r="H11" s="0" t="n">
        <f aca="false">H8+H10+H24</f>
        <v>4985.95929215095</v>
      </c>
      <c r="I11" s="0" t="n">
        <f aca="false">I8+I10+I24</f>
        <v>5110.60827445472</v>
      </c>
      <c r="J11" s="0" t="n">
        <f aca="false">J8+J10+J24</f>
        <v>5238.37348131609</v>
      </c>
      <c r="K11" s="0" t="n">
        <f aca="false">K8+K10+K24</f>
        <v>5343.14095094241</v>
      </c>
      <c r="L11" s="0" t="n">
        <f aca="false">L8+L10+L24</f>
        <v>5450.00376996126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-1654.416815</v>
      </c>
      <c r="D12" s="4" t="n">
        <f aca="false">-D6*Assumptions!D31/100</f>
        <v>-1679.233067225</v>
      </c>
      <c r="E12" s="4" t="n">
        <f aca="false">-E6*Assumptions!E31/100</f>
        <v>-1738.00622457787</v>
      </c>
      <c r="F12" s="4" t="n">
        <f aca="false">-F6*Assumptions!F31/100</f>
        <v>-1798.8364424381</v>
      </c>
      <c r="G12" s="4" t="n">
        <f aca="false">-G6*Assumptions!G31/100</f>
        <v>-1852.80153571124</v>
      </c>
      <c r="H12" s="4" t="n">
        <f aca="false">-H6*Assumptions!H31/100</f>
        <v>-1908.38558178258</v>
      </c>
      <c r="I12" s="4" t="n">
        <f aca="false">-I6*Assumptions!I31/100</f>
        <v>-1956.09522132715</v>
      </c>
      <c r="J12" s="4" t="n">
        <f aca="false">-J6*Assumptions!J31/100</f>
        <v>-2004.99760186032</v>
      </c>
      <c r="K12" s="4" t="n">
        <f aca="false">-K6*Assumptions!K31/100</f>
        <v>-2045.09755389753</v>
      </c>
      <c r="L12" s="4" t="n">
        <f aca="false">-L6*Assumptions!L31/100</f>
        <v>-2085.99950497548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2458.589039</v>
      </c>
      <c r="D13" s="0" t="n">
        <f aca="false">D11+D12</f>
        <v>2580.492333685</v>
      </c>
      <c r="E13" s="0" t="n">
        <f aca="false">E11+E12</f>
        <v>2758.80988053247</v>
      </c>
      <c r="F13" s="0" t="n">
        <f aca="false">F11+F12</f>
        <v>2900.90838945081</v>
      </c>
      <c r="G13" s="0" t="n">
        <f aca="false">G11+G12</f>
        <v>2987.93564113434</v>
      </c>
      <c r="H13" s="0" t="n">
        <f aca="false">H11+H12</f>
        <v>3077.57371036836</v>
      </c>
      <c r="I13" s="0" t="n">
        <f aca="false">I11+I12</f>
        <v>3154.51305312757</v>
      </c>
      <c r="J13" s="0" t="n">
        <f aca="false">J11+J12</f>
        <v>3233.37587945576</v>
      </c>
      <c r="K13" s="0" t="n">
        <f aca="false">K11+K12</f>
        <v>3298.04339704488</v>
      </c>
      <c r="L13" s="0" t="n">
        <f aca="false">L11+L12</f>
        <v>3364.00426498578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1917.69945042</v>
      </c>
      <c r="D15" s="0" t="n">
        <f aca="false">D13-MAX(0,D13)*D14/100</f>
        <v>2012.7840202743</v>
      </c>
      <c r="E15" s="0" t="n">
        <f aca="false">E13-MAX(0,E13)*E14/100</f>
        <v>2151.87170681533</v>
      </c>
      <c r="F15" s="0" t="n">
        <f aca="false">F13-MAX(0,F13)*F14/100</f>
        <v>2262.70854377163</v>
      </c>
      <c r="G15" s="0" t="n">
        <f aca="false">G13-MAX(0,G13)*G14/100</f>
        <v>2330.58980008478</v>
      </c>
      <c r="H15" s="0" t="n">
        <f aca="false">H13-MAX(0,H13)*H14/100</f>
        <v>2400.50749408732</v>
      </c>
      <c r="I15" s="0" t="n">
        <f aca="false">I13-MAX(0,I13)*I14/100</f>
        <v>2460.52018143951</v>
      </c>
      <c r="J15" s="0" t="n">
        <f aca="false">J13-MAX(0,J13)*J14/100</f>
        <v>2522.03318597549</v>
      </c>
      <c r="K15" s="0" t="n">
        <f aca="false">K13-MAX(0,K13)*K14/100</f>
        <v>2572.47384969501</v>
      </c>
      <c r="L15" s="0" t="n">
        <f aca="false">L13-MAX(0,L13)*L14/100</f>
        <v>2623.92332668891</v>
      </c>
    </row>
    <row r="16" customFormat="false" ht="15" hidden="false" customHeight="false" outlineLevel="0" collapsed="false">
      <c r="A16" s="0" t="s">
        <v>119</v>
      </c>
      <c r="C16" s="0" t="n">
        <f aca="false">-C12</f>
        <v>1654.416815</v>
      </c>
      <c r="D16" s="0" t="n">
        <f aca="false">-D12</f>
        <v>1679.233067225</v>
      </c>
      <c r="E16" s="0" t="n">
        <f aca="false">-E12</f>
        <v>1738.00622457787</v>
      </c>
      <c r="F16" s="0" t="n">
        <f aca="false">-F12</f>
        <v>1798.8364424381</v>
      </c>
      <c r="G16" s="0" t="n">
        <f aca="false">-G12</f>
        <v>1852.80153571124</v>
      </c>
      <c r="H16" s="0" t="n">
        <f aca="false">-H12</f>
        <v>1908.38558178258</v>
      </c>
      <c r="I16" s="0" t="n">
        <f aca="false">-I12</f>
        <v>1956.09522132715</v>
      </c>
      <c r="J16" s="0" t="n">
        <f aca="false">-J12</f>
        <v>2004.99760186032</v>
      </c>
      <c r="K16" s="0" t="n">
        <f aca="false">-K12</f>
        <v>2045.09755389753</v>
      </c>
      <c r="L16" s="0" t="n">
        <f aca="false">-L12</f>
        <v>2085.99950497548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-1591.59086</v>
      </c>
      <c r="D17" s="4" t="n">
        <f aca="false">-D6*Assumptions!D32/100</f>
        <v>-1700.489182</v>
      </c>
      <c r="E17" s="4" t="n">
        <f aca="false">-E6*Assumptions!E32/100</f>
        <v>-1804.00646095425</v>
      </c>
      <c r="F17" s="4" t="n">
        <f aca="false">-F6*Assumptions!F32/100</f>
        <v>-1912.68685018735</v>
      </c>
      <c r="G17" s="4" t="n">
        <f aca="false">-G6*Assumptions!G32/100</f>
        <v>-1970.06745569297</v>
      </c>
      <c r="H17" s="4" t="n">
        <f aca="false">-H6*Assumptions!H32/100</f>
        <v>-2029.16947936376</v>
      </c>
      <c r="I17" s="4" t="n">
        <f aca="false">-I6*Assumptions!I32/100</f>
        <v>-2079.89871634785</v>
      </c>
      <c r="J17" s="4" t="n">
        <f aca="false">-J6*Assumptions!J32/100</f>
        <v>-2131.89618425655</v>
      </c>
      <c r="K17" s="4" t="n">
        <f aca="false">-K6*Assumptions!K32/100</f>
        <v>-2174.53410794168</v>
      </c>
      <c r="L17" s="4" t="n">
        <f aca="false">-L6*Assumptions!L32/100</f>
        <v>-2218.02479010051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12.6029999999999</v>
      </c>
      <c r="D18" s="4" t="n">
        <f aca="false">(D6-C6)*Assumptions!$B$37/100</f>
        <v>-62.8259549999995</v>
      </c>
      <c r="E18" s="4" t="n">
        <f aca="false">(E6-D6)*Assumptions!$B$37/100</f>
        <v>-148.792803425</v>
      </c>
      <c r="F18" s="4" t="n">
        <f aca="false">(F6-E6)*Assumptions!$B$37/100</f>
        <v>-154.000551544875</v>
      </c>
      <c r="G18" s="4" t="n">
        <f aca="false">(G6-F6)*Assumptions!$B$37/100</f>
        <v>-136.620489299097</v>
      </c>
      <c r="H18" s="4" t="n">
        <f aca="false">(H6-G6)*Assumptions!$B$37/100</f>
        <v>-140.719103978069</v>
      </c>
      <c r="I18" s="4" t="n">
        <f aca="false">(I6-H6)*Assumptions!$B$37/100</f>
        <v>-120.783897581176</v>
      </c>
      <c r="J18" s="4" t="n">
        <f aca="false">(J6-I6)*Assumptions!$B$37/100</f>
        <v>-123.803495020705</v>
      </c>
      <c r="K18" s="4" t="n">
        <f aca="false">(K6-J6)*Assumptions!$B$37/100</f>
        <v>-101.518865916978</v>
      </c>
      <c r="L18" s="4" t="n">
        <f aca="false">(L6-K6)*Assumptions!$B$37/100</f>
        <v>-103.549243235318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1993.12840542</v>
      </c>
      <c r="D19" s="0" t="n">
        <f aca="false">D15+D16+D17+D18</f>
        <v>1928.7019504993</v>
      </c>
      <c r="E19" s="0" t="n">
        <f aca="false">E15+E16+E17+E18</f>
        <v>1937.07866701396</v>
      </c>
      <c r="F19" s="0" t="n">
        <f aca="false">F15+F16+F17+F18</f>
        <v>1994.85758447751</v>
      </c>
      <c r="G19" s="0" t="n">
        <f aca="false">G15+G16+G17+G18</f>
        <v>2076.70339080396</v>
      </c>
      <c r="H19" s="0" t="n">
        <f aca="false">H15+H16+H17+H18</f>
        <v>2139.00449252808</v>
      </c>
      <c r="I19" s="0" t="n">
        <f aca="false">I15+I16+I17+I18</f>
        <v>2215.93278883763</v>
      </c>
      <c r="J19" s="0" t="n">
        <f aca="false">J15+J16+J17+J18</f>
        <v>2271.33110855857</v>
      </c>
      <c r="K19" s="0" t="n">
        <f aca="false">K15+K16+K17+K18</f>
        <v>2341.51842973388</v>
      </c>
      <c r="L19" s="0" t="n">
        <f aca="false">L15+L16+L17+L18</f>
        <v>2388.34879832856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1820.20858942466</v>
      </c>
      <c r="D21" s="0" t="n">
        <f aca="false">D19*D20</f>
        <v>1608.55857926173</v>
      </c>
      <c r="E21" s="0" t="n">
        <f aca="false">E19*E20</f>
        <v>1475.38342712735</v>
      </c>
      <c r="F21" s="0" t="n">
        <f aca="false">F19*F20</f>
        <v>1387.57165492342</v>
      </c>
      <c r="G21" s="0" t="n">
        <f aca="false">G19*G20</f>
        <v>1319.17944642332</v>
      </c>
      <c r="H21" s="0" t="n">
        <f aca="false">H19*H20</f>
        <v>1240.87199069957</v>
      </c>
      <c r="I21" s="0" t="n">
        <f aca="false">I19*I20</f>
        <v>1173.9720288358</v>
      </c>
      <c r="J21" s="0" t="n">
        <f aca="false">J19*J20</f>
        <v>1098.92358863625</v>
      </c>
      <c r="K21" s="0" t="n">
        <f aca="false">K19*K20</f>
        <v>1034.59531587589</v>
      </c>
      <c r="L21" s="0" t="n">
        <f aca="false">L19*L20</f>
        <v>963.732623007678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13122.9972442157</v>
      </c>
    </row>
    <row r="31" customFormat="false" ht="15" hidden="false" customHeight="false" outlineLevel="0" collapsed="false">
      <c r="A31" s="0" t="s">
        <v>128</v>
      </c>
      <c r="B31" s="0" t="n">
        <f aca="false">L19</f>
        <v>2388.34879832856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32481.5436572684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28660.1855799427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28660.1855799427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11564.7914760921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24687.7887203078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20473.7887203078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109.71179865386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0.20245285679373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525.059251203926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521.659747846995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115.320795876594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18739.3521099625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57.9409064085261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0</v>
      </c>
      <c r="D5" s="4" t="n">
        <f aca="false">Assumptions!D41</f>
        <v>4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42010</v>
      </c>
      <c r="C6" s="0" t="n">
        <f aca="false">B6*(1+C5/100)</f>
        <v>42010</v>
      </c>
      <c r="D6" s="0" t="n">
        <f aca="false">C6*(1+D5/100)</f>
        <v>43690.4</v>
      </c>
      <c r="E6" s="0" t="n">
        <f aca="false">D6*(1+E5/100)</f>
        <v>45874.92</v>
      </c>
      <c r="F6" s="0" t="n">
        <f aca="false">E6*(1+F5/100)</f>
        <v>48168.666</v>
      </c>
      <c r="G6" s="0" t="n">
        <f aca="false">F6*(1+G5/100)</f>
        <v>50336.25597</v>
      </c>
      <c r="H6" s="0" t="n">
        <f aca="false">G6*(1+H5/100)</f>
        <v>52349.7062088</v>
      </c>
      <c r="I6" s="0" t="n">
        <f aca="false">H6*(1+I5/100)</f>
        <v>54181.945926108</v>
      </c>
      <c r="J6" s="0" t="n">
        <f aca="false">I6*(1+J5/100)</f>
        <v>55807.4043038912</v>
      </c>
      <c r="K6" s="0" t="n">
        <f aca="false">J6*(1+K5/100)</f>
        <v>57202.5894114885</v>
      </c>
      <c r="L6" s="0" t="n">
        <f aca="false">K6*(1+L5/100)</f>
        <v>58632.6541467757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10.1</v>
      </c>
      <c r="D7" s="4" t="n">
        <f aca="false">Assumptions!D42</f>
        <v>10.6</v>
      </c>
      <c r="E7" s="4" t="n">
        <f aca="false">Assumptions!E42</f>
        <v>11</v>
      </c>
      <c r="F7" s="4" t="n">
        <f aca="false">Assumptions!F42</f>
        <v>11.3</v>
      </c>
      <c r="G7" s="4" t="n">
        <f aca="false">Assumptions!G42</f>
        <v>11.5</v>
      </c>
      <c r="H7" s="4" t="n">
        <f aca="false">Assumptions!H42</f>
        <v>11.5</v>
      </c>
      <c r="I7" s="4" t="n">
        <f aca="false">Assumptions!I42</f>
        <v>11.5</v>
      </c>
      <c r="J7" s="4" t="n">
        <f aca="false">Assumptions!J42</f>
        <v>11.5</v>
      </c>
      <c r="K7" s="4" t="n">
        <f aca="false">Assumptions!K42</f>
        <v>11.5</v>
      </c>
      <c r="L7" s="4" t="n">
        <f aca="false">Assumptions!L42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4243.01</v>
      </c>
      <c r="D8" s="0" t="n">
        <f aca="false">D6*D7/100</f>
        <v>4631.1824</v>
      </c>
      <c r="E8" s="0" t="n">
        <f aca="false">E6*E7/100</f>
        <v>5046.2412</v>
      </c>
      <c r="F8" s="0" t="n">
        <f aca="false">F6*F7/100</f>
        <v>5443.059258</v>
      </c>
      <c r="G8" s="0" t="n">
        <f aca="false">G6*G7/100</f>
        <v>5788.66943655</v>
      </c>
      <c r="H8" s="0" t="n">
        <f aca="false">H6*H7/100</f>
        <v>6020.216214012</v>
      </c>
      <c r="I8" s="0" t="n">
        <f aca="false">I6*I7/100</f>
        <v>6230.92378150242</v>
      </c>
      <c r="J8" s="0" t="n">
        <f aca="false">J6*J7/100</f>
        <v>6417.85149494749</v>
      </c>
      <c r="K8" s="0" t="n">
        <f aca="false">K6*K7/100</f>
        <v>6578.29778232118</v>
      </c>
      <c r="L8" s="0" t="n">
        <f aca="false">L6*L7/100</f>
        <v>6742.75522687921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0.18</v>
      </c>
      <c r="D9" s="4" t="n">
        <f aca="false">Assumptions!D43</f>
        <v>0.18</v>
      </c>
      <c r="E9" s="4" t="n">
        <f aca="false">Assumptions!E43</f>
        <v>0.18</v>
      </c>
      <c r="F9" s="4" t="n">
        <f aca="false">Assumptions!F43</f>
        <v>0.18</v>
      </c>
      <c r="G9" s="4" t="n">
        <f aca="false">Assumptions!G43</f>
        <v>0.18</v>
      </c>
      <c r="H9" s="4" t="n">
        <f aca="false">Assumptions!H43</f>
        <v>0.18</v>
      </c>
      <c r="I9" s="4" t="n">
        <f aca="false">Assumptions!I43</f>
        <v>0.18</v>
      </c>
      <c r="J9" s="4" t="n">
        <f aca="false">Assumptions!J43</f>
        <v>0.18</v>
      </c>
      <c r="K9" s="4" t="n">
        <f aca="false">Assumptions!K43</f>
        <v>0.18</v>
      </c>
      <c r="L9" s="4" t="n">
        <f aca="false">Assumptions!L43</f>
        <v>0.18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-75.618</v>
      </c>
      <c r="D10" s="0" t="n">
        <f aca="false">-D6*D9/100</f>
        <v>-78.64272</v>
      </c>
      <c r="E10" s="0" t="n">
        <f aca="false">-E6*E9/100</f>
        <v>-82.574856</v>
      </c>
      <c r="F10" s="0" t="n">
        <f aca="false">-F6*F9/100</f>
        <v>-86.7035988</v>
      </c>
      <c r="G10" s="0" t="n">
        <f aca="false">-G6*G9/100</f>
        <v>-90.605260746</v>
      </c>
      <c r="H10" s="0" t="n">
        <f aca="false">-H6*H9/100</f>
        <v>-94.22947117584</v>
      </c>
      <c r="I10" s="0" t="n">
        <f aca="false">-I6*I9/100</f>
        <v>-97.5275026669944</v>
      </c>
      <c r="J10" s="0" t="n">
        <f aca="false">-J6*J9/100</f>
        <v>-100.453327747004</v>
      </c>
      <c r="K10" s="0" t="n">
        <f aca="false">-K6*K9/100</f>
        <v>-102.964660940679</v>
      </c>
      <c r="L10" s="0" t="n">
        <f aca="false">-L6*L9/100</f>
        <v>-105.538777464196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4167.392</v>
      </c>
      <c r="D11" s="0" t="n">
        <f aca="false">D8+D10+D24</f>
        <v>4552.53968</v>
      </c>
      <c r="E11" s="0" t="n">
        <f aca="false">E8+E10+E24</f>
        <v>4963.666344</v>
      </c>
      <c r="F11" s="0" t="n">
        <f aca="false">F8+F10+F24</f>
        <v>5356.3556592</v>
      </c>
      <c r="G11" s="0" t="n">
        <f aca="false">G8+G10+G24</f>
        <v>5698.064175804</v>
      </c>
      <c r="H11" s="0" t="n">
        <f aca="false">H8+H10+H24</f>
        <v>5925.98674283616</v>
      </c>
      <c r="I11" s="0" t="n">
        <f aca="false">I8+I10+I24</f>
        <v>6133.39627883543</v>
      </c>
      <c r="J11" s="0" t="n">
        <f aca="false">J8+J10+J24</f>
        <v>6317.39816720049</v>
      </c>
      <c r="K11" s="0" t="n">
        <f aca="false">K8+K10+K24</f>
        <v>6475.3331213805</v>
      </c>
      <c r="L11" s="0" t="n">
        <f aca="false">L8+L10+L24</f>
        <v>6637.21644941501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-1659.395</v>
      </c>
      <c r="D12" s="4" t="n">
        <f aca="false">-D6*Assumptions!D45/100</f>
        <v>-1725.7708</v>
      </c>
      <c r="E12" s="4" t="n">
        <f aca="false">-E6*Assumptions!E45/100</f>
        <v>-1812.05934</v>
      </c>
      <c r="F12" s="4" t="n">
        <f aca="false">-F6*Assumptions!F45/100</f>
        <v>-1902.662307</v>
      </c>
      <c r="G12" s="4" t="n">
        <f aca="false">-G6*Assumptions!G45/100</f>
        <v>-1988.282110815</v>
      </c>
      <c r="H12" s="4" t="n">
        <f aca="false">-H6*Assumptions!H45/100</f>
        <v>-2067.8133952476</v>
      </c>
      <c r="I12" s="4" t="n">
        <f aca="false">-I6*Assumptions!I45/100</f>
        <v>-2140.18686408127</v>
      </c>
      <c r="J12" s="4" t="n">
        <f aca="false">-J6*Assumptions!J45/100</f>
        <v>-2204.3924700037</v>
      </c>
      <c r="K12" s="4" t="n">
        <f aca="false">-K6*Assumptions!K45/100</f>
        <v>-2259.5022817538</v>
      </c>
      <c r="L12" s="4" t="n">
        <f aca="false">-L6*Assumptions!L45/100</f>
        <v>-2315.98983879764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2507.997</v>
      </c>
      <c r="D13" s="0" t="n">
        <f aca="false">D11+D12</f>
        <v>2826.76888</v>
      </c>
      <c r="E13" s="0" t="n">
        <f aca="false">E11+E12</f>
        <v>3151.607004</v>
      </c>
      <c r="F13" s="0" t="n">
        <f aca="false">F11+F12</f>
        <v>3453.6933522</v>
      </c>
      <c r="G13" s="0" t="n">
        <f aca="false">G11+G12</f>
        <v>3709.782064989</v>
      </c>
      <c r="H13" s="0" t="n">
        <f aca="false">H11+H12</f>
        <v>3858.17334758856</v>
      </c>
      <c r="I13" s="0" t="n">
        <f aca="false">I11+I12</f>
        <v>3993.20941475416</v>
      </c>
      <c r="J13" s="0" t="n">
        <f aca="false">J11+J12</f>
        <v>4113.00569719678</v>
      </c>
      <c r="K13" s="0" t="n">
        <f aca="false">K11+K12</f>
        <v>4215.8308396267</v>
      </c>
      <c r="L13" s="0" t="n">
        <f aca="false">L11+L12</f>
        <v>4321.22661061737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1956.23766</v>
      </c>
      <c r="D15" s="0" t="n">
        <f aca="false">D13-MAX(0,D13)*D14/100</f>
        <v>2204.8797264</v>
      </c>
      <c r="E15" s="0" t="n">
        <f aca="false">E13-MAX(0,E13)*E14/100</f>
        <v>2458.25346312</v>
      </c>
      <c r="F15" s="0" t="n">
        <f aca="false">F13-MAX(0,F13)*F14/100</f>
        <v>2693.880814716</v>
      </c>
      <c r="G15" s="0" t="n">
        <f aca="false">G13-MAX(0,G13)*G14/100</f>
        <v>2893.63001069142</v>
      </c>
      <c r="H15" s="0" t="n">
        <f aca="false">H13-MAX(0,H13)*H14/100</f>
        <v>3009.37521111908</v>
      </c>
      <c r="I15" s="0" t="n">
        <f aca="false">I13-MAX(0,I13)*I14/100</f>
        <v>3114.70334350824</v>
      </c>
      <c r="J15" s="0" t="n">
        <f aca="false">J13-MAX(0,J13)*J14/100</f>
        <v>3208.14444381349</v>
      </c>
      <c r="K15" s="0" t="n">
        <f aca="false">K13-MAX(0,K13)*K14/100</f>
        <v>3288.34805490883</v>
      </c>
      <c r="L15" s="0" t="n">
        <f aca="false">L13-MAX(0,L13)*L14/100</f>
        <v>3370.55675628155</v>
      </c>
    </row>
    <row r="16" customFormat="false" ht="15" hidden="false" customHeight="false" outlineLevel="0" collapsed="false">
      <c r="A16" s="0" t="s">
        <v>119</v>
      </c>
      <c r="C16" s="0" t="n">
        <f aca="false">-C12</f>
        <v>1659.395</v>
      </c>
      <c r="D16" s="0" t="n">
        <f aca="false">-D12</f>
        <v>1725.7708</v>
      </c>
      <c r="E16" s="0" t="n">
        <f aca="false">-E12</f>
        <v>1812.05934</v>
      </c>
      <c r="F16" s="0" t="n">
        <f aca="false">-F12</f>
        <v>1902.662307</v>
      </c>
      <c r="G16" s="0" t="n">
        <f aca="false">-G12</f>
        <v>1988.282110815</v>
      </c>
      <c r="H16" s="0" t="n">
        <f aca="false">-H12</f>
        <v>2067.8133952476</v>
      </c>
      <c r="I16" s="0" t="n">
        <f aca="false">-I12</f>
        <v>2140.18686408127</v>
      </c>
      <c r="J16" s="0" t="n">
        <f aca="false">-J12</f>
        <v>2204.3924700037</v>
      </c>
      <c r="K16" s="0" t="n">
        <f aca="false">-K12</f>
        <v>2259.5022817538</v>
      </c>
      <c r="L16" s="0" t="n">
        <f aca="false">-L12</f>
        <v>2315.98983879764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-1596.38</v>
      </c>
      <c r="D17" s="4" t="n">
        <f aca="false">-D6*Assumptions!D46/100</f>
        <v>-1747.616</v>
      </c>
      <c r="E17" s="4" t="n">
        <f aca="false">-E6*Assumptions!E46/100</f>
        <v>-1926.74664</v>
      </c>
      <c r="F17" s="4" t="n">
        <f aca="false">-F6*Assumptions!F46/100</f>
        <v>-2071.252638</v>
      </c>
      <c r="G17" s="4" t="n">
        <f aca="false">-G6*Assumptions!G46/100</f>
        <v>-2164.45900671</v>
      </c>
      <c r="H17" s="4" t="n">
        <f aca="false">-H6*Assumptions!H46/100</f>
        <v>-2251.0373669784</v>
      </c>
      <c r="I17" s="4" t="n">
        <f aca="false">-I6*Assumptions!I46/100</f>
        <v>-2329.82367482264</v>
      </c>
      <c r="J17" s="4" t="n">
        <f aca="false">-J6*Assumptions!J46/100</f>
        <v>-2399.71838506732</v>
      </c>
      <c r="K17" s="4" t="n">
        <f aca="false">-K6*Assumptions!K46/100</f>
        <v>-2459.71134469401</v>
      </c>
      <c r="L17" s="4" t="n">
        <f aca="false">-L6*Assumptions!L46/100</f>
        <v>-2521.20412831136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-168.04</v>
      </c>
      <c r="E18" s="4" t="n">
        <f aca="false">(E6-D6)*Assumptions!$B$51/100</f>
        <v>-218.452</v>
      </c>
      <c r="F18" s="4" t="n">
        <f aca="false">(F6-E6)*Assumptions!$B$51/100</f>
        <v>-229.3746</v>
      </c>
      <c r="G18" s="4" t="n">
        <f aca="false">(G6-F6)*Assumptions!$B$51/100</f>
        <v>-216.758996999999</v>
      </c>
      <c r="H18" s="4" t="n">
        <f aca="false">(H6-G6)*Assumptions!$B$51/100</f>
        <v>-201.34502388</v>
      </c>
      <c r="I18" s="4" t="n">
        <f aca="false">(I6-H6)*Assumptions!$B$51/100</f>
        <v>-183.2239717308</v>
      </c>
      <c r="J18" s="4" t="n">
        <f aca="false">(J6-I6)*Assumptions!$B$51/100</f>
        <v>-162.545837778324</v>
      </c>
      <c r="K18" s="4" t="n">
        <f aca="false">(K6-J6)*Assumptions!$B$51/100</f>
        <v>-139.518510759727</v>
      </c>
      <c r="L18" s="4" t="n">
        <f aca="false">(L6-K6)*Assumptions!$B$51/100</f>
        <v>-143.006473528721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2019.25266</v>
      </c>
      <c r="D19" s="0" t="n">
        <f aca="false">D15+D16+D17+D18</f>
        <v>2014.9945264</v>
      </c>
      <c r="E19" s="0" t="n">
        <f aca="false">E15+E16+E17+E18</f>
        <v>2125.11416312</v>
      </c>
      <c r="F19" s="0" t="n">
        <f aca="false">F15+F16+F17+F18</f>
        <v>2295.915883716</v>
      </c>
      <c r="G19" s="0" t="n">
        <f aca="false">G15+G16+G17+G18</f>
        <v>2500.69411779642</v>
      </c>
      <c r="H19" s="0" t="n">
        <f aca="false">H15+H16+H17+H18</f>
        <v>2624.80621550828</v>
      </c>
      <c r="I19" s="0" t="n">
        <f aca="false">I15+I16+I17+I18</f>
        <v>2741.84256103607</v>
      </c>
      <c r="J19" s="0" t="n">
        <f aca="false">J15+J16+J17+J18</f>
        <v>2850.27269097155</v>
      </c>
      <c r="K19" s="0" t="n">
        <f aca="false">K15+K16+K17+K18</f>
        <v>2948.62048120889</v>
      </c>
      <c r="L19" s="0" t="n">
        <f aca="false">L15+L16+L17+L18</f>
        <v>3022.33599323911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1844.06635616438</v>
      </c>
      <c r="D21" s="0" t="n">
        <f aca="false">D19*D20</f>
        <v>1680.52753395467</v>
      </c>
      <c r="E21" s="0" t="n">
        <f aca="false">E19*E20</f>
        <v>1618.60138692977</v>
      </c>
      <c r="F21" s="0" t="n">
        <f aca="false">F19*F20</f>
        <v>1596.98006871362</v>
      </c>
      <c r="G21" s="0" t="n">
        <f aca="false">G19*G20</f>
        <v>1588.5100860319</v>
      </c>
      <c r="H21" s="0" t="n">
        <f aca="false">H19*H20</f>
        <v>1522.69362931017</v>
      </c>
      <c r="I21" s="0" t="n">
        <f aca="false">I19*I20</f>
        <v>1452.59210493308</v>
      </c>
      <c r="J21" s="0" t="n">
        <f aca="false">J19*J20</f>
        <v>1379.02918792943</v>
      </c>
      <c r="K21" s="0" t="n">
        <f aca="false">K19*K20</f>
        <v>1302.84216404871</v>
      </c>
      <c r="L21" s="0" t="n">
        <f aca="false">L19*L20</f>
        <v>1219.55545036523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15205.397968381</v>
      </c>
    </row>
    <row r="31" customFormat="false" ht="15" hidden="false" customHeight="false" outlineLevel="0" collapsed="false">
      <c r="A31" s="0" t="s">
        <v>128</v>
      </c>
      <c r="B31" s="0" t="n">
        <f aca="false">L19</f>
        <v>3022.33599323911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44255.6341867156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36268.0319188694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36268.0319188694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14634.6654043828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29840.0633727638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25626.0633727638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137.321017787735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0.505052803460487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558.419329331296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623.586482955556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143.654969234478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24783.1551445607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74.0958728841852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65.6565866208519</v>
      </c>
      <c r="C4" s="0" t="n">
        <f aca="false">B4/Assumptions!$B$2-1</f>
        <v>-0.280396902445726</v>
      </c>
      <c r="D4" s="4" t="n">
        <f aca="false">Assumptions!$B$24</f>
        <v>0.25</v>
      </c>
      <c r="E4" s="4" t="n">
        <f aca="false">DCF_Bear!$B$43</f>
        <v>70.3537480975898</v>
      </c>
      <c r="F4" s="4" t="n">
        <f aca="false">DCF_Bear!$B$47</f>
        <v>32.4857392936203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109.71179865386</v>
      </c>
      <c r="C5" s="0" t="n">
        <f aca="false">B5/Assumptions!$B$2-1</f>
        <v>0.20245285679373</v>
      </c>
      <c r="D5" s="4" t="n">
        <f aca="false">Assumptions!$B$38</f>
        <v>0.5</v>
      </c>
      <c r="E5" s="4" t="n">
        <f aca="false">DCF_Base!$B$43</f>
        <v>115.320795876594</v>
      </c>
      <c r="F5" s="4" t="n">
        <f aca="false">DCF_Base!$B$47</f>
        <v>57.9409064085261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137.321017787735</v>
      </c>
      <c r="C6" s="0" t="n">
        <f aca="false">B6/Assumptions!$B$2-1</f>
        <v>0.505052803460487</v>
      </c>
      <c r="D6" s="4" t="n">
        <f aca="false">Assumptions!$B$52</f>
        <v>0.25</v>
      </c>
      <c r="E6" s="4" t="n">
        <f aca="false">DCF_Bull!$B$43</f>
        <v>143.654969234478</v>
      </c>
      <c r="F6" s="4" t="n">
        <f aca="false">DCF_Bull!$B$47</f>
        <v>74.0958728841852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105.600300429077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111.162577271314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0.135987306577043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-258.173061794259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55.6158562487144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114.232740127625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109.71179865386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105.388281657479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94.2895855708884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82.4613322301683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57.9409064085261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129.088000342315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129.088000342315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129.088000342315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129.088000342315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129.088000342315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118.961580997526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118.961580997526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118.961580997526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118.961580997526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118.961580997526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109.104233646856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109.71179865386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109.71179865386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109.71179865386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109.71179865386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94.799472313266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97.846639320428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101.252296563727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101.252296563727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101.252296563727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83.2458768056706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85.5338965549625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88.0627604883904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90.8726093033102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93.5060550536163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2026-10-10T09:17:56Z</dcterms:created>
  <dc:creator>openpyxl</dc:creator>
  <dc:description/>
  <dc:language>en-NZ</dc:language>
  <cp:lastModifiedBy/>
  <dcterms:modified xsi:type="dcterms:W3CDTF">2026-10-10T09:17:56Z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