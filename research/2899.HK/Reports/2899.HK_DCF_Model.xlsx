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<sst xmlns="http://schemas.openxmlformats.org/spreadsheetml/2006/main" count="356" uniqueCount="164">
  <si>
    <t xml:space="preserve">Ticker</t>
  </si>
  <si>
    <t xml:space="preserve">2899.HK</t>
  </si>
  <si>
    <t xml:space="preserve">Company</t>
  </si>
  <si>
    <t xml:space="preserve">Zijin Mining Group Co., Ltd.</t>
  </si>
  <si>
    <t xml:space="preserve">Valuation date</t>
  </si>
  <si>
    <t xml:space="preserve">2026-10-22</t>
  </si>
  <si>
    <t xml:space="preserve">Current price</t>
  </si>
  <si>
    <t xml:space="preserve">Price as of</t>
  </si>
  <si>
    <t xml:space="preserve">2026-10-22T06:44:31Z intraday HKEX session (Yahoo regularMarketPrice; 52-week range 26.58-46.98)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</si>
  <si>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</si>
  <si>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</si>
  <si>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</si>
  <si>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</si>
  <si>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</si>
  <si>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</si>
  <si>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</si>
  <si>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</si>
  <si>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</si>
  <si>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</si>
  <si>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</si>
  <si>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</si>
  <si>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</si>
  <si>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2026-10-22T07:05:54Z</t>
  </si>
  <si>
    <t xml:space="preserve">Drivers file</t>
  </si>
  <si>
    <t xml:space="preserve">2899.HK_Drivers.json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</si>
  <si>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</si>
  <si>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</si>
  <si>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</si>
  <si>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Mid-cycle owner-FCF DCF on consolidated core EBITDA (ex equity-accounted JV income and fair-value gains), with the NCI profit share charged once as a leakage inside the tax line and equity-accounted investments carried in the bridge at book. The explicit path deliberately walks margins DOWN from the H1 FY2026 peak (35.3%) to a 23.5% mid-cycle level rather than capitalising record gold/copper prices -- the SEK.NZ peak-FCF lesson. Growth is volume-led from the disclosed 2026-28 production plan, net of price normalisation. The terminal value is capped at 12x owner FCF (cyclical). The result sits well below sell-side targets because those assume the 2025-26 price regime is permanent.
key_risks_to_valuation: Gold and copper prices: every 10% change in the mid-cycle margin assumption (23.5%) moves base value roughly proportionally; the model is a price-regime call; NCI leakage: Zangge Mining (~75% minority) and Chifeng Gold (~74% minority on consolidation) are consolidated 100% in revenue/EBITDA; if the leakage rate under-captures their minorities the value is overstated; Kamoa-Kakula is equity-accounted and carried at book in the bridge -- market value is materially higher, an upside the model does not credit; Capex/M&amp;A intensity: a continued RMB15-20bn/yr acquisition pace beyond the 10.5% capex allowance would consume the modelled FCF; Jurisdiction risk (DRC, Congo export bans, Serbia, Tajikistan, PNG) is charged in the WACC premium; a large expropriation would exceed what 1.5pp prices; FX: HKD value depends on the CNY/HKD rate (1.1746 at 2026-10-22); refresh_price.py does not update fx_rate</t>
  </si>
  <si>
    <t xml:space="preserve">Data sources</t>
  </si>
  <si>
    <t xml:space="preserve">price: Yahoo Finance chart API at inputs.price_as_of (HKD); 52-week range 26.58-46.98; A-share 601899.SS used for the fx parity check
fx: Yahoo CNYHKD=X / HKDCNY=X, 2026-10-22
financials: 2899.HK_Metrics.csv (core_metrics, RMB millions, FY2017-H1 FY2026); FY2025 annual report (income statement, cash flow, notes 59/61/69/71) and H1 FY2026 interim report (balance sheet 30 June 2026, cash flow, CB terms) in Extracted/
qualitative: 2899.HK_Analysis.json (2026-10-22): production guidance 2026/2028, Kamoa-Kakula flood, Chifeng Gold acquisition, dividend policy, sell-side targets</t>
  </si>
  <si>
    <t xml:space="preserve">Scenario narrative: bear</t>
  </si>
  <si>
    <t xml:space="preserve">Cycle reversal: gold ~US$2,800, copper ~US$8,500 by 2028; revenue contracts for three years, core margin falls to 17% as the growth ounces turn out higher-cost at lower prices, DRC/Serbia jurisdiction risk crystallises in lost tonnes, and committed capex cannot be cut quickly.</t>
  </si>
  <si>
    <t xml:space="preserve">Scenario narrative: base</t>
  </si>
  <si>
    <t xml:space="preserve">Mid-cycle normalisation: metal prices retrace from the 2025-26 record regime over four years while the 2026-28 volume plan (copper 1.09 -&gt; 1.5-1.6mt, gold 90 -&gt; 130-140t, LCE 25 -&gt; 270-320kt) and lower-cost new mines hold revenue growth positive and settle the core EBITDA margin at 23.5%, between FY2024 (18.7%) and FY2025 (26.3%). Heavy capex and acquisition spend taper from 10.5% to 8% of revenue; NCI leakage rises as the listed subsidiaries' minorities grow.</t>
  </si>
  <si>
    <t xml:space="preserve">Scenario narrative: bull</t>
  </si>
  <si>
    <t xml:space="preserve">Prices hold the new regime (gold US$4,000-5,000, copper &gt;US$12,000), Kamoa-Kakula and Julong-3 deliver, lithium ramps into a recovered price; margin settles at 28% on 18/10/8% early growth. This is the sell-side world (HK$49-51 targets) with the margin still held below the H1 FY2026 peak.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</si>
  <si>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</si>
  <si>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</si>
  <si>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</si>
  <si>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</si>
  <si>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</si>
  <si>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</si>
  <si>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</si>
  <si>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</si>
  <si>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</si>
  <si>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</si>
  <si>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</si>
  <si>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</si>
  <si>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</si>
  <si>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</si>
  <si>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</si>
  <si>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</si>
  <si>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</si>
  <si>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</si>
  <si>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</si>
  <si>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</si>
  <si>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</si>
  <si>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</si>
  <si>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</si>
  <si>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</si>
  <si>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</si>
  <si>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</si>
  <si>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</si>
  <si>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</si>
  <si>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</si>
  <si>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</si>
  <si>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</si>
  <si>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</si>
  <si>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</si>
  <si>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</si>
  <si>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</si>
  <si>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</si>
  <si>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</si>
  <si>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</si>
  <si>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</si>
  <si>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</si>
  <si>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</si>
  <si>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</si>
  <si>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</si>
  <si>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</si>
  <si>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</si>
  <si>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</si>
  <si>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</si>
  <si>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</si>
  <si>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</si>
  <si>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</si>
  <si>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</si>
  <si>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</si>
  <si>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</si>
  <si>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</si>
  <si>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</si>
  <si>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</si>
  <si>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</si>
  <si>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</si>
  <si>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</si>
  <si>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</si>
  <si>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</si>
  <si>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</si>
  <si>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</si>
  <si>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</si>
  <si>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</si>
  <si>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</si>
  <si>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</si>
  <si>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</si>
  <si>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</si>
  <si>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</si>
  <si>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</si>
  <si>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</si>
  <si>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</si>
  <si>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2899.HK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</si>
  <si>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</si>
  <si>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</si>
  <si>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</si>
  <si>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</si>
  <si>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</si>
  <si>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</si>
  <si>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</si>
  <si>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</si>
  <si>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</si>
  <si>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</si>
  <si>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</si>
  <si>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</si>
  <si>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</si>
  <si>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</si>
  <si>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</si>
  <si>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</si>
  <si>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</si>
  <si>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</si>
  <si>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</si>
  <si>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</si>
  <si>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</si>
  <si>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</si>
  <si>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</si>
  <si>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</si>
  <si>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</si>
  <si>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</si>
  <si>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</si>
  <si>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</si>
  <si>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</si>
  <si>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</si>
  <si>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2899.HK owner-FCF component DCF: base case (millions, CNY)</t>
  </si>
  <si>
    <t xml:space="preserve">2899.HK owner-FCF component DCF: bull case (millions, CNY)</t>
  </si>
  <si>
    <t xml:space="preserve">2899.HK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</si>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</sst>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29.34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94548.6</v>
      </c>
      <c r="F2" s="0" t="n">
        <v>5026.6</v>
      </c>
      <c r="G2" s="0" t="n">
        <v>5.3</v>
      </c>
      <c r="I2" s="0" t="n">
        <v>3507.7</v>
      </c>
      <c r="J2" s="0" t="n">
        <v>3.7</v>
      </c>
      <c r="K2" s="0" t="n">
        <v>0.16</v>
      </c>
      <c r="L2" s="0" t="n">
        <v>9764.4</v>
      </c>
      <c r="M2" s="0" t="n">
        <v>5037.5</v>
      </c>
      <c r="N2" s="0" t="n">
        <v>4726.9</v>
      </c>
      <c r="O2" s="0" t="n">
        <v>34999.7</v>
      </c>
      <c r="P2" s="0" t="n">
        <v>89315.3</v>
      </c>
      <c r="Q2" s="0" t="n">
        <v>51672.4</v>
      </c>
      <c r="R2" s="0" t="n">
        <v>34834.4</v>
      </c>
      <c r="S2" s="0" t="n">
        <v>5936.1</v>
      </c>
      <c r="T2" s="0" t="n">
        <v>23031.2</v>
      </c>
      <c r="U2" s="0" t="n">
        <v>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105994.2</v>
      </c>
      <c r="F3" s="0" t="n">
        <v>6181.4</v>
      </c>
      <c r="G3" s="0" t="n">
        <v>5.8</v>
      </c>
      <c r="I3" s="0" t="n">
        <v>4093.8</v>
      </c>
      <c r="J3" s="0" t="n">
        <v>3.9</v>
      </c>
      <c r="K3" s="0" t="n">
        <v>0.18</v>
      </c>
      <c r="L3" s="0" t="n">
        <v>10233</v>
      </c>
      <c r="M3" s="0" t="n">
        <v>7808.9</v>
      </c>
      <c r="N3" s="0" t="n">
        <v>2424.1</v>
      </c>
      <c r="O3" s="0" t="n">
        <v>40455.4</v>
      </c>
      <c r="P3" s="0" t="n">
        <v>112879.3</v>
      </c>
      <c r="Q3" s="0" t="n">
        <v>65605.6</v>
      </c>
      <c r="R3" s="0" t="n">
        <v>47121.1</v>
      </c>
      <c r="S3" s="0" t="n">
        <v>10089.9</v>
      </c>
      <c r="T3" s="0" t="n">
        <v>23031.2</v>
      </c>
      <c r="U3" s="0" t="n">
        <v>0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136098</v>
      </c>
      <c r="F4" s="0" t="n">
        <v>7242.1</v>
      </c>
      <c r="G4" s="0" t="n">
        <v>5.3</v>
      </c>
      <c r="I4" s="0" t="n">
        <v>4284</v>
      </c>
      <c r="J4" s="0" t="n">
        <v>3.1</v>
      </c>
      <c r="K4" s="0" t="n">
        <v>0.18</v>
      </c>
      <c r="L4" s="0" t="n">
        <v>10665.6</v>
      </c>
      <c r="M4" s="0" t="n">
        <v>11896</v>
      </c>
      <c r="N4" s="0" t="n">
        <v>-1230.4</v>
      </c>
      <c r="O4" s="0" t="n">
        <v>51186</v>
      </c>
      <c r="P4" s="0" t="n">
        <v>123830.9</v>
      </c>
      <c r="Q4" s="0" t="n">
        <v>66751.3</v>
      </c>
      <c r="R4" s="0" t="n">
        <v>46284.8</v>
      </c>
      <c r="S4" s="0" t="n">
        <v>6225.1</v>
      </c>
      <c r="T4" s="0" t="n">
        <v>25377.3</v>
      </c>
      <c r="U4" s="0" t="n">
        <v>0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171501.3</v>
      </c>
      <c r="F5" s="0" t="n">
        <v>11239.7</v>
      </c>
      <c r="G5" s="0" t="n">
        <v>6.6</v>
      </c>
      <c r="I5" s="0" t="n">
        <v>6508.6</v>
      </c>
      <c r="J5" s="0" t="n">
        <v>3.8</v>
      </c>
      <c r="K5" s="0" t="n">
        <v>0.25</v>
      </c>
      <c r="L5" s="0" t="n">
        <v>14268.4</v>
      </c>
      <c r="M5" s="0" t="n">
        <v>13886.4</v>
      </c>
      <c r="N5" s="0" t="n">
        <v>382</v>
      </c>
      <c r="O5" s="0" t="n">
        <v>56538.6</v>
      </c>
      <c r="P5" s="0" t="n">
        <v>182313.3</v>
      </c>
      <c r="Q5" s="0" t="n">
        <v>107716.8</v>
      </c>
      <c r="R5" s="0" t="n">
        <v>74060.1</v>
      </c>
      <c r="S5" s="0" t="n">
        <v>11955.3</v>
      </c>
      <c r="T5" s="0" t="n">
        <v>25377.3</v>
      </c>
      <c r="U5" s="0" t="n">
        <v>0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225102.5</v>
      </c>
      <c r="F6" s="0" t="n">
        <v>25086.5</v>
      </c>
      <c r="G6" s="0" t="n">
        <v>11.1</v>
      </c>
      <c r="I6" s="0" t="n">
        <v>15672.9</v>
      </c>
      <c r="J6" s="0" t="n">
        <v>7</v>
      </c>
      <c r="K6" s="0" t="n">
        <v>0.6</v>
      </c>
      <c r="L6" s="0" t="n">
        <v>26072.2</v>
      </c>
      <c r="M6" s="0" t="n">
        <v>20148.6</v>
      </c>
      <c r="N6" s="0" t="n">
        <v>5923.7</v>
      </c>
      <c r="O6" s="0" t="n">
        <v>71034.4</v>
      </c>
      <c r="P6" s="0" t="n">
        <v>208594.7</v>
      </c>
      <c r="Q6" s="0" t="n">
        <v>115697.5</v>
      </c>
      <c r="R6" s="0" t="n">
        <v>78257.9</v>
      </c>
      <c r="S6" s="0" t="n">
        <v>14221.8</v>
      </c>
      <c r="T6" s="0" t="n">
        <v>26330.1</v>
      </c>
      <c r="U6" s="0" t="n">
        <v>197.2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270329</v>
      </c>
      <c r="F7" s="0" t="n">
        <v>30945.6</v>
      </c>
      <c r="G7" s="0" t="n">
        <v>11.4</v>
      </c>
      <c r="I7" s="0" t="n">
        <v>20042</v>
      </c>
      <c r="J7" s="0" t="n">
        <v>7.4</v>
      </c>
      <c r="K7" s="0" t="n">
        <v>0.76</v>
      </c>
      <c r="L7" s="0" t="n">
        <v>28678.5</v>
      </c>
      <c r="M7" s="0" t="n">
        <v>24794.4</v>
      </c>
      <c r="N7" s="0" t="n">
        <v>3884.1</v>
      </c>
      <c r="O7" s="0" t="n">
        <v>88942.8</v>
      </c>
      <c r="P7" s="0" t="n">
        <v>306044.1</v>
      </c>
      <c r="Q7" s="0" t="n">
        <v>181588.7</v>
      </c>
      <c r="R7" s="0" t="n">
        <v>124224.3</v>
      </c>
      <c r="S7" s="0" t="n">
        <v>20243.7</v>
      </c>
      <c r="T7" s="0" t="n">
        <v>26329.3</v>
      </c>
      <c r="U7" s="0" t="n">
        <v>197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293403.2</v>
      </c>
      <c r="F8" s="0" t="n">
        <v>31936.5</v>
      </c>
      <c r="G8" s="0" t="n">
        <v>10.9</v>
      </c>
      <c r="I8" s="0" t="n">
        <v>21119.4</v>
      </c>
      <c r="J8" s="0" t="n">
        <v>7.2</v>
      </c>
      <c r="K8" s="0" t="n">
        <v>0.8</v>
      </c>
      <c r="L8" s="0" t="n">
        <v>36860.1</v>
      </c>
      <c r="M8" s="0" t="n">
        <v>30428.7</v>
      </c>
      <c r="N8" s="0" t="n">
        <v>6431.4</v>
      </c>
      <c r="O8" s="0" t="n">
        <v>107505.9</v>
      </c>
      <c r="P8" s="0" t="n">
        <v>343005.7</v>
      </c>
      <c r="Q8" s="0" t="n">
        <v>204642.9</v>
      </c>
      <c r="R8" s="0" t="n">
        <v>141917</v>
      </c>
      <c r="S8" s="0" t="n">
        <v>18448.7</v>
      </c>
      <c r="T8" s="0" t="n">
        <v>26326.6</v>
      </c>
      <c r="U8" s="0" t="n">
        <v>104.3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303640</v>
      </c>
      <c r="F9" s="0" t="n">
        <v>48826.6</v>
      </c>
      <c r="G9" s="0" t="n">
        <v>16.1</v>
      </c>
      <c r="I9" s="0" t="n">
        <v>32050.6</v>
      </c>
      <c r="J9" s="0" t="n">
        <v>10.6</v>
      </c>
      <c r="K9" s="0" t="n">
        <v>1.21</v>
      </c>
      <c r="L9" s="0" t="n">
        <v>48860.3</v>
      </c>
      <c r="M9" s="0" t="n">
        <v>24797.8</v>
      </c>
      <c r="N9" s="0" t="n">
        <v>24062.6</v>
      </c>
      <c r="O9" s="0" t="n">
        <v>139785.5</v>
      </c>
      <c r="P9" s="0" t="n">
        <v>396610.7</v>
      </c>
      <c r="Q9" s="0" t="n">
        <v>218880</v>
      </c>
      <c r="R9" s="0" t="n">
        <v>149100.6</v>
      </c>
      <c r="S9" s="0" t="n">
        <v>31690.9</v>
      </c>
      <c r="T9" s="0" t="n">
        <v>26577.9</v>
      </c>
      <c r="U9" s="0" t="n">
        <v>238.8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349079.1</v>
      </c>
      <c r="F10" s="0" t="n">
        <v>82110.1</v>
      </c>
      <c r="G10" s="0" t="n">
        <v>23.5</v>
      </c>
      <c r="I10" s="0" t="n">
        <v>51777.3</v>
      </c>
      <c r="J10" s="0" t="n">
        <v>14.8</v>
      </c>
      <c r="K10" s="0" t="n">
        <v>1.95</v>
      </c>
      <c r="L10" s="0" t="n">
        <v>75429.5</v>
      </c>
      <c r="M10" s="0" t="n">
        <v>30982.3</v>
      </c>
      <c r="N10" s="0" t="n">
        <v>44447.2</v>
      </c>
      <c r="O10" s="0" t="n">
        <v>185542</v>
      </c>
      <c r="P10" s="0" t="n">
        <v>512005.1</v>
      </c>
      <c r="Q10" s="0" t="n">
        <v>263982.6</v>
      </c>
      <c r="R10" s="0" t="n">
        <v>164492.8</v>
      </c>
      <c r="S10" s="0" t="n">
        <v>65576.7</v>
      </c>
      <c r="T10" s="0" t="n">
        <v>26589.7</v>
      </c>
      <c r="U10" s="0" t="n">
        <v>226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29.34</v>
      </c>
    </row>
    <row r="3" customFormat="false" ht="15" hidden="false" customHeight="false" outlineLevel="0" collapsed="false">
      <c r="A3" s="0" t="s">
        <v>76</v>
      </c>
      <c r="B3" s="3" t="n">
        <v>27463</v>
      </c>
    </row>
    <row r="4" customFormat="false" ht="15" hidden="false" customHeight="false" outlineLevel="0" collapsed="false">
      <c r="A4" s="0" t="s">
        <v>77</v>
      </c>
      <c r="B4" s="3" t="n">
        <v>60014</v>
      </c>
    </row>
    <row r="5" customFormat="false" ht="15" hidden="false" customHeight="false" outlineLevel="0" collapsed="false">
      <c r="A5" s="0" t="s">
        <v>78</v>
      </c>
      <c r="B5" s="3" t="n">
        <v>68335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349079.1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1.1746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10</v>
      </c>
      <c r="D13" s="3" t="n">
        <v>-8</v>
      </c>
      <c r="E13" s="3" t="n">
        <v>-6</v>
      </c>
      <c r="F13" s="3" t="n">
        <v>-2</v>
      </c>
      <c r="G13" s="3" t="n">
        <v>1</v>
      </c>
      <c r="H13" s="3" t="n">
        <v>2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97</v>
      </c>
      <c r="C14" s="3" t="n">
        <v>30</v>
      </c>
      <c r="D14" s="3" t="n">
        <v>24</v>
      </c>
      <c r="E14" s="3" t="n">
        <v>20</v>
      </c>
      <c r="F14" s="3" t="n">
        <v>18</v>
      </c>
      <c r="G14" s="3" t="n">
        <v>17.5</v>
      </c>
      <c r="H14" s="3" t="n">
        <v>17</v>
      </c>
      <c r="I14" s="3" t="n">
        <v>17</v>
      </c>
      <c r="J14" s="3" t="n">
        <v>17</v>
      </c>
      <c r="K14" s="3" t="n">
        <v>17</v>
      </c>
      <c r="L14" s="3" t="n">
        <v>17</v>
      </c>
    </row>
    <row r="15" customFormat="false" ht="15" hidden="false" customHeight="false" outlineLevel="0" collapsed="false">
      <c r="A15" s="0" t="s">
        <v>98</v>
      </c>
      <c r="C15" s="3" t="n">
        <v>0.065</v>
      </c>
      <c r="D15" s="3" t="n">
        <v>0.065</v>
      </c>
      <c r="E15" s="3" t="n">
        <v>0.065</v>
      </c>
      <c r="F15" s="3" t="n">
        <v>0.065</v>
      </c>
      <c r="G15" s="3" t="n">
        <v>0.065</v>
      </c>
      <c r="H15" s="3" t="n">
        <v>0.065</v>
      </c>
      <c r="I15" s="3" t="n">
        <v>0.065</v>
      </c>
      <c r="J15" s="3" t="n">
        <v>0.065</v>
      </c>
      <c r="K15" s="3" t="n">
        <v>0.065</v>
      </c>
      <c r="L15" s="3" t="n">
        <v>0.065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4.6</v>
      </c>
      <c r="D17" s="3" t="n">
        <v>5.6</v>
      </c>
      <c r="E17" s="3" t="n">
        <v>6.3</v>
      </c>
      <c r="F17" s="3" t="n">
        <v>6.6</v>
      </c>
      <c r="G17" s="3" t="n">
        <v>6.7</v>
      </c>
      <c r="H17" s="3" t="n">
        <v>6.7</v>
      </c>
      <c r="I17" s="3" t="n">
        <v>6.7</v>
      </c>
      <c r="J17" s="3" t="n">
        <v>6.7</v>
      </c>
      <c r="K17" s="3" t="n">
        <v>6.7</v>
      </c>
      <c r="L17" s="3" t="n">
        <v>6.7</v>
      </c>
    </row>
    <row r="18" customFormat="false" ht="15" hidden="false" customHeight="false" outlineLevel="0" collapsed="false">
      <c r="A18" s="0" t="s">
        <v>101</v>
      </c>
      <c r="C18" s="3" t="n">
        <v>11</v>
      </c>
      <c r="D18" s="3" t="n">
        <v>11</v>
      </c>
      <c r="E18" s="3" t="n">
        <v>9.5</v>
      </c>
      <c r="F18" s="3" t="n">
        <v>8.5</v>
      </c>
      <c r="G18" s="3" t="n">
        <v>8</v>
      </c>
      <c r="H18" s="3" t="n">
        <v>7.5</v>
      </c>
      <c r="I18" s="3" t="n">
        <v>7.5</v>
      </c>
      <c r="J18" s="3" t="n">
        <v>7.5</v>
      </c>
      <c r="K18" s="3" t="n">
        <v>7.5</v>
      </c>
      <c r="L18" s="3" t="n">
        <v>7.5</v>
      </c>
    </row>
    <row r="19" customFormat="false" ht="15" hidden="false" customHeight="false" outlineLevel="0" collapsed="false">
      <c r="A19" s="0" t="s">
        <v>102</v>
      </c>
      <c r="C19" s="3" t="n">
        <v>36.8</v>
      </c>
      <c r="D19" s="3" t="n">
        <v>37.6</v>
      </c>
      <c r="E19" s="3" t="n">
        <v>38.4</v>
      </c>
      <c r="F19" s="3" t="n">
        <v>39.2</v>
      </c>
      <c r="G19" s="3" t="n">
        <v>40</v>
      </c>
      <c r="H19" s="3" t="n">
        <v>40</v>
      </c>
      <c r="I19" s="3" t="n">
        <v>40</v>
      </c>
      <c r="J19" s="3" t="n">
        <v>40</v>
      </c>
      <c r="K19" s="3" t="n">
        <v>40</v>
      </c>
      <c r="L19" s="3" t="n">
        <v>40</v>
      </c>
    </row>
    <row r="20" customFormat="false" ht="15" hidden="false" customHeight="false" outlineLevel="0" collapsed="false">
      <c r="A20" s="0" t="s">
        <v>103</v>
      </c>
      <c r="B20" s="3" t="n">
        <v>9</v>
      </c>
    </row>
    <row r="21" customFormat="false" ht="15" hidden="false" customHeight="false" outlineLevel="0" collapsed="false">
      <c r="A21" s="0" t="s">
        <v>104</v>
      </c>
      <c r="B21" s="3" t="n">
        <v>2.5</v>
      </c>
    </row>
    <row r="22" customFormat="false" ht="15" hidden="false" customHeight="false" outlineLevel="0" collapsed="false">
      <c r="A22" s="0" t="s">
        <v>105</v>
      </c>
      <c r="B22" s="3" t="n">
        <v>12</v>
      </c>
    </row>
    <row r="23" customFormat="false" ht="15" hidden="false" customHeight="false" outlineLevel="0" collapsed="false">
      <c r="A23" s="0" t="s">
        <v>106</v>
      </c>
      <c r="B23" s="3" t="n">
        <v>-5</v>
      </c>
    </row>
    <row r="24" customFormat="false" ht="15" hidden="false" customHeight="false" outlineLevel="0" collapsed="false">
      <c r="A24" s="0" t="s">
        <v>107</v>
      </c>
      <c r="B24" s="3" t="n">
        <v>0.25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15</v>
      </c>
      <c r="D27" s="3" t="n">
        <v>5</v>
      </c>
      <c r="E27" s="3" t="n">
        <v>4</v>
      </c>
      <c r="F27" s="3" t="n">
        <v>3</v>
      </c>
      <c r="G27" s="3" t="n">
        <v>3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97</v>
      </c>
      <c r="C28" s="3" t="n">
        <v>33</v>
      </c>
      <c r="D28" s="3" t="n">
        <v>29</v>
      </c>
      <c r="E28" s="3" t="n">
        <v>26.5</v>
      </c>
      <c r="F28" s="3" t="n">
        <v>25</v>
      </c>
      <c r="G28" s="3" t="n">
        <v>24</v>
      </c>
      <c r="H28" s="3" t="n">
        <v>23.5</v>
      </c>
      <c r="I28" s="3" t="n">
        <v>23.5</v>
      </c>
      <c r="J28" s="3" t="n">
        <v>23.5</v>
      </c>
      <c r="K28" s="3" t="n">
        <v>23.5</v>
      </c>
      <c r="L28" s="3" t="n">
        <v>23.5</v>
      </c>
    </row>
    <row r="29" customFormat="false" ht="15" hidden="false" customHeight="false" outlineLevel="0" collapsed="false">
      <c r="A29" s="0" t="s">
        <v>98</v>
      </c>
      <c r="C29" s="3" t="n">
        <v>0.065</v>
      </c>
      <c r="D29" s="3" t="n">
        <v>0.065</v>
      </c>
      <c r="E29" s="3" t="n">
        <v>0.065</v>
      </c>
      <c r="F29" s="3" t="n">
        <v>0.065</v>
      </c>
      <c r="G29" s="3" t="n">
        <v>0.065</v>
      </c>
      <c r="H29" s="3" t="n">
        <v>0.065</v>
      </c>
      <c r="I29" s="3" t="n">
        <v>0.065</v>
      </c>
      <c r="J29" s="3" t="n">
        <v>0.065</v>
      </c>
      <c r="K29" s="3" t="n">
        <v>0.065</v>
      </c>
      <c r="L29" s="3" t="n">
        <v>0.065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4.3</v>
      </c>
      <c r="D31" s="3" t="n">
        <v>4.8</v>
      </c>
      <c r="E31" s="3" t="n">
        <v>5.2</v>
      </c>
      <c r="F31" s="3" t="n">
        <v>5.5</v>
      </c>
      <c r="G31" s="3" t="n">
        <v>5.7</v>
      </c>
      <c r="H31" s="3" t="n">
        <v>5.8</v>
      </c>
      <c r="I31" s="3" t="n">
        <v>5.8</v>
      </c>
      <c r="J31" s="3" t="n">
        <v>5.8</v>
      </c>
      <c r="K31" s="3" t="n">
        <v>5.8</v>
      </c>
      <c r="L31" s="3" t="n">
        <v>5.8</v>
      </c>
    </row>
    <row r="32" customFormat="false" ht="15" hidden="false" customHeight="false" outlineLevel="0" collapsed="false">
      <c r="A32" s="0" t="s">
        <v>101</v>
      </c>
      <c r="C32" s="3" t="n">
        <v>10.5</v>
      </c>
      <c r="D32" s="3" t="n">
        <v>10.5</v>
      </c>
      <c r="E32" s="3" t="n">
        <v>10</v>
      </c>
      <c r="F32" s="3" t="n">
        <v>9.5</v>
      </c>
      <c r="G32" s="3" t="n">
        <v>9</v>
      </c>
      <c r="H32" s="3" t="n">
        <v>8.5</v>
      </c>
      <c r="I32" s="3" t="n">
        <v>8</v>
      </c>
      <c r="J32" s="3" t="n">
        <v>8</v>
      </c>
      <c r="K32" s="3" t="n">
        <v>8</v>
      </c>
      <c r="L32" s="3" t="n">
        <v>8</v>
      </c>
    </row>
    <row r="33" customFormat="false" ht="15" hidden="false" customHeight="false" outlineLevel="0" collapsed="false">
      <c r="A33" s="0" t="s">
        <v>102</v>
      </c>
      <c r="C33" s="3" t="n">
        <v>36.8</v>
      </c>
      <c r="D33" s="3" t="n">
        <v>37.6</v>
      </c>
      <c r="E33" s="3" t="n">
        <v>38.4</v>
      </c>
      <c r="F33" s="3" t="n">
        <v>39.2</v>
      </c>
      <c r="G33" s="3" t="n">
        <v>40</v>
      </c>
      <c r="H33" s="3" t="n">
        <v>40</v>
      </c>
      <c r="I33" s="3" t="n">
        <v>40</v>
      </c>
      <c r="J33" s="3" t="n">
        <v>40</v>
      </c>
      <c r="K33" s="3" t="n">
        <v>40</v>
      </c>
      <c r="L33" s="3" t="n">
        <v>40</v>
      </c>
    </row>
    <row r="34" customFormat="false" ht="15" hidden="false" customHeight="false" outlineLevel="0" collapsed="false">
      <c r="A34" s="0" t="s">
        <v>103</v>
      </c>
      <c r="B34" s="3" t="n">
        <v>9</v>
      </c>
    </row>
    <row r="35" customFormat="false" ht="15" hidden="false" customHeight="false" outlineLevel="0" collapsed="false">
      <c r="A35" s="0" t="s">
        <v>104</v>
      </c>
      <c r="B35" s="3" t="n">
        <v>2.5</v>
      </c>
    </row>
    <row r="36" customFormat="false" ht="15" hidden="false" customHeight="false" outlineLevel="0" collapsed="false">
      <c r="A36" s="0" t="s">
        <v>105</v>
      </c>
      <c r="B36" s="3" t="n">
        <v>12</v>
      </c>
    </row>
    <row r="37" customFormat="false" ht="15" hidden="false" customHeight="false" outlineLevel="0" collapsed="false">
      <c r="A37" s="0" t="s">
        <v>106</v>
      </c>
      <c r="B37" s="3" t="n">
        <v>-5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18</v>
      </c>
      <c r="D41" s="3" t="n">
        <v>10</v>
      </c>
      <c r="E41" s="3" t="n">
        <v>8</v>
      </c>
      <c r="F41" s="3" t="n">
        <v>6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35</v>
      </c>
      <c r="D42" s="3" t="n">
        <v>33</v>
      </c>
      <c r="E42" s="3" t="n">
        <v>31</v>
      </c>
      <c r="F42" s="3" t="n">
        <v>30</v>
      </c>
      <c r="G42" s="3" t="n">
        <v>29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</row>
    <row r="43" customFormat="false" ht="15" hidden="false" customHeight="false" outlineLevel="0" collapsed="false">
      <c r="A43" s="0" t="s">
        <v>98</v>
      </c>
      <c r="C43" s="3" t="n">
        <v>0.065</v>
      </c>
      <c r="D43" s="3" t="n">
        <v>0.065</v>
      </c>
      <c r="E43" s="3" t="n">
        <v>0.065</v>
      </c>
      <c r="F43" s="3" t="n">
        <v>0.065</v>
      </c>
      <c r="G43" s="3" t="n">
        <v>0.065</v>
      </c>
      <c r="H43" s="3" t="n">
        <v>0.065</v>
      </c>
      <c r="I43" s="3" t="n">
        <v>0.065</v>
      </c>
      <c r="J43" s="3" t="n">
        <v>0.065</v>
      </c>
      <c r="K43" s="3" t="n">
        <v>0.065</v>
      </c>
      <c r="L43" s="3" t="n">
        <v>0.065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4</v>
      </c>
      <c r="D45" s="3" t="n">
        <v>4.3</v>
      </c>
      <c r="E45" s="3" t="n">
        <v>4.6</v>
      </c>
      <c r="F45" s="3" t="n">
        <v>4.9</v>
      </c>
      <c r="G45" s="3" t="n">
        <v>5.1</v>
      </c>
      <c r="H45" s="3" t="n">
        <v>5.3</v>
      </c>
      <c r="I45" s="3" t="n">
        <v>5.4</v>
      </c>
      <c r="J45" s="3" t="n">
        <v>5.5</v>
      </c>
      <c r="K45" s="3" t="n">
        <v>5.5</v>
      </c>
      <c r="L45" s="3" t="n">
        <v>5.5</v>
      </c>
    </row>
    <row r="46" customFormat="false" ht="15" hidden="false" customHeight="false" outlineLevel="0" collapsed="false">
      <c r="A46" s="0" t="s">
        <v>101</v>
      </c>
      <c r="C46" s="3" t="n">
        <v>10.5</v>
      </c>
      <c r="D46" s="3" t="n">
        <v>10.5</v>
      </c>
      <c r="E46" s="3" t="n">
        <v>10</v>
      </c>
      <c r="F46" s="3" t="n">
        <v>9.5</v>
      </c>
      <c r="G46" s="3" t="n">
        <v>9</v>
      </c>
      <c r="H46" s="3" t="n">
        <v>8.5</v>
      </c>
      <c r="I46" s="3" t="n">
        <v>8</v>
      </c>
      <c r="J46" s="3" t="n">
        <v>8</v>
      </c>
      <c r="K46" s="3" t="n">
        <v>8</v>
      </c>
      <c r="L46" s="3" t="n">
        <v>8</v>
      </c>
    </row>
    <row r="47" customFormat="false" ht="15" hidden="false" customHeight="false" outlineLevel="0" collapsed="false">
      <c r="A47" s="0" t="s">
        <v>102</v>
      </c>
      <c r="C47" s="3" t="n">
        <v>36.8</v>
      </c>
      <c r="D47" s="3" t="n">
        <v>37.6</v>
      </c>
      <c r="E47" s="3" t="n">
        <v>38.4</v>
      </c>
      <c r="F47" s="3" t="n">
        <v>39.2</v>
      </c>
      <c r="G47" s="3" t="n">
        <v>40</v>
      </c>
      <c r="H47" s="3" t="n">
        <v>40</v>
      </c>
      <c r="I47" s="3" t="n">
        <v>40</v>
      </c>
      <c r="J47" s="3" t="n">
        <v>40</v>
      </c>
      <c r="K47" s="3" t="n">
        <v>40</v>
      </c>
      <c r="L47" s="3" t="n">
        <v>40</v>
      </c>
    </row>
    <row r="48" customFormat="false" ht="15" hidden="false" customHeight="false" outlineLevel="0" collapsed="false">
      <c r="A48" s="0" t="s">
        <v>103</v>
      </c>
      <c r="B48" s="3" t="n">
        <v>9</v>
      </c>
    </row>
    <row r="49" customFormat="false" ht="15" hidden="false" customHeight="false" outlineLevel="0" collapsed="false">
      <c r="A49" s="0" t="s">
        <v>104</v>
      </c>
      <c r="B49" s="3" t="n">
        <v>2.5</v>
      </c>
    </row>
    <row r="50" customFormat="false" ht="15" hidden="false" customHeight="false" outlineLevel="0" collapsed="false">
      <c r="A50" s="0" t="s">
        <v>105</v>
      </c>
      <c r="B50" s="3" t="n">
        <v>12</v>
      </c>
    </row>
    <row r="51" customFormat="false" ht="15" hidden="false" customHeight="false" outlineLevel="0" collapsed="false">
      <c r="A51" s="0" t="s">
        <v>106</v>
      </c>
      <c r="B51" s="3" t="n">
        <v>-5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10</v>
      </c>
      <c r="D5" s="4" t="n">
        <f aca="false">Assumptions!D13</f>
        <v>-8</v>
      </c>
      <c r="E5" s="4" t="n">
        <f aca="false">Assumptions!E13</f>
        <v>-6</v>
      </c>
      <c r="F5" s="4" t="n">
        <f aca="false">Assumptions!F13</f>
        <v>-2</v>
      </c>
      <c r="G5" s="4" t="n">
        <f aca="false">Assumptions!G13</f>
        <v>1</v>
      </c>
      <c r="H5" s="4" t="n">
        <f aca="false">Assumptions!H13</f>
        <v>2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349079.1</v>
      </c>
      <c r="C6" s="0" t="n">
        <f aca="false">B6*(1+C5/100)</f>
        <v>383987.01</v>
      </c>
      <c r="D6" s="0" t="n">
        <f aca="false">C6*(1+D5/100)</f>
        <v>353268.0492</v>
      </c>
      <c r="E6" s="0" t="n">
        <f aca="false">D6*(1+E5/100)</f>
        <v>332071.966248</v>
      </c>
      <c r="F6" s="0" t="n">
        <f aca="false">E6*(1+F5/100)</f>
        <v>325430.52692304</v>
      </c>
      <c r="G6" s="0" t="n">
        <f aca="false">F6*(1+G5/100)</f>
        <v>328684.83219227</v>
      </c>
      <c r="H6" s="0" t="n">
        <f aca="false">G6*(1+H5/100)</f>
        <v>335258.528836116</v>
      </c>
      <c r="I6" s="0" t="n">
        <f aca="false">H6*(1+I5/100)</f>
        <v>343639.992057019</v>
      </c>
      <c r="J6" s="0" t="n">
        <f aca="false">I6*(1+J5/100)</f>
        <v>352230.991858444</v>
      </c>
      <c r="K6" s="0" t="n">
        <f aca="false">J6*(1+K5/100)</f>
        <v>361036.766654905</v>
      </c>
      <c r="L6" s="0" t="n">
        <f aca="false">K6*(1+L5/100)</f>
        <v>370062.685821278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30</v>
      </c>
      <c r="D7" s="4" t="n">
        <f aca="false">Assumptions!D14</f>
        <v>24</v>
      </c>
      <c r="E7" s="4" t="n">
        <f aca="false">Assumptions!E14</f>
        <v>20</v>
      </c>
      <c r="F7" s="4" t="n">
        <f aca="false">Assumptions!F14</f>
        <v>18</v>
      </c>
      <c r="G7" s="4" t="n">
        <f aca="false">Assumptions!G14</f>
        <v>17.5</v>
      </c>
      <c r="H7" s="4" t="n">
        <f aca="false">Assumptions!H14</f>
        <v>17</v>
      </c>
      <c r="I7" s="4" t="n">
        <f aca="false">Assumptions!I14</f>
        <v>17</v>
      </c>
      <c r="J7" s="4" t="n">
        <f aca="false">Assumptions!J14</f>
        <v>17</v>
      </c>
      <c r="K7" s="4" t="n">
        <f aca="false">Assumptions!K14</f>
        <v>17</v>
      </c>
      <c r="L7" s="4" t="n">
        <f aca="false">Assumptions!L14</f>
        <v>17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115196.103</v>
      </c>
      <c r="D8" s="0" t="n">
        <f aca="false">D6*D7/100</f>
        <v>84784.331808</v>
      </c>
      <c r="E8" s="0" t="n">
        <f aca="false">E6*E7/100</f>
        <v>66414.3932496</v>
      </c>
      <c r="F8" s="0" t="n">
        <f aca="false">F6*F7/100</f>
        <v>58577.4948461472</v>
      </c>
      <c r="G8" s="0" t="n">
        <f aca="false">G6*G7/100</f>
        <v>57519.8456336473</v>
      </c>
      <c r="H8" s="0" t="n">
        <f aca="false">H6*H7/100</f>
        <v>56993.9499021397</v>
      </c>
      <c r="I8" s="0" t="n">
        <f aca="false">I6*I7/100</f>
        <v>58418.7986496932</v>
      </c>
      <c r="J8" s="0" t="n">
        <f aca="false">J6*J7/100</f>
        <v>59879.2686159355</v>
      </c>
      <c r="K8" s="0" t="n">
        <f aca="false">K6*K7/100</f>
        <v>61376.2503313339</v>
      </c>
      <c r="L8" s="0" t="n">
        <f aca="false">L6*L7/100</f>
        <v>62910.6565896172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0.065</v>
      </c>
      <c r="D9" s="4" t="n">
        <f aca="false">Assumptions!D15</f>
        <v>0.065</v>
      </c>
      <c r="E9" s="4" t="n">
        <f aca="false">Assumptions!E15</f>
        <v>0.065</v>
      </c>
      <c r="F9" s="4" t="n">
        <f aca="false">Assumptions!F15</f>
        <v>0.065</v>
      </c>
      <c r="G9" s="4" t="n">
        <f aca="false">Assumptions!G15</f>
        <v>0.065</v>
      </c>
      <c r="H9" s="4" t="n">
        <f aca="false">Assumptions!H15</f>
        <v>0.065</v>
      </c>
      <c r="I9" s="4" t="n">
        <f aca="false">Assumptions!I15</f>
        <v>0.065</v>
      </c>
      <c r="J9" s="4" t="n">
        <f aca="false">Assumptions!J15</f>
        <v>0.065</v>
      </c>
      <c r="K9" s="4" t="n">
        <f aca="false">Assumptions!K15</f>
        <v>0.065</v>
      </c>
      <c r="L9" s="4" t="n">
        <f aca="false">Assumptions!L15</f>
        <v>0.065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-249.5915565</v>
      </c>
      <c r="D10" s="0" t="n">
        <f aca="false">-D6*D9/100</f>
        <v>-229.62423198</v>
      </c>
      <c r="E10" s="0" t="n">
        <f aca="false">-E6*E9/100</f>
        <v>-215.8467780612</v>
      </c>
      <c r="F10" s="0" t="n">
        <f aca="false">-F6*F9/100</f>
        <v>-211.529842499976</v>
      </c>
      <c r="G10" s="0" t="n">
        <f aca="false">-G6*G9/100</f>
        <v>-213.645140924976</v>
      </c>
      <c r="H10" s="0" t="n">
        <f aca="false">-H6*H9/100</f>
        <v>-217.918043743475</v>
      </c>
      <c r="I10" s="0" t="n">
        <f aca="false">-I6*I9/100</f>
        <v>-223.365994837062</v>
      </c>
      <c r="J10" s="0" t="n">
        <f aca="false">-J6*J9/100</f>
        <v>-228.950144707989</v>
      </c>
      <c r="K10" s="0" t="n">
        <f aca="false">-K6*K9/100</f>
        <v>-234.673898325688</v>
      </c>
      <c r="L10" s="0" t="n">
        <f aca="false">-L6*L9/100</f>
        <v>-240.540745783831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114946.5114435</v>
      </c>
      <c r="D11" s="0" t="n">
        <f aca="false">D8+D10+D24</f>
        <v>84554.70757602</v>
      </c>
      <c r="E11" s="0" t="n">
        <f aca="false">E8+E10+E24</f>
        <v>66198.5464715388</v>
      </c>
      <c r="F11" s="0" t="n">
        <f aca="false">F8+F10+F24</f>
        <v>58365.9650036472</v>
      </c>
      <c r="G11" s="0" t="n">
        <f aca="false">G8+G10+G24</f>
        <v>57306.2004927223</v>
      </c>
      <c r="H11" s="0" t="n">
        <f aca="false">H8+H10+H24</f>
        <v>56776.0318583962</v>
      </c>
      <c r="I11" s="0" t="n">
        <f aca="false">I8+I10+I24</f>
        <v>58195.4326548561</v>
      </c>
      <c r="J11" s="0" t="n">
        <f aca="false">J8+J10+J24</f>
        <v>59650.3184712275</v>
      </c>
      <c r="K11" s="0" t="n">
        <f aca="false">K8+K10+K24</f>
        <v>61141.5764330082</v>
      </c>
      <c r="L11" s="0" t="n">
        <f aca="false">L8+L10+L24</f>
        <v>62670.1158438334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-17663.40246</v>
      </c>
      <c r="D12" s="4" t="n">
        <f aca="false">-D6*Assumptions!D17/100</f>
        <v>-19783.0107552</v>
      </c>
      <c r="E12" s="4" t="n">
        <f aca="false">-E6*Assumptions!E17/100</f>
        <v>-20920.533873624</v>
      </c>
      <c r="F12" s="4" t="n">
        <f aca="false">-F6*Assumptions!F17/100</f>
        <v>-21478.4147769206</v>
      </c>
      <c r="G12" s="4" t="n">
        <f aca="false">-G6*Assumptions!G17/100</f>
        <v>-22021.8837568821</v>
      </c>
      <c r="H12" s="4" t="n">
        <f aca="false">-H6*Assumptions!H17/100</f>
        <v>-22462.3214320198</v>
      </c>
      <c r="I12" s="4" t="n">
        <f aca="false">-I6*Assumptions!I17/100</f>
        <v>-23023.8794678203</v>
      </c>
      <c r="J12" s="4" t="n">
        <f aca="false">-J6*Assumptions!J17/100</f>
        <v>-23599.4764545158</v>
      </c>
      <c r="K12" s="4" t="n">
        <f aca="false">-K6*Assumptions!K17/100</f>
        <v>-24189.4633658786</v>
      </c>
      <c r="L12" s="4" t="n">
        <f aca="false">-L6*Assumptions!L17/100</f>
        <v>-24794.1999500256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97283.1089835</v>
      </c>
      <c r="D13" s="0" t="n">
        <f aca="false">D11+D12</f>
        <v>64771.69682082</v>
      </c>
      <c r="E13" s="0" t="n">
        <f aca="false">E11+E12</f>
        <v>45278.0125979148</v>
      </c>
      <c r="F13" s="0" t="n">
        <f aca="false">F11+F12</f>
        <v>36887.5502267266</v>
      </c>
      <c r="G13" s="0" t="n">
        <f aca="false">G11+G12</f>
        <v>35284.3167358402</v>
      </c>
      <c r="H13" s="0" t="n">
        <f aca="false">H11+H12</f>
        <v>34313.7104263765</v>
      </c>
      <c r="I13" s="0" t="n">
        <f aca="false">I11+I12</f>
        <v>35171.5531870359</v>
      </c>
      <c r="J13" s="0" t="n">
        <f aca="false">J11+J12</f>
        <v>36050.8420167118</v>
      </c>
      <c r="K13" s="0" t="n">
        <f aca="false">K11+K12</f>
        <v>36952.1130671295</v>
      </c>
      <c r="L13" s="0" t="n">
        <f aca="false">L11+L12</f>
        <v>37875.9158938078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36.8</v>
      </c>
      <c r="D14" s="4" t="n">
        <f aca="false">Assumptions!D19</f>
        <v>37.6</v>
      </c>
      <c r="E14" s="4" t="n">
        <f aca="false">Assumptions!E19</f>
        <v>38.4</v>
      </c>
      <c r="F14" s="4" t="n">
        <f aca="false">Assumptions!F19</f>
        <v>39.2</v>
      </c>
      <c r="G14" s="4" t="n">
        <f aca="false">Assumptions!G19</f>
        <v>40</v>
      </c>
      <c r="H14" s="4" t="n">
        <f aca="false">Assumptions!H19</f>
        <v>40</v>
      </c>
      <c r="I14" s="4" t="n">
        <f aca="false">Assumptions!I19</f>
        <v>40</v>
      </c>
      <c r="J14" s="4" t="n">
        <f aca="false">Assumptions!J19</f>
        <v>40</v>
      </c>
      <c r="K14" s="4" t="n">
        <f aca="false">Assumptions!K19</f>
        <v>40</v>
      </c>
      <c r="L14" s="4" t="n">
        <f aca="false">Assumptions!L19</f>
        <v>40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61482.924877572</v>
      </c>
      <c r="D15" s="0" t="n">
        <f aca="false">D13-MAX(0,D13)*D14/100</f>
        <v>40417.5388161917</v>
      </c>
      <c r="E15" s="0" t="n">
        <f aca="false">E13-MAX(0,E13)*E14/100</f>
        <v>27891.2557603155</v>
      </c>
      <c r="F15" s="0" t="n">
        <f aca="false">F13-MAX(0,F13)*F14/100</f>
        <v>22427.6305378498</v>
      </c>
      <c r="G15" s="0" t="n">
        <f aca="false">G13-MAX(0,G13)*G14/100</f>
        <v>21170.5900415041</v>
      </c>
      <c r="H15" s="0" t="n">
        <f aca="false">H13-MAX(0,H13)*H14/100</f>
        <v>20588.2262558259</v>
      </c>
      <c r="I15" s="0" t="n">
        <f aca="false">I13-MAX(0,I13)*I14/100</f>
        <v>21102.9319122215</v>
      </c>
      <c r="J15" s="0" t="n">
        <f aca="false">J13-MAX(0,J13)*J14/100</f>
        <v>21630.5052100271</v>
      </c>
      <c r="K15" s="0" t="n">
        <f aca="false">K13-MAX(0,K13)*K14/100</f>
        <v>22171.2678402777</v>
      </c>
      <c r="L15" s="0" t="n">
        <f aca="false">L13-MAX(0,L13)*L14/100</f>
        <v>22725.5495362847</v>
      </c>
    </row>
    <row r="16" customFormat="false" ht="15" hidden="false" customHeight="false" outlineLevel="0" collapsed="false">
      <c r="A16" s="0" t="s">
        <v>118</v>
      </c>
      <c r="C16" s="0" t="n">
        <f aca="false">-C12</f>
        <v>17663.40246</v>
      </c>
      <c r="D16" s="0" t="n">
        <f aca="false">-D12</f>
        <v>19783.0107552</v>
      </c>
      <c r="E16" s="0" t="n">
        <f aca="false">-E12</f>
        <v>20920.533873624</v>
      </c>
      <c r="F16" s="0" t="n">
        <f aca="false">-F12</f>
        <v>21478.4147769206</v>
      </c>
      <c r="G16" s="0" t="n">
        <f aca="false">-G12</f>
        <v>22021.8837568821</v>
      </c>
      <c r="H16" s="0" t="n">
        <f aca="false">-H12</f>
        <v>22462.3214320198</v>
      </c>
      <c r="I16" s="0" t="n">
        <f aca="false">-I12</f>
        <v>23023.8794678203</v>
      </c>
      <c r="J16" s="0" t="n">
        <f aca="false">-J12</f>
        <v>23599.4764545158</v>
      </c>
      <c r="K16" s="0" t="n">
        <f aca="false">-K12</f>
        <v>24189.4633658786</v>
      </c>
      <c r="L16" s="0" t="n">
        <f aca="false">-L12</f>
        <v>24794.1999500256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-42238.5711</v>
      </c>
      <c r="D17" s="4" t="n">
        <f aca="false">-D6*Assumptions!D18/100</f>
        <v>-38859.485412</v>
      </c>
      <c r="E17" s="4" t="n">
        <f aca="false">-E6*Assumptions!E18/100</f>
        <v>-31546.83679356</v>
      </c>
      <c r="F17" s="4" t="n">
        <f aca="false">-F6*Assumptions!F18/100</f>
        <v>-27661.5947884584</v>
      </c>
      <c r="G17" s="4" t="n">
        <f aca="false">-G6*Assumptions!G18/100</f>
        <v>-26294.7865753816</v>
      </c>
      <c r="H17" s="4" t="n">
        <f aca="false">-H6*Assumptions!H18/100</f>
        <v>-25144.3896627087</v>
      </c>
      <c r="I17" s="4" t="n">
        <f aca="false">-I6*Assumptions!I18/100</f>
        <v>-25772.9994042764</v>
      </c>
      <c r="J17" s="4" t="n">
        <f aca="false">-J6*Assumptions!J18/100</f>
        <v>-26417.3243893833</v>
      </c>
      <c r="K17" s="4" t="n">
        <f aca="false">-K6*Assumptions!K18/100</f>
        <v>-27077.7574991179</v>
      </c>
      <c r="L17" s="4" t="n">
        <f aca="false">-L6*Assumptions!L18/100</f>
        <v>-27754.7014365958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-1745.3955</v>
      </c>
      <c r="D18" s="4" t="n">
        <f aca="false">(D6-C6)*Assumptions!$B$23/100</f>
        <v>1535.94804</v>
      </c>
      <c r="E18" s="4" t="n">
        <f aca="false">(E6-D6)*Assumptions!$B$23/100</f>
        <v>1059.8041476</v>
      </c>
      <c r="F18" s="4" t="n">
        <f aca="false">(F6-E6)*Assumptions!$B$23/100</f>
        <v>332.071966248</v>
      </c>
      <c r="G18" s="4" t="n">
        <f aca="false">(G6-F6)*Assumptions!$B$23/100</f>
        <v>-162.71526346152</v>
      </c>
      <c r="H18" s="4" t="n">
        <f aca="false">(H6-G6)*Assumptions!$B$23/100</f>
        <v>-328.684832192271</v>
      </c>
      <c r="I18" s="4" t="n">
        <f aca="false">(I6-H6)*Assumptions!$B$23/100</f>
        <v>-419.073161045145</v>
      </c>
      <c r="J18" s="4" t="n">
        <f aca="false">(J6-I6)*Assumptions!$B$23/100</f>
        <v>-429.549990071272</v>
      </c>
      <c r="K18" s="4" t="n">
        <f aca="false">(K6-J6)*Assumptions!$B$23/100</f>
        <v>-440.288739823052</v>
      </c>
      <c r="L18" s="4" t="n">
        <f aca="false">(L6-K6)*Assumptions!$B$23/100</f>
        <v>-451.295958318631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35162.360737572</v>
      </c>
      <c r="D19" s="0" t="n">
        <f aca="false">D15+D16+D17+D18</f>
        <v>22877.0121993917</v>
      </c>
      <c r="E19" s="0" t="n">
        <f aca="false">E15+E16+E17+E18</f>
        <v>18324.7569879795</v>
      </c>
      <c r="F19" s="0" t="n">
        <f aca="false">F15+F16+F17+F18</f>
        <v>16576.52249256</v>
      </c>
      <c r="G19" s="0" t="n">
        <f aca="false">G15+G16+G17+G18</f>
        <v>16734.9719595431</v>
      </c>
      <c r="H19" s="0" t="n">
        <f aca="false">H15+H16+H17+H18</f>
        <v>17577.4731929447</v>
      </c>
      <c r="I19" s="0" t="n">
        <f aca="false">I15+I16+I17+I18</f>
        <v>17934.7388147202</v>
      </c>
      <c r="J19" s="0" t="n">
        <f aca="false">J15+J16+J17+J18</f>
        <v>18383.1072850882</v>
      </c>
      <c r="K19" s="0" t="n">
        <f aca="false">K15+K16+K17+K18</f>
        <v>18842.6849672154</v>
      </c>
      <c r="L19" s="0" t="n">
        <f aca="false">L15+L16+L17+L18</f>
        <v>19313.7520913958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32259.0465482312</v>
      </c>
      <c r="D21" s="0" t="n">
        <f aca="false">D19*D20</f>
        <v>19255.123473943</v>
      </c>
      <c r="E21" s="0" t="n">
        <f aca="false">E19*E20</f>
        <v>14150.0746222513</v>
      </c>
      <c r="F21" s="0" t="n">
        <f aca="false">F19*F20</f>
        <v>11743.2264455188</v>
      </c>
      <c r="G21" s="0" t="n">
        <f aca="false">G19*G20</f>
        <v>10876.5835253298</v>
      </c>
      <c r="H21" s="0" t="n">
        <f aca="false">H19*H20</f>
        <v>10480.8729540482</v>
      </c>
      <c r="I21" s="0" t="n">
        <f aca="false">I19*I20</f>
        <v>9810.91630397261</v>
      </c>
      <c r="J21" s="0" t="n">
        <f aca="false">J19*J20</f>
        <v>9225.86166199259</v>
      </c>
      <c r="K21" s="0" t="n">
        <f aca="false">K19*K20</f>
        <v>8675.69559958018</v>
      </c>
      <c r="L21" s="0" t="n">
        <f aca="false">L19*L20</f>
        <v>8158.33760510981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134635.738739977</v>
      </c>
    </row>
    <row r="31" customFormat="false" ht="15" hidden="false" customHeight="false" outlineLevel="0" collapsed="false">
      <c r="A31" s="0" t="s">
        <v>127</v>
      </c>
      <c r="B31" s="0" t="n">
        <f aca="false">L19</f>
        <v>19313.7520913958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304563.013748934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231765.02509675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231765.02509675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97900.0512613177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232535.790001295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240856.790001295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10.3015105973681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-0.648891936013356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1454.32028108529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1602.26439662746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10.432241557658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158372.767149446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6.65807851085774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15</v>
      </c>
      <c r="D5" s="4" t="n">
        <f aca="false">Assumptions!D27</f>
        <v>5</v>
      </c>
      <c r="E5" s="4" t="n">
        <f aca="false">Assumptions!E27</f>
        <v>4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349079.1</v>
      </c>
      <c r="C6" s="0" t="n">
        <f aca="false">B6*(1+C5/100)</f>
        <v>401440.965</v>
      </c>
      <c r="D6" s="0" t="n">
        <f aca="false">C6*(1+D5/100)</f>
        <v>421513.01325</v>
      </c>
      <c r="E6" s="0" t="n">
        <f aca="false">D6*(1+E5/100)</f>
        <v>438373.53378</v>
      </c>
      <c r="F6" s="0" t="n">
        <f aca="false">E6*(1+F5/100)</f>
        <v>451524.7397934</v>
      </c>
      <c r="G6" s="0" t="n">
        <f aca="false">F6*(1+G5/100)</f>
        <v>465070.481987202</v>
      </c>
      <c r="H6" s="0" t="n">
        <f aca="false">G6*(1+H5/100)</f>
        <v>481347.948856754</v>
      </c>
      <c r="I6" s="0" t="n">
        <f aca="false">H6*(1+I5/100)</f>
        <v>498195.12706674</v>
      </c>
      <c r="J6" s="0" t="n">
        <f aca="false">I6*(1+J5/100)</f>
        <v>513140.980878743</v>
      </c>
      <c r="K6" s="0" t="n">
        <f aca="false">J6*(1+K5/100)</f>
        <v>528535.210305105</v>
      </c>
      <c r="L6" s="0" t="n">
        <f aca="false">K6*(1+L5/100)</f>
        <v>541748.590562733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33</v>
      </c>
      <c r="D7" s="4" t="n">
        <f aca="false">Assumptions!D28</f>
        <v>29</v>
      </c>
      <c r="E7" s="4" t="n">
        <f aca="false">Assumptions!E28</f>
        <v>26.5</v>
      </c>
      <c r="F7" s="4" t="n">
        <f aca="false">Assumptions!F28</f>
        <v>25</v>
      </c>
      <c r="G7" s="4" t="n">
        <f aca="false">Assumptions!G28</f>
        <v>24</v>
      </c>
      <c r="H7" s="4" t="n">
        <f aca="false">Assumptions!H28</f>
        <v>23.5</v>
      </c>
      <c r="I7" s="4" t="n">
        <f aca="false">Assumptions!I28</f>
        <v>23.5</v>
      </c>
      <c r="J7" s="4" t="n">
        <f aca="false">Assumptions!J28</f>
        <v>23.5</v>
      </c>
      <c r="K7" s="4" t="n">
        <f aca="false">Assumptions!K28</f>
        <v>23.5</v>
      </c>
      <c r="L7" s="4" t="n">
        <f aca="false">Assumptions!L28</f>
        <v>23.5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132475.51845</v>
      </c>
      <c r="D8" s="0" t="n">
        <f aca="false">D6*D7/100</f>
        <v>122238.7738425</v>
      </c>
      <c r="E8" s="0" t="n">
        <f aca="false">E6*E7/100</f>
        <v>116168.9864517</v>
      </c>
      <c r="F8" s="0" t="n">
        <f aca="false">F6*F7/100</f>
        <v>112881.18494835</v>
      </c>
      <c r="G8" s="0" t="n">
        <f aca="false">G6*G7/100</f>
        <v>111616.915676928</v>
      </c>
      <c r="H8" s="0" t="n">
        <f aca="false">H6*H7/100</f>
        <v>113116.767981337</v>
      </c>
      <c r="I8" s="0" t="n">
        <f aca="false">I6*I7/100</f>
        <v>117075.854860684</v>
      </c>
      <c r="J8" s="0" t="n">
        <f aca="false">J6*J7/100</f>
        <v>120588.130506505</v>
      </c>
      <c r="K8" s="0" t="n">
        <f aca="false">K6*K7/100</f>
        <v>124205.7744217</v>
      </c>
      <c r="L8" s="0" t="n">
        <f aca="false">L6*L7/100</f>
        <v>127310.918782242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0.065</v>
      </c>
      <c r="D9" s="4" t="n">
        <f aca="false">Assumptions!D29</f>
        <v>0.065</v>
      </c>
      <c r="E9" s="4" t="n">
        <f aca="false">Assumptions!E29</f>
        <v>0.065</v>
      </c>
      <c r="F9" s="4" t="n">
        <f aca="false">Assumptions!F29</f>
        <v>0.065</v>
      </c>
      <c r="G9" s="4" t="n">
        <f aca="false">Assumptions!G29</f>
        <v>0.065</v>
      </c>
      <c r="H9" s="4" t="n">
        <f aca="false">Assumptions!H29</f>
        <v>0.065</v>
      </c>
      <c r="I9" s="4" t="n">
        <f aca="false">Assumptions!I29</f>
        <v>0.065</v>
      </c>
      <c r="J9" s="4" t="n">
        <f aca="false">Assumptions!J29</f>
        <v>0.065</v>
      </c>
      <c r="K9" s="4" t="n">
        <f aca="false">Assumptions!K29</f>
        <v>0.065</v>
      </c>
      <c r="L9" s="4" t="n">
        <f aca="false">Assumptions!L29</f>
        <v>0.065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-260.93662725</v>
      </c>
      <c r="D10" s="0" t="n">
        <f aca="false">-D6*D9/100</f>
        <v>-273.9834586125</v>
      </c>
      <c r="E10" s="0" t="n">
        <f aca="false">-E6*E9/100</f>
        <v>-284.942796957</v>
      </c>
      <c r="F10" s="0" t="n">
        <f aca="false">-F6*F9/100</f>
        <v>-293.49108086571</v>
      </c>
      <c r="G10" s="0" t="n">
        <f aca="false">-G6*G9/100</f>
        <v>-302.295813291681</v>
      </c>
      <c r="H10" s="0" t="n">
        <f aca="false">-H6*H9/100</f>
        <v>-312.87616675689</v>
      </c>
      <c r="I10" s="0" t="n">
        <f aca="false">-I6*I9/100</f>
        <v>-323.826832593381</v>
      </c>
      <c r="J10" s="0" t="n">
        <f aca="false">-J6*J9/100</f>
        <v>-333.541637571183</v>
      </c>
      <c r="K10" s="0" t="n">
        <f aca="false">-K6*K9/100</f>
        <v>-343.547886698318</v>
      </c>
      <c r="L10" s="0" t="n">
        <f aca="false">-L6*L9/100</f>
        <v>-352.136583865776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132214.58182275</v>
      </c>
      <c r="D11" s="0" t="n">
        <f aca="false">D8+D10+D24</f>
        <v>121964.790383887</v>
      </c>
      <c r="E11" s="0" t="n">
        <f aca="false">E8+E10+E24</f>
        <v>115884.043654743</v>
      </c>
      <c r="F11" s="0" t="n">
        <f aca="false">F8+F10+F24</f>
        <v>112587.693867484</v>
      </c>
      <c r="G11" s="0" t="n">
        <f aca="false">G8+G10+G24</f>
        <v>111314.619863637</v>
      </c>
      <c r="H11" s="0" t="n">
        <f aca="false">H8+H10+H24</f>
        <v>112803.89181458</v>
      </c>
      <c r="I11" s="0" t="n">
        <f aca="false">I8+I10+I24</f>
        <v>116752.028028091</v>
      </c>
      <c r="J11" s="0" t="n">
        <f aca="false">J8+J10+J24</f>
        <v>120254.588868933</v>
      </c>
      <c r="K11" s="0" t="n">
        <f aca="false">K8+K10+K24</f>
        <v>123862.226535001</v>
      </c>
      <c r="L11" s="0" t="n">
        <f aca="false">L8+L10+L24</f>
        <v>126958.782198376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-17261.961495</v>
      </c>
      <c r="D12" s="4" t="n">
        <f aca="false">-D6*Assumptions!D31/100</f>
        <v>-20232.624636</v>
      </c>
      <c r="E12" s="4" t="n">
        <f aca="false">-E6*Assumptions!E31/100</f>
        <v>-22795.42375656</v>
      </c>
      <c r="F12" s="4" t="n">
        <f aca="false">-F6*Assumptions!F31/100</f>
        <v>-24833.860688637</v>
      </c>
      <c r="G12" s="4" t="n">
        <f aca="false">-G6*Assumptions!G31/100</f>
        <v>-26509.0174732705</v>
      </c>
      <c r="H12" s="4" t="n">
        <f aca="false">-H6*Assumptions!H31/100</f>
        <v>-27918.1810336917</v>
      </c>
      <c r="I12" s="4" t="n">
        <f aca="false">-I6*Assumptions!I31/100</f>
        <v>-28895.3173698709</v>
      </c>
      <c r="J12" s="4" t="n">
        <f aca="false">-J6*Assumptions!J31/100</f>
        <v>-29762.1768909671</v>
      </c>
      <c r="K12" s="4" t="n">
        <f aca="false">-K6*Assumptions!K31/100</f>
        <v>-30655.0421976961</v>
      </c>
      <c r="L12" s="4" t="n">
        <f aca="false">-L6*Assumptions!L31/100</f>
        <v>-31421.4182526385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114952.62032775</v>
      </c>
      <c r="D13" s="0" t="n">
        <f aca="false">D11+D12</f>
        <v>101732.165747887</v>
      </c>
      <c r="E13" s="0" t="n">
        <f aca="false">E11+E12</f>
        <v>93088.619898183</v>
      </c>
      <c r="F13" s="0" t="n">
        <f aca="false">F11+F12</f>
        <v>87753.8331788473</v>
      </c>
      <c r="G13" s="0" t="n">
        <f aca="false">G11+G12</f>
        <v>84805.6023903663</v>
      </c>
      <c r="H13" s="0" t="n">
        <f aca="false">H11+H12</f>
        <v>84885.7107808886</v>
      </c>
      <c r="I13" s="0" t="n">
        <f aca="false">I11+I12</f>
        <v>87856.7106582197</v>
      </c>
      <c r="J13" s="0" t="n">
        <f aca="false">J11+J12</f>
        <v>90492.4119779663</v>
      </c>
      <c r="K13" s="0" t="n">
        <f aca="false">K11+K12</f>
        <v>93207.1843373053</v>
      </c>
      <c r="L13" s="0" t="n">
        <f aca="false">L11+L12</f>
        <v>95537.3639457379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36.8</v>
      </c>
      <c r="D14" s="4" t="n">
        <f aca="false">Assumptions!D33</f>
        <v>37.6</v>
      </c>
      <c r="E14" s="4" t="n">
        <f aca="false">Assumptions!E33</f>
        <v>38.4</v>
      </c>
      <c r="F14" s="4" t="n">
        <f aca="false">Assumptions!F33</f>
        <v>39.2</v>
      </c>
      <c r="G14" s="4" t="n">
        <f aca="false">Assumptions!G33</f>
        <v>40</v>
      </c>
      <c r="H14" s="4" t="n">
        <f aca="false">Assumptions!H33</f>
        <v>40</v>
      </c>
      <c r="I14" s="4" t="n">
        <f aca="false">Assumptions!I33</f>
        <v>40</v>
      </c>
      <c r="J14" s="4" t="n">
        <f aca="false">Assumptions!J33</f>
        <v>40</v>
      </c>
      <c r="K14" s="4" t="n">
        <f aca="false">Assumptions!K33</f>
        <v>40</v>
      </c>
      <c r="L14" s="4" t="n">
        <f aca="false">Assumptions!L33</f>
        <v>40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72650.056047138</v>
      </c>
      <c r="D15" s="0" t="n">
        <f aca="false">D13-MAX(0,D13)*D14/100</f>
        <v>63480.8714266818</v>
      </c>
      <c r="E15" s="0" t="n">
        <f aca="false">E13-MAX(0,E13)*E14/100</f>
        <v>57342.5898572807</v>
      </c>
      <c r="F15" s="0" t="n">
        <f aca="false">F13-MAX(0,F13)*F14/100</f>
        <v>53354.3305727392</v>
      </c>
      <c r="G15" s="0" t="n">
        <f aca="false">G13-MAX(0,G13)*G14/100</f>
        <v>50883.3614342198</v>
      </c>
      <c r="H15" s="0" t="n">
        <f aca="false">H13-MAX(0,H13)*H14/100</f>
        <v>50931.4264685331</v>
      </c>
      <c r="I15" s="0" t="n">
        <f aca="false">I13-MAX(0,I13)*I14/100</f>
        <v>52714.0263949318</v>
      </c>
      <c r="J15" s="0" t="n">
        <f aca="false">J13-MAX(0,J13)*J14/100</f>
        <v>54295.4471867798</v>
      </c>
      <c r="K15" s="0" t="n">
        <f aca="false">K13-MAX(0,K13)*K14/100</f>
        <v>55924.3106023832</v>
      </c>
      <c r="L15" s="0" t="n">
        <f aca="false">L13-MAX(0,L13)*L14/100</f>
        <v>57322.4183674427</v>
      </c>
    </row>
    <row r="16" customFormat="false" ht="15" hidden="false" customHeight="false" outlineLevel="0" collapsed="false">
      <c r="A16" s="0" t="s">
        <v>118</v>
      </c>
      <c r="C16" s="0" t="n">
        <f aca="false">-C12</f>
        <v>17261.961495</v>
      </c>
      <c r="D16" s="0" t="n">
        <f aca="false">-D12</f>
        <v>20232.624636</v>
      </c>
      <c r="E16" s="0" t="n">
        <f aca="false">-E12</f>
        <v>22795.42375656</v>
      </c>
      <c r="F16" s="0" t="n">
        <f aca="false">-F12</f>
        <v>24833.860688637</v>
      </c>
      <c r="G16" s="0" t="n">
        <f aca="false">-G12</f>
        <v>26509.0174732705</v>
      </c>
      <c r="H16" s="0" t="n">
        <f aca="false">-H12</f>
        <v>27918.1810336917</v>
      </c>
      <c r="I16" s="0" t="n">
        <f aca="false">-I12</f>
        <v>28895.3173698709</v>
      </c>
      <c r="J16" s="0" t="n">
        <f aca="false">-J12</f>
        <v>29762.1768909671</v>
      </c>
      <c r="K16" s="0" t="n">
        <f aca="false">-K12</f>
        <v>30655.0421976961</v>
      </c>
      <c r="L16" s="0" t="n">
        <f aca="false">-L12</f>
        <v>31421.4182526385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-42151.301325</v>
      </c>
      <c r="D17" s="4" t="n">
        <f aca="false">-D6*Assumptions!D32/100</f>
        <v>-44258.86639125</v>
      </c>
      <c r="E17" s="4" t="n">
        <f aca="false">-E6*Assumptions!E32/100</f>
        <v>-43837.353378</v>
      </c>
      <c r="F17" s="4" t="n">
        <f aca="false">-F6*Assumptions!F32/100</f>
        <v>-42894.850280373</v>
      </c>
      <c r="G17" s="4" t="n">
        <f aca="false">-G6*Assumptions!G32/100</f>
        <v>-41856.3433788482</v>
      </c>
      <c r="H17" s="4" t="n">
        <f aca="false">-H6*Assumptions!H32/100</f>
        <v>-40914.5756528241</v>
      </c>
      <c r="I17" s="4" t="n">
        <f aca="false">-I6*Assumptions!I32/100</f>
        <v>-39855.6101653392</v>
      </c>
      <c r="J17" s="4" t="n">
        <f aca="false">-J6*Assumptions!J32/100</f>
        <v>-41051.2784702994</v>
      </c>
      <c r="K17" s="4" t="n">
        <f aca="false">-K6*Assumptions!K32/100</f>
        <v>-42282.8168244084</v>
      </c>
      <c r="L17" s="4" t="n">
        <f aca="false">-L6*Assumptions!L32/100</f>
        <v>-43339.8872450186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-2618.09325</v>
      </c>
      <c r="D18" s="4" t="n">
        <f aca="false">(D6-C6)*Assumptions!$B$37/100</f>
        <v>-1003.6024125</v>
      </c>
      <c r="E18" s="4" t="n">
        <f aca="false">(E6-D6)*Assumptions!$B$37/100</f>
        <v>-843.026026500002</v>
      </c>
      <c r="F18" s="4" t="n">
        <f aca="false">(F6-E6)*Assumptions!$B$37/100</f>
        <v>-657.56030067</v>
      </c>
      <c r="G18" s="4" t="n">
        <f aca="false">(G6-F6)*Assumptions!$B$37/100</f>
        <v>-677.287109690101</v>
      </c>
      <c r="H18" s="4" t="n">
        <f aca="false">(H6-G6)*Assumptions!$B$37/100</f>
        <v>-813.873343477602</v>
      </c>
      <c r="I18" s="4" t="n">
        <f aca="false">(I6-H6)*Assumptions!$B$37/100</f>
        <v>-842.358910499318</v>
      </c>
      <c r="J18" s="4" t="n">
        <f aca="false">(J6-I6)*Assumptions!$B$37/100</f>
        <v>-747.292690600111</v>
      </c>
      <c r="K18" s="4" t="n">
        <f aca="false">(K6-J6)*Assumptions!$B$37/100</f>
        <v>-769.711471318116</v>
      </c>
      <c r="L18" s="4" t="n">
        <f aca="false">(L6-K6)*Assumptions!$B$37/100</f>
        <v>-660.669012881379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45142.622967138</v>
      </c>
      <c r="D19" s="0" t="n">
        <f aca="false">D15+D16+D17+D18</f>
        <v>38451.0272589318</v>
      </c>
      <c r="E19" s="0" t="n">
        <f aca="false">E15+E16+E17+E18</f>
        <v>35457.6342093407</v>
      </c>
      <c r="F19" s="0" t="n">
        <f aca="false">F15+F16+F17+F18</f>
        <v>34635.7806803332</v>
      </c>
      <c r="G19" s="0" t="n">
        <f aca="false">G15+G16+G17+G18</f>
        <v>34858.748418952</v>
      </c>
      <c r="H19" s="0" t="n">
        <f aca="false">H15+H16+H17+H18</f>
        <v>37121.1585059232</v>
      </c>
      <c r="I19" s="0" t="n">
        <f aca="false">I15+I16+I17+I18</f>
        <v>40911.3746889642</v>
      </c>
      <c r="J19" s="0" t="n">
        <f aca="false">J15+J16+J17+J18</f>
        <v>42259.0529168473</v>
      </c>
      <c r="K19" s="0" t="n">
        <f aca="false">K15+K16+K17+K18</f>
        <v>43526.8245043527</v>
      </c>
      <c r="L19" s="0" t="n">
        <f aca="false">L15+L16+L17+L18</f>
        <v>44743.2803621812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41415.250428567</v>
      </c>
      <c r="D21" s="0" t="n">
        <f aca="false">D19*D20</f>
        <v>32363.46036439</v>
      </c>
      <c r="E21" s="0" t="n">
        <f aca="false">E19*E20</f>
        <v>27379.799378501</v>
      </c>
      <c r="F21" s="0" t="n">
        <f aca="false">F19*F20</f>
        <v>24536.8602388729</v>
      </c>
      <c r="G21" s="0" t="n">
        <f aca="false">G19*G20</f>
        <v>22655.7946845547</v>
      </c>
      <c r="H21" s="0" t="n">
        <f aca="false">H19*H20</f>
        <v>22134.1339529865</v>
      </c>
      <c r="I21" s="0" t="n">
        <f aca="false">I19*I20</f>
        <v>22379.9229584795</v>
      </c>
      <c r="J21" s="0" t="n">
        <f aca="false">J19*J20</f>
        <v>21208.3936698728</v>
      </c>
      <c r="K21" s="0" t="n">
        <f aca="false">K19*K20</f>
        <v>20040.9591559348</v>
      </c>
      <c r="L21" s="0" t="n">
        <f aca="false">L19*L20</f>
        <v>18900.045160949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253014.619993108</v>
      </c>
    </row>
    <row r="31" customFormat="false" ht="15" hidden="false" customHeight="false" outlineLevel="0" collapsed="false">
      <c r="A31" s="0" t="s">
        <v>127</v>
      </c>
      <c r="B31" s="0" t="n">
        <f aca="false">L19</f>
        <v>44743.2803621812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705567.113403627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536919.364346175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536919.364346175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226800.541931388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479815.161924496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488136.161924496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20.8777167751707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-0.288421377806043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1932.43472757853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2345.61470756061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21.0606901162665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366894.898969886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12.6798832811576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18</v>
      </c>
      <c r="D5" s="4" t="n">
        <f aca="false">Assumptions!D41</f>
        <v>10</v>
      </c>
      <c r="E5" s="4" t="n">
        <f aca="false">Assumptions!E41</f>
        <v>8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349079.1</v>
      </c>
      <c r="C6" s="0" t="n">
        <f aca="false">B6*(1+C5/100)</f>
        <v>411913.338</v>
      </c>
      <c r="D6" s="0" t="n">
        <f aca="false">C6*(1+D5/100)</f>
        <v>453104.6718</v>
      </c>
      <c r="E6" s="0" t="n">
        <f aca="false">D6*(1+E5/100)</f>
        <v>489353.045544</v>
      </c>
      <c r="F6" s="0" t="n">
        <f aca="false">E6*(1+F5/100)</f>
        <v>518714.22827664</v>
      </c>
      <c r="G6" s="0" t="n">
        <f aca="false">F6*(1+G5/100)</f>
        <v>544649.939690472</v>
      </c>
      <c r="H6" s="0" t="n">
        <f aca="false">G6*(1+H5/100)</f>
        <v>569159.186976543</v>
      </c>
      <c r="I6" s="0" t="n">
        <f aca="false">H6*(1+I5/100)</f>
        <v>591925.554455605</v>
      </c>
      <c r="J6" s="0" t="n">
        <f aca="false">I6*(1+J5/100)</f>
        <v>612642.948861551</v>
      </c>
      <c r="K6" s="0" t="n">
        <f aca="false">J6*(1+K5/100)</f>
        <v>631022.237327398</v>
      </c>
      <c r="L6" s="0" t="n">
        <f aca="false">K6*(1+L5/100)</f>
        <v>649952.90444722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35</v>
      </c>
      <c r="D7" s="4" t="n">
        <f aca="false">Assumptions!D42</f>
        <v>33</v>
      </c>
      <c r="E7" s="4" t="n">
        <f aca="false">Assumptions!E42</f>
        <v>31</v>
      </c>
      <c r="F7" s="4" t="n">
        <f aca="false">Assumptions!F42</f>
        <v>30</v>
      </c>
      <c r="G7" s="4" t="n">
        <f aca="false">Assumptions!G42</f>
        <v>29</v>
      </c>
      <c r="H7" s="4" t="n">
        <f aca="false">Assumptions!H42</f>
        <v>28</v>
      </c>
      <c r="I7" s="4" t="n">
        <f aca="false">Assumptions!I42</f>
        <v>28</v>
      </c>
      <c r="J7" s="4" t="n">
        <f aca="false">Assumptions!J42</f>
        <v>28</v>
      </c>
      <c r="K7" s="4" t="n">
        <f aca="false">Assumptions!K42</f>
        <v>28</v>
      </c>
      <c r="L7" s="4" t="n">
        <f aca="false">Assumptions!L42</f>
        <v>28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144169.6683</v>
      </c>
      <c r="D8" s="0" t="n">
        <f aca="false">D6*D7/100</f>
        <v>149524.541694</v>
      </c>
      <c r="E8" s="0" t="n">
        <f aca="false">E6*E7/100</f>
        <v>151699.44411864</v>
      </c>
      <c r="F8" s="0" t="n">
        <f aca="false">F6*F7/100</f>
        <v>155614.268482992</v>
      </c>
      <c r="G8" s="0" t="n">
        <f aca="false">G6*G7/100</f>
        <v>157948.482510237</v>
      </c>
      <c r="H8" s="0" t="n">
        <f aca="false">H6*H7/100</f>
        <v>159364.572353432</v>
      </c>
      <c r="I8" s="0" t="n">
        <f aca="false">I6*I7/100</f>
        <v>165739.155247569</v>
      </c>
      <c r="J8" s="0" t="n">
        <f aca="false">J6*J7/100</f>
        <v>171540.025681234</v>
      </c>
      <c r="K8" s="0" t="n">
        <f aca="false">K6*K7/100</f>
        <v>176686.226451671</v>
      </c>
      <c r="L8" s="0" t="n">
        <f aca="false">L6*L7/100</f>
        <v>181986.813245221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0.065</v>
      </c>
      <c r="D9" s="4" t="n">
        <f aca="false">Assumptions!D43</f>
        <v>0.065</v>
      </c>
      <c r="E9" s="4" t="n">
        <f aca="false">Assumptions!E43</f>
        <v>0.065</v>
      </c>
      <c r="F9" s="4" t="n">
        <f aca="false">Assumptions!F43</f>
        <v>0.065</v>
      </c>
      <c r="G9" s="4" t="n">
        <f aca="false">Assumptions!G43</f>
        <v>0.065</v>
      </c>
      <c r="H9" s="4" t="n">
        <f aca="false">Assumptions!H43</f>
        <v>0.065</v>
      </c>
      <c r="I9" s="4" t="n">
        <f aca="false">Assumptions!I43</f>
        <v>0.065</v>
      </c>
      <c r="J9" s="4" t="n">
        <f aca="false">Assumptions!J43</f>
        <v>0.065</v>
      </c>
      <c r="K9" s="4" t="n">
        <f aca="false">Assumptions!K43</f>
        <v>0.065</v>
      </c>
      <c r="L9" s="4" t="n">
        <f aca="false">Assumptions!L43</f>
        <v>0.065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-267.7436697</v>
      </c>
      <c r="D10" s="0" t="n">
        <f aca="false">-D6*D9/100</f>
        <v>-294.51803667</v>
      </c>
      <c r="E10" s="0" t="n">
        <f aca="false">-E6*E9/100</f>
        <v>-318.0794796036</v>
      </c>
      <c r="F10" s="0" t="n">
        <f aca="false">-F6*F9/100</f>
        <v>-337.164248379816</v>
      </c>
      <c r="G10" s="0" t="n">
        <f aca="false">-G6*G9/100</f>
        <v>-354.022460798807</v>
      </c>
      <c r="H10" s="0" t="n">
        <f aca="false">-H6*H9/100</f>
        <v>-369.953471534753</v>
      </c>
      <c r="I10" s="0" t="n">
        <f aca="false">-I6*I9/100</f>
        <v>-384.751610396143</v>
      </c>
      <c r="J10" s="0" t="n">
        <f aca="false">-J6*J9/100</f>
        <v>-398.217916760008</v>
      </c>
      <c r="K10" s="0" t="n">
        <f aca="false">-K6*K9/100</f>
        <v>-410.164454262808</v>
      </c>
      <c r="L10" s="0" t="n">
        <f aca="false">-L6*L9/100</f>
        <v>-422.469387890693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143901.9246303</v>
      </c>
      <c r="D11" s="0" t="n">
        <f aca="false">D8+D10+D24</f>
        <v>149230.02365733</v>
      </c>
      <c r="E11" s="0" t="n">
        <f aca="false">E8+E10+E24</f>
        <v>151381.364639036</v>
      </c>
      <c r="F11" s="0" t="n">
        <f aca="false">F8+F10+F24</f>
        <v>155277.104234612</v>
      </c>
      <c r="G11" s="0" t="n">
        <f aca="false">G8+G10+G24</f>
        <v>157594.460049438</v>
      </c>
      <c r="H11" s="0" t="n">
        <f aca="false">H8+H10+H24</f>
        <v>158994.618881897</v>
      </c>
      <c r="I11" s="0" t="n">
        <f aca="false">I8+I10+I24</f>
        <v>165354.403637173</v>
      </c>
      <c r="J11" s="0" t="n">
        <f aca="false">J8+J10+J24</f>
        <v>171141.807764474</v>
      </c>
      <c r="K11" s="0" t="n">
        <f aca="false">K8+K10+K24</f>
        <v>176276.061997408</v>
      </c>
      <c r="L11" s="0" t="n">
        <f aca="false">L8+L10+L24</f>
        <v>181564.343857331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-16476.53352</v>
      </c>
      <c r="D12" s="4" t="n">
        <f aca="false">-D6*Assumptions!D45/100</f>
        <v>-19483.5008874</v>
      </c>
      <c r="E12" s="4" t="n">
        <f aca="false">-E6*Assumptions!E45/100</f>
        <v>-22510.240095024</v>
      </c>
      <c r="F12" s="4" t="n">
        <f aca="false">-F6*Assumptions!F45/100</f>
        <v>-25416.9971855554</v>
      </c>
      <c r="G12" s="4" t="n">
        <f aca="false">-G6*Assumptions!G45/100</f>
        <v>-27777.1469242141</v>
      </c>
      <c r="H12" s="4" t="n">
        <f aca="false">-H6*Assumptions!H45/100</f>
        <v>-30165.4369097568</v>
      </c>
      <c r="I12" s="4" t="n">
        <f aca="false">-I6*Assumptions!I45/100</f>
        <v>-31963.9799406027</v>
      </c>
      <c r="J12" s="4" t="n">
        <f aca="false">-J6*Assumptions!J45/100</f>
        <v>-33695.3621873853</v>
      </c>
      <c r="K12" s="4" t="n">
        <f aca="false">-K6*Assumptions!K45/100</f>
        <v>-34706.2230530069</v>
      </c>
      <c r="L12" s="4" t="n">
        <f aca="false">-L6*Assumptions!L45/100</f>
        <v>-35747.4097445971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127425.3911103</v>
      </c>
      <c r="D13" s="0" t="n">
        <f aca="false">D11+D12</f>
        <v>129746.52276993</v>
      </c>
      <c r="E13" s="0" t="n">
        <f aca="false">E11+E12</f>
        <v>128871.124544012</v>
      </c>
      <c r="F13" s="0" t="n">
        <f aca="false">F11+F12</f>
        <v>129860.107049057</v>
      </c>
      <c r="G13" s="0" t="n">
        <f aca="false">G11+G12</f>
        <v>129817.313125224</v>
      </c>
      <c r="H13" s="0" t="n">
        <f aca="false">H11+H12</f>
        <v>128829.181972141</v>
      </c>
      <c r="I13" s="0" t="n">
        <f aca="false">I11+I12</f>
        <v>133390.423696571</v>
      </c>
      <c r="J13" s="0" t="n">
        <f aca="false">J11+J12</f>
        <v>137446.445577089</v>
      </c>
      <c r="K13" s="0" t="n">
        <f aca="false">K11+K12</f>
        <v>141569.838944402</v>
      </c>
      <c r="L13" s="0" t="n">
        <f aca="false">L11+L12</f>
        <v>145816.934112734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36.8</v>
      </c>
      <c r="D14" s="4" t="n">
        <f aca="false">Assumptions!D47</f>
        <v>37.6</v>
      </c>
      <c r="E14" s="4" t="n">
        <f aca="false">Assumptions!E47</f>
        <v>38.4</v>
      </c>
      <c r="F14" s="4" t="n">
        <f aca="false">Assumptions!F47</f>
        <v>39.2</v>
      </c>
      <c r="G14" s="4" t="n">
        <f aca="false">Assumptions!G47</f>
        <v>40</v>
      </c>
      <c r="H14" s="4" t="n">
        <f aca="false">Assumptions!H47</f>
        <v>40</v>
      </c>
      <c r="I14" s="4" t="n">
        <f aca="false">Assumptions!I47</f>
        <v>40</v>
      </c>
      <c r="J14" s="4" t="n">
        <f aca="false">Assumptions!J47</f>
        <v>40</v>
      </c>
      <c r="K14" s="4" t="n">
        <f aca="false">Assumptions!K47</f>
        <v>40</v>
      </c>
      <c r="L14" s="4" t="n">
        <f aca="false">Assumptions!L47</f>
        <v>40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80532.8471817096</v>
      </c>
      <c r="D15" s="0" t="n">
        <f aca="false">D13-MAX(0,D13)*D14/100</f>
        <v>80961.8302084363</v>
      </c>
      <c r="E15" s="0" t="n">
        <f aca="false">E13-MAX(0,E13)*E14/100</f>
        <v>79384.6127191116</v>
      </c>
      <c r="F15" s="0" t="n">
        <f aca="false">F13-MAX(0,F13)*F14/100</f>
        <v>78954.9450858265</v>
      </c>
      <c r="G15" s="0" t="n">
        <f aca="false">G13-MAX(0,G13)*G14/100</f>
        <v>77890.3878751344</v>
      </c>
      <c r="H15" s="0" t="n">
        <f aca="false">H13-MAX(0,H13)*H14/100</f>
        <v>77297.5091832843</v>
      </c>
      <c r="I15" s="0" t="n">
        <f aca="false">I13-MAX(0,I13)*I14/100</f>
        <v>80034.2542179423</v>
      </c>
      <c r="J15" s="0" t="n">
        <f aca="false">J13-MAX(0,J13)*J14/100</f>
        <v>82467.8673462534</v>
      </c>
      <c r="K15" s="0" t="n">
        <f aca="false">K13-MAX(0,K13)*K14/100</f>
        <v>84941.903366641</v>
      </c>
      <c r="L15" s="0" t="n">
        <f aca="false">L13-MAX(0,L13)*L14/100</f>
        <v>87490.1604676402</v>
      </c>
    </row>
    <row r="16" customFormat="false" ht="15" hidden="false" customHeight="false" outlineLevel="0" collapsed="false">
      <c r="A16" s="0" t="s">
        <v>118</v>
      </c>
      <c r="C16" s="0" t="n">
        <f aca="false">-C12</f>
        <v>16476.53352</v>
      </c>
      <c r="D16" s="0" t="n">
        <f aca="false">-D12</f>
        <v>19483.5008874</v>
      </c>
      <c r="E16" s="0" t="n">
        <f aca="false">-E12</f>
        <v>22510.240095024</v>
      </c>
      <c r="F16" s="0" t="n">
        <f aca="false">-F12</f>
        <v>25416.9971855554</v>
      </c>
      <c r="G16" s="0" t="n">
        <f aca="false">-G12</f>
        <v>27777.1469242141</v>
      </c>
      <c r="H16" s="0" t="n">
        <f aca="false">-H12</f>
        <v>30165.4369097568</v>
      </c>
      <c r="I16" s="0" t="n">
        <f aca="false">-I12</f>
        <v>31963.9799406027</v>
      </c>
      <c r="J16" s="0" t="n">
        <f aca="false">-J12</f>
        <v>33695.3621873853</v>
      </c>
      <c r="K16" s="0" t="n">
        <f aca="false">-K12</f>
        <v>34706.2230530069</v>
      </c>
      <c r="L16" s="0" t="n">
        <f aca="false">-L12</f>
        <v>35747.4097445971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-43250.90049</v>
      </c>
      <c r="D17" s="4" t="n">
        <f aca="false">-D6*Assumptions!D46/100</f>
        <v>-47575.990539</v>
      </c>
      <c r="E17" s="4" t="n">
        <f aca="false">-E6*Assumptions!E46/100</f>
        <v>-48935.3045544</v>
      </c>
      <c r="F17" s="4" t="n">
        <f aca="false">-F6*Assumptions!F46/100</f>
        <v>-49277.8516862808</v>
      </c>
      <c r="G17" s="4" t="n">
        <f aca="false">-G6*Assumptions!G46/100</f>
        <v>-49018.4945721425</v>
      </c>
      <c r="H17" s="4" t="n">
        <f aca="false">-H6*Assumptions!H46/100</f>
        <v>-48378.5308930062</v>
      </c>
      <c r="I17" s="4" t="n">
        <f aca="false">-I6*Assumptions!I46/100</f>
        <v>-47354.0443564484</v>
      </c>
      <c r="J17" s="4" t="n">
        <f aca="false">-J6*Assumptions!J46/100</f>
        <v>-49011.4359089241</v>
      </c>
      <c r="K17" s="4" t="n">
        <f aca="false">-K6*Assumptions!K46/100</f>
        <v>-50481.7789861918</v>
      </c>
      <c r="L17" s="4" t="n">
        <f aca="false">-L6*Assumptions!L46/100</f>
        <v>-51996.2323557776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-3141.7119</v>
      </c>
      <c r="D18" s="4" t="n">
        <f aca="false">(D6-C6)*Assumptions!$B$51/100</f>
        <v>-2059.56669</v>
      </c>
      <c r="E18" s="4" t="n">
        <f aca="false">(E6-D6)*Assumptions!$B$51/100</f>
        <v>-1812.4186872</v>
      </c>
      <c r="F18" s="4" t="n">
        <f aca="false">(F6-E6)*Assumptions!$B$51/100</f>
        <v>-1468.059136632</v>
      </c>
      <c r="G18" s="4" t="n">
        <f aca="false">(G6-F6)*Assumptions!$B$51/100</f>
        <v>-1296.7855706916</v>
      </c>
      <c r="H18" s="4" t="n">
        <f aca="false">(H6-G6)*Assumptions!$B$51/100</f>
        <v>-1225.46236430356</v>
      </c>
      <c r="I18" s="4" t="n">
        <f aca="false">(I6-H6)*Assumptions!$B$51/100</f>
        <v>-1138.31837395309</v>
      </c>
      <c r="J18" s="4" t="n">
        <f aca="false">(J6-I6)*Assumptions!$B$51/100</f>
        <v>-1035.86972029731</v>
      </c>
      <c r="K18" s="4" t="n">
        <f aca="false">(K6-J6)*Assumptions!$B$51/100</f>
        <v>-918.964423292328</v>
      </c>
      <c r="L18" s="4" t="n">
        <f aca="false">(L6-K6)*Assumptions!$B$51/100</f>
        <v>-946.5333559911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50616.7683117096</v>
      </c>
      <c r="D19" s="0" t="n">
        <f aca="false">D15+D16+D17+D18</f>
        <v>50809.7738668363</v>
      </c>
      <c r="E19" s="0" t="n">
        <f aca="false">E15+E16+E17+E18</f>
        <v>51147.1295725356</v>
      </c>
      <c r="F19" s="0" t="n">
        <f aca="false">F15+F16+F17+F18</f>
        <v>53626.0314484691</v>
      </c>
      <c r="G19" s="0" t="n">
        <f aca="false">G15+G16+G17+G18</f>
        <v>55352.2546565144</v>
      </c>
      <c r="H19" s="0" t="n">
        <f aca="false">H15+H16+H17+H18</f>
        <v>57858.9528357314</v>
      </c>
      <c r="I19" s="0" t="n">
        <f aca="false">I15+I16+I17+I18</f>
        <v>63505.8714281435</v>
      </c>
      <c r="J19" s="0" t="n">
        <f aca="false">J15+J16+J17+J18</f>
        <v>66115.9239044173</v>
      </c>
      <c r="K19" s="0" t="n">
        <f aca="false">K15+K16+K17+K18</f>
        <v>68247.3830101637</v>
      </c>
      <c r="L19" s="0" t="n">
        <f aca="false">L15+L16+L17+L18</f>
        <v>70294.8045004686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46437.4021208345</v>
      </c>
      <c r="D21" s="0" t="n">
        <f aca="false">D19*D20</f>
        <v>42765.5701261142</v>
      </c>
      <c r="E21" s="0" t="n">
        <f aca="false">E19*E20</f>
        <v>39494.9685084547</v>
      </c>
      <c r="F21" s="0" t="n">
        <f aca="false">F19*F20</f>
        <v>37990.0326474706</v>
      </c>
      <c r="G21" s="0" t="n">
        <f aca="false">G19*G20</f>
        <v>35975.1676036474</v>
      </c>
      <c r="H21" s="0" t="n">
        <f aca="false">H19*H20</f>
        <v>34499.4031433922</v>
      </c>
      <c r="I21" s="0" t="n">
        <f aca="false">I19*I20</f>
        <v>34739.8864198113</v>
      </c>
      <c r="J21" s="0" t="n">
        <f aca="false">J19*J20</f>
        <v>33181.3527570378</v>
      </c>
      <c r="K21" s="0" t="n">
        <f aca="false">K19*K20</f>
        <v>31422.9910171682</v>
      </c>
      <c r="L21" s="0" t="n">
        <f aca="false">L19*L20</f>
        <v>29693.2850896177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366200.059433549</v>
      </c>
    </row>
    <row r="31" customFormat="false" ht="15" hidden="false" customHeight="false" outlineLevel="0" collapsed="false">
      <c r="A31" s="0" t="s">
        <v>127</v>
      </c>
      <c r="B31" s="0" t="n">
        <f aca="false">L19</f>
        <v>70294.8045004686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1108494.99404585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843537.654005624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843537.654005624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356319.421075412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722519.48050896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730840.48050896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31.2582466739185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0.0653799139031541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2206.3103778984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2814.1080908204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31.4729713410473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576417.396903843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18.4906591796315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10.3015105973681</v>
      </c>
      <c r="C4" s="0" t="n">
        <f aca="false">B4/Assumptions!$B$2-1</f>
        <v>-0.648891936013356</v>
      </c>
      <c r="D4" s="4" t="n">
        <f aca="false">Assumptions!$B$24</f>
        <v>0.25</v>
      </c>
      <c r="E4" s="4" t="n">
        <f aca="false">DCF_Bear!$B$43</f>
        <v>10.432241557658</v>
      </c>
      <c r="F4" s="4" t="n">
        <f aca="false">DCF_Bear!$B$47</f>
        <v>6.65807851085774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20.8777167751707</v>
      </c>
      <c r="C5" s="0" t="n">
        <f aca="false">B5/Assumptions!$B$2-1</f>
        <v>-0.288421377806043</v>
      </c>
      <c r="D5" s="4" t="n">
        <f aca="false">Assumptions!$B$38</f>
        <v>0.5</v>
      </c>
      <c r="E5" s="4" t="n">
        <f aca="false">DCF_Base!$B$43</f>
        <v>21.0606901162665</v>
      </c>
      <c r="F5" s="4" t="n">
        <f aca="false">DCF_Base!$B$47</f>
        <v>12.6798832811576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31.2582466739185</v>
      </c>
      <c r="C6" s="0" t="n">
        <f aca="false">B6/Assumptions!$B$2-1</f>
        <v>0.0653799139031541</v>
      </c>
      <c r="D6" s="4" t="n">
        <f aca="false">Assumptions!$B$52</f>
        <v>0.25</v>
      </c>
      <c r="E6" s="4" t="n">
        <f aca="false">DCF_Bull!$B$43</f>
        <v>31.4729713410473</v>
      </c>
      <c r="F6" s="4" t="n">
        <f aca="false">DCF_Bull!$B$47</f>
        <v>18.4906591796315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20.828797705407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21.0066482828096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-0.408626672310688</v>
      </c>
    </row>
    <row r="11" customFormat="false" ht="15" hidden="false" customHeight="false" outlineLevel="0" collapsed="false">
      <c r="A11" s="0" t="s">
        <v>154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12.6271260632011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20.8777167751707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19.5655345104596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18.3648742766658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16.519035148344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12.6798832811576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23.8866777200733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23.8866777200733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23.8866777200733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23.8866777200733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23.8866777200733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22.3135582983056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22.3135582983056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22.3135582983056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22.3135582983056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22.3135582983056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20.8777167751707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20.8777167751707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20.8777167751707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20.8777167751707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20.8777167751707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19.5221340769073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19.5655345104596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19.5655345104596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19.5655345104596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19.5655345104596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17.4780726914591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17.9155614734944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18.3648742766658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18.3648742766658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18.3648742766658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2026-10-22T07:05:54Z</dcterms:created>
  <dc:creator>openpyxl</dc:creator>
  <dc:description/>
  <dc:language>en-NZ</dc:language>
  <cp:lastModifiedBy/>
  <dcterms:modified xsi:type="dcterms:W3CDTF">2026-10-22T07:05:54Z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