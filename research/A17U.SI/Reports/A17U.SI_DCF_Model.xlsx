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<sst xmlns="http://schemas.openxmlformats.org/spreadsheetml/2006/main" count="363" uniqueCount="170">
  <si>
    <t xml:space="preserve">Ticker</t>
  </si>
  <si>
    <t xml:space="preserve">A17U.SI</t>
  </si>
  <si>
    <t xml:space="preserve">Company</t>
  </si>
  <si>
    <t xml:space="preserve">CapitaLand Ascendas REIT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</si>
  <si>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</si>
  <si>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</si>
  <si>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</si>
  <si>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</si>
  <si>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2026-10-23T09:04:18Z (SGX regular session; Yahoo chart API regularMarketTime)</t>
  </si>
  <si>
    <t xml:space="preserve">Balance sheet date</t>
  </si>
  <si>
    <t xml:space="preserve">2025-12-31</t>
  </si>
  <si>
    <t xml:space="preserve">Model</t>
  </si>
  <si>
    <t xml:space="preserve">REIT distributable income (AFFO) capitalisation at cost of equity (engine route)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</si>
  <si>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</si>
  <si>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</si>
  <si>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</si>
  <si>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</si>
  <si>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</si>
  <si>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</si>
  <si>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</si>
  <si>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</si>
  <si>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2026-10-23T23:05:48Z</t>
  </si>
  <si>
    <t xml:space="preserve">Drivers file</t>
  </si>
  <si>
    <t xml:space="preserve">A17U.SI_Drivers.json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</si>
  <si>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</si>
  <si>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</si>
  <si>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</si>
  <si>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REIT unit is a claim on a post-interest distribution stream, so the stream (distributable income less the two costs S-REIT DI ignores: manager fees settled in units and sustaining/leasehold capex) is capitalised at the unitholders' cost of equity with no net-debt deduction. Growth is modelled per unit because CLAR's total-entity growth has historically been fully paid for with new units. NAV (S$2.29) is the cross-check: the market prices CLAR at ~0.97x NAV.
key_risks_to_valuation: Cost of equity: every 50bp on the 7.25% CoE moves value roughly 8-10%; S-REIT prices track the 10y SGS yield; Unit count derived from 1H26 DI/DPU, not the unit register (interim not extracted); Sustaining-capex/leasehold reserve (5% of revenue) is a judgment; the filings do not split maintenance from value-add capex; Distributable income can include discretionary items (divestment-gain distributions, fee-in-units add-backs) that are not recurring; Occupancy at 89-90% and 47% technology-tenant concentration; Gearing ~39.7% vs 50% MAS limit; further acquisitions likely need equity, diluting per-unit growth</t>
  </si>
  <si>
    <t xml:space="preserve">Data sources</t>
  </si>
  <si>
    <t xml:space="preserve">price: Yahoo Finance chart API at inputs.price_as_of; 52-week range 2.14-2.92
financials: A17U.SI_Metrics.csv (FY2017-FY2025, SGD millions) and kpis table (DistributableIncome, DistributionPerSecurity, NAVPerShare, ManagementFeesPaidInUnits); FY2025 Annual Report (units in issue line 6983, management fee in units line 7100, distributable income S$678.3m / DPU 15.005c line 506)
qualitative: A17U.SI_Analysis.json (2026-10-24), including 1H FY2026 results figures (DI S$359.4m, DPU 7.482c, occupancy ~89.1%, leverage ~39.7%) not yet extracted from the interim filing</t>
  </si>
  <si>
    <t xml:space="preserve">Scenario narrative: bear</t>
  </si>
  <si>
    <t xml:space="preserve">Bond yields keep rising through 2027, refinancing pushes cost of debt toward 4%+ and the DI margin to 41%; a tech-capex slowdown hits the 47% technology tenant base, occupancy slips below 89% and reversions fade to low single digits. Gearing near 40% forces equity-funded growth that is per-unit flat, ageing business parks need heavier capex (6% of revenue) and shortening Singapore leasehold tenures mean zero per-unit growth in perpetuity.</t>
  </si>
  <si>
    <t xml:space="preserve">Scenario narrative: base</t>
  </si>
  <si>
    <t xml:space="preserve">Per-unit distributable income holds at ~15.0c in FY2026 as 1H26 acquisitions (Osaka data centre, Singapore industrial) fill the enlarged unit base, then grows 1.5-2% a year: high-single-digit rent reversions on a Singapore industrial market with tight supply are partly absorbed by occupancy stuck near 89-90% and by the external manager's habit of growing AUM without growing DPU. Debt cost stays ~3.5%, gearing ~39-40%. A 5%-of-revenue reserve covers sustaining capex and the slow run-off of JTC leasehold tenure.</t>
  </si>
  <si>
    <t xml:space="preserve">Scenario narrative: bull</t>
  </si>
  <si>
    <t xml:space="preserve">Data centre and logistics mix (9 Tai Seng, UK Golden Triangle greenfields, Japan) and the S$730m development pipeline lift per-unit growth to 3-4% in the next three years; occupancy recovers to 92-93% as redevelopment vacancies re-let; falling SORA/SOFR lets ~25% floating debt and maturing fixed tranches refinance cheaper, widening the DI margin to 46%. Tech-tenant demand (47% of rent) stays firm on AI capex. Per-unit growth settles at 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</si>
  <si>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</si>
  <si>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</si>
  <si>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</si>
  <si>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</si>
  <si>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</si>
  <si>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</si>
  <si>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</si>
  <si>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</si>
  <si>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</si>
  <si>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</si>
  <si>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</si>
  <si>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</si>
  <si>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</si>
  <si>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</si>
  <si>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</si>
  <si>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</si>
  <si>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</si>
  <si>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</si>
  <si>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</si>
  <si>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</si>
  <si>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</si>
  <si>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</si>
  <si>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</si>
  <si>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</si>
  <si>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</si>
  <si>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</si>
  <si>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</si>
  <si>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</si>
  <si>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DistributionPerSecurity</t>
  </si>
  <si>
    <t xml:space="preserve">Gearing</t>
  </si>
  <si>
    <t xml:space="preserve">NAVPerShare</t>
  </si>
  <si>
    <t xml:space="preserve">Occupancy</t>
  </si>
  <si>
    <t xml:space="preserve">PerpetualDistributionsPaid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</si>
  <si>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</si>
  <si>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</si>
  <si>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</si>
  <si>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</si>
  <si>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</si>
  <si>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</si>
  <si>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</si>
  <si>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</si>
  <si>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</si>
  <si>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</si>
  <si>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</si>
  <si>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</si>
  <si>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</si>
  <si>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</si>
  <si>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</si>
  <si>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</si>
  <si>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</si>
  <si>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</si>
  <si>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</si>
  <si>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</si>
  <si>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</si>
  <si>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</si>
  <si>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</si>
  <si>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</si>
  <si>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</si>
  <si>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</si>
  <si>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</si>
  <si>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</si>
  <si>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</si>
  <si>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</si>
  <si>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</si>
  <si>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</si>
  <si>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</si>
  <si>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</si>
  <si>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</si>
  <si>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</si>
  <si>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</si>
  <si>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</si>
  <si>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</si>
  <si>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</si>
  <si>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</si>
  <si>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</si>
  <si>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</si>
  <si>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</si>
  <si>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</si>
  <si>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</si>
  <si>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A17U.SI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</si>
  <si>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</si>
  <si>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</si>
  <si>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</si>
  <si>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</si>
  <si>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</si>
  <si>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</si>
  <si>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</si>
  <si>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</si>
  <si>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</si>
  <si>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</si>
  <si>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</si>
  <si>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</si>
  <si>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</si>
  <si>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</si>
  <si>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</si>
  <si>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</si>
  <si>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</si>
  <si>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</si>
  <si>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</si>
  <si>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</si>
  <si>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</si>
  <si>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</si>
  <si>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</si>
  <si>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</si>
  <si>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</si>
  <si>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</si>
  <si>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</si>
  <si>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</si>
  <si>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</si>
  <si>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</si>
  <si>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A17U.SI owner-FCF component DCF: base case (millions, SGD)</t>
  </si>
  <si>
    <t xml:space="preserve">A17U.SI owner-FCF component DCF: bull case (millions, SGD)</t>
  </si>
  <si>
    <t xml:space="preserve">A17U.SI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</si>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</sst>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830.592</v>
      </c>
      <c r="I2" s="0" t="n">
        <v>413.23</v>
      </c>
      <c r="J2" s="0" t="n">
        <v>49.8</v>
      </c>
      <c r="K2" s="0" t="n">
        <v>0.14827</v>
      </c>
      <c r="L2" s="0" t="n">
        <v>529.268</v>
      </c>
      <c r="M2" s="0" t="n">
        <v>76.999</v>
      </c>
      <c r="N2" s="0" t="n">
        <v>452.269</v>
      </c>
      <c r="O2" s="0" t="n">
        <v>6030.71</v>
      </c>
      <c r="P2" s="0" t="n">
        <v>10170.818</v>
      </c>
      <c r="Q2" s="0" t="n">
        <v>3835.698</v>
      </c>
      <c r="R2" s="0" t="n">
        <v>3400.066</v>
      </c>
      <c r="S2" s="0" t="n">
        <v>22</v>
      </c>
      <c r="T2" s="0" t="n">
        <v>2924.767</v>
      </c>
      <c r="V2" s="0" t="n">
        <v>0.15743</v>
      </c>
      <c r="AA2" s="0" t="s">
        <v>17</v>
      </c>
      <c r="AB2" s="0" t="s">
        <v>14</v>
      </c>
      <c r="AD2" s="0" t="n">
        <v>0.15743</v>
      </c>
      <c r="AE2" s="0" t="n">
        <v>33.8</v>
      </c>
      <c r="AF2" s="0" t="n">
        <v>2.06</v>
      </c>
      <c r="AH2" s="0" t="n">
        <v>14.25</v>
      </c>
    </row>
    <row r="3" customFormat="false" ht="15" hidden="false" customHeight="false" outlineLevel="0" collapsed="false">
      <c r="A3" s="0" t="s">
        <v>70</v>
      </c>
      <c r="B3" s="0" t="n">
        <v>862.111</v>
      </c>
      <c r="I3" s="0" t="n">
        <v>479.868</v>
      </c>
      <c r="J3" s="0" t="n">
        <v>55.7</v>
      </c>
      <c r="K3" s="0" t="n">
        <v>0.16396</v>
      </c>
      <c r="L3" s="0" t="n">
        <v>538.887</v>
      </c>
      <c r="M3" s="0" t="n">
        <v>77.63</v>
      </c>
      <c r="N3" s="0" t="n">
        <v>461.257</v>
      </c>
      <c r="O3" s="0" t="n">
        <v>6194.31</v>
      </c>
      <c r="P3" s="0" t="n">
        <v>10353.793</v>
      </c>
      <c r="Q3" s="0" t="n">
        <v>3855.097</v>
      </c>
      <c r="R3" s="0" t="n">
        <v>3519.22</v>
      </c>
      <c r="S3" s="0" t="n">
        <v>25.016</v>
      </c>
      <c r="T3" s="0" t="n">
        <v>2928.504</v>
      </c>
      <c r="V3" s="0" t="n">
        <v>0.15988</v>
      </c>
      <c r="AA3" s="0" t="s">
        <v>17</v>
      </c>
      <c r="AB3" s="0" t="s">
        <v>14</v>
      </c>
      <c r="AD3" s="0" t="n">
        <v>0.15988</v>
      </c>
      <c r="AE3" s="0" t="n">
        <v>34.4</v>
      </c>
      <c r="AF3" s="0" t="n">
        <v>2.12</v>
      </c>
      <c r="AG3" s="0" t="n">
        <v>91.5</v>
      </c>
      <c r="AH3" s="0" t="n">
        <v>14.25</v>
      </c>
    </row>
    <row r="4" customFormat="false" ht="15" hidden="false" customHeight="false" outlineLevel="0" collapsed="false">
      <c r="A4" s="0" t="s">
        <v>71</v>
      </c>
      <c r="B4" s="0" t="n">
        <v>886.171</v>
      </c>
      <c r="I4" s="0" t="n">
        <v>488.837</v>
      </c>
      <c r="J4" s="0" t="n">
        <v>55.2</v>
      </c>
      <c r="K4" s="0" t="n">
        <v>0.16156</v>
      </c>
      <c r="L4" s="0" t="n">
        <v>612.433</v>
      </c>
      <c r="M4" s="0" t="n">
        <v>66.162</v>
      </c>
      <c r="N4" s="0" t="n">
        <v>546.271</v>
      </c>
      <c r="O4" s="0" t="n">
        <v>6641.611</v>
      </c>
      <c r="P4" s="0" t="n">
        <v>11413.823</v>
      </c>
      <c r="Q4" s="0" t="n">
        <v>4467.83</v>
      </c>
      <c r="R4" s="0" t="n">
        <v>4097.791</v>
      </c>
      <c r="S4" s="0" t="n">
        <v>52.341</v>
      </c>
      <c r="T4" s="0" t="n">
        <v>3110.842</v>
      </c>
      <c r="V4" s="0" t="n">
        <v>0.16035</v>
      </c>
      <c r="AA4" s="0" t="s">
        <v>17</v>
      </c>
      <c r="AB4" s="0" t="s">
        <v>14</v>
      </c>
      <c r="AD4" s="0" t="n">
        <v>0.16035</v>
      </c>
      <c r="AE4" s="0" t="n">
        <v>36.3</v>
      </c>
      <c r="AF4" s="0" t="n">
        <v>2.13</v>
      </c>
      <c r="AG4" s="0" t="n">
        <v>91.9</v>
      </c>
      <c r="AH4" s="0" t="n">
        <v>14.25</v>
      </c>
    </row>
    <row r="5" customFormat="false" ht="15" hidden="false" customHeight="false" outlineLevel="0" collapsed="false">
      <c r="A5" s="0" t="s">
        <v>72</v>
      </c>
      <c r="B5" s="0" t="n">
        <v>1049.46</v>
      </c>
      <c r="I5" s="0" t="n">
        <v>441.936</v>
      </c>
      <c r="J5" s="0" t="n">
        <v>42.1</v>
      </c>
      <c r="K5" s="0" t="n">
        <v>0.12055</v>
      </c>
      <c r="L5" s="0" t="n">
        <v>729.48</v>
      </c>
      <c r="M5" s="0" t="n">
        <v>74.501</v>
      </c>
      <c r="N5" s="0" t="n">
        <v>654.979</v>
      </c>
      <c r="O5" s="0" t="n">
        <v>8891.615</v>
      </c>
      <c r="P5" s="0" t="n">
        <v>15123.219</v>
      </c>
      <c r="Q5" s="0" t="n">
        <v>5932.666</v>
      </c>
      <c r="R5" s="0" t="n">
        <v>4681.964</v>
      </c>
      <c r="S5" s="0" t="n">
        <v>277.979</v>
      </c>
      <c r="T5" s="0" t="n">
        <v>4020.843</v>
      </c>
      <c r="V5" s="0" t="n">
        <v>0.14688</v>
      </c>
      <c r="AA5" s="0" t="s">
        <v>17</v>
      </c>
      <c r="AB5" s="0" t="s">
        <v>14</v>
      </c>
      <c r="AD5" s="0" t="n">
        <v>0.14688</v>
      </c>
      <c r="AE5" s="0" t="n">
        <v>32.8</v>
      </c>
      <c r="AF5" s="0" t="n">
        <v>2.21</v>
      </c>
      <c r="AG5" s="0" t="n">
        <v>91.7</v>
      </c>
      <c r="AH5" s="0" t="n">
        <v>15.142</v>
      </c>
    </row>
    <row r="6" customFormat="false" ht="15" hidden="false" customHeight="false" outlineLevel="0" collapsed="false">
      <c r="A6" s="0" t="s">
        <v>73</v>
      </c>
      <c r="B6" s="0" t="n">
        <v>1226.525</v>
      </c>
      <c r="I6" s="0" t="n">
        <v>948.039</v>
      </c>
      <c r="J6" s="0" t="n">
        <v>77.3</v>
      </c>
      <c r="K6" s="0" t="n">
        <v>0.22968</v>
      </c>
      <c r="L6" s="0" t="n">
        <v>726.761</v>
      </c>
      <c r="M6" s="0" t="n">
        <v>114.441</v>
      </c>
      <c r="N6" s="0" t="n">
        <v>612.32</v>
      </c>
      <c r="O6" s="0" t="n">
        <v>9978.23</v>
      </c>
      <c r="P6" s="0" t="n">
        <v>17730.491</v>
      </c>
      <c r="Q6" s="0" t="n">
        <v>7453.323</v>
      </c>
      <c r="R6" s="0" t="n">
        <v>6084.348</v>
      </c>
      <c r="S6" s="0" t="n">
        <v>368.549</v>
      </c>
      <c r="T6" s="0" t="n">
        <v>4197.93</v>
      </c>
      <c r="V6" s="0" t="n">
        <v>0.15258</v>
      </c>
      <c r="AA6" s="0" t="s">
        <v>17</v>
      </c>
      <c r="AB6" s="0" t="s">
        <v>14</v>
      </c>
      <c r="AD6" s="0" t="n">
        <v>0.15258</v>
      </c>
      <c r="AE6" s="0" t="n">
        <v>35.9</v>
      </c>
      <c r="AF6" s="0" t="n">
        <v>2.38</v>
      </c>
      <c r="AG6" s="0" t="n">
        <v>93.2</v>
      </c>
      <c r="AH6" s="0" t="n">
        <v>9</v>
      </c>
    </row>
    <row r="7" customFormat="false" ht="15" hidden="false" customHeight="false" outlineLevel="0" collapsed="false">
      <c r="A7" s="0" t="s">
        <v>74</v>
      </c>
      <c r="B7" s="0" t="n">
        <v>1352.686</v>
      </c>
      <c r="I7" s="0" t="n">
        <v>751.386</v>
      </c>
      <c r="J7" s="0" t="n">
        <v>55.5</v>
      </c>
      <c r="K7" s="0" t="n">
        <v>0.17891</v>
      </c>
      <c r="L7" s="0" t="n">
        <v>1017.925</v>
      </c>
      <c r="M7" s="0" t="n">
        <v>125.855</v>
      </c>
      <c r="N7" s="0" t="n">
        <v>892.07</v>
      </c>
      <c r="O7" s="0" t="n">
        <v>9967.684</v>
      </c>
      <c r="P7" s="0" t="n">
        <v>17875.989</v>
      </c>
      <c r="Q7" s="0" t="n">
        <v>7609.367</v>
      </c>
      <c r="R7" s="0" t="n">
        <v>6141.993</v>
      </c>
      <c r="S7" s="0" t="n">
        <v>217.018</v>
      </c>
      <c r="T7" s="0" t="n">
        <v>4203.991</v>
      </c>
      <c r="V7" s="0" t="n">
        <v>0.15798</v>
      </c>
      <c r="AA7" s="0" t="s">
        <v>17</v>
      </c>
      <c r="AB7" s="0" t="s">
        <v>14</v>
      </c>
      <c r="AD7" s="0" t="n">
        <v>0.15798</v>
      </c>
      <c r="AE7" s="0" t="n">
        <v>36.3</v>
      </c>
      <c r="AF7" s="0" t="n">
        <v>2.37</v>
      </c>
      <c r="AG7" s="0" t="n">
        <v>94.6</v>
      </c>
      <c r="AH7" s="0" t="n">
        <v>9</v>
      </c>
    </row>
    <row r="8" customFormat="false" ht="15" hidden="false" customHeight="false" outlineLevel="0" collapsed="false">
      <c r="A8" s="0" t="s">
        <v>75</v>
      </c>
      <c r="B8" s="0" t="n">
        <v>1479.778</v>
      </c>
      <c r="I8" s="0" t="n">
        <v>159.274</v>
      </c>
      <c r="J8" s="0" t="n">
        <v>10.8</v>
      </c>
      <c r="K8" s="0" t="n">
        <v>0.0369</v>
      </c>
      <c r="L8" s="0" t="n">
        <v>956.282</v>
      </c>
      <c r="M8" s="0" t="n">
        <v>171.188</v>
      </c>
      <c r="N8" s="0" t="n">
        <v>785.094</v>
      </c>
      <c r="O8" s="0" t="n">
        <v>9911.129</v>
      </c>
      <c r="P8" s="0" t="n">
        <v>18273.663</v>
      </c>
      <c r="Q8" s="0" t="n">
        <v>8063.596</v>
      </c>
      <c r="R8" s="0" t="n">
        <v>6520.882</v>
      </c>
      <c r="S8" s="0" t="n">
        <v>221.579</v>
      </c>
      <c r="T8" s="0" t="n">
        <v>4393.607</v>
      </c>
      <c r="V8" s="0" t="n">
        <v>0.1516</v>
      </c>
      <c r="AA8" s="0" t="s">
        <v>17</v>
      </c>
      <c r="AB8" s="0" t="s">
        <v>14</v>
      </c>
      <c r="AD8" s="0" t="n">
        <v>0.1516</v>
      </c>
      <c r="AE8" s="0" t="n">
        <v>37.9</v>
      </c>
      <c r="AF8" s="0" t="n">
        <v>2.26</v>
      </c>
      <c r="AG8" s="0" t="n">
        <v>94.2</v>
      </c>
      <c r="AH8" s="0" t="n">
        <v>9</v>
      </c>
    </row>
    <row r="9" customFormat="false" ht="15" hidden="false" customHeight="false" outlineLevel="0" collapsed="false">
      <c r="A9" s="0" t="s">
        <v>76</v>
      </c>
      <c r="B9" s="0" t="n">
        <v>1523.046</v>
      </c>
      <c r="I9" s="0" t="n">
        <v>755.082</v>
      </c>
      <c r="J9" s="0" t="n">
        <v>49.6</v>
      </c>
      <c r="K9" s="0" t="n">
        <v>0.17178</v>
      </c>
      <c r="L9" s="0" t="n">
        <v>947.832</v>
      </c>
      <c r="M9" s="0" t="n">
        <v>106.961</v>
      </c>
      <c r="N9" s="0" t="n">
        <v>840.871</v>
      </c>
      <c r="O9" s="0" t="n">
        <v>10008.906</v>
      </c>
      <c r="P9" s="0" t="n">
        <v>18269.01</v>
      </c>
      <c r="Q9" s="0" t="n">
        <v>7960.495</v>
      </c>
      <c r="R9" s="0" t="n">
        <v>6524.812</v>
      </c>
      <c r="S9" s="0" t="n">
        <v>167.741</v>
      </c>
      <c r="T9" s="0" t="n">
        <v>4400.309</v>
      </c>
      <c r="V9" s="0" t="n">
        <v>0.15205</v>
      </c>
      <c r="AA9" s="0" t="s">
        <v>17</v>
      </c>
      <c r="AB9" s="0" t="s">
        <v>14</v>
      </c>
      <c r="AD9" s="0" t="n">
        <v>0.15205</v>
      </c>
      <c r="AE9" s="0" t="n">
        <v>37.7</v>
      </c>
      <c r="AF9" s="0" t="n">
        <v>2.27</v>
      </c>
      <c r="AG9" s="0" t="n">
        <v>92.8</v>
      </c>
      <c r="AH9" s="0" t="n">
        <v>9.025</v>
      </c>
    </row>
    <row r="10" customFormat="false" ht="15" hidden="false" customHeight="false" outlineLevel="0" collapsed="false">
      <c r="A10" s="0" t="s">
        <v>77</v>
      </c>
      <c r="B10" s="0" t="n">
        <v>1538.574</v>
      </c>
      <c r="I10" s="0" t="n">
        <v>769.696</v>
      </c>
      <c r="J10" s="0" t="n">
        <v>50</v>
      </c>
      <c r="K10" s="0" t="n">
        <v>0.16951</v>
      </c>
      <c r="L10" s="0" t="n">
        <v>1068.87</v>
      </c>
      <c r="M10" s="0" t="n">
        <v>162.534</v>
      </c>
      <c r="N10" s="0" t="n">
        <v>906.336</v>
      </c>
      <c r="O10" s="0" t="n">
        <v>10550.108</v>
      </c>
      <c r="P10" s="0" t="n">
        <v>19794.388</v>
      </c>
      <c r="Q10" s="0" t="n">
        <v>8940.082</v>
      </c>
      <c r="R10" s="0" t="n">
        <v>7320.228</v>
      </c>
      <c r="S10" s="0" t="n">
        <v>209.444</v>
      </c>
      <c r="T10" s="0" t="n">
        <v>4611.952</v>
      </c>
      <c r="V10" s="0" t="n">
        <v>0.15005</v>
      </c>
      <c r="AA10" s="0" t="s">
        <v>17</v>
      </c>
      <c r="AB10" s="0" t="s">
        <v>14</v>
      </c>
      <c r="AC10" s="0" t="n">
        <v>18200</v>
      </c>
      <c r="AD10" s="0" t="n">
        <v>0.15005</v>
      </c>
      <c r="AE10" s="0" t="n">
        <v>39</v>
      </c>
      <c r="AF10" s="0" t="n">
        <v>2.29</v>
      </c>
      <c r="AG10" s="0" t="n">
        <v>90.9</v>
      </c>
      <c r="AH10" s="0" t="n">
        <v>10.02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2.23</v>
      </c>
    </row>
    <row r="3" customFormat="false" ht="15" hidden="false" customHeight="false" outlineLevel="0" collapsed="false">
      <c r="A3" s="0" t="s">
        <v>81</v>
      </c>
      <c r="B3" s="3" t="n">
        <v>4805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1538.574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5.5</v>
      </c>
      <c r="D13" s="3" t="n">
        <v>0.5</v>
      </c>
      <c r="E13" s="3" t="n">
        <v>0</v>
      </c>
      <c r="F13" s="3" t="n">
        <v>0.5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102</v>
      </c>
      <c r="C14" s="3" t="n">
        <v>43.5</v>
      </c>
      <c r="D14" s="3" t="n">
        <v>42.5</v>
      </c>
      <c r="E14" s="3" t="n">
        <v>41.5</v>
      </c>
      <c r="F14" s="3" t="n">
        <v>41</v>
      </c>
      <c r="G14" s="3" t="n">
        <v>41</v>
      </c>
      <c r="H14" s="3" t="n">
        <v>41</v>
      </c>
      <c r="I14" s="3" t="n">
        <v>41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103</v>
      </c>
      <c r="C15" s="3" t="n">
        <v>1.15</v>
      </c>
      <c r="D15" s="3" t="n">
        <v>1.15</v>
      </c>
      <c r="E15" s="3" t="n">
        <v>1.15</v>
      </c>
      <c r="F15" s="3" t="n">
        <v>1.15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106</v>
      </c>
      <c r="C18" s="3" t="n">
        <v>6</v>
      </c>
      <c r="D18" s="3" t="n">
        <v>6</v>
      </c>
      <c r="E18" s="3" t="n">
        <v>6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107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108</v>
      </c>
      <c r="B20" s="3" t="n">
        <v>7.25</v>
      </c>
    </row>
    <row r="21" customFormat="false" ht="15" hidden="false" customHeight="false" outlineLevel="0" collapsed="false">
      <c r="A21" s="0" t="s">
        <v>109</v>
      </c>
      <c r="B21" s="3" t="n">
        <v>0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6.5</v>
      </c>
      <c r="D27" s="3" t="n">
        <v>3</v>
      </c>
      <c r="E27" s="3" t="n">
        <v>2</v>
      </c>
      <c r="F27" s="3" t="n">
        <v>2</v>
      </c>
      <c r="G27" s="3" t="n">
        <v>2</v>
      </c>
      <c r="H27" s="3" t="n">
        <v>1.75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102</v>
      </c>
      <c r="C28" s="3" t="n">
        <v>44</v>
      </c>
      <c r="D28" s="3" t="n">
        <v>44</v>
      </c>
      <c r="E28" s="3" t="n">
        <v>44</v>
      </c>
      <c r="F28" s="3" t="n">
        <v>44</v>
      </c>
      <c r="G28" s="3" t="n">
        <v>44</v>
      </c>
      <c r="H28" s="3" t="n">
        <v>44</v>
      </c>
      <c r="I28" s="3" t="n">
        <v>44</v>
      </c>
      <c r="J28" s="3" t="n">
        <v>44</v>
      </c>
      <c r="K28" s="3" t="n">
        <v>44</v>
      </c>
      <c r="L28" s="3" t="n">
        <v>44</v>
      </c>
    </row>
    <row r="29" customFormat="false" ht="15" hidden="false" customHeight="false" outlineLevel="0" collapsed="false">
      <c r="A29" s="0" t="s">
        <v>103</v>
      </c>
      <c r="C29" s="3" t="n">
        <v>1.15</v>
      </c>
      <c r="D29" s="3" t="n">
        <v>1.15</v>
      </c>
      <c r="E29" s="3" t="n">
        <v>1.15</v>
      </c>
      <c r="F29" s="3" t="n">
        <v>1.15</v>
      </c>
      <c r="G29" s="3" t="n">
        <v>1.15</v>
      </c>
      <c r="H29" s="3" t="n">
        <v>1.15</v>
      </c>
      <c r="I29" s="3" t="n">
        <v>1.15</v>
      </c>
      <c r="J29" s="3" t="n">
        <v>1.15</v>
      </c>
      <c r="K29" s="3" t="n">
        <v>1.15</v>
      </c>
      <c r="L29" s="3" t="n">
        <v>1.15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106</v>
      </c>
      <c r="C32" s="3" t="n">
        <v>5</v>
      </c>
      <c r="D32" s="3" t="n">
        <v>5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107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108</v>
      </c>
      <c r="B34" s="3" t="n">
        <v>7.25</v>
      </c>
    </row>
    <row r="35" customFormat="false" ht="15" hidden="false" customHeight="false" outlineLevel="0" collapsed="false">
      <c r="A35" s="0" t="s">
        <v>109</v>
      </c>
      <c r="B35" s="3" t="n">
        <v>1</v>
      </c>
    </row>
    <row r="36" customFormat="false" ht="15" hidden="false" customHeight="false" outlineLevel="0" collapsed="false">
      <c r="A36" s="0" t="s">
        <v>110</v>
      </c>
      <c r="B36" s="3" t="n">
        <v>17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7</v>
      </c>
      <c r="D41" s="3" t="n">
        <v>4</v>
      </c>
      <c r="E41" s="3" t="n">
        <v>3</v>
      </c>
      <c r="F41" s="3" t="n">
        <v>3</v>
      </c>
      <c r="G41" s="3" t="n">
        <v>2.75</v>
      </c>
      <c r="H41" s="3" t="n">
        <v>2.5</v>
      </c>
      <c r="I41" s="3" t="n">
        <v>2.5</v>
      </c>
      <c r="J41" s="3" t="n">
        <v>2.25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102</v>
      </c>
      <c r="C42" s="3" t="n">
        <v>44</v>
      </c>
      <c r="D42" s="3" t="n">
        <v>44.5</v>
      </c>
      <c r="E42" s="3" t="n">
        <v>45</v>
      </c>
      <c r="F42" s="3" t="n">
        <v>45.5</v>
      </c>
      <c r="G42" s="3" t="n">
        <v>46</v>
      </c>
      <c r="H42" s="3" t="n">
        <v>46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103</v>
      </c>
      <c r="C43" s="3" t="n">
        <v>1.15</v>
      </c>
      <c r="D43" s="3" t="n">
        <v>1.15</v>
      </c>
      <c r="E43" s="3" t="n">
        <v>1.15</v>
      </c>
      <c r="F43" s="3" t="n">
        <v>1.15</v>
      </c>
      <c r="G43" s="3" t="n">
        <v>1.15</v>
      </c>
      <c r="H43" s="3" t="n">
        <v>1.15</v>
      </c>
      <c r="I43" s="3" t="n">
        <v>1.15</v>
      </c>
      <c r="J43" s="3" t="n">
        <v>1.15</v>
      </c>
      <c r="K43" s="3" t="n">
        <v>1.15</v>
      </c>
      <c r="L43" s="3" t="n">
        <v>1.15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106</v>
      </c>
      <c r="C46" s="3" t="n">
        <v>4.5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107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108</v>
      </c>
      <c r="B48" s="3" t="n">
        <v>7.25</v>
      </c>
    </row>
    <row r="49" customFormat="false" ht="15" hidden="false" customHeight="false" outlineLevel="0" collapsed="false">
      <c r="A49" s="0" t="s">
        <v>109</v>
      </c>
      <c r="B49" s="3" t="n">
        <v>2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5.5</v>
      </c>
      <c r="D5" s="4" t="n">
        <f aca="false">Assumptions!D13</f>
        <v>0.5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1538.574</v>
      </c>
      <c r="C6" s="0" t="n">
        <f aca="false">B6*(1+C5/100)</f>
        <v>1623.19557</v>
      </c>
      <c r="D6" s="0" t="n">
        <f aca="false">C6*(1+D5/100)</f>
        <v>1631.31154785</v>
      </c>
      <c r="E6" s="0" t="n">
        <f aca="false">D6*(1+E5/100)</f>
        <v>1631.31154785</v>
      </c>
      <c r="F6" s="0" t="n">
        <f aca="false">E6*(1+F5/100)</f>
        <v>1639.46810558925</v>
      </c>
      <c r="G6" s="0" t="n">
        <f aca="false">F6*(1+G5/100)</f>
        <v>1647.6654461172</v>
      </c>
      <c r="H6" s="0" t="n">
        <f aca="false">G6*(1+H5/100)</f>
        <v>1655.90377334778</v>
      </c>
      <c r="I6" s="0" t="n">
        <f aca="false">H6*(1+I5/100)</f>
        <v>1664.18329221452</v>
      </c>
      <c r="J6" s="0" t="n">
        <f aca="false">I6*(1+J5/100)</f>
        <v>1672.50420867559</v>
      </c>
      <c r="K6" s="0" t="n">
        <f aca="false">J6*(1+K5/100)</f>
        <v>1680.86672971897</v>
      </c>
      <c r="L6" s="0" t="n">
        <f aca="false">K6*(1+L5/100)</f>
        <v>1689.27106336757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43.5</v>
      </c>
      <c r="D7" s="4" t="n">
        <f aca="false">Assumptions!D14</f>
        <v>42.5</v>
      </c>
      <c r="E7" s="4" t="n">
        <f aca="false">Assumptions!E14</f>
        <v>41.5</v>
      </c>
      <c r="F7" s="4" t="n">
        <f aca="false">Assumptions!F14</f>
        <v>41</v>
      </c>
      <c r="G7" s="4" t="n">
        <f aca="false">Assumptions!G14</f>
        <v>41</v>
      </c>
      <c r="H7" s="4" t="n">
        <f aca="false">Assumptions!H14</f>
        <v>41</v>
      </c>
      <c r="I7" s="4" t="n">
        <f aca="false">Assumptions!I14</f>
        <v>41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706.09007295</v>
      </c>
      <c r="D8" s="0" t="n">
        <f aca="false">D6*D7/100</f>
        <v>693.30740783625</v>
      </c>
      <c r="E8" s="0" t="n">
        <f aca="false">E6*E7/100</f>
        <v>676.99429235775</v>
      </c>
      <c r="F8" s="0" t="n">
        <f aca="false">F6*F7/100</f>
        <v>672.181923291592</v>
      </c>
      <c r="G8" s="0" t="n">
        <f aca="false">G6*G7/100</f>
        <v>675.54283290805</v>
      </c>
      <c r="H8" s="0" t="n">
        <f aca="false">H6*H7/100</f>
        <v>678.920547072591</v>
      </c>
      <c r="I8" s="0" t="n">
        <f aca="false">I6*I7/100</f>
        <v>682.315149807953</v>
      </c>
      <c r="J8" s="0" t="n">
        <f aca="false">J6*J7/100</f>
        <v>685.726725556993</v>
      </c>
      <c r="K8" s="0" t="n">
        <f aca="false">K6*K7/100</f>
        <v>689.155359184778</v>
      </c>
      <c r="L8" s="0" t="n">
        <f aca="false">L6*L7/100</f>
        <v>692.601135980702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-18.666749055</v>
      </c>
      <c r="D10" s="0" t="n">
        <f aca="false">-D6*D9/100</f>
        <v>-18.760082800275</v>
      </c>
      <c r="E10" s="0" t="n">
        <f aca="false">-E6*E9/100</f>
        <v>-18.760082800275</v>
      </c>
      <c r="F10" s="0" t="n">
        <f aca="false">-F6*F9/100</f>
        <v>-18.8538832142764</v>
      </c>
      <c r="G10" s="0" t="n">
        <f aca="false">-G6*G9/100</f>
        <v>-18.9481526303478</v>
      </c>
      <c r="H10" s="0" t="n">
        <f aca="false">-H6*H9/100</f>
        <v>-19.0428933934995</v>
      </c>
      <c r="I10" s="0" t="n">
        <f aca="false">-I6*I9/100</f>
        <v>-19.138107860467</v>
      </c>
      <c r="J10" s="0" t="n">
        <f aca="false">-J6*J9/100</f>
        <v>-19.2337983997693</v>
      </c>
      <c r="K10" s="0" t="n">
        <f aca="false">-K6*K9/100</f>
        <v>-19.3299673917682</v>
      </c>
      <c r="L10" s="0" t="n">
        <f aca="false">-L6*L9/100</f>
        <v>-19.426617228727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687.423323895</v>
      </c>
      <c r="D11" s="0" t="n">
        <f aca="false">D8+D10+D24</f>
        <v>674.547325035975</v>
      </c>
      <c r="E11" s="0" t="n">
        <f aca="false">E8+E10+E24</f>
        <v>658.234209557475</v>
      </c>
      <c r="F11" s="0" t="n">
        <f aca="false">F8+F10+F24</f>
        <v>653.328040077316</v>
      </c>
      <c r="G11" s="0" t="n">
        <f aca="false">G8+G10+G24</f>
        <v>656.594680277703</v>
      </c>
      <c r="H11" s="0" t="n">
        <f aca="false">H8+H10+H24</f>
        <v>659.877653679091</v>
      </c>
      <c r="I11" s="0" t="n">
        <f aca="false">I8+I10+I24</f>
        <v>663.177041947486</v>
      </c>
      <c r="J11" s="0" t="n">
        <f aca="false">J8+J10+J24</f>
        <v>666.492927157224</v>
      </c>
      <c r="K11" s="0" t="n">
        <f aca="false">K8+K10+K24</f>
        <v>669.82539179301</v>
      </c>
      <c r="L11" s="0" t="n">
        <f aca="false">L8+L10+L24</f>
        <v>673.174518751975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687.423323895</v>
      </c>
      <c r="D13" s="0" t="n">
        <f aca="false">D11+D12</f>
        <v>674.547325035975</v>
      </c>
      <c r="E13" s="0" t="n">
        <f aca="false">E11+E12</f>
        <v>658.234209557475</v>
      </c>
      <c r="F13" s="0" t="n">
        <f aca="false">F11+F12</f>
        <v>653.328040077316</v>
      </c>
      <c r="G13" s="0" t="n">
        <f aca="false">G11+G12</f>
        <v>656.594680277703</v>
      </c>
      <c r="H13" s="0" t="n">
        <f aca="false">H11+H12</f>
        <v>659.877653679091</v>
      </c>
      <c r="I13" s="0" t="n">
        <f aca="false">I11+I12</f>
        <v>663.177041947486</v>
      </c>
      <c r="J13" s="0" t="n">
        <f aca="false">J11+J12</f>
        <v>666.492927157224</v>
      </c>
      <c r="K13" s="0" t="n">
        <f aca="false">K11+K12</f>
        <v>669.82539179301</v>
      </c>
      <c r="L13" s="0" t="n">
        <f aca="false">L11+L12</f>
        <v>673.174518751975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687.423323895</v>
      </c>
      <c r="D15" s="0" t="n">
        <f aca="false">D13-MAX(0,D13)*D14/100</f>
        <v>674.547325035975</v>
      </c>
      <c r="E15" s="0" t="n">
        <f aca="false">E13-MAX(0,E13)*E14/100</f>
        <v>658.234209557475</v>
      </c>
      <c r="F15" s="0" t="n">
        <f aca="false">F13-MAX(0,F13)*F14/100</f>
        <v>653.328040077316</v>
      </c>
      <c r="G15" s="0" t="n">
        <f aca="false">G13-MAX(0,G13)*G14/100</f>
        <v>656.594680277703</v>
      </c>
      <c r="H15" s="0" t="n">
        <f aca="false">H13-MAX(0,H13)*H14/100</f>
        <v>659.877653679091</v>
      </c>
      <c r="I15" s="0" t="n">
        <f aca="false">I13-MAX(0,I13)*I14/100</f>
        <v>663.177041947486</v>
      </c>
      <c r="J15" s="0" t="n">
        <f aca="false">J13-MAX(0,J13)*J14/100</f>
        <v>666.492927157224</v>
      </c>
      <c r="K15" s="0" t="n">
        <f aca="false">K13-MAX(0,K13)*K14/100</f>
        <v>669.82539179301</v>
      </c>
      <c r="L15" s="0" t="n">
        <f aca="false">L13-MAX(0,L13)*L14/100</f>
        <v>673.174518751975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-97.3917342</v>
      </c>
      <c r="D17" s="4" t="n">
        <f aca="false">-D6*Assumptions!D18/100</f>
        <v>-97.878692871</v>
      </c>
      <c r="E17" s="4" t="n">
        <f aca="false">-E6*Assumptions!E18/100</f>
        <v>-97.878692871</v>
      </c>
      <c r="F17" s="4" t="n">
        <f aca="false">-F6*Assumptions!F18/100</f>
        <v>-98.368086335355</v>
      </c>
      <c r="G17" s="4" t="n">
        <f aca="false">-G6*Assumptions!G18/100</f>
        <v>-98.8599267670318</v>
      </c>
      <c r="H17" s="4" t="n">
        <f aca="false">-H6*Assumptions!H18/100</f>
        <v>-99.3542264008669</v>
      </c>
      <c r="I17" s="4" t="n">
        <f aca="false">-I6*Assumptions!I18/100</f>
        <v>-99.8509975328712</v>
      </c>
      <c r="J17" s="4" t="n">
        <f aca="false">-J6*Assumptions!J18/100</f>
        <v>-100.350252520536</v>
      </c>
      <c r="K17" s="4" t="n">
        <f aca="false">-K6*Assumptions!K18/100</f>
        <v>-100.852003783138</v>
      </c>
      <c r="L17" s="4" t="n">
        <f aca="false">-L6*Assumptions!L18/100</f>
        <v>-101.356263802054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590.031589695</v>
      </c>
      <c r="D19" s="0" t="n">
        <f aca="false">D15+D16+D17+D18</f>
        <v>576.668632164975</v>
      </c>
      <c r="E19" s="0" t="n">
        <f aca="false">E15+E16+E17+E18</f>
        <v>560.355516686475</v>
      </c>
      <c r="F19" s="0" t="n">
        <f aca="false">F15+F16+F17+F18</f>
        <v>554.959953741961</v>
      </c>
      <c r="G19" s="0" t="n">
        <f aca="false">G15+G16+G17+G18</f>
        <v>557.734753510671</v>
      </c>
      <c r="H19" s="0" t="n">
        <f aca="false">H15+H16+H17+H18</f>
        <v>560.523427278224</v>
      </c>
      <c r="I19" s="0" t="n">
        <f aca="false">I15+I16+I17+I18</f>
        <v>563.326044414615</v>
      </c>
      <c r="J19" s="0" t="n">
        <f aca="false">J15+J16+J17+J18</f>
        <v>566.142674636688</v>
      </c>
      <c r="K19" s="0" t="n">
        <f aca="false">K15+K16+K17+K18</f>
        <v>568.973388009872</v>
      </c>
      <c r="L19" s="0" t="n">
        <f aca="false">L15+L16+L17+L18</f>
        <v>571.818254949921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550.146004377623</v>
      </c>
      <c r="D21" s="0" t="n">
        <f aca="false">D19*D20</f>
        <v>501.339273022837</v>
      </c>
      <c r="E21" s="0" t="n">
        <f aca="false">E19*E20</f>
        <v>454.225748596867</v>
      </c>
      <c r="F21" s="0" t="n">
        <f aca="false">F19*F20</f>
        <v>419.442508333696</v>
      </c>
      <c r="G21" s="0" t="n">
        <f aca="false">G19*G20</f>
        <v>393.044028788218</v>
      </c>
      <c r="H21" s="0" t="n">
        <f aca="false">H19*H20</f>
        <v>368.306992011338</v>
      </c>
      <c r="I21" s="0" t="n">
        <f aca="false">I19*I20</f>
        <v>345.12683167496</v>
      </c>
      <c r="J21" s="0" t="n">
        <f aca="false">J19*J20</f>
        <v>323.405562548564</v>
      </c>
      <c r="K21" s="0" t="n">
        <f aca="false">K19*K20</f>
        <v>303.051366304248</v>
      </c>
      <c r="L21" s="0" t="n">
        <f aca="false">L19*L20</f>
        <v>283.978203389995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3942.06651904835</v>
      </c>
    </row>
    <row r="31" customFormat="false" ht="15" hidden="false" customHeight="false" outlineLevel="0" collapsed="false">
      <c r="A31" s="0" t="s">
        <v>132</v>
      </c>
      <c r="B31" s="0" t="n">
        <f aca="false">L19</f>
        <v>571.818254949921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7887.14834413684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8577.27382424881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7887.14834413684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3916.94073641372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7859.00725546207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7859.00725546207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1.63558943922207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-0.266551820976648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131.692660313425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133.071841857482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1.69069131272278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3812.12169966614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0.790158085681399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6.5</v>
      </c>
      <c r="D5" s="4" t="n">
        <f aca="false">Assumptions!D27</f>
        <v>3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1.75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1538.574</v>
      </c>
      <c r="C6" s="0" t="n">
        <f aca="false">B6*(1+C5/100)</f>
        <v>1638.58131</v>
      </c>
      <c r="D6" s="0" t="n">
        <f aca="false">C6*(1+D5/100)</f>
        <v>1687.7387493</v>
      </c>
      <c r="E6" s="0" t="n">
        <f aca="false">D6*(1+E5/100)</f>
        <v>1721.493524286</v>
      </c>
      <c r="F6" s="0" t="n">
        <f aca="false">E6*(1+F5/100)</f>
        <v>1755.92339477172</v>
      </c>
      <c r="G6" s="0" t="n">
        <f aca="false">F6*(1+G5/100)</f>
        <v>1791.04186266715</v>
      </c>
      <c r="H6" s="0" t="n">
        <f aca="false">G6*(1+H5/100)</f>
        <v>1822.38509526383</v>
      </c>
      <c r="I6" s="0" t="n">
        <f aca="false">H6*(1+I5/100)</f>
        <v>1849.72087169279</v>
      </c>
      <c r="J6" s="0" t="n">
        <f aca="false">I6*(1+J5/100)</f>
        <v>1877.46668476818</v>
      </c>
      <c r="K6" s="0" t="n">
        <f aca="false">J6*(1+K5/100)</f>
        <v>1905.6286850397</v>
      </c>
      <c r="L6" s="0" t="n">
        <f aca="false">K6*(1+L5/100)</f>
        <v>1934.2131153153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44</v>
      </c>
      <c r="D7" s="4" t="n">
        <f aca="false">Assumptions!D28</f>
        <v>44</v>
      </c>
      <c r="E7" s="4" t="n">
        <f aca="false">Assumptions!E28</f>
        <v>44</v>
      </c>
      <c r="F7" s="4" t="n">
        <f aca="false">Assumptions!F28</f>
        <v>44</v>
      </c>
      <c r="G7" s="4" t="n">
        <f aca="false">Assumptions!G28</f>
        <v>44</v>
      </c>
      <c r="H7" s="4" t="n">
        <f aca="false">Assumptions!H28</f>
        <v>44</v>
      </c>
      <c r="I7" s="4" t="n">
        <f aca="false">Assumptions!I28</f>
        <v>44</v>
      </c>
      <c r="J7" s="4" t="n">
        <f aca="false">Assumptions!J28</f>
        <v>44</v>
      </c>
      <c r="K7" s="4" t="n">
        <f aca="false">Assumptions!K28</f>
        <v>44</v>
      </c>
      <c r="L7" s="4" t="n">
        <f aca="false">Assumptions!L28</f>
        <v>44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720.9757764</v>
      </c>
      <c r="D8" s="0" t="n">
        <f aca="false">D6*D7/100</f>
        <v>742.605049692</v>
      </c>
      <c r="E8" s="0" t="n">
        <f aca="false">E6*E7/100</f>
        <v>757.45715068584</v>
      </c>
      <c r="F8" s="0" t="n">
        <f aca="false">F6*F7/100</f>
        <v>772.606293699557</v>
      </c>
      <c r="G8" s="0" t="n">
        <f aca="false">G6*G7/100</f>
        <v>788.058419573548</v>
      </c>
      <c r="H8" s="0" t="n">
        <f aca="false">H6*H7/100</f>
        <v>801.849441916085</v>
      </c>
      <c r="I8" s="0" t="n">
        <f aca="false">I6*I7/100</f>
        <v>813.877183544826</v>
      </c>
      <c r="J8" s="0" t="n">
        <f aca="false">J6*J7/100</f>
        <v>826.085341297999</v>
      </c>
      <c r="K8" s="0" t="n">
        <f aca="false">K6*K7/100</f>
        <v>838.476621417469</v>
      </c>
      <c r="L8" s="0" t="n">
        <f aca="false">L6*L7/100</f>
        <v>851.053770738731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1.15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1.15</v>
      </c>
      <c r="I9" s="4" t="n">
        <f aca="false">Assumptions!I29</f>
        <v>1.15</v>
      </c>
      <c r="J9" s="4" t="n">
        <f aca="false">Assumptions!J29</f>
        <v>1.15</v>
      </c>
      <c r="K9" s="4" t="n">
        <f aca="false">Assumptions!K29</f>
        <v>1.15</v>
      </c>
      <c r="L9" s="4" t="n">
        <f aca="false">Assumptions!L29</f>
        <v>1.15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-18.843685065</v>
      </c>
      <c r="D10" s="0" t="n">
        <f aca="false">-D6*D9/100</f>
        <v>-19.40899561695</v>
      </c>
      <c r="E10" s="0" t="n">
        <f aca="false">-E6*E9/100</f>
        <v>-19.797175529289</v>
      </c>
      <c r="F10" s="0" t="n">
        <f aca="false">-F6*F9/100</f>
        <v>-20.1931190398748</v>
      </c>
      <c r="G10" s="0" t="n">
        <f aca="false">-G6*G9/100</f>
        <v>-20.5969814206723</v>
      </c>
      <c r="H10" s="0" t="n">
        <f aca="false">-H6*H9/100</f>
        <v>-20.957428595534</v>
      </c>
      <c r="I10" s="0" t="n">
        <f aca="false">-I6*I9/100</f>
        <v>-21.2717900244671</v>
      </c>
      <c r="J10" s="0" t="n">
        <f aca="false">-J6*J9/100</f>
        <v>-21.5908668748341</v>
      </c>
      <c r="K10" s="0" t="n">
        <f aca="false">-K6*K9/100</f>
        <v>-21.9147298779566</v>
      </c>
      <c r="L10" s="0" t="n">
        <f aca="false">-L6*L9/100</f>
        <v>-22.2434508261259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702.132091335</v>
      </c>
      <c r="D11" s="0" t="n">
        <f aca="false">D8+D10+D24</f>
        <v>723.19605407505</v>
      </c>
      <c r="E11" s="0" t="n">
        <f aca="false">E8+E10+E24</f>
        <v>737.659975156551</v>
      </c>
      <c r="F11" s="0" t="n">
        <f aca="false">F8+F10+F24</f>
        <v>752.413174659682</v>
      </c>
      <c r="G11" s="0" t="n">
        <f aca="false">G8+G10+G24</f>
        <v>767.461438152876</v>
      </c>
      <c r="H11" s="0" t="n">
        <f aca="false">H8+H10+H24</f>
        <v>780.892013320551</v>
      </c>
      <c r="I11" s="0" t="n">
        <f aca="false">I8+I10+I24</f>
        <v>792.605393520359</v>
      </c>
      <c r="J11" s="0" t="n">
        <f aca="false">J8+J10+J24</f>
        <v>804.494474423165</v>
      </c>
      <c r="K11" s="0" t="n">
        <f aca="false">K8+K10+K24</f>
        <v>816.561891539512</v>
      </c>
      <c r="L11" s="0" t="n">
        <f aca="false">L8+L10+L24</f>
        <v>828.810319912605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702.132091335</v>
      </c>
      <c r="D13" s="0" t="n">
        <f aca="false">D11+D12</f>
        <v>723.19605407505</v>
      </c>
      <c r="E13" s="0" t="n">
        <f aca="false">E11+E12</f>
        <v>737.659975156551</v>
      </c>
      <c r="F13" s="0" t="n">
        <f aca="false">F11+F12</f>
        <v>752.413174659682</v>
      </c>
      <c r="G13" s="0" t="n">
        <f aca="false">G11+G12</f>
        <v>767.461438152876</v>
      </c>
      <c r="H13" s="0" t="n">
        <f aca="false">H11+H12</f>
        <v>780.892013320551</v>
      </c>
      <c r="I13" s="0" t="n">
        <f aca="false">I11+I12</f>
        <v>792.605393520359</v>
      </c>
      <c r="J13" s="0" t="n">
        <f aca="false">J11+J12</f>
        <v>804.494474423165</v>
      </c>
      <c r="K13" s="0" t="n">
        <f aca="false">K11+K12</f>
        <v>816.561891539512</v>
      </c>
      <c r="L13" s="0" t="n">
        <f aca="false">L11+L12</f>
        <v>828.810319912605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702.132091335</v>
      </c>
      <c r="D15" s="0" t="n">
        <f aca="false">D13-MAX(0,D13)*D14/100</f>
        <v>723.19605407505</v>
      </c>
      <c r="E15" s="0" t="n">
        <f aca="false">E13-MAX(0,E13)*E14/100</f>
        <v>737.659975156551</v>
      </c>
      <c r="F15" s="0" t="n">
        <f aca="false">F13-MAX(0,F13)*F14/100</f>
        <v>752.413174659682</v>
      </c>
      <c r="G15" s="0" t="n">
        <f aca="false">G13-MAX(0,G13)*G14/100</f>
        <v>767.461438152876</v>
      </c>
      <c r="H15" s="0" t="n">
        <f aca="false">H13-MAX(0,H13)*H14/100</f>
        <v>780.892013320551</v>
      </c>
      <c r="I15" s="0" t="n">
        <f aca="false">I13-MAX(0,I13)*I14/100</f>
        <v>792.605393520359</v>
      </c>
      <c r="J15" s="0" t="n">
        <f aca="false">J13-MAX(0,J13)*J14/100</f>
        <v>804.494474423165</v>
      </c>
      <c r="K15" s="0" t="n">
        <f aca="false">K13-MAX(0,K13)*K14/100</f>
        <v>816.561891539512</v>
      </c>
      <c r="L15" s="0" t="n">
        <f aca="false">L13-MAX(0,L13)*L14/100</f>
        <v>828.810319912605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-81.9290655</v>
      </c>
      <c r="D17" s="4" t="n">
        <f aca="false">-D6*Assumptions!D32/100</f>
        <v>-84.386937465</v>
      </c>
      <c r="E17" s="4" t="n">
        <f aca="false">-E6*Assumptions!E32/100</f>
        <v>-86.0746762143</v>
      </c>
      <c r="F17" s="4" t="n">
        <f aca="false">-F6*Assumptions!F32/100</f>
        <v>-87.796169738586</v>
      </c>
      <c r="G17" s="4" t="n">
        <f aca="false">-G6*Assumptions!G32/100</f>
        <v>-89.5520931333577</v>
      </c>
      <c r="H17" s="4" t="n">
        <f aca="false">-H6*Assumptions!H32/100</f>
        <v>-91.1192547631915</v>
      </c>
      <c r="I17" s="4" t="n">
        <f aca="false">-I6*Assumptions!I32/100</f>
        <v>-92.4860435846394</v>
      </c>
      <c r="J17" s="4" t="n">
        <f aca="false">-J6*Assumptions!J32/100</f>
        <v>-93.8733342384089</v>
      </c>
      <c r="K17" s="4" t="n">
        <f aca="false">-K6*Assumptions!K32/100</f>
        <v>-95.2814342519851</v>
      </c>
      <c r="L17" s="4" t="n">
        <f aca="false">-L6*Assumptions!L32/100</f>
        <v>-96.7106557657648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620.203025835</v>
      </c>
      <c r="D19" s="0" t="n">
        <f aca="false">D15+D16+D17+D18</f>
        <v>638.80911661005</v>
      </c>
      <c r="E19" s="0" t="n">
        <f aca="false">E15+E16+E17+E18</f>
        <v>651.585298942251</v>
      </c>
      <c r="F19" s="0" t="n">
        <f aca="false">F15+F16+F17+F18</f>
        <v>664.617004921096</v>
      </c>
      <c r="G19" s="0" t="n">
        <f aca="false">G15+G16+G17+G18</f>
        <v>677.909345019518</v>
      </c>
      <c r="H19" s="0" t="n">
        <f aca="false">H15+H16+H17+H18</f>
        <v>689.77275855736</v>
      </c>
      <c r="I19" s="0" t="n">
        <f aca="false">I15+I16+I17+I18</f>
        <v>700.11934993572</v>
      </c>
      <c r="J19" s="0" t="n">
        <f aca="false">J15+J16+J17+J18</f>
        <v>710.621140184756</v>
      </c>
      <c r="K19" s="0" t="n">
        <f aca="false">K15+K16+K17+K18</f>
        <v>721.280457287527</v>
      </c>
      <c r="L19" s="0" t="n">
        <f aca="false">L15+L16+L17+L18</f>
        <v>732.09966414684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578.277879566434</v>
      </c>
      <c r="D21" s="0" t="n">
        <f aca="false">D19*D20</f>
        <v>555.362439117414</v>
      </c>
      <c r="E21" s="0" t="n">
        <f aca="false">E19*E20</f>
        <v>528.176865174604</v>
      </c>
      <c r="F21" s="0" t="n">
        <f aca="false">F19*F20</f>
        <v>502.32205359263</v>
      </c>
      <c r="G21" s="0" t="n">
        <f aca="false">G19*G20</f>
        <v>477.732862158026</v>
      </c>
      <c r="H21" s="0" t="n">
        <f aca="false">H19*H20</f>
        <v>453.233741021717</v>
      </c>
      <c r="I21" s="0" t="n">
        <f aca="false">I19*I20</f>
        <v>428.934496165075</v>
      </c>
      <c r="J21" s="0" t="n">
        <f aca="false">J19*J20</f>
        <v>405.938008025688</v>
      </c>
      <c r="K21" s="0" t="n">
        <f aca="false">K19*K20</f>
        <v>384.174431837831</v>
      </c>
      <c r="L21" s="0" t="n">
        <f aca="false">L19*L20</f>
        <v>363.577667426945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4677.73044408636</v>
      </c>
    </row>
    <row r="31" customFormat="false" ht="15" hidden="false" customHeight="false" outlineLevel="0" collapsed="false">
      <c r="A31" s="0" t="s">
        <v>132</v>
      </c>
      <c r="B31" s="0" t="n">
        <f aca="false">L19</f>
        <v>732.09966414684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11830.7305726129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12445.6942904963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11830.7305726129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5875.41510561943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10553.1455497058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10553.1455497058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2.19628419348716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-0.0151191957456698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142.123910454407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178.513272693853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2.26301409632759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5281.57614848792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0.968374101835587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7</v>
      </c>
      <c r="D5" s="4" t="n">
        <f aca="false">Assumptions!D41</f>
        <v>4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2.75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2.25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1538.574</v>
      </c>
      <c r="C6" s="0" t="n">
        <f aca="false">B6*(1+C5/100)</f>
        <v>1646.27418</v>
      </c>
      <c r="D6" s="0" t="n">
        <f aca="false">C6*(1+D5/100)</f>
        <v>1712.1251472</v>
      </c>
      <c r="E6" s="0" t="n">
        <f aca="false">D6*(1+E5/100)</f>
        <v>1763.488901616</v>
      </c>
      <c r="F6" s="0" t="n">
        <f aca="false">E6*(1+F5/100)</f>
        <v>1816.39356866448</v>
      </c>
      <c r="G6" s="0" t="n">
        <f aca="false">F6*(1+G5/100)</f>
        <v>1866.34439180275</v>
      </c>
      <c r="H6" s="0" t="n">
        <f aca="false">G6*(1+H5/100)</f>
        <v>1913.00300159782</v>
      </c>
      <c r="I6" s="0" t="n">
        <f aca="false">H6*(1+I5/100)</f>
        <v>1960.82807663777</v>
      </c>
      <c r="J6" s="0" t="n">
        <f aca="false">I6*(1+J5/100)</f>
        <v>2004.94670836212</v>
      </c>
      <c r="K6" s="0" t="n">
        <f aca="false">J6*(1+K5/100)</f>
        <v>2045.04564252936</v>
      </c>
      <c r="L6" s="0" t="n">
        <f aca="false">K6*(1+L5/100)</f>
        <v>2085.94655537995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44</v>
      </c>
      <c r="D7" s="4" t="n">
        <f aca="false">Assumptions!D42</f>
        <v>44.5</v>
      </c>
      <c r="E7" s="4" t="n">
        <f aca="false">Assumptions!E42</f>
        <v>45</v>
      </c>
      <c r="F7" s="4" t="n">
        <f aca="false">Assumptions!F42</f>
        <v>45.5</v>
      </c>
      <c r="G7" s="4" t="n">
        <f aca="false">Assumptions!G42</f>
        <v>46</v>
      </c>
      <c r="H7" s="4" t="n">
        <f aca="false">Assumptions!H42</f>
        <v>46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724.3606392</v>
      </c>
      <c r="D8" s="0" t="n">
        <f aca="false">D6*D7/100</f>
        <v>761.895690504</v>
      </c>
      <c r="E8" s="0" t="n">
        <f aca="false">E6*E7/100</f>
        <v>793.5700057272</v>
      </c>
      <c r="F8" s="0" t="n">
        <f aca="false">F6*F7/100</f>
        <v>826.459073742339</v>
      </c>
      <c r="G8" s="0" t="n">
        <f aca="false">G6*G7/100</f>
        <v>858.518420229267</v>
      </c>
      <c r="H8" s="0" t="n">
        <f aca="false">H6*H7/100</f>
        <v>879.981380734998</v>
      </c>
      <c r="I8" s="0" t="n">
        <f aca="false">I6*I7/100</f>
        <v>901.980915253373</v>
      </c>
      <c r="J8" s="0" t="n">
        <f aca="false">J6*J7/100</f>
        <v>922.275485846574</v>
      </c>
      <c r="K8" s="0" t="n">
        <f aca="false">K6*K7/100</f>
        <v>940.720995563505</v>
      </c>
      <c r="L8" s="0" t="n">
        <f aca="false">L6*L7/100</f>
        <v>959.535415474776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1.15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1.15</v>
      </c>
      <c r="I9" s="4" t="n">
        <f aca="false">Assumptions!I43</f>
        <v>1.15</v>
      </c>
      <c r="J9" s="4" t="n">
        <f aca="false">Assumptions!J43</f>
        <v>1.15</v>
      </c>
      <c r="K9" s="4" t="n">
        <f aca="false">Assumptions!K43</f>
        <v>1.15</v>
      </c>
      <c r="L9" s="4" t="n">
        <f aca="false">Assumptions!L43</f>
        <v>1.15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-18.93215307</v>
      </c>
      <c r="D10" s="0" t="n">
        <f aca="false">-D6*D9/100</f>
        <v>-19.6894391928</v>
      </c>
      <c r="E10" s="0" t="n">
        <f aca="false">-E6*E9/100</f>
        <v>-20.280122368584</v>
      </c>
      <c r="F10" s="0" t="n">
        <f aca="false">-F6*F9/100</f>
        <v>-20.8885260396415</v>
      </c>
      <c r="G10" s="0" t="n">
        <f aca="false">-G6*G9/100</f>
        <v>-21.4629605057317</v>
      </c>
      <c r="H10" s="0" t="n">
        <f aca="false">-H6*H9/100</f>
        <v>-21.999534518375</v>
      </c>
      <c r="I10" s="0" t="n">
        <f aca="false">-I6*I9/100</f>
        <v>-22.5495228813343</v>
      </c>
      <c r="J10" s="0" t="n">
        <f aca="false">-J6*J9/100</f>
        <v>-23.0568871461644</v>
      </c>
      <c r="K10" s="0" t="n">
        <f aca="false">-K6*K9/100</f>
        <v>-23.5180248890876</v>
      </c>
      <c r="L10" s="0" t="n">
        <f aca="false">-L6*L9/100</f>
        <v>-23.9883853868694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705.42848613</v>
      </c>
      <c r="D11" s="0" t="n">
        <f aca="false">D8+D10+D24</f>
        <v>742.2062513112</v>
      </c>
      <c r="E11" s="0" t="n">
        <f aca="false">E8+E10+E24</f>
        <v>773.289883358616</v>
      </c>
      <c r="F11" s="0" t="n">
        <f aca="false">F8+F10+F24</f>
        <v>805.570547702697</v>
      </c>
      <c r="G11" s="0" t="n">
        <f aca="false">G8+G10+G24</f>
        <v>837.055459723535</v>
      </c>
      <c r="H11" s="0" t="n">
        <f aca="false">H8+H10+H24</f>
        <v>857.981846216623</v>
      </c>
      <c r="I11" s="0" t="n">
        <f aca="false">I8+I10+I24</f>
        <v>879.431392372039</v>
      </c>
      <c r="J11" s="0" t="n">
        <f aca="false">J8+J10+J24</f>
        <v>899.21859870041</v>
      </c>
      <c r="K11" s="0" t="n">
        <f aca="false">K8+K10+K24</f>
        <v>917.202970674418</v>
      </c>
      <c r="L11" s="0" t="n">
        <f aca="false">L8+L10+L24</f>
        <v>935.547030087906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705.42848613</v>
      </c>
      <c r="D13" s="0" t="n">
        <f aca="false">D11+D12</f>
        <v>742.2062513112</v>
      </c>
      <c r="E13" s="0" t="n">
        <f aca="false">E11+E12</f>
        <v>773.289883358616</v>
      </c>
      <c r="F13" s="0" t="n">
        <f aca="false">F11+F12</f>
        <v>805.570547702697</v>
      </c>
      <c r="G13" s="0" t="n">
        <f aca="false">G11+G12</f>
        <v>837.055459723535</v>
      </c>
      <c r="H13" s="0" t="n">
        <f aca="false">H11+H12</f>
        <v>857.981846216623</v>
      </c>
      <c r="I13" s="0" t="n">
        <f aca="false">I11+I12</f>
        <v>879.431392372039</v>
      </c>
      <c r="J13" s="0" t="n">
        <f aca="false">J11+J12</f>
        <v>899.21859870041</v>
      </c>
      <c r="K13" s="0" t="n">
        <f aca="false">K11+K12</f>
        <v>917.202970674418</v>
      </c>
      <c r="L13" s="0" t="n">
        <f aca="false">L11+L12</f>
        <v>935.547030087906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705.42848613</v>
      </c>
      <c r="D15" s="0" t="n">
        <f aca="false">D13-MAX(0,D13)*D14/100</f>
        <v>742.2062513112</v>
      </c>
      <c r="E15" s="0" t="n">
        <f aca="false">E13-MAX(0,E13)*E14/100</f>
        <v>773.289883358616</v>
      </c>
      <c r="F15" s="0" t="n">
        <f aca="false">F13-MAX(0,F13)*F14/100</f>
        <v>805.570547702697</v>
      </c>
      <c r="G15" s="0" t="n">
        <f aca="false">G13-MAX(0,G13)*G14/100</f>
        <v>837.055459723535</v>
      </c>
      <c r="H15" s="0" t="n">
        <f aca="false">H13-MAX(0,H13)*H14/100</f>
        <v>857.981846216623</v>
      </c>
      <c r="I15" s="0" t="n">
        <f aca="false">I13-MAX(0,I13)*I14/100</f>
        <v>879.431392372039</v>
      </c>
      <c r="J15" s="0" t="n">
        <f aca="false">J13-MAX(0,J13)*J14/100</f>
        <v>899.21859870041</v>
      </c>
      <c r="K15" s="0" t="n">
        <f aca="false">K13-MAX(0,K13)*K14/100</f>
        <v>917.202970674418</v>
      </c>
      <c r="L15" s="0" t="n">
        <f aca="false">L13-MAX(0,L13)*L14/100</f>
        <v>935.547030087906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-74.0823381</v>
      </c>
      <c r="D17" s="4" t="n">
        <f aca="false">-D6*Assumptions!D46/100</f>
        <v>-77.045631624</v>
      </c>
      <c r="E17" s="4" t="n">
        <f aca="false">-E6*Assumptions!E46/100</f>
        <v>-79.35700057272</v>
      </c>
      <c r="F17" s="4" t="n">
        <f aca="false">-F6*Assumptions!F46/100</f>
        <v>-81.7377105899016</v>
      </c>
      <c r="G17" s="4" t="n">
        <f aca="false">-G6*Assumptions!G46/100</f>
        <v>-83.9854976311239</v>
      </c>
      <c r="H17" s="4" t="n">
        <f aca="false">-H6*Assumptions!H46/100</f>
        <v>-86.085135071902</v>
      </c>
      <c r="I17" s="4" t="n">
        <f aca="false">-I6*Assumptions!I46/100</f>
        <v>-88.2372634486995</v>
      </c>
      <c r="J17" s="4" t="n">
        <f aca="false">-J6*Assumptions!J46/100</f>
        <v>-90.2226018762953</v>
      </c>
      <c r="K17" s="4" t="n">
        <f aca="false">-K6*Assumptions!K46/100</f>
        <v>-92.0270539138212</v>
      </c>
      <c r="L17" s="4" t="n">
        <f aca="false">-L6*Assumptions!L46/100</f>
        <v>-93.8675949920976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631.34614803</v>
      </c>
      <c r="D19" s="0" t="n">
        <f aca="false">D15+D16+D17+D18</f>
        <v>665.1606196872</v>
      </c>
      <c r="E19" s="0" t="n">
        <f aca="false">E15+E16+E17+E18</f>
        <v>693.932882785896</v>
      </c>
      <c r="F19" s="0" t="n">
        <f aca="false">F15+F16+F17+F18</f>
        <v>723.832837112796</v>
      </c>
      <c r="G19" s="0" t="n">
        <f aca="false">G15+G16+G17+G18</f>
        <v>753.069962092411</v>
      </c>
      <c r="H19" s="0" t="n">
        <f aca="false">H15+H16+H17+H18</f>
        <v>771.896711144721</v>
      </c>
      <c r="I19" s="0" t="n">
        <f aca="false">I15+I16+I17+I18</f>
        <v>791.194128923339</v>
      </c>
      <c r="J19" s="0" t="n">
        <f aca="false">J15+J16+J17+J18</f>
        <v>808.995996824114</v>
      </c>
      <c r="K19" s="0" t="n">
        <f aca="false">K15+K16+K17+K18</f>
        <v>825.175916760597</v>
      </c>
      <c r="L19" s="0" t="n">
        <f aca="false">L15+L16+L17+L18</f>
        <v>841.679435095809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588.667737090909</v>
      </c>
      <c r="D21" s="0" t="n">
        <f aca="false">D19*D20</f>
        <v>578.271684841704</v>
      </c>
      <c r="E21" s="0" t="n">
        <f aca="false">E19*E20</f>
        <v>562.503935043375</v>
      </c>
      <c r="F21" s="0" t="n">
        <f aca="false">F19*F20</f>
        <v>547.077782398068</v>
      </c>
      <c r="G21" s="0" t="n">
        <f aca="false">G19*G20</f>
        <v>530.699673988541</v>
      </c>
      <c r="H21" s="0" t="n">
        <f aca="false">H19*H20</f>
        <v>507.195492623081</v>
      </c>
      <c r="I21" s="0" t="n">
        <f aca="false">I19*I20</f>
        <v>484.732288987094</v>
      </c>
      <c r="J21" s="0" t="n">
        <f aca="false">J19*J20</f>
        <v>462.134047076274</v>
      </c>
      <c r="K21" s="0" t="n">
        <f aca="false">K19*K20</f>
        <v>439.512100715896</v>
      </c>
      <c r="L21" s="0" t="n">
        <f aca="false">L19*L20</f>
        <v>417.997522359174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5118.79226512412</v>
      </c>
    </row>
    <row r="31" customFormat="false" ht="15" hidden="false" customHeight="false" outlineLevel="0" collapsed="false">
      <c r="A31" s="0" t="s">
        <v>132</v>
      </c>
      <c r="B31" s="0" t="n">
        <f aca="false">L19</f>
        <v>841.679435095809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16352.6290247186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16833.5887019162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16352.6290247186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8121.0947201211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13239.8869852452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13239.8869852452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2.75543953907289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0.235623111691877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148.003096507304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231.456231180651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2.83441130342001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6603.94633690558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1.09617344099142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1.63558943922207</v>
      </c>
      <c r="C4" s="0" t="n">
        <f aca="false">B4/Assumptions!$B$2-1</f>
        <v>-0.266551820976648</v>
      </c>
      <c r="D4" s="4" t="n">
        <f aca="false">Assumptions!$B$24</f>
        <v>0.25</v>
      </c>
      <c r="E4" s="4" t="n">
        <f aca="false">DCF_Bear!$B$43</f>
        <v>1.69069131272278</v>
      </c>
      <c r="F4" s="4" t="n">
        <f aca="false">DCF_Bear!$B$47</f>
        <v>0.790158085681399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2.19628419348716</v>
      </c>
      <c r="C5" s="0" t="n">
        <f aca="false">B5/Assumptions!$B$2-1</f>
        <v>-0.0151191957456698</v>
      </c>
      <c r="D5" s="4" t="n">
        <f aca="false">Assumptions!$B$38</f>
        <v>0.5</v>
      </c>
      <c r="E5" s="4" t="n">
        <f aca="false">DCF_Base!$B$43</f>
        <v>2.26301409632759</v>
      </c>
      <c r="F5" s="4" t="n">
        <f aca="false">DCF_Base!$B$47</f>
        <v>0.968374101835587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2.75543953907289</v>
      </c>
      <c r="C6" s="0" t="n">
        <f aca="false">B6/Assumptions!$B$2-1</f>
        <v>0.235623111691877</v>
      </c>
      <c r="D6" s="4" t="n">
        <f aca="false">Assumptions!$B$52</f>
        <v>0.25</v>
      </c>
      <c r="E6" s="4" t="n">
        <f aca="false">DCF_Bull!$B$43</f>
        <v>2.83441130342001</v>
      </c>
      <c r="F6" s="4" t="n">
        <f aca="false">DCF_Bull!$B$47</f>
        <v>1.09617344099142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2.19589934131732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2.26278270219949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-0.0155292449162194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50.9852648445041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0.955769932585999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2.19628419348716</v>
      </c>
      <c r="C15" s="3" t="n">
        <v>7.25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1.71024687015677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1.51758786399258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1.3635876323389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1.23769475359167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0.968374101835587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2.62538426508497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2.62538426508497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2.62538426508497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2.62538426508497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2.62538426508497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2.35082430569317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2.4339217043259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2.4339217043259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2.4339217043259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2.4339217043259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2.01718934909241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2.10010362890479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2.19628419348716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2.2598440770748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2.2598440770748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1.76493653386136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1.82331329874839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1.88974203120605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1.96601205736114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2.05448528770104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1.5676375336642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1.61009010724653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1.65768844732369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1.71142850870112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1.77258099233751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2026-10-23T23:05:48Z</dcterms:created>
  <dc:creator>openpyxl</dc:creator>
  <dc:description/>
  <dc:language>en-NZ</dc:language>
  <cp:lastModifiedBy/>
  <dcterms:modified xsi:type="dcterms:W3CDTF">2026-10-23T23:05:48Z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