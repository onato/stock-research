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<sst xmlns="http://schemas.openxmlformats.org/spreadsheetml/2006/main" count="365" uniqueCount="169">
  <si>
    <t xml:space="preserve">Ticker</t>
  </si>
  <si>
    <t xml:space="preserve">PHG</t>
  </si>
  <si>
    <t xml:space="preserve">Company</t>
  </si>
  <si>
    <t xml:space="preserve">Koninklijke Philips N.V.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</si>
  <si>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</si>
  <si>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</si>
  <si>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</si>
  <si>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</si>
  <si>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(NYSE)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</si>
  <si>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</si>
  <si>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</si>
  <si>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</si>
  <si>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</si>
  <si>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</si>
  <si>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</si>
  <si>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</si>
  <si>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</si>
  <si>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</si>
  <si>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</si>
  <si>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</si>
  <si>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</si>
  <si>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</si>
  <si>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2026-10-04T00:12:42Z</t>
  </si>
  <si>
    <t xml:space="preserve">Drivers file</t>
  </si>
  <si>
    <t xml:space="preserve">PHG_Drivers.json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</si>
  <si>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</si>
  <si>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</si>
  <si>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</si>
  <si>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Philips on normalized owner free cash flow, not on recall-distorted reported years. The core businesses generate ~EUR 1.4-1.6bn of FCF a year on management's definition; the question is whether margins move from ~12% to mid-teens Adjusted EBITA, and how much of the Respironics tail is still to be paid. SBC is small (&lt;1% of sales) so the house/street band is narrow.
key_risks_to_valuation: Unquantified DOJ / 41 State AG Respironics resolution (EUR 600m expected value in the bridge; could be multiples of that); Repeat quality / FDA enforcement action in any segment; China volume-based procurement and anti-corruption campaign pressure on imaging; US tariffs: 2026 includes a one-off ~EUR 0.2bn refund that does not repeat; USD weakness: ~1/3 of sales in North America, translated into EUR; Execution: Philips has repeatedly missed mid-term margin targets</t>
  </si>
  <si>
    <t xml:space="preserve">Data sources</t>
  </si>
  <si>
    <t xml:space="preserve">price: Yahoo Finance chart API at inputs.price_as_of; 52-week range 23.70-33.44; PHIA.AS and EURUSD=X same API for the parity check
financials: PHG_Metrics.csv (core_metrics, EUR millions); FY2025 20-F (cash flow statement, balance sheet, lease maturity table); Q2 2026 6-K (net debt composition, FCF composition, diluted shares, outlook); Q4 2025 6-K (2026-2028 mid-term targets)
qualitative: Company filings and info.json business summary; PHG_Analysis.json was not yet available at build time</t>
  </si>
  <si>
    <t xml:space="preserve">Scenario narrative: bear</t>
  </si>
  <si>
    <t xml:space="preserve">Quality and compliance remain the binding constraint: another field action or FDA escalation, a large DOJ/41-state AG settlement or criminal resolution, continued China volume-based-procurement price cuts and anti-corruption drag, and US tariffs that productivity cannot offset. Comparable growth runs ~2%, Adjusted EBITA stalls around 12%, and the market keeps valuing Philips as a structurally sub-par medtech.</t>
  </si>
  <si>
    <t xml:space="preserve">Scenario narrative: base</t>
  </si>
  <si>
    <t xml:space="preserve">Philips executes roughly two-thirds of its 2026-2028 plan: comparable sales grow ~4% as imaging (Diagnosis &amp; Treatment) and Image Guided Therapy hold share and Personal Health grows high single digits, offset by a still-weak China and slow recovery of the US sleep &amp; respiratory franchise under the consent decree. The EUR 1.5bn productivity programme roughly offsets cost inflation and tariffs, taking Adjusted EBITA to ~14% (vs the 'mid-teens' target) once the 2026 tariff refund drops out. Restructuring and quality charges shrink to ~1.5% of sales but never disappear. The DOJ/State AG matters settle for an amount in the hundreds of millions.</t>
  </si>
  <si>
    <t xml:space="preserve">Scenario narrative: bull</t>
  </si>
  <si>
    <t xml:space="preserve">Philips finally hits a mid-term plan: mid-single-digit comparable growth from AI-enabled imaging, IGT devices and Personal Health; Respironics re-enters the US sleep market under the consent decree; productivity lands in full and Adjusted EBITA reaches the mid-teens by 2028 and ~16% thereafter, closing part of the gap to Siemens Healthineers and GE HealthCare. DOJ resolution is modest and buybacks resume at scale.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</si>
  <si>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</si>
  <si>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</si>
  <si>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</si>
  <si>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</si>
  <si>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</si>
  <si>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</si>
  <si>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</si>
  <si>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</si>
  <si>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</si>
  <si>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</si>
  <si>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</si>
  <si>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</si>
  <si>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</si>
  <si>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</si>
  <si>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</si>
  <si>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</si>
  <si>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</si>
  <si>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</si>
  <si>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</si>
  <si>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</si>
  <si>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</si>
  <si>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</si>
  <si>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</si>
  <si>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</si>
  <si>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</si>
  <si>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</si>
  <si>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</si>
  <si>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AdjustedEBITDA</t>
  </si>
  <si>
    <t xml:space="preserve">CapexPPE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</si>
  <si>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</si>
  <si>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</si>
  <si>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</si>
  <si>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</si>
  <si>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</si>
  <si>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</si>
  <si>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</si>
  <si>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</si>
  <si>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</si>
  <si>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</si>
  <si>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</si>
  <si>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</si>
  <si>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</si>
  <si>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</si>
  <si>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</si>
  <si>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</si>
  <si>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</si>
  <si>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</si>
  <si>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</si>
  <si>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</si>
  <si>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</si>
  <si>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</si>
  <si>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</si>
  <si>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</si>
  <si>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</si>
  <si>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</si>
  <si>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</si>
  <si>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</si>
  <si>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</si>
  <si>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</si>
  <si>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</si>
  <si>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</si>
  <si>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</si>
  <si>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</si>
  <si>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</si>
  <si>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</si>
  <si>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</si>
  <si>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</si>
  <si>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</si>
  <si>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</si>
  <si>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</si>
  <si>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</si>
  <si>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</si>
  <si>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</si>
  <si>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</si>
  <si>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</si>
  <si>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</si>
  <si>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</si>
  <si>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PHG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</si>
  <si>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</si>
  <si>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</si>
  <si>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</si>
  <si>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</si>
  <si>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</si>
  <si>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</si>
  <si>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</si>
  <si>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</si>
  <si>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</si>
  <si>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</si>
  <si>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</si>
  <si>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</si>
  <si>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</si>
  <si>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</si>
  <si>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</si>
  <si>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</si>
  <si>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</si>
  <si>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</si>
  <si>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</si>
  <si>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</si>
  <si>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</si>
  <si>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</si>
  <si>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</si>
  <si>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</si>
  <si>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</si>
  <si>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</si>
  <si>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</si>
  <si>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</si>
  <si>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</si>
  <si>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</si>
  <si>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PHG owner-FCF component DCF: base case (millions, EUR)</t>
  </si>
  <si>
    <t xml:space="preserve">PHG owner-FCF component DCF: bull case (millions, EUR)</t>
  </si>
  <si>
    <t xml:space="preserve">PHG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</si>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</sst>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23.92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16806</v>
      </c>
      <c r="C2" s="0" t="n">
        <v>9594</v>
      </c>
      <c r="D2" s="0" t="n">
        <v>7212</v>
      </c>
      <c r="E2" s="0" t="n">
        <v>42.9</v>
      </c>
      <c r="F2" s="0" t="n">
        <v>658</v>
      </c>
      <c r="G2" s="0" t="n">
        <v>3.9</v>
      </c>
      <c r="H2" s="0" t="n">
        <v>1678</v>
      </c>
      <c r="I2" s="0" t="n">
        <v>624</v>
      </c>
      <c r="J2" s="0" t="n">
        <v>3.7</v>
      </c>
      <c r="K2" s="0" t="n">
        <v>0.68</v>
      </c>
      <c r="L2" s="0" t="n">
        <v>598</v>
      </c>
      <c r="M2" s="0" t="n">
        <v>752</v>
      </c>
      <c r="N2" s="0" t="n">
        <v>-154</v>
      </c>
      <c r="O2" s="0" t="n">
        <v>11607</v>
      </c>
      <c r="S2" s="0" t="n">
        <v>1766</v>
      </c>
      <c r="T2" s="0" t="n">
        <v>917.104</v>
      </c>
      <c r="U2" s="0" t="n">
        <v>101</v>
      </c>
      <c r="AA2" s="0" t="s">
        <v>18</v>
      </c>
      <c r="AB2" s="0" t="s">
        <v>14</v>
      </c>
      <c r="AD2" s="0" t="n">
        <v>432</v>
      </c>
    </row>
    <row r="3" customFormat="false" ht="15" hidden="false" customHeight="false" outlineLevel="0" collapsed="false">
      <c r="A3" s="0" t="s">
        <v>67</v>
      </c>
      <c r="B3" s="0" t="n">
        <v>17422</v>
      </c>
      <c r="C3" s="0" t="n">
        <v>9484</v>
      </c>
      <c r="D3" s="0" t="n">
        <v>7939</v>
      </c>
      <c r="E3" s="0" t="n">
        <v>45.6</v>
      </c>
      <c r="F3" s="0" t="n">
        <v>1464</v>
      </c>
      <c r="G3" s="0" t="n">
        <v>8.4</v>
      </c>
      <c r="H3" s="0" t="n">
        <v>2464</v>
      </c>
      <c r="I3" s="0" t="n">
        <v>1448</v>
      </c>
      <c r="J3" s="0" t="n">
        <v>8.3</v>
      </c>
      <c r="K3" s="0" t="n">
        <v>1.56</v>
      </c>
      <c r="L3" s="0" t="n">
        <v>1170</v>
      </c>
      <c r="M3" s="0" t="n">
        <v>741</v>
      </c>
      <c r="N3" s="0" t="n">
        <v>429</v>
      </c>
      <c r="O3" s="0" t="n">
        <v>12546</v>
      </c>
      <c r="P3" s="0" t="n">
        <v>32270</v>
      </c>
      <c r="Q3" s="0" t="n">
        <v>18817</v>
      </c>
      <c r="R3" s="0" t="n">
        <v>5606</v>
      </c>
      <c r="S3" s="0" t="n">
        <v>2334</v>
      </c>
      <c r="T3" s="0" t="n">
        <v>922.437</v>
      </c>
      <c r="U3" s="0" t="n">
        <v>119</v>
      </c>
      <c r="AA3" s="0" t="s">
        <v>18</v>
      </c>
      <c r="AB3" s="0" t="s">
        <v>14</v>
      </c>
      <c r="AD3" s="0" t="n">
        <v>360</v>
      </c>
    </row>
    <row r="4" customFormat="false" ht="15" hidden="false" customHeight="false" outlineLevel="0" collapsed="false">
      <c r="A4" s="0" t="s">
        <v>68</v>
      </c>
      <c r="B4" s="0" t="n">
        <v>17780</v>
      </c>
      <c r="C4" s="0" t="n">
        <v>9600</v>
      </c>
      <c r="D4" s="0" t="n">
        <v>8181</v>
      </c>
      <c r="E4" s="0" t="n">
        <v>46</v>
      </c>
      <c r="F4" s="0" t="n">
        <v>1517</v>
      </c>
      <c r="G4" s="0" t="n">
        <v>8.5</v>
      </c>
      <c r="H4" s="0" t="n">
        <v>2557</v>
      </c>
      <c r="I4" s="0" t="n">
        <v>1657</v>
      </c>
      <c r="J4" s="0" t="n">
        <v>9.3</v>
      </c>
      <c r="K4" s="0" t="n">
        <v>1.75</v>
      </c>
      <c r="L4" s="0" t="n">
        <v>1870</v>
      </c>
      <c r="M4" s="0" t="n">
        <v>685</v>
      </c>
      <c r="N4" s="0" t="n">
        <v>1185</v>
      </c>
      <c r="O4" s="0" t="n">
        <v>11999</v>
      </c>
      <c r="P4" s="0" t="n">
        <v>25315</v>
      </c>
      <c r="Q4" s="0" t="n">
        <v>13292</v>
      </c>
      <c r="R4" s="0" t="n">
        <v>4716</v>
      </c>
      <c r="S4" s="0" t="n">
        <v>1939</v>
      </c>
      <c r="T4" s="0" t="n">
        <v>926.192</v>
      </c>
      <c r="U4" s="0" t="n">
        <v>116</v>
      </c>
      <c r="AA4" s="0" t="s">
        <v>18</v>
      </c>
      <c r="AB4" s="0" t="s">
        <v>14</v>
      </c>
      <c r="AD4" s="0" t="n">
        <v>420</v>
      </c>
    </row>
    <row r="5" customFormat="false" ht="15" hidden="false" customHeight="false" outlineLevel="0" collapsed="false">
      <c r="A5" s="0" t="s">
        <v>69</v>
      </c>
      <c r="B5" s="0" t="n">
        <v>18121</v>
      </c>
      <c r="C5" s="0" t="n">
        <v>9568</v>
      </c>
      <c r="D5" s="0" t="n">
        <v>8554</v>
      </c>
      <c r="E5" s="0" t="n">
        <v>47.2</v>
      </c>
      <c r="F5" s="0" t="n">
        <v>1719</v>
      </c>
      <c r="G5" s="0" t="n">
        <v>9.5</v>
      </c>
      <c r="H5" s="0" t="n">
        <v>2809</v>
      </c>
      <c r="I5" s="0" t="n">
        <v>1090</v>
      </c>
      <c r="J5" s="0" t="n">
        <v>6</v>
      </c>
      <c r="K5" s="0" t="n">
        <v>1.16</v>
      </c>
      <c r="L5" s="0" t="n">
        <v>1780</v>
      </c>
      <c r="M5" s="0" t="n">
        <v>796</v>
      </c>
      <c r="N5" s="0" t="n">
        <v>984</v>
      </c>
      <c r="O5" s="0" t="n">
        <v>12088</v>
      </c>
      <c r="P5" s="0" t="n">
        <v>26019</v>
      </c>
      <c r="Q5" s="0" t="n">
        <v>13902</v>
      </c>
      <c r="R5" s="0" t="n">
        <v>4821</v>
      </c>
      <c r="S5" s="0" t="n">
        <v>1688</v>
      </c>
      <c r="T5" s="0" t="n">
        <v>914.184</v>
      </c>
      <c r="U5" s="0" t="n">
        <v>97</v>
      </c>
      <c r="AA5" s="0" t="s">
        <v>18</v>
      </c>
      <c r="AB5" s="0" t="s">
        <v>14</v>
      </c>
      <c r="AD5" s="0" t="n">
        <v>422</v>
      </c>
    </row>
    <row r="6" customFormat="false" ht="15" hidden="false" customHeight="false" outlineLevel="0" collapsed="false">
      <c r="A6" s="0" t="s">
        <v>70</v>
      </c>
      <c r="B6" s="0" t="n">
        <v>19482</v>
      </c>
      <c r="C6" s="0" t="n">
        <v>10607</v>
      </c>
      <c r="D6" s="0" t="n">
        <v>8875</v>
      </c>
      <c r="E6" s="0" t="n">
        <v>45.6</v>
      </c>
      <c r="F6" s="0" t="n">
        <v>1644</v>
      </c>
      <c r="G6" s="0" t="n">
        <v>8.4</v>
      </c>
      <c r="H6" s="0" t="n">
        <v>3143</v>
      </c>
      <c r="I6" s="0" t="n">
        <v>1167</v>
      </c>
      <c r="J6" s="0" t="n">
        <v>6</v>
      </c>
      <c r="K6" s="0" t="n">
        <v>1.28</v>
      </c>
      <c r="L6" s="0" t="n">
        <v>2031</v>
      </c>
      <c r="M6" s="0" t="n">
        <v>978</v>
      </c>
      <c r="N6" s="0" t="n">
        <v>1053</v>
      </c>
      <c r="O6" s="0" t="n">
        <v>12597</v>
      </c>
      <c r="P6" s="0" t="n">
        <v>27016</v>
      </c>
      <c r="Q6" s="0" t="n">
        <v>14391</v>
      </c>
      <c r="R6" s="0" t="n">
        <v>5447</v>
      </c>
      <c r="S6" s="0" t="n">
        <v>1425</v>
      </c>
      <c r="T6" s="0" t="n">
        <v>890.974</v>
      </c>
      <c r="U6" s="0" t="n">
        <v>98</v>
      </c>
      <c r="AA6" s="0" t="s">
        <v>18</v>
      </c>
      <c r="AB6" s="0" t="s">
        <v>14</v>
      </c>
      <c r="AD6" s="0" t="n">
        <v>518</v>
      </c>
    </row>
    <row r="7" customFormat="false" ht="15" hidden="false" customHeight="false" outlineLevel="0" collapsed="false">
      <c r="A7" s="0" t="s">
        <v>71</v>
      </c>
      <c r="B7" s="0" t="n">
        <v>17313</v>
      </c>
      <c r="C7" s="0" t="n">
        <v>9493</v>
      </c>
      <c r="D7" s="0" t="n">
        <v>7820</v>
      </c>
      <c r="E7" s="0" t="n">
        <v>45.2</v>
      </c>
      <c r="F7" s="0" t="n">
        <v>1264</v>
      </c>
      <c r="G7" s="0" t="n">
        <v>7.3</v>
      </c>
      <c r="H7" s="0" t="n">
        <v>2870</v>
      </c>
      <c r="I7" s="0" t="n">
        <v>1187</v>
      </c>
      <c r="J7" s="0" t="n">
        <v>6.9</v>
      </c>
      <c r="K7" s="0" t="n">
        <v>1.29</v>
      </c>
      <c r="L7" s="0" t="n">
        <v>2511</v>
      </c>
      <c r="M7" s="0" t="n">
        <v>876</v>
      </c>
      <c r="N7" s="0" t="n">
        <v>1635</v>
      </c>
      <c r="O7" s="0" t="n">
        <v>11870</v>
      </c>
      <c r="P7" s="0" t="n">
        <v>27713</v>
      </c>
      <c r="Q7" s="0" t="n">
        <v>15812</v>
      </c>
      <c r="R7" s="0" t="n">
        <v>6934</v>
      </c>
      <c r="S7" s="0" t="n">
        <v>3226</v>
      </c>
      <c r="T7" s="0" t="n">
        <v>905.128</v>
      </c>
      <c r="U7" s="0" t="n">
        <v>112</v>
      </c>
      <c r="AA7" s="0" t="s">
        <v>18</v>
      </c>
      <c r="AB7" s="0" t="s">
        <v>14</v>
      </c>
      <c r="AD7" s="0" t="n">
        <v>485</v>
      </c>
    </row>
    <row r="8" customFormat="false" ht="15" hidden="false" customHeight="false" outlineLevel="0" collapsed="false">
      <c r="A8" s="0" t="s">
        <v>72</v>
      </c>
      <c r="B8" s="0" t="n">
        <v>17156</v>
      </c>
      <c r="C8" s="0" t="n">
        <v>9988</v>
      </c>
      <c r="D8" s="0" t="n">
        <v>7168</v>
      </c>
      <c r="E8" s="0" t="n">
        <v>41.8</v>
      </c>
      <c r="F8" s="0" t="n">
        <v>553</v>
      </c>
      <c r="G8" s="0" t="n">
        <v>3.2</v>
      </c>
      <c r="H8" s="0" t="n">
        <v>1891</v>
      </c>
      <c r="I8" s="0" t="n">
        <v>3319</v>
      </c>
      <c r="J8" s="0" t="n">
        <v>19.3</v>
      </c>
      <c r="K8" s="0" t="n">
        <v>3.65</v>
      </c>
      <c r="L8" s="0" t="n">
        <v>1629</v>
      </c>
      <c r="M8" s="0" t="n">
        <v>729</v>
      </c>
      <c r="N8" s="0" t="n">
        <v>900</v>
      </c>
      <c r="O8" s="0" t="n">
        <v>14438</v>
      </c>
      <c r="P8" s="0" t="n">
        <v>30961</v>
      </c>
      <c r="Q8" s="0" t="n">
        <v>16486</v>
      </c>
      <c r="R8" s="0" t="n">
        <v>6979</v>
      </c>
      <c r="S8" s="0" t="n">
        <v>2303</v>
      </c>
      <c r="T8" s="0" t="n">
        <v>870.182</v>
      </c>
      <c r="U8" s="0" t="n">
        <v>108</v>
      </c>
      <c r="AA8" s="0" t="s">
        <v>18</v>
      </c>
      <c r="AB8" s="0" t="s">
        <v>14</v>
      </c>
      <c r="AD8" s="0" t="n">
        <v>397</v>
      </c>
    </row>
    <row r="9" customFormat="false" ht="15" hidden="false" customHeight="false" outlineLevel="0" collapsed="false">
      <c r="A9" s="0" t="s">
        <v>73</v>
      </c>
      <c r="B9" s="0" t="n">
        <v>17827</v>
      </c>
      <c r="C9" s="0" t="n">
        <v>10633</v>
      </c>
      <c r="D9" s="0" t="n">
        <v>7194</v>
      </c>
      <c r="E9" s="0" t="n">
        <v>40.4</v>
      </c>
      <c r="F9" s="0" t="n">
        <v>-1529</v>
      </c>
      <c r="G9" s="0" t="n">
        <v>-8.6</v>
      </c>
      <c r="H9" s="0" t="n">
        <v>1430</v>
      </c>
      <c r="I9" s="0" t="n">
        <v>-1608</v>
      </c>
      <c r="J9" s="0" t="n">
        <v>-9</v>
      </c>
      <c r="K9" s="0" t="n">
        <v>-1.82</v>
      </c>
      <c r="L9" s="0" t="n">
        <v>-173</v>
      </c>
      <c r="M9" s="0" t="n">
        <v>788</v>
      </c>
      <c r="N9" s="0" t="n">
        <v>-961</v>
      </c>
      <c r="O9" s="0" t="n">
        <v>13249</v>
      </c>
      <c r="P9" s="0" t="n">
        <v>30688</v>
      </c>
      <c r="Q9" s="0" t="n">
        <v>17405</v>
      </c>
      <c r="R9" s="0" t="n">
        <v>8201</v>
      </c>
      <c r="S9" s="0" t="n">
        <v>1172</v>
      </c>
      <c r="T9" s="0" t="n">
        <v>881.481</v>
      </c>
      <c r="U9" s="0" t="n">
        <v>95</v>
      </c>
      <c r="AA9" s="0" t="s">
        <v>18</v>
      </c>
      <c r="AB9" s="0" t="s">
        <v>14</v>
      </c>
      <c r="AD9" s="0" t="n">
        <v>444</v>
      </c>
    </row>
    <row r="10" customFormat="false" ht="15" hidden="false" customHeight="false" outlineLevel="0" collapsed="false">
      <c r="A10" s="0" t="s">
        <v>74</v>
      </c>
      <c r="B10" s="0" t="n">
        <v>18169</v>
      </c>
      <c r="C10" s="0" t="n">
        <v>10721</v>
      </c>
      <c r="D10" s="0" t="n">
        <v>7448</v>
      </c>
      <c r="E10" s="0" t="n">
        <v>41</v>
      </c>
      <c r="F10" s="0" t="n">
        <v>-115</v>
      </c>
      <c r="G10" s="0" t="n">
        <v>-0.6</v>
      </c>
      <c r="H10" s="0" t="n">
        <v>1154</v>
      </c>
      <c r="I10" s="0" t="n">
        <v>-466</v>
      </c>
      <c r="J10" s="0" t="n">
        <v>-2.6</v>
      </c>
      <c r="K10" s="0" t="n">
        <v>-0.49</v>
      </c>
      <c r="L10" s="0" t="n">
        <v>2136</v>
      </c>
      <c r="M10" s="0" t="n">
        <v>554</v>
      </c>
      <c r="N10" s="0" t="n">
        <v>1582</v>
      </c>
      <c r="O10" s="0" t="n">
        <v>12028</v>
      </c>
      <c r="P10" s="0" t="n">
        <v>29406</v>
      </c>
      <c r="Q10" s="0" t="n">
        <v>17345</v>
      </c>
      <c r="R10" s="0" t="n">
        <v>7689</v>
      </c>
      <c r="S10" s="0" t="n">
        <v>1869</v>
      </c>
      <c r="T10" s="0" t="n">
        <v>906.403</v>
      </c>
      <c r="U10" s="0" t="n">
        <v>88</v>
      </c>
      <c r="AA10" s="0" t="s">
        <v>18</v>
      </c>
      <c r="AB10" s="0" t="s">
        <v>14</v>
      </c>
      <c r="AD10" s="0" t="n">
        <v>345</v>
      </c>
    </row>
    <row r="11" customFormat="false" ht="15" hidden="false" customHeight="false" outlineLevel="0" collapsed="false">
      <c r="A11" s="0" t="s">
        <v>75</v>
      </c>
      <c r="B11" s="0" t="n">
        <v>18021</v>
      </c>
      <c r="C11" s="0" t="n">
        <v>10248</v>
      </c>
      <c r="D11" s="0" t="n">
        <v>7773</v>
      </c>
      <c r="E11" s="0" t="n">
        <v>43.1</v>
      </c>
      <c r="F11" s="0" t="n">
        <v>529</v>
      </c>
      <c r="G11" s="0" t="n">
        <v>2.9</v>
      </c>
      <c r="H11" s="0" t="n">
        <v>1919</v>
      </c>
      <c r="I11" s="0" t="n">
        <v>-702</v>
      </c>
      <c r="J11" s="0" t="n">
        <v>-3.9</v>
      </c>
      <c r="K11" s="0" t="n">
        <v>-0.75</v>
      </c>
      <c r="L11" s="0" t="n">
        <v>1569</v>
      </c>
      <c r="M11" s="0" t="n">
        <v>663</v>
      </c>
      <c r="N11" s="0" t="n">
        <v>906</v>
      </c>
      <c r="O11" s="0" t="n">
        <v>12006</v>
      </c>
      <c r="P11" s="0" t="n">
        <v>28976</v>
      </c>
      <c r="Q11" s="0" t="n">
        <v>16933</v>
      </c>
      <c r="R11" s="0" t="n">
        <v>7639</v>
      </c>
      <c r="S11" s="0" t="n">
        <v>2401</v>
      </c>
      <c r="T11" s="0" t="n">
        <v>925.009</v>
      </c>
      <c r="U11" s="0" t="n">
        <v>96</v>
      </c>
      <c r="AA11" s="0" t="s">
        <v>18</v>
      </c>
      <c r="AB11" s="0" t="s">
        <v>14</v>
      </c>
      <c r="AD11" s="0" t="n">
        <v>317</v>
      </c>
    </row>
    <row r="12" customFormat="false" ht="15" hidden="false" customHeight="false" outlineLevel="0" collapsed="false">
      <c r="A12" s="0" t="s">
        <v>76</v>
      </c>
      <c r="B12" s="0" t="n">
        <v>17834</v>
      </c>
      <c r="C12" s="0" t="n">
        <v>9776</v>
      </c>
      <c r="D12" s="0" t="n">
        <v>8058</v>
      </c>
      <c r="E12" s="0" t="n">
        <v>45.2</v>
      </c>
      <c r="F12" s="0" t="n">
        <v>1424</v>
      </c>
      <c r="G12" s="0" t="n">
        <v>8</v>
      </c>
      <c r="H12" s="0" t="n">
        <v>2549</v>
      </c>
      <c r="I12" s="0" t="n">
        <v>895</v>
      </c>
      <c r="J12" s="0" t="n">
        <v>5</v>
      </c>
      <c r="K12" s="0" t="n">
        <v>0.93</v>
      </c>
      <c r="L12" s="0" t="n">
        <v>1172</v>
      </c>
      <c r="M12" s="0" t="n">
        <v>660</v>
      </c>
      <c r="N12" s="0" t="n">
        <v>512</v>
      </c>
      <c r="O12" s="0" t="n">
        <v>10957</v>
      </c>
      <c r="P12" s="0" t="n">
        <v>26944</v>
      </c>
      <c r="Q12" s="0" t="n">
        <v>15954</v>
      </c>
      <c r="R12" s="0" t="n">
        <v>8085</v>
      </c>
      <c r="S12" s="0" t="n">
        <v>2794</v>
      </c>
      <c r="T12" s="0" t="n">
        <v>951.289</v>
      </c>
      <c r="U12" s="0" t="n">
        <v>141</v>
      </c>
      <c r="AA12" s="0" t="s">
        <v>18</v>
      </c>
      <c r="AB12" s="0" t="s">
        <v>14</v>
      </c>
      <c r="AC12" s="0" t="n">
        <v>3046</v>
      </c>
      <c r="AD12" s="0" t="n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23.92</v>
      </c>
    </row>
    <row r="3" customFormat="false" ht="15" hidden="false" customHeight="false" outlineLevel="0" collapsed="false">
      <c r="A3" s="0" t="s">
        <v>80</v>
      </c>
      <c r="B3" s="3" t="n">
        <v>968.574</v>
      </c>
    </row>
    <row r="4" customFormat="false" ht="15" hidden="false" customHeight="false" outlineLevel="0" collapsed="false">
      <c r="A4" s="0" t="s">
        <v>81</v>
      </c>
      <c r="B4" s="3" t="n">
        <v>4722</v>
      </c>
    </row>
    <row r="5" customFormat="false" ht="15" hidden="false" customHeight="false" outlineLevel="0" collapsed="false">
      <c r="A5" s="0" t="s">
        <v>82</v>
      </c>
      <c r="B5" s="3" t="n">
        <v>-452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17834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1.1257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-1.5</v>
      </c>
      <c r="D13" s="3" t="n">
        <v>2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101</v>
      </c>
      <c r="C14" s="3" t="n">
        <v>15.5</v>
      </c>
      <c r="D14" s="3" t="n">
        <v>14.5</v>
      </c>
      <c r="E14" s="3" t="n">
        <v>14.8</v>
      </c>
      <c r="F14" s="3" t="n">
        <v>15.3</v>
      </c>
      <c r="G14" s="3" t="n">
        <v>15.5</v>
      </c>
      <c r="H14" s="3" t="n">
        <v>15.5</v>
      </c>
      <c r="I14" s="3" t="n">
        <v>15.5</v>
      </c>
      <c r="J14" s="3" t="n">
        <v>15.5</v>
      </c>
      <c r="K14" s="3" t="n">
        <v>15.5</v>
      </c>
      <c r="L14" s="3" t="n">
        <v>15.5</v>
      </c>
    </row>
    <row r="15" customFormat="false" ht="15" hidden="false" customHeight="false" outlineLevel="0" collapsed="false">
      <c r="A15" s="0" t="s">
        <v>102</v>
      </c>
      <c r="C15" s="3" t="n">
        <v>0.9</v>
      </c>
      <c r="D15" s="3" t="n">
        <v>0.9</v>
      </c>
      <c r="E15" s="3" t="n">
        <v>0.9</v>
      </c>
      <c r="F15" s="3" t="n">
        <v>0.9</v>
      </c>
      <c r="G15" s="3" t="n">
        <v>0.9</v>
      </c>
      <c r="H15" s="3" t="n">
        <v>0.9</v>
      </c>
      <c r="I15" s="3" t="n">
        <v>0.9</v>
      </c>
      <c r="J15" s="3" t="n">
        <v>0.9</v>
      </c>
      <c r="K15" s="3" t="n">
        <v>0.9</v>
      </c>
      <c r="L15" s="3" t="n">
        <v>0.9</v>
      </c>
    </row>
    <row r="16" customFormat="false" ht="15" hidden="false" customHeight="false" outlineLevel="0" collapsed="false">
      <c r="A16" s="0" t="s">
        <v>103</v>
      </c>
      <c r="C16" s="3" t="n">
        <v>1.35</v>
      </c>
      <c r="D16" s="3" t="n">
        <v>1.35</v>
      </c>
      <c r="E16" s="3" t="n">
        <v>1.35</v>
      </c>
      <c r="F16" s="3" t="n">
        <v>1.35</v>
      </c>
      <c r="G16" s="3" t="n">
        <v>1.35</v>
      </c>
      <c r="H16" s="3" t="n">
        <v>1.35</v>
      </c>
      <c r="I16" s="3" t="n">
        <v>1.35</v>
      </c>
      <c r="J16" s="3" t="n">
        <v>1.35</v>
      </c>
      <c r="K16" s="3" t="n">
        <v>1.35</v>
      </c>
      <c r="L16" s="3" t="n">
        <v>1.35</v>
      </c>
    </row>
    <row r="17" customFormat="false" ht="15" hidden="false" customHeight="false" outlineLevel="0" collapsed="false">
      <c r="A17" s="0" t="s">
        <v>104</v>
      </c>
      <c r="C17" s="3" t="n">
        <v>4.6</v>
      </c>
      <c r="D17" s="3" t="n">
        <v>4.6</v>
      </c>
      <c r="E17" s="3" t="n">
        <v>4.6</v>
      </c>
      <c r="F17" s="3" t="n">
        <v>4.6</v>
      </c>
      <c r="G17" s="3" t="n">
        <v>4.6</v>
      </c>
      <c r="H17" s="3" t="n">
        <v>4.6</v>
      </c>
      <c r="I17" s="3" t="n">
        <v>4.6</v>
      </c>
      <c r="J17" s="3" t="n">
        <v>4.6</v>
      </c>
      <c r="K17" s="3" t="n">
        <v>4.6</v>
      </c>
      <c r="L17" s="3" t="n">
        <v>4.6</v>
      </c>
    </row>
    <row r="18" customFormat="false" ht="15" hidden="false" customHeight="false" outlineLevel="0" collapsed="false">
      <c r="A18" s="0" t="s">
        <v>105</v>
      </c>
      <c r="C18" s="3" t="n">
        <v>3.7</v>
      </c>
      <c r="D18" s="3" t="n">
        <v>3.8</v>
      </c>
      <c r="E18" s="3" t="n">
        <v>3.9</v>
      </c>
      <c r="F18" s="3" t="n">
        <v>3.9</v>
      </c>
      <c r="G18" s="3" t="n">
        <v>3.9</v>
      </c>
      <c r="H18" s="3" t="n">
        <v>3.9</v>
      </c>
      <c r="I18" s="3" t="n">
        <v>3.9</v>
      </c>
      <c r="J18" s="3" t="n">
        <v>3.9</v>
      </c>
      <c r="K18" s="3" t="n">
        <v>3.9</v>
      </c>
      <c r="L18" s="3" t="n">
        <v>3.9</v>
      </c>
    </row>
    <row r="19" customFormat="false" ht="15" hidden="false" customHeight="false" outlineLevel="0" collapsed="false">
      <c r="A19" s="0" t="s">
        <v>106</v>
      </c>
      <c r="C19" s="3" t="n">
        <v>21</v>
      </c>
      <c r="D19" s="3" t="n">
        <v>23</v>
      </c>
      <c r="E19" s="3" t="n">
        <v>24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107</v>
      </c>
      <c r="B20" s="3" t="n">
        <v>7.5</v>
      </c>
    </row>
    <row r="21" customFormat="false" ht="15" hidden="false" customHeight="false" outlineLevel="0" collapsed="false">
      <c r="A21" s="0" t="s">
        <v>108</v>
      </c>
      <c r="B21" s="3" t="n">
        <v>1.5</v>
      </c>
    </row>
    <row r="22" customFormat="false" ht="15" hidden="false" customHeight="false" outlineLevel="0" collapsed="false">
      <c r="A22" s="0" t="s">
        <v>109</v>
      </c>
      <c r="B22" s="3" t="n">
        <v>12</v>
      </c>
    </row>
    <row r="23" customFormat="false" ht="15" hidden="false" customHeight="false" outlineLevel="0" collapsed="false">
      <c r="A23" s="0" t="s">
        <v>110</v>
      </c>
      <c r="B23" s="3" t="n">
        <v>-12</v>
      </c>
    </row>
    <row r="24" customFormat="false" ht="15" hidden="false" customHeight="false" outlineLevel="0" collapsed="false">
      <c r="A24" s="0" t="s">
        <v>111</v>
      </c>
      <c r="B24" s="3" t="n">
        <v>0.25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-1</v>
      </c>
      <c r="D27" s="3" t="n">
        <v>4</v>
      </c>
      <c r="E27" s="3" t="n">
        <v>4.5</v>
      </c>
      <c r="F27" s="3" t="n">
        <v>4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101</v>
      </c>
      <c r="C28" s="3" t="n">
        <v>16</v>
      </c>
      <c r="D28" s="3" t="n">
        <v>16</v>
      </c>
      <c r="E28" s="3" t="n">
        <v>17</v>
      </c>
      <c r="F28" s="3" t="n">
        <v>17.5</v>
      </c>
      <c r="G28" s="3" t="n">
        <v>17.8</v>
      </c>
      <c r="H28" s="3" t="n">
        <v>17.8</v>
      </c>
      <c r="I28" s="3" t="n">
        <v>17.8</v>
      </c>
      <c r="J28" s="3" t="n">
        <v>17.8</v>
      </c>
      <c r="K28" s="3" t="n">
        <v>17.8</v>
      </c>
      <c r="L28" s="3" t="n">
        <v>17.8</v>
      </c>
    </row>
    <row r="29" customFormat="false" ht="15" hidden="false" customHeight="false" outlineLevel="0" collapsed="false">
      <c r="A29" s="0" t="s">
        <v>102</v>
      </c>
      <c r="C29" s="3" t="n">
        <v>0.9</v>
      </c>
      <c r="D29" s="3" t="n">
        <v>0.9</v>
      </c>
      <c r="E29" s="3" t="n">
        <v>0.85</v>
      </c>
      <c r="F29" s="3" t="n">
        <v>0.85</v>
      </c>
      <c r="G29" s="3" t="n">
        <v>0.85</v>
      </c>
      <c r="H29" s="3" t="n">
        <v>0.85</v>
      </c>
      <c r="I29" s="3" t="n">
        <v>0.85</v>
      </c>
      <c r="J29" s="3" t="n">
        <v>0.85</v>
      </c>
      <c r="K29" s="3" t="n">
        <v>0.85</v>
      </c>
      <c r="L29" s="3" t="n">
        <v>0.85</v>
      </c>
    </row>
    <row r="30" customFormat="false" ht="15" hidden="false" customHeight="false" outlineLevel="0" collapsed="false">
      <c r="A30" s="0" t="s">
        <v>103</v>
      </c>
      <c r="C30" s="3" t="n">
        <v>1.35</v>
      </c>
      <c r="D30" s="3" t="n">
        <v>1.35</v>
      </c>
      <c r="E30" s="3" t="n">
        <v>1.35</v>
      </c>
      <c r="F30" s="3" t="n">
        <v>1.35</v>
      </c>
      <c r="G30" s="3" t="n">
        <v>1.35</v>
      </c>
      <c r="H30" s="3" t="n">
        <v>1.35</v>
      </c>
      <c r="I30" s="3" t="n">
        <v>1.35</v>
      </c>
      <c r="J30" s="3" t="n">
        <v>1.35</v>
      </c>
      <c r="K30" s="3" t="n">
        <v>1.35</v>
      </c>
      <c r="L30" s="3" t="n">
        <v>1.35</v>
      </c>
    </row>
    <row r="31" customFormat="false" ht="15" hidden="false" customHeight="false" outlineLevel="0" collapsed="false">
      <c r="A31" s="0" t="s">
        <v>104</v>
      </c>
      <c r="C31" s="3" t="n">
        <v>4.6</v>
      </c>
      <c r="D31" s="3" t="n">
        <v>4.6</v>
      </c>
      <c r="E31" s="3" t="n">
        <v>4.6</v>
      </c>
      <c r="F31" s="3" t="n">
        <v>4.6</v>
      </c>
      <c r="G31" s="3" t="n">
        <v>4.6</v>
      </c>
      <c r="H31" s="3" t="n">
        <v>4.6</v>
      </c>
      <c r="I31" s="3" t="n">
        <v>4.6</v>
      </c>
      <c r="J31" s="3" t="n">
        <v>4.6</v>
      </c>
      <c r="K31" s="3" t="n">
        <v>4.6</v>
      </c>
      <c r="L31" s="3" t="n">
        <v>4.6</v>
      </c>
    </row>
    <row r="32" customFormat="false" ht="15" hidden="false" customHeight="false" outlineLevel="0" collapsed="false">
      <c r="A32" s="0" t="s">
        <v>105</v>
      </c>
      <c r="C32" s="3" t="n">
        <v>3.7</v>
      </c>
      <c r="D32" s="3" t="n">
        <v>3.7</v>
      </c>
      <c r="E32" s="3" t="n">
        <v>3.8</v>
      </c>
      <c r="F32" s="3" t="n">
        <v>3.8</v>
      </c>
      <c r="G32" s="3" t="n">
        <v>3.8</v>
      </c>
      <c r="H32" s="3" t="n">
        <v>3.8</v>
      </c>
      <c r="I32" s="3" t="n">
        <v>3.8</v>
      </c>
      <c r="J32" s="3" t="n">
        <v>3.8</v>
      </c>
      <c r="K32" s="3" t="n">
        <v>3.8</v>
      </c>
      <c r="L32" s="3" t="n">
        <v>3.8</v>
      </c>
    </row>
    <row r="33" customFormat="false" ht="15" hidden="false" customHeight="false" outlineLevel="0" collapsed="false">
      <c r="A33" s="0" t="s">
        <v>106</v>
      </c>
      <c r="C33" s="3" t="n">
        <v>20</v>
      </c>
      <c r="D33" s="3" t="n">
        <v>22</v>
      </c>
      <c r="E33" s="3" t="n">
        <v>23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107</v>
      </c>
      <c r="B34" s="3" t="n">
        <v>7.5</v>
      </c>
    </row>
    <row r="35" customFormat="false" ht="15" hidden="false" customHeight="false" outlineLevel="0" collapsed="false">
      <c r="A35" s="0" t="s">
        <v>108</v>
      </c>
      <c r="B35" s="3" t="n">
        <v>2</v>
      </c>
    </row>
    <row r="36" customFormat="false" ht="15" hidden="false" customHeight="false" outlineLevel="0" collapsed="false">
      <c r="A36" s="0" t="s">
        <v>109</v>
      </c>
      <c r="B36" s="3" t="n">
        <v>15</v>
      </c>
    </row>
    <row r="37" customFormat="false" ht="15" hidden="false" customHeight="false" outlineLevel="0" collapsed="false">
      <c r="A37" s="0" t="s">
        <v>110</v>
      </c>
      <c r="B37" s="3" t="n">
        <v>-12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-0.5</v>
      </c>
      <c r="D41" s="3" t="n">
        <v>5</v>
      </c>
      <c r="E41" s="3" t="n">
        <v>5.5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101</v>
      </c>
      <c r="C42" s="3" t="n">
        <v>16.3</v>
      </c>
      <c r="D42" s="3" t="n">
        <v>16.8</v>
      </c>
      <c r="E42" s="3" t="n">
        <v>18.3</v>
      </c>
      <c r="F42" s="3" t="n">
        <v>19</v>
      </c>
      <c r="G42" s="3" t="n">
        <v>19.5</v>
      </c>
      <c r="H42" s="3" t="n">
        <v>19.8</v>
      </c>
      <c r="I42" s="3" t="n">
        <v>19.8</v>
      </c>
      <c r="J42" s="3" t="n">
        <v>19.8</v>
      </c>
      <c r="K42" s="3" t="n">
        <v>19.8</v>
      </c>
      <c r="L42" s="3" t="n">
        <v>19.8</v>
      </c>
    </row>
    <row r="43" customFormat="false" ht="15" hidden="false" customHeight="false" outlineLevel="0" collapsed="false">
      <c r="A43" s="0" t="s">
        <v>102</v>
      </c>
      <c r="C43" s="3" t="n">
        <v>0.9</v>
      </c>
      <c r="D43" s="3" t="n">
        <v>0.9</v>
      </c>
      <c r="E43" s="3" t="n">
        <v>0.85</v>
      </c>
      <c r="F43" s="3" t="n">
        <v>0.85</v>
      </c>
      <c r="G43" s="3" t="n">
        <v>0.85</v>
      </c>
      <c r="H43" s="3" t="n">
        <v>0.85</v>
      </c>
      <c r="I43" s="3" t="n">
        <v>0.85</v>
      </c>
      <c r="J43" s="3" t="n">
        <v>0.85</v>
      </c>
      <c r="K43" s="3" t="n">
        <v>0.85</v>
      </c>
      <c r="L43" s="3" t="n">
        <v>0.85</v>
      </c>
    </row>
    <row r="44" customFormat="false" ht="15" hidden="false" customHeight="false" outlineLevel="0" collapsed="false">
      <c r="A44" s="0" t="s">
        <v>103</v>
      </c>
      <c r="C44" s="3" t="n">
        <v>1.35</v>
      </c>
      <c r="D44" s="3" t="n">
        <v>1.35</v>
      </c>
      <c r="E44" s="3" t="n">
        <v>1.35</v>
      </c>
      <c r="F44" s="3" t="n">
        <v>1.35</v>
      </c>
      <c r="G44" s="3" t="n">
        <v>1.35</v>
      </c>
      <c r="H44" s="3" t="n">
        <v>1.35</v>
      </c>
      <c r="I44" s="3" t="n">
        <v>1.35</v>
      </c>
      <c r="J44" s="3" t="n">
        <v>1.35</v>
      </c>
      <c r="K44" s="3" t="n">
        <v>1.35</v>
      </c>
      <c r="L44" s="3" t="n">
        <v>1.35</v>
      </c>
    </row>
    <row r="45" customFormat="false" ht="15" hidden="false" customHeight="false" outlineLevel="0" collapsed="false">
      <c r="A45" s="0" t="s">
        <v>104</v>
      </c>
      <c r="C45" s="3" t="n">
        <v>4.6</v>
      </c>
      <c r="D45" s="3" t="n">
        <v>4.6</v>
      </c>
      <c r="E45" s="3" t="n">
        <v>4.6</v>
      </c>
      <c r="F45" s="3" t="n">
        <v>4.6</v>
      </c>
      <c r="G45" s="3" t="n">
        <v>4.6</v>
      </c>
      <c r="H45" s="3" t="n">
        <v>4.6</v>
      </c>
      <c r="I45" s="3" t="n">
        <v>4.6</v>
      </c>
      <c r="J45" s="3" t="n">
        <v>4.6</v>
      </c>
      <c r="K45" s="3" t="n">
        <v>4.6</v>
      </c>
      <c r="L45" s="3" t="n">
        <v>4.6</v>
      </c>
    </row>
    <row r="46" customFormat="false" ht="15" hidden="false" customHeight="false" outlineLevel="0" collapsed="false">
      <c r="A46" s="0" t="s">
        <v>105</v>
      </c>
      <c r="C46" s="3" t="n">
        <v>3.7</v>
      </c>
      <c r="D46" s="3" t="n">
        <v>3.7</v>
      </c>
      <c r="E46" s="3" t="n">
        <v>3.8</v>
      </c>
      <c r="F46" s="3" t="n">
        <v>3.8</v>
      </c>
      <c r="G46" s="3" t="n">
        <v>3.8</v>
      </c>
      <c r="H46" s="3" t="n">
        <v>3.8</v>
      </c>
      <c r="I46" s="3" t="n">
        <v>3.8</v>
      </c>
      <c r="J46" s="3" t="n">
        <v>3.8</v>
      </c>
      <c r="K46" s="3" t="n">
        <v>3.8</v>
      </c>
      <c r="L46" s="3" t="n">
        <v>3.8</v>
      </c>
    </row>
    <row r="47" customFormat="false" ht="15" hidden="false" customHeight="false" outlineLevel="0" collapsed="false">
      <c r="A47" s="0" t="s">
        <v>106</v>
      </c>
      <c r="C47" s="3" t="n">
        <v>20</v>
      </c>
      <c r="D47" s="3" t="n">
        <v>22</v>
      </c>
      <c r="E47" s="3" t="n">
        <v>23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107</v>
      </c>
      <c r="B48" s="3" t="n">
        <v>7.5</v>
      </c>
    </row>
    <row r="49" customFormat="false" ht="15" hidden="false" customHeight="false" outlineLevel="0" collapsed="false">
      <c r="A49" s="0" t="s">
        <v>108</v>
      </c>
      <c r="B49" s="3" t="n">
        <v>2.5</v>
      </c>
    </row>
    <row r="50" customFormat="false" ht="15" hidden="false" customHeight="false" outlineLevel="0" collapsed="false">
      <c r="A50" s="0" t="s">
        <v>109</v>
      </c>
      <c r="B50" s="3" t="n">
        <v>16</v>
      </c>
    </row>
    <row r="51" customFormat="false" ht="15" hidden="false" customHeight="false" outlineLevel="0" collapsed="false">
      <c r="A51" s="0" t="s">
        <v>110</v>
      </c>
      <c r="B51" s="3" t="n">
        <v>-12</v>
      </c>
    </row>
    <row r="52" customFormat="false" ht="15" hidden="false" customHeight="false" outlineLevel="0" collapsed="false">
      <c r="A52" s="0" t="s">
        <v>111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-1.5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17834</v>
      </c>
      <c r="C6" s="0" t="n">
        <f aca="false">B6*(1+C5/100)</f>
        <v>17566.49</v>
      </c>
      <c r="D6" s="0" t="n">
        <f aca="false">C6*(1+D5/100)</f>
        <v>17917.8198</v>
      </c>
      <c r="E6" s="0" t="n">
        <f aca="false">D6*(1+E5/100)</f>
        <v>18276.176196</v>
      </c>
      <c r="F6" s="0" t="n">
        <f aca="false">E6*(1+F5/100)</f>
        <v>18641.69971992</v>
      </c>
      <c r="G6" s="0" t="n">
        <f aca="false">F6*(1+G5/100)</f>
        <v>19014.5337143184</v>
      </c>
      <c r="H6" s="0" t="n">
        <f aca="false">G6*(1+H5/100)</f>
        <v>19394.8243886048</v>
      </c>
      <c r="I6" s="0" t="n">
        <f aca="false">H6*(1+I5/100)</f>
        <v>19782.7208763769</v>
      </c>
      <c r="J6" s="0" t="n">
        <f aca="false">I6*(1+J5/100)</f>
        <v>20079.4616895225</v>
      </c>
      <c r="K6" s="0" t="n">
        <f aca="false">J6*(1+K5/100)</f>
        <v>20380.6536148653</v>
      </c>
      <c r="L6" s="0" t="n">
        <f aca="false">K6*(1+L5/100)</f>
        <v>20686.3634190883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15.5</v>
      </c>
      <c r="D7" s="4" t="n">
        <f aca="false">Assumptions!D14</f>
        <v>14.5</v>
      </c>
      <c r="E7" s="4" t="n">
        <f aca="false">Assumptions!E14</f>
        <v>14.8</v>
      </c>
      <c r="F7" s="4" t="n">
        <f aca="false">Assumptions!F14</f>
        <v>15.3</v>
      </c>
      <c r="G7" s="4" t="n">
        <f aca="false">Assumptions!G14</f>
        <v>15.5</v>
      </c>
      <c r="H7" s="4" t="n">
        <f aca="false">Assumptions!H14</f>
        <v>15.5</v>
      </c>
      <c r="I7" s="4" t="n">
        <f aca="false">Assumptions!I14</f>
        <v>15.5</v>
      </c>
      <c r="J7" s="4" t="n">
        <f aca="false">Assumptions!J14</f>
        <v>15.5</v>
      </c>
      <c r="K7" s="4" t="n">
        <f aca="false">Assumptions!K14</f>
        <v>15.5</v>
      </c>
      <c r="L7" s="4" t="n">
        <f aca="false">Assumptions!L14</f>
        <v>15.5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2722.80595</v>
      </c>
      <c r="D8" s="0" t="n">
        <f aca="false">D6*D7/100</f>
        <v>2598.083871</v>
      </c>
      <c r="E8" s="0" t="n">
        <f aca="false">E6*E7/100</f>
        <v>2704.874077008</v>
      </c>
      <c r="F8" s="0" t="n">
        <f aca="false">F6*F7/100</f>
        <v>2852.18005714776</v>
      </c>
      <c r="G8" s="0" t="n">
        <f aca="false">G6*G7/100</f>
        <v>2947.25272571935</v>
      </c>
      <c r="H8" s="0" t="n">
        <f aca="false">H6*H7/100</f>
        <v>3006.19778023374</v>
      </c>
      <c r="I8" s="0" t="n">
        <f aca="false">I6*I7/100</f>
        <v>3066.32173583841</v>
      </c>
      <c r="J8" s="0" t="n">
        <f aca="false">J6*J7/100</f>
        <v>3112.31656187599</v>
      </c>
      <c r="K8" s="0" t="n">
        <f aca="false">K6*K7/100</f>
        <v>3159.00131030413</v>
      </c>
      <c r="L8" s="0" t="n">
        <f aca="false">L6*L7/100</f>
        <v>3206.38632995869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0.9</v>
      </c>
      <c r="D9" s="4" t="n">
        <f aca="false">Assumptions!D15</f>
        <v>0.9</v>
      </c>
      <c r="E9" s="4" t="n">
        <f aca="false">Assumptions!E15</f>
        <v>0.9</v>
      </c>
      <c r="F9" s="4" t="n">
        <f aca="false">Assumptions!F15</f>
        <v>0.9</v>
      </c>
      <c r="G9" s="4" t="n">
        <f aca="false">Assumptions!G15</f>
        <v>0.9</v>
      </c>
      <c r="H9" s="4" t="n">
        <f aca="false">Assumptions!H15</f>
        <v>0.9</v>
      </c>
      <c r="I9" s="4" t="n">
        <f aca="false">Assumptions!I15</f>
        <v>0.9</v>
      </c>
      <c r="J9" s="4" t="n">
        <f aca="false">Assumptions!J15</f>
        <v>0.9</v>
      </c>
      <c r="K9" s="4" t="n">
        <f aca="false">Assumptions!K15</f>
        <v>0.9</v>
      </c>
      <c r="L9" s="4" t="n">
        <f aca="false">Assumptions!L15</f>
        <v>0.9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-158.09841</v>
      </c>
      <c r="D10" s="0" t="n">
        <f aca="false">-D6*D9/100</f>
        <v>-161.2603782</v>
      </c>
      <c r="E10" s="0" t="n">
        <f aca="false">-E6*E9/100</f>
        <v>-164.485585764</v>
      </c>
      <c r="F10" s="0" t="n">
        <f aca="false">-F6*F9/100</f>
        <v>-167.77529747928</v>
      </c>
      <c r="G10" s="0" t="n">
        <f aca="false">-G6*G9/100</f>
        <v>-171.130803428866</v>
      </c>
      <c r="H10" s="0" t="n">
        <f aca="false">-H6*H9/100</f>
        <v>-174.553419497443</v>
      </c>
      <c r="I10" s="0" t="n">
        <f aca="false">-I6*I9/100</f>
        <v>-178.044487887392</v>
      </c>
      <c r="J10" s="0" t="n">
        <f aca="false">-J6*J9/100</f>
        <v>-180.715155205703</v>
      </c>
      <c r="K10" s="0" t="n">
        <f aca="false">-K6*K9/100</f>
        <v>-183.425882533788</v>
      </c>
      <c r="L10" s="0" t="n">
        <f aca="false">-L6*L9/100</f>
        <v>-186.177270771795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2327.559925</v>
      </c>
      <c r="D11" s="0" t="n">
        <f aca="false">D8+D10+D24</f>
        <v>2194.9329255</v>
      </c>
      <c r="E11" s="0" t="n">
        <f aca="false">E8+E10+E24</f>
        <v>2293.660112598</v>
      </c>
      <c r="F11" s="0" t="n">
        <f aca="false">F8+F10+F24</f>
        <v>2432.74181344956</v>
      </c>
      <c r="G11" s="0" t="n">
        <f aca="false">G8+G10+G24</f>
        <v>2519.42571714719</v>
      </c>
      <c r="H11" s="0" t="n">
        <f aca="false">H8+H10+H24</f>
        <v>2569.81423149013</v>
      </c>
      <c r="I11" s="0" t="n">
        <f aca="false">I8+I10+I24</f>
        <v>2621.21051611993</v>
      </c>
      <c r="J11" s="0" t="n">
        <f aca="false">J8+J10+J24</f>
        <v>2660.52867386173</v>
      </c>
      <c r="K11" s="0" t="n">
        <f aca="false">K8+K10+K24</f>
        <v>2700.43660396966</v>
      </c>
      <c r="L11" s="0" t="n">
        <f aca="false">L8+L10+L24</f>
        <v>2740.9431530292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-808.05854</v>
      </c>
      <c r="D12" s="4" t="n">
        <f aca="false">-D6*Assumptions!D17/100</f>
        <v>-824.2197108</v>
      </c>
      <c r="E12" s="4" t="n">
        <f aca="false">-E6*Assumptions!E17/100</f>
        <v>-840.704105016</v>
      </c>
      <c r="F12" s="4" t="n">
        <f aca="false">-F6*Assumptions!F17/100</f>
        <v>-857.51818711632</v>
      </c>
      <c r="G12" s="4" t="n">
        <f aca="false">-G6*Assumptions!G17/100</f>
        <v>-874.668550858646</v>
      </c>
      <c r="H12" s="4" t="n">
        <f aca="false">-H6*Assumptions!H17/100</f>
        <v>-892.161921875819</v>
      </c>
      <c r="I12" s="4" t="n">
        <f aca="false">-I6*Assumptions!I17/100</f>
        <v>-910.005160313336</v>
      </c>
      <c r="J12" s="4" t="n">
        <f aca="false">-J6*Assumptions!J17/100</f>
        <v>-923.655237718036</v>
      </c>
      <c r="K12" s="4" t="n">
        <f aca="false">-K6*Assumptions!K17/100</f>
        <v>-937.510066283806</v>
      </c>
      <c r="L12" s="4" t="n">
        <f aca="false">-L6*Assumptions!L17/100</f>
        <v>-951.572717278063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1519.501385</v>
      </c>
      <c r="D13" s="0" t="n">
        <f aca="false">D11+D12</f>
        <v>1370.7132147</v>
      </c>
      <c r="E13" s="0" t="n">
        <f aca="false">E11+E12</f>
        <v>1452.956007582</v>
      </c>
      <c r="F13" s="0" t="n">
        <f aca="false">F11+F12</f>
        <v>1575.22362633324</v>
      </c>
      <c r="G13" s="0" t="n">
        <f aca="false">G11+G12</f>
        <v>1644.75716628854</v>
      </c>
      <c r="H13" s="0" t="n">
        <f aca="false">H11+H12</f>
        <v>1677.65230961431</v>
      </c>
      <c r="I13" s="0" t="n">
        <f aca="false">I11+I12</f>
        <v>1711.2053558066</v>
      </c>
      <c r="J13" s="0" t="n">
        <f aca="false">J11+J12</f>
        <v>1736.8734361437</v>
      </c>
      <c r="K13" s="0" t="n">
        <f aca="false">K11+K12</f>
        <v>1762.92653768585</v>
      </c>
      <c r="L13" s="0" t="n">
        <f aca="false">L11+L12</f>
        <v>1789.37043575114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21</v>
      </c>
      <c r="D14" s="4" t="n">
        <f aca="false">Assumptions!D19</f>
        <v>23</v>
      </c>
      <c r="E14" s="4" t="n">
        <f aca="false">Assumptions!E19</f>
        <v>24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1200.40609415</v>
      </c>
      <c r="D15" s="0" t="n">
        <f aca="false">D13-MAX(0,D13)*D14/100</f>
        <v>1055.449175319</v>
      </c>
      <c r="E15" s="0" t="n">
        <f aca="false">E13-MAX(0,E13)*E14/100</f>
        <v>1104.24656576232</v>
      </c>
      <c r="F15" s="0" t="n">
        <f aca="false">F13-MAX(0,F13)*F14/100</f>
        <v>1181.41771974993</v>
      </c>
      <c r="G15" s="0" t="n">
        <f aca="false">G13-MAX(0,G13)*G14/100</f>
        <v>1233.56787471641</v>
      </c>
      <c r="H15" s="0" t="n">
        <f aca="false">H13-MAX(0,H13)*H14/100</f>
        <v>1258.23923221073</v>
      </c>
      <c r="I15" s="0" t="n">
        <f aca="false">I13-MAX(0,I13)*I14/100</f>
        <v>1283.40401685495</v>
      </c>
      <c r="J15" s="0" t="n">
        <f aca="false">J13-MAX(0,J13)*J14/100</f>
        <v>1302.65507710777</v>
      </c>
      <c r="K15" s="0" t="n">
        <f aca="false">K13-MAX(0,K13)*K14/100</f>
        <v>1322.19490326439</v>
      </c>
      <c r="L15" s="0" t="n">
        <f aca="false">L13-MAX(0,L13)*L14/100</f>
        <v>1342.02782681336</v>
      </c>
    </row>
    <row r="16" customFormat="false" ht="15" hidden="false" customHeight="false" outlineLevel="0" collapsed="false">
      <c r="A16" s="0" t="s">
        <v>122</v>
      </c>
      <c r="C16" s="0" t="n">
        <f aca="false">-C12</f>
        <v>808.05854</v>
      </c>
      <c r="D16" s="0" t="n">
        <f aca="false">-D12</f>
        <v>824.2197108</v>
      </c>
      <c r="E16" s="0" t="n">
        <f aca="false">-E12</f>
        <v>840.704105016</v>
      </c>
      <c r="F16" s="0" t="n">
        <f aca="false">-F12</f>
        <v>857.51818711632</v>
      </c>
      <c r="G16" s="0" t="n">
        <f aca="false">-G12</f>
        <v>874.668550858646</v>
      </c>
      <c r="H16" s="0" t="n">
        <f aca="false">-H12</f>
        <v>892.161921875819</v>
      </c>
      <c r="I16" s="0" t="n">
        <f aca="false">-I12</f>
        <v>910.005160313336</v>
      </c>
      <c r="J16" s="0" t="n">
        <f aca="false">-J12</f>
        <v>923.655237718036</v>
      </c>
      <c r="K16" s="0" t="n">
        <f aca="false">-K12</f>
        <v>937.510066283806</v>
      </c>
      <c r="L16" s="0" t="n">
        <f aca="false">-L12</f>
        <v>951.572717278063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-649.96013</v>
      </c>
      <c r="D17" s="4" t="n">
        <f aca="false">-D6*Assumptions!D18/100</f>
        <v>-680.8771524</v>
      </c>
      <c r="E17" s="4" t="n">
        <f aca="false">-E6*Assumptions!E18/100</f>
        <v>-712.770871644</v>
      </c>
      <c r="F17" s="4" t="n">
        <f aca="false">-F6*Assumptions!F18/100</f>
        <v>-727.02628907688</v>
      </c>
      <c r="G17" s="4" t="n">
        <f aca="false">-G6*Assumptions!G18/100</f>
        <v>-741.566814858418</v>
      </c>
      <c r="H17" s="4" t="n">
        <f aca="false">-H6*Assumptions!H18/100</f>
        <v>-756.398151155586</v>
      </c>
      <c r="I17" s="4" t="n">
        <f aca="false">-I6*Assumptions!I18/100</f>
        <v>-771.526114178698</v>
      </c>
      <c r="J17" s="4" t="n">
        <f aca="false">-J6*Assumptions!J18/100</f>
        <v>-783.099005891378</v>
      </c>
      <c r="K17" s="4" t="n">
        <f aca="false">-K6*Assumptions!K18/100</f>
        <v>-794.845490979749</v>
      </c>
      <c r="L17" s="4" t="n">
        <f aca="false">-L6*Assumptions!L18/100</f>
        <v>-806.768173344445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32.1012000000003</v>
      </c>
      <c r="D18" s="4" t="n">
        <f aca="false">(D6-C6)*Assumptions!$B$23/100</f>
        <v>-42.1595759999999</v>
      </c>
      <c r="E18" s="4" t="n">
        <f aca="false">(E6-D6)*Assumptions!$B$23/100</f>
        <v>-43.0027675199999</v>
      </c>
      <c r="F18" s="4" t="n">
        <f aca="false">(F6-E6)*Assumptions!$B$23/100</f>
        <v>-43.8628228704001</v>
      </c>
      <c r="G18" s="4" t="n">
        <f aca="false">(G6-F6)*Assumptions!$B$23/100</f>
        <v>-44.7400793278079</v>
      </c>
      <c r="H18" s="4" t="n">
        <f aca="false">(H6-G6)*Assumptions!$B$23/100</f>
        <v>-45.634880914364</v>
      </c>
      <c r="I18" s="4" t="n">
        <f aca="false">(I6-H6)*Assumptions!$B$23/100</f>
        <v>-46.5475785326517</v>
      </c>
      <c r="J18" s="4" t="n">
        <f aca="false">(J6-I6)*Assumptions!$B$23/100</f>
        <v>-35.6088975774781</v>
      </c>
      <c r="K18" s="4" t="n">
        <f aca="false">(K6-J6)*Assumptions!$B$23/100</f>
        <v>-36.1430310411402</v>
      </c>
      <c r="L18" s="4" t="n">
        <f aca="false">(L6-K6)*Assumptions!$B$23/100</f>
        <v>-36.6851765067573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1390.60570415</v>
      </c>
      <c r="D19" s="0" t="n">
        <f aca="false">D15+D16+D17+D18</f>
        <v>1156.632157719</v>
      </c>
      <c r="E19" s="0" t="n">
        <f aca="false">E15+E16+E17+E18</f>
        <v>1189.17703161432</v>
      </c>
      <c r="F19" s="0" t="n">
        <f aca="false">F15+F16+F17+F18</f>
        <v>1268.04679491897</v>
      </c>
      <c r="G19" s="0" t="n">
        <f aca="false">G15+G16+G17+G18</f>
        <v>1321.92953138883</v>
      </c>
      <c r="H19" s="0" t="n">
        <f aca="false">H15+H16+H17+H18</f>
        <v>1348.3681220166</v>
      </c>
      <c r="I19" s="0" t="n">
        <f aca="false">I15+I16+I17+I18</f>
        <v>1375.33548445694</v>
      </c>
      <c r="J19" s="0" t="n">
        <f aca="false">J15+J16+J17+J18</f>
        <v>1407.60241135695</v>
      </c>
      <c r="K19" s="0" t="n">
        <f aca="false">K15+K16+K17+K18</f>
        <v>1428.71644752731</v>
      </c>
      <c r="L19" s="0" t="n">
        <f aca="false">L15+L16+L17+L18</f>
        <v>1450.14719424022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1293.58670153488</v>
      </c>
      <c r="D21" s="0" t="n">
        <f aca="false">D19*D20</f>
        <v>1000.8715264199</v>
      </c>
      <c r="E21" s="0" t="n">
        <f aca="false">E19*E20</f>
        <v>957.240620616002</v>
      </c>
      <c r="F21" s="0" t="n">
        <f aca="false">F19*F20</f>
        <v>949.514111816559</v>
      </c>
      <c r="G21" s="0" t="n">
        <f aca="false">G19*G20</f>
        <v>920.801426447431</v>
      </c>
      <c r="H21" s="0" t="n">
        <f aca="false">H19*H20</f>
        <v>873.690655791982</v>
      </c>
      <c r="I21" s="0" t="n">
        <f aca="false">I19*I20</f>
        <v>828.990203635182</v>
      </c>
      <c r="J21" s="0" t="n">
        <f aca="false">J19*J20</f>
        <v>789.24581577775</v>
      </c>
      <c r="K21" s="0" t="n">
        <f aca="false">K19*K20</f>
        <v>745.194886525039</v>
      </c>
      <c r="L21" s="0" t="n">
        <f aca="false">L19*L20</f>
        <v>703.602613788757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1.35</v>
      </c>
      <c r="D23" s="4" t="n">
        <f aca="false">Assumptions!D16</f>
        <v>1.35</v>
      </c>
      <c r="E23" s="4" t="n">
        <f aca="false">Assumptions!E16</f>
        <v>1.35</v>
      </c>
      <c r="F23" s="4" t="n">
        <f aca="false">Assumptions!F16</f>
        <v>1.35</v>
      </c>
      <c r="G23" s="4" t="n">
        <f aca="false">Assumptions!G16</f>
        <v>1.35</v>
      </c>
      <c r="H23" s="4" t="n">
        <f aca="false">Assumptions!H16</f>
        <v>1.35</v>
      </c>
      <c r="I23" s="4" t="n">
        <f aca="false">Assumptions!I16</f>
        <v>1.35</v>
      </c>
      <c r="J23" s="4" t="n">
        <f aca="false">Assumptions!J16</f>
        <v>1.35</v>
      </c>
      <c r="K23" s="4" t="n">
        <f aca="false">Assumptions!K16</f>
        <v>1.35</v>
      </c>
      <c r="L23" s="4" t="n">
        <f aca="false">Assumptions!L16</f>
        <v>1.35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-237.147615</v>
      </c>
      <c r="D24" s="0" t="n">
        <f aca="false">-D6*D23/100</f>
        <v>-241.8905673</v>
      </c>
      <c r="E24" s="0" t="n">
        <f aca="false">-E6*E23/100</f>
        <v>-246.728378646</v>
      </c>
      <c r="F24" s="0" t="n">
        <f aca="false">-F6*F23/100</f>
        <v>-251.66294621892</v>
      </c>
      <c r="G24" s="0" t="n">
        <f aca="false">-G6*G23/100</f>
        <v>-256.696205143298</v>
      </c>
      <c r="H24" s="0" t="n">
        <f aca="false">-H6*H23/100</f>
        <v>-261.830129246164</v>
      </c>
      <c r="I24" s="0" t="n">
        <f aca="false">-I6*I23/100</f>
        <v>-267.066731831088</v>
      </c>
      <c r="J24" s="0" t="n">
        <f aca="false">-J6*J23/100</f>
        <v>-271.072732808554</v>
      </c>
      <c r="K24" s="0" t="n">
        <f aca="false">-K6*K23/100</f>
        <v>-275.138823800682</v>
      </c>
      <c r="L24" s="0" t="n">
        <f aca="false">-L6*L23/100</f>
        <v>-279.265906157692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9062.73856235349</v>
      </c>
    </row>
    <row r="31" customFormat="false" ht="15" hidden="false" customHeight="false" outlineLevel="0" collapsed="false">
      <c r="A31" s="0" t="s">
        <v>131</v>
      </c>
      <c r="B31" s="0" t="n">
        <f aca="false">L19</f>
        <v>1450.14719424022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24531.6567025637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17401.7663308826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17401.7663308826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8443.23136546508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17505.9699278186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12331.9699278186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14.3325120721239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-0.400814712703849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1171.60190124297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1528.11770977843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17.4701911406585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10902.9585344727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4.75779815316052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-1</v>
      </c>
      <c r="D5" s="4" t="n">
        <f aca="false">Assumptions!D27</f>
        <v>4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17834</v>
      </c>
      <c r="C6" s="0" t="n">
        <f aca="false">B6*(1+C5/100)</f>
        <v>17655.66</v>
      </c>
      <c r="D6" s="0" t="n">
        <f aca="false">C6*(1+D5/100)</f>
        <v>18361.8864</v>
      </c>
      <c r="E6" s="0" t="n">
        <f aca="false">D6*(1+E5/100)</f>
        <v>19188.171288</v>
      </c>
      <c r="F6" s="0" t="n">
        <f aca="false">E6*(1+F5/100)</f>
        <v>19955.69813952</v>
      </c>
      <c r="G6" s="0" t="n">
        <f aca="false">F6*(1+G5/100)</f>
        <v>20654.1475744032</v>
      </c>
      <c r="H6" s="0" t="n">
        <f aca="false">G6*(1+H5/100)</f>
        <v>21377.0427395073</v>
      </c>
      <c r="I6" s="0" t="n">
        <f aca="false">H6*(1+I5/100)</f>
        <v>22018.3540216925</v>
      </c>
      <c r="J6" s="0" t="n">
        <f aca="false">I6*(1+J5/100)</f>
        <v>22678.9046423433</v>
      </c>
      <c r="K6" s="0" t="n">
        <f aca="false">J6*(1+K5/100)</f>
        <v>23245.8772584019</v>
      </c>
      <c r="L6" s="0" t="n">
        <f aca="false">K6*(1+L5/100)</f>
        <v>23827.0241898619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16</v>
      </c>
      <c r="D7" s="4" t="n">
        <f aca="false">Assumptions!D28</f>
        <v>16</v>
      </c>
      <c r="E7" s="4" t="n">
        <f aca="false">Assumptions!E28</f>
        <v>17</v>
      </c>
      <c r="F7" s="4" t="n">
        <f aca="false">Assumptions!F28</f>
        <v>17.5</v>
      </c>
      <c r="G7" s="4" t="n">
        <f aca="false">Assumptions!G28</f>
        <v>17.8</v>
      </c>
      <c r="H7" s="4" t="n">
        <f aca="false">Assumptions!H28</f>
        <v>17.8</v>
      </c>
      <c r="I7" s="4" t="n">
        <f aca="false">Assumptions!I28</f>
        <v>17.8</v>
      </c>
      <c r="J7" s="4" t="n">
        <f aca="false">Assumptions!J28</f>
        <v>17.8</v>
      </c>
      <c r="K7" s="4" t="n">
        <f aca="false">Assumptions!K28</f>
        <v>17.8</v>
      </c>
      <c r="L7" s="4" t="n">
        <f aca="false">Assumptions!L28</f>
        <v>17.8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2824.9056</v>
      </c>
      <c r="D8" s="0" t="n">
        <f aca="false">D6*D7/100</f>
        <v>2937.901824</v>
      </c>
      <c r="E8" s="0" t="n">
        <f aca="false">E6*E7/100</f>
        <v>3261.98911896</v>
      </c>
      <c r="F8" s="0" t="n">
        <f aca="false">F6*F7/100</f>
        <v>3492.247174416</v>
      </c>
      <c r="G8" s="0" t="n">
        <f aca="false">G6*G7/100</f>
        <v>3676.43826824377</v>
      </c>
      <c r="H8" s="0" t="n">
        <f aca="false">H6*H7/100</f>
        <v>3805.1136076323</v>
      </c>
      <c r="I8" s="0" t="n">
        <f aca="false">I6*I7/100</f>
        <v>3919.26701586127</v>
      </c>
      <c r="J8" s="0" t="n">
        <f aca="false">J6*J7/100</f>
        <v>4036.84502633711</v>
      </c>
      <c r="K8" s="0" t="n">
        <f aca="false">K6*K7/100</f>
        <v>4137.76615199554</v>
      </c>
      <c r="L8" s="0" t="n">
        <f aca="false">L6*L7/100</f>
        <v>4241.21030579542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0.9</v>
      </c>
      <c r="D9" s="4" t="n">
        <f aca="false">Assumptions!D29</f>
        <v>0.9</v>
      </c>
      <c r="E9" s="4" t="n">
        <f aca="false">Assumptions!E29</f>
        <v>0.85</v>
      </c>
      <c r="F9" s="4" t="n">
        <f aca="false">Assumptions!F29</f>
        <v>0.85</v>
      </c>
      <c r="G9" s="4" t="n">
        <f aca="false">Assumptions!G29</f>
        <v>0.85</v>
      </c>
      <c r="H9" s="4" t="n">
        <f aca="false">Assumptions!H29</f>
        <v>0.85</v>
      </c>
      <c r="I9" s="4" t="n">
        <f aca="false">Assumptions!I29</f>
        <v>0.85</v>
      </c>
      <c r="J9" s="4" t="n">
        <f aca="false">Assumptions!J29</f>
        <v>0.85</v>
      </c>
      <c r="K9" s="4" t="n">
        <f aca="false">Assumptions!K29</f>
        <v>0.85</v>
      </c>
      <c r="L9" s="4" t="n">
        <f aca="false">Assumptions!L29</f>
        <v>0.85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-158.90094</v>
      </c>
      <c r="D10" s="0" t="n">
        <f aca="false">-D6*D9/100</f>
        <v>-165.2569776</v>
      </c>
      <c r="E10" s="0" t="n">
        <f aca="false">-E6*E9/100</f>
        <v>-163.099455948</v>
      </c>
      <c r="F10" s="0" t="n">
        <f aca="false">-F6*F9/100</f>
        <v>-169.62343418592</v>
      </c>
      <c r="G10" s="0" t="n">
        <f aca="false">-G6*G9/100</f>
        <v>-175.560254382427</v>
      </c>
      <c r="H10" s="0" t="n">
        <f aca="false">-H6*H9/100</f>
        <v>-181.704863285812</v>
      </c>
      <c r="I10" s="0" t="n">
        <f aca="false">-I6*I9/100</f>
        <v>-187.156009184386</v>
      </c>
      <c r="J10" s="0" t="n">
        <f aca="false">-J6*J9/100</f>
        <v>-192.770689459918</v>
      </c>
      <c r="K10" s="0" t="n">
        <f aca="false">-K6*K9/100</f>
        <v>-197.589956696416</v>
      </c>
      <c r="L10" s="0" t="n">
        <f aca="false">-L6*L9/100</f>
        <v>-202.529705613826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2427.65325</v>
      </c>
      <c r="D11" s="0" t="n">
        <f aca="false">D8+D10+D24</f>
        <v>2524.75938</v>
      </c>
      <c r="E11" s="0" t="n">
        <f aca="false">E8+E10+E24</f>
        <v>2839.849350624</v>
      </c>
      <c r="F11" s="0" t="n">
        <f aca="false">F8+F10+F24</f>
        <v>3053.22181534656</v>
      </c>
      <c r="G11" s="0" t="n">
        <f aca="false">G8+G10+G24</f>
        <v>3222.0470216069</v>
      </c>
      <c r="H11" s="0" t="n">
        <f aca="false">H8+H10+H24</f>
        <v>3334.81866736314</v>
      </c>
      <c r="I11" s="0" t="n">
        <f aca="false">I8+I10+I24</f>
        <v>3434.86322738403</v>
      </c>
      <c r="J11" s="0" t="n">
        <f aca="false">J8+J10+J24</f>
        <v>3537.90912420556</v>
      </c>
      <c r="K11" s="0" t="n">
        <f aca="false">K8+K10+K24</f>
        <v>3626.35685231069</v>
      </c>
      <c r="L11" s="0" t="n">
        <f aca="false">L8+L10+L24</f>
        <v>3717.01577361846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-812.16036</v>
      </c>
      <c r="D12" s="4" t="n">
        <f aca="false">-D6*Assumptions!D31/100</f>
        <v>-844.6467744</v>
      </c>
      <c r="E12" s="4" t="n">
        <f aca="false">-E6*Assumptions!E31/100</f>
        <v>-882.655879248</v>
      </c>
      <c r="F12" s="4" t="n">
        <f aca="false">-F6*Assumptions!F31/100</f>
        <v>-917.96211441792</v>
      </c>
      <c r="G12" s="4" t="n">
        <f aca="false">-G6*Assumptions!G31/100</f>
        <v>-950.090788422547</v>
      </c>
      <c r="H12" s="4" t="n">
        <f aca="false">-H6*Assumptions!H31/100</f>
        <v>-983.343966017336</v>
      </c>
      <c r="I12" s="4" t="n">
        <f aca="false">-I6*Assumptions!I31/100</f>
        <v>-1012.84428499786</v>
      </c>
      <c r="J12" s="4" t="n">
        <f aca="false">-J6*Assumptions!J31/100</f>
        <v>-1043.22961354779</v>
      </c>
      <c r="K12" s="4" t="n">
        <f aca="false">-K6*Assumptions!K31/100</f>
        <v>-1069.31035388649</v>
      </c>
      <c r="L12" s="4" t="n">
        <f aca="false">-L6*Assumptions!L31/100</f>
        <v>-1096.04311273365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1615.49289</v>
      </c>
      <c r="D13" s="0" t="n">
        <f aca="false">D11+D12</f>
        <v>1680.1126056</v>
      </c>
      <c r="E13" s="0" t="n">
        <f aca="false">E11+E12</f>
        <v>1957.193471376</v>
      </c>
      <c r="F13" s="0" t="n">
        <f aca="false">F11+F12</f>
        <v>2135.25970092864</v>
      </c>
      <c r="G13" s="0" t="n">
        <f aca="false">G11+G12</f>
        <v>2271.95623318435</v>
      </c>
      <c r="H13" s="0" t="n">
        <f aca="false">H11+H12</f>
        <v>2351.4747013458</v>
      </c>
      <c r="I13" s="0" t="n">
        <f aca="false">I11+I12</f>
        <v>2422.01894238618</v>
      </c>
      <c r="J13" s="0" t="n">
        <f aca="false">J11+J12</f>
        <v>2494.67951065776</v>
      </c>
      <c r="K13" s="0" t="n">
        <f aca="false">K11+K12</f>
        <v>2557.04649842421</v>
      </c>
      <c r="L13" s="0" t="n">
        <f aca="false">L11+L12</f>
        <v>2620.97266088481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20</v>
      </c>
      <c r="D14" s="4" t="n">
        <f aca="false">Assumptions!D33</f>
        <v>22</v>
      </c>
      <c r="E14" s="4" t="n">
        <f aca="false">Assumptions!E33</f>
        <v>23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1292.394312</v>
      </c>
      <c r="D15" s="0" t="n">
        <f aca="false">D13-MAX(0,D13)*D14/100</f>
        <v>1310.487832368</v>
      </c>
      <c r="E15" s="0" t="n">
        <f aca="false">E13-MAX(0,E13)*E14/100</f>
        <v>1507.03897295952</v>
      </c>
      <c r="F15" s="0" t="n">
        <f aca="false">F13-MAX(0,F13)*F14/100</f>
        <v>1622.79737270577</v>
      </c>
      <c r="G15" s="0" t="n">
        <f aca="false">G13-MAX(0,G13)*G14/100</f>
        <v>1726.68673722011</v>
      </c>
      <c r="H15" s="0" t="n">
        <f aca="false">H13-MAX(0,H13)*H14/100</f>
        <v>1787.12077302281</v>
      </c>
      <c r="I15" s="0" t="n">
        <f aca="false">I13-MAX(0,I13)*I14/100</f>
        <v>1840.73439621349</v>
      </c>
      <c r="J15" s="0" t="n">
        <f aca="false">J13-MAX(0,J13)*J14/100</f>
        <v>1895.9564280999</v>
      </c>
      <c r="K15" s="0" t="n">
        <f aca="false">K13-MAX(0,K13)*K14/100</f>
        <v>1943.3553388024</v>
      </c>
      <c r="L15" s="0" t="n">
        <f aca="false">L13-MAX(0,L13)*L14/100</f>
        <v>1991.93922227246</v>
      </c>
    </row>
    <row r="16" customFormat="false" ht="15" hidden="false" customHeight="false" outlineLevel="0" collapsed="false">
      <c r="A16" s="0" t="s">
        <v>122</v>
      </c>
      <c r="C16" s="0" t="n">
        <f aca="false">-C12</f>
        <v>812.16036</v>
      </c>
      <c r="D16" s="0" t="n">
        <f aca="false">-D12</f>
        <v>844.6467744</v>
      </c>
      <c r="E16" s="0" t="n">
        <f aca="false">-E12</f>
        <v>882.655879248</v>
      </c>
      <c r="F16" s="0" t="n">
        <f aca="false">-F12</f>
        <v>917.96211441792</v>
      </c>
      <c r="G16" s="0" t="n">
        <f aca="false">-G12</f>
        <v>950.090788422547</v>
      </c>
      <c r="H16" s="0" t="n">
        <f aca="false">-H12</f>
        <v>983.343966017336</v>
      </c>
      <c r="I16" s="0" t="n">
        <f aca="false">-I12</f>
        <v>1012.84428499786</v>
      </c>
      <c r="J16" s="0" t="n">
        <f aca="false">-J12</f>
        <v>1043.22961354779</v>
      </c>
      <c r="K16" s="0" t="n">
        <f aca="false">-K12</f>
        <v>1069.31035388649</v>
      </c>
      <c r="L16" s="0" t="n">
        <f aca="false">-L12</f>
        <v>1096.04311273365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-653.25942</v>
      </c>
      <c r="D17" s="4" t="n">
        <f aca="false">-D6*Assumptions!D32/100</f>
        <v>-679.3897968</v>
      </c>
      <c r="E17" s="4" t="n">
        <f aca="false">-E6*Assumptions!E32/100</f>
        <v>-729.150508944</v>
      </c>
      <c r="F17" s="4" t="n">
        <f aca="false">-F6*Assumptions!F32/100</f>
        <v>-758.31652930176</v>
      </c>
      <c r="G17" s="4" t="n">
        <f aca="false">-G6*Assumptions!G32/100</f>
        <v>-784.857607827321</v>
      </c>
      <c r="H17" s="4" t="n">
        <f aca="false">-H6*Assumptions!H32/100</f>
        <v>-812.327624101278</v>
      </c>
      <c r="I17" s="4" t="n">
        <f aca="false">-I6*Assumptions!I32/100</f>
        <v>-836.697452824316</v>
      </c>
      <c r="J17" s="4" t="n">
        <f aca="false">-J6*Assumptions!J32/100</f>
        <v>-861.798376409045</v>
      </c>
      <c r="K17" s="4" t="n">
        <f aca="false">-K6*Assumptions!K32/100</f>
        <v>-883.343335819272</v>
      </c>
      <c r="L17" s="4" t="n">
        <f aca="false">-L6*Assumptions!L32/100</f>
        <v>-905.426919214753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21.4008</v>
      </c>
      <c r="D18" s="4" t="n">
        <f aca="false">(D6-C6)*Assumptions!$B$37/100</f>
        <v>-84.747168</v>
      </c>
      <c r="E18" s="4" t="n">
        <f aca="false">(E6-D6)*Assumptions!$B$37/100</f>
        <v>-99.1541865599998</v>
      </c>
      <c r="F18" s="4" t="n">
        <f aca="false">(F6-E6)*Assumptions!$B$37/100</f>
        <v>-92.1032221824001</v>
      </c>
      <c r="G18" s="4" t="n">
        <f aca="false">(G6-F6)*Assumptions!$B$37/100</f>
        <v>-83.8139321859837</v>
      </c>
      <c r="H18" s="4" t="n">
        <f aca="false">(H6-G6)*Assumptions!$B$37/100</f>
        <v>-86.7474198124932</v>
      </c>
      <c r="I18" s="4" t="n">
        <f aca="false">(I6-H6)*Assumptions!$B$37/100</f>
        <v>-76.9573538622263</v>
      </c>
      <c r="J18" s="4" t="n">
        <f aca="false">(J6-I6)*Assumptions!$B$37/100</f>
        <v>-79.2660744780934</v>
      </c>
      <c r="K18" s="4" t="n">
        <f aca="false">(K6-J6)*Assumptions!$B$37/100</f>
        <v>-68.0367139270298</v>
      </c>
      <c r="L18" s="4" t="n">
        <f aca="false">(L6-K6)*Assumptions!$B$37/100</f>
        <v>-69.7376317752052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1472.696052</v>
      </c>
      <c r="D19" s="0" t="n">
        <f aca="false">D15+D16+D17+D18</f>
        <v>1390.997641968</v>
      </c>
      <c r="E19" s="0" t="n">
        <f aca="false">E15+E16+E17+E18</f>
        <v>1561.39015670352</v>
      </c>
      <c r="F19" s="0" t="n">
        <f aca="false">F15+F16+F17+F18</f>
        <v>1690.33973563953</v>
      </c>
      <c r="G19" s="0" t="n">
        <f aca="false">G15+G16+G17+G18</f>
        <v>1808.10598562935</v>
      </c>
      <c r="H19" s="0" t="n">
        <f aca="false">H15+H16+H17+H18</f>
        <v>1871.38969512638</v>
      </c>
      <c r="I19" s="0" t="n">
        <f aca="false">I15+I16+I17+I18</f>
        <v>1939.92387452481</v>
      </c>
      <c r="J19" s="0" t="n">
        <f aca="false">J15+J16+J17+J18</f>
        <v>1998.12159076055</v>
      </c>
      <c r="K19" s="0" t="n">
        <f aca="false">K15+K16+K17+K18</f>
        <v>2061.28564294258</v>
      </c>
      <c r="L19" s="0" t="n">
        <f aca="false">L15+L16+L17+L18</f>
        <v>2112.81778401615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1369.94981581395</v>
      </c>
      <c r="D21" s="0" t="n">
        <f aca="false">D19*D20</f>
        <v>1203.67562311996</v>
      </c>
      <c r="E21" s="0" t="n">
        <f aca="false">E19*E20</f>
        <v>1256.85750976675</v>
      </c>
      <c r="F21" s="0" t="n">
        <f aca="false">F19*F20</f>
        <v>1265.72728954893</v>
      </c>
      <c r="G21" s="0" t="n">
        <f aca="false">G19*G20</f>
        <v>1259.45183249404</v>
      </c>
      <c r="H21" s="0" t="n">
        <f aca="false">H19*H20</f>
        <v>1212.58850849426</v>
      </c>
      <c r="I21" s="0" t="n">
        <f aca="false">I19*I20</f>
        <v>1169.29862273864</v>
      </c>
      <c r="J21" s="0" t="n">
        <f aca="false">J19*J20</f>
        <v>1120.35123853098</v>
      </c>
      <c r="K21" s="0" t="n">
        <f aca="false">K19*K20</f>
        <v>1075.13252433453</v>
      </c>
      <c r="L21" s="0" t="n">
        <f aca="false">L19*L20</f>
        <v>1025.12636041199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1.35</v>
      </c>
      <c r="D23" s="4" t="n">
        <f aca="false">Assumptions!D30</f>
        <v>1.35</v>
      </c>
      <c r="E23" s="4" t="n">
        <f aca="false">Assumptions!E30</f>
        <v>1.35</v>
      </c>
      <c r="F23" s="4" t="n">
        <f aca="false">Assumptions!F30</f>
        <v>1.35</v>
      </c>
      <c r="G23" s="4" t="n">
        <f aca="false">Assumptions!G30</f>
        <v>1.35</v>
      </c>
      <c r="H23" s="4" t="n">
        <f aca="false">Assumptions!H30</f>
        <v>1.35</v>
      </c>
      <c r="I23" s="4" t="n">
        <f aca="false">Assumptions!I30</f>
        <v>1.35</v>
      </c>
      <c r="J23" s="4" t="n">
        <f aca="false">Assumptions!J30</f>
        <v>1.35</v>
      </c>
      <c r="K23" s="4" t="n">
        <f aca="false">Assumptions!K30</f>
        <v>1.35</v>
      </c>
      <c r="L23" s="4" t="n">
        <f aca="false">Assumptions!L30</f>
        <v>1.35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-238.35141</v>
      </c>
      <c r="D24" s="0" t="n">
        <f aca="false">-D6*D23/100</f>
        <v>-247.8854664</v>
      </c>
      <c r="E24" s="0" t="n">
        <f aca="false">-E6*E23/100</f>
        <v>-259.040312388</v>
      </c>
      <c r="F24" s="0" t="n">
        <f aca="false">-F6*F23/100</f>
        <v>-269.40192488352</v>
      </c>
      <c r="G24" s="0" t="n">
        <f aca="false">-G6*G23/100</f>
        <v>-278.830992254443</v>
      </c>
      <c r="H24" s="0" t="n">
        <f aca="false">-H6*H23/100</f>
        <v>-288.590076983349</v>
      </c>
      <c r="I24" s="0" t="n">
        <f aca="false">-I6*I23/100</f>
        <v>-297.247779292849</v>
      </c>
      <c r="J24" s="0" t="n">
        <f aca="false">-J6*J23/100</f>
        <v>-306.165212671635</v>
      </c>
      <c r="K24" s="0" t="n">
        <f aca="false">-K6*K23/100</f>
        <v>-313.819342988425</v>
      </c>
      <c r="L24" s="0" t="n">
        <f aca="false">-L6*L23/100</f>
        <v>-321.664826563136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11958.159325254</v>
      </c>
    </row>
    <row r="31" customFormat="false" ht="15" hidden="false" customHeight="false" outlineLevel="0" collapsed="false">
      <c r="A31" s="0" t="s">
        <v>131</v>
      </c>
      <c r="B31" s="0" t="n">
        <f aca="false">L19</f>
        <v>2112.81778401615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39183.1661762995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31692.2667602422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31692.2667602422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15376.8954061798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27335.0547314339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22161.0547314339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25.7561108507715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0.076760487072385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1211.36759533848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1822.3910387964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29.28201810664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16577.4933822805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8.65610690312904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-0.5</v>
      </c>
      <c r="D5" s="4" t="n">
        <f aca="false">Assumptions!D41</f>
        <v>5</v>
      </c>
      <c r="E5" s="4" t="n">
        <f aca="false">Assumptions!E41</f>
        <v>5.5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17834</v>
      </c>
      <c r="C6" s="0" t="n">
        <f aca="false">B6*(1+C5/100)</f>
        <v>17744.83</v>
      </c>
      <c r="D6" s="0" t="n">
        <f aca="false">C6*(1+D5/100)</f>
        <v>18632.0715</v>
      </c>
      <c r="E6" s="0" t="n">
        <f aca="false">D6*(1+E5/100)</f>
        <v>19656.8354325</v>
      </c>
      <c r="F6" s="0" t="n">
        <f aca="false">E6*(1+F5/100)</f>
        <v>20737.9613812875</v>
      </c>
      <c r="G6" s="0" t="n">
        <f aca="false">F6*(1+G5/100)</f>
        <v>21774.8594503519</v>
      </c>
      <c r="H6" s="0" t="n">
        <f aca="false">G6*(1+H5/100)</f>
        <v>22754.7281256177</v>
      </c>
      <c r="I6" s="0" t="n">
        <f aca="false">H6*(1+I5/100)</f>
        <v>23664.9172506424</v>
      </c>
      <c r="J6" s="0" t="n">
        <f aca="false">I6*(1+J5/100)</f>
        <v>24493.1893544149</v>
      </c>
      <c r="K6" s="0" t="n">
        <f aca="false">J6*(1+K5/100)</f>
        <v>25227.9850350473</v>
      </c>
      <c r="L6" s="0" t="n">
        <f aca="false">K6*(1+L5/100)</f>
        <v>25984.8245860988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16.3</v>
      </c>
      <c r="D7" s="4" t="n">
        <f aca="false">Assumptions!D42</f>
        <v>16.8</v>
      </c>
      <c r="E7" s="4" t="n">
        <f aca="false">Assumptions!E42</f>
        <v>18.3</v>
      </c>
      <c r="F7" s="4" t="n">
        <f aca="false">Assumptions!F42</f>
        <v>19</v>
      </c>
      <c r="G7" s="4" t="n">
        <f aca="false">Assumptions!G42</f>
        <v>19.5</v>
      </c>
      <c r="H7" s="4" t="n">
        <f aca="false">Assumptions!H42</f>
        <v>19.8</v>
      </c>
      <c r="I7" s="4" t="n">
        <f aca="false">Assumptions!I42</f>
        <v>19.8</v>
      </c>
      <c r="J7" s="4" t="n">
        <f aca="false">Assumptions!J42</f>
        <v>19.8</v>
      </c>
      <c r="K7" s="4" t="n">
        <f aca="false">Assumptions!K42</f>
        <v>19.8</v>
      </c>
      <c r="L7" s="4" t="n">
        <f aca="false">Assumptions!L42</f>
        <v>19.8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2892.40729</v>
      </c>
      <c r="D8" s="0" t="n">
        <f aca="false">D6*D7/100</f>
        <v>3130.188012</v>
      </c>
      <c r="E8" s="0" t="n">
        <f aca="false">E6*E7/100</f>
        <v>3597.2008841475</v>
      </c>
      <c r="F8" s="0" t="n">
        <f aca="false">F6*F7/100</f>
        <v>3940.21266244462</v>
      </c>
      <c r="G8" s="0" t="n">
        <f aca="false">G6*G7/100</f>
        <v>4246.09759281862</v>
      </c>
      <c r="H8" s="0" t="n">
        <f aca="false">H6*H7/100</f>
        <v>4505.43616887231</v>
      </c>
      <c r="I8" s="0" t="n">
        <f aca="false">I6*I7/100</f>
        <v>4685.6536156272</v>
      </c>
      <c r="J8" s="0" t="n">
        <f aca="false">J6*J7/100</f>
        <v>4849.65149217415</v>
      </c>
      <c r="K8" s="0" t="n">
        <f aca="false">K6*K7/100</f>
        <v>4995.14103693937</v>
      </c>
      <c r="L8" s="0" t="n">
        <f aca="false">L6*L7/100</f>
        <v>5144.99526804756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0.9</v>
      </c>
      <c r="D9" s="4" t="n">
        <f aca="false">Assumptions!D43</f>
        <v>0.9</v>
      </c>
      <c r="E9" s="4" t="n">
        <f aca="false">Assumptions!E43</f>
        <v>0.85</v>
      </c>
      <c r="F9" s="4" t="n">
        <f aca="false">Assumptions!F43</f>
        <v>0.85</v>
      </c>
      <c r="G9" s="4" t="n">
        <f aca="false">Assumptions!G43</f>
        <v>0.85</v>
      </c>
      <c r="H9" s="4" t="n">
        <f aca="false">Assumptions!H43</f>
        <v>0.85</v>
      </c>
      <c r="I9" s="4" t="n">
        <f aca="false">Assumptions!I43</f>
        <v>0.85</v>
      </c>
      <c r="J9" s="4" t="n">
        <f aca="false">Assumptions!J43</f>
        <v>0.85</v>
      </c>
      <c r="K9" s="4" t="n">
        <f aca="false">Assumptions!K43</f>
        <v>0.85</v>
      </c>
      <c r="L9" s="4" t="n">
        <f aca="false">Assumptions!L43</f>
        <v>0.85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-159.70347</v>
      </c>
      <c r="D10" s="0" t="n">
        <f aca="false">-D6*D9/100</f>
        <v>-167.6886435</v>
      </c>
      <c r="E10" s="0" t="n">
        <f aca="false">-E6*E9/100</f>
        <v>-167.08310117625</v>
      </c>
      <c r="F10" s="0" t="n">
        <f aca="false">-F6*F9/100</f>
        <v>-176.272671740944</v>
      </c>
      <c r="G10" s="0" t="n">
        <f aca="false">-G6*G9/100</f>
        <v>-185.086305327991</v>
      </c>
      <c r="H10" s="0" t="n">
        <f aca="false">-H6*H9/100</f>
        <v>-193.41518906775</v>
      </c>
      <c r="I10" s="0" t="n">
        <f aca="false">-I6*I9/100</f>
        <v>-201.151796630461</v>
      </c>
      <c r="J10" s="0" t="n">
        <f aca="false">-J6*J9/100</f>
        <v>-208.192109512527</v>
      </c>
      <c r="K10" s="0" t="n">
        <f aca="false">-K6*K9/100</f>
        <v>-214.437872797902</v>
      </c>
      <c r="L10" s="0" t="n">
        <f aca="false">-L6*L9/100</f>
        <v>-220.87100898184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2493.148615</v>
      </c>
      <c r="D11" s="0" t="n">
        <f aca="false">D8+D10+D24</f>
        <v>2710.96640325</v>
      </c>
      <c r="E11" s="0" t="n">
        <f aca="false">E8+E10+E24</f>
        <v>3164.7505046325</v>
      </c>
      <c r="F11" s="0" t="n">
        <f aca="false">F8+F10+F24</f>
        <v>3483.9775120563</v>
      </c>
      <c r="G11" s="0" t="n">
        <f aca="false">G8+G10+G24</f>
        <v>3767.05068491087</v>
      </c>
      <c r="H11" s="0" t="n">
        <f aca="false">H8+H10+H24</f>
        <v>4004.83215010872</v>
      </c>
      <c r="I11" s="0" t="n">
        <f aca="false">I8+I10+I24</f>
        <v>4165.02543611307</v>
      </c>
      <c r="J11" s="0" t="n">
        <f aca="false">J8+J10+J24</f>
        <v>4310.80132637702</v>
      </c>
      <c r="K11" s="0" t="n">
        <f aca="false">K8+K10+K24</f>
        <v>4440.12536616833</v>
      </c>
      <c r="L11" s="0" t="n">
        <f aca="false">L8+L10+L24</f>
        <v>4573.32912715338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-816.26218</v>
      </c>
      <c r="D12" s="4" t="n">
        <f aca="false">-D6*Assumptions!D45/100</f>
        <v>-857.075289</v>
      </c>
      <c r="E12" s="4" t="n">
        <f aca="false">-E6*Assumptions!E45/100</f>
        <v>-904.214429895</v>
      </c>
      <c r="F12" s="4" t="n">
        <f aca="false">-F6*Assumptions!F45/100</f>
        <v>-953.946223539225</v>
      </c>
      <c r="G12" s="4" t="n">
        <f aca="false">-G6*Assumptions!G45/100</f>
        <v>-1001.64353471619</v>
      </c>
      <c r="H12" s="4" t="n">
        <f aca="false">-H6*Assumptions!H45/100</f>
        <v>-1046.71749377841</v>
      </c>
      <c r="I12" s="4" t="n">
        <f aca="false">-I6*Assumptions!I45/100</f>
        <v>-1088.58619352955</v>
      </c>
      <c r="J12" s="4" t="n">
        <f aca="false">-J6*Assumptions!J45/100</f>
        <v>-1126.68671030309</v>
      </c>
      <c r="K12" s="4" t="n">
        <f aca="false">-K6*Assumptions!K45/100</f>
        <v>-1160.48731161218</v>
      </c>
      <c r="L12" s="4" t="n">
        <f aca="false">-L6*Assumptions!L45/100</f>
        <v>-1195.30193096054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1676.886435</v>
      </c>
      <c r="D13" s="0" t="n">
        <f aca="false">D11+D12</f>
        <v>1853.89111425</v>
      </c>
      <c r="E13" s="0" t="n">
        <f aca="false">E11+E12</f>
        <v>2260.5360747375</v>
      </c>
      <c r="F13" s="0" t="n">
        <f aca="false">F11+F12</f>
        <v>2530.03128851707</v>
      </c>
      <c r="G13" s="0" t="n">
        <f aca="false">G11+G12</f>
        <v>2765.40715019469</v>
      </c>
      <c r="H13" s="0" t="n">
        <f aca="false">H11+H12</f>
        <v>2958.1146563303</v>
      </c>
      <c r="I13" s="0" t="n">
        <f aca="false">I11+I12</f>
        <v>3076.43924258351</v>
      </c>
      <c r="J13" s="0" t="n">
        <f aca="false">J11+J12</f>
        <v>3184.11461607394</v>
      </c>
      <c r="K13" s="0" t="n">
        <f aca="false">K11+K12</f>
        <v>3279.63805455615</v>
      </c>
      <c r="L13" s="0" t="n">
        <f aca="false">L11+L12</f>
        <v>3378.02719619284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20</v>
      </c>
      <c r="D14" s="4" t="n">
        <f aca="false">Assumptions!D47</f>
        <v>22</v>
      </c>
      <c r="E14" s="4" t="n">
        <f aca="false">Assumptions!E47</f>
        <v>23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1341.509148</v>
      </c>
      <c r="D15" s="0" t="n">
        <f aca="false">D13-MAX(0,D13)*D14/100</f>
        <v>1446.035069115</v>
      </c>
      <c r="E15" s="0" t="n">
        <f aca="false">E13-MAX(0,E13)*E14/100</f>
        <v>1740.61277754787</v>
      </c>
      <c r="F15" s="0" t="n">
        <f aca="false">F13-MAX(0,F13)*F14/100</f>
        <v>1922.82377927298</v>
      </c>
      <c r="G15" s="0" t="n">
        <f aca="false">G13-MAX(0,G13)*G14/100</f>
        <v>2101.70943414796</v>
      </c>
      <c r="H15" s="0" t="n">
        <f aca="false">H13-MAX(0,H13)*H14/100</f>
        <v>2248.16713881103</v>
      </c>
      <c r="I15" s="0" t="n">
        <f aca="false">I13-MAX(0,I13)*I14/100</f>
        <v>2338.09382436347</v>
      </c>
      <c r="J15" s="0" t="n">
        <f aca="false">J13-MAX(0,J13)*J14/100</f>
        <v>2419.92710821619</v>
      </c>
      <c r="K15" s="0" t="n">
        <f aca="false">K13-MAX(0,K13)*K14/100</f>
        <v>2492.52492146268</v>
      </c>
      <c r="L15" s="0" t="n">
        <f aca="false">L13-MAX(0,L13)*L14/100</f>
        <v>2567.30066910656</v>
      </c>
    </row>
    <row r="16" customFormat="false" ht="15" hidden="false" customHeight="false" outlineLevel="0" collapsed="false">
      <c r="A16" s="0" t="s">
        <v>122</v>
      </c>
      <c r="C16" s="0" t="n">
        <f aca="false">-C12</f>
        <v>816.26218</v>
      </c>
      <c r="D16" s="0" t="n">
        <f aca="false">-D12</f>
        <v>857.075289</v>
      </c>
      <c r="E16" s="0" t="n">
        <f aca="false">-E12</f>
        <v>904.214429895</v>
      </c>
      <c r="F16" s="0" t="n">
        <f aca="false">-F12</f>
        <v>953.946223539225</v>
      </c>
      <c r="G16" s="0" t="n">
        <f aca="false">-G12</f>
        <v>1001.64353471619</v>
      </c>
      <c r="H16" s="0" t="n">
        <f aca="false">-H12</f>
        <v>1046.71749377841</v>
      </c>
      <c r="I16" s="0" t="n">
        <f aca="false">-I12</f>
        <v>1088.58619352955</v>
      </c>
      <c r="J16" s="0" t="n">
        <f aca="false">-J12</f>
        <v>1126.68671030309</v>
      </c>
      <c r="K16" s="0" t="n">
        <f aca="false">-K12</f>
        <v>1160.48731161218</v>
      </c>
      <c r="L16" s="0" t="n">
        <f aca="false">-L12</f>
        <v>1195.30193096054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-656.55871</v>
      </c>
      <c r="D17" s="4" t="n">
        <f aca="false">-D6*Assumptions!D46/100</f>
        <v>-689.3866455</v>
      </c>
      <c r="E17" s="4" t="n">
        <f aca="false">-E6*Assumptions!E46/100</f>
        <v>-746.959746435</v>
      </c>
      <c r="F17" s="4" t="n">
        <f aca="false">-F6*Assumptions!F46/100</f>
        <v>-788.042532488925</v>
      </c>
      <c r="G17" s="4" t="n">
        <f aca="false">-G6*Assumptions!G46/100</f>
        <v>-827.444659113371</v>
      </c>
      <c r="H17" s="4" t="n">
        <f aca="false">-H6*Assumptions!H46/100</f>
        <v>-864.679668773473</v>
      </c>
      <c r="I17" s="4" t="n">
        <f aca="false">-I6*Assumptions!I46/100</f>
        <v>-899.266855524412</v>
      </c>
      <c r="J17" s="4" t="n">
        <f aca="false">-J6*Assumptions!J46/100</f>
        <v>-930.741195467766</v>
      </c>
      <c r="K17" s="4" t="n">
        <f aca="false">-K6*Assumptions!K46/100</f>
        <v>-958.663431331799</v>
      </c>
      <c r="L17" s="4" t="n">
        <f aca="false">-L6*Assumptions!L46/100</f>
        <v>-987.423334271753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10.7004000000002</v>
      </c>
      <c r="D18" s="4" t="n">
        <f aca="false">(D6-C6)*Assumptions!$B$51/100</f>
        <v>-106.46898</v>
      </c>
      <c r="E18" s="4" t="n">
        <f aca="false">(E6-D6)*Assumptions!$B$51/100</f>
        <v>-122.9716719</v>
      </c>
      <c r="F18" s="4" t="n">
        <f aca="false">(F6-E6)*Assumptions!$B$51/100</f>
        <v>-129.7351138545</v>
      </c>
      <c r="G18" s="4" t="n">
        <f aca="false">(G6-F6)*Assumptions!$B$51/100</f>
        <v>-124.427768287725</v>
      </c>
      <c r="H18" s="4" t="n">
        <f aca="false">(H6-G6)*Assumptions!$B$51/100</f>
        <v>-117.5842410319</v>
      </c>
      <c r="I18" s="4" t="n">
        <f aca="false">(I6-H6)*Assumptions!$B$51/100</f>
        <v>-109.222695002965</v>
      </c>
      <c r="J18" s="4" t="n">
        <f aca="false">(J6-I6)*Assumptions!$B$51/100</f>
        <v>-99.3926524526981</v>
      </c>
      <c r="K18" s="4" t="n">
        <f aca="false">(K6-J6)*Assumptions!$B$51/100</f>
        <v>-88.1754816758937</v>
      </c>
      <c r="L18" s="4" t="n">
        <f aca="false">(L6-K6)*Assumptions!$B$51/100</f>
        <v>-90.8207461261704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1511.913018</v>
      </c>
      <c r="D19" s="0" t="n">
        <f aca="false">D15+D16+D17+D18</f>
        <v>1507.254732615</v>
      </c>
      <c r="E19" s="0" t="n">
        <f aca="false">E15+E16+E17+E18</f>
        <v>1774.89578910787</v>
      </c>
      <c r="F19" s="0" t="n">
        <f aca="false">F15+F16+F17+F18</f>
        <v>1958.99235646878</v>
      </c>
      <c r="G19" s="0" t="n">
        <f aca="false">G15+G16+G17+G18</f>
        <v>2151.48054146305</v>
      </c>
      <c r="H19" s="0" t="n">
        <f aca="false">H15+H16+H17+H18</f>
        <v>2312.62072278407</v>
      </c>
      <c r="I19" s="0" t="n">
        <f aca="false">I15+I16+I17+I18</f>
        <v>2418.19046736564</v>
      </c>
      <c r="J19" s="0" t="n">
        <f aca="false">J15+J16+J17+J18</f>
        <v>2516.47997059881</v>
      </c>
      <c r="K19" s="0" t="n">
        <f aca="false">K15+K16+K17+K18</f>
        <v>2606.17332006716</v>
      </c>
      <c r="L19" s="0" t="n">
        <f aca="false">L15+L16+L17+L18</f>
        <v>2684.35851966918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1406.43071441861</v>
      </c>
      <c r="D21" s="0" t="n">
        <f aca="false">D19*D20</f>
        <v>1304.27667505895</v>
      </c>
      <c r="E21" s="0" t="n">
        <f aca="false">E19*E20</f>
        <v>1428.72112522047</v>
      </c>
      <c r="F21" s="0" t="n">
        <f aca="false">F19*F20</f>
        <v>1466.89451435169</v>
      </c>
      <c r="G21" s="0" t="n">
        <f aca="false">G19*G20</f>
        <v>1498.63234348939</v>
      </c>
      <c r="H21" s="0" t="n">
        <f aca="false">H19*H20</f>
        <v>1498.48923516931</v>
      </c>
      <c r="I21" s="0" t="n">
        <f aca="false">I19*I20</f>
        <v>1457.57615550919</v>
      </c>
      <c r="J21" s="0" t="n">
        <f aca="false">J19*J20</f>
        <v>1410.99593980446</v>
      </c>
      <c r="K21" s="0" t="n">
        <f aca="false">K19*K20</f>
        <v>1359.3369313227</v>
      </c>
      <c r="L21" s="0" t="n">
        <f aca="false">L19*L20</f>
        <v>1302.43445512779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1.35</v>
      </c>
      <c r="D23" s="4" t="n">
        <f aca="false">Assumptions!D44</f>
        <v>1.35</v>
      </c>
      <c r="E23" s="4" t="n">
        <f aca="false">Assumptions!E44</f>
        <v>1.35</v>
      </c>
      <c r="F23" s="4" t="n">
        <f aca="false">Assumptions!F44</f>
        <v>1.35</v>
      </c>
      <c r="G23" s="4" t="n">
        <f aca="false">Assumptions!G44</f>
        <v>1.35</v>
      </c>
      <c r="H23" s="4" t="n">
        <f aca="false">Assumptions!H44</f>
        <v>1.35</v>
      </c>
      <c r="I23" s="4" t="n">
        <f aca="false">Assumptions!I44</f>
        <v>1.35</v>
      </c>
      <c r="J23" s="4" t="n">
        <f aca="false">Assumptions!J44</f>
        <v>1.35</v>
      </c>
      <c r="K23" s="4" t="n">
        <f aca="false">Assumptions!K44</f>
        <v>1.35</v>
      </c>
      <c r="L23" s="4" t="n">
        <f aca="false">Assumptions!L44</f>
        <v>1.35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-239.555205</v>
      </c>
      <c r="D24" s="0" t="n">
        <f aca="false">-D6*D23/100</f>
        <v>-251.53296525</v>
      </c>
      <c r="E24" s="0" t="n">
        <f aca="false">-E6*E23/100</f>
        <v>-265.36727833875</v>
      </c>
      <c r="F24" s="0" t="n">
        <f aca="false">-F6*F23/100</f>
        <v>-279.962478647381</v>
      </c>
      <c r="G24" s="0" t="n">
        <f aca="false">-G6*G23/100</f>
        <v>-293.96060257975</v>
      </c>
      <c r="H24" s="0" t="n">
        <f aca="false">-H6*H23/100</f>
        <v>-307.188829695839</v>
      </c>
      <c r="I24" s="0" t="n">
        <f aca="false">-I6*I23/100</f>
        <v>-319.476382883673</v>
      </c>
      <c r="J24" s="0" t="n">
        <f aca="false">-J6*J23/100</f>
        <v>-330.658056284601</v>
      </c>
      <c r="K24" s="0" t="n">
        <f aca="false">-K6*K23/100</f>
        <v>-340.577797973139</v>
      </c>
      <c r="L24" s="0" t="n">
        <f aca="false">-L6*L23/100</f>
        <v>-350.795131912333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14133.7880894726</v>
      </c>
    </row>
    <row r="31" customFormat="false" ht="15" hidden="false" customHeight="false" outlineLevel="0" collapsed="false">
      <c r="A31" s="0" t="s">
        <v>131</v>
      </c>
      <c r="B31" s="0" t="n">
        <f aca="false">L19</f>
        <v>2684.35851966918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55029.3496532181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42949.7363147069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42949.7363147069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20838.9512820447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34972.7393715172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29798.7393715172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34.6328116494114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0.4478600187881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1271.39679587154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2196.88808616404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38.6637357622901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22011.7398612873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11.8709925301031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14.3325120721239</v>
      </c>
      <c r="C4" s="0" t="n">
        <f aca="false">B4/Assumptions!$B$2-1</f>
        <v>-0.400814712703849</v>
      </c>
      <c r="D4" s="4" t="n">
        <f aca="false">Assumptions!$B$24</f>
        <v>0.25</v>
      </c>
      <c r="E4" s="4" t="n">
        <f aca="false">DCF_Bear!$B$43</f>
        <v>17.4701911406585</v>
      </c>
      <c r="F4" s="4" t="n">
        <f aca="false">DCF_Bear!$B$47</f>
        <v>4.75779815316052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25.7561108507715</v>
      </c>
      <c r="C5" s="0" t="n">
        <f aca="false">B5/Assumptions!$B$2-1</f>
        <v>0.076760487072385</v>
      </c>
      <c r="D5" s="4" t="n">
        <f aca="false">Assumptions!$B$38</f>
        <v>0.5</v>
      </c>
      <c r="E5" s="4" t="n">
        <f aca="false">DCF_Base!$B$43</f>
        <v>29.28201810664</v>
      </c>
      <c r="F5" s="4" t="n">
        <f aca="false">DCF_Base!$B$47</f>
        <v>8.65610690312904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34.6328116494114</v>
      </c>
      <c r="C6" s="0" t="n">
        <f aca="false">B6/Assumptions!$B$2-1</f>
        <v>0.4478600187881</v>
      </c>
      <c r="D6" s="4" t="n">
        <f aca="false">Assumptions!$B$52</f>
        <v>0.25</v>
      </c>
      <c r="E6" s="4" t="n">
        <f aca="false">DCF_Bull!$B$43</f>
        <v>38.6637357622901</v>
      </c>
      <c r="F6" s="4" t="n">
        <f aca="false">DCF_Bull!$B$47</f>
        <v>11.8709925301031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25.1193863557696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28.6744907790572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0.047747438523476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-33.7370218414121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8.48525112238042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25.7561108507715</v>
      </c>
      <c r="C15" s="3" t="n">
        <v>7.5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22.0267436003935</v>
      </c>
      <c r="C16" s="3" t="n">
        <v>9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18.390320809569</v>
      </c>
      <c r="C17" s="3" t="n">
        <v>10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15.5678704523132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13.3148642732271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8.65610690312904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30.9217709412717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30.9217709412717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30.9217709412717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30.9217709412717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30.9217709412717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28.2164407057742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28.2164407057742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28.2164407057742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28.2164407057742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28.2164407057742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25.7561108507715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25.7561108507715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25.7561108507715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25.7561108507715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25.7561108507715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21.8505844951965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22.9728483102642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23.5158791885228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23.5158791885228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23.5158791885228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18.3844653144387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19.1822504166232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20.0864068657656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21.1197285219283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21.4736058014361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2026-10-04T00:12:42Z</dcterms:created>
  <dc:creator>openpyxl</dc:creator>
  <dc:description/>
  <dc:language>en-NZ</dc:language>
  <cp:lastModifiedBy/>
  <dcterms:modified xsi:type="dcterms:W3CDTF">2026-10-04T00:12:42Z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