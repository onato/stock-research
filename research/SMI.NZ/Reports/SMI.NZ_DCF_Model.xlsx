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roject_CF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an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  <xf numFmtId="9" fontId="2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90" customWidth="1" min="3" max="3"/>
  </cols>
  <sheetData>
    <row r="1">
      <c r="A1" s="1" t="inlineStr">
        <is>
          <t>SMI.NZ — Santana Minerals — Risked Project-NPV Model (2026-09-01)</t>
        </is>
      </c>
    </row>
    <row r="3">
      <c r="A3" s="2" t="inlineStr">
        <is>
          <t>Model</t>
        </is>
      </c>
      <c r="B3" t="inlineStr">
        <is>
          <t>Risked project-NPV (sum-of-parts): P(permit) x project NPV + net cash + raise - dilution - overhead</t>
        </is>
      </c>
    </row>
    <row r="4">
      <c r="A4" s="2" t="inlineStr">
        <is>
          <t>Why not owner-FCF DCF</t>
        </is>
      </c>
      <c r="B4" t="inlineStr">
        <is>
          <t>Pre-revenue single-asset developer; historical FCF is negative exploration spend</t>
        </is>
      </c>
    </row>
    <row r="5">
      <c r="A5" s="2" t="inlineStr"/>
      <c r="B5" t="inlineStr"/>
    </row>
    <row r="6">
      <c r="A6" s="2" t="inlineStr">
        <is>
          <t>Current price (NZD)</t>
        </is>
      </c>
      <c r="B6" s="3" t="n">
        <v>0.615</v>
      </c>
      <c r="C6" t="inlineStr">
        <is>
          <t>Yahoo NZX, 2026-09-01 01:06 UTC</t>
        </is>
      </c>
    </row>
    <row r="7">
      <c r="A7" s="2" t="inlineStr">
        <is>
          <t>Current price (ASX, AUD)</t>
        </is>
      </c>
      <c r="B7" s="3" t="n">
        <v>0.51</v>
      </c>
      <c r="C7" t="inlineStr">
        <is>
          <t>Parity 0.51 x 1.2123 = NZ$0.618 — holds</t>
        </is>
      </c>
    </row>
    <row r="8">
      <c r="A8" s="2" t="inlineStr">
        <is>
          <t>AUD/NZD</t>
        </is>
      </c>
      <c r="B8" s="3" t="n">
        <v>1.2123</v>
      </c>
      <c r="C8" t="inlineStr">
        <is>
          <t>Yahoo AUDNZD=X 2026-09-01; 52wk 1.1066-1.228</t>
        </is>
      </c>
    </row>
    <row r="9">
      <c r="A9" s="2" t="inlineStr">
        <is>
          <t>AUD/USD</t>
        </is>
      </c>
      <c r="B9" s="3" t="n">
        <v>0.7169</v>
      </c>
      <c r="C9" t="inlineStr">
        <is>
          <t>For EV/oz sanity checks</t>
        </is>
      </c>
    </row>
    <row r="10">
      <c r="A10" s="2" t="inlineStr">
        <is>
          <t>Shares fully diluted (m)</t>
        </is>
      </c>
      <c r="B10" s="3" t="n">
        <v>992.5</v>
      </c>
      <c r="C10" t="inlineStr">
        <is>
          <t>986m FPO + 6.5m options — Aug-2026 D&amp;D presentation</t>
        </is>
      </c>
    </row>
    <row r="11">
      <c r="A11" s="2" t="inlineStr">
        <is>
          <t>Net cash (A$m)</t>
        </is>
      </c>
      <c r="B11" s="3" t="n">
        <v>185</v>
      </c>
      <c r="C11" t="inlineStr">
        <is>
          <t>Aug-2026 presentation; Dec-2025 BS (A$90m) superseded by Feb-2026 A$134.1m raise</t>
        </is>
      </c>
    </row>
    <row r="12">
      <c r="A12" s="2" t="inlineStr">
        <is>
          <t>Pre-production capex (A$m)</t>
        </is>
      </c>
      <c r="B12" s="3" t="n">
        <v>277</v>
      </c>
      <c r="C12" t="inlineStr">
        <is>
          <t>PFS Jul-2025, incl 10% contingency</t>
        </is>
      </c>
    </row>
    <row r="13">
      <c r="A13" s="2" t="inlineStr">
        <is>
          <t>Ore Reserve (Moz)</t>
        </is>
      </c>
      <c r="B13" s="3" t="n">
        <v>1.242</v>
      </c>
      <c r="C13" t="inlineStr">
        <is>
          <t>15.0Mt @ 2.58 g/t</t>
        </is>
      </c>
    </row>
    <row r="14">
      <c r="A14" s="2" t="inlineStr">
        <is>
          <t>Mineral Resource (Moz)</t>
        </is>
      </c>
      <c r="B14" s="3" t="n">
        <v>2.337</v>
      </c>
      <c r="C14" t="inlineStr">
        <is>
          <t>2.1 g/t</t>
        </is>
      </c>
    </row>
    <row r="15">
      <c r="A15" s="2" t="inlineStr">
        <is>
          <t>Spot gold (A$/oz)</t>
        </is>
      </c>
      <c r="B15" s="3" t="n">
        <v>6000</v>
      </c>
      <c r="C15" t="inlineStr">
        <is>
          <t>Aug-2026 presentation reference</t>
        </is>
      </c>
    </row>
    <row r="16">
      <c r="A16" s="2" t="inlineStr">
        <is>
          <t>PFS NPV6.5 @ A$3,500</t>
        </is>
      </c>
      <c r="B16" s="3" t="n">
        <v>780</v>
      </c>
      <c r="C16" t="inlineStr">
        <is>
          <t>A$m post-tax</t>
        </is>
      </c>
    </row>
    <row r="17">
      <c r="A17" s="2" t="inlineStr">
        <is>
          <t>PFS NPV6.5 @ A$4,950</t>
        </is>
      </c>
      <c r="B17" s="3" t="n">
        <v>1521</v>
      </c>
      <c r="C17" t="inlineStr">
        <is>
          <t>A$m post-tax</t>
        </is>
      </c>
    </row>
    <row r="18">
      <c r="A18" s="2" t="inlineStr">
        <is>
          <t>Permit decision</t>
        </is>
      </c>
      <c r="B18" t="inlineStr">
        <is>
          <t>16 Dec 2026</t>
        </is>
      </c>
      <c r="C18" t="inlineStr">
        <is>
          <t>Draft Nov-2026; window extended 3x; four iwi s7 objections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Project cash flows (A$m, real, post-tax, incl. all capex) — reconstructed from PFS Figure 3 @ A$4,950/oz</t>
        </is>
      </c>
    </row>
    <row r="3">
      <c r="A3" t="inlineStr">
        <is>
          <t>LOM revenue @4,950 (A$m)</t>
        </is>
      </c>
      <c r="B3" s="3" t="n">
        <v>6177</v>
      </c>
    </row>
    <row r="4">
      <c r="A4" t="inlineStr">
        <is>
          <t>Pre-tax flow-through (royalty drag)</t>
        </is>
      </c>
      <c r="B4" s="3" t="n">
        <v>0.874</v>
      </c>
    </row>
    <row r="5">
      <c r="A5" t="inlineStr">
        <is>
          <t>Tax rate</t>
        </is>
      </c>
      <c r="B5" s="3" t="n">
        <v>0.28</v>
      </c>
    </row>
    <row r="6">
      <c r="A6" t="inlineStr">
        <is>
          <t>Production-year flow sum (Y1-Y14)</t>
        </is>
      </c>
      <c r="B6">
        <f>SUM(D9:Q9)</f>
        <v/>
      </c>
    </row>
    <row r="8">
      <c r="A8" s="2" t="inlineStr">
        <is>
          <t>Year</t>
        </is>
      </c>
      <c r="B8" s="2" t="inlineStr">
        <is>
          <t>Y-2</t>
        </is>
      </c>
      <c r="C8" s="2" t="inlineStr">
        <is>
          <t>Y-1</t>
        </is>
      </c>
      <c r="D8" s="2" t="inlineStr">
        <is>
          <t>Y1</t>
        </is>
      </c>
      <c r="E8" s="2" t="inlineStr">
        <is>
          <t>Y2</t>
        </is>
      </c>
      <c r="F8" s="2" t="inlineStr">
        <is>
          <t>Y3</t>
        </is>
      </c>
      <c r="G8" s="2" t="inlineStr">
        <is>
          <t>Y4</t>
        </is>
      </c>
      <c r="H8" s="2" t="inlineStr">
        <is>
          <t>Y5</t>
        </is>
      </c>
      <c r="I8" s="2" t="inlineStr">
        <is>
          <t>Y6</t>
        </is>
      </c>
      <c r="J8" s="2" t="inlineStr">
        <is>
          <t>Y7</t>
        </is>
      </c>
      <c r="K8" s="2" t="inlineStr">
        <is>
          <t>Y8</t>
        </is>
      </c>
      <c r="L8" s="2" t="inlineStr">
        <is>
          <t>Y9</t>
        </is>
      </c>
      <c r="M8" s="2" t="inlineStr">
        <is>
          <t>Y10</t>
        </is>
      </c>
      <c r="N8" s="2" t="inlineStr">
        <is>
          <t>Y11</t>
        </is>
      </c>
      <c r="O8" s="2" t="inlineStr">
        <is>
          <t>Y12</t>
        </is>
      </c>
      <c r="P8" s="2" t="inlineStr">
        <is>
          <t>Y13</t>
        </is>
      </c>
      <c r="Q8" s="2" t="inlineStr">
        <is>
          <t>Y14</t>
        </is>
      </c>
    </row>
    <row r="9">
      <c r="A9" s="2" t="inlineStr">
        <is>
          <t>FCF @ A$4,950</t>
        </is>
      </c>
      <c r="B9" s="3" t="n">
        <v>-43</v>
      </c>
      <c r="C9" s="3" t="n">
        <v>-234</v>
      </c>
      <c r="D9" s="3" t="n">
        <v>95</v>
      </c>
      <c r="E9" s="3" t="n">
        <v>273</v>
      </c>
      <c r="F9" s="3" t="n">
        <v>267</v>
      </c>
      <c r="G9" s="3" t="n">
        <v>239</v>
      </c>
      <c r="H9" s="3" t="n">
        <v>258</v>
      </c>
      <c r="I9" s="3" t="n">
        <v>215</v>
      </c>
      <c r="J9" s="3" t="n">
        <v>245</v>
      </c>
      <c r="K9" s="3" t="n">
        <v>193</v>
      </c>
      <c r="L9" s="3" t="n">
        <v>254</v>
      </c>
      <c r="M9" s="3" t="n">
        <v>244</v>
      </c>
      <c r="N9" s="3" t="n">
        <v>180</v>
      </c>
      <c r="O9" s="3" t="n">
        <v>245</v>
      </c>
      <c r="P9" s="3" t="n">
        <v>101</v>
      </c>
      <c r="Q9" s="3" t="n">
        <v>2</v>
      </c>
    </row>
    <row r="11">
      <c r="A11" t="inlineStr">
        <is>
          <t>Scale factor formula: (prod_sum + (rev x (gold/4950 - 1)) x 0.874 x 0.72) / prod_sum — production years only; capex years unscaled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Scenario NPVs — flows rescaled to scenario gold, discounted at REAL equity rate from valuation date</t>
        </is>
      </c>
    </row>
    <row r="3">
      <c r="A3" s="2" t="inlineStr"/>
      <c r="B3" s="2" t="inlineStr">
        <is>
          <t>Gold (A$/oz)</t>
        </is>
      </c>
      <c r="C3" s="2" t="inlineStr">
        <is>
          <t>Equity rate (real)</t>
        </is>
      </c>
      <c r="D3" s="2" t="inlineStr">
        <is>
          <t>Timing shift t0 (yrs)</t>
        </is>
      </c>
      <c r="E3" s="2" t="inlineStr">
        <is>
          <t>Scale factor</t>
        </is>
      </c>
      <c r="F3" s="2" t="inlineStr">
        <is>
          <t>Project NPV (A$m)</t>
        </is>
      </c>
    </row>
    <row r="4">
      <c r="A4" s="2" t="inlineStr">
        <is>
          <t>Base</t>
        </is>
      </c>
      <c r="B4" s="3" t="n">
        <v>4500</v>
      </c>
      <c r="C4" s="3" t="n">
        <v>0.12</v>
      </c>
      <c r="D4" s="3" t="n">
        <v>1.5</v>
      </c>
      <c r="E4">
        <f>(Project_CF!$B$6+(Project_CF!$B$3*(B4/4950-1))*Project_CF!$B$4*(1-Project_CF!$B$5))/Project_CF!$B$6</f>
        <v/>
      </c>
      <c r="F4">
        <f>Project_CF!B$9/(1+$C4)^($D4+0)+Project_CF!C$9/(1+$C4)^($D4+1)+Project_CF!D$9*$E4/(1+$C4)^($D4+2)+Project_CF!E$9*$E4/(1+$C4)^($D4+3)+Project_CF!F$9*$E4/(1+$C4)^($D4+4)+Project_CF!G$9*$E4/(1+$C4)^($D4+5)+Project_CF!H$9*$E4/(1+$C4)^($D4+6)+Project_CF!I$9*$E4/(1+$C4)^($D4+7)+Project_CF!J$9*$E4/(1+$C4)^($D4+8)+Project_CF!K$9*$E4/(1+$C4)^($D4+9)+Project_CF!L$9*$E4/(1+$C4)^($D4+10)+Project_CF!M$9*$E4/(1+$C4)^($D4+11)+Project_CF!N$9*$E4/(1+$C4)^($D4+12)+Project_CF!O$9*$E4/(1+$C4)^($D4+13)+Project_CF!P$9*$E4/(1+$C4)^($D4+14)+Project_CF!Q$9*$E4/(1+$C4)^($D4+15)</f>
        <v/>
      </c>
    </row>
    <row r="5">
      <c r="A5" s="2" t="inlineStr">
        <is>
          <t>Bull</t>
        </is>
      </c>
      <c r="B5" s="3" t="n">
        <v>5500</v>
      </c>
      <c r="C5" s="3" t="n">
        <v>0.1</v>
      </c>
      <c r="D5" s="3" t="n">
        <v>1</v>
      </c>
      <c r="E5">
        <f>(Project_CF!$B$6+(Project_CF!$B$3*(B5/4950-1))*Project_CF!$B$4*(1-Project_CF!$B$5))/Project_CF!$B$6</f>
        <v/>
      </c>
      <c r="F5">
        <f>Project_CF!B$9/(1+$C5)^($D5+0)+Project_CF!C$9/(1+$C5)^($D5+1)+Project_CF!D$9*$E5/(1+$C5)^($D5+2)+Project_CF!E$9*$E5/(1+$C5)^($D5+3)+Project_CF!F$9*$E5/(1+$C5)^($D5+4)+Project_CF!G$9*$E5/(1+$C5)^($D5+5)+Project_CF!H$9*$E5/(1+$C5)^($D5+6)+Project_CF!I$9*$E5/(1+$C5)^($D5+7)+Project_CF!J$9*$E5/(1+$C5)^($D5+8)+Project_CF!K$9*$E5/(1+$C5)^($D5+9)+Project_CF!L$9*$E5/(1+$C5)^($D5+10)+Project_CF!M$9*$E5/(1+$C5)^($D5+11)+Project_CF!N$9*$E5/(1+$C5)^($D5+12)+Project_CF!O$9*$E5/(1+$C5)^($D5+13)+Project_CF!P$9*$E5/(1+$C5)^($D5+14)+Project_CF!Q$9*$E5/(1+$C5)^($D5+15)</f>
        <v/>
      </c>
    </row>
    <row r="7">
      <c r="A7" t="inlineStr">
        <is>
          <t>Discount-rate build-up (base): NZ rf 4.3% + ERP 5% x beta 1.2 + 2.5% single-asset/execution + 1.5% illiquidity - ~2.3% inflation = ~12% real. Permit risk NOT in the rate (charged via weights).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Equity bridge and per-share valuation</t>
        </is>
      </c>
    </row>
    <row r="3">
      <c r="A3" s="2" t="inlineStr">
        <is>
          <t>A$m unless noted</t>
        </is>
      </c>
      <c r="B3" s="2" t="inlineStr">
        <is>
          <t>Bear</t>
        </is>
      </c>
      <c r="C3" s="2" t="inlineStr">
        <is>
          <t>Base</t>
        </is>
      </c>
      <c r="D3" s="2" t="inlineStr">
        <is>
          <t>Bull</t>
        </is>
      </c>
    </row>
    <row r="4">
      <c r="A4" t="inlineStr">
        <is>
          <t>Project NPV</t>
        </is>
      </c>
      <c r="B4" t="n">
        <v>0</v>
      </c>
      <c r="C4">
        <f>Scenarios!F4</f>
        <v/>
      </c>
      <c r="D4">
        <f>Scenarios!F5</f>
        <v/>
      </c>
    </row>
    <row r="5">
      <c r="A5" t="inlineStr">
        <is>
          <t>Net cash</t>
        </is>
      </c>
      <c r="B5" s="3" t="n">
        <v>185</v>
      </c>
      <c r="C5" s="3" t="n">
        <v>185</v>
      </c>
      <c r="D5" s="3" t="n">
        <v>185</v>
      </c>
    </row>
    <row r="6">
      <c r="A6" t="inlineStr">
        <is>
          <t>Equity raise proceeds</t>
        </is>
      </c>
      <c r="B6" s="3" t="n">
        <v>0</v>
      </c>
      <c r="C6" s="3" t="n">
        <v>140</v>
      </c>
      <c r="D6" s="3" t="n">
        <v>25</v>
      </c>
    </row>
    <row r="7">
      <c r="A7" t="inlineStr">
        <is>
          <t>Raise price (A$/sh)</t>
        </is>
      </c>
      <c r="B7" t="inlineStr"/>
      <c r="C7" s="3" t="n">
        <v>0.7</v>
      </c>
      <c r="D7" s="3" t="n">
        <v>0.9</v>
      </c>
    </row>
    <row r="8">
      <c r="A8" t="inlineStr">
        <is>
          <t>Overhead PV / wind-down</t>
        </is>
      </c>
      <c r="B8" s="3" t="n">
        <v>-25</v>
      </c>
      <c r="C8" s="3" t="n">
        <v>-10</v>
      </c>
      <c r="D8" s="3" t="n">
        <v>-9</v>
      </c>
    </row>
    <row r="9">
      <c r="A9" t="inlineStr">
        <is>
          <t>Capex stress / debt fees</t>
        </is>
      </c>
      <c r="B9" s="3" t="n">
        <v>0</v>
      </c>
      <c r="C9" s="3" t="n">
        <v>-28</v>
      </c>
      <c r="D9" s="3" t="n">
        <v>-10</v>
      </c>
    </row>
    <row r="10">
      <c r="A10" t="inlineStr">
        <is>
          <t>Bear: land net recovery</t>
        </is>
      </c>
      <c r="B10" s="3" t="n">
        <v>15</v>
      </c>
      <c r="C10" t="inlineStr"/>
      <c r="D10" t="inlineStr"/>
    </row>
    <row r="11">
      <c r="A11" t="inlineStr">
        <is>
          <t>Bear: residual resource optionality</t>
        </is>
      </c>
      <c r="B11" s="3" t="n">
        <v>25</v>
      </c>
      <c r="C11" t="inlineStr"/>
      <c r="D11" t="inlineStr"/>
    </row>
    <row r="12">
      <c r="A12" s="2" t="inlineStr">
        <is>
          <t>Equity value</t>
        </is>
      </c>
      <c r="B12" s="2">
        <f>SUM(B4:B6)+SUM(B8:B11)</f>
        <v/>
      </c>
      <c r="C12" s="2">
        <f>SUM(C4:C6)+SUM(C8:C9)</f>
        <v/>
      </c>
      <c r="D12" s="2">
        <f>SUM(D4:D6)+SUM(D8:D9)</f>
        <v/>
      </c>
    </row>
    <row r="13">
      <c r="A13" t="inlineStr">
        <is>
          <t>Shares base (m)</t>
        </is>
      </c>
      <c r="B13" s="3" t="n">
        <v>992.5</v>
      </c>
      <c r="C13" s="3" t="n">
        <v>992.5</v>
      </c>
      <c r="D13" s="3" t="n">
        <v>992.5</v>
      </c>
    </row>
    <row r="14">
      <c r="A14" t="inlineStr">
        <is>
          <t>New shares from raise (m)</t>
        </is>
      </c>
      <c r="B14" t="n">
        <v>0</v>
      </c>
      <c r="C14">
        <f>C6/C7</f>
        <v/>
      </c>
      <c r="D14">
        <f>D6/D7</f>
        <v/>
      </c>
    </row>
    <row r="15">
      <c r="A15" t="inlineStr">
        <is>
          <t>Shares post-funding (m)</t>
        </is>
      </c>
      <c r="B15">
        <f>B13+B14</f>
        <v/>
      </c>
      <c r="C15">
        <f>C13+C14</f>
        <v/>
      </c>
      <c r="D15">
        <f>D13+D14</f>
        <v/>
      </c>
    </row>
    <row r="16">
      <c r="A16" t="inlineStr">
        <is>
          <t>IV per share (AUD)</t>
        </is>
      </c>
      <c r="B16" s="4">
        <f>B12/B15</f>
        <v/>
      </c>
      <c r="C16" s="4">
        <f>C12/C15</f>
        <v/>
      </c>
      <c r="D16" s="4">
        <f>D12/D15</f>
        <v/>
      </c>
    </row>
    <row r="17">
      <c r="A17" s="2" t="inlineStr">
        <is>
          <t>IV per share (NZD)</t>
        </is>
      </c>
      <c r="B17" s="5">
        <f>B16*Inputs!$B$8</f>
        <v/>
      </c>
      <c r="C17" s="5">
        <f>C16*Inputs!$B$8</f>
        <v/>
      </c>
      <c r="D17" s="5">
        <f>D16*Inputs!$B$8</f>
        <v/>
      </c>
    </row>
    <row r="19">
      <c r="A19" t="inlineStr">
        <is>
          <t>Probability weight</t>
        </is>
      </c>
      <c r="B19" s="3" t="n">
        <v>0.3</v>
      </c>
      <c r="C19" s="3" t="n">
        <v>0.5</v>
      </c>
      <c r="D19" s="3" t="n">
        <v>0.2</v>
      </c>
    </row>
    <row r="20">
      <c r="A20" s="2" t="inlineStr">
        <is>
          <t>Weighted IV (NZD)</t>
        </is>
      </c>
      <c r="B20" s="5">
        <f>SUMPRODUCT(B17:D17,B19:D19)</f>
        <v/>
      </c>
    </row>
    <row r="21">
      <c r="A21" t="inlineStr">
        <is>
          <t>Current price (NZD)</t>
        </is>
      </c>
      <c r="B21">
        <f>0.615</f>
        <v/>
      </c>
    </row>
    <row r="22">
      <c r="A22" t="inlineStr">
        <is>
          <t>Upside</t>
        </is>
      </c>
      <c r="B22" s="6">
        <f>B20/B21-1</f>
        <v/>
      </c>
    </row>
    <row r="24">
      <c r="A24" s="2" t="inlineStr">
        <is>
          <t>Entry price @15% hurdle, 3yr window: IV x ((1+r)/1.15)^3</t>
        </is>
      </c>
    </row>
    <row r="25">
      <c r="A25" t="inlineStr">
        <is>
          <t>Entry price (NZD)</t>
        </is>
      </c>
      <c r="B25" s="4">
        <f>B17*((1.03)/1.15)^3</f>
        <v/>
      </c>
      <c r="C25" s="4">
        <f>C17*((1+Scenarios!C4)/1.15)^3</f>
        <v/>
      </c>
      <c r="D25" s="4">
        <f>D17*((1+Scenarios!C5)/1.15)^3</f>
        <v/>
      </c>
    </row>
    <row r="26">
      <c r="A26" s="2" t="inlineStr">
        <is>
          <t>Weighted entry (NZD)</t>
        </is>
      </c>
      <c r="B26" s="5">
        <f>SUMPRODUCT(B25:D25,B19:D19)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IV NZD/share — gold price (rows) x real equity rate (cols), base structure, UNWEIGHTED for permit risk</t>
        </is>
      </c>
    </row>
    <row r="3">
      <c r="B3" s="7" t="n">
        <v>0.08</v>
      </c>
      <c r="C3" s="7" t="n">
        <v>0.1</v>
      </c>
      <c r="D3" s="7" t="n">
        <v>0.12</v>
      </c>
      <c r="E3" s="7" t="n">
        <v>0.14</v>
      </c>
      <c r="F3" s="7" t="n">
        <v>0.16</v>
      </c>
      <c r="H3" s="2" t="inlineStr">
        <is>
          <t>scale</t>
        </is>
      </c>
    </row>
    <row r="4">
      <c r="A4" s="2" t="n">
        <v>3500</v>
      </c>
      <c r="B4" s="4">
        <f>(Project_CF!B$9/(1+0.08)^(1.5+0)+Project_CF!C$9/(1+0.08)^(1.5+1)+Project_CF!D$9*$H$4/(1+0.08)^(1.5+2)+Project_CF!E$9*$H$4/(1+0.08)^(1.5+3)+Project_CF!F$9*$H$4/(1+0.08)^(1.5+4)+Project_CF!G$9*$H$4/(1+0.08)^(1.5+5)+Project_CF!H$9*$H$4/(1+0.08)^(1.5+6)+Project_CF!I$9*$H$4/(1+0.08)^(1.5+7)+Project_CF!J$9*$H$4/(1+0.08)^(1.5+8)+Project_CF!K$9*$H$4/(1+0.08)^(1.5+9)+Project_CF!L$9*$H$4/(1+0.08)^(1.5+10)+Project_CF!M$9*$H$4/(1+0.08)^(1.5+11)+Project_CF!N$9*$H$4/(1+0.08)^(1.5+12)+Project_CF!O$9*$H$4/(1+0.08)^(1.5+13)+Project_CF!P$9*$H$4/(1+0.08)^(1.5+14)+Project_CF!Q$9*$H$4/(1+0.08)^(1.5+15)+185+140-38)/Valuation!$C$15*Inputs!$B$8</f>
        <v/>
      </c>
      <c r="C4" s="4">
        <f>(Project_CF!B$9/(1+0.1)^(1.5+0)+Project_CF!C$9/(1+0.1)^(1.5+1)+Project_CF!D$9*$H$4/(1+0.1)^(1.5+2)+Project_CF!E$9*$H$4/(1+0.1)^(1.5+3)+Project_CF!F$9*$H$4/(1+0.1)^(1.5+4)+Project_CF!G$9*$H$4/(1+0.1)^(1.5+5)+Project_CF!H$9*$H$4/(1+0.1)^(1.5+6)+Project_CF!I$9*$H$4/(1+0.1)^(1.5+7)+Project_CF!J$9*$H$4/(1+0.1)^(1.5+8)+Project_CF!K$9*$H$4/(1+0.1)^(1.5+9)+Project_CF!L$9*$H$4/(1+0.1)^(1.5+10)+Project_CF!M$9*$H$4/(1+0.1)^(1.5+11)+Project_CF!N$9*$H$4/(1+0.1)^(1.5+12)+Project_CF!O$9*$H$4/(1+0.1)^(1.5+13)+Project_CF!P$9*$H$4/(1+0.1)^(1.5+14)+Project_CF!Q$9*$H$4/(1+0.1)^(1.5+15)+185+140-38)/Valuation!$C$15*Inputs!$B$8</f>
        <v/>
      </c>
      <c r="D4" s="4">
        <f>(Project_CF!B$9/(1+0.12)^(1.5+0)+Project_CF!C$9/(1+0.12)^(1.5+1)+Project_CF!D$9*$H$4/(1+0.12)^(1.5+2)+Project_CF!E$9*$H$4/(1+0.12)^(1.5+3)+Project_CF!F$9*$H$4/(1+0.12)^(1.5+4)+Project_CF!G$9*$H$4/(1+0.12)^(1.5+5)+Project_CF!H$9*$H$4/(1+0.12)^(1.5+6)+Project_CF!I$9*$H$4/(1+0.12)^(1.5+7)+Project_CF!J$9*$H$4/(1+0.12)^(1.5+8)+Project_CF!K$9*$H$4/(1+0.12)^(1.5+9)+Project_CF!L$9*$H$4/(1+0.12)^(1.5+10)+Project_CF!M$9*$H$4/(1+0.12)^(1.5+11)+Project_CF!N$9*$H$4/(1+0.12)^(1.5+12)+Project_CF!O$9*$H$4/(1+0.12)^(1.5+13)+Project_CF!P$9*$H$4/(1+0.12)^(1.5+14)+Project_CF!Q$9*$H$4/(1+0.12)^(1.5+15)+185+140-38)/Valuation!$C$15*Inputs!$B$8</f>
        <v/>
      </c>
      <c r="E4" s="4">
        <f>(Project_CF!B$9/(1+0.14)^(1.5+0)+Project_CF!C$9/(1+0.14)^(1.5+1)+Project_CF!D$9*$H$4/(1+0.14)^(1.5+2)+Project_CF!E$9*$H$4/(1+0.14)^(1.5+3)+Project_CF!F$9*$H$4/(1+0.14)^(1.5+4)+Project_CF!G$9*$H$4/(1+0.14)^(1.5+5)+Project_CF!H$9*$H$4/(1+0.14)^(1.5+6)+Project_CF!I$9*$H$4/(1+0.14)^(1.5+7)+Project_CF!J$9*$H$4/(1+0.14)^(1.5+8)+Project_CF!K$9*$H$4/(1+0.14)^(1.5+9)+Project_CF!L$9*$H$4/(1+0.14)^(1.5+10)+Project_CF!M$9*$H$4/(1+0.14)^(1.5+11)+Project_CF!N$9*$H$4/(1+0.14)^(1.5+12)+Project_CF!O$9*$H$4/(1+0.14)^(1.5+13)+Project_CF!P$9*$H$4/(1+0.14)^(1.5+14)+Project_CF!Q$9*$H$4/(1+0.14)^(1.5+15)+185+140-38)/Valuation!$C$15*Inputs!$B$8</f>
        <v/>
      </c>
      <c r="F4" s="4">
        <f>(Project_CF!B$9/(1+0.16)^(1.5+0)+Project_CF!C$9/(1+0.16)^(1.5+1)+Project_CF!D$9*$H$4/(1+0.16)^(1.5+2)+Project_CF!E$9*$H$4/(1+0.16)^(1.5+3)+Project_CF!F$9*$H$4/(1+0.16)^(1.5+4)+Project_CF!G$9*$H$4/(1+0.16)^(1.5+5)+Project_CF!H$9*$H$4/(1+0.16)^(1.5+6)+Project_CF!I$9*$H$4/(1+0.16)^(1.5+7)+Project_CF!J$9*$H$4/(1+0.16)^(1.5+8)+Project_CF!K$9*$H$4/(1+0.16)^(1.5+9)+Project_CF!L$9*$H$4/(1+0.16)^(1.5+10)+Project_CF!M$9*$H$4/(1+0.16)^(1.5+11)+Project_CF!N$9*$H$4/(1+0.16)^(1.5+12)+Project_CF!O$9*$H$4/(1+0.16)^(1.5+13)+Project_CF!P$9*$H$4/(1+0.16)^(1.5+14)+Project_CF!Q$9*$H$4/(1+0.16)^(1.5+15)+185+140-38)/Valuation!$C$15*Inputs!$B$8</f>
        <v/>
      </c>
      <c r="H4">
        <f>(Project_CF!$B$6+(Project_CF!$B$3*($A4/4950-1))*Project_CF!$B$4*(1-Project_CF!$B$5))/Project_CF!$B$6</f>
        <v/>
      </c>
    </row>
    <row r="5">
      <c r="A5" s="2" t="n">
        <v>4000</v>
      </c>
      <c r="B5" s="4">
        <f>(Project_CF!B$9/(1+0.08)^(1.5+0)+Project_CF!C$9/(1+0.08)^(1.5+1)+Project_CF!D$9*$H$5/(1+0.08)^(1.5+2)+Project_CF!E$9*$H$5/(1+0.08)^(1.5+3)+Project_CF!F$9*$H$5/(1+0.08)^(1.5+4)+Project_CF!G$9*$H$5/(1+0.08)^(1.5+5)+Project_CF!H$9*$H$5/(1+0.08)^(1.5+6)+Project_CF!I$9*$H$5/(1+0.08)^(1.5+7)+Project_CF!J$9*$H$5/(1+0.08)^(1.5+8)+Project_CF!K$9*$H$5/(1+0.08)^(1.5+9)+Project_CF!L$9*$H$5/(1+0.08)^(1.5+10)+Project_CF!M$9*$H$5/(1+0.08)^(1.5+11)+Project_CF!N$9*$H$5/(1+0.08)^(1.5+12)+Project_CF!O$9*$H$5/(1+0.08)^(1.5+13)+Project_CF!P$9*$H$5/(1+0.08)^(1.5+14)+Project_CF!Q$9*$H$5/(1+0.08)^(1.5+15)+185+140-38)/Valuation!$C$15*Inputs!$B$8</f>
        <v/>
      </c>
      <c r="C5" s="4">
        <f>(Project_CF!B$9/(1+0.1)^(1.5+0)+Project_CF!C$9/(1+0.1)^(1.5+1)+Project_CF!D$9*$H$5/(1+0.1)^(1.5+2)+Project_CF!E$9*$H$5/(1+0.1)^(1.5+3)+Project_CF!F$9*$H$5/(1+0.1)^(1.5+4)+Project_CF!G$9*$H$5/(1+0.1)^(1.5+5)+Project_CF!H$9*$H$5/(1+0.1)^(1.5+6)+Project_CF!I$9*$H$5/(1+0.1)^(1.5+7)+Project_CF!J$9*$H$5/(1+0.1)^(1.5+8)+Project_CF!K$9*$H$5/(1+0.1)^(1.5+9)+Project_CF!L$9*$H$5/(1+0.1)^(1.5+10)+Project_CF!M$9*$H$5/(1+0.1)^(1.5+11)+Project_CF!N$9*$H$5/(1+0.1)^(1.5+12)+Project_CF!O$9*$H$5/(1+0.1)^(1.5+13)+Project_CF!P$9*$H$5/(1+0.1)^(1.5+14)+Project_CF!Q$9*$H$5/(1+0.1)^(1.5+15)+185+140-38)/Valuation!$C$15*Inputs!$B$8</f>
        <v/>
      </c>
      <c r="D5" s="4">
        <f>(Project_CF!B$9/(1+0.12)^(1.5+0)+Project_CF!C$9/(1+0.12)^(1.5+1)+Project_CF!D$9*$H$5/(1+0.12)^(1.5+2)+Project_CF!E$9*$H$5/(1+0.12)^(1.5+3)+Project_CF!F$9*$H$5/(1+0.12)^(1.5+4)+Project_CF!G$9*$H$5/(1+0.12)^(1.5+5)+Project_CF!H$9*$H$5/(1+0.12)^(1.5+6)+Project_CF!I$9*$H$5/(1+0.12)^(1.5+7)+Project_CF!J$9*$H$5/(1+0.12)^(1.5+8)+Project_CF!K$9*$H$5/(1+0.12)^(1.5+9)+Project_CF!L$9*$H$5/(1+0.12)^(1.5+10)+Project_CF!M$9*$H$5/(1+0.12)^(1.5+11)+Project_CF!N$9*$H$5/(1+0.12)^(1.5+12)+Project_CF!O$9*$H$5/(1+0.12)^(1.5+13)+Project_CF!P$9*$H$5/(1+0.12)^(1.5+14)+Project_CF!Q$9*$H$5/(1+0.12)^(1.5+15)+185+140-38)/Valuation!$C$15*Inputs!$B$8</f>
        <v/>
      </c>
      <c r="E5" s="4">
        <f>(Project_CF!B$9/(1+0.14)^(1.5+0)+Project_CF!C$9/(1+0.14)^(1.5+1)+Project_CF!D$9*$H$5/(1+0.14)^(1.5+2)+Project_CF!E$9*$H$5/(1+0.14)^(1.5+3)+Project_CF!F$9*$H$5/(1+0.14)^(1.5+4)+Project_CF!G$9*$H$5/(1+0.14)^(1.5+5)+Project_CF!H$9*$H$5/(1+0.14)^(1.5+6)+Project_CF!I$9*$H$5/(1+0.14)^(1.5+7)+Project_CF!J$9*$H$5/(1+0.14)^(1.5+8)+Project_CF!K$9*$H$5/(1+0.14)^(1.5+9)+Project_CF!L$9*$H$5/(1+0.14)^(1.5+10)+Project_CF!M$9*$H$5/(1+0.14)^(1.5+11)+Project_CF!N$9*$H$5/(1+0.14)^(1.5+12)+Project_CF!O$9*$H$5/(1+0.14)^(1.5+13)+Project_CF!P$9*$H$5/(1+0.14)^(1.5+14)+Project_CF!Q$9*$H$5/(1+0.14)^(1.5+15)+185+140-38)/Valuation!$C$15*Inputs!$B$8</f>
        <v/>
      </c>
      <c r="F5" s="4">
        <f>(Project_CF!B$9/(1+0.16)^(1.5+0)+Project_CF!C$9/(1+0.16)^(1.5+1)+Project_CF!D$9*$H$5/(1+0.16)^(1.5+2)+Project_CF!E$9*$H$5/(1+0.16)^(1.5+3)+Project_CF!F$9*$H$5/(1+0.16)^(1.5+4)+Project_CF!G$9*$H$5/(1+0.16)^(1.5+5)+Project_CF!H$9*$H$5/(1+0.16)^(1.5+6)+Project_CF!I$9*$H$5/(1+0.16)^(1.5+7)+Project_CF!J$9*$H$5/(1+0.16)^(1.5+8)+Project_CF!K$9*$H$5/(1+0.16)^(1.5+9)+Project_CF!L$9*$H$5/(1+0.16)^(1.5+10)+Project_CF!M$9*$H$5/(1+0.16)^(1.5+11)+Project_CF!N$9*$H$5/(1+0.16)^(1.5+12)+Project_CF!O$9*$H$5/(1+0.16)^(1.5+13)+Project_CF!P$9*$H$5/(1+0.16)^(1.5+14)+Project_CF!Q$9*$H$5/(1+0.16)^(1.5+15)+185+140-38)/Valuation!$C$15*Inputs!$B$8</f>
        <v/>
      </c>
      <c r="H5">
        <f>(Project_CF!$B$6+(Project_CF!$B$3*($A5/4950-1))*Project_CF!$B$4*(1-Project_CF!$B$5))/Project_CF!$B$6</f>
        <v/>
      </c>
    </row>
    <row r="6">
      <c r="A6" s="2" t="n">
        <v>4500</v>
      </c>
      <c r="B6" s="4">
        <f>(Project_CF!B$9/(1+0.08)^(1.5+0)+Project_CF!C$9/(1+0.08)^(1.5+1)+Project_CF!D$9*$H$6/(1+0.08)^(1.5+2)+Project_CF!E$9*$H$6/(1+0.08)^(1.5+3)+Project_CF!F$9*$H$6/(1+0.08)^(1.5+4)+Project_CF!G$9*$H$6/(1+0.08)^(1.5+5)+Project_CF!H$9*$H$6/(1+0.08)^(1.5+6)+Project_CF!I$9*$H$6/(1+0.08)^(1.5+7)+Project_CF!J$9*$H$6/(1+0.08)^(1.5+8)+Project_CF!K$9*$H$6/(1+0.08)^(1.5+9)+Project_CF!L$9*$H$6/(1+0.08)^(1.5+10)+Project_CF!M$9*$H$6/(1+0.08)^(1.5+11)+Project_CF!N$9*$H$6/(1+0.08)^(1.5+12)+Project_CF!O$9*$H$6/(1+0.08)^(1.5+13)+Project_CF!P$9*$H$6/(1+0.08)^(1.5+14)+Project_CF!Q$9*$H$6/(1+0.08)^(1.5+15)+185+140-38)/Valuation!$C$15*Inputs!$B$8</f>
        <v/>
      </c>
      <c r="C6" s="4">
        <f>(Project_CF!B$9/(1+0.1)^(1.5+0)+Project_CF!C$9/(1+0.1)^(1.5+1)+Project_CF!D$9*$H$6/(1+0.1)^(1.5+2)+Project_CF!E$9*$H$6/(1+0.1)^(1.5+3)+Project_CF!F$9*$H$6/(1+0.1)^(1.5+4)+Project_CF!G$9*$H$6/(1+0.1)^(1.5+5)+Project_CF!H$9*$H$6/(1+0.1)^(1.5+6)+Project_CF!I$9*$H$6/(1+0.1)^(1.5+7)+Project_CF!J$9*$H$6/(1+0.1)^(1.5+8)+Project_CF!K$9*$H$6/(1+0.1)^(1.5+9)+Project_CF!L$9*$H$6/(1+0.1)^(1.5+10)+Project_CF!M$9*$H$6/(1+0.1)^(1.5+11)+Project_CF!N$9*$H$6/(1+0.1)^(1.5+12)+Project_CF!O$9*$H$6/(1+0.1)^(1.5+13)+Project_CF!P$9*$H$6/(1+0.1)^(1.5+14)+Project_CF!Q$9*$H$6/(1+0.1)^(1.5+15)+185+140-38)/Valuation!$C$15*Inputs!$B$8</f>
        <v/>
      </c>
      <c r="D6" s="4">
        <f>(Project_CF!B$9/(1+0.12)^(1.5+0)+Project_CF!C$9/(1+0.12)^(1.5+1)+Project_CF!D$9*$H$6/(1+0.12)^(1.5+2)+Project_CF!E$9*$H$6/(1+0.12)^(1.5+3)+Project_CF!F$9*$H$6/(1+0.12)^(1.5+4)+Project_CF!G$9*$H$6/(1+0.12)^(1.5+5)+Project_CF!H$9*$H$6/(1+0.12)^(1.5+6)+Project_CF!I$9*$H$6/(1+0.12)^(1.5+7)+Project_CF!J$9*$H$6/(1+0.12)^(1.5+8)+Project_CF!K$9*$H$6/(1+0.12)^(1.5+9)+Project_CF!L$9*$H$6/(1+0.12)^(1.5+10)+Project_CF!M$9*$H$6/(1+0.12)^(1.5+11)+Project_CF!N$9*$H$6/(1+0.12)^(1.5+12)+Project_CF!O$9*$H$6/(1+0.12)^(1.5+13)+Project_CF!P$9*$H$6/(1+0.12)^(1.5+14)+Project_CF!Q$9*$H$6/(1+0.12)^(1.5+15)+185+140-38)/Valuation!$C$15*Inputs!$B$8</f>
        <v/>
      </c>
      <c r="E6" s="4">
        <f>(Project_CF!B$9/(1+0.14)^(1.5+0)+Project_CF!C$9/(1+0.14)^(1.5+1)+Project_CF!D$9*$H$6/(1+0.14)^(1.5+2)+Project_CF!E$9*$H$6/(1+0.14)^(1.5+3)+Project_CF!F$9*$H$6/(1+0.14)^(1.5+4)+Project_CF!G$9*$H$6/(1+0.14)^(1.5+5)+Project_CF!H$9*$H$6/(1+0.14)^(1.5+6)+Project_CF!I$9*$H$6/(1+0.14)^(1.5+7)+Project_CF!J$9*$H$6/(1+0.14)^(1.5+8)+Project_CF!K$9*$H$6/(1+0.14)^(1.5+9)+Project_CF!L$9*$H$6/(1+0.14)^(1.5+10)+Project_CF!M$9*$H$6/(1+0.14)^(1.5+11)+Project_CF!N$9*$H$6/(1+0.14)^(1.5+12)+Project_CF!O$9*$H$6/(1+0.14)^(1.5+13)+Project_CF!P$9*$H$6/(1+0.14)^(1.5+14)+Project_CF!Q$9*$H$6/(1+0.14)^(1.5+15)+185+140-38)/Valuation!$C$15*Inputs!$B$8</f>
        <v/>
      </c>
      <c r="F6" s="4">
        <f>(Project_CF!B$9/(1+0.16)^(1.5+0)+Project_CF!C$9/(1+0.16)^(1.5+1)+Project_CF!D$9*$H$6/(1+0.16)^(1.5+2)+Project_CF!E$9*$H$6/(1+0.16)^(1.5+3)+Project_CF!F$9*$H$6/(1+0.16)^(1.5+4)+Project_CF!G$9*$H$6/(1+0.16)^(1.5+5)+Project_CF!H$9*$H$6/(1+0.16)^(1.5+6)+Project_CF!I$9*$H$6/(1+0.16)^(1.5+7)+Project_CF!J$9*$H$6/(1+0.16)^(1.5+8)+Project_CF!K$9*$H$6/(1+0.16)^(1.5+9)+Project_CF!L$9*$H$6/(1+0.16)^(1.5+10)+Project_CF!M$9*$H$6/(1+0.16)^(1.5+11)+Project_CF!N$9*$H$6/(1+0.16)^(1.5+12)+Project_CF!O$9*$H$6/(1+0.16)^(1.5+13)+Project_CF!P$9*$H$6/(1+0.16)^(1.5+14)+Project_CF!Q$9*$H$6/(1+0.16)^(1.5+15)+185+140-38)/Valuation!$C$15*Inputs!$B$8</f>
        <v/>
      </c>
      <c r="H6">
        <f>(Project_CF!$B$6+(Project_CF!$B$3*($A6/4950-1))*Project_CF!$B$4*(1-Project_CF!$B$5))/Project_CF!$B$6</f>
        <v/>
      </c>
    </row>
    <row r="7">
      <c r="A7" s="2" t="n">
        <v>5000</v>
      </c>
      <c r="B7" s="4">
        <f>(Project_CF!B$9/(1+0.08)^(1.5+0)+Project_CF!C$9/(1+0.08)^(1.5+1)+Project_CF!D$9*$H$7/(1+0.08)^(1.5+2)+Project_CF!E$9*$H$7/(1+0.08)^(1.5+3)+Project_CF!F$9*$H$7/(1+0.08)^(1.5+4)+Project_CF!G$9*$H$7/(1+0.08)^(1.5+5)+Project_CF!H$9*$H$7/(1+0.08)^(1.5+6)+Project_CF!I$9*$H$7/(1+0.08)^(1.5+7)+Project_CF!J$9*$H$7/(1+0.08)^(1.5+8)+Project_CF!K$9*$H$7/(1+0.08)^(1.5+9)+Project_CF!L$9*$H$7/(1+0.08)^(1.5+10)+Project_CF!M$9*$H$7/(1+0.08)^(1.5+11)+Project_CF!N$9*$H$7/(1+0.08)^(1.5+12)+Project_CF!O$9*$H$7/(1+0.08)^(1.5+13)+Project_CF!P$9*$H$7/(1+0.08)^(1.5+14)+Project_CF!Q$9*$H$7/(1+0.08)^(1.5+15)+185+140-38)/Valuation!$C$15*Inputs!$B$8</f>
        <v/>
      </c>
      <c r="C7" s="4">
        <f>(Project_CF!B$9/(1+0.1)^(1.5+0)+Project_CF!C$9/(1+0.1)^(1.5+1)+Project_CF!D$9*$H$7/(1+0.1)^(1.5+2)+Project_CF!E$9*$H$7/(1+0.1)^(1.5+3)+Project_CF!F$9*$H$7/(1+0.1)^(1.5+4)+Project_CF!G$9*$H$7/(1+0.1)^(1.5+5)+Project_CF!H$9*$H$7/(1+0.1)^(1.5+6)+Project_CF!I$9*$H$7/(1+0.1)^(1.5+7)+Project_CF!J$9*$H$7/(1+0.1)^(1.5+8)+Project_CF!K$9*$H$7/(1+0.1)^(1.5+9)+Project_CF!L$9*$H$7/(1+0.1)^(1.5+10)+Project_CF!M$9*$H$7/(1+0.1)^(1.5+11)+Project_CF!N$9*$H$7/(1+0.1)^(1.5+12)+Project_CF!O$9*$H$7/(1+0.1)^(1.5+13)+Project_CF!P$9*$H$7/(1+0.1)^(1.5+14)+Project_CF!Q$9*$H$7/(1+0.1)^(1.5+15)+185+140-38)/Valuation!$C$15*Inputs!$B$8</f>
        <v/>
      </c>
      <c r="D7" s="4">
        <f>(Project_CF!B$9/(1+0.12)^(1.5+0)+Project_CF!C$9/(1+0.12)^(1.5+1)+Project_CF!D$9*$H$7/(1+0.12)^(1.5+2)+Project_CF!E$9*$H$7/(1+0.12)^(1.5+3)+Project_CF!F$9*$H$7/(1+0.12)^(1.5+4)+Project_CF!G$9*$H$7/(1+0.12)^(1.5+5)+Project_CF!H$9*$H$7/(1+0.12)^(1.5+6)+Project_CF!I$9*$H$7/(1+0.12)^(1.5+7)+Project_CF!J$9*$H$7/(1+0.12)^(1.5+8)+Project_CF!K$9*$H$7/(1+0.12)^(1.5+9)+Project_CF!L$9*$H$7/(1+0.12)^(1.5+10)+Project_CF!M$9*$H$7/(1+0.12)^(1.5+11)+Project_CF!N$9*$H$7/(1+0.12)^(1.5+12)+Project_CF!O$9*$H$7/(1+0.12)^(1.5+13)+Project_CF!P$9*$H$7/(1+0.12)^(1.5+14)+Project_CF!Q$9*$H$7/(1+0.12)^(1.5+15)+185+140-38)/Valuation!$C$15*Inputs!$B$8</f>
        <v/>
      </c>
      <c r="E7" s="4">
        <f>(Project_CF!B$9/(1+0.14)^(1.5+0)+Project_CF!C$9/(1+0.14)^(1.5+1)+Project_CF!D$9*$H$7/(1+0.14)^(1.5+2)+Project_CF!E$9*$H$7/(1+0.14)^(1.5+3)+Project_CF!F$9*$H$7/(1+0.14)^(1.5+4)+Project_CF!G$9*$H$7/(1+0.14)^(1.5+5)+Project_CF!H$9*$H$7/(1+0.14)^(1.5+6)+Project_CF!I$9*$H$7/(1+0.14)^(1.5+7)+Project_CF!J$9*$H$7/(1+0.14)^(1.5+8)+Project_CF!K$9*$H$7/(1+0.14)^(1.5+9)+Project_CF!L$9*$H$7/(1+0.14)^(1.5+10)+Project_CF!M$9*$H$7/(1+0.14)^(1.5+11)+Project_CF!N$9*$H$7/(1+0.14)^(1.5+12)+Project_CF!O$9*$H$7/(1+0.14)^(1.5+13)+Project_CF!P$9*$H$7/(1+0.14)^(1.5+14)+Project_CF!Q$9*$H$7/(1+0.14)^(1.5+15)+185+140-38)/Valuation!$C$15*Inputs!$B$8</f>
        <v/>
      </c>
      <c r="F7" s="4">
        <f>(Project_CF!B$9/(1+0.16)^(1.5+0)+Project_CF!C$9/(1+0.16)^(1.5+1)+Project_CF!D$9*$H$7/(1+0.16)^(1.5+2)+Project_CF!E$9*$H$7/(1+0.16)^(1.5+3)+Project_CF!F$9*$H$7/(1+0.16)^(1.5+4)+Project_CF!G$9*$H$7/(1+0.16)^(1.5+5)+Project_CF!H$9*$H$7/(1+0.16)^(1.5+6)+Project_CF!I$9*$H$7/(1+0.16)^(1.5+7)+Project_CF!J$9*$H$7/(1+0.16)^(1.5+8)+Project_CF!K$9*$H$7/(1+0.16)^(1.5+9)+Project_CF!L$9*$H$7/(1+0.16)^(1.5+10)+Project_CF!M$9*$H$7/(1+0.16)^(1.5+11)+Project_CF!N$9*$H$7/(1+0.16)^(1.5+12)+Project_CF!O$9*$H$7/(1+0.16)^(1.5+13)+Project_CF!P$9*$H$7/(1+0.16)^(1.5+14)+Project_CF!Q$9*$H$7/(1+0.16)^(1.5+15)+185+140-38)/Valuation!$C$15*Inputs!$B$8</f>
        <v/>
      </c>
      <c r="H7">
        <f>(Project_CF!$B$6+(Project_CF!$B$3*($A7/4950-1))*Project_CF!$B$4*(1-Project_CF!$B$5))/Project_CF!$B$6</f>
        <v/>
      </c>
    </row>
    <row r="8">
      <c r="A8" s="2" t="n">
        <v>5500</v>
      </c>
      <c r="B8" s="4">
        <f>(Project_CF!B$9/(1+0.08)^(1.5+0)+Project_CF!C$9/(1+0.08)^(1.5+1)+Project_CF!D$9*$H$8/(1+0.08)^(1.5+2)+Project_CF!E$9*$H$8/(1+0.08)^(1.5+3)+Project_CF!F$9*$H$8/(1+0.08)^(1.5+4)+Project_CF!G$9*$H$8/(1+0.08)^(1.5+5)+Project_CF!H$9*$H$8/(1+0.08)^(1.5+6)+Project_CF!I$9*$H$8/(1+0.08)^(1.5+7)+Project_CF!J$9*$H$8/(1+0.08)^(1.5+8)+Project_CF!K$9*$H$8/(1+0.08)^(1.5+9)+Project_CF!L$9*$H$8/(1+0.08)^(1.5+10)+Project_CF!M$9*$H$8/(1+0.08)^(1.5+11)+Project_CF!N$9*$H$8/(1+0.08)^(1.5+12)+Project_CF!O$9*$H$8/(1+0.08)^(1.5+13)+Project_CF!P$9*$H$8/(1+0.08)^(1.5+14)+Project_CF!Q$9*$H$8/(1+0.08)^(1.5+15)+185+140-38)/Valuation!$C$15*Inputs!$B$8</f>
        <v/>
      </c>
      <c r="C8" s="4">
        <f>(Project_CF!B$9/(1+0.1)^(1.5+0)+Project_CF!C$9/(1+0.1)^(1.5+1)+Project_CF!D$9*$H$8/(1+0.1)^(1.5+2)+Project_CF!E$9*$H$8/(1+0.1)^(1.5+3)+Project_CF!F$9*$H$8/(1+0.1)^(1.5+4)+Project_CF!G$9*$H$8/(1+0.1)^(1.5+5)+Project_CF!H$9*$H$8/(1+0.1)^(1.5+6)+Project_CF!I$9*$H$8/(1+0.1)^(1.5+7)+Project_CF!J$9*$H$8/(1+0.1)^(1.5+8)+Project_CF!K$9*$H$8/(1+0.1)^(1.5+9)+Project_CF!L$9*$H$8/(1+0.1)^(1.5+10)+Project_CF!M$9*$H$8/(1+0.1)^(1.5+11)+Project_CF!N$9*$H$8/(1+0.1)^(1.5+12)+Project_CF!O$9*$H$8/(1+0.1)^(1.5+13)+Project_CF!P$9*$H$8/(1+0.1)^(1.5+14)+Project_CF!Q$9*$H$8/(1+0.1)^(1.5+15)+185+140-38)/Valuation!$C$15*Inputs!$B$8</f>
        <v/>
      </c>
      <c r="D8" s="4">
        <f>(Project_CF!B$9/(1+0.12)^(1.5+0)+Project_CF!C$9/(1+0.12)^(1.5+1)+Project_CF!D$9*$H$8/(1+0.12)^(1.5+2)+Project_CF!E$9*$H$8/(1+0.12)^(1.5+3)+Project_CF!F$9*$H$8/(1+0.12)^(1.5+4)+Project_CF!G$9*$H$8/(1+0.12)^(1.5+5)+Project_CF!H$9*$H$8/(1+0.12)^(1.5+6)+Project_CF!I$9*$H$8/(1+0.12)^(1.5+7)+Project_CF!J$9*$H$8/(1+0.12)^(1.5+8)+Project_CF!K$9*$H$8/(1+0.12)^(1.5+9)+Project_CF!L$9*$H$8/(1+0.12)^(1.5+10)+Project_CF!M$9*$H$8/(1+0.12)^(1.5+11)+Project_CF!N$9*$H$8/(1+0.12)^(1.5+12)+Project_CF!O$9*$H$8/(1+0.12)^(1.5+13)+Project_CF!P$9*$H$8/(1+0.12)^(1.5+14)+Project_CF!Q$9*$H$8/(1+0.12)^(1.5+15)+185+140-38)/Valuation!$C$15*Inputs!$B$8</f>
        <v/>
      </c>
      <c r="E8" s="4">
        <f>(Project_CF!B$9/(1+0.14)^(1.5+0)+Project_CF!C$9/(1+0.14)^(1.5+1)+Project_CF!D$9*$H$8/(1+0.14)^(1.5+2)+Project_CF!E$9*$H$8/(1+0.14)^(1.5+3)+Project_CF!F$9*$H$8/(1+0.14)^(1.5+4)+Project_CF!G$9*$H$8/(1+0.14)^(1.5+5)+Project_CF!H$9*$H$8/(1+0.14)^(1.5+6)+Project_CF!I$9*$H$8/(1+0.14)^(1.5+7)+Project_CF!J$9*$H$8/(1+0.14)^(1.5+8)+Project_CF!K$9*$H$8/(1+0.14)^(1.5+9)+Project_CF!L$9*$H$8/(1+0.14)^(1.5+10)+Project_CF!M$9*$H$8/(1+0.14)^(1.5+11)+Project_CF!N$9*$H$8/(1+0.14)^(1.5+12)+Project_CF!O$9*$H$8/(1+0.14)^(1.5+13)+Project_CF!P$9*$H$8/(1+0.14)^(1.5+14)+Project_CF!Q$9*$H$8/(1+0.14)^(1.5+15)+185+140-38)/Valuation!$C$15*Inputs!$B$8</f>
        <v/>
      </c>
      <c r="F8" s="4">
        <f>(Project_CF!B$9/(1+0.16)^(1.5+0)+Project_CF!C$9/(1+0.16)^(1.5+1)+Project_CF!D$9*$H$8/(1+0.16)^(1.5+2)+Project_CF!E$9*$H$8/(1+0.16)^(1.5+3)+Project_CF!F$9*$H$8/(1+0.16)^(1.5+4)+Project_CF!G$9*$H$8/(1+0.16)^(1.5+5)+Project_CF!H$9*$H$8/(1+0.16)^(1.5+6)+Project_CF!I$9*$H$8/(1+0.16)^(1.5+7)+Project_CF!J$9*$H$8/(1+0.16)^(1.5+8)+Project_CF!K$9*$H$8/(1+0.16)^(1.5+9)+Project_CF!L$9*$H$8/(1+0.16)^(1.5+10)+Project_CF!M$9*$H$8/(1+0.16)^(1.5+11)+Project_CF!N$9*$H$8/(1+0.16)^(1.5+12)+Project_CF!O$9*$H$8/(1+0.16)^(1.5+13)+Project_CF!P$9*$H$8/(1+0.16)^(1.5+14)+Project_CF!Q$9*$H$8/(1+0.16)^(1.5+15)+185+140-38)/Valuation!$C$15*Inputs!$B$8</f>
        <v/>
      </c>
      <c r="H8">
        <f>(Project_CF!$B$6+(Project_CF!$B$3*($A8/4950-1))*Project_CF!$B$4*(1-Project_CF!$B$5))/Project_CF!$B$6</f>
        <v/>
      </c>
    </row>
    <row r="9">
      <c r="A9" s="2" t="n">
        <v>6000</v>
      </c>
      <c r="B9" s="4">
        <f>(Project_CF!B$9/(1+0.08)^(1.5+0)+Project_CF!C$9/(1+0.08)^(1.5+1)+Project_CF!D$9*$H$9/(1+0.08)^(1.5+2)+Project_CF!E$9*$H$9/(1+0.08)^(1.5+3)+Project_CF!F$9*$H$9/(1+0.08)^(1.5+4)+Project_CF!G$9*$H$9/(1+0.08)^(1.5+5)+Project_CF!H$9*$H$9/(1+0.08)^(1.5+6)+Project_CF!I$9*$H$9/(1+0.08)^(1.5+7)+Project_CF!J$9*$H$9/(1+0.08)^(1.5+8)+Project_CF!K$9*$H$9/(1+0.08)^(1.5+9)+Project_CF!L$9*$H$9/(1+0.08)^(1.5+10)+Project_CF!M$9*$H$9/(1+0.08)^(1.5+11)+Project_CF!N$9*$H$9/(1+0.08)^(1.5+12)+Project_CF!O$9*$H$9/(1+0.08)^(1.5+13)+Project_CF!P$9*$H$9/(1+0.08)^(1.5+14)+Project_CF!Q$9*$H$9/(1+0.08)^(1.5+15)+185+140-38)/Valuation!$C$15*Inputs!$B$8</f>
        <v/>
      </c>
      <c r="C9" s="4">
        <f>(Project_CF!B$9/(1+0.1)^(1.5+0)+Project_CF!C$9/(1+0.1)^(1.5+1)+Project_CF!D$9*$H$9/(1+0.1)^(1.5+2)+Project_CF!E$9*$H$9/(1+0.1)^(1.5+3)+Project_CF!F$9*$H$9/(1+0.1)^(1.5+4)+Project_CF!G$9*$H$9/(1+0.1)^(1.5+5)+Project_CF!H$9*$H$9/(1+0.1)^(1.5+6)+Project_CF!I$9*$H$9/(1+0.1)^(1.5+7)+Project_CF!J$9*$H$9/(1+0.1)^(1.5+8)+Project_CF!K$9*$H$9/(1+0.1)^(1.5+9)+Project_CF!L$9*$H$9/(1+0.1)^(1.5+10)+Project_CF!M$9*$H$9/(1+0.1)^(1.5+11)+Project_CF!N$9*$H$9/(1+0.1)^(1.5+12)+Project_CF!O$9*$H$9/(1+0.1)^(1.5+13)+Project_CF!P$9*$H$9/(1+0.1)^(1.5+14)+Project_CF!Q$9*$H$9/(1+0.1)^(1.5+15)+185+140-38)/Valuation!$C$15*Inputs!$B$8</f>
        <v/>
      </c>
      <c r="D9" s="4">
        <f>(Project_CF!B$9/(1+0.12)^(1.5+0)+Project_CF!C$9/(1+0.12)^(1.5+1)+Project_CF!D$9*$H$9/(1+0.12)^(1.5+2)+Project_CF!E$9*$H$9/(1+0.12)^(1.5+3)+Project_CF!F$9*$H$9/(1+0.12)^(1.5+4)+Project_CF!G$9*$H$9/(1+0.12)^(1.5+5)+Project_CF!H$9*$H$9/(1+0.12)^(1.5+6)+Project_CF!I$9*$H$9/(1+0.12)^(1.5+7)+Project_CF!J$9*$H$9/(1+0.12)^(1.5+8)+Project_CF!K$9*$H$9/(1+0.12)^(1.5+9)+Project_CF!L$9*$H$9/(1+0.12)^(1.5+10)+Project_CF!M$9*$H$9/(1+0.12)^(1.5+11)+Project_CF!N$9*$H$9/(1+0.12)^(1.5+12)+Project_CF!O$9*$H$9/(1+0.12)^(1.5+13)+Project_CF!P$9*$H$9/(1+0.12)^(1.5+14)+Project_CF!Q$9*$H$9/(1+0.12)^(1.5+15)+185+140-38)/Valuation!$C$15*Inputs!$B$8</f>
        <v/>
      </c>
      <c r="E9" s="4">
        <f>(Project_CF!B$9/(1+0.14)^(1.5+0)+Project_CF!C$9/(1+0.14)^(1.5+1)+Project_CF!D$9*$H$9/(1+0.14)^(1.5+2)+Project_CF!E$9*$H$9/(1+0.14)^(1.5+3)+Project_CF!F$9*$H$9/(1+0.14)^(1.5+4)+Project_CF!G$9*$H$9/(1+0.14)^(1.5+5)+Project_CF!H$9*$H$9/(1+0.14)^(1.5+6)+Project_CF!I$9*$H$9/(1+0.14)^(1.5+7)+Project_CF!J$9*$H$9/(1+0.14)^(1.5+8)+Project_CF!K$9*$H$9/(1+0.14)^(1.5+9)+Project_CF!L$9*$H$9/(1+0.14)^(1.5+10)+Project_CF!M$9*$H$9/(1+0.14)^(1.5+11)+Project_CF!N$9*$H$9/(1+0.14)^(1.5+12)+Project_CF!O$9*$H$9/(1+0.14)^(1.5+13)+Project_CF!P$9*$H$9/(1+0.14)^(1.5+14)+Project_CF!Q$9*$H$9/(1+0.14)^(1.5+15)+185+140-38)/Valuation!$C$15*Inputs!$B$8</f>
        <v/>
      </c>
      <c r="F9" s="4">
        <f>(Project_CF!B$9/(1+0.16)^(1.5+0)+Project_CF!C$9/(1+0.16)^(1.5+1)+Project_CF!D$9*$H$9/(1+0.16)^(1.5+2)+Project_CF!E$9*$H$9/(1+0.16)^(1.5+3)+Project_CF!F$9*$H$9/(1+0.16)^(1.5+4)+Project_CF!G$9*$H$9/(1+0.16)^(1.5+5)+Project_CF!H$9*$H$9/(1+0.16)^(1.5+6)+Project_CF!I$9*$H$9/(1+0.16)^(1.5+7)+Project_CF!J$9*$H$9/(1+0.16)^(1.5+8)+Project_CF!K$9*$H$9/(1+0.16)^(1.5+9)+Project_CF!L$9*$H$9/(1+0.16)^(1.5+10)+Project_CF!M$9*$H$9/(1+0.16)^(1.5+11)+Project_CF!N$9*$H$9/(1+0.16)^(1.5+12)+Project_CF!O$9*$H$9/(1+0.16)^(1.5+13)+Project_CF!P$9*$H$9/(1+0.16)^(1.5+14)+Project_CF!Q$9*$H$9/(1+0.16)^(1.5+15)+185+140-38)/Valuation!$C$15*Inputs!$B$8</f>
        <v/>
      </c>
      <c r="H9">
        <f>(Project_CF!$B$6+(Project_CF!$B$3*($A9/4950-1))*Project_CF!$B$4*(1-Project_CF!$B$5))/Project_CF!$B$6</f>
        <v/>
      </c>
    </row>
    <row r="11">
      <c r="A11" s="2" t="inlineStr">
        <is>
          <t>Weighted IV (NZD) vs P(bear), base:bull held 50:20</t>
        </is>
      </c>
    </row>
    <row r="12">
      <c r="A12" s="2" t="inlineStr">
        <is>
          <t>P(bear)</t>
        </is>
      </c>
      <c r="B12" s="2" t="inlineStr">
        <is>
          <t>Weighted IV</t>
        </is>
      </c>
    </row>
    <row r="13">
      <c r="A13" t="n">
        <v>0.15</v>
      </c>
      <c r="B13" s="4">
        <f>0.15*Valuation!$B$17+(1-0.15)*(5/7)*Valuation!$C$17+(1-0.15)*(2/7)*Valuation!$D$17</f>
        <v/>
      </c>
    </row>
    <row r="14">
      <c r="A14" t="n">
        <v>0.25</v>
      </c>
      <c r="B14" s="4">
        <f>0.25*Valuation!$B$17+(1-0.25)*(5/7)*Valuation!$C$17+(1-0.25)*(2/7)*Valuation!$D$17</f>
        <v/>
      </c>
    </row>
    <row r="15">
      <c r="A15" t="n">
        <v>0.3</v>
      </c>
      <c r="B15" s="4">
        <f>0.3*Valuation!$B$17+(1-0.3)*(5/7)*Valuation!$C$17+(1-0.3)*(2/7)*Valuation!$D$17</f>
        <v/>
      </c>
    </row>
    <row r="16">
      <c r="A16" t="n">
        <v>0.4</v>
      </c>
      <c r="B16" s="4">
        <f>0.4*Valuation!$B$17+(1-0.4)*(5/7)*Valuation!$C$17+(1-0.4)*(2/7)*Valuation!$D$17</f>
        <v/>
      </c>
    </row>
    <row r="17">
      <c r="A17" t="n">
        <v>0.5</v>
      </c>
      <c r="B17" s="4">
        <f>0.5*Valuation!$B$17+(1-0.5)*(5/7)*Valuation!$C$17+(1-0.5)*(2/7)*Valuation!$D$17</f>
        <v/>
      </c>
    </row>
    <row r="18">
      <c r="A18" t="n">
        <v>0.6</v>
      </c>
      <c r="B18" s="4">
        <f>0.6*Valuation!$B$17+(1-0.6)*(5/7)*Valuation!$C$17+(1-0.6)*(2/7)*Valuation!$D$17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90" customWidth="1" min="3" max="3"/>
  </cols>
  <sheetData>
    <row r="1">
      <c r="A1" s="1" t="inlineStr">
        <is>
          <t>Mining-developer sanity checks (standard P/E, P/B, EV/EBITDA replaced — meaningless pre-revenue)</t>
        </is>
      </c>
    </row>
    <row r="3">
      <c r="A3" t="inlineStr">
        <is>
          <t>Market cap (A$m)</t>
        </is>
      </c>
      <c r="B3" s="8">
        <f>992.5*(0.615/1.2123)</f>
        <v/>
      </c>
    </row>
    <row r="4">
      <c r="A4" t="inlineStr">
        <is>
          <t>EV (A$m)</t>
        </is>
      </c>
      <c r="B4" s="8">
        <f>B3-185</f>
        <v/>
      </c>
    </row>
    <row r="5">
      <c r="A5" t="inlineStr">
        <is>
          <t>EV / resource oz (US$)</t>
        </is>
      </c>
      <c r="B5" s="8">
        <f>B4/2.337*0.7169</f>
        <v/>
      </c>
      <c r="C5" t="inlineStr">
        <is>
          <t>peer 30-100 pre-permit → top of band, justified (grade, infrastructure, decision 3.5 mo away)</t>
        </is>
      </c>
    </row>
    <row r="6">
      <c r="A6" t="inlineStr">
        <is>
          <t>EV / reserve oz (US$)</t>
        </is>
      </c>
      <c r="B6" s="8">
        <f>B4/1.242*0.7169</f>
        <v/>
      </c>
    </row>
    <row r="7">
      <c r="A7" t="inlineStr">
        <is>
          <t>Price / unrisked spot NAV</t>
        </is>
      </c>
      <c r="B7" s="8">
        <f>B3/(1521+185)</f>
        <v/>
      </c>
      <c r="C7" t="inlineStr">
        <is>
          <t>0.30x — inside 0.2-0.5x pre-permit band</t>
        </is>
      </c>
    </row>
    <row r="8">
      <c r="A8" t="inlineStr">
        <is>
          <t>Price / risked weighted NAV</t>
        </is>
      </c>
      <c r="B8" s="8">
        <f>(0.615/1.2123)/(Valuation!B20/1.2123)</f>
        <v/>
      </c>
      <c r="C8" t="inlineStr">
        <is>
          <t>~0.67x of the model's risked NAV</t>
        </is>
      </c>
    </row>
    <row r="9">
      <c r="A9" t="inlineStr">
        <is>
          <t>Gold test</t>
        </is>
      </c>
      <c r="B9" t="inlineStr">
        <is>
          <t>Base A$4,500 = 25% below spot; no scenario needs gold above current levels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2026-09-01T01:37:03Z</dcterms:created>
  <dcterms:modified xsi:type="dcterms:W3CDTF">2026-09-01T01:37:03Z</dcterms:modified>
</cp:coreProperties>
</file>