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CF Model" sheetId="1" r:id="rId1"/>
    <sheet name="Sensitivity" sheetId="2" r:id="rId2"/>
    <sheet name="FCF Quality" sheetId="3" r:id="rId3"/>
    <sheet name="Historical" sheetId="4" r:id="rId4"/>
    <sheet name="Model_Info" sheetId="5" r:id="rId5"/>
  </sheets>
  <calcPr calcId="124519" fullCalcOnLoad="1"/>
</workbook>
</file>

<file path=xl/sharedStrings.xml><?xml version="1.0" encoding="utf-8"?>
<sst xmlns="http://schemas.openxmlformats.org/spreadsheetml/2006/main" count="147" uniqueCount="127">
  <si>
    <t>CHI.NZ DCF Valuation Model - Channel Infrastructure NZ Limited</t>
  </si>
  <si>
    <t>Gray cells are INPUTS - adjust to see valuation change. Infrastructure/yield-asset framing (10yr horizon, contracted-cashflow WACC). All figures NZ$ millions unless noted.</t>
  </si>
  <si>
    <t>KEY INPUTS</t>
  </si>
  <si>
    <t>Current Stock Price (NZ$)</t>
  </si>
  <si>
    <t>Shares Outstanding (M)</t>
  </si>
  <si>
    <t>Cash &amp; Equivalents (M)</t>
  </si>
  <si>
    <t>Total Debt (M)</t>
  </si>
  <si>
    <t>Net Debt (M)</t>
  </si>
  <si>
    <t>Reported FCF (OCF - Total Capex) (M)</t>
  </si>
  <si>
    <t>Less: SBC incl. equity taxes (M)</t>
  </si>
  <si>
    <t>FY2025 Owner FCF (component-built, M)</t>
  </si>
  <si>
    <t>&lt;- matches company Normalised FCF $66.9m closely (component build validated)</t>
  </si>
  <si>
    <t>Annual Share Growth (dilution)</t>
  </si>
  <si>
    <t>SBC ~0.19% of revenue - genuinely negligible, no dilution</t>
  </si>
  <si>
    <t>WACC (Base)</t>
  </si>
  <si>
    <t>Terminal Growth Rate (Base)</t>
  </si>
  <si>
    <t>Terminal Cap Multiple (x Owner FCF)</t>
  </si>
  <si>
    <t>GROWTH &amp; MARGIN ASSUMPTIONS (Base Case)</t>
  </si>
  <si>
    <t>Revenue Growth Rate</t>
  </si>
  <si>
    <t>Y1</t>
  </si>
  <si>
    <t>Y2</t>
  </si>
  <si>
    <t>Y3</t>
  </si>
  <si>
    <t>Y4</t>
  </si>
  <si>
    <t>Y5</t>
  </si>
  <si>
    <t>Y6</t>
  </si>
  <si>
    <t>Y7</t>
  </si>
  <si>
    <t>Y8</t>
  </si>
  <si>
    <t>Y9</t>
  </si>
  <si>
    <t>Y10</t>
  </si>
  <si>
    <t>EBITDA Margin</t>
  </si>
  <si>
    <t>SBC % of Revenue</t>
  </si>
  <si>
    <t>D&amp;A % of Revenue</t>
  </si>
  <si>
    <t>Maintenance Capex % of Revenue</t>
  </si>
  <si>
    <t>Cash Tax Rate</t>
  </si>
  <si>
    <t>Working Capital Capture % (of rev change)</t>
  </si>
  <si>
    <t>PROJECTIONS (component build)</t>
  </si>
  <si>
    <t>Revenue</t>
  </si>
  <si>
    <t>Adj. EBITDA</t>
  </si>
  <si>
    <t>Less: SBC</t>
  </si>
  <si>
    <t>Less: D&amp;A</t>
  </si>
  <si>
    <t>Owner EBITDA (after SBC)</t>
  </si>
  <si>
    <t>EBIT</t>
  </si>
  <si>
    <t>NOPAT (after tax)</t>
  </si>
  <si>
    <t>Less: Maintenance Capex</t>
  </si>
  <si>
    <t>Less: Working Capital</t>
  </si>
  <si>
    <t>Owner Free Cash Flow</t>
  </si>
  <si>
    <t>Discount Factor</t>
  </si>
  <si>
    <t>PV of FCF</t>
  </si>
  <si>
    <t>VALUATION</t>
  </si>
  <si>
    <t>Sum of PV of FCF (Yr 1-10)</t>
  </si>
  <si>
    <t>Terminal Year FCF x (1+g)</t>
  </si>
  <si>
    <t>Terminal Value - Gordon Growth</t>
  </si>
  <si>
    <t>Terminal Value - Exit Multiple Cap</t>
  </si>
  <si>
    <t>Terminal Value (lower of the two)</t>
  </si>
  <si>
    <t>PV of Terminal Value</t>
  </si>
  <si>
    <t>Enterprise Value</t>
  </si>
  <si>
    <t>Less: Net Debt</t>
  </si>
  <si>
    <t>Equity Value</t>
  </si>
  <si>
    <t>INTRINSIC VALUE/SHARE (NZ$)</t>
  </si>
  <si>
    <t>ENTRY PRICE (15% IRR Target)</t>
  </si>
  <si>
    <t>PV of Yrs 1-10 FCF @15%</t>
  </si>
  <si>
    <t>PV of Terminal Value @15%</t>
  </si>
  <si>
    <t>Entry Price (15% IRR, NZ$)</t>
  </si>
  <si>
    <t>Upside to Intrinsic Value</t>
  </si>
  <si>
    <t>Upside to Entry Price (discount from current)</t>
  </si>
  <si>
    <t>Sensitivity Analysis</t>
  </si>
  <si>
    <t>Intrinsic Value (NZ$) by WACC &amp; Terminal Growth - Base Case</t>
  </si>
  <si>
    <t>WACC \ Term G</t>
  </si>
  <si>
    <t>Note:</t>
  </si>
  <si>
    <t>Rows at lower WACC are flattened across terminal-growth columns because the 16x-FCF terminal cap binds (not Gordon growth) at those WACC levels -- this is intentional and prevents the model from capitalizing an implausible aggressive exit multiple when the WACC-to-terminal-growth spread narrows.</t>
  </si>
  <si>
    <t>FCF Quality - Reported vs Owner FCF Reconciliation</t>
  </si>
  <si>
    <t>All figures NZ$ millions. FY2023-FY2025 only (post refinery-to-terminal conversion).</t>
  </si>
  <si>
    <t>FY2023</t>
  </si>
  <si>
    <t>FY2024</t>
  </si>
  <si>
    <t>FY2025</t>
  </si>
  <si>
    <t>EBITDA</t>
  </si>
  <si>
    <t>Operating Cash Flow</t>
  </si>
  <si>
    <t>Total Capex (maint + growth + conversion)</t>
  </si>
  <si>
    <t>Reported FCF (OCF - total capex)</t>
  </si>
  <si>
    <t>Maintenance Capex only</t>
  </si>
  <si>
    <t>n/a</t>
  </si>
  <si>
    <t>Company "Normalised FCF" (OCF - maint capex)</t>
  </si>
  <si>
    <t>Less: SBC (P&amp;L expense)</t>
  </si>
  <si>
    <t>Owner FCF (component build: EBITDA-SBC-D&amp;A, tax @28%, +D&amp;A-maint capex-WC)</t>
  </si>
  <si>
    <t>Owner FCF margin (%)</t>
  </si>
  <si>
    <t>Reported FCF margin (%)</t>
  </si>
  <si>
    <t>Memo: reported FCF is volatile because it includes GROWTH capex</t>
  </si>
  <si>
    <t>(Marsden Point Energy Precinct enabling works, new storage contracts, Somerton pipeline stake).</t>
  </si>
  <si>
    <t>The company's own "Normalised Free Cash Flow" metric (OCF less MAINTENANCE capex only, excluding</t>
  </si>
  <si>
    <t>growth/conversion capex) is the best like-for-like proxy for owner FCF, and the component build above</t>
  </si>
  <si>
    <t>($67.6m, 48.1% margin) closely matches it ($66.9m, 47.6% margin) - cross-validating the DCF base year.</t>
  </si>
  <si>
    <t>Cash tax paid FY2025 was near-zero ($0.096m refund) due to provisional-tax timing, NOT a valuation-</t>
  </si>
  <si>
    <t>allowance release or tax holiday - the component build correctly uses the 28% NZ statutory book tax rate</t>
  </si>
  <si>
    <t>rather than extrapolating the near-zero cash tax rate forward.</t>
  </si>
  <si>
    <t>Historical Growth Context</t>
  </si>
  <si>
    <t>STRUCTURAL BREAK WARNING</t>
  </si>
  <si>
    <t>Refining NZ closed its oil refinery April 2022 and converted to a fuel import terminal.</t>
  </si>
  <si>
    <t>FY2018-FY2021 describe a DEAD refining business. Full-history CAGRs (revenue/EPS/equity) are MEANINGLESS.</t>
  </si>
  <si>
    <t>Metric (FY2023-FY2025 only)</t>
  </si>
  <si>
    <t>2yr CAGR</t>
  </si>
  <si>
    <t>Equity (DISTORTED by revaluation - NOT used)</t>
  </si>
  <si>
    <t>Selected Growth Driver:</t>
  </si>
  <si>
    <t>Source:</t>
  </si>
  <si>
    <t>contracted_indexation_plus_identified_growth_projects</t>
  </si>
  <si>
    <t>Rationale (see growth_divergence_warning in DCF JSON for full text):</t>
  </si>
  <si>
    <t>STRUCTURAL BREAK, not a normal divergence: Channel closed its Marsden Point oil refinery in April 2022 and converted to a fuel import terminal, making FY2018-FY2021 data describe a DEAD business (revenue fell from $359m to $140m BY DESIGN as refining margin risk was shed for high-margin contracted infrastructure income). Full-history CAGRs (revenue, EPS, equity) spanning this break are MEANINGLESS and are deliberately left null above. Only FY2023-FY2025 describe the current business, giving just 2 years of clean post-conversion data -- too short for a reliable CAGR. The FY23-25 equity CAGR (24.97%) is NOT used: it is an artifact of a $381m non-cash asset revaluation plus a $50m equity raise in FY2024, not earnings retention (retained earnings are deeply NEGATIVE, -$319.6m at FY2025). The selected growth driver (4.5%, the weighted average of the Year 1-10 base-case revenue growth path) in</t>
  </si>
  <si>
    <t>Model Provenance &amp; Notes</t>
  </si>
  <si>
    <t>Built by</t>
  </si>
  <si>
    <t>Claude (dcf-analyst agent), Stock Research Project</t>
  </si>
  <si>
    <t>Valuation date</t>
  </si>
  <si>
    <t>2026-08-10</t>
  </si>
  <si>
    <t>Share price date/source</t>
  </si>
  <si>
    <t>NZ$3.38, Yahoo Finance CHI.NZ close, 2026-08-07 (fetched live 2026-08-10)</t>
  </si>
  <si>
    <t>Data vintage</t>
  </si>
  <si>
    <t>FY2025 Annual Report (year ended 31 Dec 2025), published Feb 2026; FY2026 EBITDA guidance $97-105m per May 2026 trading update</t>
  </si>
  <si>
    <t>Methodology</t>
  </si>
  <si>
    <t>10-year component-built owner-FCF DCF (EBITDA -&gt; SBC -&gt; D&amp;A -&gt; EBIT -&gt; tax @28% -&gt; +D&amp;A -capex -WC). 10yr horizon used (not 5yr) because already-contracted growth projects (Z Energy jet tank, Higgins bitumen terminal, govt diesel reserve, Somerton pipeline, storage extension) phase in through FY2028-2029 before the business reaches a mature ~2.2-2.5% PPI-indexed growth rate.</t>
  </si>
  <si>
    <t>Key judgement calls</t>
  </si>
  <si>
    <t>(1) Equity CAGR REJECTED as growth driver - FY2024 equity jump was a $381m non-cash revaluation + $50m raise, not earned growth. (2) Marsden Point Energy Precinct / biorefinery FID (expected 2026) deliberately EXCLUDED from all scenarios as unmodelled optionality. (3) WACC 9.0% (base) = ~11-12% typical NZX small-cap baseline, net -1.5% contracted-cashflow discount, +3.0% structural premiums (concentration, EV/decarbonisation, 2032 cliff, leverage). (4) Terminal growth capped at 2.0% (base) given long-run EV-driven fuel demand decline. (5) Terminal cap 16x owner FCF (base), below the current market multiple of 25.4x, reflecting the optionality exclusion. (6) P/E excluded from the sanity-check historical comparison entirely (not just flagged) - reported/continuing NI is dominated by the FY2024 D&amp;A step-up and discontinued-ops noise, not operating performance.</t>
  </si>
  <si>
    <t>Sanity check result</t>
  </si>
  <si>
    <t>PASSED. Base-case implied EV/EBITDA (12.5x) and P/B (1.07x) both sit BELOW the FY2023-2025 traded averages (12.3x / 1.17x) and current market multiples (18.4x / 1.78x) - conservative direction, no fix required.</t>
  </si>
  <si>
    <t>What to refresh after next earnings/guidance print</t>
  </si>
  <si>
    <t>FY2026 actual EBITDA vs $97-105m guidance range; Marsden Point biorefinery FID outcome (expected 2026 - if reached, consider adding a probability-weighted precinct scenario); Government diesel reserve contract renewal beyond end-2027; FY2026 maintenance capex actual vs 8-10% of revenue guidance; net debt / leverage vs the 3.0-4.5x shadow BBB/BBB+ target; Somerton pipeline FY2026 cash contribution (first full year); live share price and shares outstanding (DRP dilution).</t>
  </si>
  <si>
    <t>Cell colour conventions</t>
  </si>
  <si>
    <t>Gray cells = editable inputs. Green cells = key formula outputs (Intrinsic Value, Entry Price). White/bordered cells = formula-driven, do not hand-edit.</t>
  </si>
  <si>
    <t>Staleness warning</t>
  </si>
  <si>
    <t>All figures will go stale after the next annual/half-year report or guidance update. Re-verify current_price, FY2026 actuals vs guidance, and net debt before relying on this model for a live investment decision.</t>
  </si>
</sst>
</file>

<file path=xl/styles.xml><?xml version="1.0" encoding="utf-8"?>
<styleSheet xmlns="http://schemas.openxmlformats.org/spreadsheetml/2006/main">
  <numFmts count="4">
    <numFmt numFmtId="164" formatCode="#,##0.00"/>
    <numFmt numFmtId="165" formatCode="#,##0.0"/>
    <numFmt numFmtId="166" formatCode="0.0%"/>
    <numFmt numFmtId="167" formatCode="&quot;$&quot;#,##0.00"/>
  </numFmts>
  <fonts count="7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rgb="FF80808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FE6E9"/>
        <bgColor indexed="64"/>
      </patternFill>
    </fill>
    <fill>
      <patternFill patternType="solid">
        <fgColor rgb="FF2D3436"/>
        <bgColor indexed="64"/>
      </patternFill>
    </fill>
    <fill>
      <patternFill patternType="solid">
        <fgColor rgb="FF00B894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164" fontId="0" fillId="2" borderId="2" xfId="0" applyNumberFormat="1" applyFill="1" applyBorder="1"/>
    <xf numFmtId="165" fontId="0" fillId="0" borderId="2" xfId="0" applyNumberFormat="1" applyBorder="1"/>
    <xf numFmtId="166" fontId="0" fillId="2" borderId="2" xfId="0" applyNumberFormat="1" applyFill="1" applyBorder="1"/>
    <xf numFmtId="0" fontId="4" fillId="3" borderId="2" xfId="0" applyFont="1" applyFill="1" applyBorder="1"/>
    <xf numFmtId="0" fontId="5" fillId="0" borderId="0" xfId="0" applyFont="1"/>
    <xf numFmtId="167" fontId="4" fillId="4" borderId="2" xfId="0" applyNumberFormat="1" applyFont="1" applyFill="1" applyBorder="1"/>
    <xf numFmtId="166" fontId="0" fillId="0" borderId="2" xfId="0" applyNumberFormat="1" applyBorder="1"/>
    <xf numFmtId="166" fontId="4" fillId="3" borderId="0" xfId="0" applyNumberFormat="1" applyFont="1" applyFill="1"/>
    <xf numFmtId="167" fontId="0" fillId="0" borderId="2" xfId="0" applyNumberFormat="1" applyBorder="1"/>
    <xf numFmtId="0" fontId="0" fillId="0" borderId="0" xfId="0" applyAlignment="1">
      <alignment vertical="top" wrapText="1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3"/>
  <sheetViews>
    <sheetView tabSelected="1" workbookViewId="0"/>
  </sheetViews>
  <sheetFormatPr defaultRowHeight="15"/>
  <cols>
    <col min="1" max="1" width="28.7109375" customWidth="1"/>
    <col min="2" max="12" width="12.7109375" customWidth="1"/>
  </cols>
  <sheetData>
    <row r="1" spans="1:3">
      <c r="A1" s="1" t="s">
        <v>0</v>
      </c>
    </row>
    <row r="2" spans="1:3">
      <c r="A2" s="2" t="s">
        <v>1</v>
      </c>
    </row>
    <row r="4" spans="1:3">
      <c r="A4" s="3" t="s">
        <v>2</v>
      </c>
    </row>
    <row r="5" spans="1:3">
      <c r="A5" t="s">
        <v>3</v>
      </c>
      <c r="B5" s="4">
        <v>3.38</v>
      </c>
    </row>
    <row r="6" spans="1:3">
      <c r="A6" t="s">
        <v>4</v>
      </c>
      <c r="B6" s="4">
        <v>410.377</v>
      </c>
    </row>
    <row r="7" spans="1:3">
      <c r="A7" t="s">
        <v>5</v>
      </c>
      <c r="B7" s="4">
        <v>2.902</v>
      </c>
    </row>
    <row r="8" spans="1:3">
      <c r="A8" t="s">
        <v>6</v>
      </c>
      <c r="B8" s="4">
        <v>334.723</v>
      </c>
    </row>
    <row r="9" spans="1:3">
      <c r="A9" t="s">
        <v>7</v>
      </c>
      <c r="B9" s="5">
        <f>B8-B7</f>
        <v>0</v>
      </c>
    </row>
    <row r="10" spans="1:3">
      <c r="A10" t="s">
        <v>8</v>
      </c>
      <c r="B10" s="4">
        <v>24.235</v>
      </c>
    </row>
    <row r="11" spans="1:3">
      <c r="A11" t="s">
        <v>9</v>
      </c>
      <c r="B11" s="4">
        <v>0.272</v>
      </c>
    </row>
    <row r="12" spans="1:3">
      <c r="A12" t="s">
        <v>10</v>
      </c>
      <c r="B12" s="4">
        <v>67.59999999999999</v>
      </c>
      <c r="C12" s="2" t="s">
        <v>11</v>
      </c>
    </row>
    <row r="13" spans="1:3">
      <c r="A13" t="s">
        <v>12</v>
      </c>
      <c r="B13" s="6">
        <v>0</v>
      </c>
      <c r="C13" s="2" t="s">
        <v>13</v>
      </c>
    </row>
    <row r="15" spans="1:3">
      <c r="A15" t="s">
        <v>14</v>
      </c>
      <c r="B15" s="6">
        <v>0.09</v>
      </c>
    </row>
    <row r="16" spans="1:3">
      <c r="A16" t="s">
        <v>15</v>
      </c>
      <c r="B16" s="6">
        <v>0.02</v>
      </c>
    </row>
    <row r="17" spans="1:11">
      <c r="A17" t="s">
        <v>16</v>
      </c>
      <c r="B17" s="4">
        <v>16</v>
      </c>
    </row>
    <row r="19" spans="1:11">
      <c r="A19" s="3" t="s">
        <v>17</v>
      </c>
      <c r="B19" s="7" t="s">
        <v>19</v>
      </c>
      <c r="C19" s="7" t="s">
        <v>20</v>
      </c>
      <c r="D19" s="7" t="s">
        <v>21</v>
      </c>
      <c r="E19" s="7" t="s">
        <v>22</v>
      </c>
      <c r="F19" s="7" t="s">
        <v>23</v>
      </c>
      <c r="G19" s="7" t="s">
        <v>24</v>
      </c>
      <c r="H19" s="7" t="s">
        <v>25</v>
      </c>
      <c r="I19" s="7" t="s">
        <v>26</v>
      </c>
      <c r="J19" s="7" t="s">
        <v>27</v>
      </c>
      <c r="K19" s="7" t="s">
        <v>28</v>
      </c>
    </row>
    <row r="20" spans="1:11">
      <c r="A20" t="s">
        <v>18</v>
      </c>
      <c r="B20" s="6">
        <v>0.08</v>
      </c>
      <c r="C20" s="6">
        <v>0.065</v>
      </c>
      <c r="D20" s="6">
        <v>0.05</v>
      </c>
      <c r="E20" s="6">
        <v>0.04</v>
      </c>
      <c r="F20" s="6">
        <v>0.035</v>
      </c>
      <c r="G20" s="6">
        <v>0.03</v>
      </c>
      <c r="H20" s="6">
        <v>0.028</v>
      </c>
      <c r="I20" s="6">
        <v>0.026</v>
      </c>
      <c r="J20" s="6">
        <v>0.024</v>
      </c>
      <c r="K20" s="6">
        <v>0.022</v>
      </c>
    </row>
    <row r="21" spans="1:11">
      <c r="A21" t="s">
        <v>29</v>
      </c>
      <c r="B21" s="6">
        <v>0.67</v>
      </c>
      <c r="C21" s="6">
        <v>0.675</v>
      </c>
      <c r="D21" s="6">
        <v>0.68</v>
      </c>
      <c r="E21" s="6">
        <v>0.6829999999999999</v>
      </c>
      <c r="F21" s="6">
        <v>0.6850000000000001</v>
      </c>
      <c r="G21" s="6">
        <v>0.6859999999999999</v>
      </c>
      <c r="H21" s="6">
        <v>0.6870000000000001</v>
      </c>
      <c r="I21" s="6">
        <v>0.6870000000000001</v>
      </c>
      <c r="J21" s="6">
        <v>0.6879999999999999</v>
      </c>
      <c r="K21" s="6">
        <v>0.6879999999999999</v>
      </c>
    </row>
    <row r="22" spans="1:11">
      <c r="A22" t="s">
        <v>30</v>
      </c>
      <c r="B22" s="6">
        <v>0.002</v>
      </c>
      <c r="C22" s="6">
        <v>0.002</v>
      </c>
      <c r="D22" s="6">
        <v>0.002</v>
      </c>
      <c r="E22" s="6">
        <v>0.002</v>
      </c>
      <c r="F22" s="6">
        <v>0.002</v>
      </c>
      <c r="G22" s="6">
        <v>0.002</v>
      </c>
      <c r="H22" s="6">
        <v>0.002</v>
      </c>
      <c r="I22" s="6">
        <v>0.002</v>
      </c>
      <c r="J22" s="6">
        <v>0.002</v>
      </c>
      <c r="K22" s="6">
        <v>0.002</v>
      </c>
    </row>
    <row r="23" spans="1:11">
      <c r="A23" t="s">
        <v>31</v>
      </c>
      <c r="B23" s="6">
        <v>0.315</v>
      </c>
      <c r="C23" s="6">
        <v>0.31</v>
      </c>
      <c r="D23" s="6">
        <v>0.305</v>
      </c>
      <c r="E23" s="6">
        <v>0.3</v>
      </c>
      <c r="F23" s="6">
        <v>0.295</v>
      </c>
      <c r="G23" s="6">
        <v>0.29</v>
      </c>
      <c r="H23" s="6">
        <v>0.287</v>
      </c>
      <c r="I23" s="6">
        <v>0.285</v>
      </c>
      <c r="J23" s="6">
        <v>0.283</v>
      </c>
      <c r="K23" s="6">
        <v>0.282</v>
      </c>
    </row>
    <row r="24" spans="1:11">
      <c r="A24" t="s">
        <v>32</v>
      </c>
      <c r="B24" s="6">
        <v>0.09</v>
      </c>
      <c r="C24" s="6">
        <v>0.09</v>
      </c>
      <c r="D24" s="6">
        <v>0.09</v>
      </c>
      <c r="E24" s="6">
        <v>0.09</v>
      </c>
      <c r="F24" s="6">
        <v>0.09</v>
      </c>
      <c r="G24" s="6">
        <v>0.09</v>
      </c>
      <c r="H24" s="6">
        <v>0.09</v>
      </c>
      <c r="I24" s="6">
        <v>0.09</v>
      </c>
      <c r="J24" s="6">
        <v>0.09</v>
      </c>
      <c r="K24" s="6">
        <v>0.09</v>
      </c>
    </row>
    <row r="25" spans="1:11">
      <c r="A25" t="s">
        <v>33</v>
      </c>
      <c r="B25" s="6">
        <v>0.28</v>
      </c>
      <c r="C25" s="6">
        <v>0.28</v>
      </c>
      <c r="D25" s="6">
        <v>0.28</v>
      </c>
      <c r="E25" s="6">
        <v>0.28</v>
      </c>
      <c r="F25" s="6">
        <v>0.28</v>
      </c>
      <c r="G25" s="6">
        <v>0.28</v>
      </c>
      <c r="H25" s="6">
        <v>0.28</v>
      </c>
      <c r="I25" s="6">
        <v>0.28</v>
      </c>
      <c r="J25" s="6">
        <v>0.28</v>
      </c>
      <c r="K25" s="6">
        <v>0.28</v>
      </c>
    </row>
    <row r="26" spans="1:11">
      <c r="A26" t="s">
        <v>34</v>
      </c>
      <c r="B26" s="6">
        <v>0.05</v>
      </c>
    </row>
    <row r="29" spans="1:11">
      <c r="A29" s="3" t="s">
        <v>35</v>
      </c>
    </row>
    <row r="30" spans="1:11">
      <c r="B30" s="7" t="s">
        <v>19</v>
      </c>
      <c r="C30" s="7" t="s">
        <v>20</v>
      </c>
      <c r="D30" s="7" t="s">
        <v>21</v>
      </c>
      <c r="E30" s="7" t="s">
        <v>22</v>
      </c>
      <c r="F30" s="7" t="s">
        <v>23</v>
      </c>
      <c r="G30" s="7" t="s">
        <v>24</v>
      </c>
      <c r="H30" s="7" t="s">
        <v>25</v>
      </c>
      <c r="I30" s="7" t="s">
        <v>26</v>
      </c>
      <c r="J30" s="7" t="s">
        <v>27</v>
      </c>
      <c r="K30" s="7" t="s">
        <v>28</v>
      </c>
    </row>
    <row r="31" spans="1:11">
      <c r="A31" t="s">
        <v>36</v>
      </c>
      <c r="B31" s="5">
        <f>140.511*(1+B20)</f>
        <v>0</v>
      </c>
      <c r="C31" s="5">
        <f>B31*(1+C20)</f>
        <v>0</v>
      </c>
      <c r="D31" s="5">
        <f>C31*(1+D20)</f>
        <v>0</v>
      </c>
      <c r="E31" s="5">
        <f>D31*(1+E20)</f>
        <v>0</v>
      </c>
      <c r="F31" s="5">
        <f>E31*(1+F20)</f>
        <v>0</v>
      </c>
      <c r="G31" s="5">
        <f>F31*(1+G20)</f>
        <v>0</v>
      </c>
      <c r="H31" s="5">
        <f>G31*(1+H20)</f>
        <v>0</v>
      </c>
      <c r="I31" s="5">
        <f>H31*(1+I20)</f>
        <v>0</v>
      </c>
      <c r="J31" s="5">
        <f>I31*(1+J20)</f>
        <v>0</v>
      </c>
      <c r="K31" s="5">
        <f>J31*(1+K20)</f>
        <v>0</v>
      </c>
    </row>
    <row r="32" spans="1:11">
      <c r="A32" t="s">
        <v>37</v>
      </c>
      <c r="B32" s="5">
        <f>B31*B21</f>
        <v>0</v>
      </c>
      <c r="C32" s="5">
        <f>C31*C21</f>
        <v>0</v>
      </c>
      <c r="D32" s="5">
        <f>D31*D21</f>
        <v>0</v>
      </c>
      <c r="E32" s="5">
        <f>E31*E21</f>
        <v>0</v>
      </c>
      <c r="F32" s="5">
        <f>F31*F21</f>
        <v>0</v>
      </c>
      <c r="G32" s="5">
        <f>G31*G21</f>
        <v>0</v>
      </c>
      <c r="H32" s="5">
        <f>H31*H21</f>
        <v>0</v>
      </c>
      <c r="I32" s="5">
        <f>I31*I21</f>
        <v>0</v>
      </c>
      <c r="J32" s="5">
        <f>J31*J21</f>
        <v>0</v>
      </c>
      <c r="K32" s="5">
        <f>K31*K21</f>
        <v>0</v>
      </c>
    </row>
    <row r="33" spans="1:11">
      <c r="A33" t="s">
        <v>38</v>
      </c>
      <c r="B33" s="5">
        <f>B31*B22</f>
        <v>0</v>
      </c>
      <c r="C33" s="5">
        <f>C31*C22</f>
        <v>0</v>
      </c>
      <c r="D33" s="5">
        <f>D31*D22</f>
        <v>0</v>
      </c>
      <c r="E33" s="5">
        <f>E31*E22</f>
        <v>0</v>
      </c>
      <c r="F33" s="5">
        <f>F31*F22</f>
        <v>0</v>
      </c>
      <c r="G33" s="5">
        <f>G31*G22</f>
        <v>0</v>
      </c>
      <c r="H33" s="5">
        <f>H31*H22</f>
        <v>0</v>
      </c>
      <c r="I33" s="5">
        <f>I31*I22</f>
        <v>0</v>
      </c>
      <c r="J33" s="5">
        <f>J31*J22</f>
        <v>0</v>
      </c>
      <c r="K33" s="5">
        <f>K31*K22</f>
        <v>0</v>
      </c>
    </row>
    <row r="34" spans="1:11">
      <c r="A34" t="s">
        <v>39</v>
      </c>
      <c r="B34" s="5">
        <f>B31*B23</f>
        <v>0</v>
      </c>
      <c r="C34" s="5">
        <f>C31*C23</f>
        <v>0</v>
      </c>
      <c r="D34" s="5">
        <f>D31*D23</f>
        <v>0</v>
      </c>
      <c r="E34" s="5">
        <f>E31*E23</f>
        <v>0</v>
      </c>
      <c r="F34" s="5">
        <f>F31*F23</f>
        <v>0</v>
      </c>
      <c r="G34" s="5">
        <f>G31*G23</f>
        <v>0</v>
      </c>
      <c r="H34" s="5">
        <f>H31*H23</f>
        <v>0</v>
      </c>
      <c r="I34" s="5">
        <f>I31*I23</f>
        <v>0</v>
      </c>
      <c r="J34" s="5">
        <f>J31*J23</f>
        <v>0</v>
      </c>
      <c r="K34" s="5">
        <f>K31*K23</f>
        <v>0</v>
      </c>
    </row>
    <row r="35" spans="1:11">
      <c r="A35" t="s">
        <v>40</v>
      </c>
      <c r="B35" s="5">
        <f>B32-B33</f>
        <v>0</v>
      </c>
      <c r="C35" s="5">
        <f>C32-C33</f>
        <v>0</v>
      </c>
      <c r="D35" s="5">
        <f>D32-D33</f>
        <v>0</v>
      </c>
      <c r="E35" s="5">
        <f>E32-E33</f>
        <v>0</v>
      </c>
      <c r="F35" s="5">
        <f>F32-F33</f>
        <v>0</v>
      </c>
      <c r="G35" s="5">
        <f>G32-G33</f>
        <v>0</v>
      </c>
      <c r="H35" s="5">
        <f>H32-H33</f>
        <v>0</v>
      </c>
      <c r="I35" s="5">
        <f>I32-I33</f>
        <v>0</v>
      </c>
      <c r="J35" s="5">
        <f>J32-J33</f>
        <v>0</v>
      </c>
      <c r="K35" s="5">
        <f>K32-K33</f>
        <v>0</v>
      </c>
    </row>
    <row r="36" spans="1:11">
      <c r="A36" t="s">
        <v>41</v>
      </c>
      <c r="B36" s="5">
        <f>B35-B34</f>
        <v>0</v>
      </c>
      <c r="C36" s="5">
        <f>C35-C34</f>
        <v>0</v>
      </c>
      <c r="D36" s="5">
        <f>D35-D34</f>
        <v>0</v>
      </c>
      <c r="E36" s="5">
        <f>E35-E34</f>
        <v>0</v>
      </c>
      <c r="F36" s="5">
        <f>F35-F34</f>
        <v>0</v>
      </c>
      <c r="G36" s="5">
        <f>G35-G34</f>
        <v>0</v>
      </c>
      <c r="H36" s="5">
        <f>H35-H34</f>
        <v>0</v>
      </c>
      <c r="I36" s="5">
        <f>I35-I34</f>
        <v>0</v>
      </c>
      <c r="J36" s="5">
        <f>J35-J34</f>
        <v>0</v>
      </c>
      <c r="K36" s="5">
        <f>K35-K34</f>
        <v>0</v>
      </c>
    </row>
    <row r="37" spans="1:11">
      <c r="A37" t="s">
        <v>42</v>
      </c>
      <c r="B37" s="5">
        <f>(B36)*(1-B25)</f>
        <v>0</v>
      </c>
      <c r="C37" s="5">
        <f>(C36)*(1-C25)</f>
        <v>0</v>
      </c>
      <c r="D37" s="5">
        <f>(D36)*(1-D25)</f>
        <v>0</v>
      </c>
      <c r="E37" s="5">
        <f>(E36)*(1-E25)</f>
        <v>0</v>
      </c>
      <c r="F37" s="5">
        <f>(F36)*(1-F25)</f>
        <v>0</v>
      </c>
      <c r="G37" s="5">
        <f>(G36)*(1-G25)</f>
        <v>0</v>
      </c>
      <c r="H37" s="5">
        <f>(H36)*(1-H25)</f>
        <v>0</v>
      </c>
      <c r="I37" s="5">
        <f>(I36)*(1-I25)</f>
        <v>0</v>
      </c>
      <c r="J37" s="5">
        <f>(J36)*(1-J25)</f>
        <v>0</v>
      </c>
      <c r="K37" s="5">
        <f>(K36)*(1-K25)</f>
        <v>0</v>
      </c>
    </row>
    <row r="38" spans="1:11">
      <c r="A38" t="s">
        <v>43</v>
      </c>
      <c r="B38" s="5">
        <f>B31*B24</f>
        <v>0</v>
      </c>
      <c r="C38" s="5">
        <f>C31*C24</f>
        <v>0</v>
      </c>
      <c r="D38" s="5">
        <f>D31*D24</f>
        <v>0</v>
      </c>
      <c r="E38" s="5">
        <f>E31*E24</f>
        <v>0</v>
      </c>
      <c r="F38" s="5">
        <f>F31*F24</f>
        <v>0</v>
      </c>
      <c r="G38" s="5">
        <f>G31*G24</f>
        <v>0</v>
      </c>
      <c r="H38" s="5">
        <f>H31*H24</f>
        <v>0</v>
      </c>
      <c r="I38" s="5">
        <f>I31*I24</f>
        <v>0</v>
      </c>
      <c r="J38" s="5">
        <f>J31*J24</f>
        <v>0</v>
      </c>
      <c r="K38" s="5">
        <f>K31*K24</f>
        <v>0</v>
      </c>
    </row>
    <row r="39" spans="1:11">
      <c r="A39" t="s">
        <v>44</v>
      </c>
      <c r="B39" s="5">
        <f>$B$26*(B31-140.511)</f>
        <v>0</v>
      </c>
      <c r="C39" s="5">
        <f>$B$26*(C31-B31)</f>
        <v>0</v>
      </c>
      <c r="D39" s="5">
        <f>$B$26*(D31-C31)</f>
        <v>0</v>
      </c>
      <c r="E39" s="5">
        <f>$B$26*(E31-D31)</f>
        <v>0</v>
      </c>
      <c r="F39" s="5">
        <f>$B$26*(F31-E31)</f>
        <v>0</v>
      </c>
      <c r="G39" s="5">
        <f>$B$26*(G31-F31)</f>
        <v>0</v>
      </c>
      <c r="H39" s="5">
        <f>$B$26*(H31-G31)</f>
        <v>0</v>
      </c>
      <c r="I39" s="5">
        <f>$B$26*(I31-H31)</f>
        <v>0</v>
      </c>
      <c r="J39" s="5">
        <f>$B$26*(J31-I31)</f>
        <v>0</v>
      </c>
      <c r="K39" s="5">
        <f>$B$26*(K31-J31)</f>
        <v>0</v>
      </c>
    </row>
    <row r="40" spans="1:11">
      <c r="A40" t="s">
        <v>45</v>
      </c>
      <c r="B40" s="5">
        <f>B37+B34-B38-B39</f>
        <v>0</v>
      </c>
      <c r="C40" s="5">
        <f>C37+C34-C38-C39</f>
        <v>0</v>
      </c>
      <c r="D40" s="5">
        <f>D37+D34-D38-D39</f>
        <v>0</v>
      </c>
      <c r="E40" s="5">
        <f>E37+E34-E38-E39</f>
        <v>0</v>
      </c>
      <c r="F40" s="5">
        <f>F37+F34-F38-F39</f>
        <v>0</v>
      </c>
      <c r="G40" s="5">
        <f>G37+G34-G38-G39</f>
        <v>0</v>
      </c>
      <c r="H40" s="5">
        <f>H37+H34-H38-H39</f>
        <v>0</v>
      </c>
      <c r="I40" s="5">
        <f>I37+I34-I38-I39</f>
        <v>0</v>
      </c>
      <c r="J40" s="5">
        <f>J37+J34-J38-J39</f>
        <v>0</v>
      </c>
      <c r="K40" s="5">
        <f>K37+K34-K38-K39</f>
        <v>0</v>
      </c>
    </row>
    <row r="41" spans="1:11">
      <c r="A41" t="s">
        <v>46</v>
      </c>
      <c r="B41" s="5">
        <f>1/(1+$B$15)^1</f>
        <v>0</v>
      </c>
      <c r="C41" s="5">
        <f>1/(1+$B$15)^2</f>
        <v>0</v>
      </c>
      <c r="D41" s="5">
        <f>1/(1+$B$15)^3</f>
        <v>0</v>
      </c>
      <c r="E41" s="5">
        <f>1/(1+$B$15)^4</f>
        <v>0</v>
      </c>
      <c r="F41" s="5">
        <f>1/(1+$B$15)^5</f>
        <v>0</v>
      </c>
      <c r="G41" s="5">
        <f>1/(1+$B$15)^6</f>
        <v>0</v>
      </c>
      <c r="H41" s="5">
        <f>1/(1+$B$15)^7</f>
        <v>0</v>
      </c>
      <c r="I41" s="5">
        <f>1/(1+$B$15)^8</f>
        <v>0</v>
      </c>
      <c r="J41" s="5">
        <f>1/(1+$B$15)^9</f>
        <v>0</v>
      </c>
      <c r="K41" s="5">
        <f>1/(1+$B$15)^10</f>
        <v>0</v>
      </c>
    </row>
    <row r="42" spans="1:11">
      <c r="A42" t="s">
        <v>47</v>
      </c>
      <c r="B42" s="5">
        <f>B40*B41</f>
        <v>0</v>
      </c>
      <c r="C42" s="5">
        <f>C40*C41</f>
        <v>0</v>
      </c>
      <c r="D42" s="5">
        <f>D40*D41</f>
        <v>0</v>
      </c>
      <c r="E42" s="5">
        <f>E40*E41</f>
        <v>0</v>
      </c>
      <c r="F42" s="5">
        <f>F40*F41</f>
        <v>0</v>
      </c>
      <c r="G42" s="5">
        <f>G40*G41</f>
        <v>0</v>
      </c>
      <c r="H42" s="5">
        <f>H40*H41</f>
        <v>0</v>
      </c>
      <c r="I42" s="5">
        <f>I40*I41</f>
        <v>0</v>
      </c>
      <c r="J42" s="5">
        <f>J40*J41</f>
        <v>0</v>
      </c>
      <c r="K42" s="5">
        <f>K40*K41</f>
        <v>0</v>
      </c>
    </row>
    <row r="44" spans="1:11">
      <c r="A44" s="3" t="s">
        <v>48</v>
      </c>
    </row>
    <row r="45" spans="1:11">
      <c r="A45" t="s">
        <v>49</v>
      </c>
      <c r="B45" s="5">
        <f>SUM(B42:K42)</f>
        <v>0</v>
      </c>
    </row>
    <row r="46" spans="1:11">
      <c r="A46" t="s">
        <v>50</v>
      </c>
      <c r="B46" s="5">
        <f>K40*(1+$B$16)</f>
        <v>0</v>
      </c>
    </row>
    <row r="47" spans="1:11">
      <c r="A47" t="s">
        <v>51</v>
      </c>
      <c r="B47" s="5">
        <f>B46/($B$15-$B$16)</f>
        <v>0</v>
      </c>
    </row>
    <row r="48" spans="1:11">
      <c r="A48" t="s">
        <v>52</v>
      </c>
      <c r="B48" s="5">
        <f>$B$17*K40</f>
        <v>0</v>
      </c>
    </row>
    <row r="49" spans="1:2">
      <c r="A49" t="s">
        <v>53</v>
      </c>
      <c r="B49" s="5">
        <f>MIN(B47,B48)</f>
        <v>0</v>
      </c>
    </row>
    <row r="50" spans="1:2">
      <c r="A50" t="s">
        <v>54</v>
      </c>
      <c r="B50" s="5">
        <f>B49*K41</f>
        <v>0</v>
      </c>
    </row>
    <row r="51" spans="1:2">
      <c r="A51" t="s">
        <v>55</v>
      </c>
      <c r="B51" s="5">
        <f>B45+B50</f>
        <v>0</v>
      </c>
    </row>
    <row r="52" spans="1:2">
      <c r="A52" t="s">
        <v>56</v>
      </c>
      <c r="B52" s="5">
        <f>B9</f>
        <v>0</v>
      </c>
    </row>
    <row r="53" spans="1:2">
      <c r="A53" t="s">
        <v>57</v>
      </c>
      <c r="B53" s="5">
        <f>B51-B52</f>
        <v>0</v>
      </c>
    </row>
    <row r="54" spans="1:2">
      <c r="A54" s="8" t="s">
        <v>58</v>
      </c>
      <c r="B54" s="9">
        <f>B53/B6</f>
        <v>0</v>
      </c>
    </row>
    <row r="56" spans="1:2">
      <c r="A56" s="3" t="s">
        <v>59</v>
      </c>
    </row>
    <row r="57" spans="1:2">
      <c r="A57" t="s">
        <v>60</v>
      </c>
      <c r="B57" s="5">
        <f>NPV(0.15,B40:K40)</f>
        <v>0</v>
      </c>
    </row>
    <row r="58" spans="1:2">
      <c r="A58" t="s">
        <v>61</v>
      </c>
      <c r="B58" s="5">
        <f>B47/(1.15^10)</f>
        <v>0</v>
      </c>
    </row>
    <row r="59" spans="1:2">
      <c r="A59" t="s">
        <v>56</v>
      </c>
      <c r="B59" s="5">
        <f>B9</f>
        <v>0</v>
      </c>
    </row>
    <row r="60" spans="1:2">
      <c r="A60" t="s">
        <v>62</v>
      </c>
      <c r="B60" s="9">
        <f>(B57+B58-B59)/B6</f>
        <v>0</v>
      </c>
    </row>
    <row r="62" spans="1:2">
      <c r="A62" t="s">
        <v>63</v>
      </c>
      <c r="B62" s="10">
        <f>(B54-B5)/B5</f>
        <v>0</v>
      </c>
    </row>
    <row r="63" spans="1:2">
      <c r="A63" t="s">
        <v>64</v>
      </c>
      <c r="B63" s="10">
        <f>(B5-B60)/B5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cols>
    <col min="1" max="1" width="18.7109375" customWidth="1"/>
    <col min="2" max="7" width="12.7109375" customWidth="1"/>
  </cols>
  <sheetData>
    <row r="1" spans="1:6">
      <c r="A1" s="1" t="s">
        <v>65</v>
      </c>
    </row>
    <row r="2" spans="1:6">
      <c r="A2" t="s">
        <v>66</v>
      </c>
    </row>
    <row r="4" spans="1:6">
      <c r="A4" s="7" t="s">
        <v>67</v>
      </c>
      <c r="B4" s="11">
        <v>0.01</v>
      </c>
      <c r="C4" s="11">
        <v>0.015</v>
      </c>
      <c r="D4" s="11">
        <v>0.02</v>
      </c>
      <c r="E4" s="11">
        <v>0.025</v>
      </c>
      <c r="F4" s="11">
        <v>0.03</v>
      </c>
    </row>
    <row r="5" spans="1:6">
      <c r="A5" s="11">
        <v>0.07000000000000001</v>
      </c>
      <c r="B5" s="12">
        <v>2.66</v>
      </c>
      <c r="C5" s="12">
        <v>2.66</v>
      </c>
      <c r="D5" s="12">
        <v>2.66</v>
      </c>
      <c r="E5" s="12">
        <v>2.66</v>
      </c>
      <c r="F5" s="12">
        <v>2.66</v>
      </c>
    </row>
    <row r="6" spans="1:6">
      <c r="A6" s="11">
        <v>0.08</v>
      </c>
      <c r="B6" s="12">
        <v>2.23</v>
      </c>
      <c r="C6" s="12">
        <v>2.37</v>
      </c>
      <c r="D6" s="12">
        <v>2.41</v>
      </c>
      <c r="E6" s="12">
        <v>2.41</v>
      </c>
      <c r="F6" s="12">
        <v>2.41</v>
      </c>
    </row>
    <row r="7" spans="1:6">
      <c r="A7" s="11">
        <v>0.09</v>
      </c>
      <c r="B7" s="12">
        <v>1.84</v>
      </c>
      <c r="C7" s="12">
        <v>1.93</v>
      </c>
      <c r="D7" s="12">
        <v>2.04</v>
      </c>
      <c r="E7" s="12">
        <v>2.16</v>
      </c>
      <c r="F7" s="12">
        <v>2.19</v>
      </c>
    </row>
    <row r="8" spans="1:6">
      <c r="A8" s="11">
        <v>0.1</v>
      </c>
      <c r="B8" s="12">
        <v>1.53</v>
      </c>
      <c r="C8" s="12">
        <v>1.6</v>
      </c>
      <c r="D8" s="12">
        <v>1.68</v>
      </c>
      <c r="E8" s="12">
        <v>1.76</v>
      </c>
      <c r="F8" s="12">
        <v>1.86</v>
      </c>
    </row>
    <row r="9" spans="1:6">
      <c r="A9" s="11">
        <v>0.11</v>
      </c>
      <c r="B9" s="12">
        <v>1.29</v>
      </c>
      <c r="C9" s="12">
        <v>1.34</v>
      </c>
      <c r="D9" s="12">
        <v>1.39</v>
      </c>
      <c r="E9" s="12">
        <v>1.46</v>
      </c>
      <c r="F9" s="12">
        <v>1.53</v>
      </c>
    </row>
    <row r="11" spans="1:6">
      <c r="A11" s="8" t="s">
        <v>68</v>
      </c>
    </row>
    <row r="12" spans="1:6" ht="60" customHeight="1">
      <c r="A12" s="13" t="s">
        <v>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4"/>
  <sheetViews>
    <sheetView workbookViewId="0"/>
  </sheetViews>
  <sheetFormatPr defaultRowHeight="15"/>
  <cols>
    <col min="1" max="1" width="40.7109375" customWidth="1"/>
    <col min="2" max="4" width="14.7109375" customWidth="1"/>
  </cols>
  <sheetData>
    <row r="1" spans="1:4">
      <c r="A1" s="1" t="s">
        <v>70</v>
      </c>
    </row>
    <row r="2" spans="1:4">
      <c r="A2" s="2" t="s">
        <v>71</v>
      </c>
    </row>
    <row r="4" spans="1:4">
      <c r="A4" s="7"/>
      <c r="B4" s="7" t="s">
        <v>72</v>
      </c>
      <c r="C4" s="7" t="s">
        <v>73</v>
      </c>
      <c r="D4" s="7" t="s">
        <v>74</v>
      </c>
    </row>
    <row r="5" spans="1:4">
      <c r="A5" t="s">
        <v>36</v>
      </c>
      <c r="B5" s="5">
        <v>137.569</v>
      </c>
      <c r="C5" s="5">
        <v>140.005</v>
      </c>
      <c r="D5" s="5">
        <v>140.511</v>
      </c>
    </row>
    <row r="6" spans="1:4">
      <c r="A6" t="s">
        <v>75</v>
      </c>
      <c r="B6" s="5">
        <v>87.16</v>
      </c>
      <c r="C6" s="5">
        <v>95.08499999999999</v>
      </c>
      <c r="D6" s="5">
        <v>93.366</v>
      </c>
    </row>
    <row r="7" spans="1:4">
      <c r="A7" t="s">
        <v>76</v>
      </c>
      <c r="B7" s="5">
        <v>36.715</v>
      </c>
      <c r="C7" s="5">
        <v>64.88800000000001</v>
      </c>
      <c r="D7" s="5">
        <v>74.35299999999999</v>
      </c>
    </row>
    <row r="8" spans="1:4">
      <c r="A8" t="s">
        <v>77</v>
      </c>
      <c r="B8" s="5">
        <v>63.06</v>
      </c>
      <c r="C8" s="5">
        <v>52.616</v>
      </c>
      <c r="D8" s="5">
        <v>50.118</v>
      </c>
    </row>
    <row r="9" spans="1:4">
      <c r="A9" t="s">
        <v>78</v>
      </c>
      <c r="B9" s="5">
        <v>-26.345</v>
      </c>
      <c r="C9" s="5">
        <v>12.272</v>
      </c>
      <c r="D9" s="5">
        <v>24.235</v>
      </c>
    </row>
    <row r="10" spans="1:4">
      <c r="A10" t="s">
        <v>79</v>
      </c>
      <c r="B10" s="5" t="s">
        <v>80</v>
      </c>
      <c r="C10" s="5" t="s">
        <v>80</v>
      </c>
      <c r="D10" s="5">
        <v>12</v>
      </c>
    </row>
    <row r="11" spans="1:4">
      <c r="A11" t="s">
        <v>81</v>
      </c>
      <c r="B11" s="5" t="s">
        <v>80</v>
      </c>
      <c r="C11" s="5">
        <v>63.4</v>
      </c>
      <c r="D11" s="5">
        <v>66.90000000000001</v>
      </c>
    </row>
    <row r="12" spans="1:4">
      <c r="A12" t="s">
        <v>82</v>
      </c>
      <c r="B12" s="5">
        <v>0.309</v>
      </c>
      <c r="C12" s="5">
        <v>0.129</v>
      </c>
      <c r="D12" s="5">
        <v>0.272</v>
      </c>
    </row>
    <row r="13" spans="1:4">
      <c r="A13" t="s">
        <v>83</v>
      </c>
      <c r="B13" s="5" t="s">
        <v>80</v>
      </c>
      <c r="C13" s="5" t="s">
        <v>80</v>
      </c>
      <c r="D13" s="5">
        <v>67.59999999999999</v>
      </c>
    </row>
    <row r="14" spans="1:4">
      <c r="A14" t="s">
        <v>84</v>
      </c>
      <c r="B14" s="5" t="s">
        <v>80</v>
      </c>
      <c r="C14" s="5" t="s">
        <v>80</v>
      </c>
      <c r="D14" s="5">
        <v>48.1</v>
      </c>
    </row>
    <row r="15" spans="1:4">
      <c r="A15" t="s">
        <v>85</v>
      </c>
      <c r="B15" s="5">
        <v>-19.2</v>
      </c>
      <c r="C15" s="5">
        <v>8.800000000000001</v>
      </c>
      <c r="D15" s="5">
        <v>17.2</v>
      </c>
    </row>
    <row r="17" spans="1:1">
      <c r="A17" s="8" t="s">
        <v>86</v>
      </c>
    </row>
    <row r="18" spans="1:1">
      <c r="A18" t="s">
        <v>87</v>
      </c>
    </row>
    <row r="19" spans="1:1">
      <c r="A19" t="s">
        <v>88</v>
      </c>
    </row>
    <row r="20" spans="1:1">
      <c r="A20" t="s">
        <v>89</v>
      </c>
    </row>
    <row r="21" spans="1:1">
      <c r="A21" t="s">
        <v>90</v>
      </c>
    </row>
    <row r="22" spans="1:1">
      <c r="A22" t="s">
        <v>91</v>
      </c>
    </row>
    <row r="23" spans="1:1">
      <c r="A23" t="s">
        <v>92</v>
      </c>
    </row>
    <row r="24" spans="1:1">
      <c r="A24" t="s">
        <v>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cols>
    <col min="1" max="1" width="30.7109375" customWidth="1"/>
    <col min="2" max="3" width="16.7109375" customWidth="1"/>
  </cols>
  <sheetData>
    <row r="1" spans="1:2">
      <c r="A1" s="1" t="s">
        <v>94</v>
      </c>
    </row>
    <row r="2" spans="1:2">
      <c r="A2" s="14" t="s">
        <v>95</v>
      </c>
    </row>
    <row r="3" spans="1:2" ht="30" customHeight="1">
      <c r="A3" s="13" t="s">
        <v>96</v>
      </c>
    </row>
    <row r="4" spans="1:2" ht="30" customHeight="1">
      <c r="A4" s="13" t="s">
        <v>97</v>
      </c>
    </row>
    <row r="6" spans="1:2">
      <c r="A6" s="7" t="s">
        <v>98</v>
      </c>
      <c r="B6" s="7" t="s">
        <v>99</v>
      </c>
    </row>
    <row r="7" spans="1:2">
      <c r="A7" t="s">
        <v>36</v>
      </c>
      <c r="B7" s="10">
        <v>0.0106</v>
      </c>
    </row>
    <row r="8" spans="1:2">
      <c r="A8" t="s">
        <v>75</v>
      </c>
      <c r="B8" s="10">
        <v>0.035</v>
      </c>
    </row>
    <row r="9" spans="1:2">
      <c r="A9" t="s">
        <v>100</v>
      </c>
      <c r="B9" s="10">
        <v>0.2497</v>
      </c>
    </row>
    <row r="10" spans="1:2">
      <c r="A10" s="8" t="s">
        <v>101</v>
      </c>
      <c r="B10" s="10">
        <v>0.045</v>
      </c>
    </row>
    <row r="11" spans="1:2">
      <c r="A11" t="s">
        <v>102</v>
      </c>
      <c r="B11" t="s">
        <v>103</v>
      </c>
    </row>
    <row r="13" spans="1:2">
      <c r="A13" s="8" t="s">
        <v>104</v>
      </c>
    </row>
    <row r="14" spans="1:2" ht="220" customHeight="1">
      <c r="A14" s="13" t="s">
        <v>105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cols>
    <col min="1" max="1" width="30.7109375" customWidth="1"/>
    <col min="2" max="2" width="90.7109375" customWidth="1"/>
  </cols>
  <sheetData>
    <row r="1" spans="1:2">
      <c r="A1" s="1" t="s">
        <v>106</v>
      </c>
    </row>
    <row r="4" spans="1:2" ht="25" customHeight="1">
      <c r="A4" s="8" t="s">
        <v>107</v>
      </c>
      <c r="B4" s="13" t="s">
        <v>108</v>
      </c>
    </row>
    <row r="5" spans="1:2" ht="20" customHeight="1">
      <c r="A5" s="8" t="s">
        <v>109</v>
      </c>
      <c r="B5" s="13" t="s">
        <v>110</v>
      </c>
    </row>
    <row r="6" spans="1:2" ht="36" customHeight="1">
      <c r="A6" s="8" t="s">
        <v>111</v>
      </c>
      <c r="B6" s="13" t="s">
        <v>112</v>
      </c>
    </row>
    <row r="7" spans="1:2" ht="63" customHeight="1">
      <c r="A7" s="8" t="s">
        <v>113</v>
      </c>
      <c r="B7" s="13" t="s">
        <v>114</v>
      </c>
    </row>
    <row r="8" spans="1:2" ht="160" customHeight="1">
      <c r="A8" s="8" t="s">
        <v>115</v>
      </c>
      <c r="B8" s="13" t="s">
        <v>116</v>
      </c>
    </row>
    <row r="9" spans="1:2" ht="160" customHeight="1">
      <c r="A9" s="8" t="s">
        <v>117</v>
      </c>
      <c r="B9" s="13" t="s">
        <v>118</v>
      </c>
    </row>
    <row r="10" spans="1:2" ht="105" customHeight="1">
      <c r="A10" s="8" t="s">
        <v>119</v>
      </c>
      <c r="B10" s="13" t="s">
        <v>120</v>
      </c>
    </row>
    <row r="11" spans="1:2" ht="160" customHeight="1">
      <c r="A11" s="8" t="s">
        <v>121</v>
      </c>
      <c r="B11" s="13" t="s">
        <v>122</v>
      </c>
    </row>
    <row r="12" spans="1:2" ht="76" customHeight="1">
      <c r="A12" s="8" t="s">
        <v>123</v>
      </c>
      <c r="B12" s="13" t="s">
        <v>124</v>
      </c>
    </row>
    <row r="13" spans="1:2" ht="105" customHeight="1">
      <c r="A13" s="8" t="s">
        <v>125</v>
      </c>
      <c r="B13" s="13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DCF Model</vt:lpstr>
      <vt:lpstr>Sensitivity</vt:lpstr>
      <vt:lpstr>FCF Quality</vt:lpstr>
      <vt:lpstr>Historical</vt:lpstr>
      <vt:lpstr>Model_Info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2026-08-09T15:32:13Z</dcterms:created>
  <dcterms:modified xsi:type="dcterms:W3CDTF">2026-08-09T15:32:13Z</dcterms:modified>
</cp:coreProperties>
</file>