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CF Model" sheetId="1" r:id="rId1"/>
    <sheet name="Sensitivity" sheetId="2" r:id="rId2"/>
    <sheet name="Historical" sheetId="3" r:id="rId3"/>
    <sheet name="FCF Quality" sheetId="4" r:id="rId4"/>
    <sheet name="Model_Info" sheetId="5" r:id="rId5"/>
  </sheets>
  <calcPr calcId="124519" fullCalcOnLoad="1"/>
</workbook>
</file>

<file path=xl/sharedStrings.xml><?xml version="1.0" encoding="utf-8"?>
<sst xmlns="http://schemas.openxmlformats.org/spreadsheetml/2006/main" count="153" uniqueCount="137">
  <si>
    <t>MCY.NZ (Mercury NZ Limited) DCF Valuation Model</t>
  </si>
  <si>
    <t>Gray cells are INPUTS - adjust to see valuation change. 10-year horizon (growth-capex supercycle; margins not mature at Y5).</t>
  </si>
  <si>
    <t>KEY INPUTS</t>
  </si>
  <si>
    <t>Current Stock Price (NZ$)</t>
  </si>
  <si>
    <t>Shares Outstanding (M)</t>
  </si>
  <si>
    <t>Cash &amp; Equivalents (M)</t>
  </si>
  <si>
    <t>Total Debt (M)</t>
  </si>
  <si>
    <t>Net Debt (M) [company-reported]</t>
  </si>
  <si>
    <t>FY2026 EBITDAF Guidance (M)</t>
  </si>
  <si>
    <t>FY2030 EBITDAF Target midpoint (M)</t>
  </si>
  <si>
    <t>SBC (immaterial, % revenue)</t>
  </si>
  <si>
    <t>Annual Share Dilution (DRP)</t>
  </si>
  <si>
    <t>WACC (base)</t>
  </si>
  <si>
    <t>Terminal Growth Rate</t>
  </si>
  <si>
    <t>Terminal EV/EBITDAF Cap Multiple</t>
  </si>
  <si>
    <t>Cash Tax Rate</t>
  </si>
  <si>
    <t>Working Capital Capture (% of rev growth)</t>
  </si>
  <si>
    <t>PROJECTIONS (BASE CASE, 10-YEAR COMPONENT BUILD)</t>
  </si>
  <si>
    <t>FY2026</t>
  </si>
  <si>
    <t>FY2027</t>
  </si>
  <si>
    <t>FY2028</t>
  </si>
  <si>
    <t>FY2029</t>
  </si>
  <si>
    <t>FY2030</t>
  </si>
  <si>
    <t>FY2031</t>
  </si>
  <si>
    <t>FY2032</t>
  </si>
  <si>
    <t>FY2033</t>
  </si>
  <si>
    <t>FY2034</t>
  </si>
  <si>
    <t>FY2035</t>
  </si>
  <si>
    <t>Revenue</t>
  </si>
  <si>
    <t>EBITDAF</t>
  </si>
  <si>
    <t>Less: SBC</t>
  </si>
  <si>
    <t>Less: D&amp;A</t>
  </si>
  <si>
    <t>EBIT</t>
  </si>
  <si>
    <t>NOPAT (EBIT x (1-tax))</t>
  </si>
  <si>
    <t>Stay-in-Business Capex</t>
  </si>
  <si>
    <t>Growth Capex</t>
  </si>
  <si>
    <t>Total Capex</t>
  </si>
  <si>
    <t>Working Capital (change in rev x capture)</t>
  </si>
  <si>
    <t>Owner Free Cash Flow</t>
  </si>
  <si>
    <t>Discount Factor</t>
  </si>
  <si>
    <t>PV of FCF</t>
  </si>
  <si>
    <t>VALUATION</t>
  </si>
  <si>
    <t>Sum of PV of FCF (Yrs 1-10)</t>
  </si>
  <si>
    <t>Terminal FCF (Year 10 x (1+g))</t>
  </si>
  <si>
    <t>Terminal Value - Gordon Growth</t>
  </si>
  <si>
    <t>Terminal Value - EV/EBITDAF Cap</t>
  </si>
  <si>
    <t>Terminal Value Used (MIN of the two)</t>
  </si>
  <si>
    <t>PV of Terminal Value</t>
  </si>
  <si>
    <t>Enterprise Value</t>
  </si>
  <si>
    <t>Less: Net Debt</t>
  </si>
  <si>
    <t>Equity Value</t>
  </si>
  <si>
    <t>INTRINSIC VALUE/SHARE (NZ$)</t>
  </si>
  <si>
    <t>ENTRY PRICE</t>
  </si>
  <si>
    <t>15% IRR Hurdle (unrealistic for this utility)</t>
  </si>
  <si>
    <t>PV of Yrs 1-10 FCF @15%</t>
  </si>
  <si>
    <t>PV of Terminal Value @15%</t>
  </si>
  <si>
    <t>Entry Price (15% IRR)</t>
  </si>
  <si>
    <t>Secondary 9.5% Hurdle (realistic income-stock hurdle)</t>
  </si>
  <si>
    <t>PV of Yrs 1-10 FCF @9.5%</t>
  </si>
  <si>
    <t>PV of Terminal Value @9.5%</t>
  </si>
  <si>
    <t>Entry Price (9.5% IRR)</t>
  </si>
  <si>
    <t>Upside to Intrinsic Value</t>
  </si>
  <si>
    <t>Upside to Entry Price (9.5% hurdle)</t>
  </si>
  <si>
    <t>Sensitivity Analysis (Base Case, 10yr)</t>
  </si>
  <si>
    <t>Intrinsic Value by WACC &amp; Terminal Growth (NZ$/share)</t>
  </si>
  <si>
    <t>WACC \ Term G</t>
  </si>
  <si>
    <t>Note: flat rows at low WACC indicate the EV/EBITDAF exit-multiple cap (13x) is binding, not Gordon growth.</t>
  </si>
  <si>
    <t>Historical Growth &amp; Multiples</t>
  </si>
  <si>
    <t>Metric</t>
  </si>
  <si>
    <t>3-Year CAGR</t>
  </si>
  <si>
    <t>5-Year CAGR</t>
  </si>
  <si>
    <t>EBITDAF (post-acquisition)</t>
  </si>
  <si>
    <t>Equity/Book Value (NOT reliable - see note)</t>
  </si>
  <si>
    <t>DPS (dividend per share)</t>
  </si>
  <si>
    <t>Selected Growth Rate:</t>
  </si>
  <si>
    <t>Source:</t>
  </si>
  <si>
    <t>ebitdaf_5yr_cagr (post-acquisition operating series; NOT equity or EPS)</t>
  </si>
  <si>
    <t>EPS/NetIncome NOT usable:</t>
  </si>
  <si>
    <t>FY23 NI=103, FY24 NI=290, FY25 NI=1, H1-25 NI=-67, H1-22 NI=427 -- dominated by non-cash fair-value swings, not usable for growth CAGR.</t>
  </si>
  <si>
    <t>Historical EV/EBITDAF &amp; P/B (FY-end June closes)</t>
  </si>
  <si>
    <t>FY</t>
  </si>
  <si>
    <t>June Close (NZ$)</t>
  </si>
  <si>
    <t>EV/EBITDAF</t>
  </si>
  <si>
    <t>P/B</t>
  </si>
  <si>
    <t>FY2017</t>
  </si>
  <si>
    <t>FY2018</t>
  </si>
  <si>
    <t>FY2019</t>
  </si>
  <si>
    <t>FY2020</t>
  </si>
  <si>
    <t>FY2021</t>
  </si>
  <si>
    <t>FY2022</t>
  </si>
  <si>
    <t>FY2023</t>
  </si>
  <si>
    <t>FY2024</t>
  </si>
  <si>
    <t>FY2025</t>
  </si>
  <si>
    <t>Mean ex-FY2021 outlier:</t>
  </si>
  <si>
    <t>Recent 3yr avg (FY23-25) - USED AS CAP:</t>
  </si>
  <si>
    <t>FCF Quality Reconciliation</t>
  </si>
  <si>
    <t>Reported FCF is structurally depressed by a growth-capex supercycle -- see notes below.</t>
  </si>
  <si>
    <t>Period</t>
  </si>
  <si>
    <t>H1-2026</t>
  </si>
  <si>
    <t>Reported FCF (company definition)</t>
  </si>
  <si>
    <t>of which: Stay-in-Business Capex</t>
  </si>
  <si>
    <t>of which: Growth Capex</t>
  </si>
  <si>
    <t>Reported FCF margin (%) [FCF/Revenue]</t>
  </si>
  <si>
    <t>Memo: FY2022 growth capex of $1,352m includes the Tilt Renewables acquisition consideration (non-organic, one-off) -- not comparable to the organic build-programme growth capex from FY2023 onward.</t>
  </si>
  <si>
    <t>Memo: FY2025 reported FCF ($16m) and H1-2026 ($60m) reflect PEAK growth capex (OEC5, Kaiwera Downs II, Kaiwaikawe simultaneous builds) -- this is investment creating earning assets, NOT operating distress. The DCF does not extrapolate this trough figure.</t>
  </si>
  <si>
    <t>Memo: SBC is immaterial for this Crown-majority utility (FY2025: $0.638m / $3,498m revenue = 0.018%) -- adjustment applied per template but has negligible effect.</t>
  </si>
  <si>
    <t>Model Provenance &amp; Notes</t>
  </si>
  <si>
    <t>Built by</t>
  </si>
  <si>
    <t>Claude agent (Sonnet 5), DCF valuation workflow, via /research-stock pipeline</t>
  </si>
  <si>
    <t>Build date</t>
  </si>
  <si>
    <t>2026-08-13</t>
  </si>
  <si>
    <t>Share price date/source</t>
  </si>
  <si>
    <t>NZ$6.53 - live Yahoo Finance quote, verified 13-Aug-2026 (traded that day; 52wk range NZ$6.08-7.16)</t>
  </si>
  <si>
    <t>Latest filing used</t>
  </si>
  <si>
    <t>H1 FY2026 interim result (24-Feb-2026): EBITDAF $537m, net debt $2,243m, growth capex ~$208m H1</t>
  </si>
  <si>
    <t>Guidance vintage</t>
  </si>
  <si>
    <t>FY2026 EBITDAF guidance $1.0bn and FY2030 EBITDAF target $1.15-1.25bn, both reiterated at H1 FY2026 (24-Feb-2026), originally issued at FY2025 annual result (19-Aug-2025)</t>
  </si>
  <si>
    <t>FY2026 full-year result</t>
  </si>
  <si>
    <t>NOT YET RELEASED as of valuation date (13-Aug-2026) - expected mid/late August 2026. RE-RUN this model once FY2026 actuals are out to confirm EBITDAF landed near $1.0bn guidance and update the Year-1 anchor.</t>
  </si>
  <si>
    <t>Methodology - horizon</t>
  </si>
  <si>
    <t>10-year explicit component-built owner-FCF DCF (not 5yr) because owner-FCF margin is still maturing from a FY2025 hydrological trough through the 2026-2030 build programme; capitalizing an immature Year-5 margin would understate value.</t>
  </si>
  <si>
    <t>Methodology - EBITDAF not EPS</t>
  </si>
  <si>
    <t>Statutory NetIncome/EPS are dominated by non-cash fair-value derivative and carbon-unit mark-to-market swings (FY2025 NPAT $1m vs FY2024 $290m) - EBITDAF (managements own guided operating metric) drives the model instead.</t>
  </si>
  <si>
    <t>Methodology - capex split</t>
  </si>
  <si>
    <t>Total capex split into Stay-in-Business (maintenance, ~$150m/yr, inflated forward) vs Growth (disclosed by management each period, sourced from MCY.NZ.duckdb kpis table) - only growth capex is tapered down as the build programme completes post-2030. Treating all capex as permanent maintenance would understate value to near zero.</t>
  </si>
  <si>
    <t>Methodology - terminal value</t>
  </si>
  <si>
    <t>Lower of Gordon growth and an EV/EBITDAF exit-multiple cap. The cap multiple (13x base case) was derived from MERCURY OWN 10-year trading history (Yahoo June-close prices vs FY EBITDAF), not a generic sector assumption - the market has consistently paid 13-15x post the Tilt Renewables/Trustpower acquisitions (FY2021s 22.3x treated as an acquisition-euphoria outlier and excluded).</t>
  </si>
  <si>
    <t>Methodology - WACC</t>
  </si>
  <si>
    <t>~7.4% base case build-up (NZ risk-free 4.5% + beta 0.70 x ERP 6.5% = cost of equity 9.05%; after-tax cost of debt 3.96% at 47%/53% D/E; +0.75% regulatory/hydrology premium). Materially LOWER than the 15-19% stacked WACC used for NZX micro-caps elsewhere in this research set - Mercury is a BBB+ rated, Crown-majority utility, a genuinely different risk class.</t>
  </si>
  <si>
    <t>Cross-checks run</t>
  </si>
  <si>
    <t>(1) 2-stage dividend-discount model: ~NZ$4.08/share (gap to DCF = NPV of growth capex reinvestment). (2) Historical EV/EBITDAF and P/B bands. (3) 52-week trading range NZ$6.08-7.16. Base-case IV of NZ$6.95 sits inside/near all three.</t>
  </si>
  <si>
    <t>What to refresh after FY2026 result</t>
  </si>
  <si>
    <t>1) Update FY2025-&gt;FY2026 actuals in Metrics.csv/kpis (EBITDAF, capex split, net debt, DPS). 2) Re-anchor Year-1 EBITDAF to the ACTUAL FY2026 print instead of guidance. 3) Confirm growth-capex run-rate as OEC5 is now commissioned (Jan-2026) - stay-in-business vs growth split may shift. 4) Re-pull Yahoo price and re-run entry price / sensitivity.</t>
  </si>
  <si>
    <t>Colour convention</t>
  </si>
  <si>
    <t>Gray-filled cells (DCF Model sheet, columns B) are INPUTS - safe to edit. White cells are FORMULAS - do not overtype. Green cells are headline OUTPUTS.</t>
  </si>
  <si>
    <t>Staleness warning</t>
  </si>
  <si>
    <t>All figures in this workbook are point-in-time as of the build date above. Electricity spot prices, hydrology conditions, NZ interest rates and the FY2026 result will all move - do not treat this as a permanently valid valuation.</t>
  </si>
</sst>
</file>

<file path=xl/styles.xml><?xml version="1.0" encoding="utf-8"?>
<styleSheet xmlns="http://schemas.openxmlformats.org/spreadsheetml/2006/main">
  <numFmts count="4">
    <numFmt numFmtId="164" formatCode="#,##0.0"/>
    <numFmt numFmtId="165" formatCode="0.00%"/>
    <numFmt numFmtId="166" formatCode="&quot;$&quot;#,##0.00"/>
    <numFmt numFmtId="167" formatCode="0.0%"/>
  </numFmts>
  <fonts count="6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i/>
      <sz val="11"/>
      <color rgb="FF80808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FE6E9"/>
        <bgColor indexed="64"/>
      </patternFill>
    </fill>
    <fill>
      <patternFill patternType="solid">
        <fgColor rgb="FF2D3436"/>
        <bgColor indexed="64"/>
      </patternFill>
    </fill>
    <fill>
      <patternFill patternType="solid">
        <fgColor rgb="FF00B894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1" xfId="0" applyFont="1" applyBorder="1"/>
    <xf numFmtId="164" fontId="0" fillId="2" borderId="2" xfId="0" applyNumberFormat="1" applyFill="1" applyBorder="1"/>
    <xf numFmtId="165" fontId="0" fillId="2" borderId="2" xfId="0" applyNumberFormat="1" applyFill="1" applyBorder="1"/>
    <xf numFmtId="0" fontId="4" fillId="3" borderId="2" xfId="0" applyFont="1" applyFill="1" applyBorder="1"/>
    <xf numFmtId="164" fontId="0" fillId="0" borderId="2" xfId="0" applyNumberFormat="1" applyBorder="1"/>
    <xf numFmtId="0" fontId="5" fillId="0" borderId="0" xfId="0" applyFont="1"/>
    <xf numFmtId="166" fontId="4" fillId="4" borderId="2" xfId="0" applyNumberFormat="1" applyFont="1" applyFill="1" applyBorder="1"/>
    <xf numFmtId="167" fontId="0" fillId="0" borderId="2" xfId="0" applyNumberFormat="1" applyBorder="1"/>
    <xf numFmtId="165" fontId="4" fillId="3" borderId="0" xfId="0" applyNumberFormat="1" applyFont="1" applyFill="1"/>
    <xf numFmtId="166" fontId="0" fillId="0" borderId="2" xfId="0" applyNumberFormat="1" applyBorder="1"/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4"/>
  <sheetViews>
    <sheetView tabSelected="1" workbookViewId="0"/>
  </sheetViews>
  <sheetFormatPr defaultRowHeight="15"/>
  <cols>
    <col min="1" max="1" width="28.7109375" customWidth="1"/>
    <col min="2" max="12" width="12.7109375" customWidth="1"/>
  </cols>
  <sheetData>
    <row r="1" spans="1:2">
      <c r="A1" s="1" t="s">
        <v>0</v>
      </c>
    </row>
    <row r="2" spans="1:2">
      <c r="A2" s="2" t="s">
        <v>1</v>
      </c>
    </row>
    <row r="4" spans="1:2">
      <c r="A4" s="3" t="s">
        <v>2</v>
      </c>
    </row>
    <row r="5" spans="1:2">
      <c r="A5" t="s">
        <v>3</v>
      </c>
      <c r="B5" s="4">
        <v>6.53</v>
      </c>
    </row>
    <row r="6" spans="1:2">
      <c r="A6" t="s">
        <v>4</v>
      </c>
      <c r="B6" s="4">
        <v>1412</v>
      </c>
    </row>
    <row r="7" spans="1:2">
      <c r="A7" t="s">
        <v>5</v>
      </c>
      <c r="B7" s="4">
        <v>73</v>
      </c>
    </row>
    <row r="8" spans="1:2">
      <c r="A8" t="s">
        <v>6</v>
      </c>
      <c r="B8" s="4">
        <v>2345</v>
      </c>
    </row>
    <row r="9" spans="1:2">
      <c r="A9" t="s">
        <v>7</v>
      </c>
      <c r="B9" s="4">
        <v>2243</v>
      </c>
    </row>
    <row r="10" spans="1:2">
      <c r="A10" t="s">
        <v>8</v>
      </c>
      <c r="B10" s="4">
        <v>1000</v>
      </c>
    </row>
    <row r="11" spans="1:2">
      <c r="A11" t="s">
        <v>9</v>
      </c>
      <c r="B11" s="4">
        <v>1200</v>
      </c>
    </row>
    <row r="12" spans="1:2">
      <c r="A12" t="s">
        <v>10</v>
      </c>
      <c r="B12" s="5">
        <v>0.000182</v>
      </c>
    </row>
    <row r="13" spans="1:2">
      <c r="A13" t="s">
        <v>11</v>
      </c>
      <c r="B13" s="5">
        <v>0.0025</v>
      </c>
    </row>
    <row r="15" spans="1:2">
      <c r="A15" t="s">
        <v>12</v>
      </c>
      <c r="B15" s="5">
        <v>0.0741</v>
      </c>
    </row>
    <row r="16" spans="1:2">
      <c r="A16" t="s">
        <v>13</v>
      </c>
      <c r="B16" s="5">
        <v>0.0225</v>
      </c>
    </row>
    <row r="17" spans="1:11">
      <c r="A17" t="s">
        <v>14</v>
      </c>
      <c r="B17" s="4">
        <v>13</v>
      </c>
    </row>
    <row r="18" spans="1:11">
      <c r="A18" t="s">
        <v>15</v>
      </c>
      <c r="B18" s="5">
        <v>0.28</v>
      </c>
    </row>
    <row r="19" spans="1:11">
      <c r="A19" t="s">
        <v>16</v>
      </c>
      <c r="B19" s="5">
        <v>0.08</v>
      </c>
    </row>
    <row r="22" spans="1:11">
      <c r="A22" s="3" t="s">
        <v>17</v>
      </c>
    </row>
    <row r="23" spans="1:11">
      <c r="A23" s="6"/>
      <c r="B23" s="6" t="s">
        <v>18</v>
      </c>
      <c r="C23" s="6" t="s">
        <v>19</v>
      </c>
      <c r="D23" s="6" t="s">
        <v>20</v>
      </c>
      <c r="E23" s="6" t="s">
        <v>21</v>
      </c>
      <c r="F23" s="6" t="s">
        <v>22</v>
      </c>
      <c r="G23" s="6" t="s">
        <v>23</v>
      </c>
      <c r="H23" s="6" t="s">
        <v>24</v>
      </c>
      <c r="I23" s="6" t="s">
        <v>25</v>
      </c>
      <c r="J23" s="6" t="s">
        <v>26</v>
      </c>
      <c r="K23" s="6" t="s">
        <v>27</v>
      </c>
    </row>
    <row r="24" spans="1:11">
      <c r="A24" t="s">
        <v>28</v>
      </c>
      <c r="B24" s="4">
        <v>3655.4</v>
      </c>
      <c r="C24" s="4">
        <v>3808.9</v>
      </c>
      <c r="D24" s="4">
        <v>3953.6</v>
      </c>
      <c r="E24" s="4">
        <v>4092</v>
      </c>
      <c r="F24" s="4">
        <v>4222.9</v>
      </c>
      <c r="G24" s="4">
        <v>4349.6</v>
      </c>
      <c r="H24" s="4">
        <v>4471.4</v>
      </c>
      <c r="I24" s="4">
        <v>4587.7</v>
      </c>
      <c r="J24" s="4">
        <v>4697.8</v>
      </c>
      <c r="K24" s="4">
        <v>4803.5</v>
      </c>
    </row>
    <row r="25" spans="1:11">
      <c r="A25" t="s">
        <v>29</v>
      </c>
      <c r="B25" s="4">
        <v>1000</v>
      </c>
      <c r="C25" s="4">
        <v>1060</v>
      </c>
      <c r="D25" s="4">
        <v>1120</v>
      </c>
      <c r="E25" s="4">
        <v>1160</v>
      </c>
      <c r="F25" s="4">
        <v>1200</v>
      </c>
      <c r="G25" s="4">
        <v>1245.6</v>
      </c>
      <c r="H25" s="4">
        <v>1286.7</v>
      </c>
      <c r="I25" s="4">
        <v>1324</v>
      </c>
      <c r="J25" s="4">
        <v>1358.4</v>
      </c>
      <c r="K25" s="4">
        <v>1389</v>
      </c>
    </row>
    <row r="26" spans="1:11">
      <c r="A26" t="s">
        <v>30</v>
      </c>
      <c r="B26" s="7">
        <f>B24*$B$12</f>
        <v>0</v>
      </c>
      <c r="C26" s="7">
        <f>C24*$B$12</f>
        <v>0</v>
      </c>
      <c r="D26" s="7">
        <f>D24*$B$12</f>
        <v>0</v>
      </c>
      <c r="E26" s="7">
        <f>E24*$B$12</f>
        <v>0</v>
      </c>
      <c r="F26" s="7">
        <f>F24*$B$12</f>
        <v>0</v>
      </c>
      <c r="G26" s="7">
        <f>G24*$B$12</f>
        <v>0</v>
      </c>
      <c r="H26" s="7">
        <f>H24*$B$12</f>
        <v>0</v>
      </c>
      <c r="I26" s="7">
        <f>I24*$B$12</f>
        <v>0</v>
      </c>
      <c r="J26" s="7">
        <f>J24*$B$12</f>
        <v>0</v>
      </c>
      <c r="K26" s="7">
        <f>K24*$B$12</f>
        <v>0</v>
      </c>
    </row>
    <row r="27" spans="1:11">
      <c r="A27" t="s">
        <v>31</v>
      </c>
      <c r="B27" s="4">
        <v>376.5</v>
      </c>
      <c r="C27" s="4">
        <v>403.7</v>
      </c>
      <c r="D27" s="4">
        <v>430.9</v>
      </c>
      <c r="E27" s="4">
        <v>454.2</v>
      </c>
      <c r="F27" s="4">
        <v>477.2</v>
      </c>
      <c r="G27" s="4">
        <v>495.9</v>
      </c>
      <c r="H27" s="4">
        <v>514.2</v>
      </c>
      <c r="I27" s="4">
        <v>527.6</v>
      </c>
      <c r="J27" s="4">
        <v>540.2</v>
      </c>
      <c r="K27" s="4">
        <v>552.4</v>
      </c>
    </row>
    <row r="28" spans="1:11">
      <c r="A28" t="s">
        <v>32</v>
      </c>
      <c r="B28" s="7">
        <f>B25-B26-B27</f>
        <v>0</v>
      </c>
      <c r="C28" s="7">
        <f>C25-C26-C27</f>
        <v>0</v>
      </c>
      <c r="D28" s="7">
        <f>D25-D26-D27</f>
        <v>0</v>
      </c>
      <c r="E28" s="7">
        <f>E25-E26-E27</f>
        <v>0</v>
      </c>
      <c r="F28" s="7">
        <f>F25-F26-F27</f>
        <v>0</v>
      </c>
      <c r="G28" s="7">
        <f>G25-G26-G27</f>
        <v>0</v>
      </c>
      <c r="H28" s="7">
        <f>H25-H26-H27</f>
        <v>0</v>
      </c>
      <c r="I28" s="7">
        <f>I25-I26-I27</f>
        <v>0</v>
      </c>
      <c r="J28" s="7">
        <f>J25-J26-J27</f>
        <v>0</v>
      </c>
      <c r="K28" s="7">
        <f>K25-K26-K27</f>
        <v>0</v>
      </c>
    </row>
    <row r="29" spans="1:11">
      <c r="A29" t="s">
        <v>33</v>
      </c>
      <c r="B29" s="7">
        <f>B28*(1-$B$18)</f>
        <v>0</v>
      </c>
      <c r="C29" s="7">
        <f>C28*(1-$B$18)</f>
        <v>0</v>
      </c>
      <c r="D29" s="7">
        <f>D28*(1-$B$18)</f>
        <v>0</v>
      </c>
      <c r="E29" s="7">
        <f>E28*(1-$B$18)</f>
        <v>0</v>
      </c>
      <c r="F29" s="7">
        <f>F28*(1-$B$18)</f>
        <v>0</v>
      </c>
      <c r="G29" s="7">
        <f>G28*(1-$B$18)</f>
        <v>0</v>
      </c>
      <c r="H29" s="7">
        <f>H28*(1-$B$18)</f>
        <v>0</v>
      </c>
      <c r="I29" s="7">
        <f>I28*(1-$B$18)</f>
        <v>0</v>
      </c>
      <c r="J29" s="7">
        <f>J28*(1-$B$18)</f>
        <v>0</v>
      </c>
      <c r="K29" s="7">
        <f>K28*(1-$B$18)</f>
        <v>0</v>
      </c>
    </row>
    <row r="30" spans="1:11">
      <c r="A30" t="s">
        <v>34</v>
      </c>
      <c r="B30" s="4">
        <v>150</v>
      </c>
      <c r="C30" s="4">
        <v>154.5</v>
      </c>
      <c r="D30" s="4">
        <v>159.1</v>
      </c>
      <c r="E30" s="4">
        <v>163.9</v>
      </c>
      <c r="F30" s="4">
        <v>168.8</v>
      </c>
      <c r="G30" s="4">
        <v>173.9</v>
      </c>
      <c r="H30" s="4">
        <v>179.1</v>
      </c>
      <c r="I30" s="4">
        <v>184.5</v>
      </c>
      <c r="J30" s="4">
        <v>190</v>
      </c>
      <c r="K30" s="4">
        <v>195.7</v>
      </c>
    </row>
    <row r="31" spans="1:11">
      <c r="A31" t="s">
        <v>35</v>
      </c>
      <c r="B31" s="4">
        <v>430</v>
      </c>
      <c r="C31" s="4">
        <v>400</v>
      </c>
      <c r="D31" s="4">
        <v>350</v>
      </c>
      <c r="E31" s="4">
        <v>280</v>
      </c>
      <c r="F31" s="4">
        <v>200</v>
      </c>
      <c r="G31" s="4">
        <v>150</v>
      </c>
      <c r="H31" s="4">
        <v>120</v>
      </c>
      <c r="I31" s="4">
        <v>100</v>
      </c>
      <c r="J31" s="4">
        <v>90</v>
      </c>
      <c r="K31" s="4">
        <v>80</v>
      </c>
    </row>
    <row r="32" spans="1:11">
      <c r="A32" t="s">
        <v>36</v>
      </c>
      <c r="B32" s="7">
        <f>B30+B31</f>
        <v>0</v>
      </c>
      <c r="C32" s="7">
        <f>C30+C31</f>
        <v>0</v>
      </c>
      <c r="D32" s="7">
        <f>D30+D31</f>
        <v>0</v>
      </c>
      <c r="E32" s="7">
        <f>E30+E31</f>
        <v>0</v>
      </c>
      <c r="F32" s="7">
        <f>F30+F31</f>
        <v>0</v>
      </c>
      <c r="G32" s="7">
        <f>G30+G31</f>
        <v>0</v>
      </c>
      <c r="H32" s="7">
        <f>H30+H31</f>
        <v>0</v>
      </c>
      <c r="I32" s="7">
        <f>I30+I31</f>
        <v>0</v>
      </c>
      <c r="J32" s="7">
        <f>J30+J31</f>
        <v>0</v>
      </c>
      <c r="K32" s="7">
        <f>K30+K31</f>
        <v>0</v>
      </c>
    </row>
    <row r="33" spans="1:11">
      <c r="A33" t="s">
        <v>37</v>
      </c>
      <c r="B33" s="7">
        <f>(B24-3498)*$B$19</f>
        <v>0</v>
      </c>
      <c r="C33" s="7">
        <f>(C24-B24)*$B$19</f>
        <v>0</v>
      </c>
      <c r="D33" s="7">
        <f>(D24-C24)*$B$19</f>
        <v>0</v>
      </c>
      <c r="E33" s="7">
        <f>(E24-D24)*$B$19</f>
        <v>0</v>
      </c>
      <c r="F33" s="7">
        <f>(F24-E24)*$B$19</f>
        <v>0</v>
      </c>
      <c r="G33" s="7">
        <f>(G24-F24)*$B$19</f>
        <v>0</v>
      </c>
      <c r="H33" s="7">
        <f>(H24-G24)*$B$19</f>
        <v>0</v>
      </c>
      <c r="I33" s="7">
        <f>(I24-H24)*$B$19</f>
        <v>0</v>
      </c>
      <c r="J33" s="7">
        <f>(J24-I24)*$B$19</f>
        <v>0</v>
      </c>
      <c r="K33" s="7">
        <f>(K24-J24)*$B$19</f>
        <v>0</v>
      </c>
    </row>
    <row r="34" spans="1:11">
      <c r="A34" s="8" t="s">
        <v>38</v>
      </c>
      <c r="B34" s="7">
        <f>B29+B27-B32-B33</f>
        <v>0</v>
      </c>
      <c r="C34" s="7">
        <f>C29+C27-C32-C33</f>
        <v>0</v>
      </c>
      <c r="D34" s="7">
        <f>D29+D27-D32-D33</f>
        <v>0</v>
      </c>
      <c r="E34" s="7">
        <f>E29+E27-E32-E33</f>
        <v>0</v>
      </c>
      <c r="F34" s="7">
        <f>F29+F27-F32-F33</f>
        <v>0</v>
      </c>
      <c r="G34" s="7">
        <f>G29+G27-G32-G33</f>
        <v>0</v>
      </c>
      <c r="H34" s="7">
        <f>H29+H27-H32-H33</f>
        <v>0</v>
      </c>
      <c r="I34" s="7">
        <f>I29+I27-I32-I33</f>
        <v>0</v>
      </c>
      <c r="J34" s="7">
        <f>J29+J27-J32-J33</f>
        <v>0</v>
      </c>
      <c r="K34" s="7">
        <f>K29+K27-K32-K33</f>
        <v>0</v>
      </c>
    </row>
    <row r="35" spans="1:11">
      <c r="A35" t="s">
        <v>4</v>
      </c>
      <c r="B35" s="7">
        <f>$B$6*(1+$B$13)</f>
        <v>0</v>
      </c>
      <c r="C35" s="7">
        <f>B35*(1+$B$13)</f>
        <v>0</v>
      </c>
      <c r="D35" s="7">
        <f>C35*(1+$B$13)</f>
        <v>0</v>
      </c>
      <c r="E35" s="7">
        <f>D35*(1+$B$13)</f>
        <v>0</v>
      </c>
      <c r="F35" s="7">
        <f>E35*(1+$B$13)</f>
        <v>0</v>
      </c>
      <c r="G35" s="7">
        <f>F35*(1+$B$13)</f>
        <v>0</v>
      </c>
      <c r="H35" s="7">
        <f>G35*(1+$B$13)</f>
        <v>0</v>
      </c>
      <c r="I35" s="7">
        <f>H35*(1+$B$13)</f>
        <v>0</v>
      </c>
      <c r="J35" s="7">
        <f>I35*(1+$B$13)</f>
        <v>0</v>
      </c>
      <c r="K35" s="7">
        <f>J35*(1+$B$13)</f>
        <v>0</v>
      </c>
    </row>
    <row r="36" spans="1:11">
      <c r="A36" t="s">
        <v>39</v>
      </c>
      <c r="B36" s="7">
        <f>1/(1+$B$15)^1</f>
        <v>0</v>
      </c>
      <c r="C36" s="7">
        <f>1/(1+$B$15)^2</f>
        <v>0</v>
      </c>
      <c r="D36" s="7">
        <f>1/(1+$B$15)^3</f>
        <v>0</v>
      </c>
      <c r="E36" s="7">
        <f>1/(1+$B$15)^4</f>
        <v>0</v>
      </c>
      <c r="F36" s="7">
        <f>1/(1+$B$15)^5</f>
        <v>0</v>
      </c>
      <c r="G36" s="7">
        <f>1/(1+$B$15)^6</f>
        <v>0</v>
      </c>
      <c r="H36" s="7">
        <f>1/(1+$B$15)^7</f>
        <v>0</v>
      </c>
      <c r="I36" s="7">
        <f>1/(1+$B$15)^8</f>
        <v>0</v>
      </c>
      <c r="J36" s="7">
        <f>1/(1+$B$15)^9</f>
        <v>0</v>
      </c>
      <c r="K36" s="7">
        <f>1/(1+$B$15)^10</f>
        <v>0</v>
      </c>
    </row>
    <row r="37" spans="1:11">
      <c r="A37" t="s">
        <v>40</v>
      </c>
      <c r="B37" s="7">
        <f>B34*B36</f>
        <v>0</v>
      </c>
      <c r="C37" s="7">
        <f>C34*C36</f>
        <v>0</v>
      </c>
      <c r="D37" s="7">
        <f>D34*D36</f>
        <v>0</v>
      </c>
      <c r="E37" s="7">
        <f>E34*E36</f>
        <v>0</v>
      </c>
      <c r="F37" s="7">
        <f>F34*F36</f>
        <v>0</v>
      </c>
      <c r="G37" s="7">
        <f>G34*G36</f>
        <v>0</v>
      </c>
      <c r="H37" s="7">
        <f>H34*H36</f>
        <v>0</v>
      </c>
      <c r="I37" s="7">
        <f>I34*I36</f>
        <v>0</v>
      </c>
      <c r="J37" s="7">
        <f>J34*J36</f>
        <v>0</v>
      </c>
      <c r="K37" s="7">
        <f>K34*K36</f>
        <v>0</v>
      </c>
    </row>
    <row r="40" spans="1:11">
      <c r="A40" s="3" t="s">
        <v>41</v>
      </c>
    </row>
    <row r="41" spans="1:11">
      <c r="A41" t="s">
        <v>42</v>
      </c>
      <c r="B41" s="7">
        <f>SUM(B37:K37)</f>
        <v>0</v>
      </c>
    </row>
    <row r="42" spans="1:11">
      <c r="A42" t="s">
        <v>43</v>
      </c>
      <c r="B42" s="7">
        <f>K34*(1+$B$16)</f>
        <v>0</v>
      </c>
    </row>
    <row r="43" spans="1:11">
      <c r="A43" t="s">
        <v>44</v>
      </c>
      <c r="B43" s="7">
        <f>B42/($B$15-$B$16)</f>
        <v>0</v>
      </c>
    </row>
    <row r="44" spans="1:11">
      <c r="A44" t="s">
        <v>45</v>
      </c>
      <c r="B44" s="7">
        <f>K25*$B$17</f>
        <v>0</v>
      </c>
    </row>
    <row r="45" spans="1:11">
      <c r="A45" t="s">
        <v>46</v>
      </c>
      <c r="B45" s="7">
        <f>MIN(B43,B44)</f>
        <v>0</v>
      </c>
    </row>
    <row r="46" spans="1:11">
      <c r="A46" t="s">
        <v>47</v>
      </c>
      <c r="B46" s="7">
        <f>B45*K36</f>
        <v>0</v>
      </c>
    </row>
    <row r="47" spans="1:11">
      <c r="A47" t="s">
        <v>48</v>
      </c>
      <c r="B47" s="7">
        <f>B41+B46</f>
        <v>0</v>
      </c>
    </row>
    <row r="48" spans="1:11">
      <c r="A48" t="s">
        <v>49</v>
      </c>
      <c r="B48" s="7">
        <f>B9</f>
        <v>0</v>
      </c>
    </row>
    <row r="49" spans="1:2">
      <c r="A49" t="s">
        <v>50</v>
      </c>
      <c r="B49" s="7">
        <f>B47-B48</f>
        <v>0</v>
      </c>
    </row>
    <row r="50" spans="1:2">
      <c r="A50" s="8" t="s">
        <v>51</v>
      </c>
      <c r="B50" s="9">
        <f>B49/K35</f>
        <v>0</v>
      </c>
    </row>
    <row r="52" spans="1:2">
      <c r="A52" s="3" t="s">
        <v>52</v>
      </c>
    </row>
    <row r="53" spans="1:2">
      <c r="A53" t="s">
        <v>53</v>
      </c>
    </row>
    <row r="54" spans="1:2">
      <c r="A54" t="s">
        <v>54</v>
      </c>
      <c r="B54" s="7">
        <f>NPV(0.15,B34:K34)</f>
        <v>0</v>
      </c>
    </row>
    <row r="55" spans="1:2">
      <c r="A55" t="s">
        <v>55</v>
      </c>
      <c r="B55" s="7">
        <f>B45/(1.15^10)</f>
        <v>0</v>
      </c>
    </row>
    <row r="56" spans="1:2">
      <c r="A56" t="s">
        <v>56</v>
      </c>
      <c r="B56" s="9">
        <f>(B54+B55-B9)/K35</f>
        <v>0</v>
      </c>
    </row>
    <row r="58" spans="1:2">
      <c r="A58" t="s">
        <v>57</v>
      </c>
    </row>
    <row r="59" spans="1:2">
      <c r="A59" t="s">
        <v>58</v>
      </c>
      <c r="B59" s="7">
        <f>NPV(0.095,B34:K34)</f>
        <v>0</v>
      </c>
    </row>
    <row r="60" spans="1:2">
      <c r="A60" t="s">
        <v>59</v>
      </c>
      <c r="B60" s="7">
        <f>B45/(1.095^10)</f>
        <v>0</v>
      </c>
    </row>
    <row r="61" spans="1:2">
      <c r="A61" t="s">
        <v>60</v>
      </c>
      <c r="B61" s="9">
        <f>(B59+B60-B9)/K35</f>
        <v>0</v>
      </c>
    </row>
    <row r="63" spans="1:2">
      <c r="A63" t="s">
        <v>61</v>
      </c>
      <c r="B63" s="10">
        <f>(B50-B5)/B5</f>
        <v>0</v>
      </c>
    </row>
    <row r="64" spans="1:2">
      <c r="A64" t="s">
        <v>62</v>
      </c>
      <c r="B64" s="10">
        <f>(B5-B61)/B5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cols>
    <col min="1" max="1" width="18.7109375" customWidth="1"/>
    <col min="2" max="7" width="12.7109375" customWidth="1"/>
  </cols>
  <sheetData>
    <row r="1" spans="1:6">
      <c r="A1" s="1" t="s">
        <v>63</v>
      </c>
    </row>
    <row r="2" spans="1:6">
      <c r="A2" t="s">
        <v>64</v>
      </c>
    </row>
    <row r="4" spans="1:6">
      <c r="A4" s="6" t="s">
        <v>65</v>
      </c>
      <c r="B4" s="11">
        <v>0.0125</v>
      </c>
      <c r="C4" s="11">
        <v>0.0175</v>
      </c>
      <c r="D4" s="11">
        <v>0.0225</v>
      </c>
      <c r="E4" s="11">
        <v>0.0275</v>
      </c>
      <c r="F4" s="11">
        <v>0.0325</v>
      </c>
    </row>
    <row r="5" spans="1:6">
      <c r="A5" s="11">
        <v>0.0541</v>
      </c>
      <c r="B5" s="12">
        <v>8.81</v>
      </c>
      <c r="C5" s="12">
        <v>8.81</v>
      </c>
      <c r="D5" s="12">
        <v>8.81</v>
      </c>
      <c r="E5" s="12">
        <v>8.81</v>
      </c>
      <c r="F5" s="12">
        <v>8.81</v>
      </c>
    </row>
    <row r="6" spans="1:6">
      <c r="A6" s="11">
        <v>0.0641</v>
      </c>
      <c r="B6" s="12">
        <v>7.61</v>
      </c>
      <c r="C6" s="12">
        <v>7.98</v>
      </c>
      <c r="D6" s="12">
        <v>7.98</v>
      </c>
      <c r="E6" s="12">
        <v>7.98</v>
      </c>
      <c r="F6" s="12">
        <v>7.98</v>
      </c>
    </row>
    <row r="7" spans="1:6">
      <c r="A7" s="11">
        <v>0.0741</v>
      </c>
      <c r="B7" s="12">
        <v>5.95</v>
      </c>
      <c r="C7" s="12">
        <v>6.41</v>
      </c>
      <c r="D7" s="12">
        <v>6.95</v>
      </c>
      <c r="E7" s="12">
        <v>7.22</v>
      </c>
      <c r="F7" s="12">
        <v>7.22</v>
      </c>
    </row>
    <row r="8" spans="1:6">
      <c r="A8" s="11">
        <v>0.08410000000000001</v>
      </c>
      <c r="B8" s="12">
        <v>4.77</v>
      </c>
      <c r="C8" s="12">
        <v>5.07</v>
      </c>
      <c r="D8" s="12">
        <v>5.42</v>
      </c>
      <c r="E8" s="12">
        <v>5.84</v>
      </c>
      <c r="F8" s="12">
        <v>6.34</v>
      </c>
    </row>
    <row r="9" spans="1:6">
      <c r="A9" s="11">
        <v>0.0941</v>
      </c>
      <c r="B9" s="12">
        <v>3.88</v>
      </c>
      <c r="C9" s="12">
        <v>4.09</v>
      </c>
      <c r="D9" s="12">
        <v>4.33</v>
      </c>
      <c r="E9" s="12">
        <v>4.61</v>
      </c>
      <c r="F9" s="12">
        <v>4.94</v>
      </c>
    </row>
    <row r="11" spans="1:6">
      <c r="A11" s="2" t="s">
        <v>66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7"/>
  <sheetViews>
    <sheetView workbookViewId="0"/>
  </sheetViews>
  <sheetFormatPr defaultRowHeight="15"/>
  <cols>
    <col min="1" max="1" width="28.7109375" customWidth="1"/>
    <col min="2" max="4" width="16.7109375" customWidth="1"/>
  </cols>
  <sheetData>
    <row r="1" spans="1:4">
      <c r="A1" s="1" t="s">
        <v>67</v>
      </c>
    </row>
    <row r="3" spans="1:4">
      <c r="A3" s="6" t="s">
        <v>68</v>
      </c>
      <c r="B3" s="6" t="s">
        <v>69</v>
      </c>
      <c r="C3" s="6" t="s">
        <v>70</v>
      </c>
    </row>
    <row r="4" spans="1:4">
      <c r="A4" t="s">
        <v>28</v>
      </c>
      <c r="B4" s="10">
        <v>0.169</v>
      </c>
      <c r="C4" s="10">
        <v>0.146</v>
      </c>
    </row>
    <row r="5" spans="1:4">
      <c r="A5" t="s">
        <v>71</v>
      </c>
      <c r="B5" s="10">
        <v>0.106</v>
      </c>
      <c r="C5" s="10">
        <v>0.09699999999999999</v>
      </c>
    </row>
    <row r="6" spans="1:4">
      <c r="A6" t="s">
        <v>72</v>
      </c>
      <c r="B6" s="10">
        <v>0.01</v>
      </c>
      <c r="C6" s="10">
        <v>0.05599999999999999</v>
      </c>
    </row>
    <row r="7" spans="1:4">
      <c r="A7" t="s">
        <v>73</v>
      </c>
      <c r="B7" s="10">
        <v>0.063</v>
      </c>
      <c r="C7" s="10">
        <v>0.08699999999999999</v>
      </c>
    </row>
    <row r="9" spans="1:4">
      <c r="A9" s="8" t="s">
        <v>74</v>
      </c>
      <c r="B9" s="10">
        <v>0.09699999999999999</v>
      </c>
    </row>
    <row r="10" spans="1:4">
      <c r="A10" t="s">
        <v>75</v>
      </c>
      <c r="B10" t="s">
        <v>76</v>
      </c>
    </row>
    <row r="11" spans="1:4">
      <c r="A11" s="8" t="s">
        <v>77</v>
      </c>
    </row>
    <row r="12" spans="1:4">
      <c r="A12" s="13" t="s">
        <v>78</v>
      </c>
      <c r="B12" s="13"/>
      <c r="C12" s="13"/>
      <c r="D12" s="13"/>
    </row>
    <row r="14" spans="1:4">
      <c r="A14" s="3" t="s">
        <v>79</v>
      </c>
    </row>
    <row r="15" spans="1:4">
      <c r="A15" s="6" t="s">
        <v>80</v>
      </c>
      <c r="B15" s="6" t="s">
        <v>81</v>
      </c>
      <c r="C15" s="6" t="s">
        <v>82</v>
      </c>
      <c r="D15" s="6" t="s">
        <v>83</v>
      </c>
    </row>
    <row r="16" spans="1:4">
      <c r="A16" t="s">
        <v>84</v>
      </c>
      <c r="B16" s="7">
        <v>3.48</v>
      </c>
      <c r="C16" s="7">
        <v>11.22</v>
      </c>
      <c r="D16" s="7">
        <v>1.45</v>
      </c>
    </row>
    <row r="17" spans="1:4">
      <c r="A17" t="s">
        <v>85</v>
      </c>
      <c r="B17" s="7">
        <v>3.36</v>
      </c>
      <c r="C17" s="7">
        <v>10.55</v>
      </c>
      <c r="D17" s="7">
        <v>1.41</v>
      </c>
    </row>
    <row r="18" spans="1:4">
      <c r="A18" t="s">
        <v>86</v>
      </c>
      <c r="B18" s="7">
        <v>4.57</v>
      </c>
      <c r="C18" s="7">
        <v>14.57</v>
      </c>
      <c r="D18" s="7">
        <v>1.76</v>
      </c>
    </row>
    <row r="19" spans="1:4">
      <c r="A19" t="s">
        <v>87</v>
      </c>
      <c r="B19" s="7">
        <v>4.67</v>
      </c>
      <c r="C19" s="7">
        <v>15.32</v>
      </c>
      <c r="D19" s="7">
        <v>1.7</v>
      </c>
    </row>
    <row r="20" spans="1:4">
      <c r="A20" t="s">
        <v>88</v>
      </c>
      <c r="B20" s="7">
        <v>6.61</v>
      </c>
      <c r="C20" s="7">
        <v>22.3</v>
      </c>
      <c r="D20" s="7">
        <v>2.15</v>
      </c>
    </row>
    <row r="21" spans="1:4">
      <c r="A21" t="s">
        <v>89</v>
      </c>
      <c r="B21" s="7">
        <v>6.07</v>
      </c>
      <c r="C21" s="7">
        <v>17.53</v>
      </c>
      <c r="D21" s="7">
        <v>1.75</v>
      </c>
    </row>
    <row r="22" spans="1:4">
      <c r="A22" t="s">
        <v>90</v>
      </c>
      <c r="B22" s="7">
        <v>6.59</v>
      </c>
      <c r="C22" s="7">
        <v>13.02</v>
      </c>
      <c r="D22" s="7">
        <v>1.88</v>
      </c>
    </row>
    <row r="23" spans="1:4">
      <c r="A23" t="s">
        <v>91</v>
      </c>
      <c r="B23" s="7">
        <v>6.88</v>
      </c>
      <c r="C23" s="7">
        <v>13.08</v>
      </c>
      <c r="D23" s="7">
        <v>1.97</v>
      </c>
    </row>
    <row r="24" spans="1:4">
      <c r="A24" t="s">
        <v>92</v>
      </c>
      <c r="B24" s="7">
        <v>6.2</v>
      </c>
      <c r="C24" s="7">
        <v>13.83</v>
      </c>
      <c r="D24" s="7">
        <v>1.77</v>
      </c>
    </row>
    <row r="26" spans="1:4">
      <c r="A26" t="s">
        <v>93</v>
      </c>
      <c r="C26" s="7">
        <v>13.64</v>
      </c>
    </row>
    <row r="27" spans="1:4">
      <c r="A27" t="s">
        <v>94</v>
      </c>
      <c r="C27" s="7">
        <v>13.31</v>
      </c>
    </row>
  </sheetData>
  <mergeCells count="1">
    <mergeCell ref="A12:D1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13"/>
  <sheetViews>
    <sheetView workbookViewId="0"/>
  </sheetViews>
  <sheetFormatPr defaultRowHeight="15"/>
  <cols>
    <col min="1" max="1" width="32.7109375" customWidth="1"/>
    <col min="2" max="11" width="11.7109375" customWidth="1"/>
  </cols>
  <sheetData>
    <row r="1" spans="1:11">
      <c r="A1" s="1" t="s">
        <v>95</v>
      </c>
    </row>
    <row r="2" spans="1:11">
      <c r="A2" s="2" t="s">
        <v>96</v>
      </c>
    </row>
    <row r="4" spans="1:11">
      <c r="A4" s="6" t="s">
        <v>97</v>
      </c>
      <c r="B4" s="6" t="s">
        <v>84</v>
      </c>
      <c r="C4" s="6" t="s">
        <v>85</v>
      </c>
      <c r="D4" s="6" t="s">
        <v>86</v>
      </c>
      <c r="E4" s="6" t="s">
        <v>87</v>
      </c>
      <c r="F4" s="6" t="s">
        <v>88</v>
      </c>
      <c r="G4" s="6" t="s">
        <v>89</v>
      </c>
      <c r="H4" s="6" t="s">
        <v>90</v>
      </c>
      <c r="I4" s="6" t="s">
        <v>91</v>
      </c>
      <c r="J4" s="6" t="s">
        <v>92</v>
      </c>
      <c r="K4" s="6" t="s">
        <v>98</v>
      </c>
    </row>
    <row r="5" spans="1:11">
      <c r="A5" t="s">
        <v>99</v>
      </c>
      <c r="B5" s="7">
        <v>256</v>
      </c>
      <c r="C5" s="7">
        <v>244</v>
      </c>
      <c r="D5" s="7">
        <v>204</v>
      </c>
      <c r="E5" s="7">
        <v>133</v>
      </c>
      <c r="F5" s="7">
        <v>30</v>
      </c>
      <c r="G5" s="7">
        <v>213</v>
      </c>
      <c r="H5" s="7">
        <v>281</v>
      </c>
      <c r="I5" s="7">
        <v>278</v>
      </c>
      <c r="J5" s="7">
        <v>16</v>
      </c>
      <c r="K5" s="7">
        <v>60</v>
      </c>
    </row>
    <row r="6" spans="1:11">
      <c r="A6" t="s">
        <v>36</v>
      </c>
      <c r="B6" s="7">
        <v>116</v>
      </c>
      <c r="C6" s="7">
        <v>127</v>
      </c>
      <c r="D6" s="7">
        <v>122</v>
      </c>
      <c r="E6" s="7">
        <v>223</v>
      </c>
      <c r="F6" s="7">
        <v>308</v>
      </c>
      <c r="G6" s="7">
        <v>139</v>
      </c>
      <c r="H6" s="7">
        <v>297</v>
      </c>
      <c r="I6" s="7">
        <v>334</v>
      </c>
      <c r="J6" s="7">
        <v>467</v>
      </c>
      <c r="K6" s="7">
        <v>291</v>
      </c>
    </row>
    <row r="7" spans="1:11">
      <c r="A7" t="s">
        <v>100</v>
      </c>
      <c r="B7" s="7">
        <v>114</v>
      </c>
      <c r="C7" s="7">
        <v>112</v>
      </c>
      <c r="D7" s="7">
        <v>89</v>
      </c>
      <c r="E7" s="7">
        <v>114</v>
      </c>
      <c r="F7" s="7">
        <v>56</v>
      </c>
      <c r="G7" s="7">
        <v>68</v>
      </c>
      <c r="H7" s="7">
        <v>119</v>
      </c>
      <c r="I7" s="7">
        <v>142</v>
      </c>
      <c r="J7" s="7">
        <v>138</v>
      </c>
      <c r="K7" s="7">
        <v>64</v>
      </c>
    </row>
    <row r="8" spans="1:11">
      <c r="A8" t="s">
        <v>101</v>
      </c>
      <c r="B8" s="7">
        <v>2</v>
      </c>
      <c r="C8" s="7">
        <v>6</v>
      </c>
      <c r="D8" s="7">
        <v>26</v>
      </c>
      <c r="E8" s="7">
        <v>165</v>
      </c>
      <c r="F8" s="7">
        <v>194</v>
      </c>
      <c r="G8" s="7">
        <v>1352</v>
      </c>
      <c r="H8" s="7">
        <v>177</v>
      </c>
      <c r="I8" s="7">
        <v>154</v>
      </c>
      <c r="J8" s="7">
        <v>347</v>
      </c>
      <c r="K8" s="7">
        <v>208</v>
      </c>
    </row>
    <row r="9" spans="1:11">
      <c r="A9" t="s">
        <v>102</v>
      </c>
      <c r="B9" s="10">
        <v>0.1603005635566687</v>
      </c>
      <c r="C9" s="10">
        <v>0.1353300055463117</v>
      </c>
      <c r="D9" s="10">
        <v>0.102</v>
      </c>
      <c r="E9" s="10">
        <v>0.0752262443438914</v>
      </c>
      <c r="F9" s="10">
        <v>0.01466992665036675</v>
      </c>
      <c r="G9" s="10">
        <v>0.09734917733089579</v>
      </c>
      <c r="H9" s="10">
        <v>0.1029304029304029</v>
      </c>
      <c r="I9" s="10">
        <v>0.08119158878504673</v>
      </c>
      <c r="J9" s="10">
        <v>0.004574042309891366</v>
      </c>
      <c r="K9" s="10">
        <v>0.0360576923076923</v>
      </c>
    </row>
    <row r="11" spans="1:11">
      <c r="A11" s="13" t="s">
        <v>103</v>
      </c>
      <c r="B11" s="13"/>
      <c r="C11" s="13"/>
      <c r="D11" s="13"/>
      <c r="E11" s="13"/>
      <c r="F11" s="13"/>
      <c r="G11" s="13"/>
      <c r="H11" s="13"/>
      <c r="I11" s="13"/>
      <c r="J11" s="13"/>
      <c r="K11" s="13"/>
    </row>
    <row r="12" spans="1:11">
      <c r="A12" s="13" t="s">
        <v>104</v>
      </c>
      <c r="B12" s="13"/>
      <c r="C12" s="13"/>
      <c r="D12" s="13"/>
      <c r="E12" s="13"/>
      <c r="F12" s="13"/>
      <c r="G12" s="13"/>
      <c r="H12" s="13"/>
      <c r="I12" s="13"/>
      <c r="J12" s="13"/>
      <c r="K12" s="13"/>
    </row>
    <row r="13" spans="1:11">
      <c r="A13" s="13" t="s">
        <v>105</v>
      </c>
      <c r="B13" s="13"/>
      <c r="C13" s="13"/>
      <c r="D13" s="13"/>
      <c r="E13" s="13"/>
      <c r="F13" s="13"/>
      <c r="G13" s="13"/>
      <c r="H13" s="13"/>
      <c r="I13" s="13"/>
      <c r="J13" s="13"/>
      <c r="K13" s="13"/>
    </row>
  </sheetData>
  <mergeCells count="3">
    <mergeCell ref="A11:K11"/>
    <mergeCell ref="A12:K12"/>
    <mergeCell ref="A13:K1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8"/>
  <sheetViews>
    <sheetView workbookViewId="0"/>
  </sheetViews>
  <sheetFormatPr defaultRowHeight="15"/>
  <cols>
    <col min="1" max="1" width="28.7109375" customWidth="1"/>
    <col min="2" max="2" width="90.7109375" customWidth="1"/>
  </cols>
  <sheetData>
    <row r="1" spans="1:2">
      <c r="A1" s="1" t="s">
        <v>106</v>
      </c>
    </row>
    <row r="4" spans="1:2" ht="45" customHeight="1">
      <c r="A4" s="8" t="s">
        <v>107</v>
      </c>
      <c r="B4" s="13" t="s">
        <v>108</v>
      </c>
    </row>
    <row r="5" spans="1:2" ht="45" customHeight="1">
      <c r="A5" s="8" t="s">
        <v>109</v>
      </c>
      <c r="B5" s="13" t="s">
        <v>110</v>
      </c>
    </row>
    <row r="6" spans="1:2" ht="45" customHeight="1">
      <c r="A6" s="8" t="s">
        <v>111</v>
      </c>
      <c r="B6" s="13" t="s">
        <v>112</v>
      </c>
    </row>
    <row r="7" spans="1:2" ht="45" customHeight="1">
      <c r="A7" s="8" t="s">
        <v>113</v>
      </c>
      <c r="B7" s="13" t="s">
        <v>114</v>
      </c>
    </row>
    <row r="8" spans="1:2" ht="45" customHeight="1">
      <c r="A8" s="8" t="s">
        <v>115</v>
      </c>
      <c r="B8" s="13" t="s">
        <v>116</v>
      </c>
    </row>
    <row r="9" spans="1:2" ht="45" customHeight="1">
      <c r="A9" s="8" t="s">
        <v>117</v>
      </c>
      <c r="B9" s="13" t="s">
        <v>118</v>
      </c>
    </row>
    <row r="10" spans="1:2" ht="45" customHeight="1">
      <c r="A10" s="8" t="s">
        <v>119</v>
      </c>
      <c r="B10" s="13" t="s">
        <v>120</v>
      </c>
    </row>
    <row r="11" spans="1:2" ht="45" customHeight="1">
      <c r="A11" s="8" t="s">
        <v>121</v>
      </c>
      <c r="B11" s="13" t="s">
        <v>122</v>
      </c>
    </row>
    <row r="12" spans="1:2" ht="45" customHeight="1">
      <c r="A12" s="8" t="s">
        <v>123</v>
      </c>
      <c r="B12" s="13" t="s">
        <v>124</v>
      </c>
    </row>
    <row r="13" spans="1:2" ht="45" customHeight="1">
      <c r="A13" s="8" t="s">
        <v>125</v>
      </c>
      <c r="B13" s="13" t="s">
        <v>126</v>
      </c>
    </row>
    <row r="14" spans="1:2" ht="45" customHeight="1">
      <c r="A14" s="8" t="s">
        <v>127</v>
      </c>
      <c r="B14" s="13" t="s">
        <v>128</v>
      </c>
    </row>
    <row r="15" spans="1:2" ht="45" customHeight="1">
      <c r="A15" s="8" t="s">
        <v>129</v>
      </c>
      <c r="B15" s="13" t="s">
        <v>130</v>
      </c>
    </row>
    <row r="16" spans="1:2" ht="45" customHeight="1">
      <c r="A16" s="8" t="s">
        <v>131</v>
      </c>
      <c r="B16" s="13" t="s">
        <v>132</v>
      </c>
    </row>
    <row r="17" spans="1:2" ht="45" customHeight="1">
      <c r="A17" s="8" t="s">
        <v>133</v>
      </c>
      <c r="B17" s="13" t="s">
        <v>134</v>
      </c>
    </row>
    <row r="18" spans="1:2" ht="45" customHeight="1">
      <c r="A18" s="8" t="s">
        <v>135</v>
      </c>
      <c r="B18" s="13" t="s">
        <v>136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DCF Model</vt:lpstr>
      <vt:lpstr>Sensitivity</vt:lpstr>
      <vt:lpstr>Historical</vt:lpstr>
      <vt:lpstr>FCF Quality</vt:lpstr>
      <vt:lpstr>Model_Info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2026-08-13T03:22:17Z</dcterms:created>
  <dcterms:modified xsi:type="dcterms:W3CDTF">2026-08-13T03:22:17Z</dcterms:modified>
</cp:coreProperties>
</file>