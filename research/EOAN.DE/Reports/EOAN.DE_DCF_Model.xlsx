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<sst xmlns="http://schemas.openxmlformats.org/spreadsheetml/2006/main" count="396" uniqueCount="181">
  <si>
    <t xml:space="preserve">Ticker</t>
  </si>
  <si>
    <t xml:space="preserve">EOAN.DE</t>
  </si>
  <si>
    <t xml:space="preserve">Company</t>
  </si>
  <si>
    <t xml:space="preserve">E.ON SE</t>
  </si>
  <si>
    <t xml:space="preserve">Valuation date</t>
  </si>
  <si>
    <t xml:space="preserve">2026-10-25</t>
  </si>
  <si>
    <t xml:space="preserve">Current price</t>
  </si>
  <si>
    <t xml:space="preserve">Price as of</t>
  </si>
  <si>
    <t xml:space="preserve">2026-10-23T15:35:02Z (Yahoo regularMarketTime, XETRA regular session)</t>
  </si>
  <si>
    <t xml:space="preserve">Balance sheet date</t>
  </si>
  <si>
    <t xml:space="preserve">2025-12-31</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</si>
  <si>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</si>
  <si>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</si>
  <si>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</si>
  <si>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</si>
  <si>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</si>
  <si>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</si>
  <si>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</si>
  <si>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</si>
  <si>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</si>
  <si>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</si>
  <si>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2026-10-24T21:47:28Z</t>
  </si>
  <si>
    <t xml:space="preserve">Drivers file</t>
  </si>
  <si>
    <t xml:space="preserve">EOAN.DE_Drivers.json</t>
  </si>
  <si>
    <t xml:space="preserve">Convention</t>
  </si>
  <si>
    <t xml:space="preserve">Percents stored as percents; formulas divide by 100. Blue = input, green = link, black = formula.</t>
  </si>
  <si>
    <t xml:space="preserve">Methodology</t>
  </si>
  <si>
    <t xml:space="preserve">summary: A regulated network is worth roughly its capital base times the spread between allowed return and cost of capital. The component DCF makes that explicit: heavy capex is charged in full as it is spent, D&amp;A and EBITDA follow it with a lag, and the terminal year is forced to steady-state reinvestment so the exit value lands near 1.1x capital employed. Economic net debt (incl. pensions and nuclear AROs) and minorities are deducted once each. The model is very sensitive to the discount rate because the equity is a ~45% slice of enterprise value.
key_risks_to_valuation: WACC: each 0.5pp moves the value by several euros per share because equity is levered ~1:1 against economic net debt; BNetzA 5th regulatory period (power from 2029) allowed equity return -- the single largest driver of 2030s EBITDA; Capex execution and commissioning lag on a EUR48bn programme; leverage near the 5.0x debt-factor ceiling; Legacy nuclear-decommissioning and pension provisions are discount-rate sensitive (in net debt at book); NCI valued by a profit-share proxy rather than subsidiary-level DCFs; Ovo acquisition consideration and Czech gas sale proceeds not yet in net debt</t>
  </si>
  <si>
    <t xml:space="preserve">Data sources</t>
  </si>
  <si>
    <t xml:space="preserve">price: Yahoo Finance chart API at inputs.price_as_of; 52-week range 14.98-20.39
financials: E.ON Integrated Annual Report 2025 (Economic Net Debt table, Forecast Report, NCI note 23, Adjusted Net Income reconciliation); Q1-2026 results presentation (guidance confirmation, FY2030 targets, 2026-30 capex ~EUR48bn, Q1 END 46.1bn); Capital Markets Story 2025 (RAB EUR46bn, ROCE 8-9%); EOAN.DE_Metrics.csv / kpis for history
qualitative: EOAN.DE_Analysis.json (bull/bear case, BNetzA 5th period, Ovo, leverage)</t>
  </si>
  <si>
    <t xml:space="preserve">Scenario narrative: bear</t>
  </si>
  <si>
    <t xml:space="preserve">Adverse BNetzA 5th-period WACC: same mandated capex at ~7% pre-tax ROCE (no spread over cost of capital), retail squeeze, commissioning delays; 2030 EBITDA ~11.5bn, 1.5% terminal growth, leverage pinned at the 5.0x debt-factor ceiling.</t>
  </si>
  <si>
    <t xml:space="preserve">Scenario narrative: base</t>
  </si>
  <si>
    <t xml:space="preserve">Grid capex supercycle delivered to plan (EUR48bn 2026-30), 2030 EBITDA ~12.6bn (just under the 13.0bn target), then steady-state growth with the asset base; pre-tax ROCE ~8.3-8.9%, a modest spread over the cost of capital, leaving a thin equity slice after EUR43bn economic net debt and ~17.5% minorities.</t>
  </si>
  <si>
    <t xml:space="preserve">Scenario narrative: bull</t>
  </si>
  <si>
    <t xml:space="preserve">Fair BNetzA 5th-period returns, sustained connection demand and Ovo synergies: 2030 EBITDA 13.2bn and rising to 16.5bn by 2035, 2.5% terminal growth; the extra capex earns above WACC.</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</si>
  <si>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</si>
  <si>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</si>
  <si>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</si>
  <si>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</si>
  <si>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</si>
  <si>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</si>
  <si>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</si>
  <si>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</si>
  <si>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</si>
  <si>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</si>
  <si>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</si>
  <si>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</si>
  <si>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</si>
  <si>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</si>
  <si>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</si>
  <si>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</si>
  <si>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</si>
  <si>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</si>
  <si>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</si>
  <si>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</si>
  <si>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</si>
  <si>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</si>
  <si>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</si>
  <si>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</si>
  <si>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</si>
  <si>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</si>
  <si>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</si>
  <si>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t>
  </si>
  <si>
    <t xml:space="preserve">AdjustedEBITDA</t>
  </si>
  <si>
    <t xml:space="preserve">AdjustedEPS</t>
  </si>
  <si>
    <t xml:space="preserve">AdjustedNetIncome</t>
  </si>
  <si>
    <t xml:space="preserve">Employees</t>
  </si>
  <si>
    <t xml:space="preserve">TotalEquityInclNCI</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</si>
  <si>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</si>
  <si>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</si>
  <si>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</si>
  <si>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</si>
  <si>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</si>
  <si>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</si>
  <si>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</si>
  <si>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</si>
  <si>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</si>
  <si>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</si>
  <si>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</si>
  <si>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</si>
  <si>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</si>
  <si>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</si>
  <si>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</si>
  <si>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</si>
  <si>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</si>
  <si>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</si>
  <si>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</si>
  <si>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</si>
  <si>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</si>
  <si>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</si>
  <si>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</si>
  <si>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</si>
  <si>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</si>
  <si>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</si>
  <si>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</si>
  <si>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</si>
  <si>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</si>
  <si>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</si>
  <si>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</si>
  <si>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</si>
  <si>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</si>
  <si>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</si>
  <si>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</si>
  <si>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</si>
  <si>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</si>
  <si>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</si>
  <si>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</si>
  <si>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</si>
  <si>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</si>
  <si>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</si>
  <si>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</si>
  <si>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</si>
  <si>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</si>
  <si>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</si>
  <si>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</si>
  <si>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</si>
  <si>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</si>
  <si>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</si>
  <si>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</si>
  <si>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</si>
  <si>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</si>
  <si>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</si>
  <si>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</si>
  <si>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</si>
  <si>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</si>
  <si>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EOAN.DE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</si>
  <si>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</si>
  <si>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</si>
  <si>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</si>
  <si>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</si>
  <si>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</si>
  <si>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</si>
  <si>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</si>
  <si>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</si>
  <si>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</si>
  <si>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</si>
  <si>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</si>
  <si>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</si>
  <si>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</si>
  <si>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</si>
  <si>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</si>
  <si>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</si>
  <si>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</si>
  <si>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</si>
  <si>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</si>
  <si>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</si>
  <si>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</si>
  <si>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</si>
  <si>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</si>
  <si>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</si>
  <si>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</si>
  <si>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</si>
  <si>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</si>
  <si>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</si>
  <si>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</si>
  <si>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</si>
  <si>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EOAN.DE owner-FCF component DCF: base case (millions, EUR)</t>
  </si>
  <si>
    <t xml:space="preserve">EOAN.DE owner-FCF component DCF: bull case (millions, EUR)</t>
  </si>
  <si>
    <t xml:space="preserve">EOAN.DE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</si>
  <si>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</si>
  <si>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</si>
  <si>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</si>
  <si>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</si>
  <si>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</si>
  <si>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</si>
  <si>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</si>
  <si>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</si>
  <si>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</si>
  <si>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</si>
  <si>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</si>
  <si>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</si>
  <si>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</si>
  <si>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</si>
  <si>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5.5%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</si>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</sst>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18.55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row>
    <row r="2" customFormat="false" ht="15" hidden="false" customHeight="false" outlineLevel="0" collapsed="false">
      <c r="A2" s="0" t="s">
        <v>69</v>
      </c>
      <c r="B2" s="0" t="n">
        <v>64091</v>
      </c>
      <c r="F2" s="0" t="n">
        <v>8356</v>
      </c>
      <c r="G2" s="0" t="n">
        <v>13</v>
      </c>
      <c r="H2" s="0" t="n">
        <v>11724</v>
      </c>
      <c r="I2" s="0" t="n">
        <v>5586</v>
      </c>
      <c r="J2" s="0" t="n">
        <v>8.7</v>
      </c>
      <c r="K2" s="0" t="n">
        <v>2.82</v>
      </c>
      <c r="L2" s="0" t="n">
        <v>7161</v>
      </c>
      <c r="M2" s="0" t="n">
        <v>4096</v>
      </c>
      <c r="N2" s="0" t="n">
        <v>3065</v>
      </c>
      <c r="O2" s="0" t="n">
        <v>48712</v>
      </c>
      <c r="P2" s="0" t="n">
        <v>127575</v>
      </c>
      <c r="Q2" s="0" t="n">
        <v>76330</v>
      </c>
      <c r="R2" s="0" t="n">
        <v>13472</v>
      </c>
      <c r="S2" s="0" t="n">
        <v>1154</v>
      </c>
      <c r="T2" s="0" t="n">
        <v>1980</v>
      </c>
      <c r="AA2" s="0" t="s">
        <v>17</v>
      </c>
      <c r="AB2" s="0" t="s">
        <v>14</v>
      </c>
      <c r="AC2" s="0" t="n">
        <v>8356</v>
      </c>
      <c r="AD2" s="0" t="n">
        <v>11724</v>
      </c>
      <c r="AF2" s="0" t="n">
        <v>4682</v>
      </c>
      <c r="AH2" s="0" t="n">
        <v>51245</v>
      </c>
    </row>
    <row r="3" customFormat="false" ht="15" hidden="false" customHeight="false" outlineLevel="0" collapsed="false">
      <c r="A3" s="0" t="s">
        <v>70</v>
      </c>
      <c r="B3" s="0" t="n">
        <v>68731</v>
      </c>
      <c r="F3" s="0" t="n">
        <v>9208</v>
      </c>
      <c r="G3" s="0" t="n">
        <v>13.4</v>
      </c>
      <c r="H3" s="0" t="n">
        <v>12450</v>
      </c>
      <c r="I3" s="0" t="n">
        <v>7204</v>
      </c>
      <c r="J3" s="0" t="n">
        <v>10.5</v>
      </c>
      <c r="K3" s="0" t="n">
        <v>3.69</v>
      </c>
      <c r="L3" s="0" t="n">
        <v>8726</v>
      </c>
      <c r="M3" s="0" t="n">
        <v>6916</v>
      </c>
      <c r="N3" s="0" t="n">
        <v>1810</v>
      </c>
      <c r="O3" s="0" t="n">
        <v>49374</v>
      </c>
      <c r="P3" s="0" t="n">
        <v>137294</v>
      </c>
      <c r="Q3" s="0" t="n">
        <v>82164</v>
      </c>
      <c r="R3" s="0" t="n">
        <v>21464</v>
      </c>
      <c r="S3" s="0" t="n">
        <v>2887</v>
      </c>
      <c r="T3" s="0" t="n">
        <v>1896</v>
      </c>
      <c r="AA3" s="0" t="s">
        <v>17</v>
      </c>
      <c r="AB3" s="0" t="s">
        <v>14</v>
      </c>
      <c r="AC3" s="0" t="n">
        <v>9208</v>
      </c>
      <c r="AD3" s="0" t="n">
        <v>12450</v>
      </c>
      <c r="AF3" s="0" t="n">
        <v>5115</v>
      </c>
      <c r="AH3" s="0" t="n">
        <v>55130</v>
      </c>
    </row>
    <row r="4" customFormat="false" ht="15" hidden="false" customHeight="false" outlineLevel="0" collapsed="false">
      <c r="A4" s="0" t="s">
        <v>71</v>
      </c>
      <c r="B4" s="0" t="n">
        <v>86753</v>
      </c>
      <c r="F4" s="0" t="n">
        <v>9878</v>
      </c>
      <c r="G4" s="0" t="n">
        <v>11.4</v>
      </c>
      <c r="H4" s="0" t="n">
        <v>13385</v>
      </c>
      <c r="I4" s="0" t="n">
        <v>1283</v>
      </c>
      <c r="J4" s="0" t="n">
        <v>1.5</v>
      </c>
      <c r="K4" s="0" t="n">
        <v>0.69</v>
      </c>
      <c r="L4" s="0" t="n">
        <v>6738</v>
      </c>
      <c r="M4" s="0" t="n">
        <v>8996</v>
      </c>
      <c r="N4" s="0" t="n">
        <v>-2258</v>
      </c>
      <c r="O4" s="0" t="n">
        <v>34484</v>
      </c>
      <c r="P4" s="0" t="n">
        <v>156824</v>
      </c>
      <c r="Q4" s="0" t="n">
        <v>118380</v>
      </c>
      <c r="R4" s="0" t="n">
        <v>41058</v>
      </c>
      <c r="S4" s="0" t="n">
        <v>3671</v>
      </c>
      <c r="T4" s="0" t="n">
        <v>1905</v>
      </c>
      <c r="AA4" s="0" t="s">
        <v>17</v>
      </c>
      <c r="AB4" s="0" t="s">
        <v>14</v>
      </c>
      <c r="AC4" s="0" t="n">
        <v>9878</v>
      </c>
      <c r="AD4" s="0" t="n">
        <v>13385</v>
      </c>
      <c r="AF4" s="0" t="n">
        <v>5597</v>
      </c>
      <c r="AH4" s="0" t="n">
        <v>38444</v>
      </c>
    </row>
    <row r="5" customFormat="false" ht="15" hidden="false" customHeight="false" outlineLevel="0" collapsed="false">
      <c r="A5" s="0" t="s">
        <v>72</v>
      </c>
      <c r="B5" s="0" t="n">
        <v>81817</v>
      </c>
      <c r="F5" s="0" t="n">
        <v>9646</v>
      </c>
      <c r="G5" s="0" t="n">
        <v>11.8</v>
      </c>
      <c r="H5" s="0" t="n">
        <v>13526</v>
      </c>
      <c r="I5" s="0" t="n">
        <v>8396</v>
      </c>
      <c r="J5" s="0" t="n">
        <v>10.3</v>
      </c>
      <c r="K5" s="0" t="n">
        <v>4.41</v>
      </c>
      <c r="L5" s="0" t="n">
        <v>9054</v>
      </c>
      <c r="M5" s="0" t="n">
        <v>8376</v>
      </c>
      <c r="N5" s="0" t="n">
        <v>678</v>
      </c>
      <c r="O5" s="0" t="n">
        <v>40348</v>
      </c>
      <c r="P5" s="0" t="n">
        <v>152636</v>
      </c>
      <c r="Q5" s="0" t="n">
        <v>108681</v>
      </c>
      <c r="R5" s="0" t="n">
        <v>37777</v>
      </c>
      <c r="S5" s="0" t="n">
        <v>4210</v>
      </c>
      <c r="T5" s="0" t="n">
        <v>1905</v>
      </c>
      <c r="AA5" s="0" t="s">
        <v>17</v>
      </c>
      <c r="AB5" s="0" t="s">
        <v>14</v>
      </c>
      <c r="AC5" s="0" t="n">
        <v>9646</v>
      </c>
      <c r="AD5" s="0" t="n">
        <v>13526</v>
      </c>
      <c r="AF5" s="0" t="n">
        <v>5328</v>
      </c>
      <c r="AH5" s="0" t="n">
        <v>43955</v>
      </c>
    </row>
    <row r="6" customFormat="false" ht="15" hidden="false" customHeight="false" outlineLevel="0" collapsed="false">
      <c r="A6" s="0" t="s">
        <v>73</v>
      </c>
      <c r="B6" s="0" t="n">
        <v>92863</v>
      </c>
      <c r="F6" s="0" t="n">
        <v>9454</v>
      </c>
      <c r="G6" s="0" t="n">
        <v>10.2</v>
      </c>
      <c r="H6" s="0" t="n">
        <v>13346</v>
      </c>
      <c r="I6" s="0" t="n">
        <v>5853</v>
      </c>
      <c r="J6" s="0" t="n">
        <v>6.3</v>
      </c>
      <c r="K6" s="0" t="n">
        <v>3.07</v>
      </c>
      <c r="L6" s="0" t="n">
        <v>10614</v>
      </c>
      <c r="M6" s="0" t="n">
        <v>7904</v>
      </c>
      <c r="N6" s="0" t="n">
        <v>2710</v>
      </c>
      <c r="O6" s="0" t="n">
        <v>41653</v>
      </c>
      <c r="P6" s="0" t="n">
        <v>152881</v>
      </c>
      <c r="Q6" s="0" t="n">
        <v>107296</v>
      </c>
      <c r="R6" s="0" t="n">
        <v>32491</v>
      </c>
      <c r="S6" s="0" t="n">
        <v>6143</v>
      </c>
      <c r="T6" s="0" t="n">
        <v>1905</v>
      </c>
      <c r="AA6" s="0" t="s">
        <v>17</v>
      </c>
      <c r="AB6" s="0" t="s">
        <v>14</v>
      </c>
      <c r="AC6" s="0" t="n">
        <v>9454</v>
      </c>
      <c r="AD6" s="0" t="n">
        <v>13346</v>
      </c>
      <c r="AF6" s="0" t="n">
        <v>4882</v>
      </c>
      <c r="AH6" s="0" t="n">
        <v>45585</v>
      </c>
    </row>
    <row r="7" customFormat="false" ht="15" hidden="false" customHeight="false" outlineLevel="0" collapsed="false">
      <c r="A7" s="0" t="s">
        <v>74</v>
      </c>
      <c r="B7" s="0" t="n">
        <v>112954</v>
      </c>
      <c r="F7" s="0" t="n">
        <v>5438</v>
      </c>
      <c r="G7" s="0" t="n">
        <v>4.8</v>
      </c>
      <c r="H7" s="0" t="n">
        <v>9293</v>
      </c>
      <c r="I7" s="0" t="n">
        <v>-2219</v>
      </c>
      <c r="J7" s="0" t="n">
        <v>-2</v>
      </c>
      <c r="K7" s="0" t="n">
        <v>-1.16</v>
      </c>
      <c r="L7" s="0" t="n">
        <v>6610</v>
      </c>
      <c r="M7" s="0" t="n">
        <v>6216</v>
      </c>
      <c r="N7" s="0" t="n">
        <v>394</v>
      </c>
      <c r="O7" s="0" t="n">
        <v>35737</v>
      </c>
      <c r="P7" s="0" t="n">
        <v>152872</v>
      </c>
      <c r="Q7" s="0" t="n">
        <v>113259</v>
      </c>
      <c r="R7" s="0" t="n">
        <v>29914</v>
      </c>
      <c r="S7" s="0" t="n">
        <v>3852</v>
      </c>
      <c r="T7" s="0" t="n">
        <v>1905</v>
      </c>
      <c r="AA7" s="0" t="s">
        <v>17</v>
      </c>
      <c r="AB7" s="0" t="s">
        <v>14</v>
      </c>
      <c r="AC7" s="0" t="n">
        <v>5438</v>
      </c>
      <c r="AD7" s="0" t="n">
        <v>9293</v>
      </c>
      <c r="AF7" s="0" t="n">
        <v>2501</v>
      </c>
      <c r="AH7" s="0" t="n">
        <v>39613</v>
      </c>
    </row>
    <row r="8" customFormat="false" ht="15" hidden="false" customHeight="false" outlineLevel="0" collapsed="false">
      <c r="A8" s="0" t="s">
        <v>75</v>
      </c>
      <c r="B8" s="0" t="n">
        <v>132093</v>
      </c>
      <c r="F8" s="0" t="n">
        <v>7027</v>
      </c>
      <c r="G8" s="0" t="n">
        <v>5.3</v>
      </c>
      <c r="H8" s="0" t="n">
        <v>10786</v>
      </c>
      <c r="I8" s="0" t="n">
        <v>2217</v>
      </c>
      <c r="J8" s="0" t="n">
        <v>1.7</v>
      </c>
      <c r="K8" s="0" t="n">
        <v>1.16</v>
      </c>
      <c r="L8" s="0" t="n">
        <v>8808</v>
      </c>
      <c r="M8" s="0" t="n">
        <v>6379</v>
      </c>
      <c r="N8" s="0" t="n">
        <v>2429</v>
      </c>
      <c r="O8" s="0" t="n">
        <v>34957</v>
      </c>
      <c r="P8" s="0" t="n">
        <v>140426</v>
      </c>
      <c r="Q8" s="0" t="n">
        <v>101607</v>
      </c>
      <c r="R8" s="0" t="n">
        <v>25944</v>
      </c>
      <c r="S8" s="0" t="n">
        <v>2816</v>
      </c>
      <c r="T8" s="0" t="n">
        <v>1906</v>
      </c>
      <c r="AA8" s="0" t="s">
        <v>17</v>
      </c>
      <c r="AB8" s="0" t="s">
        <v>14</v>
      </c>
      <c r="AC8" s="0" t="n">
        <v>7027</v>
      </c>
      <c r="AD8" s="0" t="n">
        <v>10786</v>
      </c>
      <c r="AF8" s="0" t="n">
        <v>4187</v>
      </c>
      <c r="AH8" s="0" t="n">
        <v>38819</v>
      </c>
    </row>
    <row r="9" customFormat="false" ht="15" hidden="false" customHeight="false" outlineLevel="0" collapsed="false">
      <c r="A9" s="0" t="s">
        <v>76</v>
      </c>
      <c r="B9" s="0" t="n">
        <v>122450</v>
      </c>
      <c r="F9" s="0" t="n">
        <v>5681</v>
      </c>
      <c r="G9" s="0" t="n">
        <v>4.6</v>
      </c>
      <c r="H9" s="0" t="n">
        <v>9315</v>
      </c>
      <c r="I9" s="0" t="n">
        <v>2142</v>
      </c>
      <c r="J9" s="0" t="n">
        <v>1.7</v>
      </c>
      <c r="K9" s="0" t="n">
        <v>1.12</v>
      </c>
      <c r="L9" s="0" t="n">
        <v>6375</v>
      </c>
      <c r="M9" s="0" t="n">
        <v>4574</v>
      </c>
      <c r="N9" s="0" t="n">
        <v>1801</v>
      </c>
      <c r="O9" s="0" t="n">
        <v>33470</v>
      </c>
      <c r="P9" s="0" t="n">
        <v>130725</v>
      </c>
      <c r="Q9" s="0" t="n">
        <v>94340</v>
      </c>
      <c r="R9" s="0" t="n">
        <v>23260</v>
      </c>
      <c r="S9" s="0" t="n">
        <v>4027</v>
      </c>
      <c r="T9" s="0" t="n">
        <v>1908</v>
      </c>
      <c r="AA9" s="0" t="s">
        <v>17</v>
      </c>
      <c r="AB9" s="0" t="s">
        <v>14</v>
      </c>
      <c r="AC9" s="0" t="n">
        <v>5681</v>
      </c>
      <c r="AD9" s="0" t="n">
        <v>9315</v>
      </c>
      <c r="AF9" s="0" t="n">
        <v>2243</v>
      </c>
      <c r="AH9" s="0" t="n">
        <v>36385</v>
      </c>
    </row>
    <row r="10" customFormat="false" ht="15" hidden="false" customHeight="false" outlineLevel="0" collapsed="false">
      <c r="A10" s="0" t="s">
        <v>77</v>
      </c>
      <c r="B10" s="0" t="n">
        <v>111556</v>
      </c>
      <c r="F10" s="0" t="n">
        <v>4664</v>
      </c>
      <c r="G10" s="0" t="n">
        <v>4.2</v>
      </c>
      <c r="H10" s="0" t="n">
        <v>8337</v>
      </c>
      <c r="I10" s="0" t="n">
        <v>-3160</v>
      </c>
      <c r="J10" s="0" t="n">
        <v>-2.8</v>
      </c>
      <c r="K10" s="0" t="n">
        <v>-1.64</v>
      </c>
      <c r="L10" s="0" t="n">
        <v>6253</v>
      </c>
      <c r="M10" s="0" t="n">
        <v>3994</v>
      </c>
      <c r="N10" s="0" t="n">
        <v>2259</v>
      </c>
      <c r="O10" s="0" t="n">
        <v>24585</v>
      </c>
      <c r="P10" s="0" t="n">
        <v>125690</v>
      </c>
      <c r="Q10" s="0" t="n">
        <v>98977</v>
      </c>
      <c r="R10" s="0" t="n">
        <v>19667</v>
      </c>
      <c r="S10" s="0" t="n">
        <v>3191</v>
      </c>
      <c r="T10" s="0" t="n">
        <v>1933</v>
      </c>
      <c r="V10" s="0" t="n">
        <v>0.5</v>
      </c>
      <c r="AA10" s="0" t="s">
        <v>17</v>
      </c>
      <c r="AB10" s="0" t="s">
        <v>14</v>
      </c>
      <c r="AC10" s="0" t="n">
        <v>4664</v>
      </c>
      <c r="AD10" s="0" t="n">
        <v>8337</v>
      </c>
      <c r="AF10" s="0" t="n">
        <v>1612</v>
      </c>
      <c r="AH10" s="0" t="n">
        <v>26713</v>
      </c>
    </row>
    <row r="11" customFormat="false" ht="15" hidden="false" customHeight="false" outlineLevel="0" collapsed="false">
      <c r="A11" s="0" t="s">
        <v>78</v>
      </c>
      <c r="B11" s="0" t="n">
        <v>116218</v>
      </c>
      <c r="F11" s="0" t="n">
        <v>4369</v>
      </c>
      <c r="G11" s="0" t="n">
        <v>3.8</v>
      </c>
      <c r="H11" s="0" t="n">
        <v>7557</v>
      </c>
      <c r="I11" s="0" t="n">
        <v>-6999</v>
      </c>
      <c r="J11" s="0" t="n">
        <v>-6</v>
      </c>
      <c r="K11" s="0" t="n">
        <v>-3.6</v>
      </c>
      <c r="L11" s="0" t="n">
        <v>6133</v>
      </c>
      <c r="M11" s="0" t="n">
        <v>3852</v>
      </c>
      <c r="N11" s="0" t="n">
        <v>2281</v>
      </c>
      <c r="O11" s="0" t="n">
        <v>16429</v>
      </c>
      <c r="P11" s="0" t="n">
        <v>113693</v>
      </c>
      <c r="Q11" s="0" t="n">
        <v>94616</v>
      </c>
      <c r="R11" s="0" t="n">
        <v>17742</v>
      </c>
      <c r="S11" s="0" t="n">
        <v>5189</v>
      </c>
      <c r="T11" s="0" t="n">
        <v>1951</v>
      </c>
      <c r="V11" s="0" t="n">
        <v>0.5</v>
      </c>
      <c r="AA11" s="0" t="s">
        <v>17</v>
      </c>
      <c r="AB11" s="0" t="s">
        <v>14</v>
      </c>
      <c r="AC11" s="0" t="n">
        <v>4369</v>
      </c>
      <c r="AD11" s="0" t="n">
        <v>7557</v>
      </c>
      <c r="AF11" s="0" t="n">
        <v>1648</v>
      </c>
      <c r="AG11" s="0" t="n">
        <v>56490</v>
      </c>
      <c r="AH11" s="0" t="n">
        <v>19077</v>
      </c>
    </row>
    <row r="12" customFormat="false" ht="15" hidden="false" customHeight="false" outlineLevel="0" collapsed="false">
      <c r="A12" s="0" t="s">
        <v>79</v>
      </c>
      <c r="B12" s="0" t="n">
        <v>38173</v>
      </c>
      <c r="F12" s="0" t="n">
        <v>3112</v>
      </c>
      <c r="G12" s="0" t="n">
        <v>8.2</v>
      </c>
      <c r="H12" s="0" t="n">
        <v>4939</v>
      </c>
      <c r="I12" s="0" t="n">
        <v>-8450</v>
      </c>
      <c r="J12" s="0" t="n">
        <v>-22.1</v>
      </c>
      <c r="K12" s="0" t="n">
        <v>-4.33</v>
      </c>
      <c r="L12" s="0" t="n">
        <v>2961</v>
      </c>
      <c r="M12" s="0" t="n">
        <v>3035</v>
      </c>
      <c r="N12" s="0" t="n">
        <v>-74</v>
      </c>
      <c r="O12" s="0" t="n">
        <v>-1055</v>
      </c>
      <c r="P12" s="0" t="n">
        <v>63699</v>
      </c>
      <c r="Q12" s="0" t="n">
        <v>62412</v>
      </c>
      <c r="R12" s="0" t="n">
        <v>14227</v>
      </c>
      <c r="S12" s="0" t="n">
        <v>5574</v>
      </c>
      <c r="T12" s="0" t="n">
        <v>1952</v>
      </c>
      <c r="V12" s="0" t="n">
        <v>0.21</v>
      </c>
      <c r="AA12" s="0" t="s">
        <v>17</v>
      </c>
      <c r="AB12" s="0" t="s">
        <v>14</v>
      </c>
      <c r="AC12" s="0" t="n">
        <v>3112</v>
      </c>
      <c r="AD12" s="0" t="n">
        <v>4939</v>
      </c>
      <c r="AF12" s="0" t="n">
        <v>904</v>
      </c>
      <c r="AG12" s="0" t="n">
        <v>43138</v>
      </c>
      <c r="AH12" s="0" t="n">
        <v>1287</v>
      </c>
    </row>
    <row r="13" customFormat="false" ht="15" hidden="false" customHeight="false" outlineLevel="0" collapsed="false">
      <c r="A13" s="0" t="s">
        <v>80</v>
      </c>
      <c r="B13" s="0" t="n">
        <v>37965</v>
      </c>
      <c r="F13" s="0" t="n">
        <v>3074</v>
      </c>
      <c r="G13" s="0" t="n">
        <v>8.1</v>
      </c>
      <c r="H13" s="0" t="n">
        <v>4955</v>
      </c>
      <c r="I13" s="0" t="n">
        <v>3925</v>
      </c>
      <c r="J13" s="0" t="n">
        <v>10.3</v>
      </c>
      <c r="K13" s="0" t="n">
        <v>1.84</v>
      </c>
      <c r="L13" s="0" t="n">
        <v>-2952</v>
      </c>
      <c r="M13" s="0" t="n">
        <v>3076</v>
      </c>
      <c r="N13" s="0" t="n">
        <v>-6028</v>
      </c>
      <c r="O13" s="0" t="n">
        <v>4007</v>
      </c>
      <c r="P13" s="0" t="n">
        <v>55950</v>
      </c>
      <c r="Q13" s="0" t="n">
        <v>49242</v>
      </c>
      <c r="R13" s="0" t="n">
        <v>13021</v>
      </c>
      <c r="S13" s="0" t="n">
        <v>2708</v>
      </c>
      <c r="T13" s="0" t="n">
        <v>2167</v>
      </c>
      <c r="U13" s="0" t="n">
        <v>6.5</v>
      </c>
      <c r="V13" s="0" t="n">
        <v>0.3</v>
      </c>
      <c r="AA13" s="0" t="s">
        <v>17</v>
      </c>
      <c r="AB13" s="0" t="s">
        <v>14</v>
      </c>
      <c r="AC13" s="0" t="n">
        <v>3074</v>
      </c>
      <c r="AD13" s="0" t="n">
        <v>4955</v>
      </c>
      <c r="AF13" s="0" t="n">
        <v>1427</v>
      </c>
      <c r="AG13" s="0" t="n">
        <v>42699</v>
      </c>
      <c r="AH13" s="0" t="n">
        <v>6708</v>
      </c>
    </row>
    <row r="14" customFormat="false" ht="15" hidden="false" customHeight="false" outlineLevel="0" collapsed="false">
      <c r="A14" s="0" t="s">
        <v>81</v>
      </c>
      <c r="B14" s="0" t="n">
        <v>30253</v>
      </c>
      <c r="F14" s="0" t="n">
        <v>2989</v>
      </c>
      <c r="G14" s="0" t="n">
        <v>9.9</v>
      </c>
      <c r="H14" s="0" t="n">
        <v>4840</v>
      </c>
      <c r="I14" s="0" t="n">
        <v>3223</v>
      </c>
      <c r="J14" s="0" t="n">
        <v>10.7</v>
      </c>
      <c r="K14" s="0" t="n">
        <v>1.49</v>
      </c>
      <c r="L14" s="0" t="n">
        <v>2853</v>
      </c>
      <c r="M14" s="0" t="n">
        <v>2280</v>
      </c>
      <c r="N14" s="0" t="n">
        <v>573</v>
      </c>
      <c r="O14" s="0" t="n">
        <v>5758</v>
      </c>
      <c r="P14" s="0" t="n">
        <v>54324</v>
      </c>
      <c r="Q14" s="0" t="n">
        <v>45806</v>
      </c>
      <c r="R14" s="0" t="n">
        <v>9886</v>
      </c>
      <c r="S14" s="0" t="n">
        <v>3924</v>
      </c>
      <c r="T14" s="0" t="n">
        <v>2167</v>
      </c>
      <c r="U14" s="0" t="n">
        <v>3.6</v>
      </c>
      <c r="V14" s="0" t="n">
        <v>0.43</v>
      </c>
      <c r="AA14" s="0" t="s">
        <v>17</v>
      </c>
      <c r="AB14" s="0" t="s">
        <v>14</v>
      </c>
      <c r="AC14" s="0" t="n">
        <v>2989</v>
      </c>
      <c r="AD14" s="0" t="n">
        <v>4840</v>
      </c>
      <c r="AF14" s="0" t="n">
        <v>1505</v>
      </c>
      <c r="AH14" s="0" t="n">
        <v>8518</v>
      </c>
    </row>
    <row r="15" customFormat="false" ht="15" hidden="false" customHeight="false" outlineLevel="0" collapsed="false">
      <c r="A15" s="0" t="s">
        <v>82</v>
      </c>
      <c r="B15" s="0" t="n">
        <v>41484</v>
      </c>
      <c r="F15" s="0" t="n">
        <v>3235</v>
      </c>
      <c r="G15" s="0" t="n">
        <v>7.8</v>
      </c>
      <c r="H15" s="0" t="n">
        <v>5558</v>
      </c>
      <c r="I15" s="0" t="n">
        <v>1566</v>
      </c>
      <c r="J15" s="0" t="n">
        <v>3.8</v>
      </c>
      <c r="K15" s="0" t="n">
        <v>0.68</v>
      </c>
      <c r="L15" s="0" t="n">
        <v>2965</v>
      </c>
      <c r="M15" s="0" t="n">
        <v>3241</v>
      </c>
      <c r="N15" s="0" t="n">
        <v>-276</v>
      </c>
      <c r="O15" s="0" t="n">
        <v>9077</v>
      </c>
      <c r="P15" s="0" t="n">
        <v>98566</v>
      </c>
      <c r="Q15" s="0" t="n">
        <v>85481</v>
      </c>
      <c r="R15" s="0" t="n">
        <v>31948</v>
      </c>
      <c r="S15" s="0" t="n">
        <v>1894</v>
      </c>
      <c r="T15" s="0" t="n">
        <v>2607</v>
      </c>
      <c r="U15" s="0" t="n">
        <v>5.4</v>
      </c>
      <c r="V15" s="0" t="n">
        <v>0.46</v>
      </c>
      <c r="AA15" s="0" t="s">
        <v>17</v>
      </c>
      <c r="AB15" s="0" t="s">
        <v>14</v>
      </c>
      <c r="AC15" s="0" t="n">
        <v>3235</v>
      </c>
      <c r="AD15" s="0" t="n">
        <v>5558</v>
      </c>
      <c r="AF15" s="0" t="n">
        <v>1536</v>
      </c>
      <c r="AH15" s="0" t="n">
        <v>13085</v>
      </c>
    </row>
    <row r="16" customFormat="false" ht="15" hidden="false" customHeight="false" outlineLevel="0" collapsed="false">
      <c r="A16" s="0" t="s">
        <v>83</v>
      </c>
      <c r="B16" s="0" t="n">
        <v>60944</v>
      </c>
      <c r="F16" s="0" t="n">
        <v>3776</v>
      </c>
      <c r="G16" s="0" t="n">
        <v>6.2</v>
      </c>
      <c r="H16" s="0" t="n">
        <v>6905</v>
      </c>
      <c r="I16" s="0" t="n">
        <v>1017</v>
      </c>
      <c r="J16" s="0" t="n">
        <v>1.7</v>
      </c>
      <c r="K16" s="0" t="n">
        <v>0.39</v>
      </c>
      <c r="L16" s="0" t="n">
        <v>5313</v>
      </c>
      <c r="M16" s="0" t="n">
        <v>4362</v>
      </c>
      <c r="N16" s="0" t="n">
        <v>951</v>
      </c>
      <c r="O16" s="0" t="n">
        <v>4925</v>
      </c>
      <c r="P16" s="0" t="n">
        <v>95385</v>
      </c>
      <c r="Q16" s="0" t="n">
        <v>86330</v>
      </c>
      <c r="R16" s="0" t="n">
        <v>32841</v>
      </c>
      <c r="S16" s="0" t="n">
        <v>2668</v>
      </c>
      <c r="T16" s="0" t="n">
        <v>2607</v>
      </c>
      <c r="U16" s="0" t="n">
        <v>5.1</v>
      </c>
      <c r="V16" s="0" t="n">
        <v>0.47</v>
      </c>
      <c r="AA16" s="0" t="s">
        <v>17</v>
      </c>
      <c r="AB16" s="0" t="s">
        <v>14</v>
      </c>
      <c r="AC16" s="0" t="n">
        <v>3776</v>
      </c>
      <c r="AD16" s="0" t="n">
        <v>6905</v>
      </c>
      <c r="AF16" s="0" t="n">
        <v>1638</v>
      </c>
      <c r="AH16" s="0" t="n">
        <v>9055</v>
      </c>
    </row>
    <row r="17" customFormat="false" ht="15" hidden="false" customHeight="false" outlineLevel="0" collapsed="false">
      <c r="A17" s="0" t="s">
        <v>84</v>
      </c>
      <c r="B17" s="0" t="n">
        <v>77358</v>
      </c>
      <c r="F17" s="0" t="n">
        <v>4723</v>
      </c>
      <c r="G17" s="0" t="n">
        <v>6.1</v>
      </c>
      <c r="H17" s="0" t="n">
        <v>7889</v>
      </c>
      <c r="I17" s="0" t="n">
        <v>4691</v>
      </c>
      <c r="J17" s="0" t="n">
        <v>6.1</v>
      </c>
      <c r="K17" s="0" t="n">
        <v>1.8</v>
      </c>
      <c r="L17" s="0" t="n">
        <v>4069</v>
      </c>
      <c r="M17" s="0" t="n">
        <v>4487</v>
      </c>
      <c r="N17" s="0" t="n">
        <v>-418</v>
      </c>
      <c r="O17" s="0" t="n">
        <v>12053</v>
      </c>
      <c r="P17" s="0" t="n">
        <v>119759</v>
      </c>
      <c r="Q17" s="0" t="n">
        <v>101870</v>
      </c>
      <c r="R17" s="0" t="n">
        <v>34661</v>
      </c>
      <c r="S17" s="0" t="n">
        <v>3634</v>
      </c>
      <c r="T17" s="0" t="n">
        <v>2607</v>
      </c>
      <c r="U17" s="0" t="n">
        <v>9.2</v>
      </c>
      <c r="V17" s="0" t="n">
        <v>0.49</v>
      </c>
      <c r="AA17" s="0" t="s">
        <v>17</v>
      </c>
      <c r="AB17" s="0" t="s">
        <v>14</v>
      </c>
      <c r="AC17" s="0" t="n">
        <v>4723</v>
      </c>
      <c r="AD17" s="0" t="n">
        <v>7889</v>
      </c>
      <c r="AF17" s="0" t="n">
        <v>2503</v>
      </c>
      <c r="AG17" s="0" t="n">
        <v>69733</v>
      </c>
      <c r="AH17" s="0" t="n">
        <v>17889</v>
      </c>
    </row>
    <row r="18" customFormat="false" ht="15" hidden="false" customHeight="false" outlineLevel="0" collapsed="false">
      <c r="A18" s="0" t="s">
        <v>85</v>
      </c>
      <c r="B18" s="0" t="n">
        <v>115660</v>
      </c>
      <c r="F18" s="0" t="n">
        <v>5197</v>
      </c>
      <c r="G18" s="0" t="n">
        <v>4.5</v>
      </c>
      <c r="H18" s="0" t="n">
        <v>8059</v>
      </c>
      <c r="I18" s="0" t="n">
        <v>1831</v>
      </c>
      <c r="J18" s="0" t="n">
        <v>1.6</v>
      </c>
      <c r="K18" s="0" t="n">
        <v>0.7</v>
      </c>
      <c r="L18" s="0" t="n">
        <v>10045</v>
      </c>
      <c r="M18" s="0" t="n">
        <v>4576</v>
      </c>
      <c r="N18" s="0" t="n">
        <v>5469</v>
      </c>
      <c r="O18" s="0" t="n">
        <v>15923</v>
      </c>
      <c r="P18" s="0" t="n">
        <v>134009</v>
      </c>
      <c r="Q18" s="0" t="n">
        <v>112142</v>
      </c>
      <c r="R18" s="0" t="n">
        <v>34151</v>
      </c>
      <c r="S18" s="0" t="n">
        <v>7324</v>
      </c>
      <c r="T18" s="0" t="n">
        <v>2609</v>
      </c>
      <c r="U18" s="0" t="n">
        <v>2.7</v>
      </c>
      <c r="V18" s="0" t="n">
        <v>0.51</v>
      </c>
      <c r="AA18" s="0" t="s">
        <v>17</v>
      </c>
      <c r="AB18" s="0" t="s">
        <v>14</v>
      </c>
      <c r="AC18" s="0" t="n">
        <v>5197</v>
      </c>
      <c r="AD18" s="0" t="n">
        <v>8059</v>
      </c>
      <c r="AF18" s="0" t="n">
        <v>2728</v>
      </c>
      <c r="AG18" s="0" t="n">
        <v>71613</v>
      </c>
      <c r="AH18" s="0" t="n">
        <v>21867</v>
      </c>
    </row>
    <row r="19" customFormat="false" ht="15" hidden="false" customHeight="false" outlineLevel="0" collapsed="false">
      <c r="A19" s="0" t="s">
        <v>86</v>
      </c>
      <c r="B19" s="0" t="n">
        <v>93686</v>
      </c>
      <c r="F19" s="0" t="n">
        <v>6387</v>
      </c>
      <c r="G19" s="0" t="n">
        <v>6.8</v>
      </c>
      <c r="H19" s="0" t="n">
        <v>9370</v>
      </c>
      <c r="I19" s="0" t="n">
        <v>517</v>
      </c>
      <c r="J19" s="0" t="n">
        <v>0.6</v>
      </c>
      <c r="K19" s="0" t="n">
        <v>0.2</v>
      </c>
      <c r="L19" s="0" t="n">
        <v>5654</v>
      </c>
      <c r="M19" s="0" t="n">
        <v>6010</v>
      </c>
      <c r="N19" s="0" t="n">
        <v>-356</v>
      </c>
      <c r="O19" s="0" t="n">
        <v>14114</v>
      </c>
      <c r="P19" s="0" t="n">
        <v>113506</v>
      </c>
      <c r="Q19" s="0" t="n">
        <v>93536</v>
      </c>
      <c r="R19" s="0" t="n">
        <v>35440</v>
      </c>
      <c r="S19" s="0" t="n">
        <v>5585</v>
      </c>
      <c r="T19" s="0" t="n">
        <v>2610</v>
      </c>
      <c r="U19" s="0" t="n">
        <v>11</v>
      </c>
      <c r="V19" s="0" t="n">
        <v>0.53</v>
      </c>
      <c r="AA19" s="0" t="s">
        <v>17</v>
      </c>
      <c r="AB19" s="0" t="s">
        <v>14</v>
      </c>
      <c r="AC19" s="0" t="n">
        <v>6387</v>
      </c>
      <c r="AD19" s="0" t="n">
        <v>9370</v>
      </c>
      <c r="AE19" s="0" t="n">
        <v>1.18</v>
      </c>
      <c r="AF19" s="0" t="n">
        <v>3068</v>
      </c>
      <c r="AG19" s="0" t="n">
        <v>72242</v>
      </c>
      <c r="AH19" s="0" t="n">
        <v>19970</v>
      </c>
    </row>
    <row r="20" customFormat="false" ht="15" hidden="false" customHeight="false" outlineLevel="0" collapsed="false">
      <c r="A20" s="0" t="s">
        <v>87</v>
      </c>
      <c r="B20" s="0" t="n">
        <v>80119</v>
      </c>
      <c r="F20" s="0" t="n">
        <v>5762</v>
      </c>
      <c r="G20" s="0" t="n">
        <v>7.2</v>
      </c>
      <c r="H20" s="0" t="n">
        <v>9049</v>
      </c>
      <c r="I20" s="0" t="n">
        <v>4531</v>
      </c>
      <c r="J20" s="0" t="n">
        <v>5.7</v>
      </c>
      <c r="K20" s="0" t="n">
        <v>1.73</v>
      </c>
      <c r="L20" s="0" t="n">
        <v>5673</v>
      </c>
      <c r="M20" s="0" t="n">
        <v>6971</v>
      </c>
      <c r="N20" s="0" t="n">
        <v>-1298</v>
      </c>
      <c r="O20" s="0" t="n">
        <v>17841</v>
      </c>
      <c r="P20" s="0" t="n">
        <v>111361</v>
      </c>
      <c r="Q20" s="0" t="n">
        <v>87195</v>
      </c>
      <c r="R20" s="0" t="n">
        <v>39064</v>
      </c>
      <c r="S20" s="0" t="n">
        <v>5752</v>
      </c>
      <c r="T20" s="0" t="n">
        <v>2612</v>
      </c>
      <c r="U20" s="0" t="n">
        <v>11.3</v>
      </c>
      <c r="V20" s="0" t="n">
        <v>0.55</v>
      </c>
      <c r="AA20" s="0" t="s">
        <v>17</v>
      </c>
      <c r="AB20" s="0" t="s">
        <v>14</v>
      </c>
      <c r="AC20" s="0" t="n">
        <v>5762</v>
      </c>
      <c r="AD20" s="0" t="n">
        <v>9049</v>
      </c>
      <c r="AE20" s="0" t="n">
        <v>1.09</v>
      </c>
      <c r="AF20" s="0" t="n">
        <v>2856</v>
      </c>
      <c r="AH20" s="0" t="n">
        <v>24166</v>
      </c>
    </row>
    <row r="21" customFormat="false" ht="15" hidden="false" customHeight="false" outlineLevel="0" collapsed="false">
      <c r="A21" s="0" t="s">
        <v>88</v>
      </c>
      <c r="B21" s="0" t="n">
        <v>78704</v>
      </c>
      <c r="F21" s="0" t="n">
        <v>6227</v>
      </c>
      <c r="G21" s="0" t="n">
        <v>7.9</v>
      </c>
      <c r="H21" s="0" t="n">
        <v>9849</v>
      </c>
      <c r="I21" s="0" t="n">
        <v>1734</v>
      </c>
      <c r="J21" s="0" t="n">
        <v>2.2</v>
      </c>
      <c r="K21" s="0" t="n">
        <v>0.66</v>
      </c>
      <c r="L21" s="0" t="n">
        <v>7003</v>
      </c>
      <c r="M21" s="0" t="n">
        <v>7940</v>
      </c>
      <c r="N21" s="0" t="n">
        <v>-937</v>
      </c>
      <c r="O21" s="0" t="n">
        <v>19260</v>
      </c>
      <c r="P21" s="0" t="n">
        <v>110685</v>
      </c>
      <c r="Q21" s="0" t="n">
        <v>84852</v>
      </c>
      <c r="R21" s="0" t="n">
        <v>38498</v>
      </c>
      <c r="S21" s="0" t="n">
        <v>3047</v>
      </c>
      <c r="T21" s="0" t="n">
        <v>2613</v>
      </c>
      <c r="AA21" s="0" t="s">
        <v>17</v>
      </c>
      <c r="AB21" s="0" t="s">
        <v>14</v>
      </c>
      <c r="AC21" s="0" t="n">
        <v>6227</v>
      </c>
      <c r="AD21" s="0" t="n">
        <v>9849</v>
      </c>
      <c r="AE21" s="0" t="n">
        <v>1.16</v>
      </c>
      <c r="AF21" s="0" t="n">
        <v>3022</v>
      </c>
      <c r="AH21" s="0" t="n">
        <v>25833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89</v>
      </c>
      <c r="B1" s="2" t="s">
        <v>90</v>
      </c>
    </row>
    <row r="2" customFormat="false" ht="15" hidden="false" customHeight="false" outlineLevel="0" collapsed="false">
      <c r="A2" s="0" t="s">
        <v>91</v>
      </c>
      <c r="B2" s="3" t="n">
        <v>18.55</v>
      </c>
    </row>
    <row r="3" customFormat="false" ht="15" hidden="false" customHeight="false" outlineLevel="0" collapsed="false">
      <c r="A3" s="0" t="s">
        <v>92</v>
      </c>
      <c r="B3" s="3" t="n">
        <v>2613</v>
      </c>
    </row>
    <row r="4" customFormat="false" ht="15" hidden="false" customHeight="false" outlineLevel="0" collapsed="false">
      <c r="A4" s="0" t="s">
        <v>93</v>
      </c>
      <c r="B4" s="3" t="n">
        <v>43236</v>
      </c>
    </row>
    <row r="5" customFormat="false" ht="15" hidden="false" customHeight="false" outlineLevel="0" collapsed="false">
      <c r="A5" s="0" t="s">
        <v>94</v>
      </c>
      <c r="B5" s="3" t="n">
        <v>-8300</v>
      </c>
    </row>
    <row r="6" customFormat="false" ht="15" hidden="false" customHeight="false" outlineLevel="0" collapsed="false">
      <c r="A6" s="0" t="s">
        <v>95</v>
      </c>
      <c r="B6" s="3" t="n">
        <v>15</v>
      </c>
    </row>
    <row r="7" customFormat="false" ht="15" hidden="false" customHeight="false" outlineLevel="0" collapsed="false">
      <c r="A7" s="0" t="s">
        <v>96</v>
      </c>
      <c r="B7" s="3" t="n">
        <v>78704</v>
      </c>
    </row>
    <row r="8" customFormat="false" ht="15" hidden="false" customHeight="false" outlineLevel="0" collapsed="false">
      <c r="A8" s="0" t="s">
        <v>97</v>
      </c>
      <c r="B8" s="3" t="s">
        <v>88</v>
      </c>
    </row>
    <row r="9" customFormat="false" ht="15" hidden="false" customHeight="false" outlineLevel="0" collapsed="false">
      <c r="A9" s="0" t="s">
        <v>98</v>
      </c>
      <c r="B9" s="3" t="s">
        <v>99</v>
      </c>
    </row>
    <row r="10" customFormat="false" ht="15" hidden="false" customHeight="false" outlineLevel="0" collapsed="false">
      <c r="A10" s="0" t="s">
        <v>100</v>
      </c>
      <c r="B10" s="3" t="n">
        <v>1</v>
      </c>
    </row>
    <row r="12" customFormat="false" ht="15" hidden="false" customHeight="false" outlineLevel="0" collapsed="false">
      <c r="A12" s="2" t="s">
        <v>101</v>
      </c>
      <c r="C12" s="2" t="s">
        <v>102</v>
      </c>
      <c r="D12" s="2" t="s">
        <v>103</v>
      </c>
      <c r="E12" s="2" t="s">
        <v>104</v>
      </c>
      <c r="F12" s="2" t="s">
        <v>105</v>
      </c>
      <c r="G12" s="2" t="s">
        <v>106</v>
      </c>
      <c r="H12" s="2" t="s">
        <v>107</v>
      </c>
      <c r="I12" s="2" t="s">
        <v>108</v>
      </c>
      <c r="J12" s="2" t="s">
        <v>109</v>
      </c>
      <c r="K12" s="2" t="s">
        <v>110</v>
      </c>
      <c r="L12" s="2" t="s">
        <v>111</v>
      </c>
    </row>
    <row r="13" customFormat="false" ht="15" hidden="false" customHeight="false" outlineLevel="0" collapsed="false">
      <c r="A13" s="0" t="s">
        <v>112</v>
      </c>
      <c r="C13" s="3" t="n">
        <v>-8</v>
      </c>
      <c r="D13" s="3" t="n">
        <v>2.5</v>
      </c>
      <c r="E13" s="3" t="n">
        <v>2.5</v>
      </c>
      <c r="F13" s="3" t="n">
        <v>2.5</v>
      </c>
      <c r="G13" s="3" t="n">
        <v>2.5</v>
      </c>
      <c r="H13" s="3" t="n">
        <v>2.25</v>
      </c>
      <c r="I13" s="3" t="n">
        <v>2.25</v>
      </c>
      <c r="J13" s="3" t="n">
        <v>2</v>
      </c>
      <c r="K13" s="3" t="n">
        <v>2</v>
      </c>
      <c r="L13" s="3" t="n">
        <v>2</v>
      </c>
    </row>
    <row r="14" customFormat="false" ht="15" hidden="false" customHeight="false" outlineLevel="0" collapsed="false">
      <c r="A14" s="0" t="s">
        <v>113</v>
      </c>
      <c r="C14" s="3" t="n">
        <v>12.98</v>
      </c>
      <c r="D14" s="3" t="n">
        <v>13.2</v>
      </c>
      <c r="E14" s="3" t="n">
        <v>13.54</v>
      </c>
      <c r="F14" s="3" t="n">
        <v>13.85</v>
      </c>
      <c r="G14" s="3" t="n">
        <v>14.39</v>
      </c>
      <c r="H14" s="3" t="n">
        <v>14.68</v>
      </c>
      <c r="I14" s="3" t="n">
        <v>14.84</v>
      </c>
      <c r="J14" s="3" t="n">
        <v>15.02</v>
      </c>
      <c r="K14" s="3" t="n">
        <v>15.18</v>
      </c>
      <c r="L14" s="3" t="n">
        <v>15.34</v>
      </c>
    </row>
    <row r="15" customFormat="false" ht="15" hidden="false" customHeight="false" outlineLevel="0" collapsed="false">
      <c r="A15" s="0" t="s">
        <v>114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116</v>
      </c>
      <c r="C17" s="3" t="n">
        <v>5.25</v>
      </c>
      <c r="D17" s="3" t="n">
        <v>5.52</v>
      </c>
      <c r="E17" s="3" t="n">
        <v>5.78</v>
      </c>
      <c r="F17" s="3" t="n">
        <v>6.03</v>
      </c>
      <c r="G17" s="3" t="n">
        <v>6.26</v>
      </c>
      <c r="H17" s="3" t="n">
        <v>6.42</v>
      </c>
      <c r="I17" s="3" t="n">
        <v>6.52</v>
      </c>
      <c r="J17" s="3" t="n">
        <v>6.57</v>
      </c>
      <c r="K17" s="3" t="n">
        <v>6.61</v>
      </c>
      <c r="L17" s="3" t="n">
        <v>6.6</v>
      </c>
    </row>
    <row r="18" customFormat="false" ht="15" hidden="false" customHeight="false" outlineLevel="0" collapsed="false">
      <c r="A18" s="0" t="s">
        <v>117</v>
      </c>
      <c r="C18" s="3" t="n">
        <v>12.02</v>
      </c>
      <c r="D18" s="3" t="n">
        <v>12.53</v>
      </c>
      <c r="E18" s="3" t="n">
        <v>12.62</v>
      </c>
      <c r="F18" s="3" t="n">
        <v>12.57</v>
      </c>
      <c r="G18" s="3" t="n">
        <v>12.39</v>
      </c>
      <c r="H18" s="3" t="n">
        <v>11.01</v>
      </c>
      <c r="I18" s="3" t="n">
        <v>10.17</v>
      </c>
      <c r="J18" s="3" t="n">
        <v>9.5</v>
      </c>
      <c r="K18" s="3" t="n">
        <v>8.97</v>
      </c>
      <c r="L18" s="3" t="n">
        <v>8.57</v>
      </c>
    </row>
    <row r="19" customFormat="false" ht="15" hidden="false" customHeight="false" outlineLevel="0" collapsed="false">
      <c r="A19" s="0" t="s">
        <v>118</v>
      </c>
      <c r="C19" s="3" t="n">
        <v>21</v>
      </c>
      <c r="D19" s="3" t="n">
        <v>21</v>
      </c>
      <c r="E19" s="3" t="n">
        <v>21.5</v>
      </c>
      <c r="F19" s="3" t="n">
        <v>22</v>
      </c>
      <c r="G19" s="3" t="n">
        <v>22.5</v>
      </c>
      <c r="H19" s="3" t="n">
        <v>23</v>
      </c>
      <c r="I19" s="3" t="n">
        <v>23.5</v>
      </c>
      <c r="J19" s="3" t="n">
        <v>24</v>
      </c>
      <c r="K19" s="3" t="n">
        <v>24.5</v>
      </c>
      <c r="L19" s="3" t="n">
        <v>25</v>
      </c>
    </row>
    <row r="20" customFormat="false" ht="15" hidden="false" customHeight="false" outlineLevel="0" collapsed="false">
      <c r="A20" s="0" t="s">
        <v>119</v>
      </c>
      <c r="B20" s="3" t="n">
        <v>5.5</v>
      </c>
    </row>
    <row r="21" customFormat="false" ht="15" hidden="false" customHeight="false" outlineLevel="0" collapsed="false">
      <c r="A21" s="0" t="s">
        <v>120</v>
      </c>
      <c r="B21" s="3" t="n">
        <v>1.5</v>
      </c>
    </row>
    <row r="22" customFormat="false" ht="15" hidden="false" customHeight="false" outlineLevel="0" collapsed="false">
      <c r="A22" s="0" t="s">
        <v>121</v>
      </c>
      <c r="B22" s="3" t="n">
        <v>30</v>
      </c>
    </row>
    <row r="23" customFormat="false" ht="15" hidden="false" customHeight="false" outlineLevel="0" collapsed="false">
      <c r="A23" s="0" t="s">
        <v>122</v>
      </c>
      <c r="B23" s="3" t="n">
        <v>0</v>
      </c>
    </row>
    <row r="24" customFormat="false" ht="15" hidden="false" customHeight="false" outlineLevel="0" collapsed="false">
      <c r="A24" s="0" t="s">
        <v>123</v>
      </c>
      <c r="B24" s="3" t="n">
        <v>0.25</v>
      </c>
    </row>
    <row r="26" customFormat="false" ht="15" hidden="false" customHeight="false" outlineLevel="0" collapsed="false">
      <c r="A26" s="2" t="s">
        <v>124</v>
      </c>
      <c r="C26" s="2" t="s">
        <v>102</v>
      </c>
      <c r="D26" s="2" t="s">
        <v>103</v>
      </c>
      <c r="E26" s="2" t="s">
        <v>104</v>
      </c>
      <c r="F26" s="2" t="s">
        <v>105</v>
      </c>
      <c r="G26" s="2" t="s">
        <v>106</v>
      </c>
      <c r="H26" s="2" t="s">
        <v>107</v>
      </c>
      <c r="I26" s="2" t="s">
        <v>108</v>
      </c>
      <c r="J26" s="2" t="s">
        <v>109</v>
      </c>
      <c r="K26" s="2" t="s">
        <v>110</v>
      </c>
      <c r="L26" s="2" t="s">
        <v>111</v>
      </c>
    </row>
    <row r="27" customFormat="false" ht="15" hidden="false" customHeight="false" outlineLevel="0" collapsed="false">
      <c r="A27" s="0" t="s">
        <v>112</v>
      </c>
      <c r="C27" s="3" t="n">
        <v>-8</v>
      </c>
      <c r="D27" s="3" t="n">
        <v>2.5</v>
      </c>
      <c r="E27" s="3" t="n">
        <v>2.5</v>
      </c>
      <c r="F27" s="3" t="n">
        <v>2.5</v>
      </c>
      <c r="G27" s="3" t="n">
        <v>2.5</v>
      </c>
      <c r="H27" s="3" t="n">
        <v>2.25</v>
      </c>
      <c r="I27" s="3" t="n">
        <v>2.25</v>
      </c>
      <c r="J27" s="3" t="n">
        <v>2</v>
      </c>
      <c r="K27" s="3" t="n">
        <v>2</v>
      </c>
      <c r="L27" s="3" t="n">
        <v>2</v>
      </c>
    </row>
    <row r="28" customFormat="false" ht="15" hidden="false" customHeight="false" outlineLevel="0" collapsed="false">
      <c r="A28" s="0" t="s">
        <v>113</v>
      </c>
      <c r="C28" s="3" t="n">
        <v>13.12</v>
      </c>
      <c r="D28" s="3" t="n">
        <v>13.74</v>
      </c>
      <c r="E28" s="3" t="n">
        <v>14.33</v>
      </c>
      <c r="F28" s="3" t="n">
        <v>15</v>
      </c>
      <c r="G28" s="3" t="n">
        <v>15.76</v>
      </c>
      <c r="H28" s="3" t="n">
        <v>16.15</v>
      </c>
      <c r="I28" s="3" t="n">
        <v>16.4</v>
      </c>
      <c r="J28" s="3" t="n">
        <v>16.66</v>
      </c>
      <c r="K28" s="3" t="n">
        <v>16.91</v>
      </c>
      <c r="L28" s="3" t="n">
        <v>17.14</v>
      </c>
    </row>
    <row r="29" customFormat="false" ht="15" hidden="false" customHeight="false" outlineLevel="0" collapsed="false">
      <c r="A29" s="0" t="s">
        <v>114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116</v>
      </c>
      <c r="C31" s="3" t="n">
        <v>5.25</v>
      </c>
      <c r="D31" s="3" t="n">
        <v>5.52</v>
      </c>
      <c r="E31" s="3" t="n">
        <v>5.78</v>
      </c>
      <c r="F31" s="3" t="n">
        <v>6.03</v>
      </c>
      <c r="G31" s="3" t="n">
        <v>6.26</v>
      </c>
      <c r="H31" s="3" t="n">
        <v>6.49</v>
      </c>
      <c r="I31" s="3" t="n">
        <v>6.58</v>
      </c>
      <c r="J31" s="3" t="n">
        <v>6.69</v>
      </c>
      <c r="K31" s="3" t="n">
        <v>6.73</v>
      </c>
      <c r="L31" s="3" t="n">
        <v>6.77</v>
      </c>
    </row>
    <row r="32" customFormat="false" ht="15" hidden="false" customHeight="false" outlineLevel="0" collapsed="false">
      <c r="A32" s="0" t="s">
        <v>117</v>
      </c>
      <c r="C32" s="3" t="n">
        <v>12.02</v>
      </c>
      <c r="D32" s="3" t="n">
        <v>12.67</v>
      </c>
      <c r="E32" s="3" t="n">
        <v>12.88</v>
      </c>
      <c r="F32" s="3" t="n">
        <v>12.82</v>
      </c>
      <c r="G32" s="3" t="n">
        <v>12.64</v>
      </c>
      <c r="H32" s="3" t="n">
        <v>11.62</v>
      </c>
      <c r="I32" s="3" t="n">
        <v>10.89</v>
      </c>
      <c r="J32" s="3" t="n">
        <v>10.21</v>
      </c>
      <c r="K32" s="3" t="n">
        <v>9.66</v>
      </c>
      <c r="L32" s="3" t="n">
        <v>9.25</v>
      </c>
    </row>
    <row r="33" customFormat="false" ht="15" hidden="false" customHeight="false" outlineLevel="0" collapsed="false">
      <c r="A33" s="0" t="s">
        <v>118</v>
      </c>
      <c r="C33" s="3" t="n">
        <v>21</v>
      </c>
      <c r="D33" s="3" t="n">
        <v>21</v>
      </c>
      <c r="E33" s="3" t="n">
        <v>21.5</v>
      </c>
      <c r="F33" s="3" t="n">
        <v>22</v>
      </c>
      <c r="G33" s="3" t="n">
        <v>22.5</v>
      </c>
      <c r="H33" s="3" t="n">
        <v>23</v>
      </c>
      <c r="I33" s="3" t="n">
        <v>23.5</v>
      </c>
      <c r="J33" s="3" t="n">
        <v>24</v>
      </c>
      <c r="K33" s="3" t="n">
        <v>24.5</v>
      </c>
      <c r="L33" s="3" t="n">
        <v>25</v>
      </c>
    </row>
    <row r="34" customFormat="false" ht="15" hidden="false" customHeight="false" outlineLevel="0" collapsed="false">
      <c r="A34" s="0" t="s">
        <v>119</v>
      </c>
      <c r="B34" s="3" t="n">
        <v>5.5</v>
      </c>
    </row>
    <row r="35" customFormat="false" ht="15" hidden="false" customHeight="false" outlineLevel="0" collapsed="false">
      <c r="A35" s="0" t="s">
        <v>120</v>
      </c>
      <c r="B35" s="3" t="n">
        <v>2</v>
      </c>
    </row>
    <row r="36" customFormat="false" ht="15" hidden="false" customHeight="false" outlineLevel="0" collapsed="false">
      <c r="A36" s="0" t="s">
        <v>121</v>
      </c>
      <c r="B36" s="3" t="n">
        <v>30</v>
      </c>
    </row>
    <row r="37" customFormat="false" ht="15" hidden="false" customHeight="false" outlineLevel="0" collapsed="false">
      <c r="A37" s="0" t="s">
        <v>122</v>
      </c>
      <c r="B37" s="3" t="n">
        <v>0</v>
      </c>
    </row>
    <row r="38" customFormat="false" ht="15" hidden="false" customHeight="false" outlineLevel="0" collapsed="false">
      <c r="A38" s="0" t="s">
        <v>123</v>
      </c>
      <c r="B38" s="3" t="n">
        <v>0.5</v>
      </c>
    </row>
    <row r="40" customFormat="false" ht="15" hidden="false" customHeight="false" outlineLevel="0" collapsed="false">
      <c r="A40" s="2" t="s">
        <v>125</v>
      </c>
      <c r="C40" s="2" t="s">
        <v>102</v>
      </c>
      <c r="D40" s="2" t="s">
        <v>103</v>
      </c>
      <c r="E40" s="2" t="s">
        <v>104</v>
      </c>
      <c r="F40" s="2" t="s">
        <v>105</v>
      </c>
      <c r="G40" s="2" t="s">
        <v>106</v>
      </c>
      <c r="H40" s="2" t="s">
        <v>107</v>
      </c>
      <c r="I40" s="2" t="s">
        <v>108</v>
      </c>
      <c r="J40" s="2" t="s">
        <v>109</v>
      </c>
      <c r="K40" s="2" t="s">
        <v>110</v>
      </c>
      <c r="L40" s="2" t="s">
        <v>111</v>
      </c>
    </row>
    <row r="41" customFormat="false" ht="15" hidden="false" customHeight="false" outlineLevel="0" collapsed="false">
      <c r="A41" s="0" t="s">
        <v>112</v>
      </c>
      <c r="C41" s="3" t="n">
        <v>-8</v>
      </c>
      <c r="D41" s="3" t="n">
        <v>2.5</v>
      </c>
      <c r="E41" s="3" t="n">
        <v>2.5</v>
      </c>
      <c r="F41" s="3" t="n">
        <v>2.5</v>
      </c>
      <c r="G41" s="3" t="n">
        <v>2.5</v>
      </c>
      <c r="H41" s="3" t="n">
        <v>2.25</v>
      </c>
      <c r="I41" s="3" t="n">
        <v>2.25</v>
      </c>
      <c r="J41" s="3" t="n">
        <v>2</v>
      </c>
      <c r="K41" s="3" t="n">
        <v>2</v>
      </c>
      <c r="L41" s="3" t="n">
        <v>2</v>
      </c>
    </row>
    <row r="42" customFormat="false" ht="15" hidden="false" customHeight="false" outlineLevel="0" collapsed="false">
      <c r="A42" s="0" t="s">
        <v>113</v>
      </c>
      <c r="C42" s="3" t="n">
        <v>13.26</v>
      </c>
      <c r="D42" s="3" t="n">
        <v>14.01</v>
      </c>
      <c r="E42" s="3" t="n">
        <v>14.85</v>
      </c>
      <c r="F42" s="3" t="n">
        <v>15.65</v>
      </c>
      <c r="G42" s="3" t="n">
        <v>16.52</v>
      </c>
      <c r="H42" s="3" t="n">
        <v>17.01</v>
      </c>
      <c r="I42" s="3" t="n">
        <v>17.47</v>
      </c>
      <c r="J42" s="3" t="n">
        <v>17.95</v>
      </c>
      <c r="K42" s="3" t="n">
        <v>18.29</v>
      </c>
      <c r="L42" s="3" t="n">
        <v>18.61</v>
      </c>
    </row>
    <row r="43" customFormat="false" ht="15" hidden="false" customHeight="false" outlineLevel="0" collapsed="false">
      <c r="A43" s="0" t="s">
        <v>114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116</v>
      </c>
      <c r="C45" s="3" t="n">
        <v>5.25</v>
      </c>
      <c r="D45" s="3" t="n">
        <v>5.52</v>
      </c>
      <c r="E45" s="3" t="n">
        <v>5.85</v>
      </c>
      <c r="F45" s="3" t="n">
        <v>6.16</v>
      </c>
      <c r="G45" s="3" t="n">
        <v>6.44</v>
      </c>
      <c r="H45" s="3" t="n">
        <v>6.73</v>
      </c>
      <c r="I45" s="3" t="n">
        <v>6.88</v>
      </c>
      <c r="J45" s="3" t="n">
        <v>7.04</v>
      </c>
      <c r="K45" s="3" t="n">
        <v>7.13</v>
      </c>
      <c r="L45" s="3" t="n">
        <v>7.16</v>
      </c>
    </row>
    <row r="46" customFormat="false" ht="15" hidden="false" customHeight="false" outlineLevel="0" collapsed="false">
      <c r="A46" s="0" t="s">
        <v>117</v>
      </c>
      <c r="C46" s="3" t="n">
        <v>12.02</v>
      </c>
      <c r="D46" s="3" t="n">
        <v>12.93</v>
      </c>
      <c r="E46" s="3" t="n">
        <v>13.41</v>
      </c>
      <c r="F46" s="3" t="n">
        <v>13.47</v>
      </c>
      <c r="G46" s="3" t="n">
        <v>13.51</v>
      </c>
      <c r="H46" s="3" t="n">
        <v>12.73</v>
      </c>
      <c r="I46" s="3" t="n">
        <v>11.97</v>
      </c>
      <c r="J46" s="3" t="n">
        <v>11.26</v>
      </c>
      <c r="K46" s="3" t="n">
        <v>10.7</v>
      </c>
      <c r="L46" s="3" t="n">
        <v>10.15</v>
      </c>
    </row>
    <row r="47" customFormat="false" ht="15" hidden="false" customHeight="false" outlineLevel="0" collapsed="false">
      <c r="A47" s="0" t="s">
        <v>118</v>
      </c>
      <c r="C47" s="3" t="n">
        <v>21</v>
      </c>
      <c r="D47" s="3" t="n">
        <v>21</v>
      </c>
      <c r="E47" s="3" t="n">
        <v>21.5</v>
      </c>
      <c r="F47" s="3" t="n">
        <v>22</v>
      </c>
      <c r="G47" s="3" t="n">
        <v>22.5</v>
      </c>
      <c r="H47" s="3" t="n">
        <v>23</v>
      </c>
      <c r="I47" s="3" t="n">
        <v>23.5</v>
      </c>
      <c r="J47" s="3" t="n">
        <v>24</v>
      </c>
      <c r="K47" s="3" t="n">
        <v>24.5</v>
      </c>
      <c r="L47" s="3" t="n">
        <v>25</v>
      </c>
    </row>
    <row r="48" customFormat="false" ht="15" hidden="false" customHeight="false" outlineLevel="0" collapsed="false">
      <c r="A48" s="0" t="s">
        <v>119</v>
      </c>
      <c r="B48" s="3" t="n">
        <v>5.5</v>
      </c>
    </row>
    <row r="49" customFormat="false" ht="15" hidden="false" customHeight="false" outlineLevel="0" collapsed="false">
      <c r="A49" s="0" t="s">
        <v>120</v>
      </c>
      <c r="B49" s="3" t="n">
        <v>2.5</v>
      </c>
    </row>
    <row r="50" customFormat="false" ht="15" hidden="false" customHeight="false" outlineLevel="0" collapsed="false">
      <c r="A50" s="0" t="s">
        <v>121</v>
      </c>
      <c r="B50" s="3" t="n">
        <v>30</v>
      </c>
    </row>
    <row r="51" customFormat="false" ht="15" hidden="false" customHeight="false" outlineLevel="0" collapsed="false">
      <c r="A51" s="0" t="s">
        <v>122</v>
      </c>
      <c r="B51" s="3" t="n">
        <v>0</v>
      </c>
    </row>
    <row r="52" customFormat="false" ht="15" hidden="false" customHeight="false" outlineLevel="0" collapsed="false">
      <c r="A52" s="0" t="s">
        <v>123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126</v>
      </c>
    </row>
    <row r="3" customFormat="false" ht="15" hidden="false" customHeight="false" outlineLevel="0" collapsed="false">
      <c r="A3" s="0" t="s">
        <v>127</v>
      </c>
      <c r="B3" s="0" t="s">
        <v>88</v>
      </c>
      <c r="C3" s="2" t="s">
        <v>102</v>
      </c>
      <c r="D3" s="2" t="s">
        <v>103</v>
      </c>
      <c r="E3" s="2" t="s">
        <v>104</v>
      </c>
      <c r="F3" s="2" t="s">
        <v>105</v>
      </c>
      <c r="G3" s="2" t="s">
        <v>106</v>
      </c>
      <c r="H3" s="2" t="s">
        <v>107</v>
      </c>
      <c r="I3" s="2" t="s">
        <v>108</v>
      </c>
      <c r="J3" s="2" t="s">
        <v>109</v>
      </c>
      <c r="K3" s="2" t="s">
        <v>110</v>
      </c>
      <c r="L3" s="2" t="s">
        <v>111</v>
      </c>
    </row>
    <row r="4" customFormat="false" ht="15" hidden="false" customHeight="false" outlineLevel="0" collapsed="false">
      <c r="A4" s="0" t="s">
        <v>128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112</v>
      </c>
      <c r="C5" s="4" t="n">
        <f aca="false">Assumptions!C13</f>
        <v>-8</v>
      </c>
      <c r="D5" s="4" t="n">
        <f aca="false">Assumptions!D13</f>
        <v>2.5</v>
      </c>
      <c r="E5" s="4" t="n">
        <f aca="false">Assumptions!E13</f>
        <v>2.5</v>
      </c>
      <c r="F5" s="4" t="n">
        <f aca="false">Assumptions!F13</f>
        <v>2.5</v>
      </c>
      <c r="G5" s="4" t="n">
        <f aca="false">Assumptions!G13</f>
        <v>2.5</v>
      </c>
      <c r="H5" s="4" t="n">
        <f aca="false">Assumptions!H13</f>
        <v>2.25</v>
      </c>
      <c r="I5" s="4" t="n">
        <f aca="false">Assumptions!I13</f>
        <v>2.25</v>
      </c>
      <c r="J5" s="4" t="n">
        <f aca="false">Assumptions!J13</f>
        <v>2</v>
      </c>
      <c r="K5" s="4" t="n">
        <f aca="false">Assumptions!K13</f>
        <v>2</v>
      </c>
      <c r="L5" s="4" t="n">
        <f aca="false">Assumptions!L13</f>
        <v>2</v>
      </c>
    </row>
    <row r="6" customFormat="false" ht="15" hidden="false" customHeight="false" outlineLevel="0" collapsed="false">
      <c r="A6" s="0" t="s">
        <v>37</v>
      </c>
      <c r="B6" s="3" t="n">
        <v>78704</v>
      </c>
      <c r="C6" s="0" t="n">
        <f aca="false">B6*(1+C5/100)</f>
        <v>72407.68</v>
      </c>
      <c r="D6" s="0" t="n">
        <f aca="false">C6*(1+D5/100)</f>
        <v>74217.872</v>
      </c>
      <c r="E6" s="0" t="n">
        <f aca="false">D6*(1+E5/100)</f>
        <v>76073.3188</v>
      </c>
      <c r="F6" s="0" t="n">
        <f aca="false">E6*(1+F5/100)</f>
        <v>77975.15177</v>
      </c>
      <c r="G6" s="0" t="n">
        <f aca="false">F6*(1+G5/100)</f>
        <v>79924.53056425</v>
      </c>
      <c r="H6" s="0" t="n">
        <f aca="false">G6*(1+H5/100)</f>
        <v>81722.8325019456</v>
      </c>
      <c r="I6" s="0" t="n">
        <f aca="false">H6*(1+I5/100)</f>
        <v>83561.5962332394</v>
      </c>
      <c r="J6" s="0" t="n">
        <f aca="false">I6*(1+J5/100)</f>
        <v>85232.8281579042</v>
      </c>
      <c r="K6" s="0" t="n">
        <f aca="false">J6*(1+K5/100)</f>
        <v>86937.4847210622</v>
      </c>
      <c r="L6" s="0" t="n">
        <f aca="false">K6*(1+L5/100)</f>
        <v>88676.2344154835</v>
      </c>
    </row>
    <row r="7" customFormat="false" ht="15" hidden="false" customHeight="false" outlineLevel="0" collapsed="false">
      <c r="A7" s="0" t="s">
        <v>113</v>
      </c>
      <c r="C7" s="4" t="n">
        <f aca="false">Assumptions!C14</f>
        <v>12.98</v>
      </c>
      <c r="D7" s="4" t="n">
        <f aca="false">Assumptions!D14</f>
        <v>13.2</v>
      </c>
      <c r="E7" s="4" t="n">
        <f aca="false">Assumptions!E14</f>
        <v>13.54</v>
      </c>
      <c r="F7" s="4" t="n">
        <f aca="false">Assumptions!F14</f>
        <v>13.85</v>
      </c>
      <c r="G7" s="4" t="n">
        <f aca="false">Assumptions!G14</f>
        <v>14.39</v>
      </c>
      <c r="H7" s="4" t="n">
        <f aca="false">Assumptions!H14</f>
        <v>14.68</v>
      </c>
      <c r="I7" s="4" t="n">
        <f aca="false">Assumptions!I14</f>
        <v>14.84</v>
      </c>
      <c r="J7" s="4" t="n">
        <f aca="false">Assumptions!J14</f>
        <v>15.02</v>
      </c>
      <c r="K7" s="4" t="n">
        <f aca="false">Assumptions!K14</f>
        <v>15.18</v>
      </c>
      <c r="L7" s="4" t="n">
        <f aca="false">Assumptions!L14</f>
        <v>15.34</v>
      </c>
    </row>
    <row r="8" customFormat="false" ht="15" hidden="false" customHeight="false" outlineLevel="0" collapsed="false">
      <c r="A8" s="0" t="s">
        <v>43</v>
      </c>
      <c r="C8" s="0" t="n">
        <f aca="false">C6*C7/100</f>
        <v>9398.516864</v>
      </c>
      <c r="D8" s="0" t="n">
        <f aca="false">D6*D7/100</f>
        <v>9796.759104</v>
      </c>
      <c r="E8" s="0" t="n">
        <f aca="false">E6*E7/100</f>
        <v>10300.32736552</v>
      </c>
      <c r="F8" s="0" t="n">
        <f aca="false">F6*F7/100</f>
        <v>10799.558520145</v>
      </c>
      <c r="G8" s="0" t="n">
        <f aca="false">G6*G7/100</f>
        <v>11501.1399481956</v>
      </c>
      <c r="H8" s="0" t="n">
        <f aca="false">H6*H7/100</f>
        <v>11996.9118112856</v>
      </c>
      <c r="I8" s="0" t="n">
        <f aca="false">I6*I7/100</f>
        <v>12400.5408810127</v>
      </c>
      <c r="J8" s="0" t="n">
        <f aca="false">J6*J7/100</f>
        <v>12801.9707893172</v>
      </c>
      <c r="K8" s="0" t="n">
        <f aca="false">K6*K7/100</f>
        <v>13197.1101806572</v>
      </c>
      <c r="L8" s="0" t="n">
        <f aca="false">L6*L7/100</f>
        <v>13602.9343593352</v>
      </c>
    </row>
    <row r="9" customFormat="false" ht="15" hidden="false" customHeight="false" outlineLevel="0" collapsed="false">
      <c r="A9" s="0" t="s">
        <v>114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130</v>
      </c>
      <c r="C11" s="0" t="n">
        <f aca="false">C8+C10+C24</f>
        <v>9398.516864</v>
      </c>
      <c r="D11" s="0" t="n">
        <f aca="false">D8+D10+D24</f>
        <v>9796.759104</v>
      </c>
      <c r="E11" s="0" t="n">
        <f aca="false">E8+E10+E24</f>
        <v>10300.32736552</v>
      </c>
      <c r="F11" s="0" t="n">
        <f aca="false">F8+F10+F24</f>
        <v>10799.558520145</v>
      </c>
      <c r="G11" s="0" t="n">
        <f aca="false">G8+G10+G24</f>
        <v>11501.1399481956</v>
      </c>
      <c r="H11" s="0" t="n">
        <f aca="false">H8+H10+H24</f>
        <v>11996.9118112856</v>
      </c>
      <c r="I11" s="0" t="n">
        <f aca="false">I8+I10+I24</f>
        <v>12400.5408810127</v>
      </c>
      <c r="J11" s="0" t="n">
        <f aca="false">J8+J10+J24</f>
        <v>12801.9707893172</v>
      </c>
      <c r="K11" s="0" t="n">
        <f aca="false">K8+K10+K24</f>
        <v>13197.1101806572</v>
      </c>
      <c r="L11" s="0" t="n">
        <f aca="false">L8+L10+L24</f>
        <v>13602.9343593352</v>
      </c>
    </row>
    <row r="12" customFormat="false" ht="15" hidden="false" customHeight="false" outlineLevel="0" collapsed="false">
      <c r="A12" s="0" t="s">
        <v>131</v>
      </c>
      <c r="C12" s="4" t="n">
        <f aca="false">-C6*Assumptions!C17/100</f>
        <v>-3801.4032</v>
      </c>
      <c r="D12" s="4" t="n">
        <f aca="false">-D6*Assumptions!D17/100</f>
        <v>-4096.8265344</v>
      </c>
      <c r="E12" s="4" t="n">
        <f aca="false">-E6*Assumptions!E17/100</f>
        <v>-4397.03782664</v>
      </c>
      <c r="F12" s="4" t="n">
        <f aca="false">-F6*Assumptions!F17/100</f>
        <v>-4701.901651731</v>
      </c>
      <c r="G12" s="4" t="n">
        <f aca="false">-G6*Assumptions!G17/100</f>
        <v>-5003.27561332205</v>
      </c>
      <c r="H12" s="4" t="n">
        <f aca="false">-H6*Assumptions!H17/100</f>
        <v>-5246.60584662491</v>
      </c>
      <c r="I12" s="4" t="n">
        <f aca="false">-I6*Assumptions!I17/100</f>
        <v>-5448.21607440721</v>
      </c>
      <c r="J12" s="4" t="n">
        <f aca="false">-J6*Assumptions!J17/100</f>
        <v>-5599.7968099743</v>
      </c>
      <c r="K12" s="4" t="n">
        <f aca="false">-K6*Assumptions!K17/100</f>
        <v>-5746.56774006221</v>
      </c>
      <c r="L12" s="4" t="n">
        <f aca="false">-L6*Assumptions!L17/100</f>
        <v>-5852.63147142191</v>
      </c>
    </row>
    <row r="13" customFormat="false" ht="15" hidden="false" customHeight="false" outlineLevel="0" collapsed="false">
      <c r="A13" s="0" t="s">
        <v>132</v>
      </c>
      <c r="C13" s="0" t="n">
        <f aca="false">C11+C12</f>
        <v>5597.113664</v>
      </c>
      <c r="D13" s="0" t="n">
        <f aca="false">D11+D12</f>
        <v>5699.9325696</v>
      </c>
      <c r="E13" s="0" t="n">
        <f aca="false">E11+E12</f>
        <v>5903.28953888</v>
      </c>
      <c r="F13" s="0" t="n">
        <f aca="false">F11+F12</f>
        <v>6097.656868414</v>
      </c>
      <c r="G13" s="0" t="n">
        <f aca="false">G11+G12</f>
        <v>6497.86433487352</v>
      </c>
      <c r="H13" s="0" t="n">
        <f aca="false">H11+H12</f>
        <v>6750.3059646607</v>
      </c>
      <c r="I13" s="0" t="n">
        <f aca="false">I11+I12</f>
        <v>6952.32480660552</v>
      </c>
      <c r="J13" s="0" t="n">
        <f aca="false">J11+J12</f>
        <v>7202.1739793429</v>
      </c>
      <c r="K13" s="0" t="n">
        <f aca="false">K11+K12</f>
        <v>7450.54244059503</v>
      </c>
      <c r="L13" s="0" t="n">
        <f aca="false">L11+L12</f>
        <v>7750.30288791326</v>
      </c>
    </row>
    <row r="14" customFormat="false" ht="15" hidden="false" customHeight="false" outlineLevel="0" collapsed="false">
      <c r="A14" s="0" t="s">
        <v>118</v>
      </c>
      <c r="C14" s="4" t="n">
        <f aca="false">Assumptions!C19</f>
        <v>21</v>
      </c>
      <c r="D14" s="4" t="n">
        <f aca="false">Assumptions!D19</f>
        <v>21</v>
      </c>
      <c r="E14" s="4" t="n">
        <f aca="false">Assumptions!E19</f>
        <v>21.5</v>
      </c>
      <c r="F14" s="4" t="n">
        <f aca="false">Assumptions!F19</f>
        <v>22</v>
      </c>
      <c r="G14" s="4" t="n">
        <f aca="false">Assumptions!G19</f>
        <v>22.5</v>
      </c>
      <c r="H14" s="4" t="n">
        <f aca="false">Assumptions!H19</f>
        <v>23</v>
      </c>
      <c r="I14" s="4" t="n">
        <f aca="false">Assumptions!I19</f>
        <v>23.5</v>
      </c>
      <c r="J14" s="4" t="n">
        <f aca="false">Assumptions!J19</f>
        <v>24</v>
      </c>
      <c r="K14" s="4" t="n">
        <f aca="false">Assumptions!K19</f>
        <v>24.5</v>
      </c>
      <c r="L14" s="4" t="n">
        <f aca="false">Assumptions!L19</f>
        <v>25</v>
      </c>
    </row>
    <row r="15" customFormat="false" ht="15" hidden="false" customHeight="false" outlineLevel="0" collapsed="false">
      <c r="A15" s="0" t="s">
        <v>133</v>
      </c>
      <c r="C15" s="0" t="n">
        <f aca="false">C13-MAX(0,C13)*C14/100</f>
        <v>4421.71979456</v>
      </c>
      <c r="D15" s="0" t="n">
        <f aca="false">D13-MAX(0,D13)*D14/100</f>
        <v>4502.946729984</v>
      </c>
      <c r="E15" s="0" t="n">
        <f aca="false">E13-MAX(0,E13)*E14/100</f>
        <v>4634.0822880208</v>
      </c>
      <c r="F15" s="0" t="n">
        <f aca="false">F13-MAX(0,F13)*F14/100</f>
        <v>4756.17235736292</v>
      </c>
      <c r="G15" s="0" t="n">
        <f aca="false">G13-MAX(0,G13)*G14/100</f>
        <v>5035.84485952698</v>
      </c>
      <c r="H15" s="0" t="n">
        <f aca="false">H13-MAX(0,H13)*H14/100</f>
        <v>5197.73559278874</v>
      </c>
      <c r="I15" s="0" t="n">
        <f aca="false">I13-MAX(0,I13)*I14/100</f>
        <v>5318.52847705322</v>
      </c>
      <c r="J15" s="0" t="n">
        <f aca="false">J13-MAX(0,J13)*J14/100</f>
        <v>5473.6522243006</v>
      </c>
      <c r="K15" s="0" t="n">
        <f aca="false">K13-MAX(0,K13)*K14/100</f>
        <v>5625.15954264925</v>
      </c>
      <c r="L15" s="0" t="n">
        <f aca="false">L13-MAX(0,L13)*L14/100</f>
        <v>5812.72716593494</v>
      </c>
    </row>
    <row r="16" customFormat="false" ht="15" hidden="false" customHeight="false" outlineLevel="0" collapsed="false">
      <c r="A16" s="0" t="s">
        <v>134</v>
      </c>
      <c r="C16" s="0" t="n">
        <f aca="false">-C12</f>
        <v>3801.4032</v>
      </c>
      <c r="D16" s="0" t="n">
        <f aca="false">-D12</f>
        <v>4096.8265344</v>
      </c>
      <c r="E16" s="0" t="n">
        <f aca="false">-E12</f>
        <v>4397.03782664</v>
      </c>
      <c r="F16" s="0" t="n">
        <f aca="false">-F12</f>
        <v>4701.901651731</v>
      </c>
      <c r="G16" s="0" t="n">
        <f aca="false">-G12</f>
        <v>5003.27561332205</v>
      </c>
      <c r="H16" s="0" t="n">
        <f aca="false">-H12</f>
        <v>5246.60584662491</v>
      </c>
      <c r="I16" s="0" t="n">
        <f aca="false">-I12</f>
        <v>5448.21607440721</v>
      </c>
      <c r="J16" s="0" t="n">
        <f aca="false">-J12</f>
        <v>5599.7968099743</v>
      </c>
      <c r="K16" s="0" t="n">
        <f aca="false">-K12</f>
        <v>5746.56774006221</v>
      </c>
      <c r="L16" s="0" t="n">
        <f aca="false">-L12</f>
        <v>5852.63147142191</v>
      </c>
    </row>
    <row r="17" customFormat="false" ht="15" hidden="false" customHeight="false" outlineLevel="0" collapsed="false">
      <c r="A17" s="0" t="s">
        <v>135</v>
      </c>
      <c r="C17" s="4" t="n">
        <f aca="false">-C6*Assumptions!C18/100</f>
        <v>-8703.403136</v>
      </c>
      <c r="D17" s="4" t="n">
        <f aca="false">-D6*Assumptions!D18/100</f>
        <v>-9299.4993616</v>
      </c>
      <c r="E17" s="4" t="n">
        <f aca="false">-E6*Assumptions!E18/100</f>
        <v>-9600.45283256</v>
      </c>
      <c r="F17" s="4" t="n">
        <f aca="false">-F6*Assumptions!F18/100</f>
        <v>-9801.476577489</v>
      </c>
      <c r="G17" s="4" t="n">
        <f aca="false">-G6*Assumptions!G18/100</f>
        <v>-9902.64933691057</v>
      </c>
      <c r="H17" s="4" t="n">
        <f aca="false">-H6*Assumptions!H18/100</f>
        <v>-8997.68385846421</v>
      </c>
      <c r="I17" s="4" t="n">
        <f aca="false">-I6*Assumptions!I18/100</f>
        <v>-8498.21433692044</v>
      </c>
      <c r="J17" s="4" t="n">
        <f aca="false">-J6*Assumptions!J18/100</f>
        <v>-8097.1186750009</v>
      </c>
      <c r="K17" s="4" t="n">
        <f aca="false">-K6*Assumptions!K18/100</f>
        <v>-7798.29237947928</v>
      </c>
      <c r="L17" s="4" t="n">
        <f aca="false">-L6*Assumptions!L18/100</f>
        <v>-7599.55328940694</v>
      </c>
    </row>
    <row r="18" customFormat="false" ht="15" hidden="false" customHeight="false" outlineLevel="0" collapsed="false">
      <c r="A18" s="0" t="s">
        <v>136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137</v>
      </c>
      <c r="C19" s="0" t="n">
        <f aca="false">C15+C16+C17+C18</f>
        <v>-480.28014144</v>
      </c>
      <c r="D19" s="0" t="n">
        <f aca="false">D15+D16+D17+D18</f>
        <v>-699.726097216002</v>
      </c>
      <c r="E19" s="0" t="n">
        <f aca="false">E15+E16+E17+E18</f>
        <v>-569.3327178992</v>
      </c>
      <c r="F19" s="0" t="n">
        <f aca="false">F15+F16+F17+F18</f>
        <v>-343.40256839508</v>
      </c>
      <c r="G19" s="0" t="n">
        <f aca="false">G15+G16+G17+G18</f>
        <v>136.471135938456</v>
      </c>
      <c r="H19" s="0" t="n">
        <f aca="false">H15+H16+H17+H18</f>
        <v>1446.65758094944</v>
      </c>
      <c r="I19" s="0" t="n">
        <f aca="false">I15+I16+I17+I18</f>
        <v>2268.53021453998</v>
      </c>
      <c r="J19" s="0" t="n">
        <f aca="false">J15+J16+J17+J18</f>
        <v>2976.33035927401</v>
      </c>
      <c r="K19" s="0" t="n">
        <f aca="false">K15+K16+K17+K18</f>
        <v>3573.43490323218</v>
      </c>
      <c r="L19" s="0" t="n">
        <f aca="false">L15+L16+L17+L18</f>
        <v>4065.80534794992</v>
      </c>
    </row>
    <row r="20" customFormat="false" ht="15" hidden="false" customHeight="false" outlineLevel="0" collapsed="false">
      <c r="A20" s="0" t="s">
        <v>138</v>
      </c>
      <c r="C20" s="0" t="n">
        <f aca="false">1/(1+$B$27/100)^C4</f>
        <v>0.947867298578199</v>
      </c>
      <c r="D20" s="0" t="n">
        <f aca="false">1/(1+$B$27/100)^D4</f>
        <v>0.898452415713933</v>
      </c>
      <c r="E20" s="0" t="n">
        <f aca="false">1/(1+$B$27/100)^E4</f>
        <v>0.851613664183823</v>
      </c>
      <c r="F20" s="0" t="n">
        <f aca="false">1/(1+$B$27/100)^F4</f>
        <v>0.807216743302202</v>
      </c>
      <c r="G20" s="0" t="n">
        <f aca="false">1/(1+$B$27/100)^G4</f>
        <v>0.765134353840949</v>
      </c>
      <c r="H20" s="0" t="n">
        <f aca="false">1/(1+$B$27/100)^H4</f>
        <v>0.725245833024597</v>
      </c>
      <c r="I20" s="0" t="n">
        <f aca="false">1/(1+$B$27/100)^I4</f>
        <v>0.68743680855412</v>
      </c>
      <c r="J20" s="0" t="n">
        <f aca="false">1/(1+$B$27/100)^J4</f>
        <v>0.651598870667413</v>
      </c>
      <c r="K20" s="0" t="n">
        <f aca="false">1/(1+$B$27/100)^K4</f>
        <v>0.617629261296126</v>
      </c>
      <c r="L20" s="0" t="n">
        <f aca="false">1/(1+$B$27/100)^L4</f>
        <v>0.585430579427607</v>
      </c>
    </row>
    <row r="21" customFormat="false" ht="15" hidden="false" customHeight="false" outlineLevel="0" collapsed="false">
      <c r="A21" s="0" t="s">
        <v>139</v>
      </c>
      <c r="C21" s="0" t="n">
        <f aca="false">C19*C20</f>
        <v>-455.241840227488</v>
      </c>
      <c r="D21" s="0" t="n">
        <f aca="false">D19*D20</f>
        <v>-628.670602381799</v>
      </c>
      <c r="E21" s="0" t="n">
        <f aca="false">E19*E20</f>
        <v>-484.851522029873</v>
      </c>
      <c r="F21" s="0" t="n">
        <f aca="false">F19*F20</f>
        <v>-277.200302901488</v>
      </c>
      <c r="G21" s="0" t="n">
        <f aca="false">G19*G20</f>
        <v>104.418754414211</v>
      </c>
      <c r="H21" s="0" t="n">
        <f aca="false">H19*H20</f>
        <v>1049.18238239702</v>
      </c>
      <c r="I21" s="0" t="n">
        <f aca="false">I19*I20</f>
        <v>1559.47117079196</v>
      </c>
      <c r="J21" s="0" t="n">
        <f aca="false">J19*J20</f>
        <v>1939.37350083608</v>
      </c>
      <c r="K21" s="0" t="n">
        <f aca="false">K19*K20</f>
        <v>2207.05795957308</v>
      </c>
      <c r="L21" s="0" t="n">
        <f aca="false">L19*L20</f>
        <v>2380.24678069018</v>
      </c>
    </row>
    <row r="23" customFormat="false" ht="15" hidden="false" customHeight="false" outlineLevel="0" collapsed="false">
      <c r="A23" s="0" t="s">
        <v>115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141</v>
      </c>
    </row>
    <row r="27" customFormat="false" ht="15" hidden="false" customHeight="false" outlineLevel="0" collapsed="false">
      <c r="A27" s="0" t="s">
        <v>119</v>
      </c>
      <c r="B27" s="4" t="n">
        <f aca="false">Assumptions!$B$20</f>
        <v>5.5</v>
      </c>
    </row>
    <row r="28" customFormat="false" ht="15" hidden="false" customHeight="false" outlineLevel="0" collapsed="false">
      <c r="A28" s="0" t="s">
        <v>120</v>
      </c>
      <c r="B28" s="4" t="n">
        <f aca="false">Assumptions!$B$21</f>
        <v>1.5</v>
      </c>
    </row>
    <row r="29" customFormat="false" ht="15" hidden="false" customHeight="false" outlineLevel="0" collapsed="false">
      <c r="A29" s="0" t="s">
        <v>121</v>
      </c>
      <c r="B29" s="4" t="n">
        <f aca="false">Assumptions!$B$22</f>
        <v>30</v>
      </c>
    </row>
    <row r="30" customFormat="false" ht="15" hidden="false" customHeight="false" outlineLevel="0" collapsed="false">
      <c r="A30" s="0" t="s">
        <v>142</v>
      </c>
      <c r="B30" s="0" t="n">
        <f aca="false">SUM(C21:L21)</f>
        <v>7393.78628116189</v>
      </c>
    </row>
    <row r="31" customFormat="false" ht="15" hidden="false" customHeight="false" outlineLevel="0" collapsed="false">
      <c r="A31" s="0" t="s">
        <v>143</v>
      </c>
      <c r="B31" s="0" t="n">
        <f aca="false">L19</f>
        <v>4065.80534794992</v>
      </c>
    </row>
    <row r="32" customFormat="false" ht="15" hidden="false" customHeight="false" outlineLevel="0" collapsed="false">
      <c r="A32" s="0" t="s">
        <v>144</v>
      </c>
      <c r="B32" s="0" t="n">
        <f aca="false">IF(B27&gt;B28,B31*(1+B28/100)/((B27-B28)/100),B31*B29)</f>
        <v>103169.810704229</v>
      </c>
    </row>
    <row r="33" customFormat="false" ht="15" hidden="false" customHeight="false" outlineLevel="0" collapsed="false">
      <c r="A33" s="0" t="s">
        <v>145</v>
      </c>
      <c r="B33" s="0" t="n">
        <f aca="false">B31*B29</f>
        <v>121974.160438498</v>
      </c>
    </row>
    <row r="34" customFormat="false" ht="15" hidden="false" customHeight="false" outlineLevel="0" collapsed="false">
      <c r="A34" s="0" t="s">
        <v>146</v>
      </c>
      <c r="B34" s="0" t="n">
        <f aca="false">MAX(0,MIN(B32,B33))</f>
        <v>103169.810704229</v>
      </c>
    </row>
    <row r="35" customFormat="false" ht="15" hidden="false" customHeight="false" outlineLevel="0" collapsed="false">
      <c r="A35" s="0" t="s">
        <v>147</v>
      </c>
      <c r="B35" s="0" t="n">
        <f aca="false">B34/(1+B27/100)^L4</f>
        <v>60398.7620600134</v>
      </c>
    </row>
    <row r="36" customFormat="false" ht="15" hidden="false" customHeight="false" outlineLevel="0" collapsed="false">
      <c r="A36" s="0" t="s">
        <v>148</v>
      </c>
      <c r="B36" s="0" t="n">
        <f aca="false">B30+B35</f>
        <v>67792.5483411753</v>
      </c>
    </row>
    <row r="37" customFormat="false" ht="15" hidden="false" customHeight="false" outlineLevel="0" collapsed="false">
      <c r="A37" s="0" t="s">
        <v>149</v>
      </c>
      <c r="B37" s="0" t="n">
        <f aca="false">B36+Assumptions!$B$5-Assumptions!$B$4</f>
        <v>16256.5483411753</v>
      </c>
    </row>
    <row r="38" customFormat="false" ht="15" hidden="false" customHeight="false" outlineLevel="0" collapsed="false">
      <c r="A38" s="0" t="s">
        <v>150</v>
      </c>
      <c r="B38" s="0" t="n">
        <f aca="false">B37/Assumptions!$B$3*Assumptions!$B$10</f>
        <v>6.22141153508431</v>
      </c>
    </row>
    <row r="39" customFormat="false" ht="15" hidden="false" customHeight="false" outlineLevel="0" collapsed="false">
      <c r="A39" s="0" t="s">
        <v>151</v>
      </c>
      <c r="B39" s="4" t="n">
        <f aca="false">B38/Assumptions!$B$2-1</f>
        <v>-0.664613933418635</v>
      </c>
    </row>
    <row r="41" customFormat="false" ht="15" hidden="false" customHeight="false" outlineLevel="0" collapsed="false">
      <c r="A41" s="0" t="s">
        <v>152</v>
      </c>
      <c r="B41" s="0" t="n">
        <f aca="false">SUMPRODUCT(-C10:L10/(1+$B$27/100)^C4:L4)</f>
        <v>0</v>
      </c>
    </row>
    <row r="42" customFormat="false" ht="15" hidden="false" customHeight="false" outlineLevel="0" collapsed="false">
      <c r="A42" s="0" t="s">
        <v>153</v>
      </c>
      <c r="B42" s="0" t="n">
        <f aca="false">IF(B27&gt;B28,-L10*(1+B28/100)/((B27-B28)/100),-L10*20)/(1+B27/100)^L4</f>
        <v>0</v>
      </c>
    </row>
    <row r="43" customFormat="false" ht="15" hidden="false" customHeight="false" outlineLevel="0" collapsed="false">
      <c r="A43" s="0" t="s">
        <v>154</v>
      </c>
      <c r="B43" s="0" t="n">
        <f aca="false">(B37+B41+B42)/Assumptions!$B$3*Assumptions!$B$10</f>
        <v>6.22141153508431</v>
      </c>
    </row>
    <row r="45" customFormat="false" ht="15" hidden="false" customHeight="false" outlineLevel="0" collapsed="false">
      <c r="A45" s="0" t="s">
        <v>95</v>
      </c>
      <c r="B45" s="4" t="n">
        <f aca="false">Assumptions!$B$6</f>
        <v>15</v>
      </c>
    </row>
    <row r="46" customFormat="false" ht="15" hidden="false" customHeight="false" outlineLevel="0" collapsed="false">
      <c r="A46" s="0" t="s">
        <v>155</v>
      </c>
      <c r="B46" s="0" t="n">
        <f aca="false">MAX(0,MIN(IF(B45&gt;B28,B31*(1+B28/100)/((B45-B28)/100),B31*B29),B31*B29))</f>
        <v>30568.8328012531</v>
      </c>
    </row>
    <row r="47" customFormat="false" ht="15" hidden="false" customHeight="false" outlineLevel="0" collapsed="false">
      <c r="A47" s="0" t="s">
        <v>156</v>
      </c>
      <c r="B47" s="0" t="n">
        <f aca="false">(SUMPRODUCT(C19:L19/(1+B45/100)^C4:L4)+B46/(1+B45/100)^L4+Assumptions!$B$5-Assumptions!$B$4)/Assumptions!$B$3*Assumptions!$B$10</f>
        <v>-15.6744725780347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157</v>
      </c>
    </row>
    <row r="3" customFormat="false" ht="15" hidden="false" customHeight="false" outlineLevel="0" collapsed="false">
      <c r="A3" s="0" t="s">
        <v>127</v>
      </c>
      <c r="B3" s="0" t="s">
        <v>88</v>
      </c>
      <c r="C3" s="2" t="s">
        <v>102</v>
      </c>
      <c r="D3" s="2" t="s">
        <v>103</v>
      </c>
      <c r="E3" s="2" t="s">
        <v>104</v>
      </c>
      <c r="F3" s="2" t="s">
        <v>105</v>
      </c>
      <c r="G3" s="2" t="s">
        <v>106</v>
      </c>
      <c r="H3" s="2" t="s">
        <v>107</v>
      </c>
      <c r="I3" s="2" t="s">
        <v>108</v>
      </c>
      <c r="J3" s="2" t="s">
        <v>109</v>
      </c>
      <c r="K3" s="2" t="s">
        <v>110</v>
      </c>
      <c r="L3" s="2" t="s">
        <v>111</v>
      </c>
    </row>
    <row r="4" customFormat="false" ht="15" hidden="false" customHeight="false" outlineLevel="0" collapsed="false">
      <c r="A4" s="0" t="s">
        <v>128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112</v>
      </c>
      <c r="C5" s="4" t="n">
        <f aca="false">Assumptions!C27</f>
        <v>-8</v>
      </c>
      <c r="D5" s="4" t="n">
        <f aca="false">Assumptions!D27</f>
        <v>2.5</v>
      </c>
      <c r="E5" s="4" t="n">
        <f aca="false">Assumptions!E27</f>
        <v>2.5</v>
      </c>
      <c r="F5" s="4" t="n">
        <f aca="false">Assumptions!F27</f>
        <v>2.5</v>
      </c>
      <c r="G5" s="4" t="n">
        <f aca="false">Assumptions!G27</f>
        <v>2.5</v>
      </c>
      <c r="H5" s="4" t="n">
        <f aca="false">Assumptions!H27</f>
        <v>2.25</v>
      </c>
      <c r="I5" s="4" t="n">
        <f aca="false">Assumptions!I27</f>
        <v>2.25</v>
      </c>
      <c r="J5" s="4" t="n">
        <f aca="false">Assumptions!J27</f>
        <v>2</v>
      </c>
      <c r="K5" s="4" t="n">
        <f aca="false">Assumptions!K27</f>
        <v>2</v>
      </c>
      <c r="L5" s="4" t="n">
        <f aca="false">Assumptions!L27</f>
        <v>2</v>
      </c>
    </row>
    <row r="6" customFormat="false" ht="15" hidden="false" customHeight="false" outlineLevel="0" collapsed="false">
      <c r="A6" s="0" t="s">
        <v>37</v>
      </c>
      <c r="B6" s="3" t="n">
        <v>78704</v>
      </c>
      <c r="C6" s="0" t="n">
        <f aca="false">B6*(1+C5/100)</f>
        <v>72407.68</v>
      </c>
      <c r="D6" s="0" t="n">
        <f aca="false">C6*(1+D5/100)</f>
        <v>74217.872</v>
      </c>
      <c r="E6" s="0" t="n">
        <f aca="false">D6*(1+E5/100)</f>
        <v>76073.3188</v>
      </c>
      <c r="F6" s="0" t="n">
        <f aca="false">E6*(1+F5/100)</f>
        <v>77975.15177</v>
      </c>
      <c r="G6" s="0" t="n">
        <f aca="false">F6*(1+G5/100)</f>
        <v>79924.53056425</v>
      </c>
      <c r="H6" s="0" t="n">
        <f aca="false">G6*(1+H5/100)</f>
        <v>81722.8325019456</v>
      </c>
      <c r="I6" s="0" t="n">
        <f aca="false">H6*(1+I5/100)</f>
        <v>83561.5962332394</v>
      </c>
      <c r="J6" s="0" t="n">
        <f aca="false">I6*(1+J5/100)</f>
        <v>85232.8281579042</v>
      </c>
      <c r="K6" s="0" t="n">
        <f aca="false">J6*(1+K5/100)</f>
        <v>86937.4847210622</v>
      </c>
      <c r="L6" s="0" t="n">
        <f aca="false">K6*(1+L5/100)</f>
        <v>88676.2344154835</v>
      </c>
    </row>
    <row r="7" customFormat="false" ht="15" hidden="false" customHeight="false" outlineLevel="0" collapsed="false">
      <c r="A7" s="0" t="s">
        <v>113</v>
      </c>
      <c r="C7" s="4" t="n">
        <f aca="false">Assumptions!C28</f>
        <v>13.12</v>
      </c>
      <c r="D7" s="4" t="n">
        <f aca="false">Assumptions!D28</f>
        <v>13.74</v>
      </c>
      <c r="E7" s="4" t="n">
        <f aca="false">Assumptions!E28</f>
        <v>14.33</v>
      </c>
      <c r="F7" s="4" t="n">
        <f aca="false">Assumptions!F28</f>
        <v>15</v>
      </c>
      <c r="G7" s="4" t="n">
        <f aca="false">Assumptions!G28</f>
        <v>15.76</v>
      </c>
      <c r="H7" s="4" t="n">
        <f aca="false">Assumptions!H28</f>
        <v>16.15</v>
      </c>
      <c r="I7" s="4" t="n">
        <f aca="false">Assumptions!I28</f>
        <v>16.4</v>
      </c>
      <c r="J7" s="4" t="n">
        <f aca="false">Assumptions!J28</f>
        <v>16.66</v>
      </c>
      <c r="K7" s="4" t="n">
        <f aca="false">Assumptions!K28</f>
        <v>16.91</v>
      </c>
      <c r="L7" s="4" t="n">
        <f aca="false">Assumptions!L28</f>
        <v>17.14</v>
      </c>
    </row>
    <row r="8" customFormat="false" ht="15" hidden="false" customHeight="false" outlineLevel="0" collapsed="false">
      <c r="A8" s="0" t="s">
        <v>43</v>
      </c>
      <c r="C8" s="0" t="n">
        <f aca="false">C6*C7/100</f>
        <v>9499.887616</v>
      </c>
      <c r="D8" s="0" t="n">
        <f aca="false">D6*D7/100</f>
        <v>10197.5356128</v>
      </c>
      <c r="E8" s="0" t="n">
        <f aca="false">E6*E7/100</f>
        <v>10901.30658404</v>
      </c>
      <c r="F8" s="0" t="n">
        <f aca="false">F6*F7/100</f>
        <v>11696.2727655</v>
      </c>
      <c r="G8" s="0" t="n">
        <f aca="false">G6*G7/100</f>
        <v>12596.1060169258</v>
      </c>
      <c r="H8" s="0" t="n">
        <f aca="false">H6*H7/100</f>
        <v>13198.2374490642</v>
      </c>
      <c r="I8" s="0" t="n">
        <f aca="false">I6*I7/100</f>
        <v>13704.1017822513</v>
      </c>
      <c r="J8" s="0" t="n">
        <f aca="false">J6*J7/100</f>
        <v>14199.7891711068</v>
      </c>
      <c r="K8" s="0" t="n">
        <f aca="false">K6*K7/100</f>
        <v>14701.1286663316</v>
      </c>
      <c r="L8" s="0" t="n">
        <f aca="false">L6*L7/100</f>
        <v>15199.1065788139</v>
      </c>
    </row>
    <row r="9" customFormat="false" ht="15" hidden="false" customHeight="false" outlineLevel="0" collapsed="false">
      <c r="A9" s="0" t="s">
        <v>114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130</v>
      </c>
      <c r="C11" s="0" t="n">
        <f aca="false">C8+C10+C24</f>
        <v>9499.887616</v>
      </c>
      <c r="D11" s="0" t="n">
        <f aca="false">D8+D10+D24</f>
        <v>10197.5356128</v>
      </c>
      <c r="E11" s="0" t="n">
        <f aca="false">E8+E10+E24</f>
        <v>10901.30658404</v>
      </c>
      <c r="F11" s="0" t="n">
        <f aca="false">F8+F10+F24</f>
        <v>11696.2727655</v>
      </c>
      <c r="G11" s="0" t="n">
        <f aca="false">G8+G10+G24</f>
        <v>12596.1060169258</v>
      </c>
      <c r="H11" s="0" t="n">
        <f aca="false">H8+H10+H24</f>
        <v>13198.2374490642</v>
      </c>
      <c r="I11" s="0" t="n">
        <f aca="false">I8+I10+I24</f>
        <v>13704.1017822513</v>
      </c>
      <c r="J11" s="0" t="n">
        <f aca="false">J8+J10+J24</f>
        <v>14199.7891711068</v>
      </c>
      <c r="K11" s="0" t="n">
        <f aca="false">K8+K10+K24</f>
        <v>14701.1286663316</v>
      </c>
      <c r="L11" s="0" t="n">
        <f aca="false">L8+L10+L24</f>
        <v>15199.1065788139</v>
      </c>
    </row>
    <row r="12" customFormat="false" ht="15" hidden="false" customHeight="false" outlineLevel="0" collapsed="false">
      <c r="A12" s="0" t="s">
        <v>131</v>
      </c>
      <c r="C12" s="4" t="n">
        <f aca="false">-C6*Assumptions!C31/100</f>
        <v>-3801.4032</v>
      </c>
      <c r="D12" s="4" t="n">
        <f aca="false">-D6*Assumptions!D31/100</f>
        <v>-4096.8265344</v>
      </c>
      <c r="E12" s="4" t="n">
        <f aca="false">-E6*Assumptions!E31/100</f>
        <v>-4397.03782664</v>
      </c>
      <c r="F12" s="4" t="n">
        <f aca="false">-F6*Assumptions!F31/100</f>
        <v>-4701.901651731</v>
      </c>
      <c r="G12" s="4" t="n">
        <f aca="false">-G6*Assumptions!G31/100</f>
        <v>-5003.27561332205</v>
      </c>
      <c r="H12" s="4" t="n">
        <f aca="false">-H6*Assumptions!H31/100</f>
        <v>-5303.81182937627</v>
      </c>
      <c r="I12" s="4" t="n">
        <f aca="false">-I6*Assumptions!I31/100</f>
        <v>-5498.35303214715</v>
      </c>
      <c r="J12" s="4" t="n">
        <f aca="false">-J6*Assumptions!J31/100</f>
        <v>-5702.07620376379</v>
      </c>
      <c r="K12" s="4" t="n">
        <f aca="false">-K6*Assumptions!K31/100</f>
        <v>-5850.89272172749</v>
      </c>
      <c r="L12" s="4" t="n">
        <f aca="false">-L6*Assumptions!L31/100</f>
        <v>-6003.38106992823</v>
      </c>
    </row>
    <row r="13" customFormat="false" ht="15" hidden="false" customHeight="false" outlineLevel="0" collapsed="false">
      <c r="A13" s="0" t="s">
        <v>132</v>
      </c>
      <c r="C13" s="0" t="n">
        <f aca="false">C11+C12</f>
        <v>5698.484416</v>
      </c>
      <c r="D13" s="0" t="n">
        <f aca="false">D11+D12</f>
        <v>6100.7090784</v>
      </c>
      <c r="E13" s="0" t="n">
        <f aca="false">E11+E12</f>
        <v>6504.2687574</v>
      </c>
      <c r="F13" s="0" t="n">
        <f aca="false">F11+F12</f>
        <v>6994.371113769</v>
      </c>
      <c r="G13" s="0" t="n">
        <f aca="false">G11+G12</f>
        <v>7592.83040360375</v>
      </c>
      <c r="H13" s="0" t="n">
        <f aca="false">H11+H12</f>
        <v>7894.42561968794</v>
      </c>
      <c r="I13" s="0" t="n">
        <f aca="false">I11+I12</f>
        <v>8205.7487501041</v>
      </c>
      <c r="J13" s="0" t="n">
        <f aca="false">J11+J12</f>
        <v>8497.71296734304</v>
      </c>
      <c r="K13" s="0" t="n">
        <f aca="false">K11+K12</f>
        <v>8850.23594460413</v>
      </c>
      <c r="L13" s="0" t="n">
        <f aca="false">L11+L12</f>
        <v>9195.72550888564</v>
      </c>
    </row>
    <row r="14" customFormat="false" ht="15" hidden="false" customHeight="false" outlineLevel="0" collapsed="false">
      <c r="A14" s="0" t="s">
        <v>118</v>
      </c>
      <c r="C14" s="4" t="n">
        <f aca="false">Assumptions!C33</f>
        <v>21</v>
      </c>
      <c r="D14" s="4" t="n">
        <f aca="false">Assumptions!D33</f>
        <v>21</v>
      </c>
      <c r="E14" s="4" t="n">
        <f aca="false">Assumptions!E33</f>
        <v>21.5</v>
      </c>
      <c r="F14" s="4" t="n">
        <f aca="false">Assumptions!F33</f>
        <v>22</v>
      </c>
      <c r="G14" s="4" t="n">
        <f aca="false">Assumptions!G33</f>
        <v>22.5</v>
      </c>
      <c r="H14" s="4" t="n">
        <f aca="false">Assumptions!H33</f>
        <v>23</v>
      </c>
      <c r="I14" s="4" t="n">
        <f aca="false">Assumptions!I33</f>
        <v>23.5</v>
      </c>
      <c r="J14" s="4" t="n">
        <f aca="false">Assumptions!J33</f>
        <v>24</v>
      </c>
      <c r="K14" s="4" t="n">
        <f aca="false">Assumptions!K33</f>
        <v>24.5</v>
      </c>
      <c r="L14" s="4" t="n">
        <f aca="false">Assumptions!L33</f>
        <v>25</v>
      </c>
    </row>
    <row r="15" customFormat="false" ht="15" hidden="false" customHeight="false" outlineLevel="0" collapsed="false">
      <c r="A15" s="0" t="s">
        <v>133</v>
      </c>
      <c r="C15" s="0" t="n">
        <f aca="false">C13-MAX(0,C13)*C14/100</f>
        <v>4501.80268864</v>
      </c>
      <c r="D15" s="0" t="n">
        <f aca="false">D13-MAX(0,D13)*D14/100</f>
        <v>4819.560171936</v>
      </c>
      <c r="E15" s="0" t="n">
        <f aca="false">E13-MAX(0,E13)*E14/100</f>
        <v>5105.850974559</v>
      </c>
      <c r="F15" s="0" t="n">
        <f aca="false">F13-MAX(0,F13)*F14/100</f>
        <v>5455.60946873982</v>
      </c>
      <c r="G15" s="0" t="n">
        <f aca="false">G13-MAX(0,G13)*G14/100</f>
        <v>5884.4435627929</v>
      </c>
      <c r="H15" s="0" t="n">
        <f aca="false">H13-MAX(0,H13)*H14/100</f>
        <v>6078.70772715972</v>
      </c>
      <c r="I15" s="0" t="n">
        <f aca="false">I13-MAX(0,I13)*I14/100</f>
        <v>6277.39779382964</v>
      </c>
      <c r="J15" s="0" t="n">
        <f aca="false">J13-MAX(0,J13)*J14/100</f>
        <v>6458.26185518071</v>
      </c>
      <c r="K15" s="0" t="n">
        <f aca="false">K13-MAX(0,K13)*K14/100</f>
        <v>6681.92813817612</v>
      </c>
      <c r="L15" s="0" t="n">
        <f aca="false">L13-MAX(0,L13)*L14/100</f>
        <v>6896.79413166423</v>
      </c>
    </row>
    <row r="16" customFormat="false" ht="15" hidden="false" customHeight="false" outlineLevel="0" collapsed="false">
      <c r="A16" s="0" t="s">
        <v>134</v>
      </c>
      <c r="C16" s="0" t="n">
        <f aca="false">-C12</f>
        <v>3801.4032</v>
      </c>
      <c r="D16" s="0" t="n">
        <f aca="false">-D12</f>
        <v>4096.8265344</v>
      </c>
      <c r="E16" s="0" t="n">
        <f aca="false">-E12</f>
        <v>4397.03782664</v>
      </c>
      <c r="F16" s="0" t="n">
        <f aca="false">-F12</f>
        <v>4701.901651731</v>
      </c>
      <c r="G16" s="0" t="n">
        <f aca="false">-G12</f>
        <v>5003.27561332205</v>
      </c>
      <c r="H16" s="0" t="n">
        <f aca="false">-H12</f>
        <v>5303.81182937627</v>
      </c>
      <c r="I16" s="0" t="n">
        <f aca="false">-I12</f>
        <v>5498.35303214715</v>
      </c>
      <c r="J16" s="0" t="n">
        <f aca="false">-J12</f>
        <v>5702.07620376379</v>
      </c>
      <c r="K16" s="0" t="n">
        <f aca="false">-K12</f>
        <v>5850.89272172749</v>
      </c>
      <c r="L16" s="0" t="n">
        <f aca="false">-L12</f>
        <v>6003.38106992823</v>
      </c>
    </row>
    <row r="17" customFormat="false" ht="15" hidden="false" customHeight="false" outlineLevel="0" collapsed="false">
      <c r="A17" s="0" t="s">
        <v>135</v>
      </c>
      <c r="C17" s="4" t="n">
        <f aca="false">-C6*Assumptions!C32/100</f>
        <v>-8703.403136</v>
      </c>
      <c r="D17" s="4" t="n">
        <f aca="false">-D6*Assumptions!D32/100</f>
        <v>-9403.4043824</v>
      </c>
      <c r="E17" s="4" t="n">
        <f aca="false">-E6*Assumptions!E32/100</f>
        <v>-9798.24346144</v>
      </c>
      <c r="F17" s="4" t="n">
        <f aca="false">-F6*Assumptions!F32/100</f>
        <v>-9996.414456914</v>
      </c>
      <c r="G17" s="4" t="n">
        <f aca="false">-G6*Assumptions!G32/100</f>
        <v>-10102.4606633212</v>
      </c>
      <c r="H17" s="4" t="n">
        <f aca="false">-H6*Assumptions!H32/100</f>
        <v>-9496.19313672608</v>
      </c>
      <c r="I17" s="4" t="n">
        <f aca="false">-I6*Assumptions!I32/100</f>
        <v>-9099.85782979977</v>
      </c>
      <c r="J17" s="4" t="n">
        <f aca="false">-J6*Assumptions!J32/100</f>
        <v>-8702.27175492201</v>
      </c>
      <c r="K17" s="4" t="n">
        <f aca="false">-K6*Assumptions!K32/100</f>
        <v>-8398.16102405461</v>
      </c>
      <c r="L17" s="4" t="n">
        <f aca="false">-L6*Assumptions!L32/100</f>
        <v>-8202.55168343222</v>
      </c>
    </row>
    <row r="18" customFormat="false" ht="15" hidden="false" customHeight="false" outlineLevel="0" collapsed="false">
      <c r="A18" s="0" t="s">
        <v>136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137</v>
      </c>
      <c r="C19" s="0" t="n">
        <f aca="false">C15+C16+C17+C18</f>
        <v>-400.19724736</v>
      </c>
      <c r="D19" s="0" t="n">
        <f aca="false">D15+D16+D17+D18</f>
        <v>-487.017676063999</v>
      </c>
      <c r="E19" s="0" t="n">
        <f aca="false">E15+E16+E17+E18</f>
        <v>-295.354660240999</v>
      </c>
      <c r="F19" s="0" t="n">
        <f aca="false">F15+F16+F17+F18</f>
        <v>161.096663556822</v>
      </c>
      <c r="G19" s="0" t="n">
        <f aca="false">G15+G16+G17+G18</f>
        <v>785.258512793755</v>
      </c>
      <c r="H19" s="0" t="n">
        <f aca="false">H15+H16+H17+H18</f>
        <v>1886.32641980991</v>
      </c>
      <c r="I19" s="0" t="n">
        <f aca="false">I15+I16+I17+I18</f>
        <v>2675.89299617702</v>
      </c>
      <c r="J19" s="0" t="n">
        <f aca="false">J15+J16+J17+J18</f>
        <v>3458.06630402249</v>
      </c>
      <c r="K19" s="0" t="n">
        <f aca="false">K15+K16+K17+K18</f>
        <v>4134.659835849</v>
      </c>
      <c r="L19" s="0" t="n">
        <f aca="false">L15+L16+L17+L18</f>
        <v>4697.62351816024</v>
      </c>
    </row>
    <row r="20" customFormat="false" ht="15" hidden="false" customHeight="false" outlineLevel="0" collapsed="false">
      <c r="A20" s="0" t="s">
        <v>138</v>
      </c>
      <c r="C20" s="0" t="n">
        <f aca="false">1/(1+$B$27/100)^C4</f>
        <v>0.947867298578199</v>
      </c>
      <c r="D20" s="0" t="n">
        <f aca="false">1/(1+$B$27/100)^D4</f>
        <v>0.898452415713933</v>
      </c>
      <c r="E20" s="0" t="n">
        <f aca="false">1/(1+$B$27/100)^E4</f>
        <v>0.851613664183823</v>
      </c>
      <c r="F20" s="0" t="n">
        <f aca="false">1/(1+$B$27/100)^F4</f>
        <v>0.807216743302202</v>
      </c>
      <c r="G20" s="0" t="n">
        <f aca="false">1/(1+$B$27/100)^G4</f>
        <v>0.765134353840949</v>
      </c>
      <c r="H20" s="0" t="n">
        <f aca="false">1/(1+$B$27/100)^H4</f>
        <v>0.725245833024597</v>
      </c>
      <c r="I20" s="0" t="n">
        <f aca="false">1/(1+$B$27/100)^I4</f>
        <v>0.68743680855412</v>
      </c>
      <c r="J20" s="0" t="n">
        <f aca="false">1/(1+$B$27/100)^J4</f>
        <v>0.651598870667413</v>
      </c>
      <c r="K20" s="0" t="n">
        <f aca="false">1/(1+$B$27/100)^K4</f>
        <v>0.617629261296126</v>
      </c>
      <c r="L20" s="0" t="n">
        <f aca="false">1/(1+$B$27/100)^L4</f>
        <v>0.585430579427607</v>
      </c>
    </row>
    <row r="21" customFormat="false" ht="15" hidden="false" customHeight="false" outlineLevel="0" collapsed="false">
      <c r="A21" s="0" t="s">
        <v>139</v>
      </c>
      <c r="C21" s="0" t="n">
        <f aca="false">C19*C20</f>
        <v>-379.333883753554</v>
      </c>
      <c r="D21" s="0" t="n">
        <f aca="false">D19*D20</f>
        <v>-437.562207555085</v>
      </c>
      <c r="E21" s="0" t="n">
        <f aca="false">E19*E20</f>
        <v>-251.528064441605</v>
      </c>
      <c r="F21" s="0" t="n">
        <f aca="false">F19*F20</f>
        <v>130.039924113188</v>
      </c>
      <c r="G21" s="0" t="n">
        <f aca="false">G19*G20</f>
        <v>600.828264784554</v>
      </c>
      <c r="H21" s="0" t="n">
        <f aca="false">H19*H20</f>
        <v>1368.05037569134</v>
      </c>
      <c r="I21" s="0" t="n">
        <f aca="false">I19*I20</f>
        <v>1839.50734132425</v>
      </c>
      <c r="J21" s="0" t="n">
        <f aca="false">J19*J20</f>
        <v>2253.27209839409</v>
      </c>
      <c r="K21" s="0" t="n">
        <f aca="false">K19*K20</f>
        <v>2553.68690012618</v>
      </c>
      <c r="L21" s="0" t="n">
        <f aca="false">L19*L20</f>
        <v>2750.1324581693</v>
      </c>
    </row>
    <row r="23" customFormat="false" ht="15" hidden="false" customHeight="false" outlineLevel="0" collapsed="false">
      <c r="A23" s="0" t="s">
        <v>115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141</v>
      </c>
    </row>
    <row r="27" customFormat="false" ht="15" hidden="false" customHeight="false" outlineLevel="0" collapsed="false">
      <c r="A27" s="0" t="s">
        <v>119</v>
      </c>
      <c r="B27" s="4" t="n">
        <f aca="false">Assumptions!$B$34</f>
        <v>5.5</v>
      </c>
    </row>
    <row r="28" customFormat="false" ht="15" hidden="false" customHeight="false" outlineLevel="0" collapsed="false">
      <c r="A28" s="0" t="s">
        <v>120</v>
      </c>
      <c r="B28" s="4" t="n">
        <f aca="false">Assumptions!$B$35</f>
        <v>2</v>
      </c>
    </row>
    <row r="29" customFormat="false" ht="15" hidden="false" customHeight="false" outlineLevel="0" collapsed="false">
      <c r="A29" s="0" t="s">
        <v>121</v>
      </c>
      <c r="B29" s="4" t="n">
        <f aca="false">Assumptions!$B$36</f>
        <v>30</v>
      </c>
    </row>
    <row r="30" customFormat="false" ht="15" hidden="false" customHeight="false" outlineLevel="0" collapsed="false">
      <c r="A30" s="0" t="s">
        <v>142</v>
      </c>
      <c r="B30" s="0" t="n">
        <f aca="false">SUM(C21:L21)</f>
        <v>10427.0932068527</v>
      </c>
    </row>
    <row r="31" customFormat="false" ht="15" hidden="false" customHeight="false" outlineLevel="0" collapsed="false">
      <c r="A31" s="0" t="s">
        <v>143</v>
      </c>
      <c r="B31" s="0" t="n">
        <f aca="false">L19</f>
        <v>4697.62351816024</v>
      </c>
    </row>
    <row r="32" customFormat="false" ht="15" hidden="false" customHeight="false" outlineLevel="0" collapsed="false">
      <c r="A32" s="0" t="s">
        <v>144</v>
      </c>
      <c r="B32" s="0" t="n">
        <f aca="false">IF(B27&gt;B28,B31*(1+B28/100)/((B27-B28)/100),B31*B29)</f>
        <v>136902.17110067</v>
      </c>
    </row>
    <row r="33" customFormat="false" ht="15" hidden="false" customHeight="false" outlineLevel="0" collapsed="false">
      <c r="A33" s="0" t="s">
        <v>145</v>
      </c>
      <c r="B33" s="0" t="n">
        <f aca="false">B31*B29</f>
        <v>140928.705544807</v>
      </c>
    </row>
    <row r="34" customFormat="false" ht="15" hidden="false" customHeight="false" outlineLevel="0" collapsed="false">
      <c r="A34" s="0" t="s">
        <v>146</v>
      </c>
      <c r="B34" s="0" t="n">
        <f aca="false">MAX(0,MIN(B32,B33))</f>
        <v>136902.17110067</v>
      </c>
    </row>
    <row r="35" customFormat="false" ht="15" hidden="false" customHeight="false" outlineLevel="0" collapsed="false">
      <c r="A35" s="0" t="s">
        <v>147</v>
      </c>
      <c r="B35" s="0" t="n">
        <f aca="false">B34/(1+B27/100)^L4</f>
        <v>80146.7173523626</v>
      </c>
    </row>
    <row r="36" customFormat="false" ht="15" hidden="false" customHeight="false" outlineLevel="0" collapsed="false">
      <c r="A36" s="0" t="s">
        <v>148</v>
      </c>
      <c r="B36" s="0" t="n">
        <f aca="false">B30+B35</f>
        <v>90573.8105592152</v>
      </c>
    </row>
    <row r="37" customFormat="false" ht="15" hidden="false" customHeight="false" outlineLevel="0" collapsed="false">
      <c r="A37" s="0" t="s">
        <v>149</v>
      </c>
      <c r="B37" s="0" t="n">
        <f aca="false">B36+Assumptions!$B$5-Assumptions!$B$4</f>
        <v>39037.8105592152</v>
      </c>
    </row>
    <row r="38" customFormat="false" ht="15" hidden="false" customHeight="false" outlineLevel="0" collapsed="false">
      <c r="A38" s="0" t="s">
        <v>150</v>
      </c>
      <c r="B38" s="0" t="n">
        <f aca="false">B37/Assumptions!$B$3*Assumptions!$B$10</f>
        <v>14.9398433062439</v>
      </c>
    </row>
    <row r="39" customFormat="false" ht="15" hidden="false" customHeight="false" outlineLevel="0" collapsed="false">
      <c r="A39" s="0" t="s">
        <v>151</v>
      </c>
      <c r="B39" s="4" t="n">
        <f aca="false">B38/Assumptions!$B$2-1</f>
        <v>-0.194617611523242</v>
      </c>
    </row>
    <row r="41" customFormat="false" ht="15" hidden="false" customHeight="false" outlineLevel="0" collapsed="false">
      <c r="A41" s="0" t="s">
        <v>152</v>
      </c>
      <c r="B41" s="0" t="n">
        <f aca="false">SUMPRODUCT(-C10:L10/(1+$B$27/100)^C4:L4)</f>
        <v>0</v>
      </c>
    </row>
    <row r="42" customFormat="false" ht="15" hidden="false" customHeight="false" outlineLevel="0" collapsed="false">
      <c r="A42" s="0" t="s">
        <v>153</v>
      </c>
      <c r="B42" s="0" t="n">
        <f aca="false">IF(B27&gt;B28,-L10*(1+B28/100)/((B27-B28)/100),-L10*20)/(1+B27/100)^L4</f>
        <v>0</v>
      </c>
    </row>
    <row r="43" customFormat="false" ht="15" hidden="false" customHeight="false" outlineLevel="0" collapsed="false">
      <c r="A43" s="0" t="s">
        <v>154</v>
      </c>
      <c r="B43" s="0" t="n">
        <f aca="false">(B37+B41+B42)/Assumptions!$B$3*Assumptions!$B$10</f>
        <v>14.9398433062439</v>
      </c>
    </row>
    <row r="45" customFormat="false" ht="15" hidden="false" customHeight="false" outlineLevel="0" collapsed="false">
      <c r="A45" s="0" t="s">
        <v>95</v>
      </c>
      <c r="B45" s="4" t="n">
        <f aca="false">Assumptions!$B$6</f>
        <v>15</v>
      </c>
    </row>
    <row r="46" customFormat="false" ht="15" hidden="false" customHeight="false" outlineLevel="0" collapsed="false">
      <c r="A46" s="0" t="s">
        <v>155</v>
      </c>
      <c r="B46" s="0" t="n">
        <f aca="false">MAX(0,MIN(IF(B45&gt;B28,B31*(1+B28/100)/((B45-B28)/100),B31*B29),B31*B29))</f>
        <v>36858.2768347957</v>
      </c>
    </row>
    <row r="47" customFormat="false" ht="15" hidden="false" customHeight="false" outlineLevel="0" collapsed="false">
      <c r="A47" s="0" t="s">
        <v>156</v>
      </c>
      <c r="B47" s="0" t="n">
        <f aca="false">(SUMPRODUCT(C19:L19/(1+B45/100)^C4:L4)+B46/(1+B45/100)^L4+Assumptions!$B$5-Assumptions!$B$4)/Assumptions!$B$3*Assumptions!$B$10</f>
        <v>-14.3760795851494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158</v>
      </c>
    </row>
    <row r="3" customFormat="false" ht="15" hidden="false" customHeight="false" outlineLevel="0" collapsed="false">
      <c r="A3" s="0" t="s">
        <v>127</v>
      </c>
      <c r="B3" s="0" t="s">
        <v>88</v>
      </c>
      <c r="C3" s="2" t="s">
        <v>102</v>
      </c>
      <c r="D3" s="2" t="s">
        <v>103</v>
      </c>
      <c r="E3" s="2" t="s">
        <v>104</v>
      </c>
      <c r="F3" s="2" t="s">
        <v>105</v>
      </c>
      <c r="G3" s="2" t="s">
        <v>106</v>
      </c>
      <c r="H3" s="2" t="s">
        <v>107</v>
      </c>
      <c r="I3" s="2" t="s">
        <v>108</v>
      </c>
      <c r="J3" s="2" t="s">
        <v>109</v>
      </c>
      <c r="K3" s="2" t="s">
        <v>110</v>
      </c>
      <c r="L3" s="2" t="s">
        <v>111</v>
      </c>
    </row>
    <row r="4" customFormat="false" ht="15" hidden="false" customHeight="false" outlineLevel="0" collapsed="false">
      <c r="A4" s="0" t="s">
        <v>128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112</v>
      </c>
      <c r="C5" s="4" t="n">
        <f aca="false">Assumptions!C41</f>
        <v>-8</v>
      </c>
      <c r="D5" s="4" t="n">
        <f aca="false">Assumptions!D41</f>
        <v>2.5</v>
      </c>
      <c r="E5" s="4" t="n">
        <f aca="false">Assumptions!E41</f>
        <v>2.5</v>
      </c>
      <c r="F5" s="4" t="n">
        <f aca="false">Assumptions!F41</f>
        <v>2.5</v>
      </c>
      <c r="G5" s="4" t="n">
        <f aca="false">Assumptions!G41</f>
        <v>2.5</v>
      </c>
      <c r="H5" s="4" t="n">
        <f aca="false">Assumptions!H41</f>
        <v>2.25</v>
      </c>
      <c r="I5" s="4" t="n">
        <f aca="false">Assumptions!I41</f>
        <v>2.25</v>
      </c>
      <c r="J5" s="4" t="n">
        <f aca="false">Assumptions!J41</f>
        <v>2</v>
      </c>
      <c r="K5" s="4" t="n">
        <f aca="false">Assumptions!K41</f>
        <v>2</v>
      </c>
      <c r="L5" s="4" t="n">
        <f aca="false">Assumptions!L41</f>
        <v>2</v>
      </c>
    </row>
    <row r="6" customFormat="false" ht="15" hidden="false" customHeight="false" outlineLevel="0" collapsed="false">
      <c r="A6" s="0" t="s">
        <v>37</v>
      </c>
      <c r="B6" s="3" t="n">
        <v>78704</v>
      </c>
      <c r="C6" s="0" t="n">
        <f aca="false">B6*(1+C5/100)</f>
        <v>72407.68</v>
      </c>
      <c r="D6" s="0" t="n">
        <f aca="false">C6*(1+D5/100)</f>
        <v>74217.872</v>
      </c>
      <c r="E6" s="0" t="n">
        <f aca="false">D6*(1+E5/100)</f>
        <v>76073.3188</v>
      </c>
      <c r="F6" s="0" t="n">
        <f aca="false">E6*(1+F5/100)</f>
        <v>77975.15177</v>
      </c>
      <c r="G6" s="0" t="n">
        <f aca="false">F6*(1+G5/100)</f>
        <v>79924.53056425</v>
      </c>
      <c r="H6" s="0" t="n">
        <f aca="false">G6*(1+H5/100)</f>
        <v>81722.8325019456</v>
      </c>
      <c r="I6" s="0" t="n">
        <f aca="false">H6*(1+I5/100)</f>
        <v>83561.5962332394</v>
      </c>
      <c r="J6" s="0" t="n">
        <f aca="false">I6*(1+J5/100)</f>
        <v>85232.8281579042</v>
      </c>
      <c r="K6" s="0" t="n">
        <f aca="false">J6*(1+K5/100)</f>
        <v>86937.4847210622</v>
      </c>
      <c r="L6" s="0" t="n">
        <f aca="false">K6*(1+L5/100)</f>
        <v>88676.2344154835</v>
      </c>
    </row>
    <row r="7" customFormat="false" ht="15" hidden="false" customHeight="false" outlineLevel="0" collapsed="false">
      <c r="A7" s="0" t="s">
        <v>113</v>
      </c>
      <c r="C7" s="4" t="n">
        <f aca="false">Assumptions!C42</f>
        <v>13.26</v>
      </c>
      <c r="D7" s="4" t="n">
        <f aca="false">Assumptions!D42</f>
        <v>14.01</v>
      </c>
      <c r="E7" s="4" t="n">
        <f aca="false">Assumptions!E42</f>
        <v>14.85</v>
      </c>
      <c r="F7" s="4" t="n">
        <f aca="false">Assumptions!F42</f>
        <v>15.65</v>
      </c>
      <c r="G7" s="4" t="n">
        <f aca="false">Assumptions!G42</f>
        <v>16.52</v>
      </c>
      <c r="H7" s="4" t="n">
        <f aca="false">Assumptions!H42</f>
        <v>17.01</v>
      </c>
      <c r="I7" s="4" t="n">
        <f aca="false">Assumptions!I42</f>
        <v>17.47</v>
      </c>
      <c r="J7" s="4" t="n">
        <f aca="false">Assumptions!J42</f>
        <v>17.95</v>
      </c>
      <c r="K7" s="4" t="n">
        <f aca="false">Assumptions!K42</f>
        <v>18.29</v>
      </c>
      <c r="L7" s="4" t="n">
        <f aca="false">Assumptions!L42</f>
        <v>18.61</v>
      </c>
    </row>
    <row r="8" customFormat="false" ht="15" hidden="false" customHeight="false" outlineLevel="0" collapsed="false">
      <c r="A8" s="0" t="s">
        <v>43</v>
      </c>
      <c r="C8" s="0" t="n">
        <f aca="false">C6*C7/100</f>
        <v>9601.258368</v>
      </c>
      <c r="D8" s="0" t="n">
        <f aca="false">D6*D7/100</f>
        <v>10397.9238672</v>
      </c>
      <c r="E8" s="0" t="n">
        <f aca="false">E6*E7/100</f>
        <v>11296.8878418</v>
      </c>
      <c r="F8" s="0" t="n">
        <f aca="false">F6*F7/100</f>
        <v>12203.111252005</v>
      </c>
      <c r="G8" s="0" t="n">
        <f aca="false">G6*G7/100</f>
        <v>13203.5324492141</v>
      </c>
      <c r="H8" s="0" t="n">
        <f aca="false">H6*H7/100</f>
        <v>13901.0538085809</v>
      </c>
      <c r="I8" s="0" t="n">
        <f aca="false">I6*I7/100</f>
        <v>14598.2108619469</v>
      </c>
      <c r="J8" s="0" t="n">
        <f aca="false">J6*J7/100</f>
        <v>15299.2926543438</v>
      </c>
      <c r="K8" s="0" t="n">
        <f aca="false">K6*K7/100</f>
        <v>15900.8659554823</v>
      </c>
      <c r="L8" s="0" t="n">
        <f aca="false">L6*L7/100</f>
        <v>16502.6472247215</v>
      </c>
    </row>
    <row r="9" customFormat="false" ht="15" hidden="false" customHeight="false" outlineLevel="0" collapsed="false">
      <c r="A9" s="0" t="s">
        <v>114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130</v>
      </c>
      <c r="C11" s="0" t="n">
        <f aca="false">C8+C10+C24</f>
        <v>9601.258368</v>
      </c>
      <c r="D11" s="0" t="n">
        <f aca="false">D8+D10+D24</f>
        <v>10397.9238672</v>
      </c>
      <c r="E11" s="0" t="n">
        <f aca="false">E8+E10+E24</f>
        <v>11296.8878418</v>
      </c>
      <c r="F11" s="0" t="n">
        <f aca="false">F8+F10+F24</f>
        <v>12203.111252005</v>
      </c>
      <c r="G11" s="0" t="n">
        <f aca="false">G8+G10+G24</f>
        <v>13203.5324492141</v>
      </c>
      <c r="H11" s="0" t="n">
        <f aca="false">H8+H10+H24</f>
        <v>13901.0538085809</v>
      </c>
      <c r="I11" s="0" t="n">
        <f aca="false">I8+I10+I24</f>
        <v>14598.2108619469</v>
      </c>
      <c r="J11" s="0" t="n">
        <f aca="false">J8+J10+J24</f>
        <v>15299.2926543438</v>
      </c>
      <c r="K11" s="0" t="n">
        <f aca="false">K8+K10+K24</f>
        <v>15900.8659554823</v>
      </c>
      <c r="L11" s="0" t="n">
        <f aca="false">L8+L10+L24</f>
        <v>16502.6472247215</v>
      </c>
    </row>
    <row r="12" customFormat="false" ht="15" hidden="false" customHeight="false" outlineLevel="0" collapsed="false">
      <c r="A12" s="0" t="s">
        <v>131</v>
      </c>
      <c r="C12" s="4" t="n">
        <f aca="false">-C6*Assumptions!C45/100</f>
        <v>-3801.4032</v>
      </c>
      <c r="D12" s="4" t="n">
        <f aca="false">-D6*Assumptions!D45/100</f>
        <v>-4096.8265344</v>
      </c>
      <c r="E12" s="4" t="n">
        <f aca="false">-E6*Assumptions!E45/100</f>
        <v>-4450.2891498</v>
      </c>
      <c r="F12" s="4" t="n">
        <f aca="false">-F6*Assumptions!F45/100</f>
        <v>-4803.269349032</v>
      </c>
      <c r="G12" s="4" t="n">
        <f aca="false">-G6*Assumptions!G45/100</f>
        <v>-5147.1397683377</v>
      </c>
      <c r="H12" s="4" t="n">
        <f aca="false">-H6*Assumptions!H45/100</f>
        <v>-5499.94662738094</v>
      </c>
      <c r="I12" s="4" t="n">
        <f aca="false">-I6*Assumptions!I45/100</f>
        <v>-5749.03782084687</v>
      </c>
      <c r="J12" s="4" t="n">
        <f aca="false">-J6*Assumptions!J45/100</f>
        <v>-6000.39110231645</v>
      </c>
      <c r="K12" s="4" t="n">
        <f aca="false">-K6*Assumptions!K45/100</f>
        <v>-6198.64266061174</v>
      </c>
      <c r="L12" s="4" t="n">
        <f aca="false">-L6*Assumptions!L45/100</f>
        <v>-6349.21838414862</v>
      </c>
    </row>
    <row r="13" customFormat="false" ht="15" hidden="false" customHeight="false" outlineLevel="0" collapsed="false">
      <c r="A13" s="0" t="s">
        <v>132</v>
      </c>
      <c r="C13" s="0" t="n">
        <f aca="false">C11+C12</f>
        <v>5799.855168</v>
      </c>
      <c r="D13" s="0" t="n">
        <f aca="false">D11+D12</f>
        <v>6301.0973328</v>
      </c>
      <c r="E13" s="0" t="n">
        <f aca="false">E11+E12</f>
        <v>6846.598692</v>
      </c>
      <c r="F13" s="0" t="n">
        <f aca="false">F11+F12</f>
        <v>7399.841902973</v>
      </c>
      <c r="G13" s="0" t="n">
        <f aca="false">G11+G12</f>
        <v>8056.3926808764</v>
      </c>
      <c r="H13" s="0" t="n">
        <f aca="false">H11+H12</f>
        <v>8401.10718120001</v>
      </c>
      <c r="I13" s="0" t="n">
        <f aca="false">I11+I12</f>
        <v>8849.17304110005</v>
      </c>
      <c r="J13" s="0" t="n">
        <f aca="false">J11+J12</f>
        <v>9298.90155202734</v>
      </c>
      <c r="K13" s="0" t="n">
        <f aca="false">K11+K12</f>
        <v>9702.22329487055</v>
      </c>
      <c r="L13" s="0" t="n">
        <f aca="false">L11+L12</f>
        <v>10153.4288405729</v>
      </c>
    </row>
    <row r="14" customFormat="false" ht="15" hidden="false" customHeight="false" outlineLevel="0" collapsed="false">
      <c r="A14" s="0" t="s">
        <v>118</v>
      </c>
      <c r="C14" s="4" t="n">
        <f aca="false">Assumptions!C47</f>
        <v>21</v>
      </c>
      <c r="D14" s="4" t="n">
        <f aca="false">Assumptions!D47</f>
        <v>21</v>
      </c>
      <c r="E14" s="4" t="n">
        <f aca="false">Assumptions!E47</f>
        <v>21.5</v>
      </c>
      <c r="F14" s="4" t="n">
        <f aca="false">Assumptions!F47</f>
        <v>22</v>
      </c>
      <c r="G14" s="4" t="n">
        <f aca="false">Assumptions!G47</f>
        <v>22.5</v>
      </c>
      <c r="H14" s="4" t="n">
        <f aca="false">Assumptions!H47</f>
        <v>23</v>
      </c>
      <c r="I14" s="4" t="n">
        <f aca="false">Assumptions!I47</f>
        <v>23.5</v>
      </c>
      <c r="J14" s="4" t="n">
        <f aca="false">Assumptions!J47</f>
        <v>24</v>
      </c>
      <c r="K14" s="4" t="n">
        <f aca="false">Assumptions!K47</f>
        <v>24.5</v>
      </c>
      <c r="L14" s="4" t="n">
        <f aca="false">Assumptions!L47</f>
        <v>25</v>
      </c>
    </row>
    <row r="15" customFormat="false" ht="15" hidden="false" customHeight="false" outlineLevel="0" collapsed="false">
      <c r="A15" s="0" t="s">
        <v>133</v>
      </c>
      <c r="C15" s="0" t="n">
        <f aca="false">C13-MAX(0,C13)*C14/100</f>
        <v>4581.88558272</v>
      </c>
      <c r="D15" s="0" t="n">
        <f aca="false">D13-MAX(0,D13)*D14/100</f>
        <v>4977.866892912</v>
      </c>
      <c r="E15" s="0" t="n">
        <f aca="false">E13-MAX(0,E13)*E14/100</f>
        <v>5374.57997322</v>
      </c>
      <c r="F15" s="0" t="n">
        <f aca="false">F13-MAX(0,F13)*F14/100</f>
        <v>5771.87668431894</v>
      </c>
      <c r="G15" s="0" t="n">
        <f aca="false">G13-MAX(0,G13)*G14/100</f>
        <v>6243.70432767921</v>
      </c>
      <c r="H15" s="0" t="n">
        <f aca="false">H13-MAX(0,H13)*H14/100</f>
        <v>6468.85252952401</v>
      </c>
      <c r="I15" s="0" t="n">
        <f aca="false">I13-MAX(0,I13)*I14/100</f>
        <v>6769.61737644154</v>
      </c>
      <c r="J15" s="0" t="n">
        <f aca="false">J13-MAX(0,J13)*J14/100</f>
        <v>7067.16517954078</v>
      </c>
      <c r="K15" s="0" t="n">
        <f aca="false">K13-MAX(0,K13)*K14/100</f>
        <v>7325.17858762726</v>
      </c>
      <c r="L15" s="0" t="n">
        <f aca="false">L13-MAX(0,L13)*L14/100</f>
        <v>7615.07163042964</v>
      </c>
    </row>
    <row r="16" customFormat="false" ht="15" hidden="false" customHeight="false" outlineLevel="0" collapsed="false">
      <c r="A16" s="0" t="s">
        <v>134</v>
      </c>
      <c r="C16" s="0" t="n">
        <f aca="false">-C12</f>
        <v>3801.4032</v>
      </c>
      <c r="D16" s="0" t="n">
        <f aca="false">-D12</f>
        <v>4096.8265344</v>
      </c>
      <c r="E16" s="0" t="n">
        <f aca="false">-E12</f>
        <v>4450.2891498</v>
      </c>
      <c r="F16" s="0" t="n">
        <f aca="false">-F12</f>
        <v>4803.269349032</v>
      </c>
      <c r="G16" s="0" t="n">
        <f aca="false">-G12</f>
        <v>5147.1397683377</v>
      </c>
      <c r="H16" s="0" t="n">
        <f aca="false">-H12</f>
        <v>5499.94662738094</v>
      </c>
      <c r="I16" s="0" t="n">
        <f aca="false">-I12</f>
        <v>5749.03782084687</v>
      </c>
      <c r="J16" s="0" t="n">
        <f aca="false">-J12</f>
        <v>6000.39110231645</v>
      </c>
      <c r="K16" s="0" t="n">
        <f aca="false">-K12</f>
        <v>6198.64266061174</v>
      </c>
      <c r="L16" s="0" t="n">
        <f aca="false">-L12</f>
        <v>6349.21838414862</v>
      </c>
    </row>
    <row r="17" customFormat="false" ht="15" hidden="false" customHeight="false" outlineLevel="0" collapsed="false">
      <c r="A17" s="0" t="s">
        <v>135</v>
      </c>
      <c r="C17" s="4" t="n">
        <f aca="false">-C6*Assumptions!C46/100</f>
        <v>-8703.403136</v>
      </c>
      <c r="D17" s="4" t="n">
        <f aca="false">-D6*Assumptions!D46/100</f>
        <v>-9596.3708496</v>
      </c>
      <c r="E17" s="4" t="n">
        <f aca="false">-E6*Assumptions!E46/100</f>
        <v>-10201.43205108</v>
      </c>
      <c r="F17" s="4" t="n">
        <f aca="false">-F6*Assumptions!F46/100</f>
        <v>-10503.252943419</v>
      </c>
      <c r="G17" s="4" t="n">
        <f aca="false">-G6*Assumptions!G46/100</f>
        <v>-10797.8040792302</v>
      </c>
      <c r="H17" s="4" t="n">
        <f aca="false">-H6*Assumptions!H46/100</f>
        <v>-10403.3165774977</v>
      </c>
      <c r="I17" s="4" t="n">
        <f aca="false">-I6*Assumptions!I46/100</f>
        <v>-10002.3230691188</v>
      </c>
      <c r="J17" s="4" t="n">
        <f aca="false">-J6*Assumptions!J46/100</f>
        <v>-9597.21645058001</v>
      </c>
      <c r="K17" s="4" t="n">
        <f aca="false">-K6*Assumptions!K46/100</f>
        <v>-9302.31086515366</v>
      </c>
      <c r="L17" s="4" t="n">
        <f aca="false">-L6*Assumptions!L46/100</f>
        <v>-9000.63779317157</v>
      </c>
    </row>
    <row r="18" customFormat="false" ht="15" hidden="false" customHeight="false" outlineLevel="0" collapsed="false">
      <c r="A18" s="0" t="s">
        <v>136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137</v>
      </c>
      <c r="C19" s="0" t="n">
        <f aca="false">C15+C16+C17+C18</f>
        <v>-320.11435328</v>
      </c>
      <c r="D19" s="0" t="n">
        <f aca="false">D15+D16+D17+D18</f>
        <v>-521.677422287999</v>
      </c>
      <c r="E19" s="0" t="n">
        <f aca="false">E15+E16+E17+E18</f>
        <v>-376.562928059999</v>
      </c>
      <c r="F19" s="0" t="n">
        <f aca="false">F15+F16+F17+F18</f>
        <v>71.8930899319385</v>
      </c>
      <c r="G19" s="0" t="n">
        <f aca="false">G15+G16+G17+G18</f>
        <v>593.040016786736</v>
      </c>
      <c r="H19" s="0" t="n">
        <f aca="false">H15+H16+H17+H18</f>
        <v>1565.48257940727</v>
      </c>
      <c r="I19" s="0" t="n">
        <f aca="false">I15+I16+I17+I18</f>
        <v>2516.33212816965</v>
      </c>
      <c r="J19" s="0" t="n">
        <f aca="false">J15+J16+J17+J18</f>
        <v>3470.33983127723</v>
      </c>
      <c r="K19" s="0" t="n">
        <f aca="false">K15+K16+K17+K18</f>
        <v>4221.51038308534</v>
      </c>
      <c r="L19" s="0" t="n">
        <f aca="false">L15+L16+L17+L18</f>
        <v>4963.65222140669</v>
      </c>
    </row>
    <row r="20" customFormat="false" ht="15" hidden="false" customHeight="false" outlineLevel="0" collapsed="false">
      <c r="A20" s="0" t="s">
        <v>138</v>
      </c>
      <c r="C20" s="0" t="n">
        <f aca="false">1/(1+$B$27/100)^C4</f>
        <v>0.947867298578199</v>
      </c>
      <c r="D20" s="0" t="n">
        <f aca="false">1/(1+$B$27/100)^D4</f>
        <v>0.898452415713933</v>
      </c>
      <c r="E20" s="0" t="n">
        <f aca="false">1/(1+$B$27/100)^E4</f>
        <v>0.851613664183823</v>
      </c>
      <c r="F20" s="0" t="n">
        <f aca="false">1/(1+$B$27/100)^F4</f>
        <v>0.807216743302202</v>
      </c>
      <c r="G20" s="0" t="n">
        <f aca="false">1/(1+$B$27/100)^G4</f>
        <v>0.765134353840949</v>
      </c>
      <c r="H20" s="0" t="n">
        <f aca="false">1/(1+$B$27/100)^H4</f>
        <v>0.725245833024597</v>
      </c>
      <c r="I20" s="0" t="n">
        <f aca="false">1/(1+$B$27/100)^I4</f>
        <v>0.68743680855412</v>
      </c>
      <c r="J20" s="0" t="n">
        <f aca="false">1/(1+$B$27/100)^J4</f>
        <v>0.651598870667413</v>
      </c>
      <c r="K20" s="0" t="n">
        <f aca="false">1/(1+$B$27/100)^K4</f>
        <v>0.617629261296126</v>
      </c>
      <c r="L20" s="0" t="n">
        <f aca="false">1/(1+$B$27/100)^L4</f>
        <v>0.585430579427607</v>
      </c>
    </row>
    <row r="21" customFormat="false" ht="15" hidden="false" customHeight="false" outlineLevel="0" collapsed="false">
      <c r="A21" s="0" t="s">
        <v>139</v>
      </c>
      <c r="C21" s="0" t="n">
        <f aca="false">C19*C20</f>
        <v>-303.425927279621</v>
      </c>
      <c r="D21" s="0" t="n">
        <f aca="false">D19*D20</f>
        <v>-468.702340278071</v>
      </c>
      <c r="E21" s="0" t="n">
        <f aca="false">E19*E20</f>
        <v>-320.686134960965</v>
      </c>
      <c r="F21" s="0" t="n">
        <f aca="false">F19*F20</f>
        <v>58.0333059207917</v>
      </c>
      <c r="G21" s="0" t="n">
        <f aca="false">G19*G20</f>
        <v>453.755290045945</v>
      </c>
      <c r="H21" s="0" t="n">
        <f aca="false">H19*H20</f>
        <v>1135.35971738772</v>
      </c>
      <c r="I21" s="0" t="n">
        <f aca="false">I19*I20</f>
        <v>1729.81932745114</v>
      </c>
      <c r="J21" s="0" t="n">
        <f aca="false">J19*J20</f>
        <v>2261.26951489238</v>
      </c>
      <c r="K21" s="0" t="n">
        <f aca="false">K19*K20</f>
        <v>2607.32833945892</v>
      </c>
      <c r="L21" s="0" t="n">
        <f aca="false">L19*L20</f>
        <v>2905.87379605525</v>
      </c>
    </row>
    <row r="23" customFormat="false" ht="15" hidden="false" customHeight="false" outlineLevel="0" collapsed="false">
      <c r="A23" s="0" t="s">
        <v>115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141</v>
      </c>
    </row>
    <row r="27" customFormat="false" ht="15" hidden="false" customHeight="false" outlineLevel="0" collapsed="false">
      <c r="A27" s="0" t="s">
        <v>119</v>
      </c>
      <c r="B27" s="4" t="n">
        <f aca="false">Assumptions!$B$48</f>
        <v>5.5</v>
      </c>
    </row>
    <row r="28" customFormat="false" ht="15" hidden="false" customHeight="false" outlineLevel="0" collapsed="false">
      <c r="A28" s="0" t="s">
        <v>120</v>
      </c>
      <c r="B28" s="4" t="n">
        <f aca="false">Assumptions!$B$49</f>
        <v>2.5</v>
      </c>
    </row>
    <row r="29" customFormat="false" ht="15" hidden="false" customHeight="false" outlineLevel="0" collapsed="false">
      <c r="A29" s="0" t="s">
        <v>121</v>
      </c>
      <c r="B29" s="4" t="n">
        <f aca="false">Assumptions!$B$50</f>
        <v>30</v>
      </c>
    </row>
    <row r="30" customFormat="false" ht="15" hidden="false" customHeight="false" outlineLevel="0" collapsed="false">
      <c r="A30" s="0" t="s">
        <v>142</v>
      </c>
      <c r="B30" s="0" t="n">
        <f aca="false">SUM(C21:L21)</f>
        <v>10058.6248886935</v>
      </c>
    </row>
    <row r="31" customFormat="false" ht="15" hidden="false" customHeight="false" outlineLevel="0" collapsed="false">
      <c r="A31" s="0" t="s">
        <v>143</v>
      </c>
      <c r="B31" s="0" t="n">
        <f aca="false">L19</f>
        <v>4963.65222140669</v>
      </c>
    </row>
    <row r="32" customFormat="false" ht="15" hidden="false" customHeight="false" outlineLevel="0" collapsed="false">
      <c r="A32" s="0" t="s">
        <v>144</v>
      </c>
      <c r="B32" s="0" t="n">
        <f aca="false">IF(B27&gt;B28,B31*(1+B28/100)/((B27-B28)/100),B31*B29)</f>
        <v>169591.450898062</v>
      </c>
    </row>
    <row r="33" customFormat="false" ht="15" hidden="false" customHeight="false" outlineLevel="0" collapsed="false">
      <c r="A33" s="0" t="s">
        <v>145</v>
      </c>
      <c r="B33" s="0" t="n">
        <f aca="false">B31*B29</f>
        <v>148909.566642201</v>
      </c>
    </row>
    <row r="34" customFormat="false" ht="15" hidden="false" customHeight="false" outlineLevel="0" collapsed="false">
      <c r="A34" s="0" t="s">
        <v>146</v>
      </c>
      <c r="B34" s="0" t="n">
        <f aca="false">MAX(0,MIN(B32,B33))</f>
        <v>148909.566642201</v>
      </c>
    </row>
    <row r="35" customFormat="false" ht="15" hidden="false" customHeight="false" outlineLevel="0" collapsed="false">
      <c r="A35" s="0" t="s">
        <v>147</v>
      </c>
      <c r="B35" s="0" t="n">
        <f aca="false">B34/(1+B27/100)^L4</f>
        <v>87176.2138816574</v>
      </c>
    </row>
    <row r="36" customFormat="false" ht="15" hidden="false" customHeight="false" outlineLevel="0" collapsed="false">
      <c r="A36" s="0" t="s">
        <v>148</v>
      </c>
      <c r="B36" s="0" t="n">
        <f aca="false">B30+B35</f>
        <v>97234.8387703509</v>
      </c>
    </row>
    <row r="37" customFormat="false" ht="15" hidden="false" customHeight="false" outlineLevel="0" collapsed="false">
      <c r="A37" s="0" t="s">
        <v>149</v>
      </c>
      <c r="B37" s="0" t="n">
        <f aca="false">B36+Assumptions!$B$5-Assumptions!$B$4</f>
        <v>45698.8387703509</v>
      </c>
    </row>
    <row r="38" customFormat="false" ht="15" hidden="false" customHeight="false" outlineLevel="0" collapsed="false">
      <c r="A38" s="0" t="s">
        <v>150</v>
      </c>
      <c r="B38" s="0" t="n">
        <f aca="false">B37/Assumptions!$B$3*Assumptions!$B$10</f>
        <v>17.4890312936666</v>
      </c>
    </row>
    <row r="39" customFormat="false" ht="15" hidden="false" customHeight="false" outlineLevel="0" collapsed="false">
      <c r="A39" s="0" t="s">
        <v>151</v>
      </c>
      <c r="B39" s="4" t="n">
        <f aca="false">B38/Assumptions!$B$2-1</f>
        <v>-0.0571950785085374</v>
      </c>
    </row>
    <row r="41" customFormat="false" ht="15" hidden="false" customHeight="false" outlineLevel="0" collapsed="false">
      <c r="A41" s="0" t="s">
        <v>152</v>
      </c>
      <c r="B41" s="0" t="n">
        <f aca="false">SUMPRODUCT(-C10:L10/(1+$B$27/100)^C4:L4)</f>
        <v>0</v>
      </c>
    </row>
    <row r="42" customFormat="false" ht="15" hidden="false" customHeight="false" outlineLevel="0" collapsed="false">
      <c r="A42" s="0" t="s">
        <v>153</v>
      </c>
      <c r="B42" s="0" t="n">
        <f aca="false">IF(B27&gt;B28,-L10*(1+B28/100)/((B27-B28)/100),-L10*20)/(1+B27/100)^L4</f>
        <v>0</v>
      </c>
    </row>
    <row r="43" customFormat="false" ht="15" hidden="false" customHeight="false" outlineLevel="0" collapsed="false">
      <c r="A43" s="0" t="s">
        <v>154</v>
      </c>
      <c r="B43" s="0" t="n">
        <f aca="false">(B37+B41+B42)/Assumptions!$B$3*Assumptions!$B$10</f>
        <v>17.4890312936666</v>
      </c>
    </row>
    <row r="45" customFormat="false" ht="15" hidden="false" customHeight="false" outlineLevel="0" collapsed="false">
      <c r="A45" s="0" t="s">
        <v>95</v>
      </c>
      <c r="B45" s="4" t="n">
        <f aca="false">Assumptions!$B$6</f>
        <v>15</v>
      </c>
    </row>
    <row r="46" customFormat="false" ht="15" hidden="false" customHeight="false" outlineLevel="0" collapsed="false">
      <c r="A46" s="0" t="s">
        <v>155</v>
      </c>
      <c r="B46" s="0" t="n">
        <f aca="false">MAX(0,MIN(IF(B45&gt;B28,B31*(1+B28/100)/((B45-B28)/100),B31*B29),B31*B29))</f>
        <v>40701.9482155348</v>
      </c>
    </row>
    <row r="47" customFormat="false" ht="15" hidden="false" customHeight="false" outlineLevel="0" collapsed="false">
      <c r="A47" s="0" t="s">
        <v>156</v>
      </c>
      <c r="B47" s="0" t="n">
        <f aca="false">(SUMPRODUCT(C19:L19/(1+B45/100)^C4:L4)+B46/(1+B45/100)^L4+Assumptions!$B$5-Assumptions!$B$4)/Assumptions!$B$3*Assumptions!$B$10</f>
        <v>-14.1122732686433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159</v>
      </c>
    </row>
    <row r="3" customFormat="false" ht="15" hidden="false" customHeight="false" outlineLevel="0" collapsed="false">
      <c r="A3" s="2" t="s">
        <v>160</v>
      </c>
      <c r="B3" s="2" t="s">
        <v>161</v>
      </c>
      <c r="C3" s="2" t="s">
        <v>151</v>
      </c>
      <c r="D3" s="2" t="s">
        <v>162</v>
      </c>
      <c r="E3" s="2" t="s">
        <v>154</v>
      </c>
      <c r="F3" s="2" t="s">
        <v>163</v>
      </c>
    </row>
    <row r="4" customFormat="false" ht="15" hidden="false" customHeight="false" outlineLevel="0" collapsed="false">
      <c r="A4" s="0" t="s">
        <v>164</v>
      </c>
      <c r="B4" s="4" t="n">
        <f aca="false">DCF_Bear!$B$38</f>
        <v>6.22141153508431</v>
      </c>
      <c r="C4" s="0" t="n">
        <f aca="false">B4/Assumptions!$B$2-1</f>
        <v>-0.664613933418635</v>
      </c>
      <c r="D4" s="4" t="n">
        <f aca="false">Assumptions!$B$24</f>
        <v>0.25</v>
      </c>
      <c r="E4" s="4" t="n">
        <f aca="false">DCF_Bear!$B$43</f>
        <v>6.22141153508431</v>
      </c>
      <c r="F4" s="4" t="n">
        <f aca="false">DCF_Bear!$B$47</f>
        <v>-15.6744725780347</v>
      </c>
    </row>
    <row r="5" customFormat="false" ht="15" hidden="false" customHeight="false" outlineLevel="0" collapsed="false">
      <c r="A5" s="0" t="s">
        <v>165</v>
      </c>
      <c r="B5" s="4" t="n">
        <f aca="false">DCF_Base!$B$38</f>
        <v>14.9398433062439</v>
      </c>
      <c r="C5" s="0" t="n">
        <f aca="false">B5/Assumptions!$B$2-1</f>
        <v>-0.194617611523242</v>
      </c>
      <c r="D5" s="4" t="n">
        <f aca="false">Assumptions!$B$38</f>
        <v>0.5</v>
      </c>
      <c r="E5" s="4" t="n">
        <f aca="false">DCF_Base!$B$43</f>
        <v>14.9398433062439</v>
      </c>
      <c r="F5" s="4" t="n">
        <f aca="false">DCF_Base!$B$47</f>
        <v>-14.3760795851494</v>
      </c>
    </row>
    <row r="6" customFormat="false" ht="15" hidden="false" customHeight="false" outlineLevel="0" collapsed="false">
      <c r="A6" s="0" t="s">
        <v>166</v>
      </c>
      <c r="B6" s="4" t="n">
        <f aca="false">DCF_Bull!$B$38</f>
        <v>17.4890312936666</v>
      </c>
      <c r="C6" s="0" t="n">
        <f aca="false">B6/Assumptions!$B$2-1</f>
        <v>-0.0571950785085374</v>
      </c>
      <c r="D6" s="4" t="n">
        <f aca="false">Assumptions!$B$52</f>
        <v>0.25</v>
      </c>
      <c r="E6" s="4" t="n">
        <f aca="false">DCF_Bull!$B$43</f>
        <v>17.4890312936666</v>
      </c>
      <c r="F6" s="4" t="n">
        <f aca="false">DCF_Bull!$B$47</f>
        <v>-14.1122732686433</v>
      </c>
    </row>
    <row r="8" customFormat="false" ht="15" hidden="false" customHeight="false" outlineLevel="0" collapsed="false">
      <c r="A8" s="0" t="s">
        <v>167</v>
      </c>
      <c r="B8" s="0" t="n">
        <f aca="false">SUMPRODUCT(B4:B6,D4:D6)</f>
        <v>13.3975323603097</v>
      </c>
    </row>
    <row r="9" customFormat="false" ht="15" hidden="false" customHeight="false" outlineLevel="0" collapsed="false">
      <c r="A9" s="0" t="s">
        <v>168</v>
      </c>
      <c r="B9" s="0" t="n">
        <f aca="false">SUMPRODUCT(E4:E6,D4:D6)</f>
        <v>13.3975323603097</v>
      </c>
    </row>
    <row r="10" customFormat="false" ht="15" hidden="false" customHeight="false" outlineLevel="0" collapsed="false">
      <c r="A10" s="0" t="s">
        <v>169</v>
      </c>
      <c r="B10" s="0" t="n">
        <f aca="false">1-Assumptions!$B$2/B8</f>
        <v>-0.384583332297414</v>
      </c>
    </row>
    <row r="11" customFormat="false" ht="15" hidden="false" customHeight="false" outlineLevel="0" collapsed="false">
      <c r="A11" s="0" t="s">
        <v>170</v>
      </c>
      <c r="B11" s="0" t="str">
        <f aca="false">IF(ABS(B9-B8)&gt;0.01*ABS(B8),(Assumptions!$B$2-B8)/(B9-B8)*100,"n/a")</f>
        <v>n/a</v>
      </c>
    </row>
    <row r="12" customFormat="false" ht="15" hidden="false" customHeight="false" outlineLevel="0" collapsed="false">
      <c r="A12" s="0" t="s">
        <v>171</v>
      </c>
      <c r="B12" s="0" t="n">
        <f aca="false">SUMPRODUCT(F4:F6,D4:D6)</f>
        <v>-14.6347262542442</v>
      </c>
    </row>
    <row r="14" customFormat="false" ht="15" hidden="false" customHeight="false" outlineLevel="0" collapsed="false">
      <c r="A14" s="2" t="s">
        <v>172</v>
      </c>
      <c r="C14" s="0" t="s">
        <v>173</v>
      </c>
    </row>
    <row r="15" customFormat="false" ht="15" hidden="false" customHeight="false" outlineLevel="0" collapsed="false">
      <c r="A15" s="0" t="s">
        <v>174</v>
      </c>
      <c r="B15" s="0" t="n">
        <f aca="false">(SUMPRODUCT(DCF_Base!$C$19:$L$19/(1+$C$15/100)^DCF_Base!$C$4:$L$4)+MAX(0,MIN(IF($C$15&gt;DCF_Base!$B$28,DCF_Base!$L$19*(1+DCF_Base!$B$28/100)/(($C$15-DCF_Base!$B$28)/100),DCF_Base!$L$19*DCF_Base!$B$29),DCF_Base!$L$19*DCF_Base!$B$29))/(1+$C$15/100)^DCF_Base!$L$4+Assumptions!$B$5-Assumptions!$B$4)/Assumptions!$B$3*Assumptions!$B$10</f>
        <v>14.9398433062439</v>
      </c>
      <c r="C15" s="3" t="n">
        <v>5.5</v>
      </c>
    </row>
    <row r="16" customFormat="false" ht="15" hidden="false" customHeight="false" outlineLevel="0" collapsed="false">
      <c r="A16" s="0" t="s">
        <v>175</v>
      </c>
      <c r="B16" s="0" t="n">
        <f aca="false">(SUMPRODUCT(DCF_Base!$C$19:$L$19/(1+$C$16/100)^DCF_Base!$C$4:$L$4)+MAX(0,MIN(IF($C$16&gt;DCF_Base!$B$28,DCF_Base!$L$19*(1+DCF_Base!$B$28/100)/(($C$16-DCF_Base!$B$28)/100),DCF_Base!$L$19*DCF_Base!$B$29),DCF_Base!$L$19*DCF_Base!$B$29))/(1+$C$16/100)^DCF_Base!$L$4+Assumptions!$B$5-Assumptions!$B$4)/Assumptions!$B$3*Assumptions!$B$10</f>
        <v>-5.66019177742171</v>
      </c>
      <c r="C16" s="3" t="n">
        <v>9</v>
      </c>
    </row>
    <row r="17" customFormat="false" ht="15" hidden="false" customHeight="false" outlineLevel="0" collapsed="false">
      <c r="A17" s="0" t="s">
        <v>176</v>
      </c>
      <c r="B17" s="0" t="n">
        <f aca="false">(SUMPRODUCT(DCF_Base!$C$19:$L$19/(1+$C$17/100)^DCF_Base!$C$4:$L$4)+MAX(0,MIN(IF($C$17&gt;DCF_Base!$B$28,DCF_Base!$L$19*(1+DCF_Base!$B$28/100)/(($C$17-DCF_Base!$B$28)/100),DCF_Base!$L$19*DCF_Base!$B$29),DCF_Base!$L$19*DCF_Base!$B$29))/(1+$C$17/100)^DCF_Base!$L$4+Assumptions!$B$5-Assumptions!$B$4)/Assumptions!$B$3*Assumptions!$B$10</f>
        <v>-8.1204787760116</v>
      </c>
      <c r="C17" s="3" t="n">
        <v>10</v>
      </c>
    </row>
    <row r="18" customFormat="false" ht="15" hidden="false" customHeight="false" outlineLevel="0" collapsed="false">
      <c r="A18" s="0" t="s">
        <v>177</v>
      </c>
      <c r="B18" s="0" t="n">
        <f aca="false">(SUMPRODUCT(DCF_Base!$C$19:$L$19/(1+$C$18/100)^DCF_Base!$C$4:$L$4)+MAX(0,MIN(IF($C$18&gt;DCF_Base!$B$28,DCF_Base!$L$19*(1+DCF_Base!$B$28/100)/(($C$18-DCF_Base!$B$28)/100),DCF_Base!$L$19*DCF_Base!$B$29),DCF_Base!$L$19*DCF_Base!$B$29))/(1+$C$18/100)^DCF_Base!$L$4+Assumptions!$B$5-Assumptions!$B$4)/Assumptions!$B$3*Assumptions!$B$10</f>
        <v>-9.99492629777887</v>
      </c>
      <c r="C18" s="3" t="n">
        <v>11</v>
      </c>
    </row>
    <row r="19" customFormat="false" ht="15" hidden="false" customHeight="false" outlineLevel="0" collapsed="false">
      <c r="A19" s="0" t="s">
        <v>178</v>
      </c>
      <c r="B19" s="0" t="n">
        <f aca="false">(SUMPRODUCT(DCF_Base!$C$19:$L$19/(1+$C$19/100)^DCF_Base!$C$4:$L$4)+MAX(0,MIN(IF($C$19&gt;DCF_Base!$B$28,DCF_Base!$L$19*(1+DCF_Base!$B$28/100)/(($C$19-DCF_Base!$B$28)/100),DCF_Base!$L$19*DCF_Base!$B$29),DCF_Base!$L$19*DCF_Base!$B$29))/(1+$C$19/100)^DCF_Base!$L$4+Assumptions!$B$5-Assumptions!$B$4)/Assumptions!$B$3*Assumptions!$B$10</f>
        <v>-11.4619102970538</v>
      </c>
      <c r="C19" s="3" t="n">
        <v>12</v>
      </c>
    </row>
    <row r="20" customFormat="false" ht="15" hidden="false" customHeight="false" outlineLevel="0" collapsed="false">
      <c r="A20" s="0" t="s">
        <v>179</v>
      </c>
      <c r="B20" s="0" t="n">
        <f aca="false">(SUMPRODUCT(DCF_Base!$C$19:$L$19/(1+$C$20/100)^DCF_Base!$C$4:$L$4)+MAX(0,MIN(IF($C$20&gt;DCF_Base!$B$28,DCF_Base!$L$19*(1+DCF_Base!$B$28/100)/(($C$20-DCF_Base!$B$28)/100),DCF_Base!$L$19*DCF_Base!$B$29),DCF_Base!$L$19*DCF_Base!$B$29))/(1+$C$20/100)^DCF_Base!$L$4+Assumptions!$B$5-Assumptions!$B$4)/Assumptions!$B$3*Assumptions!$B$10</f>
        <v>-14.3760795851494</v>
      </c>
      <c r="C20" s="3" t="n">
        <v>15</v>
      </c>
    </row>
    <row r="22" customFormat="false" ht="15" hidden="false" customHeight="false" outlineLevel="0" collapsed="false">
      <c r="A22" s="2" t="s">
        <v>180</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3.5</v>
      </c>
      <c r="B24" s="0" t="n">
        <f aca="false">(SUMPRODUCT(DCF_Base!$C$19:$L$19/(1+$A$24/100)^DCF_Base!$C$4:$L$4)+MAX(0,MIN(IF($A$24&gt;$B$23,DCF_Base!$L$19*(1+$B$23/100)/(($A$24-$B$23)/100),DCF_Base!$L$19*DCF_Base!$B$29),DCF_Base!$L$19*DCF_Base!$B$29))/(1+$A$24/100)^DCF_Base!$L$4+Assumptions!$B$5-Assumptions!$B$4)/Assumptions!$B$3*Assumptions!$B$10</f>
        <v>23.2272036873893</v>
      </c>
      <c r="C24" s="0" t="n">
        <f aca="false">(SUMPRODUCT(DCF_Base!$C$19:$L$19/(1+$A$24/100)^DCF_Base!$C$4:$L$4)+MAX(0,MIN(IF($A$24&gt;$C$23,DCF_Base!$L$19*(1+$C$23/100)/(($A$24-$C$23)/100),DCF_Base!$L$19*DCF_Base!$B$29),DCF_Base!$L$19*DCF_Base!$B$29))/(1+$A$24/100)^DCF_Base!$L$4+Assumptions!$B$5-Assumptions!$B$4)/Assumptions!$B$3*Assumptions!$B$10</f>
        <v>23.2272036873893</v>
      </c>
      <c r="D24" s="0" t="n">
        <f aca="false">(SUMPRODUCT(DCF_Base!$C$19:$L$19/(1+$A$24/100)^DCF_Base!$C$4:$L$4)+MAX(0,MIN(IF($A$24&gt;$D$23,DCF_Base!$L$19*(1+$D$23/100)/(($A$24-$D$23)/100),DCF_Base!$L$19*DCF_Base!$B$29),DCF_Base!$L$19*DCF_Base!$B$29))/(1+$A$24/100)^DCF_Base!$L$4+Assumptions!$B$5-Assumptions!$B$4)/Assumptions!$B$3*Assumptions!$B$10</f>
        <v>23.2272036873893</v>
      </c>
      <c r="E24" s="0" t="n">
        <f aca="false">(SUMPRODUCT(DCF_Base!$C$19:$L$19/(1+$A$24/100)^DCF_Base!$C$4:$L$4)+MAX(0,MIN(IF($A$24&gt;$E$23,DCF_Base!$L$19*(1+$E$23/100)/(($A$24-$E$23)/100),DCF_Base!$L$19*DCF_Base!$B$29),DCF_Base!$L$19*DCF_Base!$B$29))/(1+$A$24/100)^DCF_Base!$L$4+Assumptions!$B$5-Assumptions!$B$4)/Assumptions!$B$3*Assumptions!$B$10</f>
        <v>23.2272036873893</v>
      </c>
      <c r="F24" s="0" t="n">
        <f aca="false">(SUMPRODUCT(DCF_Base!$C$19:$L$19/(1+$A$24/100)^DCF_Base!$C$4:$L$4)+MAX(0,MIN(IF($A$24&gt;$F$23,DCF_Base!$L$19*(1+$F$23/100)/(($A$24-$F$23)/100),DCF_Base!$L$19*DCF_Base!$B$29),DCF_Base!$L$19*DCF_Base!$B$29))/(1+$A$24/100)^DCF_Base!$L$4+Assumptions!$B$5-Assumptions!$B$4)/Assumptions!$B$3*Assumptions!$B$10</f>
        <v>23.2272036873893</v>
      </c>
    </row>
    <row r="25" customFormat="false" ht="15" hidden="false" customHeight="false" outlineLevel="0" collapsed="false">
      <c r="A25" s="3" t="n">
        <v>4.5</v>
      </c>
      <c r="B25" s="0" t="n">
        <f aca="false">(SUMPRODUCT(DCF_Base!$C$19:$L$19/(1+$A$25/100)^DCF_Base!$C$4:$L$4)+MAX(0,MIN(IF($A$25&gt;$B$23,DCF_Base!$L$19*(1+$B$23/100)/(($A$25-$B$23)/100),DCF_Base!$L$19*DCF_Base!$B$29),DCF_Base!$L$19*DCF_Base!$B$29))/(1+$A$25/100)^DCF_Base!$L$4+Assumptions!$B$5-Assumptions!$B$4)/Assumptions!$B$3*Assumptions!$B$10</f>
        <v>18.0198775450872</v>
      </c>
      <c r="C25" s="0" t="n">
        <f aca="false">(SUMPRODUCT(DCF_Base!$C$19:$L$19/(1+$A$25/100)^DCF_Base!$C$4:$L$4)+MAX(0,MIN(IF($A$25&gt;$C$23,DCF_Base!$L$19*(1+$C$23/100)/(($A$25-$C$23)/100),DCF_Base!$L$19*DCF_Base!$B$29),DCF_Base!$L$19*DCF_Base!$B$29))/(1+$A$25/100)^DCF_Base!$L$4+Assumptions!$B$5-Assumptions!$B$4)/Assumptions!$B$3*Assumptions!$B$10</f>
        <v>19.3429019059636</v>
      </c>
      <c r="D25" s="0" t="n">
        <f aca="false">(SUMPRODUCT(DCF_Base!$C$19:$L$19/(1+$A$25/100)^DCF_Base!$C$4:$L$4)+MAX(0,MIN(IF($A$25&gt;$D$23,DCF_Base!$L$19*(1+$D$23/100)/(($A$25-$D$23)/100),DCF_Base!$L$19*DCF_Base!$B$29),DCF_Base!$L$19*DCF_Base!$B$29))/(1+$A$25/100)^DCF_Base!$L$4+Assumptions!$B$5-Assumptions!$B$4)/Assumptions!$B$3*Assumptions!$B$10</f>
        <v>19.3429019059636</v>
      </c>
      <c r="E25" s="0" t="n">
        <f aca="false">(SUMPRODUCT(DCF_Base!$C$19:$L$19/(1+$A$25/100)^DCF_Base!$C$4:$L$4)+MAX(0,MIN(IF($A$25&gt;$E$23,DCF_Base!$L$19*(1+$E$23/100)/(($A$25-$E$23)/100),DCF_Base!$L$19*DCF_Base!$B$29),DCF_Base!$L$19*DCF_Base!$B$29))/(1+$A$25/100)^DCF_Base!$L$4+Assumptions!$B$5-Assumptions!$B$4)/Assumptions!$B$3*Assumptions!$B$10</f>
        <v>19.3429019059636</v>
      </c>
      <c r="F25" s="0" t="n">
        <f aca="false">(SUMPRODUCT(DCF_Base!$C$19:$L$19/(1+$A$25/100)^DCF_Base!$C$4:$L$4)+MAX(0,MIN(IF($A$25&gt;$F$23,DCF_Base!$L$19*(1+$F$23/100)/(($A$25-$F$23)/100),DCF_Base!$L$19*DCF_Base!$B$29),DCF_Base!$L$19*DCF_Base!$B$29))/(1+$A$25/100)^DCF_Base!$L$4+Assumptions!$B$5-Assumptions!$B$4)/Assumptions!$B$3*Assumptions!$B$10</f>
        <v>19.3429019059636</v>
      </c>
    </row>
    <row r="26" customFormat="false" ht="15" hidden="false" customHeight="false" outlineLevel="0" collapsed="false">
      <c r="A26" s="3" t="n">
        <v>5.5</v>
      </c>
      <c r="B26" s="0" t="n">
        <f aca="false">(SUMPRODUCT(DCF_Base!$C$19:$L$19/(1+$A$26/100)^DCF_Base!$C$4:$L$4)+MAX(0,MIN(IF($A$26&gt;$B$23,DCF_Base!$L$19*(1+$B$23/100)/(($A$26-$B$23)/100),DCF_Base!$L$19*DCF_Base!$B$29),DCF_Base!$L$19*DCF_Base!$B$29))/(1+$A$26/100)^DCF_Base!$L$4+Assumptions!$B$5-Assumptions!$B$4)/Assumptions!$B$3*Assumptions!$B$10</f>
        <v>7.88989222315233</v>
      </c>
      <c r="C26" s="0" t="n">
        <f aca="false">(SUMPRODUCT(DCF_Base!$C$19:$L$19/(1+$A$26/100)^DCF_Base!$C$4:$L$4)+MAX(0,MIN(IF($A$26&gt;$C$23,DCF_Base!$L$19*(1+$C$23/100)/(($A$26-$C$23)/100),DCF_Base!$L$19*DCF_Base!$B$29),DCF_Base!$L$19*DCF_Base!$B$29))/(1+$A$26/100)^DCF_Base!$L$4+Assumptions!$B$5-Assumptions!$B$4)/Assumptions!$B$3*Assumptions!$B$10</f>
        <v>10.9742458220049</v>
      </c>
      <c r="D26" s="0" t="n">
        <f aca="false">(SUMPRODUCT(DCF_Base!$C$19:$L$19/(1+$A$26/100)^DCF_Base!$C$4:$L$4)+MAX(0,MIN(IF($A$26&gt;$D$23,DCF_Base!$L$19*(1+$D$23/100)/(($A$26-$D$23)/100),DCF_Base!$L$19*DCF_Base!$B$29),DCF_Base!$L$19*DCF_Base!$B$29))/(1+$A$26/100)^DCF_Base!$L$4+Assumptions!$B$5-Assumptions!$B$4)/Assumptions!$B$3*Assumptions!$B$10</f>
        <v>14.9398433062439</v>
      </c>
      <c r="E26" s="0" t="n">
        <f aca="false">(SUMPRODUCT(DCF_Base!$C$19:$L$19/(1+$A$26/100)^DCF_Base!$C$4:$L$4)+MAX(0,MIN(IF($A$26&gt;$E$23,DCF_Base!$L$19*(1+$E$23/100)/(($A$26-$E$23)/100),DCF_Base!$L$19*DCF_Base!$B$29),DCF_Base!$L$19*DCF_Base!$B$29))/(1+$A$26/100)^DCF_Base!$L$4+Assumptions!$B$5-Assumptions!$B$4)/Assumptions!$B$3*Assumptions!$B$10</f>
        <v>15.8419697481561</v>
      </c>
      <c r="F26" s="0" t="n">
        <f aca="false">(SUMPRODUCT(DCF_Base!$C$19:$L$19/(1+$A$26/100)^DCF_Base!$C$4:$L$4)+MAX(0,MIN(IF($A$26&gt;$F$23,DCF_Base!$L$19*(1+$F$23/100)/(($A$26-$F$23)/100),DCF_Base!$L$19*DCF_Base!$B$29),DCF_Base!$L$19*DCF_Base!$B$29))/(1+$A$26/100)^DCF_Base!$L$4+Assumptions!$B$5-Assumptions!$B$4)/Assumptions!$B$3*Assumptions!$B$10</f>
        <v>15.8419697481561</v>
      </c>
    </row>
    <row r="27" customFormat="false" ht="15" hidden="false" customHeight="false" outlineLevel="0" collapsed="false">
      <c r="A27" s="3" t="n">
        <v>6.5</v>
      </c>
      <c r="B27" s="0" t="n">
        <f aca="false">(SUMPRODUCT(DCF_Base!$C$19:$L$19/(1+$A$27/100)^DCF_Base!$C$4:$L$4)+MAX(0,MIN(IF($A$27&gt;$B$23,DCF_Base!$L$19*(1+$B$23/100)/(($A$27-$B$23)/100),DCF_Base!$L$19*DCF_Base!$B$29),DCF_Base!$L$19*DCF_Base!$B$29))/(1+$A$27/100)^DCF_Base!$L$4+Assumptions!$B$5-Assumptions!$B$4)/Assumptions!$B$3*Assumptions!$B$10</f>
        <v>1.53888396451044</v>
      </c>
      <c r="C27" s="0" t="n">
        <f aca="false">(SUMPRODUCT(DCF_Base!$C$19:$L$19/(1+$A$27/100)^DCF_Base!$C$4:$L$4)+MAX(0,MIN(IF($A$27&gt;$C$23,DCF_Base!$L$19*(1+$C$23/100)/(($A$27-$C$23)/100),DCF_Base!$L$19*DCF_Base!$B$29),DCF_Base!$L$19*DCF_Base!$B$29))/(1+$A$27/100)^DCF_Base!$L$4+Assumptions!$B$5-Assumptions!$B$4)/Assumptions!$B$3*Assumptions!$B$10</f>
        <v>3.3933959264875</v>
      </c>
      <c r="D27" s="0" t="n">
        <f aca="false">(SUMPRODUCT(DCF_Base!$C$19:$L$19/(1+$A$27/100)^DCF_Base!$C$4:$L$4)+MAX(0,MIN(IF($A$27&gt;$D$23,DCF_Base!$L$19*(1+$D$23/100)/(($A$27-$D$23)/100),DCF_Base!$L$19*DCF_Base!$B$29),DCF_Base!$L$19*DCF_Base!$B$29))/(1+$A$27/100)^DCF_Base!$L$4+Assumptions!$B$5-Assumptions!$B$4)/Assumptions!$B$3*Assumptions!$B$10</f>
        <v>5.66002165779281</v>
      </c>
      <c r="E27" s="0" t="n">
        <f aca="false">(SUMPRODUCT(DCF_Base!$C$19:$L$19/(1+$A$27/100)^DCF_Base!$C$4:$L$4)+MAX(0,MIN(IF($A$27&gt;$E$23,DCF_Base!$L$19*(1+$E$23/100)/(($A$27-$E$23)/100),DCF_Base!$L$19*DCF_Base!$B$29),DCF_Base!$L$19*DCF_Base!$B$29))/(1+$A$27/100)^DCF_Base!$L$4+Assumptions!$B$5-Assumptions!$B$4)/Assumptions!$B$3*Assumptions!$B$10</f>
        <v>8.49330382192444</v>
      </c>
      <c r="F27" s="0" t="n">
        <f aca="false">(SUMPRODUCT(DCF_Base!$C$19:$L$19/(1+$A$27/100)^DCF_Base!$C$4:$L$4)+MAX(0,MIN(IF($A$27&gt;$F$23,DCF_Base!$L$19*(1+$F$23/100)/(($A$27-$F$23)/100),DCF_Base!$L$19*DCF_Base!$B$29),DCF_Base!$L$19*DCF_Base!$B$29))/(1+$A$27/100)^DCF_Base!$L$4+Assumptions!$B$5-Assumptions!$B$4)/Assumptions!$B$3*Assumptions!$B$10</f>
        <v>12.136095175808</v>
      </c>
    </row>
    <row r="28" customFormat="false" ht="15" hidden="false" customHeight="false" outlineLevel="0" collapsed="false">
      <c r="A28" s="3" t="n">
        <v>7.5</v>
      </c>
      <c r="B28" s="0" t="n">
        <f aca="false">(SUMPRODUCT(DCF_Base!$C$19:$L$19/(1+$A$28/100)^DCF_Base!$C$4:$L$4)+MAX(0,MIN(IF($A$28&gt;$B$23,DCF_Base!$L$19*(1+$B$23/100)/(($A$28-$B$23)/100),DCF_Base!$L$19*DCF_Base!$B$29),DCF_Base!$L$19*DCF_Base!$B$29))/(1+$A$28/100)^DCF_Base!$L$4+Assumptions!$B$5-Assumptions!$B$4)/Assumptions!$B$3*Assumptions!$B$10</f>
        <v>-2.78367086484514</v>
      </c>
      <c r="C28" s="0" t="n">
        <f aca="false">(SUMPRODUCT(DCF_Base!$C$19:$L$19/(1+$A$28/100)^DCF_Base!$C$4:$L$4)+MAX(0,MIN(IF($A$28&gt;$C$23,DCF_Base!$L$19*(1+$C$23/100)/(($A$28-$C$23)/100),DCF_Base!$L$19*DCF_Base!$B$29),DCF_Base!$L$19*DCF_Base!$B$29))/(1+$A$28/100)^DCF_Base!$L$4+Assumptions!$B$5-Assumptions!$B$4)/Assumptions!$B$3*Assumptions!$B$10</f>
        <v>-1.58149496471472</v>
      </c>
      <c r="D28" s="0" t="n">
        <f aca="false">(SUMPRODUCT(DCF_Base!$C$19:$L$19/(1+$A$28/100)^DCF_Base!$C$4:$L$4)+MAX(0,MIN(IF($A$28&gt;$D$23,DCF_Base!$L$19*(1+$D$23/100)/(($A$28-$D$23)/100),DCF_Base!$L$19*DCF_Base!$B$29),DCF_Base!$L$19*DCF_Base!$B$29))/(1+$A$28/100)^DCF_Base!$L$4+Assumptions!$B$5-Assumptions!$B$4)/Assumptions!$B$3*Assumptions!$B$10</f>
        <v>-0.160741628196939</v>
      </c>
      <c r="E28" s="0" t="n">
        <f aca="false">(SUMPRODUCT(DCF_Base!$C$19:$L$19/(1+$A$28/100)^DCF_Base!$C$4:$L$4)+MAX(0,MIN(IF($A$28&gt;$E$23,DCF_Base!$L$19*(1+$E$23/100)/(($A$28-$E$23)/100),DCF_Base!$L$19*DCF_Base!$B$29),DCF_Base!$L$19*DCF_Base!$B$29))/(1+$A$28/100)^DCF_Base!$L$4+Assumptions!$B$5-Assumptions!$B$4)/Assumptions!$B$3*Assumptions!$B$10</f>
        <v>1.54416237562439</v>
      </c>
      <c r="F28" s="0" t="n">
        <f aca="false">(SUMPRODUCT(DCF_Base!$C$19:$L$19/(1+$A$28/100)^DCF_Base!$C$4:$L$4)+MAX(0,MIN(IF($A$28&gt;$F$23,DCF_Base!$L$19*(1+$F$23/100)/(($A$28-$F$23)/100),DCF_Base!$L$19*DCF_Base!$B$29),DCF_Base!$L$19*DCF_Base!$B$29))/(1+$A$28/100)^DCF_Base!$L$4+Assumptions!$B$5-Assumptions!$B$4)/Assumptions!$B$3*Assumptions!$B$10</f>
        <v>3.62793393585047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2026-10-24T21:47:28Z</dcterms:created>
  <dc:creator>openpyxl</dc:creator>
  <dc:description/>
  <dc:language>en-NZ</dc:language>
  <cp:lastModifiedBy/>
  <dcterms:modified xsi:type="dcterms:W3CDTF">2026-10-24T21:47:28Z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