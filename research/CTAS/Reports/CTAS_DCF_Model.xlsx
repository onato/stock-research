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<sst xmlns="http://schemas.openxmlformats.org/spreadsheetml/2006/main" count="387" uniqueCount="174">
  <si>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</si>
  <si>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CTAS</t>
  </si>
  <si>
    <t xml:space="preserve">Company</t>
  </si>
  <si>
    <t xml:space="preserve">Cintas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</si>
  <si>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</si>
  <si>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</si>
  <si>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</si>
  <si>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</si>
  <si>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</si>
  <si>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</si>
  <si>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2026-08-31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</si>
  <si>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</si>
  <si>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</si>
  <si>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</si>
  <si>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</si>
  <si>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</si>
  <si>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</si>
  <si>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</si>
  <si>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</si>
  <si>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</si>
  <si>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</si>
  <si>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2026-09-26T01:15:51Z</t>
  </si>
  <si>
    <t xml:space="preserve">Drivers file</t>
  </si>
  <si>
    <t xml:space="preserve">CTAS_Drivers.json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</si>
  <si>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</si>
  <si>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</si>
  <si>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</si>
  <si>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Cintas is one of the highest-quality compounders in US services, and the model grants it that: 8% near-term growth, continued margin expansion and a Gordon-bound terminal at 8.5%/3%. The valuation still sits well below the price because the market (~40x trailing earnings, ~50x trailing owner FCF) is capitalising the FY22-26 margin-expansion rate into perpetuity. House basis charges SBC plus the cash withholding taxes on option exercises (~2.7-3.7% of revenue), which the street's 'free cash flow' treats as free.
key_risks_to_valuation: Employment-cycle exposure: revenue tracks customer headcount; FY2010 revenue fell 6%.; UniFirst merger (~US$5.5bn, ~14.4M new shares + ~US$2.9bn cash) pending FTC review; valued standalone. Synergies would lift value; a block costs a US$350M reverse fee.; Equity-award withholding taxes are volatile (US$74M FY21 -&gt; US$255M FY25) and scale with the share price; the combined SBC charge could run above the 2.5-2.9% path.; Terminal value is ~65-70% of EV; each 1pp of WACC moves value ~20%.; Margin expansion has been the main driver of EPS compounding; a plateau below 30% pre-SBC EBITDA removes most of the base-case margin uplift.</t>
  </si>
  <si>
    <t xml:space="preserve">Data sources</t>
  </si>
  <si>
    <t xml:space="preserve">price: Yahoo Finance chart API at inputs.price_as_of; 52-week range 161.16-219.17.
financials: CTAS_Metrics.csv (SEC XBRL, FY2009-FY2026); FY2026 10-K (filed 2026-07-29) for SBC, withholding taxes, D&amp;A split, lease cost, diluted shares and the UniFirst merger terms; Q1 FY2027 earnings release 8-K ex99 (2026-09-23) for the latest balance sheet, diluted share count and raised FY2027 guidance.
qualitative: FY2026 10-K business and risk sections; 8-Ks of 2026-08-03 (President/COO appointment) and 2026-08-27 (director retirement). CTAS_Analysis.json not yet available at build time.</t>
  </si>
  <si>
    <t xml:space="preserve">Scenario narrative: bear</t>
  </si>
  <si>
    <t xml:space="preserve">A US employment downturn hits the core axis - uniform wearers are headcount - as it did in FY2010 (revenue -6%): growth collapses to ~2% in year two, energy, cotton and labour costs squeeze margin back to ~28% and it only recovers to 29%. Separately, UniFirst integration distracts management or the FTC blocks the deal (US$350M reverse fee, not in the flows), and long-run growth settles at 3% as the market saturates. The business stays highly cash generative - there is no solvency risk at &lt;1x net debt/EBITDA.</t>
  </si>
  <si>
    <t xml:space="preserve">Scenario narrative: base</t>
  </si>
  <si>
    <t xml:space="preserve">Cintas keeps compounding as the route-density leader in US uniform rental and facility services: FY2027 lands at the midpoint of raised standalone guidance (+8.4%), then growth fades 0.5pp a year to 4% as new-customer wins from the no-programme segment and first-aid/fire cross-sell mature. Pre-SBC EBITDA margin rises from 29.0% to ~31.8% on SmartTruck routing, the SAP/technology programme and procurement scale, at roughly half the FY22-26 pace of expansion. Cash taxes stay near the guided ~20.5-21% and working capital keeps absorbing ~35c of every incremental revenue dollar (garments in service, receivables, capitalised commissions).</t>
  </si>
  <si>
    <t xml:space="preserve">Scenario narrative: bull</t>
  </si>
  <si>
    <t xml:space="preserve">Cintas sustains high-single-digit organic growth for five-plus years - uniform penetration of the uncovered workforce, first aid and fire protection growing low-teens, pricing holding above cost inflation - and operating leverage from route density plus technology lifts pre-SBC EBITDA margin to ~33.5%, in line with the trajectory of FY22-26. No recession interrupts the path. UniFirst synergies are NOT included even here; they would be additive.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</si>
  <si>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</si>
  <si>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</si>
  <si>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</si>
  <si>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</si>
  <si>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</si>
  <si>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</si>
  <si>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</si>
  <si>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</si>
  <si>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</si>
  <si>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</si>
  <si>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</si>
  <si>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</si>
  <si>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</si>
  <si>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</si>
  <si>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</si>
  <si>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</si>
  <si>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</si>
  <si>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</si>
  <si>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</si>
  <si>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</si>
  <si>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</si>
  <si>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</si>
  <si>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</si>
  <si>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</si>
  <si>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</si>
  <si>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</si>
  <si>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</si>
  <si>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</si>
  <si>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</si>
  <si>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</si>
  <si>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</si>
  <si>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</si>
  <si>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</si>
  <si>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</si>
  <si>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</si>
  <si>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</si>
  <si>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</si>
  <si>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</si>
  <si>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</si>
  <si>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</si>
  <si>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</si>
  <si>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</si>
  <si>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</si>
  <si>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</si>
  <si>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</si>
  <si>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</si>
  <si>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</si>
  <si>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</si>
  <si>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</si>
  <si>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</si>
  <si>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</si>
  <si>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</si>
  <si>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</si>
  <si>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</si>
  <si>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</si>
  <si>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</si>
  <si>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</si>
  <si>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</si>
  <si>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</si>
  <si>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</si>
  <si>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</si>
  <si>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</si>
  <si>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</si>
  <si>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</si>
  <si>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</si>
  <si>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</si>
  <si>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</si>
  <si>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</si>
  <si>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</si>
  <si>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</si>
  <si>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</si>
  <si>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</si>
  <si>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</si>
  <si>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</si>
  <si>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</si>
  <si>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</si>
  <si>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</si>
  <si>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</si>
  <si>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</si>
  <si>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</si>
  <si>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</si>
  <si>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</si>
  <si>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</si>
  <si>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CTAS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</si>
  <si>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</si>
  <si>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</si>
  <si>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</si>
  <si>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</si>
  <si>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</si>
  <si>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</si>
  <si>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</si>
  <si>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</si>
  <si>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</si>
  <si>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</si>
  <si>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</si>
  <si>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</si>
  <si>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</si>
  <si>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</si>
  <si>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</si>
  <si>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</si>
  <si>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</si>
  <si>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</si>
  <si>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</si>
  <si>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</si>
  <si>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</si>
  <si>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</si>
  <si>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</si>
  <si>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</si>
  <si>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</si>
  <si>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</si>
  <si>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</si>
  <si>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</si>
  <si>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</si>
  <si>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</si>
  <si>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CTAS owner-FCF component DCF: base case (millions, USD)</t>
  </si>
  <si>
    <t xml:space="preserve">CTAS owner-FCF component DCF: bull case (millions, USD)</t>
  </si>
  <si>
    <t xml:space="preserve">CTAS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</si>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</sst>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199.91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2254.131</v>
      </c>
      <c r="S2" s="0" t="n">
        <v>66.224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3774.685</v>
      </c>
      <c r="F3" s="0" t="n">
        <v>409.065</v>
      </c>
      <c r="G3" s="0" t="n">
        <v>10.8370632251433</v>
      </c>
      <c r="I3" s="0" t="n">
        <v>226.357</v>
      </c>
      <c r="J3" s="0" t="n">
        <v>5.99671230844428</v>
      </c>
      <c r="K3" s="0" t="n">
        <v>1.48</v>
      </c>
      <c r="L3" s="0" t="n">
        <v>523.522</v>
      </c>
      <c r="M3" s="0" t="n">
        <v>160.092</v>
      </c>
      <c r="N3" s="0" t="n">
        <v>363.43</v>
      </c>
      <c r="O3" s="0" t="n">
        <v>2367.409</v>
      </c>
      <c r="S3" s="0" t="n">
        <v>129.745</v>
      </c>
      <c r="U3" s="0" t="n">
        <v>11.953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3547.339</v>
      </c>
      <c r="D4" s="0" t="n">
        <v>1497.817</v>
      </c>
      <c r="E4" s="0" t="n">
        <v>42.2236780865883</v>
      </c>
      <c r="F4" s="0" t="n">
        <v>390.809</v>
      </c>
      <c r="G4" s="0" t="n">
        <v>11.0169622920166</v>
      </c>
      <c r="H4" s="0" t="n">
        <v>583.95</v>
      </c>
      <c r="I4" s="0" t="n">
        <v>215.62</v>
      </c>
      <c r="J4" s="0" t="n">
        <v>6.07835901784408</v>
      </c>
      <c r="K4" s="0" t="n">
        <v>1.4</v>
      </c>
      <c r="L4" s="0" t="n">
        <v>565.654</v>
      </c>
      <c r="M4" s="0" t="n">
        <v>111.078</v>
      </c>
      <c r="N4" s="0" t="n">
        <v>454.576</v>
      </c>
      <c r="O4" s="0" t="n">
        <v>2534.029</v>
      </c>
      <c r="P4" s="0" t="n">
        <v>3969.736</v>
      </c>
      <c r="R4" s="0" t="n">
        <v>786.053</v>
      </c>
      <c r="S4" s="0" t="n">
        <v>411.281</v>
      </c>
      <c r="T4" s="0" t="n">
        <v>152.858</v>
      </c>
      <c r="U4" s="0" t="n">
        <v>15.349</v>
      </c>
      <c r="V4" s="0" t="n">
        <v>0.48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3810.384</v>
      </c>
      <c r="D5" s="0" t="n">
        <v>1609.287</v>
      </c>
      <c r="E5" s="0" t="n">
        <v>42.2342472569694</v>
      </c>
      <c r="F5" s="0" t="n">
        <v>440.343</v>
      </c>
      <c r="G5" s="0" t="n">
        <v>11.5563943161634</v>
      </c>
      <c r="H5" s="0" t="n">
        <v>633.81</v>
      </c>
      <c r="I5" s="0" t="n">
        <v>246.989</v>
      </c>
      <c r="J5" s="0" t="n">
        <v>6.48199761493855</v>
      </c>
      <c r="K5" s="0" t="n">
        <v>1.68</v>
      </c>
      <c r="L5" s="0" t="n">
        <v>340.886</v>
      </c>
      <c r="M5" s="0" t="n">
        <v>182.592</v>
      </c>
      <c r="N5" s="0" t="n">
        <v>158.294</v>
      </c>
      <c r="O5" s="0" t="n">
        <v>2302.649</v>
      </c>
      <c r="P5" s="0" t="n">
        <v>4351.94</v>
      </c>
      <c r="R5" s="0" t="n">
        <v>1287.46</v>
      </c>
      <c r="S5" s="0" t="n">
        <v>438.106</v>
      </c>
      <c r="T5" s="0" t="n">
        <v>146.586</v>
      </c>
      <c r="U5" s="0" t="n">
        <v>15.203</v>
      </c>
      <c r="V5" s="0" t="n">
        <v>0.49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4102</v>
      </c>
      <c r="D6" s="0" t="n">
        <v>1738.608</v>
      </c>
      <c r="E6" s="0" t="n">
        <v>42.384397854705</v>
      </c>
      <c r="F6" s="0" t="n">
        <v>539.627</v>
      </c>
      <c r="G6" s="0" t="n">
        <v>13.155216967333</v>
      </c>
      <c r="H6" s="0" t="n">
        <v>733.792</v>
      </c>
      <c r="I6" s="0" t="n">
        <v>297.637</v>
      </c>
      <c r="J6" s="0" t="n">
        <v>7.25589956118966</v>
      </c>
      <c r="K6" s="0" t="n">
        <v>2.27</v>
      </c>
      <c r="M6" s="0" t="n">
        <v>160.802</v>
      </c>
      <c r="O6" s="0" t="n">
        <v>2139.135</v>
      </c>
      <c r="P6" s="0" t="n">
        <v>4165.706</v>
      </c>
      <c r="R6" s="0" t="n">
        <v>1284.802</v>
      </c>
      <c r="S6" s="0" t="n">
        <v>339.825</v>
      </c>
      <c r="T6" s="0" t="n">
        <v>130.033</v>
      </c>
      <c r="U6" s="0" t="n">
        <v>20.312</v>
      </c>
      <c r="V6" s="0" t="n">
        <v>0.54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4245.964</v>
      </c>
      <c r="D7" s="0" t="n">
        <v>1753.309</v>
      </c>
      <c r="E7" s="0" t="n">
        <v>41.2935437040917</v>
      </c>
      <c r="F7" s="0" t="n">
        <v>565.978</v>
      </c>
      <c r="G7" s="0" t="n">
        <v>13.3297880057391</v>
      </c>
      <c r="H7" s="0" t="n">
        <v>745.887</v>
      </c>
      <c r="I7" s="0" t="n">
        <v>315.442</v>
      </c>
      <c r="J7" s="0" t="n">
        <v>7.42921984265528</v>
      </c>
      <c r="K7" s="0" t="n">
        <v>2.53</v>
      </c>
      <c r="M7" s="0" t="n">
        <v>196.486</v>
      </c>
      <c r="O7" s="0" t="n">
        <v>2201.492</v>
      </c>
      <c r="P7" s="0" t="n">
        <v>4345.632</v>
      </c>
      <c r="R7" s="0" t="n">
        <v>1309.166</v>
      </c>
      <c r="S7" s="0" t="n">
        <v>352.273</v>
      </c>
      <c r="T7" s="0" t="n">
        <v>124.531</v>
      </c>
      <c r="U7" s="0" t="n">
        <v>23.31</v>
      </c>
      <c r="V7" s="0" t="n">
        <v>0.64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4193.844</v>
      </c>
      <c r="D8" s="0" t="n">
        <v>1749.759</v>
      </c>
      <c r="E8" s="0" t="n">
        <v>41.7220812219053</v>
      </c>
      <c r="F8" s="0" t="n">
        <v>602.72</v>
      </c>
      <c r="G8" s="0" t="n">
        <v>14.3715407630804</v>
      </c>
      <c r="H8" s="0" t="n">
        <v>750.009</v>
      </c>
      <c r="I8" s="0" t="n">
        <v>374.442</v>
      </c>
      <c r="J8" s="0" t="n">
        <v>8.92837215690426</v>
      </c>
      <c r="K8" s="0" t="n">
        <v>3.08</v>
      </c>
      <c r="L8" s="0" t="n">
        <v>605.969</v>
      </c>
      <c r="M8" s="0" t="n">
        <v>145.58</v>
      </c>
      <c r="N8" s="0" t="n">
        <v>460.389</v>
      </c>
      <c r="O8" s="0" t="n">
        <v>2192.858</v>
      </c>
      <c r="P8" s="0" t="n">
        <v>4462.452</v>
      </c>
      <c r="R8" s="0" t="n">
        <v>1300.98</v>
      </c>
      <c r="S8" s="0" t="n">
        <v>513.288</v>
      </c>
      <c r="T8" s="0" t="n">
        <v>121.64</v>
      </c>
      <c r="U8" s="0" t="n">
        <v>29.875</v>
      </c>
      <c r="V8" s="0" t="n">
        <v>0.77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4369.677</v>
      </c>
      <c r="D9" s="0" t="n">
        <v>1892.923</v>
      </c>
      <c r="E9" s="0" t="n">
        <v>43.3195176668665</v>
      </c>
      <c r="F9" s="0" t="n">
        <v>683.639</v>
      </c>
      <c r="G9" s="0" t="n">
        <v>15.6450694181744</v>
      </c>
      <c r="H9" s="0" t="n">
        <v>836.234</v>
      </c>
      <c r="I9" s="0" t="n">
        <v>430.618</v>
      </c>
      <c r="J9" s="0" t="n">
        <v>9.85468719999213</v>
      </c>
      <c r="K9" s="0" t="n">
        <v>3.68</v>
      </c>
      <c r="L9" s="0" t="n">
        <v>580.276</v>
      </c>
      <c r="M9" s="0" t="n">
        <v>217.72</v>
      </c>
      <c r="N9" s="0" t="n">
        <v>362.556</v>
      </c>
      <c r="O9" s="0" t="n">
        <v>1932.455</v>
      </c>
      <c r="P9" s="0" t="n">
        <v>4185.674</v>
      </c>
      <c r="R9" s="0" t="n">
        <v>1300</v>
      </c>
      <c r="S9" s="0" t="n">
        <v>417.073</v>
      </c>
      <c r="T9" s="0" t="n">
        <v>117.543</v>
      </c>
      <c r="U9" s="0" t="n">
        <v>47.002</v>
      </c>
      <c r="V9" s="0" t="n">
        <v>1.7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4795.772</v>
      </c>
      <c r="D10" s="0" t="n">
        <v>2101.34</v>
      </c>
      <c r="E10" s="0" t="n">
        <v>43.8165117107319</v>
      </c>
      <c r="F10" s="0" t="n">
        <v>768.941</v>
      </c>
      <c r="G10" s="0" t="n">
        <v>16.0337272080491</v>
      </c>
      <c r="H10" s="0" t="n">
        <v>934.22</v>
      </c>
      <c r="I10" s="0" t="n">
        <v>693.52</v>
      </c>
      <c r="J10" s="0" t="n">
        <v>14.4610711268175</v>
      </c>
      <c r="K10" s="0" t="n">
        <v>6.3</v>
      </c>
      <c r="L10" s="0" t="n">
        <v>465.845</v>
      </c>
      <c r="M10" s="0" t="n">
        <v>275.385</v>
      </c>
      <c r="N10" s="0" t="n">
        <v>190.46</v>
      </c>
      <c r="O10" s="0" t="n">
        <v>1842.659</v>
      </c>
      <c r="P10" s="0" t="n">
        <v>4098.815</v>
      </c>
      <c r="R10" s="0" t="n">
        <v>1294.422</v>
      </c>
      <c r="S10" s="0" t="n">
        <v>139.357</v>
      </c>
      <c r="T10" s="0" t="n">
        <v>109.956</v>
      </c>
      <c r="U10" s="0" t="n">
        <v>79.293</v>
      </c>
      <c r="V10" s="0" t="n">
        <v>1.05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5323.381</v>
      </c>
      <c r="D11" s="0" t="n">
        <v>2380.295</v>
      </c>
      <c r="E11" s="0" t="n">
        <v>44.7139703132276</v>
      </c>
      <c r="F11" s="0" t="n">
        <v>773.691</v>
      </c>
      <c r="G11" s="0" t="n">
        <v>14.5338272800688</v>
      </c>
      <c r="H11" s="0" t="n">
        <v>970.286</v>
      </c>
      <c r="I11" s="0" t="n">
        <v>480.708</v>
      </c>
      <c r="J11" s="0" t="n">
        <v>9.03012577908664</v>
      </c>
      <c r="K11" s="0" t="n">
        <v>4.49</v>
      </c>
      <c r="L11" s="0" t="n">
        <v>763.887</v>
      </c>
      <c r="M11" s="0" t="n">
        <v>273.317</v>
      </c>
      <c r="N11" s="0" t="n">
        <v>490.57</v>
      </c>
      <c r="O11" s="0" t="n">
        <v>2302.793</v>
      </c>
      <c r="P11" s="0" t="n">
        <v>6844.057</v>
      </c>
      <c r="R11" s="0" t="n">
        <v>3133.524</v>
      </c>
      <c r="S11" s="0" t="n">
        <v>169.266</v>
      </c>
      <c r="T11" s="0" t="n">
        <v>107.783</v>
      </c>
      <c r="U11" s="0" t="n">
        <v>88.868</v>
      </c>
      <c r="V11" s="0" t="n">
        <v>1.33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6476.632</v>
      </c>
      <c r="D12" s="0" t="n">
        <v>2908.523</v>
      </c>
      <c r="E12" s="0" t="n">
        <v>44.9079552458747</v>
      </c>
      <c r="F12" s="0" t="n">
        <v>949.834</v>
      </c>
      <c r="G12" s="0" t="n">
        <v>14.6655545660152</v>
      </c>
      <c r="H12" s="0" t="n">
        <v>1229.25</v>
      </c>
      <c r="I12" s="0" t="n">
        <v>842.586</v>
      </c>
      <c r="J12" s="0" t="n">
        <v>13.0096321668423</v>
      </c>
      <c r="K12" s="0" t="n">
        <v>7.78</v>
      </c>
      <c r="L12" s="0" t="n">
        <v>964.16</v>
      </c>
      <c r="M12" s="0" t="n">
        <v>271.699</v>
      </c>
      <c r="N12" s="0" t="n">
        <v>692.461</v>
      </c>
      <c r="O12" s="0" t="n">
        <v>3016.526</v>
      </c>
      <c r="P12" s="0" t="n">
        <v>6958.214</v>
      </c>
      <c r="R12" s="0" t="n">
        <v>2535.309</v>
      </c>
      <c r="S12" s="0" t="n">
        <v>138.724</v>
      </c>
      <c r="T12" s="0" t="n">
        <v>109.81</v>
      </c>
      <c r="U12" s="0" t="n">
        <v>112.835</v>
      </c>
      <c r="V12" s="0" t="n">
        <v>1.62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6892.303</v>
      </c>
      <c r="D13" s="0" t="n">
        <v>3128.588</v>
      </c>
      <c r="E13" s="0" t="n">
        <v>45.3924907247984</v>
      </c>
      <c r="F13" s="0" t="n">
        <v>1133.534</v>
      </c>
      <c r="G13" s="0" t="n">
        <v>16.4463750360366</v>
      </c>
      <c r="H13" s="0" t="n">
        <v>1493.627</v>
      </c>
      <c r="I13" s="0" t="n">
        <v>884.981</v>
      </c>
      <c r="J13" s="0" t="n">
        <v>12.8401348576811</v>
      </c>
      <c r="K13" s="0" t="n">
        <v>8.25</v>
      </c>
      <c r="L13" s="0" t="n">
        <v>1067.862</v>
      </c>
      <c r="M13" s="0" t="n">
        <v>276.719</v>
      </c>
      <c r="N13" s="0" t="n">
        <v>791.143</v>
      </c>
      <c r="O13" s="0" t="n">
        <v>3002.721</v>
      </c>
      <c r="P13" s="0" t="n">
        <v>7436.662</v>
      </c>
      <c r="R13" s="0" t="n">
        <v>2849.771</v>
      </c>
      <c r="S13" s="0" t="n">
        <v>96.645</v>
      </c>
      <c r="T13" s="0" t="n">
        <v>109.495</v>
      </c>
      <c r="U13" s="0" t="n">
        <v>139.21</v>
      </c>
      <c r="V13" s="0" t="n">
        <v>2.05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7085.12</v>
      </c>
      <c r="D14" s="0" t="n">
        <v>3233.748</v>
      </c>
      <c r="E14" s="0" t="n">
        <v>45.64140056908</v>
      </c>
      <c r="F14" s="0" t="n">
        <v>1162.696</v>
      </c>
      <c r="G14" s="0" t="n">
        <v>16.410392484531</v>
      </c>
      <c r="H14" s="0" t="n">
        <v>1541.749</v>
      </c>
      <c r="I14" s="0" t="n">
        <v>876.037</v>
      </c>
      <c r="J14" s="0" t="n">
        <v>12.3644624226548</v>
      </c>
      <c r="K14" s="0" t="n">
        <v>8.36</v>
      </c>
      <c r="L14" s="0" t="n">
        <v>1291.483</v>
      </c>
      <c r="M14" s="0" t="n">
        <v>230.289</v>
      </c>
      <c r="N14" s="0" t="n">
        <v>1061.194</v>
      </c>
      <c r="O14" s="0" t="n">
        <v>3235.202</v>
      </c>
      <c r="P14" s="0" t="n">
        <v>7669.885</v>
      </c>
      <c r="R14" s="0" t="n">
        <v>2539.705</v>
      </c>
      <c r="S14" s="0" t="n">
        <v>145.402</v>
      </c>
      <c r="T14" s="0" t="n">
        <v>107.012</v>
      </c>
      <c r="U14" s="0" t="n">
        <v>115.435</v>
      </c>
      <c r="V14" s="0" t="n">
        <v>2.55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7116.34</v>
      </c>
      <c r="D15" s="0" t="n">
        <v>3314.651</v>
      </c>
      <c r="E15" s="0" t="n">
        <v>46.57803027961</v>
      </c>
      <c r="F15" s="0" t="n">
        <v>1385.492</v>
      </c>
      <c r="G15" s="0" t="n">
        <v>19.4691653293688</v>
      </c>
      <c r="H15" s="0" t="n">
        <v>1773.443</v>
      </c>
      <c r="I15" s="0" t="n">
        <v>1110.968</v>
      </c>
      <c r="J15" s="0" t="n">
        <v>15.611508162904</v>
      </c>
      <c r="K15" s="0" t="n">
        <v>10.52</v>
      </c>
      <c r="L15" s="0" t="n">
        <v>1360.74</v>
      </c>
      <c r="M15" s="0" t="n">
        <v>143.47</v>
      </c>
      <c r="N15" s="0" t="n">
        <v>1217.27</v>
      </c>
      <c r="O15" s="0" t="n">
        <v>3687.847</v>
      </c>
      <c r="P15" s="0" t="n">
        <v>8236.823</v>
      </c>
      <c r="R15" s="0" t="n">
        <v>2541.903</v>
      </c>
      <c r="S15" s="0" t="n">
        <v>493.64</v>
      </c>
      <c r="T15" s="0" t="n">
        <v>107.707</v>
      </c>
      <c r="U15" s="0" t="n">
        <v>112.035</v>
      </c>
      <c r="V15" s="0" t="n">
        <v>5.01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7854.459</v>
      </c>
      <c r="D16" s="0" t="n">
        <v>3632.246</v>
      </c>
      <c r="E16" s="0" t="n">
        <v>46.2443816945254</v>
      </c>
      <c r="F16" s="0" t="n">
        <v>1587.37</v>
      </c>
      <c r="G16" s="0" t="n">
        <v>20.2097942073413</v>
      </c>
      <c r="H16" s="0" t="n">
        <v>1987.071</v>
      </c>
      <c r="I16" s="0" t="n">
        <v>1235.757</v>
      </c>
      <c r="J16" s="0" t="n">
        <v>15.7331905354653</v>
      </c>
      <c r="K16" s="0" t="n">
        <v>11.92</v>
      </c>
      <c r="L16" s="0" t="n">
        <v>1537.625</v>
      </c>
      <c r="M16" s="0" t="n">
        <v>240.672</v>
      </c>
      <c r="N16" s="0" t="n">
        <v>1296.953</v>
      </c>
      <c r="O16" s="0" t="n">
        <v>3308.196</v>
      </c>
      <c r="P16" s="0" t="n">
        <v>8147.256</v>
      </c>
      <c r="R16" s="0" t="n">
        <v>2795.506</v>
      </c>
      <c r="S16" s="0" t="n">
        <v>90.471</v>
      </c>
      <c r="T16" s="0" t="n">
        <v>105.523</v>
      </c>
      <c r="U16" s="0" t="n">
        <v>109.308</v>
      </c>
      <c r="V16" s="0" t="n">
        <v>3.8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8815.769</v>
      </c>
      <c r="C17" s="0" t="n">
        <v>4642.401</v>
      </c>
      <c r="D17" s="0" t="n">
        <v>4173.368</v>
      </c>
      <c r="E17" s="0" t="n">
        <v>47.3398066578196</v>
      </c>
      <c r="F17" s="0" t="n">
        <v>1802.664</v>
      </c>
      <c r="G17" s="0" t="n">
        <v>20.4481764438247</v>
      </c>
      <c r="H17" s="0" t="n">
        <v>2211.826</v>
      </c>
      <c r="I17" s="0" t="n">
        <v>1348.01</v>
      </c>
      <c r="J17" s="0" t="n">
        <v>15.290895212885</v>
      </c>
      <c r="K17" s="0" t="n">
        <v>3.3</v>
      </c>
      <c r="L17" s="0" t="n">
        <v>1586.228</v>
      </c>
      <c r="M17" s="0" t="n">
        <v>331.109</v>
      </c>
      <c r="N17" s="0" t="n">
        <v>1255.119</v>
      </c>
      <c r="O17" s="0" t="n">
        <v>3863.986</v>
      </c>
      <c r="P17" s="0" t="n">
        <v>8546.356</v>
      </c>
      <c r="R17" s="0" t="n">
        <v>2486.405</v>
      </c>
      <c r="S17" s="0" t="n">
        <v>124.149</v>
      </c>
      <c r="T17" s="0" t="n">
        <v>413.508</v>
      </c>
      <c r="U17" s="0" t="n">
        <v>103.621</v>
      </c>
      <c r="V17" s="0" t="n">
        <v>1.15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9596.615</v>
      </c>
      <c r="C18" s="0" t="n">
        <v>4910.199</v>
      </c>
      <c r="D18" s="0" t="n">
        <v>4686.416</v>
      </c>
      <c r="E18" s="0" t="n">
        <v>48.8340524236931</v>
      </c>
      <c r="F18" s="0" t="n">
        <v>2068.633</v>
      </c>
      <c r="G18" s="0" t="n">
        <v>21.5558611031077</v>
      </c>
      <c r="H18" s="0" t="n">
        <v>2511.017</v>
      </c>
      <c r="I18" s="0" t="n">
        <v>1571.592</v>
      </c>
      <c r="J18" s="0" t="n">
        <v>16.3765244307498</v>
      </c>
      <c r="K18" s="0" t="n">
        <v>3.85</v>
      </c>
      <c r="L18" s="0" t="n">
        <v>2068.5</v>
      </c>
      <c r="M18" s="0" t="n">
        <v>409.469</v>
      </c>
      <c r="N18" s="0" t="n">
        <v>1659.031</v>
      </c>
      <c r="O18" s="0" t="n">
        <v>4316.372</v>
      </c>
      <c r="P18" s="0" t="n">
        <v>9168.817</v>
      </c>
      <c r="R18" s="0" t="n">
        <v>2475.529</v>
      </c>
      <c r="S18" s="0" t="n">
        <v>342.015</v>
      </c>
      <c r="T18" s="0" t="n">
        <v>413.468</v>
      </c>
      <c r="U18" s="0" t="n">
        <v>116.986</v>
      </c>
      <c r="V18" s="0" t="n">
        <v>1.35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10340.181</v>
      </c>
      <c r="C19" s="0" t="n">
        <v>5166.017</v>
      </c>
      <c r="D19" s="0" t="n">
        <v>5174.164</v>
      </c>
      <c r="E19" s="0" t="n">
        <v>50.0393948616567</v>
      </c>
      <c r="F19" s="0" t="n">
        <v>2359.726</v>
      </c>
      <c r="G19" s="0" t="n">
        <v>22.8209351461062</v>
      </c>
      <c r="H19" s="0" t="n">
        <v>2853.909</v>
      </c>
      <c r="I19" s="0" t="n">
        <v>1812.281</v>
      </c>
      <c r="J19" s="0" t="n">
        <v>17.5265887512027</v>
      </c>
      <c r="K19" s="0" t="n">
        <v>4.48</v>
      </c>
      <c r="L19" s="0" t="n">
        <v>2165.905</v>
      </c>
      <c r="M19" s="0" t="n">
        <v>408.884</v>
      </c>
      <c r="N19" s="0" t="n">
        <v>1757.021</v>
      </c>
      <c r="O19" s="0" t="n">
        <v>4684.481</v>
      </c>
      <c r="P19" s="0" t="n">
        <v>9825.241</v>
      </c>
      <c r="R19" s="0" t="n">
        <v>2424.999</v>
      </c>
      <c r="S19" s="0" t="n">
        <v>263.973</v>
      </c>
      <c r="T19" s="0" t="n">
        <v>410.286</v>
      </c>
      <c r="U19" s="0" t="n">
        <v>128.329</v>
      </c>
      <c r="V19" s="0" t="n">
        <v>1.56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11264.761</v>
      </c>
      <c r="C20" s="0" t="n">
        <v>5556.968</v>
      </c>
      <c r="D20" s="0" t="n">
        <v>5707.793</v>
      </c>
      <c r="E20" s="0" t="n">
        <v>50.6694549489332</v>
      </c>
      <c r="F20" s="0" t="n">
        <v>2606.512</v>
      </c>
      <c r="G20" s="0" t="n">
        <v>23.1386356088691</v>
      </c>
      <c r="H20" s="0" t="n">
        <v>3119.358</v>
      </c>
      <c r="I20" s="0" t="n">
        <v>1999.968</v>
      </c>
      <c r="J20" s="0" t="n">
        <v>17.7541982470822</v>
      </c>
      <c r="K20" s="0" t="n">
        <v>4.97</v>
      </c>
      <c r="L20" s="0" t="n">
        <v>2276.28</v>
      </c>
      <c r="M20" s="0" t="n">
        <v>395.105</v>
      </c>
      <c r="N20" s="0" t="n">
        <v>1881.175</v>
      </c>
      <c r="O20" s="0" t="n">
        <v>5139.887</v>
      </c>
      <c r="P20" s="0" t="n">
        <v>10529.14</v>
      </c>
      <c r="R20" s="0" t="n">
        <v>2428.073</v>
      </c>
      <c r="S20" s="0" t="n">
        <v>289.018</v>
      </c>
      <c r="T20" s="0" t="n">
        <v>406.197</v>
      </c>
      <c r="U20" s="0" t="n">
        <v>128.076</v>
      </c>
      <c r="V20" s="0" t="n">
        <v>1.8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199.91</v>
      </c>
    </row>
    <row r="3" customFormat="false" ht="15" hidden="false" customHeight="false" outlineLevel="0" collapsed="false">
      <c r="A3" s="0" t="s">
        <v>85</v>
      </c>
      <c r="B3" s="3" t="n">
        <v>404.29</v>
      </c>
    </row>
    <row r="4" customFormat="false" ht="15" hidden="false" customHeight="false" outlineLevel="0" collapsed="false">
      <c r="A4" s="0" t="s">
        <v>86</v>
      </c>
      <c r="B4" s="3" t="n">
        <v>2185.246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11264.761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6.5</v>
      </c>
      <c r="D13" s="3" t="n">
        <v>2</v>
      </c>
      <c r="E13" s="3" t="n">
        <v>4</v>
      </c>
      <c r="F13" s="3" t="n">
        <v>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29.3</v>
      </c>
      <c r="D14" s="3" t="n">
        <v>28</v>
      </c>
      <c r="E14" s="3" t="n">
        <v>28.3</v>
      </c>
      <c r="F14" s="3" t="n">
        <v>28.6</v>
      </c>
      <c r="G14" s="3" t="n">
        <v>28.8</v>
      </c>
      <c r="H14" s="3" t="n">
        <v>29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107</v>
      </c>
      <c r="C15" s="3" t="n">
        <v>2.9</v>
      </c>
      <c r="D15" s="3" t="n">
        <v>2.85</v>
      </c>
      <c r="E15" s="3" t="n">
        <v>2.8</v>
      </c>
      <c r="F15" s="3" t="n">
        <v>2.75</v>
      </c>
      <c r="G15" s="3" t="n">
        <v>2.7</v>
      </c>
      <c r="H15" s="3" t="n">
        <v>2.65</v>
      </c>
      <c r="I15" s="3" t="n">
        <v>2.6</v>
      </c>
      <c r="J15" s="3" t="n">
        <v>2.55</v>
      </c>
      <c r="K15" s="3" t="n">
        <v>2.5</v>
      </c>
      <c r="L15" s="3" t="n">
        <v>2.5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4.5</v>
      </c>
      <c r="D17" s="3" t="n">
        <v>4.6</v>
      </c>
      <c r="E17" s="3" t="n">
        <v>4.5</v>
      </c>
      <c r="F17" s="3" t="n">
        <v>4.4</v>
      </c>
      <c r="G17" s="3" t="n">
        <v>4.3</v>
      </c>
      <c r="H17" s="3" t="n">
        <v>4.3</v>
      </c>
      <c r="I17" s="3" t="n">
        <v>4.2</v>
      </c>
      <c r="J17" s="3" t="n">
        <v>4.1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110</v>
      </c>
      <c r="C18" s="3" t="n">
        <v>3.7</v>
      </c>
      <c r="D18" s="3" t="n">
        <v>3.5</v>
      </c>
      <c r="E18" s="3" t="n">
        <v>3.6</v>
      </c>
      <c r="F18" s="3" t="n">
        <v>3.7</v>
      </c>
      <c r="G18" s="3" t="n">
        <v>3.7</v>
      </c>
      <c r="H18" s="3" t="n">
        <v>3.7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111</v>
      </c>
      <c r="C19" s="3" t="n">
        <v>20.5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20</v>
      </c>
    </row>
    <row r="23" customFormat="false" ht="15" hidden="false" customHeight="false" outlineLevel="0" collapsed="false">
      <c r="A23" s="0" t="s">
        <v>115</v>
      </c>
      <c r="B23" s="3" t="n">
        <v>-35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8.4</v>
      </c>
      <c r="D27" s="3" t="n">
        <v>8</v>
      </c>
      <c r="E27" s="3" t="n">
        <v>7.5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106</v>
      </c>
      <c r="C28" s="3" t="n">
        <v>29.6</v>
      </c>
      <c r="D28" s="3" t="n">
        <v>30.1</v>
      </c>
      <c r="E28" s="3" t="n">
        <v>30.5</v>
      </c>
      <c r="F28" s="3" t="n">
        <v>30.9</v>
      </c>
      <c r="G28" s="3" t="n">
        <v>31.2</v>
      </c>
      <c r="H28" s="3" t="n">
        <v>31.4</v>
      </c>
      <c r="I28" s="3" t="n">
        <v>31.6</v>
      </c>
      <c r="J28" s="3" t="n">
        <v>31.7</v>
      </c>
      <c r="K28" s="3" t="n">
        <v>31.8</v>
      </c>
      <c r="L28" s="3" t="n">
        <v>31.8</v>
      </c>
    </row>
    <row r="29" customFormat="false" ht="15" hidden="false" customHeight="false" outlineLevel="0" collapsed="false">
      <c r="A29" s="0" t="s">
        <v>107</v>
      </c>
      <c r="C29" s="3" t="n">
        <v>2.9</v>
      </c>
      <c r="D29" s="3" t="n">
        <v>2.85</v>
      </c>
      <c r="E29" s="3" t="n">
        <v>2.8</v>
      </c>
      <c r="F29" s="3" t="n">
        <v>2.75</v>
      </c>
      <c r="G29" s="3" t="n">
        <v>2.7</v>
      </c>
      <c r="H29" s="3" t="n">
        <v>2.65</v>
      </c>
      <c r="I29" s="3" t="n">
        <v>2.6</v>
      </c>
      <c r="J29" s="3" t="n">
        <v>2.55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4.5</v>
      </c>
      <c r="D31" s="3" t="n">
        <v>4.5</v>
      </c>
      <c r="E31" s="3" t="n">
        <v>4.4</v>
      </c>
      <c r="F31" s="3" t="n">
        <v>4.4</v>
      </c>
      <c r="G31" s="3" t="n">
        <v>4.3</v>
      </c>
      <c r="H31" s="3" t="n">
        <v>4.3</v>
      </c>
      <c r="I31" s="3" t="n">
        <v>4.2</v>
      </c>
      <c r="J31" s="3" t="n">
        <v>4.1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110</v>
      </c>
      <c r="C32" s="3" t="n">
        <v>3.7</v>
      </c>
      <c r="D32" s="3" t="n">
        <v>3.7</v>
      </c>
      <c r="E32" s="3" t="n">
        <v>3.7</v>
      </c>
      <c r="F32" s="3" t="n">
        <v>3.7</v>
      </c>
      <c r="G32" s="3" t="n">
        <v>3.7</v>
      </c>
      <c r="H32" s="3" t="n">
        <v>3.7</v>
      </c>
      <c r="I32" s="3" t="n">
        <v>3.8</v>
      </c>
      <c r="J32" s="3" t="n">
        <v>3.8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111</v>
      </c>
      <c r="C33" s="3" t="n">
        <v>20.5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-35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8.9</v>
      </c>
      <c r="D41" s="3" t="n">
        <v>9.5</v>
      </c>
      <c r="E41" s="3" t="n">
        <v>9.5</v>
      </c>
      <c r="F41" s="3" t="n">
        <v>9</v>
      </c>
      <c r="G41" s="3" t="n">
        <v>8.5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106</v>
      </c>
      <c r="C42" s="3" t="n">
        <v>29.8</v>
      </c>
      <c r="D42" s="3" t="n">
        <v>30.6</v>
      </c>
      <c r="E42" s="3" t="n">
        <v>31.3</v>
      </c>
      <c r="F42" s="3" t="n">
        <v>32</v>
      </c>
      <c r="G42" s="3" t="n">
        <v>32.6</v>
      </c>
      <c r="H42" s="3" t="n">
        <v>33</v>
      </c>
      <c r="I42" s="3" t="n">
        <v>33.3</v>
      </c>
      <c r="J42" s="3" t="n">
        <v>33.5</v>
      </c>
      <c r="K42" s="3" t="n">
        <v>33.5</v>
      </c>
      <c r="L42" s="3" t="n">
        <v>33.5</v>
      </c>
    </row>
    <row r="43" customFormat="false" ht="15" hidden="false" customHeight="false" outlineLevel="0" collapsed="false">
      <c r="A43" s="0" t="s">
        <v>107</v>
      </c>
      <c r="C43" s="3" t="n">
        <v>2.9</v>
      </c>
      <c r="D43" s="3" t="n">
        <v>2.85</v>
      </c>
      <c r="E43" s="3" t="n">
        <v>2.8</v>
      </c>
      <c r="F43" s="3" t="n">
        <v>2.75</v>
      </c>
      <c r="G43" s="3" t="n">
        <v>2.7</v>
      </c>
      <c r="H43" s="3" t="n">
        <v>2.65</v>
      </c>
      <c r="I43" s="3" t="n">
        <v>2.6</v>
      </c>
      <c r="J43" s="3" t="n">
        <v>2.55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4.5</v>
      </c>
      <c r="D45" s="3" t="n">
        <v>4.5</v>
      </c>
      <c r="E45" s="3" t="n">
        <v>4.4</v>
      </c>
      <c r="F45" s="3" t="n">
        <v>4.4</v>
      </c>
      <c r="G45" s="3" t="n">
        <v>4.3</v>
      </c>
      <c r="H45" s="3" t="n">
        <v>4.3</v>
      </c>
      <c r="I45" s="3" t="n">
        <v>4.2</v>
      </c>
      <c r="J45" s="3" t="n">
        <v>4.1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110</v>
      </c>
      <c r="C46" s="3" t="n">
        <v>3.7</v>
      </c>
      <c r="D46" s="3" t="n">
        <v>3.7</v>
      </c>
      <c r="E46" s="3" t="n">
        <v>3.7</v>
      </c>
      <c r="F46" s="3" t="n">
        <v>3.7</v>
      </c>
      <c r="G46" s="3" t="n">
        <v>3.7</v>
      </c>
      <c r="H46" s="3" t="n">
        <v>3.7</v>
      </c>
      <c r="I46" s="3" t="n">
        <v>3.8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111</v>
      </c>
      <c r="C47" s="3" t="n">
        <v>20.5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-35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6.5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11264.761</v>
      </c>
      <c r="C6" s="0" t="n">
        <f aca="false">B6*(1+C5/100)</f>
        <v>11996.970465</v>
      </c>
      <c r="D6" s="0" t="n">
        <f aca="false">C6*(1+D5/100)</f>
        <v>12236.9098743</v>
      </c>
      <c r="E6" s="0" t="n">
        <f aca="false">D6*(1+E5/100)</f>
        <v>12726.386269272</v>
      </c>
      <c r="F6" s="0" t="n">
        <f aca="false">E6*(1+F5/100)</f>
        <v>13362.7055827356</v>
      </c>
      <c r="G6" s="0" t="n">
        <f aca="false">F6*(1+G5/100)</f>
        <v>14030.8408618724</v>
      </c>
      <c r="H6" s="0" t="n">
        <f aca="false">G6*(1+H5/100)</f>
        <v>14662.2287006566</v>
      </c>
      <c r="I6" s="0" t="n">
        <f aca="false">H6*(1+I5/100)</f>
        <v>15248.7178486829</v>
      </c>
      <c r="J6" s="0" t="n">
        <f aca="false">I6*(1+J5/100)</f>
        <v>15782.4229733868</v>
      </c>
      <c r="K6" s="0" t="n">
        <f aca="false">J6*(1+K5/100)</f>
        <v>16255.8956625884</v>
      </c>
      <c r="L6" s="0" t="n">
        <f aca="false">K6*(1+L5/100)</f>
        <v>16743.5725324661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29.3</v>
      </c>
      <c r="D7" s="4" t="n">
        <f aca="false">Assumptions!D14</f>
        <v>28</v>
      </c>
      <c r="E7" s="4" t="n">
        <f aca="false">Assumptions!E14</f>
        <v>28.3</v>
      </c>
      <c r="F7" s="4" t="n">
        <f aca="false">Assumptions!F14</f>
        <v>28.6</v>
      </c>
      <c r="G7" s="4" t="n">
        <f aca="false">Assumptions!G14</f>
        <v>28.8</v>
      </c>
      <c r="H7" s="4" t="n">
        <f aca="false">Assumptions!H14</f>
        <v>29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3515.112346245</v>
      </c>
      <c r="D8" s="0" t="n">
        <f aca="false">D6*D7/100</f>
        <v>3426.334764804</v>
      </c>
      <c r="E8" s="0" t="n">
        <f aca="false">E6*E7/100</f>
        <v>3601.56731420398</v>
      </c>
      <c r="F8" s="0" t="n">
        <f aca="false">F6*F7/100</f>
        <v>3821.73379666238</v>
      </c>
      <c r="G8" s="0" t="n">
        <f aca="false">G6*G7/100</f>
        <v>4040.88216821925</v>
      </c>
      <c r="H8" s="0" t="n">
        <f aca="false">H6*H7/100</f>
        <v>4252.04632319043</v>
      </c>
      <c r="I8" s="0" t="n">
        <f aca="false">I6*I7/100</f>
        <v>4422.12817611804</v>
      </c>
      <c r="J8" s="0" t="n">
        <f aca="false">J6*J7/100</f>
        <v>4576.90266228217</v>
      </c>
      <c r="K8" s="0" t="n">
        <f aca="false">K6*K7/100</f>
        <v>4714.20974215064</v>
      </c>
      <c r="L8" s="0" t="n">
        <f aca="false">L6*L7/100</f>
        <v>4855.63603441516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2.9</v>
      </c>
      <c r="D9" s="4" t="n">
        <f aca="false">Assumptions!D15</f>
        <v>2.85</v>
      </c>
      <c r="E9" s="4" t="n">
        <f aca="false">Assumptions!E15</f>
        <v>2.8</v>
      </c>
      <c r="F9" s="4" t="n">
        <f aca="false">Assumptions!F15</f>
        <v>2.75</v>
      </c>
      <c r="G9" s="4" t="n">
        <f aca="false">Assumptions!G15</f>
        <v>2.7</v>
      </c>
      <c r="H9" s="4" t="n">
        <f aca="false">Assumptions!H15</f>
        <v>2.65</v>
      </c>
      <c r="I9" s="4" t="n">
        <f aca="false">Assumptions!I15</f>
        <v>2.6</v>
      </c>
      <c r="J9" s="4" t="n">
        <f aca="false">Assumptions!J15</f>
        <v>2.55</v>
      </c>
      <c r="K9" s="4" t="n">
        <f aca="false">Assumptions!K15</f>
        <v>2.5</v>
      </c>
      <c r="L9" s="4" t="n">
        <f aca="false">Assumptions!L15</f>
        <v>2.5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-347.912143485</v>
      </c>
      <c r="D10" s="0" t="n">
        <f aca="false">-D6*D9/100</f>
        <v>-348.75193141755</v>
      </c>
      <c r="E10" s="0" t="n">
        <f aca="false">-E6*E9/100</f>
        <v>-356.338815539616</v>
      </c>
      <c r="F10" s="0" t="n">
        <f aca="false">-F6*F9/100</f>
        <v>-367.474403525229</v>
      </c>
      <c r="G10" s="0" t="n">
        <f aca="false">-G6*G9/100</f>
        <v>-378.832703270554</v>
      </c>
      <c r="H10" s="0" t="n">
        <f aca="false">-H6*H9/100</f>
        <v>-388.549060567401</v>
      </c>
      <c r="I10" s="0" t="n">
        <f aca="false">-I6*I9/100</f>
        <v>-396.466664065756</v>
      </c>
      <c r="J10" s="0" t="n">
        <f aca="false">-J6*J9/100</f>
        <v>-402.451785821364</v>
      </c>
      <c r="K10" s="0" t="n">
        <f aca="false">-K6*K9/100</f>
        <v>-406.39739156471</v>
      </c>
      <c r="L10" s="0" t="n">
        <f aca="false">-L6*L9/100</f>
        <v>-418.589313311652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3167.20020276</v>
      </c>
      <c r="D11" s="0" t="n">
        <f aca="false">D8+D10+D24</f>
        <v>3077.58283338645</v>
      </c>
      <c r="E11" s="0" t="n">
        <f aca="false">E8+E10+E24</f>
        <v>3245.22849866436</v>
      </c>
      <c r="F11" s="0" t="n">
        <f aca="false">F8+F10+F24</f>
        <v>3454.25939313715</v>
      </c>
      <c r="G11" s="0" t="n">
        <f aca="false">G8+G10+G24</f>
        <v>3662.04946494869</v>
      </c>
      <c r="H11" s="0" t="n">
        <f aca="false">H8+H10+H24</f>
        <v>3863.49726262302</v>
      </c>
      <c r="I11" s="0" t="n">
        <f aca="false">I8+I10+I24</f>
        <v>4025.66151205229</v>
      </c>
      <c r="J11" s="0" t="n">
        <f aca="false">J8+J10+J24</f>
        <v>4174.45087646081</v>
      </c>
      <c r="K11" s="0" t="n">
        <f aca="false">K8+K10+K24</f>
        <v>4307.81235058593</v>
      </c>
      <c r="L11" s="0" t="n">
        <f aca="false">L8+L10+L24</f>
        <v>4437.04672110351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-539.863670925</v>
      </c>
      <c r="D12" s="4" t="n">
        <f aca="false">-D6*Assumptions!D17/100</f>
        <v>-562.8978542178</v>
      </c>
      <c r="E12" s="4" t="n">
        <f aca="false">-E6*Assumptions!E17/100</f>
        <v>-572.68738211724</v>
      </c>
      <c r="F12" s="4" t="n">
        <f aca="false">-F6*Assumptions!F17/100</f>
        <v>-587.959045640367</v>
      </c>
      <c r="G12" s="4" t="n">
        <f aca="false">-G6*Assumptions!G17/100</f>
        <v>-603.326157060512</v>
      </c>
      <c r="H12" s="4" t="n">
        <f aca="false">-H6*Assumptions!H17/100</f>
        <v>-630.475834128235</v>
      </c>
      <c r="I12" s="4" t="n">
        <f aca="false">-I6*Assumptions!I17/100</f>
        <v>-640.446149644682</v>
      </c>
      <c r="J12" s="4" t="n">
        <f aca="false">-J6*Assumptions!J17/100</f>
        <v>-647.079341908859</v>
      </c>
      <c r="K12" s="4" t="n">
        <f aca="false">-K6*Assumptions!K17/100</f>
        <v>-650.235826503536</v>
      </c>
      <c r="L12" s="4" t="n">
        <f aca="false">-L6*Assumptions!L17/100</f>
        <v>-669.742901298643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2627.336531835</v>
      </c>
      <c r="D13" s="0" t="n">
        <f aca="false">D11+D12</f>
        <v>2514.68497916865</v>
      </c>
      <c r="E13" s="0" t="n">
        <f aca="false">E11+E12</f>
        <v>2672.54111654712</v>
      </c>
      <c r="F13" s="0" t="n">
        <f aca="false">F11+F12</f>
        <v>2866.30034749679</v>
      </c>
      <c r="G13" s="0" t="n">
        <f aca="false">G11+G12</f>
        <v>3058.72330788818</v>
      </c>
      <c r="H13" s="0" t="n">
        <f aca="false">H11+H12</f>
        <v>3233.02142849479</v>
      </c>
      <c r="I13" s="0" t="n">
        <f aca="false">I11+I12</f>
        <v>3385.21536240761</v>
      </c>
      <c r="J13" s="0" t="n">
        <f aca="false">J11+J12</f>
        <v>3527.37153455195</v>
      </c>
      <c r="K13" s="0" t="n">
        <f aca="false">K11+K12</f>
        <v>3657.57652408239</v>
      </c>
      <c r="L13" s="0" t="n">
        <f aca="false">L11+L12</f>
        <v>3767.30381980486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20.5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2088.73254280883</v>
      </c>
      <c r="D15" s="0" t="n">
        <f aca="false">D13-MAX(0,D13)*D14/100</f>
        <v>1986.60113354323</v>
      </c>
      <c r="E15" s="0" t="n">
        <f aca="false">E13-MAX(0,E13)*E14/100</f>
        <v>2111.30748207223</v>
      </c>
      <c r="F15" s="0" t="n">
        <f aca="false">F13-MAX(0,F13)*F14/100</f>
        <v>2264.37727452246</v>
      </c>
      <c r="G15" s="0" t="n">
        <f aca="false">G13-MAX(0,G13)*G14/100</f>
        <v>2416.39141323166</v>
      </c>
      <c r="H15" s="0" t="n">
        <f aca="false">H13-MAX(0,H13)*H14/100</f>
        <v>2554.08692851088</v>
      </c>
      <c r="I15" s="0" t="n">
        <f aca="false">I13-MAX(0,I13)*I14/100</f>
        <v>2674.32013630201</v>
      </c>
      <c r="J15" s="0" t="n">
        <f aca="false">J13-MAX(0,J13)*J14/100</f>
        <v>2786.62351229604</v>
      </c>
      <c r="K15" s="0" t="n">
        <f aca="false">K13-MAX(0,K13)*K14/100</f>
        <v>2889.48545402509</v>
      </c>
      <c r="L15" s="0" t="n">
        <f aca="false">L13-MAX(0,L13)*L14/100</f>
        <v>2976.17001764584</v>
      </c>
    </row>
    <row r="16" customFormat="false" ht="15" hidden="false" customHeight="false" outlineLevel="0" collapsed="false">
      <c r="A16" s="0" t="s">
        <v>127</v>
      </c>
      <c r="C16" s="0" t="n">
        <f aca="false">-C12</f>
        <v>539.863670925</v>
      </c>
      <c r="D16" s="0" t="n">
        <f aca="false">-D12</f>
        <v>562.8978542178</v>
      </c>
      <c r="E16" s="0" t="n">
        <f aca="false">-E12</f>
        <v>572.68738211724</v>
      </c>
      <c r="F16" s="0" t="n">
        <f aca="false">-F12</f>
        <v>587.959045640367</v>
      </c>
      <c r="G16" s="0" t="n">
        <f aca="false">-G12</f>
        <v>603.326157060512</v>
      </c>
      <c r="H16" s="0" t="n">
        <f aca="false">-H12</f>
        <v>630.475834128235</v>
      </c>
      <c r="I16" s="0" t="n">
        <f aca="false">-I12</f>
        <v>640.446149644682</v>
      </c>
      <c r="J16" s="0" t="n">
        <f aca="false">-J12</f>
        <v>647.079341908859</v>
      </c>
      <c r="K16" s="0" t="n">
        <f aca="false">-K12</f>
        <v>650.235826503536</v>
      </c>
      <c r="L16" s="0" t="n">
        <f aca="false">-L12</f>
        <v>669.742901298643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-443.887907205</v>
      </c>
      <c r="D17" s="4" t="n">
        <f aca="false">-D6*Assumptions!D18/100</f>
        <v>-428.2918456005</v>
      </c>
      <c r="E17" s="4" t="n">
        <f aca="false">-E6*Assumptions!E18/100</f>
        <v>-458.149905693792</v>
      </c>
      <c r="F17" s="4" t="n">
        <f aca="false">-F6*Assumptions!F18/100</f>
        <v>-494.420106561217</v>
      </c>
      <c r="G17" s="4" t="n">
        <f aca="false">-G6*Assumptions!G18/100</f>
        <v>-519.141111889278</v>
      </c>
      <c r="H17" s="4" t="n">
        <f aca="false">-H6*Assumptions!H18/100</f>
        <v>-542.502461924296</v>
      </c>
      <c r="I17" s="4" t="n">
        <f aca="false">-I6*Assumptions!I18/100</f>
        <v>-579.45127824995</v>
      </c>
      <c r="J17" s="4" t="n">
        <f aca="false">-J6*Assumptions!J18/100</f>
        <v>-599.732072988699</v>
      </c>
      <c r="K17" s="4" t="n">
        <f aca="false">-K6*Assumptions!K18/100</f>
        <v>-617.72403517836</v>
      </c>
      <c r="L17" s="4" t="n">
        <f aca="false">-L6*Assumptions!L18/100</f>
        <v>-636.25575623371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-256.27331275</v>
      </c>
      <c r="D18" s="4" t="n">
        <f aca="false">(D6-C6)*Assumptions!$B$23/100</f>
        <v>-83.9787932550003</v>
      </c>
      <c r="E18" s="4" t="n">
        <f aca="false">(E6-D6)*Assumptions!$B$23/100</f>
        <v>-171.3167382402</v>
      </c>
      <c r="F18" s="4" t="n">
        <f aca="false">(F6-E6)*Assumptions!$B$23/100</f>
        <v>-222.71175971226</v>
      </c>
      <c r="G18" s="4" t="n">
        <f aca="false">(G6-F6)*Assumptions!$B$23/100</f>
        <v>-233.847347697873</v>
      </c>
      <c r="H18" s="4" t="n">
        <f aca="false">(H6-G6)*Assumptions!$B$23/100</f>
        <v>-220.98574357449</v>
      </c>
      <c r="I18" s="4" t="n">
        <f aca="false">(I6-H6)*Assumptions!$B$23/100</f>
        <v>-205.271201809193</v>
      </c>
      <c r="J18" s="4" t="n">
        <f aca="false">(J6-I6)*Assumptions!$B$23/100</f>
        <v>-186.796793646365</v>
      </c>
      <c r="K18" s="4" t="n">
        <f aca="false">(K6-J6)*Assumptions!$B$23/100</f>
        <v>-165.715441220561</v>
      </c>
      <c r="L18" s="4" t="n">
        <f aca="false">(L6-K6)*Assumptions!$B$23/100</f>
        <v>-170.686904457179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1928.43499377883</v>
      </c>
      <c r="D19" s="0" t="n">
        <f aca="false">D15+D16+D17+D18</f>
        <v>2037.22834890553</v>
      </c>
      <c r="E19" s="0" t="n">
        <f aca="false">E15+E16+E17+E18</f>
        <v>2054.52822025547</v>
      </c>
      <c r="F19" s="0" t="n">
        <f aca="false">F15+F16+F17+F18</f>
        <v>2135.20445388935</v>
      </c>
      <c r="G19" s="0" t="n">
        <f aca="false">G15+G16+G17+G18</f>
        <v>2266.72911070502</v>
      </c>
      <c r="H19" s="0" t="n">
        <f aca="false">H15+H16+H17+H18</f>
        <v>2421.07455714033</v>
      </c>
      <c r="I19" s="0" t="n">
        <f aca="false">I15+I16+I17+I18</f>
        <v>2530.04380588755</v>
      </c>
      <c r="J19" s="0" t="n">
        <f aca="false">J15+J16+J17+J18</f>
        <v>2647.17398756984</v>
      </c>
      <c r="K19" s="0" t="n">
        <f aca="false">K15+K16+K17+K18</f>
        <v>2756.28180412971</v>
      </c>
      <c r="L19" s="0" t="n">
        <f aca="false">L15+L16+L17+L18</f>
        <v>2838.9702582536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1777.35944127081</v>
      </c>
      <c r="D21" s="0" t="n">
        <f aca="false">D19*D20</f>
        <v>1730.53439139122</v>
      </c>
      <c r="E21" s="0" t="n">
        <f aca="false">E19*E20</f>
        <v>1608.50678209248</v>
      </c>
      <c r="F21" s="0" t="n">
        <f aca="false">F19*F20</f>
        <v>1540.70862558095</v>
      </c>
      <c r="G21" s="0" t="n">
        <f aca="false">G19*G20</f>
        <v>1507.47782090904</v>
      </c>
      <c r="H21" s="0" t="n">
        <f aca="false">H19*H20</f>
        <v>1483.9857637477</v>
      </c>
      <c r="I21" s="0" t="n">
        <f aca="false">I19*I20</f>
        <v>1429.28841455522</v>
      </c>
      <c r="J21" s="0" t="n">
        <f aca="false">J19*J20</f>
        <v>1378.30261811829</v>
      </c>
      <c r="K21" s="0" t="n">
        <f aca="false">K19*K20</f>
        <v>1322.68361724249</v>
      </c>
      <c r="L21" s="0" t="n">
        <f aca="false">L19*L20</f>
        <v>1255.63513894909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15034.4826138573</v>
      </c>
    </row>
    <row r="31" customFormat="false" ht="15" hidden="false" customHeight="false" outlineLevel="0" collapsed="false">
      <c r="A31" s="0" t="s">
        <v>136</v>
      </c>
      <c r="B31" s="0" t="n">
        <f aca="false">L19</f>
        <v>2838.9702582536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48499.0752451656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56779.4051650719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48499.0752451656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21450.4336237137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36484.916237571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34299.670237571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84.8392743762423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-0.575612653813004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2464.82295544807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3162.73911453757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98.7588916558822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23279.5561176795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36.6903954948326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8.4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11264.761</v>
      </c>
      <c r="C6" s="0" t="n">
        <f aca="false">B6*(1+C5/100)</f>
        <v>12211.000924</v>
      </c>
      <c r="D6" s="0" t="n">
        <f aca="false">C6*(1+D5/100)</f>
        <v>13187.88099792</v>
      </c>
      <c r="E6" s="0" t="n">
        <f aca="false">D6*(1+E5/100)</f>
        <v>14176.972072764</v>
      </c>
      <c r="F6" s="0" t="n">
        <f aca="false">E6*(1+F5/100)</f>
        <v>15169.3601178575</v>
      </c>
      <c r="G6" s="0" t="n">
        <f aca="false">F6*(1+G5/100)</f>
        <v>16155.3685255182</v>
      </c>
      <c r="H6" s="0" t="n">
        <f aca="false">G6*(1+H5/100)</f>
        <v>17124.6906370493</v>
      </c>
      <c r="I6" s="0" t="n">
        <f aca="false">H6*(1+I5/100)</f>
        <v>18066.548622087</v>
      </c>
      <c r="J6" s="0" t="n">
        <f aca="false">I6*(1+J5/100)</f>
        <v>18969.8760531914</v>
      </c>
      <c r="K6" s="0" t="n">
        <f aca="false">J6*(1+K5/100)</f>
        <v>19823.520475585</v>
      </c>
      <c r="L6" s="0" t="n">
        <f aca="false">K6*(1+L5/100)</f>
        <v>20616.4612946084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29.6</v>
      </c>
      <c r="D7" s="4" t="n">
        <f aca="false">Assumptions!D28</f>
        <v>30.1</v>
      </c>
      <c r="E7" s="4" t="n">
        <f aca="false">Assumptions!E28</f>
        <v>30.5</v>
      </c>
      <c r="F7" s="4" t="n">
        <f aca="false">Assumptions!F28</f>
        <v>30.9</v>
      </c>
      <c r="G7" s="4" t="n">
        <f aca="false">Assumptions!G28</f>
        <v>31.2</v>
      </c>
      <c r="H7" s="4" t="n">
        <f aca="false">Assumptions!H28</f>
        <v>31.4</v>
      </c>
      <c r="I7" s="4" t="n">
        <f aca="false">Assumptions!I28</f>
        <v>31.6</v>
      </c>
      <c r="J7" s="4" t="n">
        <f aca="false">Assumptions!J28</f>
        <v>31.7</v>
      </c>
      <c r="K7" s="4" t="n">
        <f aca="false">Assumptions!K28</f>
        <v>31.8</v>
      </c>
      <c r="L7" s="4" t="n">
        <f aca="false">Assumptions!L28</f>
        <v>31.8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3614.456273504</v>
      </c>
      <c r="D8" s="0" t="n">
        <f aca="false">D6*D7/100</f>
        <v>3969.55218037392</v>
      </c>
      <c r="E8" s="0" t="n">
        <f aca="false">E6*E7/100</f>
        <v>4323.97648219302</v>
      </c>
      <c r="F8" s="0" t="n">
        <f aca="false">F6*F7/100</f>
        <v>4687.33227641796</v>
      </c>
      <c r="G8" s="0" t="n">
        <f aca="false">G6*G7/100</f>
        <v>5040.47497996169</v>
      </c>
      <c r="H8" s="0" t="n">
        <f aca="false">H6*H7/100</f>
        <v>5377.15286003349</v>
      </c>
      <c r="I8" s="0" t="n">
        <f aca="false">I6*I7/100</f>
        <v>5709.0293645795</v>
      </c>
      <c r="J8" s="0" t="n">
        <f aca="false">J6*J7/100</f>
        <v>6013.45070886167</v>
      </c>
      <c r="K8" s="0" t="n">
        <f aca="false">K6*K7/100</f>
        <v>6303.87951123603</v>
      </c>
      <c r="L8" s="0" t="n">
        <f aca="false">L6*L7/100</f>
        <v>6556.03469168547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2.9</v>
      </c>
      <c r="D9" s="4" t="n">
        <f aca="false">Assumptions!D29</f>
        <v>2.85</v>
      </c>
      <c r="E9" s="4" t="n">
        <f aca="false">Assumptions!E29</f>
        <v>2.8</v>
      </c>
      <c r="F9" s="4" t="n">
        <f aca="false">Assumptions!F29</f>
        <v>2.75</v>
      </c>
      <c r="G9" s="4" t="n">
        <f aca="false">Assumptions!G29</f>
        <v>2.7</v>
      </c>
      <c r="H9" s="4" t="n">
        <f aca="false">Assumptions!H29</f>
        <v>2.65</v>
      </c>
      <c r="I9" s="4" t="n">
        <f aca="false">Assumptions!I29</f>
        <v>2.6</v>
      </c>
      <c r="J9" s="4" t="n">
        <f aca="false">Assumptions!J29</f>
        <v>2.55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-354.119026796</v>
      </c>
      <c r="D10" s="0" t="n">
        <f aca="false">-D6*D9/100</f>
        <v>-375.85460844072</v>
      </c>
      <c r="E10" s="0" t="n">
        <f aca="false">-E6*E9/100</f>
        <v>-396.955218037392</v>
      </c>
      <c r="F10" s="0" t="n">
        <f aca="false">-F6*F9/100</f>
        <v>-417.157403241081</v>
      </c>
      <c r="G10" s="0" t="n">
        <f aca="false">-G6*G9/100</f>
        <v>-436.194950188992</v>
      </c>
      <c r="H10" s="0" t="n">
        <f aca="false">-H6*H9/100</f>
        <v>-453.804301881807</v>
      </c>
      <c r="I10" s="0" t="n">
        <f aca="false">-I6*I9/100</f>
        <v>-469.730264174263</v>
      </c>
      <c r="J10" s="0" t="n">
        <f aca="false">-J6*J9/100</f>
        <v>-483.73183935638</v>
      </c>
      <c r="K10" s="0" t="n">
        <f aca="false">-K6*K9/100</f>
        <v>-495.588011889625</v>
      </c>
      <c r="L10" s="0" t="n">
        <f aca="false">-L6*L9/100</f>
        <v>-515.41153236521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3260.337246708</v>
      </c>
      <c r="D11" s="0" t="n">
        <f aca="false">D8+D10+D24</f>
        <v>3593.6975719332</v>
      </c>
      <c r="E11" s="0" t="n">
        <f aca="false">E8+E10+E24</f>
        <v>3927.02126415563</v>
      </c>
      <c r="F11" s="0" t="n">
        <f aca="false">F8+F10+F24</f>
        <v>4270.17487317688</v>
      </c>
      <c r="G11" s="0" t="n">
        <f aca="false">G8+G10+G24</f>
        <v>4604.28002977269</v>
      </c>
      <c r="H11" s="0" t="n">
        <f aca="false">H8+H10+H24</f>
        <v>4923.34855815168</v>
      </c>
      <c r="I11" s="0" t="n">
        <f aca="false">I8+I10+I24</f>
        <v>5239.29910040524</v>
      </c>
      <c r="J11" s="0" t="n">
        <f aca="false">J8+J10+J24</f>
        <v>5529.71886950529</v>
      </c>
      <c r="K11" s="0" t="n">
        <f aca="false">K8+K10+K24</f>
        <v>5808.2914993464</v>
      </c>
      <c r="L11" s="0" t="n">
        <f aca="false">L8+L10+L24</f>
        <v>6040.62315932026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-549.49504158</v>
      </c>
      <c r="D12" s="4" t="n">
        <f aca="false">-D6*Assumptions!D31/100</f>
        <v>-593.4546449064</v>
      </c>
      <c r="E12" s="4" t="n">
        <f aca="false">-E6*Assumptions!E31/100</f>
        <v>-623.786771201616</v>
      </c>
      <c r="F12" s="4" t="n">
        <f aca="false">-F6*Assumptions!F31/100</f>
        <v>-667.451845185729</v>
      </c>
      <c r="G12" s="4" t="n">
        <f aca="false">-G6*Assumptions!G31/100</f>
        <v>-694.680846597284</v>
      </c>
      <c r="H12" s="4" t="n">
        <f aca="false">-H6*Assumptions!H31/100</f>
        <v>-736.361697393121</v>
      </c>
      <c r="I12" s="4" t="n">
        <f aca="false">-I6*Assumptions!I31/100</f>
        <v>-758.795042127655</v>
      </c>
      <c r="J12" s="4" t="n">
        <f aca="false">-J6*Assumptions!J31/100</f>
        <v>-777.764918180846</v>
      </c>
      <c r="K12" s="4" t="n">
        <f aca="false">-K6*Assumptions!K31/100</f>
        <v>-792.9408190234</v>
      </c>
      <c r="L12" s="4" t="n">
        <f aca="false">-L6*Assumptions!L31/100</f>
        <v>-824.658451784336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2710.842205128</v>
      </c>
      <c r="D13" s="0" t="n">
        <f aca="false">D11+D12</f>
        <v>3000.2429270268</v>
      </c>
      <c r="E13" s="0" t="n">
        <f aca="false">E11+E12</f>
        <v>3303.23449295401</v>
      </c>
      <c r="F13" s="0" t="n">
        <f aca="false">F11+F12</f>
        <v>3602.72302799115</v>
      </c>
      <c r="G13" s="0" t="n">
        <f aca="false">G11+G12</f>
        <v>3909.59918317541</v>
      </c>
      <c r="H13" s="0" t="n">
        <f aca="false">H11+H12</f>
        <v>4186.98686075856</v>
      </c>
      <c r="I13" s="0" t="n">
        <f aca="false">I11+I12</f>
        <v>4480.50405827758</v>
      </c>
      <c r="J13" s="0" t="n">
        <f aca="false">J11+J12</f>
        <v>4751.95395132444</v>
      </c>
      <c r="K13" s="0" t="n">
        <f aca="false">K11+K12</f>
        <v>5015.350680323</v>
      </c>
      <c r="L13" s="0" t="n">
        <f aca="false">L11+L12</f>
        <v>5215.96470753592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20.5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2155.11955307676</v>
      </c>
      <c r="D15" s="0" t="n">
        <f aca="false">D13-MAX(0,D13)*D14/100</f>
        <v>2370.19191235117</v>
      </c>
      <c r="E15" s="0" t="n">
        <f aca="false">E13-MAX(0,E13)*E14/100</f>
        <v>2609.55524943367</v>
      </c>
      <c r="F15" s="0" t="n">
        <f aca="false">F13-MAX(0,F13)*F14/100</f>
        <v>2846.15119211301</v>
      </c>
      <c r="G15" s="0" t="n">
        <f aca="false">G13-MAX(0,G13)*G14/100</f>
        <v>3088.58335470857</v>
      </c>
      <c r="H15" s="0" t="n">
        <f aca="false">H13-MAX(0,H13)*H14/100</f>
        <v>3307.71961999926</v>
      </c>
      <c r="I15" s="0" t="n">
        <f aca="false">I13-MAX(0,I13)*I14/100</f>
        <v>3539.59820603929</v>
      </c>
      <c r="J15" s="0" t="n">
        <f aca="false">J13-MAX(0,J13)*J14/100</f>
        <v>3754.04362154631</v>
      </c>
      <c r="K15" s="0" t="n">
        <f aca="false">K13-MAX(0,K13)*K14/100</f>
        <v>3962.12703745517</v>
      </c>
      <c r="L15" s="0" t="n">
        <f aca="false">L13-MAX(0,L13)*L14/100</f>
        <v>4120.61211895338</v>
      </c>
    </row>
    <row r="16" customFormat="false" ht="15" hidden="false" customHeight="false" outlineLevel="0" collapsed="false">
      <c r="A16" s="0" t="s">
        <v>127</v>
      </c>
      <c r="C16" s="0" t="n">
        <f aca="false">-C12</f>
        <v>549.49504158</v>
      </c>
      <c r="D16" s="0" t="n">
        <f aca="false">-D12</f>
        <v>593.4546449064</v>
      </c>
      <c r="E16" s="0" t="n">
        <f aca="false">-E12</f>
        <v>623.786771201616</v>
      </c>
      <c r="F16" s="0" t="n">
        <f aca="false">-F12</f>
        <v>667.451845185729</v>
      </c>
      <c r="G16" s="0" t="n">
        <f aca="false">-G12</f>
        <v>694.680846597284</v>
      </c>
      <c r="H16" s="0" t="n">
        <f aca="false">-H12</f>
        <v>736.361697393121</v>
      </c>
      <c r="I16" s="0" t="n">
        <f aca="false">-I12</f>
        <v>758.795042127655</v>
      </c>
      <c r="J16" s="0" t="n">
        <f aca="false">-J12</f>
        <v>777.764918180846</v>
      </c>
      <c r="K16" s="0" t="n">
        <f aca="false">-K12</f>
        <v>792.9408190234</v>
      </c>
      <c r="L16" s="0" t="n">
        <f aca="false">-L12</f>
        <v>824.658451784336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-451.807034188</v>
      </c>
      <c r="D17" s="4" t="n">
        <f aca="false">-D6*Assumptions!D32/100</f>
        <v>-487.95159692304</v>
      </c>
      <c r="E17" s="4" t="n">
        <f aca="false">-E6*Assumptions!E32/100</f>
        <v>-524.547966692268</v>
      </c>
      <c r="F17" s="4" t="n">
        <f aca="false">-F6*Assumptions!F32/100</f>
        <v>-561.266324360727</v>
      </c>
      <c r="G17" s="4" t="n">
        <f aca="false">-G6*Assumptions!G32/100</f>
        <v>-597.748635444174</v>
      </c>
      <c r="H17" s="4" t="n">
        <f aca="false">-H6*Assumptions!H32/100</f>
        <v>-633.613553570825</v>
      </c>
      <c r="I17" s="4" t="n">
        <f aca="false">-I6*Assumptions!I32/100</f>
        <v>-686.528847639307</v>
      </c>
      <c r="J17" s="4" t="n">
        <f aca="false">-J6*Assumptions!J32/100</f>
        <v>-720.855290021272</v>
      </c>
      <c r="K17" s="4" t="n">
        <f aca="false">-K6*Assumptions!K32/100</f>
        <v>-753.29377807223</v>
      </c>
      <c r="L17" s="4" t="n">
        <f aca="false">-L6*Assumptions!L32/100</f>
        <v>-783.425529195119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-331.1839734</v>
      </c>
      <c r="D18" s="4" t="n">
        <f aca="false">(D6-C6)*Assumptions!$B$37/100</f>
        <v>-341.908025872001</v>
      </c>
      <c r="E18" s="4" t="n">
        <f aca="false">(E6-D6)*Assumptions!$B$37/100</f>
        <v>-346.1818761954</v>
      </c>
      <c r="F18" s="4" t="n">
        <f aca="false">(F6-E6)*Assumptions!$B$37/100</f>
        <v>-347.335815782718</v>
      </c>
      <c r="G18" s="4" t="n">
        <f aca="false">(G6-F6)*Assumptions!$B$37/100</f>
        <v>-345.102942681258</v>
      </c>
      <c r="H18" s="4" t="n">
        <f aca="false">(H6-G6)*Assumptions!$B$37/100</f>
        <v>-339.262739035883</v>
      </c>
      <c r="I18" s="4" t="n">
        <f aca="false">(I6-H6)*Assumptions!$B$37/100</f>
        <v>-329.650294763199</v>
      </c>
      <c r="J18" s="4" t="n">
        <f aca="false">(J6-I6)*Assumptions!$B$37/100</f>
        <v>-316.164600886524</v>
      </c>
      <c r="K18" s="4" t="n">
        <f aca="false">(K6-J6)*Assumptions!$B$37/100</f>
        <v>-298.775547837764</v>
      </c>
      <c r="L18" s="4" t="n">
        <f aca="false">(L6-K6)*Assumptions!$B$37/100</f>
        <v>-277.52928665819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1921.62358706876</v>
      </c>
      <c r="D19" s="0" t="n">
        <f aca="false">D15+D16+D17+D18</f>
        <v>2133.78693446253</v>
      </c>
      <c r="E19" s="0" t="n">
        <f aca="false">E15+E16+E17+E18</f>
        <v>2362.61217774762</v>
      </c>
      <c r="F19" s="0" t="n">
        <f aca="false">F15+F16+F17+F18</f>
        <v>2605.00089715529</v>
      </c>
      <c r="G19" s="0" t="n">
        <f aca="false">G15+G16+G17+G18</f>
        <v>2840.41262318043</v>
      </c>
      <c r="H19" s="0" t="n">
        <f aca="false">H15+H16+H17+H18</f>
        <v>3071.20502478567</v>
      </c>
      <c r="I19" s="0" t="n">
        <f aca="false">I15+I16+I17+I18</f>
        <v>3282.21410576444</v>
      </c>
      <c r="J19" s="0" t="n">
        <f aca="false">J15+J16+J17+J18</f>
        <v>3494.78864881936</v>
      </c>
      <c r="K19" s="0" t="n">
        <f aca="false">K15+K16+K17+K18</f>
        <v>3702.99853056858</v>
      </c>
      <c r="L19" s="0" t="n">
        <f aca="false">L15+L16+L17+L18</f>
        <v>3884.31575488441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1771.08164706798</v>
      </c>
      <c r="D21" s="0" t="n">
        <f aca="false">D19*D20</f>
        <v>1812.55659237829</v>
      </c>
      <c r="E21" s="0" t="n">
        <f aca="false">E19*E20</f>
        <v>1849.70820740967</v>
      </c>
      <c r="F21" s="0" t="n">
        <f aca="false">F19*F20</f>
        <v>1879.70165788221</v>
      </c>
      <c r="G21" s="0" t="n">
        <f aca="false">G19*G20</f>
        <v>1889.00341529684</v>
      </c>
      <c r="H21" s="0" t="n">
        <f aca="false">H19*H20</f>
        <v>1882.48004213287</v>
      </c>
      <c r="I21" s="0" t="n">
        <f aca="false">I19*I20</f>
        <v>1854.20923722431</v>
      </c>
      <c r="J21" s="0" t="n">
        <f aca="false">J19*J20</f>
        <v>1819.62967566775</v>
      </c>
      <c r="K21" s="0" t="n">
        <f aca="false">K19*K20</f>
        <v>1776.99373254129</v>
      </c>
      <c r="L21" s="0" t="n">
        <f aca="false">L19*L20</f>
        <v>1717.9762057834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18253.3404133846</v>
      </c>
    </row>
    <row r="31" customFormat="false" ht="15" hidden="false" customHeight="false" outlineLevel="0" collapsed="false">
      <c r="A31" s="0" t="s">
        <v>136</v>
      </c>
      <c r="B31" s="0" t="n">
        <f aca="false">L19</f>
        <v>3884.31575488441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72742.6405005625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77686.3150976881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72742.6405005625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32173.008944671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50426.3493580556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48241.1033580556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119.32301901619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-0.403116307257314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2808.69376259765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4269.05042931196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136.829621187675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33340.3768960912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48.2632870383886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8.9</v>
      </c>
      <c r="D5" s="4" t="n">
        <f aca="false">Assumptions!D41</f>
        <v>9.5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8.5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11264.761</v>
      </c>
      <c r="C6" s="0" t="n">
        <f aca="false">B6*(1+C5/100)</f>
        <v>12267.324729</v>
      </c>
      <c r="D6" s="0" t="n">
        <f aca="false">C6*(1+D5/100)</f>
        <v>13432.720578255</v>
      </c>
      <c r="E6" s="0" t="n">
        <f aca="false">D6*(1+E5/100)</f>
        <v>14708.8290331892</v>
      </c>
      <c r="F6" s="0" t="n">
        <f aca="false">E6*(1+F5/100)</f>
        <v>16032.6236461763</v>
      </c>
      <c r="G6" s="0" t="n">
        <f aca="false">F6*(1+G5/100)</f>
        <v>17395.3966561012</v>
      </c>
      <c r="H6" s="0" t="n">
        <f aca="false">G6*(1+H5/100)</f>
        <v>18787.0283885893</v>
      </c>
      <c r="I6" s="0" t="n">
        <f aca="false">H6*(1+I5/100)</f>
        <v>20102.1203757906</v>
      </c>
      <c r="J6" s="0" t="n">
        <f aca="false">I6*(1+J5/100)</f>
        <v>21308.247598338</v>
      </c>
      <c r="K6" s="0" t="n">
        <f aca="false">J6*(1+K5/100)</f>
        <v>22373.6599782549</v>
      </c>
      <c r="L6" s="0" t="n">
        <f aca="false">K6*(1+L5/100)</f>
        <v>23380.4746772764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29.8</v>
      </c>
      <c r="D7" s="4" t="n">
        <f aca="false">Assumptions!D42</f>
        <v>30.6</v>
      </c>
      <c r="E7" s="4" t="n">
        <f aca="false">Assumptions!E42</f>
        <v>31.3</v>
      </c>
      <c r="F7" s="4" t="n">
        <f aca="false">Assumptions!F42</f>
        <v>32</v>
      </c>
      <c r="G7" s="4" t="n">
        <f aca="false">Assumptions!G42</f>
        <v>32.6</v>
      </c>
      <c r="H7" s="4" t="n">
        <f aca="false">Assumptions!H42</f>
        <v>33</v>
      </c>
      <c r="I7" s="4" t="n">
        <f aca="false">Assumptions!I42</f>
        <v>33.3</v>
      </c>
      <c r="J7" s="4" t="n">
        <f aca="false">Assumptions!J42</f>
        <v>33.5</v>
      </c>
      <c r="K7" s="4" t="n">
        <f aca="false">Assumptions!K42</f>
        <v>33.5</v>
      </c>
      <c r="L7" s="4" t="n">
        <f aca="false">Assumptions!L42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3655.662769242</v>
      </c>
      <c r="D8" s="0" t="n">
        <f aca="false">D6*D7/100</f>
        <v>4110.41249694603</v>
      </c>
      <c r="E8" s="0" t="n">
        <f aca="false">E6*E7/100</f>
        <v>4603.86348738823</v>
      </c>
      <c r="F8" s="0" t="n">
        <f aca="false">F6*F7/100</f>
        <v>5130.4395667764</v>
      </c>
      <c r="G8" s="0" t="n">
        <f aca="false">G6*G7/100</f>
        <v>5670.899309889</v>
      </c>
      <c r="H8" s="0" t="n">
        <f aca="false">H6*H7/100</f>
        <v>6199.71936823448</v>
      </c>
      <c r="I8" s="0" t="n">
        <f aca="false">I6*I7/100</f>
        <v>6694.00608513827</v>
      </c>
      <c r="J8" s="0" t="n">
        <f aca="false">J6*J7/100</f>
        <v>7138.26294544324</v>
      </c>
      <c r="K8" s="0" t="n">
        <f aca="false">K6*K7/100</f>
        <v>7495.1760927154</v>
      </c>
      <c r="L8" s="0" t="n">
        <f aca="false">L6*L7/100</f>
        <v>7832.45901688759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2.9</v>
      </c>
      <c r="D9" s="4" t="n">
        <f aca="false">Assumptions!D43</f>
        <v>2.85</v>
      </c>
      <c r="E9" s="4" t="n">
        <f aca="false">Assumptions!E43</f>
        <v>2.8</v>
      </c>
      <c r="F9" s="4" t="n">
        <f aca="false">Assumptions!F43</f>
        <v>2.75</v>
      </c>
      <c r="G9" s="4" t="n">
        <f aca="false">Assumptions!G43</f>
        <v>2.7</v>
      </c>
      <c r="H9" s="4" t="n">
        <f aca="false">Assumptions!H43</f>
        <v>2.65</v>
      </c>
      <c r="I9" s="4" t="n">
        <f aca="false">Assumptions!I43</f>
        <v>2.6</v>
      </c>
      <c r="J9" s="4" t="n">
        <f aca="false">Assumptions!J43</f>
        <v>2.55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-355.752417141</v>
      </c>
      <c r="D10" s="0" t="n">
        <f aca="false">-D6*D9/100</f>
        <v>-382.832536480268</v>
      </c>
      <c r="E10" s="0" t="n">
        <f aca="false">-E6*E9/100</f>
        <v>-411.847212929298</v>
      </c>
      <c r="F10" s="0" t="n">
        <f aca="false">-F6*F9/100</f>
        <v>-440.897150269847</v>
      </c>
      <c r="G10" s="0" t="n">
        <f aca="false">-G6*G9/100</f>
        <v>-469.675709714733</v>
      </c>
      <c r="H10" s="0" t="n">
        <f aca="false">-H6*H9/100</f>
        <v>-497.856252297617</v>
      </c>
      <c r="I10" s="0" t="n">
        <f aca="false">-I6*I9/100</f>
        <v>-522.655129770555</v>
      </c>
      <c r="J10" s="0" t="n">
        <f aca="false">-J6*J9/100</f>
        <v>-543.36031375762</v>
      </c>
      <c r="K10" s="0" t="n">
        <f aca="false">-K6*K9/100</f>
        <v>-559.341499456373</v>
      </c>
      <c r="L10" s="0" t="n">
        <f aca="false">-L6*L9/100</f>
        <v>-584.51186693191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3299.910352101</v>
      </c>
      <c r="D11" s="0" t="n">
        <f aca="false">D8+D10+D24</f>
        <v>3727.57996046576</v>
      </c>
      <c r="E11" s="0" t="n">
        <f aca="false">E8+E10+E24</f>
        <v>4192.01627445893</v>
      </c>
      <c r="F11" s="0" t="n">
        <f aca="false">F8+F10+F24</f>
        <v>4689.54241650655</v>
      </c>
      <c r="G11" s="0" t="n">
        <f aca="false">G8+G10+G24</f>
        <v>5201.22360017427</v>
      </c>
      <c r="H11" s="0" t="n">
        <f aca="false">H8+H10+H24</f>
        <v>5701.86311593686</v>
      </c>
      <c r="I11" s="0" t="n">
        <f aca="false">I8+I10+I24</f>
        <v>6171.35095536771</v>
      </c>
      <c r="J11" s="0" t="n">
        <f aca="false">J8+J10+J24</f>
        <v>6594.90263168562</v>
      </c>
      <c r="K11" s="0" t="n">
        <f aca="false">K8+K10+K24</f>
        <v>6935.83459325903</v>
      </c>
      <c r="L11" s="0" t="n">
        <f aca="false">L8+L10+L24</f>
        <v>7247.94714995568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-552.029612805</v>
      </c>
      <c r="D12" s="4" t="n">
        <f aca="false">-D6*Assumptions!D45/100</f>
        <v>-604.472426021475</v>
      </c>
      <c r="E12" s="4" t="n">
        <f aca="false">-E6*Assumptions!E45/100</f>
        <v>-647.188477460326</v>
      </c>
      <c r="F12" s="4" t="n">
        <f aca="false">-F6*Assumptions!F45/100</f>
        <v>-705.435440431755</v>
      </c>
      <c r="G12" s="4" t="n">
        <f aca="false">-G6*Assumptions!G45/100</f>
        <v>-748.002056212353</v>
      </c>
      <c r="H12" s="4" t="n">
        <f aca="false">-H6*Assumptions!H45/100</f>
        <v>-807.842220709341</v>
      </c>
      <c r="I12" s="4" t="n">
        <f aca="false">-I6*Assumptions!I45/100</f>
        <v>-844.289055783205</v>
      </c>
      <c r="J12" s="4" t="n">
        <f aca="false">-J6*Assumptions!J45/100</f>
        <v>-873.638151531859</v>
      </c>
      <c r="K12" s="4" t="n">
        <f aca="false">-K6*Assumptions!K45/100</f>
        <v>-894.946399130197</v>
      </c>
      <c r="L12" s="4" t="n">
        <f aca="false">-L6*Assumptions!L45/100</f>
        <v>-935.218987091056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2747.880739296</v>
      </c>
      <c r="D13" s="0" t="n">
        <f aca="false">D11+D12</f>
        <v>3123.10753444429</v>
      </c>
      <c r="E13" s="0" t="n">
        <f aca="false">E11+E12</f>
        <v>3544.8277969986</v>
      </c>
      <c r="F13" s="0" t="n">
        <f aca="false">F11+F12</f>
        <v>3984.1069760748</v>
      </c>
      <c r="G13" s="0" t="n">
        <f aca="false">G11+G12</f>
        <v>4453.22154396192</v>
      </c>
      <c r="H13" s="0" t="n">
        <f aca="false">H11+H12</f>
        <v>4894.02089522752</v>
      </c>
      <c r="I13" s="0" t="n">
        <f aca="false">I11+I12</f>
        <v>5327.06189958451</v>
      </c>
      <c r="J13" s="0" t="n">
        <f aca="false">J11+J12</f>
        <v>5721.26448015376</v>
      </c>
      <c r="K13" s="0" t="n">
        <f aca="false">K11+K12</f>
        <v>6040.88819412883</v>
      </c>
      <c r="L13" s="0" t="n">
        <f aca="false">L11+L12</f>
        <v>6312.72816286463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20.5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2184.56518774032</v>
      </c>
      <c r="D15" s="0" t="n">
        <f aca="false">D13-MAX(0,D13)*D14/100</f>
        <v>2467.25495221099</v>
      </c>
      <c r="E15" s="0" t="n">
        <f aca="false">E13-MAX(0,E13)*E14/100</f>
        <v>2800.4139596289</v>
      </c>
      <c r="F15" s="0" t="n">
        <f aca="false">F13-MAX(0,F13)*F14/100</f>
        <v>3147.44451109909</v>
      </c>
      <c r="G15" s="0" t="n">
        <f aca="false">G13-MAX(0,G13)*G14/100</f>
        <v>3518.04501972991</v>
      </c>
      <c r="H15" s="0" t="n">
        <f aca="false">H13-MAX(0,H13)*H14/100</f>
        <v>3866.27650722974</v>
      </c>
      <c r="I15" s="0" t="n">
        <f aca="false">I13-MAX(0,I13)*I14/100</f>
        <v>4208.37890067176</v>
      </c>
      <c r="J15" s="0" t="n">
        <f aca="false">J13-MAX(0,J13)*J14/100</f>
        <v>4519.79893932147</v>
      </c>
      <c r="K15" s="0" t="n">
        <f aca="false">K13-MAX(0,K13)*K14/100</f>
        <v>4772.30167336177</v>
      </c>
      <c r="L15" s="0" t="n">
        <f aca="false">L13-MAX(0,L13)*L14/100</f>
        <v>4987.05524866306</v>
      </c>
    </row>
    <row r="16" customFormat="false" ht="15" hidden="false" customHeight="false" outlineLevel="0" collapsed="false">
      <c r="A16" s="0" t="s">
        <v>127</v>
      </c>
      <c r="C16" s="0" t="n">
        <f aca="false">-C12</f>
        <v>552.029612805</v>
      </c>
      <c r="D16" s="0" t="n">
        <f aca="false">-D12</f>
        <v>604.472426021475</v>
      </c>
      <c r="E16" s="0" t="n">
        <f aca="false">-E12</f>
        <v>647.188477460326</v>
      </c>
      <c r="F16" s="0" t="n">
        <f aca="false">-F12</f>
        <v>705.435440431755</v>
      </c>
      <c r="G16" s="0" t="n">
        <f aca="false">-G12</f>
        <v>748.002056212353</v>
      </c>
      <c r="H16" s="0" t="n">
        <f aca="false">-H12</f>
        <v>807.842220709341</v>
      </c>
      <c r="I16" s="0" t="n">
        <f aca="false">-I12</f>
        <v>844.289055783205</v>
      </c>
      <c r="J16" s="0" t="n">
        <f aca="false">-J12</f>
        <v>873.638151531859</v>
      </c>
      <c r="K16" s="0" t="n">
        <f aca="false">-K12</f>
        <v>894.946399130197</v>
      </c>
      <c r="L16" s="0" t="n">
        <f aca="false">-L12</f>
        <v>935.218987091056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-453.891014973</v>
      </c>
      <c r="D17" s="4" t="n">
        <f aca="false">-D6*Assumptions!D46/100</f>
        <v>-497.010661395435</v>
      </c>
      <c r="E17" s="4" t="n">
        <f aca="false">-E6*Assumptions!E46/100</f>
        <v>-544.226674228001</v>
      </c>
      <c r="F17" s="4" t="n">
        <f aca="false">-F6*Assumptions!F46/100</f>
        <v>-593.207074908522</v>
      </c>
      <c r="G17" s="4" t="n">
        <f aca="false">-G6*Assumptions!G46/100</f>
        <v>-643.629676275746</v>
      </c>
      <c r="H17" s="4" t="n">
        <f aca="false">-H6*Assumptions!H46/100</f>
        <v>-695.120050377805</v>
      </c>
      <c r="I17" s="4" t="n">
        <f aca="false">-I6*Assumptions!I46/100</f>
        <v>-763.880574280042</v>
      </c>
      <c r="J17" s="4" t="n">
        <f aca="false">-J6*Assumptions!J46/100</f>
        <v>-809.713408736845</v>
      </c>
      <c r="K17" s="4" t="n">
        <f aca="false">-K6*Assumptions!K46/100</f>
        <v>-850.199079173687</v>
      </c>
      <c r="L17" s="4" t="n">
        <f aca="false">-L6*Assumptions!L46/100</f>
        <v>-888.458037736503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-350.89730515</v>
      </c>
      <c r="D18" s="4" t="n">
        <f aca="false">(D6-C6)*Assumptions!$B$51/100</f>
        <v>-407.88854723925</v>
      </c>
      <c r="E18" s="4" t="n">
        <f aca="false">(E6-D6)*Assumptions!$B$51/100</f>
        <v>-446.637959226979</v>
      </c>
      <c r="F18" s="4" t="n">
        <f aca="false">(F6-E6)*Assumptions!$B$51/100</f>
        <v>-463.328114545461</v>
      </c>
      <c r="G18" s="4" t="n">
        <f aca="false">(G6-F6)*Assumptions!$B$51/100</f>
        <v>-476.970553473743</v>
      </c>
      <c r="H18" s="4" t="n">
        <f aca="false">(H6-G6)*Assumptions!$B$51/100</f>
        <v>-487.071106370834</v>
      </c>
      <c r="I18" s="4" t="n">
        <f aca="false">(I6-H6)*Assumptions!$B$51/100</f>
        <v>-460.282195520438</v>
      </c>
      <c r="J18" s="4" t="n">
        <f aca="false">(J6-I6)*Assumptions!$B$51/100</f>
        <v>-422.144527891602</v>
      </c>
      <c r="K18" s="4" t="n">
        <f aca="false">(K6-J6)*Assumptions!$B$51/100</f>
        <v>-372.894332970916</v>
      </c>
      <c r="L18" s="4" t="n">
        <f aca="false">(L6-K6)*Assumptions!$B$51/100</f>
        <v>-352.385144657514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1931.80648042232</v>
      </c>
      <c r="D19" s="0" t="n">
        <f aca="false">D15+D16+D17+D18</f>
        <v>2166.82816959778</v>
      </c>
      <c r="E19" s="0" t="n">
        <f aca="false">E15+E16+E17+E18</f>
        <v>2456.73780363424</v>
      </c>
      <c r="F19" s="0" t="n">
        <f aca="false">F15+F16+F17+F18</f>
        <v>2796.34476207686</v>
      </c>
      <c r="G19" s="0" t="n">
        <f aca="false">G15+G16+G17+G18</f>
        <v>3145.44684619278</v>
      </c>
      <c r="H19" s="0" t="n">
        <f aca="false">H15+H16+H17+H18</f>
        <v>3491.92757119044</v>
      </c>
      <c r="I19" s="0" t="n">
        <f aca="false">I15+I16+I17+I18</f>
        <v>3828.50518665448</v>
      </c>
      <c r="J19" s="0" t="n">
        <f aca="false">J15+J16+J17+J18</f>
        <v>4161.57915422488</v>
      </c>
      <c r="K19" s="0" t="n">
        <f aca="false">K15+K16+K17+K18</f>
        <v>4444.15466034737</v>
      </c>
      <c r="L19" s="0" t="n">
        <f aca="false">L15+L16+L17+L18</f>
        <v>4681.43105336009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1780.46680223255</v>
      </c>
      <c r="D21" s="0" t="n">
        <f aca="false">D19*D20</f>
        <v>1840.62364424624</v>
      </c>
      <c r="E21" s="0" t="n">
        <f aca="false">E19*E20</f>
        <v>1923.39992218617</v>
      </c>
      <c r="F21" s="0" t="n">
        <f aca="false">F19*F20</f>
        <v>2017.77047026205</v>
      </c>
      <c r="G21" s="0" t="n">
        <f aca="false">G19*G20</f>
        <v>2091.86502925755</v>
      </c>
      <c r="H21" s="0" t="n">
        <f aca="false">H19*H20</f>
        <v>2140.35986145153</v>
      </c>
      <c r="I21" s="0" t="n">
        <f aca="false">I19*I20</f>
        <v>2162.82346401122</v>
      </c>
      <c r="J21" s="0" t="n">
        <f aca="false">J19*J20</f>
        <v>2166.80711986005</v>
      </c>
      <c r="K21" s="0" t="n">
        <f aca="false">K19*K20</f>
        <v>2132.65949545728</v>
      </c>
      <c r="L21" s="0" t="n">
        <f aca="false">L19*L20</f>
        <v>2070.52867640198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20327.3044853666</v>
      </c>
    </row>
    <row r="31" customFormat="false" ht="15" hidden="false" customHeight="false" outlineLevel="0" collapsed="false">
      <c r="A31" s="0" t="s">
        <v>136</v>
      </c>
      <c r="B31" s="0" t="n">
        <f aca="false">L19</f>
        <v>4681.43105336009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87670.4360901981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93628.6210672019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87670.4360901981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38775.3552126189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59102.6596979855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56917.4136979855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140.783629815196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-0.295764945149338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3016.2847854417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4841.39465217763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160.219379988634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40182.2832080075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55.8344693365544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84.8392743762423</v>
      </c>
      <c r="C4" s="0" t="n">
        <f aca="false">B4/Assumptions!$B$2-1</f>
        <v>-0.575612653813004</v>
      </c>
      <c r="D4" s="4" t="n">
        <f aca="false">Assumptions!$B$24</f>
        <v>0.2</v>
      </c>
      <c r="E4" s="4" t="n">
        <f aca="false">DCF_Bear!$B$43</f>
        <v>98.7588916558822</v>
      </c>
      <c r="F4" s="4" t="n">
        <f aca="false">DCF_Bear!$B$47</f>
        <v>36.6903954948326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119.32301901619</v>
      </c>
      <c r="C5" s="0" t="n">
        <f aca="false">B5/Assumptions!$B$2-1</f>
        <v>-0.403116307257314</v>
      </c>
      <c r="D5" s="4" t="n">
        <f aca="false">Assumptions!$B$38</f>
        <v>0.55</v>
      </c>
      <c r="E5" s="4" t="n">
        <f aca="false">DCF_Base!$B$43</f>
        <v>136.829621187675</v>
      </c>
      <c r="F5" s="4" t="n">
        <f aca="false">DCF_Base!$B$47</f>
        <v>48.2632870383886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140.783629815196</v>
      </c>
      <c r="C6" s="0" t="n">
        <f aca="false">B6/Assumptions!$B$2-1</f>
        <v>-0.295764945149338</v>
      </c>
      <c r="D6" s="4" t="n">
        <f aca="false">Assumptions!$B$52</f>
        <v>0.25</v>
      </c>
      <c r="E6" s="4" t="n">
        <f aca="false">DCF_Bull!$B$43</f>
        <v>160.219379988634</v>
      </c>
      <c r="F6" s="4" t="n">
        <f aca="false">DCF_Bull!$B$47</f>
        <v>55.8344693365544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117.791422787952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135.062914981556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-0.697152434943227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475.457339131689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47.8415043042188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119.32301901619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108.29513361514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91.0116341492261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78.0995136099579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68.0984801393656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48.2632870383886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147.01980981318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147.01980981318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147.01980981318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147.01980981318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147.01980981318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128.559496284846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135.34003471878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135.34003471878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135.34003471878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135.34003471878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106.426341592919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112.337318745251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119.32301901619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124.731303096917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124.731303096917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90.2725465439413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94.3155597077456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98.9805748967506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104.423092617256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110.855159014218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77.9827449479847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80.8589650447633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84.1186811544457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87.8440709940827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92.1425977321255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2026-09-26T01:15:51Z</dcterms:created>
  <dc:creator>openpyxl</dc:creator>
  <dc:description/>
  <dc:language>en-NZ</dc:language>
  <cp:lastModifiedBy/>
  <dcterms:modified xsi:type="dcterms:W3CDTF">2026-09-26T01:15:51Z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