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<sst xmlns="http://schemas.openxmlformats.org/spreadsheetml/2006/main" count="389" uniqueCount="174">
  <si>
    <t xml:space="preserve">Ticker</t>
  </si>
  <si>
    <t xml:space="preserve">NKE</t>
  </si>
  <si>
    <t xml:space="preserve">Company</t>
  </si>
  <si>
    <t xml:space="preserve">NIKE, Inc.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</si>
  <si>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</si>
  <si>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</si>
  <si>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</si>
  <si>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</si>
  <si>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2026-10-01T20:00:02Z regular close (the Q1 FY2027 print day; the stock fell on the print and is at the bottom of its 52-week range, so the anchor is live but volatile)</t>
  </si>
  <si>
    <t xml:space="preserve">Balance sheet date</t>
  </si>
  <si>
    <t xml:space="preserve">2026-05-31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</si>
  <si>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</si>
  <si>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</si>
  <si>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</si>
  <si>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</si>
  <si>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</si>
  <si>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</si>
  <si>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</si>
  <si>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</si>
  <si>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</si>
  <si>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</si>
  <si>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2026-10-02T02:46:56Z</t>
  </si>
  <si>
    <t xml:space="preserve">Drivers file</t>
  </si>
  <si>
    <t xml:space="preserve">NKE_Drivers.json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</si>
  <si>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</si>
  <si>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</si>
  <si>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</si>
  <si>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NIKE as a mid-cycle recovery, not at the FY2026-27 trough and not at the FY2021-22 peak. The flows are owner FCF (SBC expensed, share count flat, interest income stripped with the gross cash credited once), built from components so that the margin path -- the single biggest judgment -- is explicit: FY2027 anchored to guidance including the restructuring cash, recovering over seven years to a 14.5% pre-SBC EBITDA margin. Discounted at a single 9% USD WACC with the turnaround, China and tariff risk carried in the scenario flows and a 25/50/25 weighting. Terminal value is Gordon at 2.5% (the 18x FCF cap is not binding at 9%).
key_risks_to_valuation: Margin path: every 1pp of terminal pre-SBC EBITDA margin is worth roughly $2.5-3/share; the base 14.5% assumes tariffs and the wholesale mix are only partly structural; FY2028 inflection: if revenue falls again in FY2028 (bear) rather than stabilising, the base path's mid-single-digit FY2029-31 recovery has no base to compound from; Greater China: ~13% of revenue falling 26% with local competitors (Anta, Li-Ning) gaining; the base assumes it stops falling, not that it recovers; Tariff policy volatility in both directions: the ~$1.5B annual gross cost is modelled as partly permanent; a refund-style reversal or a further escalation each move value by several dollars a share; Cash tax: 24-26% is above the 15-19% historical ETR; if earnings mix normalises the ETR could fall back, which is upside not in the base; Balance-sheet vintage: anchors are the 2026-05-31 10-K; the Q1 FY2027 10-Q (Aug-2026) was not yet filed at build time</t>
  </si>
  <si>
    <t xml:space="preserve">Data sources</t>
  </si>
  <si>
    <t xml:space="preserve">price: Yahoo Finance chart API at inputs.price_as_of (regular close on the Q1 FY2027 print day); 52-week range 35.02-74.78
financials: SEC XBRL companyfacts (CIK 320187): FY2026 10-K filed 2026-07-15 and FY2026 10-Qs, via research/NKE/Reports/NKE_Metrics.csv and direct tag lookups for debt split, short-term investments, lease liabilities, working-capital balances, interest paid and the tariff receivable
qualitative: research/NKE/Reports/NKE_Analysis.json (2026-10-02): Q1 FY2027 results and FY2027 guidance (2026-10-01), 'Pace' restructuring plan, tariff and China commentary</t>
  </si>
  <si>
    <t xml:space="preserve">Scenario narrative: bear</t>
  </si>
  <si>
    <t xml:space="preserve">The air pocket is deeper and the share loss is permanent: FY2027 revenue falls 10% and FY2028 another 4% as China keeps declining, lifestyle demand shifts to Adidas/New Balance/On/Hoka, Converse continues to shrink and the wholesale reset brings back retailer margin pressure without the volume. Revenue then only tracks ~2% nominal growth. Tariffs remain a ~3% permanent cost, Pace savings are competed away in price and marketing, and the pre-SBC EBITDA margin settles at 11% -- roughly the FY2025-26 trough level with the one-offs stripped. This is a shrunken but still solidly profitable brand; the model does not price distress (net cash, investment-grade notes).</t>
  </si>
  <si>
    <t xml:space="preserve">Scenario narrative: base</t>
  </si>
  <si>
    <t xml:space="preserve">FY2027 lands on guidance (revenue -8%, adjusted EPS ~$1.25 before ~$0.15 of Pace restructuring) as Greater China keeps shrinking, classics (Dunk, AF1) stay throttled and Converse declines. From FY2028 the wholesale reset (Foot Locker, Dick's, JD, Amazon) and the running-category relaunch hold North America and EMEA, China stops falling, and revenue grows mid-single digits for FY2029-31 before fading to 2.5%. Pace delivers most of its ~$2.5B savings but roughly half is reinvested in product and demand creation, and tariffs (~3% of revenue gross) are only partly offset by sourcing shifts out of China and price, so the pre-SBC EBITDA margin recovers to 14.5% -- a mid-cycle level below both FY2016-19 and the FY2021-22 peak. Capex steps up to ~2% of revenue for the supply-chain modernisation. Share count flat; buybacks resume only as cash allows.</t>
  </si>
  <si>
    <t xml:space="preserve">Scenario narrative: bull</t>
  </si>
  <si>
    <t xml:space="preserve">The turnaround proves out faster: FY2027 revenue falls only 6% as the Amazon/wholesale restocking and new running franchises (Pegasus, Vomero, Structure) outrun the classics decline; FY2028 returns to +4% and compounds at 5-6% through FY2031 as Nike reclaims running share from Hoka/On and Greater China recovers from its -26% trough. Pace savings are largely retained, tariff mitigation completes by FY2028 (China sourcing to high-single digits), and gross margin returns to the mid-40s, lifting the pre-SBC EBITDA margin to 16.5% -- the FY2016-19 range plus structural cost-out, still below the FY2021-22 peak. Terminal growth 3%.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</si>
  <si>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</si>
  <si>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</si>
  <si>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</si>
  <si>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</si>
  <si>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</si>
  <si>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</si>
  <si>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</si>
  <si>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</si>
  <si>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</si>
  <si>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</si>
  <si>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</si>
  <si>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</si>
  <si>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</si>
  <si>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</si>
  <si>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</si>
  <si>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</si>
  <si>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</si>
  <si>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</si>
  <si>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</si>
  <si>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</si>
  <si>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</si>
  <si>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</si>
  <si>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</si>
  <si>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</si>
  <si>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</si>
  <si>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</si>
  <si>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</si>
  <si>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</si>
  <si>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</si>
  <si>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</si>
  <si>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</si>
  <si>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</si>
  <si>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</si>
  <si>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</si>
  <si>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</si>
  <si>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</si>
  <si>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</si>
  <si>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</si>
  <si>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</si>
  <si>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</si>
  <si>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</si>
  <si>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</si>
  <si>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</si>
  <si>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</si>
  <si>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</si>
  <si>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</si>
  <si>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</si>
  <si>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</si>
  <si>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</si>
  <si>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</si>
  <si>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</si>
  <si>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</si>
  <si>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</si>
  <si>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</si>
  <si>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</si>
  <si>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</si>
  <si>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</si>
  <si>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</si>
  <si>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</si>
  <si>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</si>
  <si>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</si>
  <si>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</si>
  <si>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</si>
  <si>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</si>
  <si>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</si>
  <si>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</si>
  <si>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</si>
  <si>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</si>
  <si>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</si>
  <si>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</si>
  <si>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</si>
  <si>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</si>
  <si>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</si>
  <si>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</si>
  <si>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</si>
  <si>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</si>
  <si>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</si>
  <si>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</si>
  <si>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</si>
  <si>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</si>
  <si>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</si>
  <si>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</si>
  <si>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</si>
  <si>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</si>
  <si>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NKE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</si>
  <si>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</si>
  <si>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</si>
  <si>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</si>
  <si>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</si>
  <si>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</si>
  <si>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</si>
  <si>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</si>
  <si>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</si>
  <si>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</si>
  <si>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</si>
  <si>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</si>
  <si>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</si>
  <si>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</si>
  <si>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</si>
  <si>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</si>
  <si>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</si>
  <si>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</si>
  <si>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</si>
  <si>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</si>
  <si>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</si>
  <si>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</si>
  <si>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</si>
  <si>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</si>
  <si>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</si>
  <si>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</si>
  <si>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</si>
  <si>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</si>
  <si>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</si>
  <si>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</si>
  <si>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</si>
  <si>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NKE owner-FCF component DCF: base case (millions, USD)</t>
  </si>
  <si>
    <t xml:space="preserve">NKE owner-FCF component DCF: bull case (millions, USD)</t>
  </si>
  <si>
    <t xml:space="preserve">NKE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</si>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</sst>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35.15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7025.4</v>
      </c>
      <c r="S2" s="0" t="n">
        <v>1856.7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18627</v>
      </c>
      <c r="C3" s="0" t="n">
        <v>10239.6</v>
      </c>
      <c r="D3" s="0" t="n">
        <v>8387.4</v>
      </c>
      <c r="E3" s="0" t="n">
        <v>45.0281848928974</v>
      </c>
      <c r="I3" s="0" t="n">
        <v>1883.4</v>
      </c>
      <c r="J3" s="0" t="n">
        <v>10.1111290062812</v>
      </c>
      <c r="K3" s="0" t="n">
        <v>3.8</v>
      </c>
      <c r="L3" s="0" t="n">
        <v>1936.3</v>
      </c>
      <c r="M3" s="0" t="n">
        <v>449.2</v>
      </c>
      <c r="N3" s="0" t="n">
        <v>1487.1</v>
      </c>
      <c r="O3" s="0" t="n">
        <v>7825</v>
      </c>
      <c r="S3" s="0" t="n">
        <v>2134</v>
      </c>
      <c r="U3" s="0" t="n">
        <v>141</v>
      </c>
      <c r="V3" s="0" t="n">
        <v>0.875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19176</v>
      </c>
      <c r="C4" s="0" t="n">
        <v>10572</v>
      </c>
      <c r="D4" s="0" t="n">
        <v>8604</v>
      </c>
      <c r="E4" s="0" t="n">
        <v>44.8685857321652</v>
      </c>
      <c r="I4" s="0" t="n">
        <v>1487</v>
      </c>
      <c r="J4" s="0" t="n">
        <v>7.75448477263246</v>
      </c>
      <c r="K4" s="0" t="n">
        <v>3.07</v>
      </c>
      <c r="L4" s="0" t="n">
        <v>1736</v>
      </c>
      <c r="M4" s="0" t="n">
        <v>456</v>
      </c>
      <c r="N4" s="0" t="n">
        <v>1280</v>
      </c>
      <c r="O4" s="0" t="n">
        <v>8693</v>
      </c>
      <c r="P4" s="0" t="n">
        <v>13249.6</v>
      </c>
      <c r="R4" s="0" t="n">
        <v>469.2</v>
      </c>
      <c r="S4" s="0" t="n">
        <v>2291</v>
      </c>
      <c r="T4" s="0" t="n">
        <v>490.7</v>
      </c>
      <c r="U4" s="0" t="n">
        <v>171</v>
      </c>
      <c r="V4" s="0" t="n">
        <v>0.98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19014</v>
      </c>
      <c r="C5" s="0" t="n">
        <v>10214</v>
      </c>
      <c r="D5" s="0" t="n">
        <v>8800</v>
      </c>
      <c r="E5" s="0" t="n">
        <v>46.2816871778689</v>
      </c>
      <c r="I5" s="0" t="n">
        <v>1907</v>
      </c>
      <c r="J5" s="0" t="n">
        <v>10.0294519827496</v>
      </c>
      <c r="K5" s="0" t="n">
        <v>3.93</v>
      </c>
      <c r="L5" s="0" t="n">
        <v>3164</v>
      </c>
      <c r="M5" s="0" t="n">
        <v>335</v>
      </c>
      <c r="N5" s="0" t="n">
        <v>2829</v>
      </c>
      <c r="O5" s="0" t="n">
        <v>9754</v>
      </c>
      <c r="P5" s="0" t="n">
        <v>14419</v>
      </c>
      <c r="R5" s="0" t="n">
        <v>460</v>
      </c>
      <c r="S5" s="0" t="n">
        <v>3079</v>
      </c>
      <c r="T5" s="0" t="n">
        <v>493.9</v>
      </c>
      <c r="U5" s="0" t="n">
        <v>159</v>
      </c>
      <c r="V5" s="0" t="n">
        <v>1.06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20117</v>
      </c>
      <c r="C6" s="0" t="n">
        <v>11354</v>
      </c>
      <c r="D6" s="0" t="n">
        <v>9202</v>
      </c>
      <c r="E6" s="0" t="n">
        <v>45.7424069195208</v>
      </c>
      <c r="I6" s="0" t="n">
        <v>2133</v>
      </c>
      <c r="J6" s="0" t="n">
        <v>10.6029726102302</v>
      </c>
      <c r="K6" s="0" t="n">
        <v>2.24</v>
      </c>
      <c r="L6" s="0" t="n">
        <v>1812</v>
      </c>
      <c r="M6" s="0" t="n">
        <v>432</v>
      </c>
      <c r="N6" s="0" t="n">
        <v>1380</v>
      </c>
      <c r="O6" s="0" t="n">
        <v>9793</v>
      </c>
      <c r="P6" s="0" t="n">
        <v>14998</v>
      </c>
      <c r="R6" s="0" t="n">
        <v>676</v>
      </c>
      <c r="S6" s="0" t="n">
        <v>1877</v>
      </c>
      <c r="T6" s="0" t="n">
        <v>971.3</v>
      </c>
      <c r="U6" s="0" t="n">
        <v>105</v>
      </c>
      <c r="V6" s="0" t="n">
        <v>0.6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23331</v>
      </c>
      <c r="D7" s="0" t="n">
        <v>10148</v>
      </c>
      <c r="E7" s="0" t="n">
        <v>43.4957781492435</v>
      </c>
      <c r="I7" s="0" t="n">
        <v>2211</v>
      </c>
      <c r="J7" s="0" t="n">
        <v>9.47666195190948</v>
      </c>
      <c r="K7" s="0" t="n">
        <v>2.4</v>
      </c>
      <c r="L7" s="0" t="n">
        <v>1824</v>
      </c>
      <c r="M7" s="0" t="n">
        <v>563</v>
      </c>
      <c r="N7" s="0" t="n">
        <v>1261</v>
      </c>
      <c r="O7" s="0" t="n">
        <v>10319</v>
      </c>
      <c r="P7" s="0" t="n">
        <v>15465</v>
      </c>
      <c r="R7" s="0" t="n">
        <v>326</v>
      </c>
      <c r="S7" s="0" t="n">
        <v>2254</v>
      </c>
      <c r="T7" s="0" t="n">
        <v>939.6</v>
      </c>
      <c r="U7" s="0" t="n">
        <v>130</v>
      </c>
      <c r="V7" s="0" t="n">
        <v>0.7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25313</v>
      </c>
      <c r="D8" s="0" t="n">
        <v>11034</v>
      </c>
      <c r="E8" s="0" t="n">
        <v>43.5902500691344</v>
      </c>
      <c r="I8" s="0" t="n">
        <v>2472</v>
      </c>
      <c r="J8" s="0" t="n">
        <v>9.76573302255758</v>
      </c>
      <c r="K8" s="0" t="n">
        <v>2.76</v>
      </c>
      <c r="L8" s="0" t="n">
        <v>3032</v>
      </c>
      <c r="M8" s="0" t="n">
        <v>598</v>
      </c>
      <c r="N8" s="0" t="n">
        <v>2434</v>
      </c>
      <c r="O8" s="0" t="n">
        <v>11081</v>
      </c>
      <c r="P8" s="0" t="n">
        <v>17545</v>
      </c>
      <c r="R8" s="0" t="n">
        <v>1324</v>
      </c>
      <c r="S8" s="0" t="n">
        <v>3337</v>
      </c>
      <c r="T8" s="0" t="n">
        <v>916.4</v>
      </c>
      <c r="U8" s="0" t="n">
        <v>174</v>
      </c>
      <c r="V8" s="0" t="n">
        <v>0.81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27799</v>
      </c>
      <c r="D9" s="0" t="n">
        <v>12446</v>
      </c>
      <c r="E9" s="0" t="n">
        <v>44.771394654484</v>
      </c>
      <c r="I9" s="0" t="n">
        <v>2693</v>
      </c>
      <c r="J9" s="0" t="n">
        <v>9.68739882729595</v>
      </c>
      <c r="K9" s="0" t="n">
        <v>1.52</v>
      </c>
      <c r="L9" s="0" t="n">
        <v>3013</v>
      </c>
      <c r="M9" s="0" t="n">
        <v>880</v>
      </c>
      <c r="N9" s="0" t="n">
        <v>2133</v>
      </c>
      <c r="O9" s="0" t="n">
        <v>10824</v>
      </c>
      <c r="P9" s="0" t="n">
        <v>18594</v>
      </c>
      <c r="R9" s="0" t="n">
        <v>1213</v>
      </c>
      <c r="S9" s="0" t="n">
        <v>2220</v>
      </c>
      <c r="T9" s="0" t="n">
        <v>1811.6</v>
      </c>
      <c r="U9" s="0" t="n">
        <v>177</v>
      </c>
      <c r="V9" s="0" t="n">
        <v>0.47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30601</v>
      </c>
      <c r="D10" s="0" t="n">
        <v>14067</v>
      </c>
      <c r="E10" s="0" t="n">
        <v>45.9690859775824</v>
      </c>
      <c r="I10" s="0" t="n">
        <v>3273</v>
      </c>
      <c r="J10" s="0" t="n">
        <v>10.6957288977484</v>
      </c>
      <c r="K10" s="0" t="n">
        <v>1.9</v>
      </c>
      <c r="L10" s="0" t="n">
        <v>4680</v>
      </c>
      <c r="M10" s="0" t="n">
        <v>963</v>
      </c>
      <c r="N10" s="0" t="n">
        <v>3717</v>
      </c>
      <c r="O10" s="0" t="n">
        <v>12707</v>
      </c>
      <c r="P10" s="0" t="n">
        <v>21597</v>
      </c>
      <c r="R10" s="0" t="n">
        <v>1293</v>
      </c>
      <c r="S10" s="0" t="n">
        <v>3852</v>
      </c>
      <c r="T10" s="0" t="n">
        <v>1768.8</v>
      </c>
      <c r="U10" s="0" t="n">
        <v>191</v>
      </c>
      <c r="V10" s="0" t="n">
        <v>0.54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32376</v>
      </c>
      <c r="D11" s="0" t="n">
        <v>14971</v>
      </c>
      <c r="E11" s="0" t="n">
        <v>46.2410427477144</v>
      </c>
      <c r="I11" s="0" t="n">
        <v>3760</v>
      </c>
      <c r="J11" s="0" t="n">
        <v>11.6135408944898</v>
      </c>
      <c r="K11" s="0" t="n">
        <v>2.21</v>
      </c>
      <c r="L11" s="0" t="n">
        <v>3399</v>
      </c>
      <c r="M11" s="0" t="n">
        <v>1143</v>
      </c>
      <c r="N11" s="0" t="n">
        <v>2256</v>
      </c>
      <c r="O11" s="0" t="n">
        <v>12258</v>
      </c>
      <c r="P11" s="0" t="n">
        <v>21379</v>
      </c>
      <c r="R11" s="0" t="n">
        <v>2081</v>
      </c>
      <c r="S11" s="0" t="n">
        <v>3138</v>
      </c>
      <c r="T11" s="0" t="n">
        <v>1742.5</v>
      </c>
      <c r="U11" s="0" t="n">
        <v>236</v>
      </c>
      <c r="V11" s="0" t="n">
        <v>0.62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34350</v>
      </c>
      <c r="C12" s="0" t="n">
        <v>19038</v>
      </c>
      <c r="D12" s="0" t="n">
        <v>15312</v>
      </c>
      <c r="E12" s="0" t="n">
        <v>44.5764192139738</v>
      </c>
      <c r="I12" s="0" t="n">
        <v>4240</v>
      </c>
      <c r="J12" s="0" t="n">
        <v>12.3435225618632</v>
      </c>
      <c r="K12" s="0" t="n">
        <v>2.56</v>
      </c>
      <c r="L12" s="0" t="n">
        <v>3846</v>
      </c>
      <c r="M12" s="0" t="n">
        <v>1105</v>
      </c>
      <c r="N12" s="0" t="n">
        <v>2741</v>
      </c>
      <c r="O12" s="0" t="n">
        <v>12407</v>
      </c>
      <c r="P12" s="0" t="n">
        <v>23259</v>
      </c>
      <c r="R12" s="0" t="n">
        <v>3483</v>
      </c>
      <c r="S12" s="0" t="n">
        <v>3808</v>
      </c>
      <c r="T12" s="0" t="n">
        <v>1692</v>
      </c>
      <c r="U12" s="0" t="n">
        <v>215</v>
      </c>
      <c r="V12" s="0" t="n">
        <v>0.7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36397</v>
      </c>
      <c r="C13" s="0" t="n">
        <v>20441</v>
      </c>
      <c r="D13" s="0" t="n">
        <v>15956</v>
      </c>
      <c r="E13" s="0" t="n">
        <v>43.8387779212573</v>
      </c>
      <c r="I13" s="0" t="n">
        <v>1933</v>
      </c>
      <c r="J13" s="0" t="n">
        <v>5.31087727010468</v>
      </c>
      <c r="K13" s="0" t="n">
        <v>1.19</v>
      </c>
      <c r="L13" s="0" t="n">
        <v>4955</v>
      </c>
      <c r="M13" s="0" t="n">
        <v>1028</v>
      </c>
      <c r="N13" s="0" t="n">
        <v>3927</v>
      </c>
      <c r="O13" s="0" t="n">
        <v>9812</v>
      </c>
      <c r="P13" s="0" t="n">
        <v>22536</v>
      </c>
      <c r="R13" s="0" t="n">
        <v>3480</v>
      </c>
      <c r="S13" s="0" t="n">
        <v>4249</v>
      </c>
      <c r="T13" s="0" t="n">
        <v>1659.1</v>
      </c>
      <c r="U13" s="0" t="n">
        <v>218</v>
      </c>
      <c r="V13" s="0" t="n">
        <v>0.78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39117</v>
      </c>
      <c r="C14" s="0" t="n">
        <v>21643</v>
      </c>
      <c r="D14" s="0" t="n">
        <v>17474</v>
      </c>
      <c r="E14" s="0" t="n">
        <v>44.6711148605466</v>
      </c>
      <c r="I14" s="0" t="n">
        <v>4029</v>
      </c>
      <c r="J14" s="0" t="n">
        <v>10.2998696219035</v>
      </c>
      <c r="K14" s="0" t="n">
        <v>2.55</v>
      </c>
      <c r="L14" s="0" t="n">
        <v>5903</v>
      </c>
      <c r="M14" s="0" t="n">
        <v>1119</v>
      </c>
      <c r="N14" s="0" t="n">
        <v>4784</v>
      </c>
      <c r="O14" s="0" t="n">
        <v>9040</v>
      </c>
      <c r="P14" s="0" t="n">
        <v>23717</v>
      </c>
      <c r="R14" s="0" t="n">
        <v>3476</v>
      </c>
      <c r="S14" s="0" t="n">
        <v>4466</v>
      </c>
      <c r="T14" s="0" t="n">
        <v>1618.4</v>
      </c>
      <c r="U14" s="0" t="n">
        <v>325</v>
      </c>
      <c r="V14" s="0" t="n">
        <v>0.86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37403</v>
      </c>
      <c r="C15" s="0" t="n">
        <v>21162</v>
      </c>
      <c r="D15" s="0" t="n">
        <v>16241</v>
      </c>
      <c r="E15" s="0" t="n">
        <v>43.4216506697324</v>
      </c>
      <c r="I15" s="0" t="n">
        <v>2539</v>
      </c>
      <c r="J15" s="0" t="n">
        <v>6.78822554340561</v>
      </c>
      <c r="K15" s="0" t="n">
        <v>1.63</v>
      </c>
      <c r="L15" s="0" t="n">
        <v>2485</v>
      </c>
      <c r="M15" s="0" t="n">
        <v>1086</v>
      </c>
      <c r="N15" s="0" t="n">
        <v>1399</v>
      </c>
      <c r="O15" s="0" t="n">
        <v>8055</v>
      </c>
      <c r="P15" s="0" t="n">
        <v>31342</v>
      </c>
      <c r="R15" s="0" t="n">
        <v>9412</v>
      </c>
      <c r="S15" s="0" t="n">
        <v>8348</v>
      </c>
      <c r="T15" s="0" t="n">
        <v>1591.6</v>
      </c>
      <c r="U15" s="0" t="n">
        <v>429</v>
      </c>
      <c r="V15" s="0" t="n">
        <v>0.955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44538</v>
      </c>
      <c r="C16" s="0" t="n">
        <v>24576</v>
      </c>
      <c r="D16" s="0" t="n">
        <v>19962</v>
      </c>
      <c r="E16" s="0" t="n">
        <v>44.820153576721</v>
      </c>
      <c r="I16" s="0" t="n">
        <v>5727</v>
      </c>
      <c r="J16" s="0" t="n">
        <v>12.8586824733935</v>
      </c>
      <c r="K16" s="0" t="n">
        <v>3.64</v>
      </c>
      <c r="L16" s="0" t="n">
        <v>6657</v>
      </c>
      <c r="M16" s="0" t="n">
        <v>695</v>
      </c>
      <c r="N16" s="0" t="n">
        <v>5962</v>
      </c>
      <c r="O16" s="0" t="n">
        <v>12767</v>
      </c>
      <c r="P16" s="0" t="n">
        <v>37740</v>
      </c>
      <c r="R16" s="0" t="n">
        <v>9413</v>
      </c>
      <c r="S16" s="0" t="n">
        <v>9889</v>
      </c>
      <c r="T16" s="0" t="n">
        <v>1609.4</v>
      </c>
      <c r="U16" s="0" t="n">
        <v>611</v>
      </c>
      <c r="V16" s="0" t="n">
        <v>1.07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46710</v>
      </c>
      <c r="C17" s="0" t="n">
        <v>25231</v>
      </c>
      <c r="D17" s="0" t="n">
        <v>21479</v>
      </c>
      <c r="E17" s="0" t="n">
        <v>45.983729394134</v>
      </c>
      <c r="I17" s="0" t="n">
        <v>6046</v>
      </c>
      <c r="J17" s="0" t="n">
        <v>12.9436951402269</v>
      </c>
      <c r="K17" s="0" t="n">
        <v>3.83</v>
      </c>
      <c r="L17" s="0" t="n">
        <v>5188</v>
      </c>
      <c r="M17" s="0" t="n">
        <v>758</v>
      </c>
      <c r="N17" s="0" t="n">
        <v>4430</v>
      </c>
      <c r="O17" s="0" t="n">
        <v>15281</v>
      </c>
      <c r="P17" s="0" t="n">
        <v>40321</v>
      </c>
      <c r="R17" s="0" t="n">
        <v>9920</v>
      </c>
      <c r="S17" s="0" t="n">
        <v>8574</v>
      </c>
      <c r="T17" s="0" t="n">
        <v>1610.8</v>
      </c>
      <c r="U17" s="0" t="n">
        <v>638</v>
      </c>
      <c r="V17" s="0" t="n">
        <v>1.19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51217</v>
      </c>
      <c r="C18" s="0" t="n">
        <v>28925</v>
      </c>
      <c r="D18" s="0" t="n">
        <v>22292</v>
      </c>
      <c r="E18" s="0" t="n">
        <v>43.5246109690142</v>
      </c>
      <c r="I18" s="0" t="n">
        <v>5070</v>
      </c>
      <c r="J18" s="0" t="n">
        <v>9.89905695374583</v>
      </c>
      <c r="K18" s="0" t="n">
        <v>3.27</v>
      </c>
      <c r="L18" s="0" t="n">
        <v>5841</v>
      </c>
      <c r="M18" s="0" t="n">
        <v>969</v>
      </c>
      <c r="N18" s="0" t="n">
        <v>4872</v>
      </c>
      <c r="O18" s="0" t="n">
        <v>14004</v>
      </c>
      <c r="P18" s="0" t="n">
        <v>37531</v>
      </c>
      <c r="R18" s="0" t="n">
        <v>8927</v>
      </c>
      <c r="S18" s="0" t="n">
        <v>7441</v>
      </c>
      <c r="T18" s="0" t="n">
        <v>1569.8</v>
      </c>
      <c r="U18" s="0" t="n">
        <v>755</v>
      </c>
      <c r="V18" s="0" t="n">
        <v>1.325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51362</v>
      </c>
      <c r="C19" s="0" t="n">
        <v>28475</v>
      </c>
      <c r="D19" s="0" t="n">
        <v>22887</v>
      </c>
      <c r="E19" s="0" t="n">
        <v>44.5601806783225</v>
      </c>
      <c r="I19" s="0" t="n">
        <v>5700</v>
      </c>
      <c r="J19" s="0" t="n">
        <v>11.0976986877458</v>
      </c>
      <c r="K19" s="0" t="n">
        <v>3.76</v>
      </c>
      <c r="L19" s="0" t="n">
        <v>7429</v>
      </c>
      <c r="M19" s="0" t="n">
        <v>812</v>
      </c>
      <c r="N19" s="0" t="n">
        <v>6617</v>
      </c>
      <c r="O19" s="0" t="n">
        <v>14430</v>
      </c>
      <c r="P19" s="0" t="n">
        <v>38110</v>
      </c>
      <c r="R19" s="0" t="n">
        <v>9903</v>
      </c>
      <c r="S19" s="0" t="n">
        <v>9860</v>
      </c>
      <c r="T19" s="0" t="n">
        <v>1529.7</v>
      </c>
      <c r="U19" s="0" t="n">
        <v>804</v>
      </c>
      <c r="V19" s="0" t="n">
        <v>1.45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46309</v>
      </c>
      <c r="C20" s="0" t="n">
        <v>26519</v>
      </c>
      <c r="D20" s="0" t="n">
        <v>19790</v>
      </c>
      <c r="E20" s="0" t="n">
        <v>42.7346736055626</v>
      </c>
      <c r="I20" s="0" t="n">
        <v>3219</v>
      </c>
      <c r="J20" s="0" t="n">
        <v>6.95113260921203</v>
      </c>
      <c r="K20" s="0" t="n">
        <v>2.17</v>
      </c>
      <c r="L20" s="0" t="n">
        <v>3698</v>
      </c>
      <c r="M20" s="0" t="n">
        <v>430</v>
      </c>
      <c r="N20" s="0" t="n">
        <v>3268</v>
      </c>
      <c r="O20" s="0" t="n">
        <v>13213</v>
      </c>
      <c r="P20" s="0" t="n">
        <v>36579</v>
      </c>
      <c r="R20" s="0" t="n">
        <v>7961</v>
      </c>
      <c r="S20" s="0" t="n">
        <v>7464</v>
      </c>
      <c r="T20" s="0" t="n">
        <v>1487.6</v>
      </c>
      <c r="U20" s="0" t="n">
        <v>709</v>
      </c>
      <c r="V20" s="0" t="n">
        <v>1.57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46398</v>
      </c>
      <c r="C21" s="0" t="n">
        <v>26487</v>
      </c>
      <c r="D21" s="0" t="n">
        <v>19911</v>
      </c>
      <c r="E21" s="0" t="n">
        <v>42.9134876503298</v>
      </c>
      <c r="I21" s="0" t="n">
        <v>3108</v>
      </c>
      <c r="J21" s="0" t="n">
        <v>6.69856459330144</v>
      </c>
      <c r="K21" s="0" t="n">
        <v>2.1</v>
      </c>
      <c r="L21" s="0" t="n">
        <v>2868</v>
      </c>
      <c r="M21" s="0" t="n">
        <v>684</v>
      </c>
      <c r="N21" s="0" t="n">
        <v>2184</v>
      </c>
      <c r="O21" s="0" t="n">
        <v>14865</v>
      </c>
      <c r="P21" s="0" t="n">
        <v>38410</v>
      </c>
      <c r="R21" s="0" t="n">
        <v>9942</v>
      </c>
      <c r="S21" s="0" t="n">
        <v>7563</v>
      </c>
      <c r="T21" s="0" t="n">
        <v>1481</v>
      </c>
      <c r="U21" s="0" t="n">
        <v>715</v>
      </c>
      <c r="V21" s="0" t="n">
        <v>1.63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35.15</v>
      </c>
    </row>
    <row r="3" customFormat="false" ht="15" hidden="false" customHeight="false" outlineLevel="0" collapsed="false">
      <c r="A3" s="0" t="s">
        <v>86</v>
      </c>
      <c r="B3" s="3" t="n">
        <v>1481</v>
      </c>
    </row>
    <row r="4" customFormat="false" ht="15" hidden="false" customHeight="false" outlineLevel="0" collapsed="false">
      <c r="A4" s="0" t="s">
        <v>87</v>
      </c>
      <c r="B4" s="3" t="n">
        <v>-1085</v>
      </c>
    </row>
    <row r="5" customFormat="false" ht="15" hidden="false" customHeight="false" outlineLevel="0" collapsed="false">
      <c r="A5" s="0" t="s">
        <v>88</v>
      </c>
      <c r="B5" s="3" t="n">
        <v>513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46398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-10</v>
      </c>
      <c r="D13" s="3" t="n">
        <v>-4</v>
      </c>
      <c r="E13" s="3" t="n">
        <v>0</v>
      </c>
      <c r="F13" s="3" t="n">
        <v>1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107</v>
      </c>
      <c r="C14" s="3" t="n">
        <v>8</v>
      </c>
      <c r="D14" s="3" t="n">
        <v>8</v>
      </c>
      <c r="E14" s="3" t="n">
        <v>8.8</v>
      </c>
      <c r="F14" s="3" t="n">
        <v>9.5</v>
      </c>
      <c r="G14" s="3" t="n">
        <v>10</v>
      </c>
      <c r="H14" s="3" t="n">
        <v>10.5</v>
      </c>
      <c r="I14" s="3" t="n">
        <v>10.8</v>
      </c>
      <c r="J14" s="3" t="n">
        <v>11</v>
      </c>
      <c r="K14" s="3" t="n">
        <v>11</v>
      </c>
      <c r="L14" s="3" t="n">
        <v>11</v>
      </c>
    </row>
    <row r="15" customFormat="false" ht="15" hidden="false" customHeight="false" outlineLevel="0" collapsed="false">
      <c r="A15" s="0" t="s">
        <v>108</v>
      </c>
      <c r="C15" s="3" t="n">
        <v>1.55</v>
      </c>
      <c r="D15" s="3" t="n">
        <v>1.55</v>
      </c>
      <c r="E15" s="3" t="n">
        <v>1.5</v>
      </c>
      <c r="F15" s="3" t="n">
        <v>1.5</v>
      </c>
      <c r="G15" s="3" t="n">
        <v>1.45</v>
      </c>
      <c r="H15" s="3" t="n">
        <v>1.45</v>
      </c>
      <c r="I15" s="3" t="n">
        <v>1.4</v>
      </c>
      <c r="J15" s="3" t="n">
        <v>1.4</v>
      </c>
      <c r="K15" s="3" t="n">
        <v>1.4</v>
      </c>
      <c r="L15" s="3" t="n">
        <v>1.4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1.7</v>
      </c>
      <c r="D17" s="3" t="n">
        <v>1.7</v>
      </c>
      <c r="E17" s="3" t="n">
        <v>1.7</v>
      </c>
      <c r="F17" s="3" t="n">
        <v>1.7</v>
      </c>
      <c r="G17" s="3" t="n">
        <v>1.7</v>
      </c>
      <c r="H17" s="3" t="n">
        <v>1.7</v>
      </c>
      <c r="I17" s="3" t="n">
        <v>1.7</v>
      </c>
      <c r="J17" s="3" t="n">
        <v>1.7</v>
      </c>
      <c r="K17" s="3" t="n">
        <v>1.7</v>
      </c>
      <c r="L17" s="3" t="n">
        <v>1.7</v>
      </c>
    </row>
    <row r="18" customFormat="false" ht="15" hidden="false" customHeight="false" outlineLevel="0" collapsed="false">
      <c r="A18" s="0" t="s">
        <v>111</v>
      </c>
      <c r="C18" s="3" t="n">
        <v>1.8</v>
      </c>
      <c r="D18" s="3" t="n">
        <v>1.9</v>
      </c>
      <c r="E18" s="3" t="n">
        <v>1.9</v>
      </c>
      <c r="F18" s="3" t="n">
        <v>1.9</v>
      </c>
      <c r="G18" s="3" t="n">
        <v>1.9</v>
      </c>
      <c r="H18" s="3" t="n">
        <v>1.9</v>
      </c>
      <c r="I18" s="3" t="n">
        <v>1.9</v>
      </c>
      <c r="J18" s="3" t="n">
        <v>1.9</v>
      </c>
      <c r="K18" s="3" t="n">
        <v>1.9</v>
      </c>
      <c r="L18" s="3" t="n">
        <v>1.9</v>
      </c>
    </row>
    <row r="19" customFormat="false" ht="15" hidden="false" customHeight="false" outlineLevel="0" collapsed="false">
      <c r="A19" s="0" t="s">
        <v>112</v>
      </c>
      <c r="C19" s="3" t="n">
        <v>26</v>
      </c>
      <c r="D19" s="3" t="n">
        <v>25</v>
      </c>
      <c r="E19" s="3" t="n">
        <v>25</v>
      </c>
      <c r="F19" s="3" t="n">
        <v>24</v>
      </c>
      <c r="G19" s="3" t="n">
        <v>24</v>
      </c>
      <c r="H19" s="3" t="n">
        <v>24</v>
      </c>
      <c r="I19" s="3" t="n">
        <v>24</v>
      </c>
      <c r="J19" s="3" t="n">
        <v>24</v>
      </c>
      <c r="K19" s="3" t="n">
        <v>24</v>
      </c>
      <c r="L19" s="3" t="n">
        <v>24</v>
      </c>
    </row>
    <row r="20" customFormat="false" ht="15" hidden="false" customHeight="false" outlineLevel="0" collapsed="false">
      <c r="A20" s="0" t="s">
        <v>113</v>
      </c>
      <c r="B20" s="3" t="n">
        <v>9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18</v>
      </c>
    </row>
    <row r="23" customFormat="false" ht="15" hidden="false" customHeight="false" outlineLevel="0" collapsed="false">
      <c r="A23" s="0" t="s">
        <v>116</v>
      </c>
      <c r="B23" s="3" t="n">
        <v>-15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-8</v>
      </c>
      <c r="D27" s="3" t="n">
        <v>1</v>
      </c>
      <c r="E27" s="3" t="n">
        <v>3.5</v>
      </c>
      <c r="F27" s="3" t="n">
        <v>4</v>
      </c>
      <c r="G27" s="3" t="n">
        <v>4</v>
      </c>
      <c r="H27" s="3" t="n">
        <v>3.5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107</v>
      </c>
      <c r="C28" s="3" t="n">
        <v>8.6</v>
      </c>
      <c r="D28" s="3" t="n">
        <v>9.8</v>
      </c>
      <c r="E28" s="3" t="n">
        <v>11</v>
      </c>
      <c r="F28" s="3" t="n">
        <v>12</v>
      </c>
      <c r="G28" s="3" t="n">
        <v>13</v>
      </c>
      <c r="H28" s="3" t="n">
        <v>13.8</v>
      </c>
      <c r="I28" s="3" t="n">
        <v>14.3</v>
      </c>
      <c r="J28" s="3" t="n">
        <v>14.5</v>
      </c>
      <c r="K28" s="3" t="n">
        <v>14.5</v>
      </c>
      <c r="L28" s="3" t="n">
        <v>14.5</v>
      </c>
    </row>
    <row r="29" customFormat="false" ht="15" hidden="false" customHeight="false" outlineLevel="0" collapsed="false">
      <c r="A29" s="0" t="s">
        <v>108</v>
      </c>
      <c r="C29" s="3" t="n">
        <v>1.55</v>
      </c>
      <c r="D29" s="3" t="n">
        <v>1.55</v>
      </c>
      <c r="E29" s="3" t="n">
        <v>1.5</v>
      </c>
      <c r="F29" s="3" t="n">
        <v>1.5</v>
      </c>
      <c r="G29" s="3" t="n">
        <v>1.45</v>
      </c>
      <c r="H29" s="3" t="n">
        <v>1.45</v>
      </c>
      <c r="I29" s="3" t="n">
        <v>1.4</v>
      </c>
      <c r="J29" s="3" t="n">
        <v>1.4</v>
      </c>
      <c r="K29" s="3" t="n">
        <v>1.4</v>
      </c>
      <c r="L29" s="3" t="n">
        <v>1.4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1.7</v>
      </c>
      <c r="D31" s="3" t="n">
        <v>1.7</v>
      </c>
      <c r="E31" s="3" t="n">
        <v>1.7</v>
      </c>
      <c r="F31" s="3" t="n">
        <v>1.7</v>
      </c>
      <c r="G31" s="3" t="n">
        <v>1.7</v>
      </c>
      <c r="H31" s="3" t="n">
        <v>1.7</v>
      </c>
      <c r="I31" s="3" t="n">
        <v>1.7</v>
      </c>
      <c r="J31" s="3" t="n">
        <v>1.7</v>
      </c>
      <c r="K31" s="3" t="n">
        <v>1.7</v>
      </c>
      <c r="L31" s="3" t="n">
        <v>1.7</v>
      </c>
    </row>
    <row r="32" customFormat="false" ht="15" hidden="false" customHeight="false" outlineLevel="0" collapsed="false">
      <c r="A32" s="0" t="s">
        <v>111</v>
      </c>
      <c r="C32" s="3" t="n">
        <v>1.8</v>
      </c>
      <c r="D32" s="3" t="n">
        <v>2</v>
      </c>
      <c r="E32" s="3" t="n">
        <v>2.1</v>
      </c>
      <c r="F32" s="3" t="n">
        <v>2.1</v>
      </c>
      <c r="G32" s="3" t="n">
        <v>2</v>
      </c>
      <c r="H32" s="3" t="n">
        <v>2</v>
      </c>
      <c r="I32" s="3" t="n">
        <v>2</v>
      </c>
      <c r="J32" s="3" t="n">
        <v>2</v>
      </c>
      <c r="K32" s="3" t="n">
        <v>1.9</v>
      </c>
      <c r="L32" s="3" t="n">
        <v>1.9</v>
      </c>
    </row>
    <row r="33" customFormat="false" ht="15" hidden="false" customHeight="false" outlineLevel="0" collapsed="false">
      <c r="A33" s="0" t="s">
        <v>112</v>
      </c>
      <c r="C33" s="3" t="n">
        <v>26</v>
      </c>
      <c r="D33" s="3" t="n">
        <v>25</v>
      </c>
      <c r="E33" s="3" t="n">
        <v>25</v>
      </c>
      <c r="F33" s="3" t="n">
        <v>24</v>
      </c>
      <c r="G33" s="3" t="n">
        <v>24</v>
      </c>
      <c r="H33" s="3" t="n">
        <v>24</v>
      </c>
      <c r="I33" s="3" t="n">
        <v>24</v>
      </c>
      <c r="J33" s="3" t="n">
        <v>24</v>
      </c>
      <c r="K33" s="3" t="n">
        <v>24</v>
      </c>
      <c r="L33" s="3" t="n">
        <v>24</v>
      </c>
    </row>
    <row r="34" customFormat="false" ht="15" hidden="false" customHeight="false" outlineLevel="0" collapsed="false">
      <c r="A34" s="0" t="s">
        <v>113</v>
      </c>
      <c r="B34" s="3" t="n">
        <v>9</v>
      </c>
    </row>
    <row r="35" customFormat="false" ht="15" hidden="false" customHeight="false" outlineLevel="0" collapsed="false">
      <c r="A35" s="0" t="s">
        <v>114</v>
      </c>
      <c r="B35" s="3" t="n">
        <v>2.5</v>
      </c>
    </row>
    <row r="36" customFormat="false" ht="15" hidden="false" customHeight="false" outlineLevel="0" collapsed="false">
      <c r="A36" s="0" t="s">
        <v>115</v>
      </c>
      <c r="B36" s="3" t="n">
        <v>18</v>
      </c>
    </row>
    <row r="37" customFormat="false" ht="15" hidden="false" customHeight="false" outlineLevel="0" collapsed="false">
      <c r="A37" s="0" t="s">
        <v>116</v>
      </c>
      <c r="B37" s="3" t="n">
        <v>-15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-6</v>
      </c>
      <c r="D41" s="3" t="n">
        <v>4</v>
      </c>
      <c r="E41" s="3" t="n">
        <v>6</v>
      </c>
      <c r="F41" s="3" t="n">
        <v>6</v>
      </c>
      <c r="G41" s="3" t="n">
        <v>5</v>
      </c>
      <c r="H41" s="3" t="n">
        <v>5</v>
      </c>
      <c r="I41" s="3" t="n">
        <v>4</v>
      </c>
      <c r="J41" s="3" t="n">
        <v>4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107</v>
      </c>
      <c r="C42" s="3" t="n">
        <v>9.2</v>
      </c>
      <c r="D42" s="3" t="n">
        <v>11</v>
      </c>
      <c r="E42" s="3" t="n">
        <v>12.5</v>
      </c>
      <c r="F42" s="3" t="n">
        <v>13.8</v>
      </c>
      <c r="G42" s="3" t="n">
        <v>15</v>
      </c>
      <c r="H42" s="3" t="n">
        <v>15.8</v>
      </c>
      <c r="I42" s="3" t="n">
        <v>16.3</v>
      </c>
      <c r="J42" s="3" t="n">
        <v>16.5</v>
      </c>
      <c r="K42" s="3" t="n">
        <v>16.5</v>
      </c>
      <c r="L42" s="3" t="n">
        <v>16.5</v>
      </c>
    </row>
    <row r="43" customFormat="false" ht="15" hidden="false" customHeight="false" outlineLevel="0" collapsed="false">
      <c r="A43" s="0" t="s">
        <v>108</v>
      </c>
      <c r="C43" s="3" t="n">
        <v>1.55</v>
      </c>
      <c r="D43" s="3" t="n">
        <v>1.55</v>
      </c>
      <c r="E43" s="3" t="n">
        <v>1.5</v>
      </c>
      <c r="F43" s="3" t="n">
        <v>1.5</v>
      </c>
      <c r="G43" s="3" t="n">
        <v>1.45</v>
      </c>
      <c r="H43" s="3" t="n">
        <v>1.45</v>
      </c>
      <c r="I43" s="3" t="n">
        <v>1.4</v>
      </c>
      <c r="J43" s="3" t="n">
        <v>1.4</v>
      </c>
      <c r="K43" s="3" t="n">
        <v>1.4</v>
      </c>
      <c r="L43" s="3" t="n">
        <v>1.4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1.7</v>
      </c>
      <c r="D45" s="3" t="n">
        <v>1.7</v>
      </c>
      <c r="E45" s="3" t="n">
        <v>1.7</v>
      </c>
      <c r="F45" s="3" t="n">
        <v>1.7</v>
      </c>
      <c r="G45" s="3" t="n">
        <v>1.7</v>
      </c>
      <c r="H45" s="3" t="n">
        <v>1.7</v>
      </c>
      <c r="I45" s="3" t="n">
        <v>1.7</v>
      </c>
      <c r="J45" s="3" t="n">
        <v>1.7</v>
      </c>
      <c r="K45" s="3" t="n">
        <v>1.7</v>
      </c>
      <c r="L45" s="3" t="n">
        <v>1.7</v>
      </c>
    </row>
    <row r="46" customFormat="false" ht="15" hidden="false" customHeight="false" outlineLevel="0" collapsed="false">
      <c r="A46" s="0" t="s">
        <v>111</v>
      </c>
      <c r="C46" s="3" t="n">
        <v>1.8</v>
      </c>
      <c r="D46" s="3" t="n">
        <v>2</v>
      </c>
      <c r="E46" s="3" t="n">
        <v>2.2</v>
      </c>
      <c r="F46" s="3" t="n">
        <v>2.2</v>
      </c>
      <c r="G46" s="3" t="n">
        <v>2.1</v>
      </c>
      <c r="H46" s="3" t="n">
        <v>2.1</v>
      </c>
      <c r="I46" s="3" t="n">
        <v>2</v>
      </c>
      <c r="J46" s="3" t="n">
        <v>2</v>
      </c>
      <c r="K46" s="3" t="n">
        <v>2</v>
      </c>
      <c r="L46" s="3" t="n">
        <v>2</v>
      </c>
    </row>
    <row r="47" customFormat="false" ht="15" hidden="false" customHeight="false" outlineLevel="0" collapsed="false">
      <c r="A47" s="0" t="s">
        <v>112</v>
      </c>
      <c r="C47" s="3" t="n">
        <v>26</v>
      </c>
      <c r="D47" s="3" t="n">
        <v>25</v>
      </c>
      <c r="E47" s="3" t="n">
        <v>25</v>
      </c>
      <c r="F47" s="3" t="n">
        <v>24</v>
      </c>
      <c r="G47" s="3" t="n">
        <v>24</v>
      </c>
      <c r="H47" s="3" t="n">
        <v>24</v>
      </c>
      <c r="I47" s="3" t="n">
        <v>24</v>
      </c>
      <c r="J47" s="3" t="n">
        <v>24</v>
      </c>
      <c r="K47" s="3" t="n">
        <v>24</v>
      </c>
      <c r="L47" s="3" t="n">
        <v>24</v>
      </c>
    </row>
    <row r="48" customFormat="false" ht="15" hidden="false" customHeight="false" outlineLevel="0" collapsed="false">
      <c r="A48" s="0" t="s">
        <v>113</v>
      </c>
      <c r="B48" s="3" t="n">
        <v>9</v>
      </c>
    </row>
    <row r="49" customFormat="false" ht="15" hidden="false" customHeight="false" outlineLevel="0" collapsed="false">
      <c r="A49" s="0" t="s">
        <v>114</v>
      </c>
      <c r="B49" s="3" t="n">
        <v>3</v>
      </c>
    </row>
    <row r="50" customFormat="false" ht="15" hidden="false" customHeight="false" outlineLevel="0" collapsed="false">
      <c r="A50" s="0" t="s">
        <v>115</v>
      </c>
      <c r="B50" s="3" t="n">
        <v>18</v>
      </c>
    </row>
    <row r="51" customFormat="false" ht="15" hidden="false" customHeight="false" outlineLevel="0" collapsed="false">
      <c r="A51" s="0" t="s">
        <v>116</v>
      </c>
      <c r="B51" s="3" t="n">
        <v>-15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-10</v>
      </c>
      <c r="D5" s="4" t="n">
        <f aca="false">Assumptions!D13</f>
        <v>-4</v>
      </c>
      <c r="E5" s="4" t="n">
        <f aca="false">Assumptions!E13</f>
        <v>0</v>
      </c>
      <c r="F5" s="4" t="n">
        <f aca="false">Assumptions!F13</f>
        <v>1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46398</v>
      </c>
      <c r="C6" s="0" t="n">
        <f aca="false">B6*(1+C5/100)</f>
        <v>41758.2</v>
      </c>
      <c r="D6" s="0" t="n">
        <f aca="false">C6*(1+D5/100)</f>
        <v>40087.872</v>
      </c>
      <c r="E6" s="0" t="n">
        <f aca="false">D6*(1+E5/100)</f>
        <v>40087.872</v>
      </c>
      <c r="F6" s="0" t="n">
        <f aca="false">E6*(1+F5/100)</f>
        <v>40488.75072</v>
      </c>
      <c r="G6" s="0" t="n">
        <f aca="false">F6*(1+G5/100)</f>
        <v>41298.5257344</v>
      </c>
      <c r="H6" s="0" t="n">
        <f aca="false">G6*(1+H5/100)</f>
        <v>42124.496249088</v>
      </c>
      <c r="I6" s="0" t="n">
        <f aca="false">H6*(1+I5/100)</f>
        <v>42966.9861740698</v>
      </c>
      <c r="J6" s="0" t="n">
        <f aca="false">I6*(1+J5/100)</f>
        <v>43826.3258975512</v>
      </c>
      <c r="K6" s="0" t="n">
        <f aca="false">J6*(1+K5/100)</f>
        <v>44702.8524155022</v>
      </c>
      <c r="L6" s="0" t="n">
        <f aca="false">K6*(1+L5/100)</f>
        <v>45596.9094638122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8</v>
      </c>
      <c r="D7" s="4" t="n">
        <f aca="false">Assumptions!D14</f>
        <v>8</v>
      </c>
      <c r="E7" s="4" t="n">
        <f aca="false">Assumptions!E14</f>
        <v>8.8</v>
      </c>
      <c r="F7" s="4" t="n">
        <f aca="false">Assumptions!F14</f>
        <v>9.5</v>
      </c>
      <c r="G7" s="4" t="n">
        <f aca="false">Assumptions!G14</f>
        <v>10</v>
      </c>
      <c r="H7" s="4" t="n">
        <f aca="false">Assumptions!H14</f>
        <v>10.5</v>
      </c>
      <c r="I7" s="4" t="n">
        <f aca="false">Assumptions!I14</f>
        <v>10.8</v>
      </c>
      <c r="J7" s="4" t="n">
        <f aca="false">Assumptions!J14</f>
        <v>11</v>
      </c>
      <c r="K7" s="4" t="n">
        <f aca="false">Assumptions!K14</f>
        <v>11</v>
      </c>
      <c r="L7" s="4" t="n">
        <f aca="false">Assumptions!L14</f>
        <v>11</v>
      </c>
    </row>
    <row r="8" customFormat="false" ht="15" hidden="false" customHeight="false" outlineLevel="0" collapsed="false">
      <c r="A8" s="0" t="s">
        <v>43</v>
      </c>
      <c r="C8" s="0" t="n">
        <f aca="false">C6*C7/100</f>
        <v>3340.656</v>
      </c>
      <c r="D8" s="0" t="n">
        <f aca="false">D6*D7/100</f>
        <v>3207.02976</v>
      </c>
      <c r="E8" s="0" t="n">
        <f aca="false">E6*E7/100</f>
        <v>3527.732736</v>
      </c>
      <c r="F8" s="0" t="n">
        <f aca="false">F6*F7/100</f>
        <v>3846.4313184</v>
      </c>
      <c r="G8" s="0" t="n">
        <f aca="false">G6*G7/100</f>
        <v>4129.85257344</v>
      </c>
      <c r="H8" s="0" t="n">
        <f aca="false">H6*H7/100</f>
        <v>4423.07210615424</v>
      </c>
      <c r="I8" s="0" t="n">
        <f aca="false">I6*I7/100</f>
        <v>4640.43450679954</v>
      </c>
      <c r="J8" s="0" t="n">
        <f aca="false">J6*J7/100</f>
        <v>4820.89584873063</v>
      </c>
      <c r="K8" s="0" t="n">
        <f aca="false">K6*K7/100</f>
        <v>4917.31376570524</v>
      </c>
      <c r="L8" s="0" t="n">
        <f aca="false">L6*L7/100</f>
        <v>5015.66004101935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1.55</v>
      </c>
      <c r="D9" s="4" t="n">
        <f aca="false">Assumptions!D15</f>
        <v>1.55</v>
      </c>
      <c r="E9" s="4" t="n">
        <f aca="false">Assumptions!E15</f>
        <v>1.5</v>
      </c>
      <c r="F9" s="4" t="n">
        <f aca="false">Assumptions!F15</f>
        <v>1.5</v>
      </c>
      <c r="G9" s="4" t="n">
        <f aca="false">Assumptions!G15</f>
        <v>1.45</v>
      </c>
      <c r="H9" s="4" t="n">
        <f aca="false">Assumptions!H15</f>
        <v>1.45</v>
      </c>
      <c r="I9" s="4" t="n">
        <f aca="false">Assumptions!I15</f>
        <v>1.4</v>
      </c>
      <c r="J9" s="4" t="n">
        <f aca="false">Assumptions!J15</f>
        <v>1.4</v>
      </c>
      <c r="K9" s="4" t="n">
        <f aca="false">Assumptions!K15</f>
        <v>1.4</v>
      </c>
      <c r="L9" s="4" t="n">
        <f aca="false">Assumptions!L15</f>
        <v>1.4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-647.2521</v>
      </c>
      <c r="D10" s="0" t="n">
        <f aca="false">-D6*D9/100</f>
        <v>-621.362016</v>
      </c>
      <c r="E10" s="0" t="n">
        <f aca="false">-E6*E9/100</f>
        <v>-601.31808</v>
      </c>
      <c r="F10" s="0" t="n">
        <f aca="false">-F6*F9/100</f>
        <v>-607.3312608</v>
      </c>
      <c r="G10" s="0" t="n">
        <f aca="false">-G6*G9/100</f>
        <v>-598.8286231488</v>
      </c>
      <c r="H10" s="0" t="n">
        <f aca="false">-H6*H9/100</f>
        <v>-610.805195611776</v>
      </c>
      <c r="I10" s="0" t="n">
        <f aca="false">-I6*I9/100</f>
        <v>-601.537806436977</v>
      </c>
      <c r="J10" s="0" t="n">
        <f aca="false">-J6*J9/100</f>
        <v>-613.568562565716</v>
      </c>
      <c r="K10" s="0" t="n">
        <f aca="false">-K6*K9/100</f>
        <v>-625.839933817031</v>
      </c>
      <c r="L10" s="0" t="n">
        <f aca="false">-L6*L9/100</f>
        <v>-638.356732493371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2693.4039</v>
      </c>
      <c r="D11" s="0" t="n">
        <f aca="false">D8+D10+D24</f>
        <v>2585.667744</v>
      </c>
      <c r="E11" s="0" t="n">
        <f aca="false">E8+E10+E24</f>
        <v>2926.414656</v>
      </c>
      <c r="F11" s="0" t="n">
        <f aca="false">F8+F10+F24</f>
        <v>3239.1000576</v>
      </c>
      <c r="G11" s="0" t="n">
        <f aca="false">G8+G10+G24</f>
        <v>3531.0239502912</v>
      </c>
      <c r="H11" s="0" t="n">
        <f aca="false">H8+H10+H24</f>
        <v>3812.26691054246</v>
      </c>
      <c r="I11" s="0" t="n">
        <f aca="false">I8+I10+I24</f>
        <v>4038.89670036256</v>
      </c>
      <c r="J11" s="0" t="n">
        <f aca="false">J8+J10+J24</f>
        <v>4207.32728616491</v>
      </c>
      <c r="K11" s="0" t="n">
        <f aca="false">K8+K10+K24</f>
        <v>4291.47383188821</v>
      </c>
      <c r="L11" s="0" t="n">
        <f aca="false">L8+L10+L24</f>
        <v>4377.30330852598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-709.8894</v>
      </c>
      <c r="D12" s="4" t="n">
        <f aca="false">-D6*Assumptions!D17/100</f>
        <v>-681.493824</v>
      </c>
      <c r="E12" s="4" t="n">
        <f aca="false">-E6*Assumptions!E17/100</f>
        <v>-681.493824</v>
      </c>
      <c r="F12" s="4" t="n">
        <f aca="false">-F6*Assumptions!F17/100</f>
        <v>-688.30876224</v>
      </c>
      <c r="G12" s="4" t="n">
        <f aca="false">-G6*Assumptions!G17/100</f>
        <v>-702.0749374848</v>
      </c>
      <c r="H12" s="4" t="n">
        <f aca="false">-H6*Assumptions!H17/100</f>
        <v>-716.116436234496</v>
      </c>
      <c r="I12" s="4" t="n">
        <f aca="false">-I6*Assumptions!I17/100</f>
        <v>-730.438764959186</v>
      </c>
      <c r="J12" s="4" t="n">
        <f aca="false">-J6*Assumptions!J17/100</f>
        <v>-745.04754025837</v>
      </c>
      <c r="K12" s="4" t="n">
        <f aca="false">-K6*Assumptions!K17/100</f>
        <v>-759.948491063537</v>
      </c>
      <c r="L12" s="4" t="n">
        <f aca="false">-L6*Assumptions!L17/100</f>
        <v>-775.147460884808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1983.5145</v>
      </c>
      <c r="D13" s="0" t="n">
        <f aca="false">D11+D12</f>
        <v>1904.17392</v>
      </c>
      <c r="E13" s="0" t="n">
        <f aca="false">E11+E12</f>
        <v>2244.920832</v>
      </c>
      <c r="F13" s="0" t="n">
        <f aca="false">F11+F12</f>
        <v>2550.79129536</v>
      </c>
      <c r="G13" s="0" t="n">
        <f aca="false">G11+G12</f>
        <v>2828.9490128064</v>
      </c>
      <c r="H13" s="0" t="n">
        <f aca="false">H11+H12</f>
        <v>3096.15047430797</v>
      </c>
      <c r="I13" s="0" t="n">
        <f aca="false">I11+I12</f>
        <v>3308.45793540337</v>
      </c>
      <c r="J13" s="0" t="n">
        <f aca="false">J11+J12</f>
        <v>3462.27974590654</v>
      </c>
      <c r="K13" s="0" t="n">
        <f aca="false">K11+K12</f>
        <v>3531.52534082467</v>
      </c>
      <c r="L13" s="0" t="n">
        <f aca="false">L11+L12</f>
        <v>3602.15584764117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26</v>
      </c>
      <c r="D14" s="4" t="n">
        <f aca="false">Assumptions!D19</f>
        <v>25</v>
      </c>
      <c r="E14" s="4" t="n">
        <f aca="false">Assumptions!E19</f>
        <v>25</v>
      </c>
      <c r="F14" s="4" t="n">
        <f aca="false">Assumptions!F19</f>
        <v>24</v>
      </c>
      <c r="G14" s="4" t="n">
        <f aca="false">Assumptions!G19</f>
        <v>24</v>
      </c>
      <c r="H14" s="4" t="n">
        <f aca="false">Assumptions!H19</f>
        <v>24</v>
      </c>
      <c r="I14" s="4" t="n">
        <f aca="false">Assumptions!I19</f>
        <v>24</v>
      </c>
      <c r="J14" s="4" t="n">
        <f aca="false">Assumptions!J19</f>
        <v>24</v>
      </c>
      <c r="K14" s="4" t="n">
        <f aca="false">Assumptions!K19</f>
        <v>24</v>
      </c>
      <c r="L14" s="4" t="n">
        <f aca="false">Assumptions!L19</f>
        <v>24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1467.80073</v>
      </c>
      <c r="D15" s="0" t="n">
        <f aca="false">D13-MAX(0,D13)*D14/100</f>
        <v>1428.13044</v>
      </c>
      <c r="E15" s="0" t="n">
        <f aca="false">E13-MAX(0,E13)*E14/100</f>
        <v>1683.690624</v>
      </c>
      <c r="F15" s="0" t="n">
        <f aca="false">F13-MAX(0,F13)*F14/100</f>
        <v>1938.6013844736</v>
      </c>
      <c r="G15" s="0" t="n">
        <f aca="false">G13-MAX(0,G13)*G14/100</f>
        <v>2150.00124973286</v>
      </c>
      <c r="H15" s="0" t="n">
        <f aca="false">H13-MAX(0,H13)*H14/100</f>
        <v>2353.07436047406</v>
      </c>
      <c r="I15" s="0" t="n">
        <f aca="false">I13-MAX(0,I13)*I14/100</f>
        <v>2514.42803090656</v>
      </c>
      <c r="J15" s="0" t="n">
        <f aca="false">J13-MAX(0,J13)*J14/100</f>
        <v>2631.33260688897</v>
      </c>
      <c r="K15" s="0" t="n">
        <f aca="false">K13-MAX(0,K13)*K14/100</f>
        <v>2683.95925902675</v>
      </c>
      <c r="L15" s="0" t="n">
        <f aca="false">L13-MAX(0,L13)*L14/100</f>
        <v>2737.63844420729</v>
      </c>
    </row>
    <row r="16" customFormat="false" ht="15" hidden="false" customHeight="false" outlineLevel="0" collapsed="false">
      <c r="A16" s="0" t="s">
        <v>128</v>
      </c>
      <c r="C16" s="0" t="n">
        <f aca="false">-C12</f>
        <v>709.8894</v>
      </c>
      <c r="D16" s="0" t="n">
        <f aca="false">-D12</f>
        <v>681.493824</v>
      </c>
      <c r="E16" s="0" t="n">
        <f aca="false">-E12</f>
        <v>681.493824</v>
      </c>
      <c r="F16" s="0" t="n">
        <f aca="false">-F12</f>
        <v>688.30876224</v>
      </c>
      <c r="G16" s="0" t="n">
        <f aca="false">-G12</f>
        <v>702.0749374848</v>
      </c>
      <c r="H16" s="0" t="n">
        <f aca="false">-H12</f>
        <v>716.116436234496</v>
      </c>
      <c r="I16" s="0" t="n">
        <f aca="false">-I12</f>
        <v>730.438764959186</v>
      </c>
      <c r="J16" s="0" t="n">
        <f aca="false">-J12</f>
        <v>745.04754025837</v>
      </c>
      <c r="K16" s="0" t="n">
        <f aca="false">-K12</f>
        <v>759.948491063537</v>
      </c>
      <c r="L16" s="0" t="n">
        <f aca="false">-L12</f>
        <v>775.147460884808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-751.6476</v>
      </c>
      <c r="D17" s="4" t="n">
        <f aca="false">-D6*Assumptions!D18/100</f>
        <v>-761.669568</v>
      </c>
      <c r="E17" s="4" t="n">
        <f aca="false">-E6*Assumptions!E18/100</f>
        <v>-761.669568</v>
      </c>
      <c r="F17" s="4" t="n">
        <f aca="false">-F6*Assumptions!F18/100</f>
        <v>-769.28626368</v>
      </c>
      <c r="G17" s="4" t="n">
        <f aca="false">-G6*Assumptions!G18/100</f>
        <v>-784.6719889536</v>
      </c>
      <c r="H17" s="4" t="n">
        <f aca="false">-H6*Assumptions!H18/100</f>
        <v>-800.365428732672</v>
      </c>
      <c r="I17" s="4" t="n">
        <f aca="false">-I6*Assumptions!I18/100</f>
        <v>-816.372737307326</v>
      </c>
      <c r="J17" s="4" t="n">
        <f aca="false">-J6*Assumptions!J18/100</f>
        <v>-832.700192053472</v>
      </c>
      <c r="K17" s="4" t="n">
        <f aca="false">-K6*Assumptions!K18/100</f>
        <v>-849.354195894542</v>
      </c>
      <c r="L17" s="4" t="n">
        <f aca="false">-L6*Assumptions!L18/100</f>
        <v>-866.341279812432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695.97</v>
      </c>
      <c r="D18" s="4" t="n">
        <f aca="false">(D6-C6)*Assumptions!$B$23/100</f>
        <v>250.5492</v>
      </c>
      <c r="E18" s="4" t="n">
        <f aca="false">(E6-D6)*Assumptions!$B$23/100</f>
        <v>-0</v>
      </c>
      <c r="F18" s="4" t="n">
        <f aca="false">(F6-E6)*Assumptions!$B$23/100</f>
        <v>-60.1318080000001</v>
      </c>
      <c r="G18" s="4" t="n">
        <f aca="false">(G6-F6)*Assumptions!$B$23/100</f>
        <v>-121.46625216</v>
      </c>
      <c r="H18" s="4" t="n">
        <f aca="false">(H6-G6)*Assumptions!$B$23/100</f>
        <v>-123.8955772032</v>
      </c>
      <c r="I18" s="4" t="n">
        <f aca="false">(I6-H6)*Assumptions!$B$23/100</f>
        <v>-126.373488747264</v>
      </c>
      <c r="J18" s="4" t="n">
        <f aca="false">(J6-I6)*Assumptions!$B$23/100</f>
        <v>-128.900958522209</v>
      </c>
      <c r="K18" s="4" t="n">
        <f aca="false">(K6-J6)*Assumptions!$B$23/100</f>
        <v>-131.478977692654</v>
      </c>
      <c r="L18" s="4" t="n">
        <f aca="false">(L6-K6)*Assumptions!$B$23/100</f>
        <v>-134.108557246507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2122.01253</v>
      </c>
      <c r="D19" s="0" t="n">
        <f aca="false">D15+D16+D17+D18</f>
        <v>1598.503896</v>
      </c>
      <c r="E19" s="0" t="n">
        <f aca="false">E15+E16+E17+E18</f>
        <v>1603.51488</v>
      </c>
      <c r="F19" s="0" t="n">
        <f aca="false">F15+F16+F17+F18</f>
        <v>1797.4920750336</v>
      </c>
      <c r="G19" s="0" t="n">
        <f aca="false">G15+G16+G17+G18</f>
        <v>1945.93794610406</v>
      </c>
      <c r="H19" s="0" t="n">
        <f aca="false">H15+H16+H17+H18</f>
        <v>2144.92979077268</v>
      </c>
      <c r="I19" s="0" t="n">
        <f aca="false">I15+I16+I17+I18</f>
        <v>2302.12056981116</v>
      </c>
      <c r="J19" s="0" t="n">
        <f aca="false">J15+J16+J17+J18</f>
        <v>2414.77899657166</v>
      </c>
      <c r="K19" s="0" t="n">
        <f aca="false">K15+K16+K17+K18</f>
        <v>2463.07457650309</v>
      </c>
      <c r="L19" s="0" t="n">
        <f aca="false">L15+L16+L17+L18</f>
        <v>2512.33606803316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1946.80048623853</v>
      </c>
      <c r="D21" s="0" t="n">
        <f aca="false">D19*D20</f>
        <v>1345.42874842185</v>
      </c>
      <c r="E21" s="0" t="n">
        <f aca="false">E19*E20</f>
        <v>1238.2077003681</v>
      </c>
      <c r="F21" s="0" t="n">
        <f aca="false">F19*F20</f>
        <v>1273.3887026437</v>
      </c>
      <c r="G21" s="0" t="n">
        <f aca="false">G19*G20</f>
        <v>1264.72614696197</v>
      </c>
      <c r="H21" s="0" t="n">
        <f aca="false">H19*H20</f>
        <v>1278.95155268762</v>
      </c>
      <c r="I21" s="0" t="n">
        <f aca="false">I19*I20</f>
        <v>1259.33878744491</v>
      </c>
      <c r="J21" s="0" t="n">
        <f aca="false">J19*J20</f>
        <v>1211.89615124136</v>
      </c>
      <c r="K21" s="0" t="n">
        <f aca="false">K19*K20</f>
        <v>1134.06795804237</v>
      </c>
      <c r="L21" s="0" t="n">
        <f aca="false">L19*L20</f>
        <v>1061.23790569103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18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13014.0441397414</v>
      </c>
    </row>
    <row r="31" customFormat="false" ht="15" hidden="false" customHeight="false" outlineLevel="0" collapsed="false">
      <c r="A31" s="0" t="s">
        <v>137</v>
      </c>
      <c r="B31" s="0" t="n">
        <f aca="false">L19</f>
        <v>2512.33606803316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36608.3255627688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45222.0492245968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36608.3255627688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15463.7523400693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28477.7964798107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30075.7964798107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20.3077626467324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-0.422254263250856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3959.5686312122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3929.16797298595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25.6343910087838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19712.1753030294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11.1258204270883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-8</v>
      </c>
      <c r="D5" s="4" t="n">
        <f aca="false">Assumptions!D27</f>
        <v>1</v>
      </c>
      <c r="E5" s="4" t="n">
        <f aca="false">Assumptions!E27</f>
        <v>3.5</v>
      </c>
      <c r="F5" s="4" t="n">
        <f aca="false">Assumptions!F27</f>
        <v>4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46398</v>
      </c>
      <c r="C6" s="0" t="n">
        <f aca="false">B6*(1+C5/100)</f>
        <v>42686.16</v>
      </c>
      <c r="D6" s="0" t="n">
        <f aca="false">C6*(1+D5/100)</f>
        <v>43113.0216</v>
      </c>
      <c r="E6" s="0" t="n">
        <f aca="false">D6*(1+E5/100)</f>
        <v>44621.977356</v>
      </c>
      <c r="F6" s="0" t="n">
        <f aca="false">E6*(1+F5/100)</f>
        <v>46406.85645024</v>
      </c>
      <c r="G6" s="0" t="n">
        <f aca="false">F6*(1+G5/100)</f>
        <v>48263.1307082496</v>
      </c>
      <c r="H6" s="0" t="n">
        <f aca="false">G6*(1+H5/100)</f>
        <v>49952.3402830383</v>
      </c>
      <c r="I6" s="0" t="n">
        <f aca="false">H6*(1+I5/100)</f>
        <v>51450.9104915295</v>
      </c>
      <c r="J6" s="0" t="n">
        <f aca="false">I6*(1+J5/100)</f>
        <v>52994.4378062754</v>
      </c>
      <c r="K6" s="0" t="n">
        <f aca="false">J6*(1+K5/100)</f>
        <v>54319.2987514323</v>
      </c>
      <c r="L6" s="0" t="n">
        <f aca="false">K6*(1+L5/100)</f>
        <v>55677.2812202181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8.6</v>
      </c>
      <c r="D7" s="4" t="n">
        <f aca="false">Assumptions!D28</f>
        <v>9.8</v>
      </c>
      <c r="E7" s="4" t="n">
        <f aca="false">Assumptions!E28</f>
        <v>11</v>
      </c>
      <c r="F7" s="4" t="n">
        <f aca="false">Assumptions!F28</f>
        <v>12</v>
      </c>
      <c r="G7" s="4" t="n">
        <f aca="false">Assumptions!G28</f>
        <v>13</v>
      </c>
      <c r="H7" s="4" t="n">
        <f aca="false">Assumptions!H28</f>
        <v>13.8</v>
      </c>
      <c r="I7" s="4" t="n">
        <f aca="false">Assumptions!I28</f>
        <v>14.3</v>
      </c>
      <c r="J7" s="4" t="n">
        <f aca="false">Assumptions!J28</f>
        <v>14.5</v>
      </c>
      <c r="K7" s="4" t="n">
        <f aca="false">Assumptions!K28</f>
        <v>14.5</v>
      </c>
      <c r="L7" s="4" t="n">
        <f aca="false">Assumptions!L28</f>
        <v>14.5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3671.00976</v>
      </c>
      <c r="D8" s="0" t="n">
        <f aca="false">D6*D7/100</f>
        <v>4225.0761168</v>
      </c>
      <c r="E8" s="0" t="n">
        <f aca="false">E6*E7/100</f>
        <v>4908.41750916</v>
      </c>
      <c r="F8" s="0" t="n">
        <f aca="false">F6*F7/100</f>
        <v>5568.8227740288</v>
      </c>
      <c r="G8" s="0" t="n">
        <f aca="false">G6*G7/100</f>
        <v>6274.20699207245</v>
      </c>
      <c r="H8" s="0" t="n">
        <f aca="false">H6*H7/100</f>
        <v>6893.42295905929</v>
      </c>
      <c r="I8" s="0" t="n">
        <f aca="false">I6*I7/100</f>
        <v>7357.48020028872</v>
      </c>
      <c r="J8" s="0" t="n">
        <f aca="false">J6*J7/100</f>
        <v>7684.19348190993</v>
      </c>
      <c r="K8" s="0" t="n">
        <f aca="false">K6*K7/100</f>
        <v>7876.29831895768</v>
      </c>
      <c r="L8" s="0" t="n">
        <f aca="false">L6*L7/100</f>
        <v>8073.20577693162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1.55</v>
      </c>
      <c r="D9" s="4" t="n">
        <f aca="false">Assumptions!D29</f>
        <v>1.55</v>
      </c>
      <c r="E9" s="4" t="n">
        <f aca="false">Assumptions!E29</f>
        <v>1.5</v>
      </c>
      <c r="F9" s="4" t="n">
        <f aca="false">Assumptions!F29</f>
        <v>1.5</v>
      </c>
      <c r="G9" s="4" t="n">
        <f aca="false">Assumptions!G29</f>
        <v>1.45</v>
      </c>
      <c r="H9" s="4" t="n">
        <f aca="false">Assumptions!H29</f>
        <v>1.45</v>
      </c>
      <c r="I9" s="4" t="n">
        <f aca="false">Assumptions!I29</f>
        <v>1.4</v>
      </c>
      <c r="J9" s="4" t="n">
        <f aca="false">Assumptions!J29</f>
        <v>1.4</v>
      </c>
      <c r="K9" s="4" t="n">
        <f aca="false">Assumptions!K29</f>
        <v>1.4</v>
      </c>
      <c r="L9" s="4" t="n">
        <f aca="false">Assumptions!L29</f>
        <v>1.4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-661.63548</v>
      </c>
      <c r="D10" s="0" t="n">
        <f aca="false">-D6*D9/100</f>
        <v>-668.2518348</v>
      </c>
      <c r="E10" s="0" t="n">
        <f aca="false">-E6*E9/100</f>
        <v>-669.32966034</v>
      </c>
      <c r="F10" s="0" t="n">
        <f aca="false">-F6*F9/100</f>
        <v>-696.1028467536</v>
      </c>
      <c r="G10" s="0" t="n">
        <f aca="false">-G6*G9/100</f>
        <v>-699.815395269619</v>
      </c>
      <c r="H10" s="0" t="n">
        <f aca="false">-H6*H9/100</f>
        <v>-724.308934104056</v>
      </c>
      <c r="I10" s="0" t="n">
        <f aca="false">-I6*I9/100</f>
        <v>-720.312746881413</v>
      </c>
      <c r="J10" s="0" t="n">
        <f aca="false">-J6*J9/100</f>
        <v>-741.922129287855</v>
      </c>
      <c r="K10" s="0" t="n">
        <f aca="false">-K6*K9/100</f>
        <v>-760.470182520052</v>
      </c>
      <c r="L10" s="0" t="n">
        <f aca="false">-L6*L9/100</f>
        <v>-779.481937083053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3009.37428</v>
      </c>
      <c r="D11" s="0" t="n">
        <f aca="false">D8+D10+D24</f>
        <v>3556.824282</v>
      </c>
      <c r="E11" s="0" t="n">
        <f aca="false">E8+E10+E24</f>
        <v>4239.08784882</v>
      </c>
      <c r="F11" s="0" t="n">
        <f aca="false">F8+F10+F24</f>
        <v>4872.7199272752</v>
      </c>
      <c r="G11" s="0" t="n">
        <f aca="false">G8+G10+G24</f>
        <v>5574.39159680283</v>
      </c>
      <c r="H11" s="0" t="n">
        <f aca="false">H8+H10+H24</f>
        <v>6169.11402495523</v>
      </c>
      <c r="I11" s="0" t="n">
        <f aca="false">I8+I10+I24</f>
        <v>6637.1674534073</v>
      </c>
      <c r="J11" s="0" t="n">
        <f aca="false">J8+J10+J24</f>
        <v>6942.27135262207</v>
      </c>
      <c r="K11" s="0" t="n">
        <f aca="false">K8+K10+K24</f>
        <v>7115.82813643763</v>
      </c>
      <c r="L11" s="0" t="n">
        <f aca="false">L8+L10+L24</f>
        <v>7293.72383984857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-725.66472</v>
      </c>
      <c r="D12" s="4" t="n">
        <f aca="false">-D6*Assumptions!D31/100</f>
        <v>-732.9213672</v>
      </c>
      <c r="E12" s="4" t="n">
        <f aca="false">-E6*Assumptions!E31/100</f>
        <v>-758.573615052</v>
      </c>
      <c r="F12" s="4" t="n">
        <f aca="false">-F6*Assumptions!F31/100</f>
        <v>-788.91655965408</v>
      </c>
      <c r="G12" s="4" t="n">
        <f aca="false">-G6*Assumptions!G31/100</f>
        <v>-820.473222040243</v>
      </c>
      <c r="H12" s="4" t="n">
        <f aca="false">-H6*Assumptions!H31/100</f>
        <v>-849.189784811652</v>
      </c>
      <c r="I12" s="4" t="n">
        <f aca="false">-I6*Assumptions!I31/100</f>
        <v>-874.665478356001</v>
      </c>
      <c r="J12" s="4" t="n">
        <f aca="false">-J6*Assumptions!J31/100</f>
        <v>-900.905442706681</v>
      </c>
      <c r="K12" s="4" t="n">
        <f aca="false">-K6*Assumptions!K31/100</f>
        <v>-923.428078774348</v>
      </c>
      <c r="L12" s="4" t="n">
        <f aca="false">-L6*Assumptions!L31/100</f>
        <v>-946.513780743707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2283.70956</v>
      </c>
      <c r="D13" s="0" t="n">
        <f aca="false">D11+D12</f>
        <v>2823.9029148</v>
      </c>
      <c r="E13" s="0" t="n">
        <f aca="false">E11+E12</f>
        <v>3480.514233768</v>
      </c>
      <c r="F13" s="0" t="n">
        <f aca="false">F11+F12</f>
        <v>4083.80336762112</v>
      </c>
      <c r="G13" s="0" t="n">
        <f aca="false">G11+G12</f>
        <v>4753.91837476259</v>
      </c>
      <c r="H13" s="0" t="n">
        <f aca="false">H11+H12</f>
        <v>5319.92424014358</v>
      </c>
      <c r="I13" s="0" t="n">
        <f aca="false">I11+I12</f>
        <v>5762.5019750513</v>
      </c>
      <c r="J13" s="0" t="n">
        <f aca="false">J11+J12</f>
        <v>6041.36590991539</v>
      </c>
      <c r="K13" s="0" t="n">
        <f aca="false">K11+K12</f>
        <v>6192.40005766328</v>
      </c>
      <c r="L13" s="0" t="n">
        <f aca="false">L11+L12</f>
        <v>6347.21005910486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26</v>
      </c>
      <c r="D14" s="4" t="n">
        <f aca="false">Assumptions!D33</f>
        <v>25</v>
      </c>
      <c r="E14" s="4" t="n">
        <f aca="false">Assumptions!E33</f>
        <v>25</v>
      </c>
      <c r="F14" s="4" t="n">
        <f aca="false">Assumptions!F33</f>
        <v>24</v>
      </c>
      <c r="G14" s="4" t="n">
        <f aca="false">Assumptions!G33</f>
        <v>24</v>
      </c>
      <c r="H14" s="4" t="n">
        <f aca="false">Assumptions!H33</f>
        <v>24</v>
      </c>
      <c r="I14" s="4" t="n">
        <f aca="false">Assumptions!I33</f>
        <v>24</v>
      </c>
      <c r="J14" s="4" t="n">
        <f aca="false">Assumptions!J33</f>
        <v>24</v>
      </c>
      <c r="K14" s="4" t="n">
        <f aca="false">Assumptions!K33</f>
        <v>24</v>
      </c>
      <c r="L14" s="4" t="n">
        <f aca="false">Assumptions!L33</f>
        <v>24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1689.9450744</v>
      </c>
      <c r="D15" s="0" t="n">
        <f aca="false">D13-MAX(0,D13)*D14/100</f>
        <v>2117.9271861</v>
      </c>
      <c r="E15" s="0" t="n">
        <f aca="false">E13-MAX(0,E13)*E14/100</f>
        <v>2610.385675326</v>
      </c>
      <c r="F15" s="0" t="n">
        <f aca="false">F13-MAX(0,F13)*F14/100</f>
        <v>3103.69055939205</v>
      </c>
      <c r="G15" s="0" t="n">
        <f aca="false">G13-MAX(0,G13)*G14/100</f>
        <v>3612.97796481957</v>
      </c>
      <c r="H15" s="0" t="n">
        <f aca="false">H13-MAX(0,H13)*H14/100</f>
        <v>4043.14242250912</v>
      </c>
      <c r="I15" s="0" t="n">
        <f aca="false">I13-MAX(0,I13)*I14/100</f>
        <v>4379.50150103899</v>
      </c>
      <c r="J15" s="0" t="n">
        <f aca="false">J13-MAX(0,J13)*J14/100</f>
        <v>4591.4380915357</v>
      </c>
      <c r="K15" s="0" t="n">
        <f aca="false">K13-MAX(0,K13)*K14/100</f>
        <v>4706.22404382409</v>
      </c>
      <c r="L15" s="0" t="n">
        <f aca="false">L13-MAX(0,L13)*L14/100</f>
        <v>4823.87964491969</v>
      </c>
    </row>
    <row r="16" customFormat="false" ht="15" hidden="false" customHeight="false" outlineLevel="0" collapsed="false">
      <c r="A16" s="0" t="s">
        <v>128</v>
      </c>
      <c r="C16" s="0" t="n">
        <f aca="false">-C12</f>
        <v>725.66472</v>
      </c>
      <c r="D16" s="0" t="n">
        <f aca="false">-D12</f>
        <v>732.9213672</v>
      </c>
      <c r="E16" s="0" t="n">
        <f aca="false">-E12</f>
        <v>758.573615052</v>
      </c>
      <c r="F16" s="0" t="n">
        <f aca="false">-F12</f>
        <v>788.91655965408</v>
      </c>
      <c r="G16" s="0" t="n">
        <f aca="false">-G12</f>
        <v>820.473222040243</v>
      </c>
      <c r="H16" s="0" t="n">
        <f aca="false">-H12</f>
        <v>849.189784811652</v>
      </c>
      <c r="I16" s="0" t="n">
        <f aca="false">-I12</f>
        <v>874.665478356001</v>
      </c>
      <c r="J16" s="0" t="n">
        <f aca="false">-J12</f>
        <v>900.905442706681</v>
      </c>
      <c r="K16" s="0" t="n">
        <f aca="false">-K12</f>
        <v>923.428078774348</v>
      </c>
      <c r="L16" s="0" t="n">
        <f aca="false">-L12</f>
        <v>946.513780743707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-768.35088</v>
      </c>
      <c r="D17" s="4" t="n">
        <f aca="false">-D6*Assumptions!D32/100</f>
        <v>-862.260432</v>
      </c>
      <c r="E17" s="4" t="n">
        <f aca="false">-E6*Assumptions!E32/100</f>
        <v>-937.061524476</v>
      </c>
      <c r="F17" s="4" t="n">
        <f aca="false">-F6*Assumptions!F32/100</f>
        <v>-974.54398545504</v>
      </c>
      <c r="G17" s="4" t="n">
        <f aca="false">-G6*Assumptions!G32/100</f>
        <v>-965.262614164992</v>
      </c>
      <c r="H17" s="4" t="n">
        <f aca="false">-H6*Assumptions!H32/100</f>
        <v>-999.046805660767</v>
      </c>
      <c r="I17" s="4" t="n">
        <f aca="false">-I6*Assumptions!I32/100</f>
        <v>-1029.01820983059</v>
      </c>
      <c r="J17" s="4" t="n">
        <f aca="false">-J6*Assumptions!J32/100</f>
        <v>-1059.88875612551</v>
      </c>
      <c r="K17" s="4" t="n">
        <f aca="false">-K6*Assumptions!K32/100</f>
        <v>-1032.06667627721</v>
      </c>
      <c r="L17" s="4" t="n">
        <f aca="false">-L6*Assumptions!L32/100</f>
        <v>-1057.86834318414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556.776</v>
      </c>
      <c r="D18" s="4" t="n">
        <f aca="false">(D6-C6)*Assumptions!$B$37/100</f>
        <v>-64.0292400000006</v>
      </c>
      <c r="E18" s="4" t="n">
        <f aca="false">(E6-D6)*Assumptions!$B$37/100</f>
        <v>-226.343363399999</v>
      </c>
      <c r="F18" s="4" t="n">
        <f aca="false">(F6-E6)*Assumptions!$B$37/100</f>
        <v>-267.731864136</v>
      </c>
      <c r="G18" s="4" t="n">
        <f aca="false">(G6-F6)*Assumptions!$B$37/100</f>
        <v>-278.44113870144</v>
      </c>
      <c r="H18" s="4" t="n">
        <f aca="false">(H6-G6)*Assumptions!$B$37/100</f>
        <v>-253.381436218309</v>
      </c>
      <c r="I18" s="4" t="n">
        <f aca="false">(I6-H6)*Assumptions!$B$37/100</f>
        <v>-224.785531273673</v>
      </c>
      <c r="J18" s="4" t="n">
        <f aca="false">(J6-I6)*Assumptions!$B$37/100</f>
        <v>-231.529097211883</v>
      </c>
      <c r="K18" s="4" t="n">
        <f aca="false">(K6-J6)*Assumptions!$B$37/100</f>
        <v>-198.729141773532</v>
      </c>
      <c r="L18" s="4" t="n">
        <f aca="false">(L6-K6)*Assumptions!$B$37/100</f>
        <v>-203.69737031787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2204.0349144</v>
      </c>
      <c r="D19" s="0" t="n">
        <f aca="false">D15+D16+D17+D18</f>
        <v>1924.5588813</v>
      </c>
      <c r="E19" s="0" t="n">
        <f aca="false">E15+E16+E17+E18</f>
        <v>2205.554402502</v>
      </c>
      <c r="F19" s="0" t="n">
        <f aca="false">F15+F16+F17+F18</f>
        <v>2650.33126945509</v>
      </c>
      <c r="G19" s="0" t="n">
        <f aca="false">G15+G16+G17+G18</f>
        <v>3189.74743399338</v>
      </c>
      <c r="H19" s="0" t="n">
        <f aca="false">H15+H16+H17+H18</f>
        <v>3639.9039654417</v>
      </c>
      <c r="I19" s="0" t="n">
        <f aca="false">I15+I16+I17+I18</f>
        <v>4000.36323829073</v>
      </c>
      <c r="J19" s="0" t="n">
        <f aca="false">J15+J16+J17+J18</f>
        <v>4200.92568090499</v>
      </c>
      <c r="K19" s="0" t="n">
        <f aca="false">K15+K16+K17+K18</f>
        <v>4398.8563045477</v>
      </c>
      <c r="L19" s="0" t="n">
        <f aca="false">L15+L16+L17+L18</f>
        <v>4508.82771216139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2022.05038018349</v>
      </c>
      <c r="D21" s="0" t="n">
        <f aca="false">D19*D20</f>
        <v>1619.86270625368</v>
      </c>
      <c r="E21" s="0" t="n">
        <f aca="false">E19*E20</f>
        <v>1703.092673988</v>
      </c>
      <c r="F21" s="0" t="n">
        <f aca="false">F19*F20</f>
        <v>1877.56148895641</v>
      </c>
      <c r="G21" s="0" t="n">
        <f aca="false">G19*G20</f>
        <v>2073.11697171691</v>
      </c>
      <c r="H21" s="0" t="n">
        <f aca="false">H19*H20</f>
        <v>2170.35580757098</v>
      </c>
      <c r="I21" s="0" t="n">
        <f aca="false">I19*I20</f>
        <v>2188.33568315734</v>
      </c>
      <c r="J21" s="0" t="n">
        <f aca="false">J19*J20</f>
        <v>2108.30294265758</v>
      </c>
      <c r="K21" s="0" t="n">
        <f aca="false">K19*K20</f>
        <v>2025.35564071418</v>
      </c>
      <c r="L21" s="0" t="n">
        <f aca="false">L19*L20</f>
        <v>1904.57755204773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19692.6118472463</v>
      </c>
    </row>
    <row r="31" customFormat="false" ht="15" hidden="false" customHeight="false" outlineLevel="0" collapsed="false">
      <c r="A31" s="0" t="s">
        <v>137</v>
      </c>
      <c r="B31" s="0" t="n">
        <f aca="false">L19</f>
        <v>4508.82771216139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71100.7446917757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81158.898818905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71100.7446917757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30033.7229361373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49726.3347833836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51324.3347833836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34.6551889151814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-0.014077129013332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4511.93971177898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5192.20205929175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41.2076141488551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36972.3872397234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17.201852656838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-6</v>
      </c>
      <c r="D5" s="4" t="n">
        <f aca="false">Assumptions!D41</f>
        <v>4</v>
      </c>
      <c r="E5" s="4" t="n">
        <f aca="false">Assumptions!E41</f>
        <v>6</v>
      </c>
      <c r="F5" s="4" t="n">
        <f aca="false">Assumptions!F41</f>
        <v>6</v>
      </c>
      <c r="G5" s="4" t="n">
        <f aca="false">Assumptions!G41</f>
        <v>5</v>
      </c>
      <c r="H5" s="4" t="n">
        <f aca="false">Assumptions!H41</f>
        <v>5</v>
      </c>
      <c r="I5" s="4" t="n">
        <f aca="false">Assumptions!I41</f>
        <v>4</v>
      </c>
      <c r="J5" s="4" t="n">
        <f aca="false">Assumptions!J41</f>
        <v>4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46398</v>
      </c>
      <c r="C6" s="0" t="n">
        <f aca="false">B6*(1+C5/100)</f>
        <v>43614.12</v>
      </c>
      <c r="D6" s="0" t="n">
        <f aca="false">C6*(1+D5/100)</f>
        <v>45358.6848</v>
      </c>
      <c r="E6" s="0" t="n">
        <f aca="false">D6*(1+E5/100)</f>
        <v>48080.205888</v>
      </c>
      <c r="F6" s="0" t="n">
        <f aca="false">E6*(1+F5/100)</f>
        <v>50965.01824128</v>
      </c>
      <c r="G6" s="0" t="n">
        <f aca="false">F6*(1+G5/100)</f>
        <v>53513.269153344</v>
      </c>
      <c r="H6" s="0" t="n">
        <f aca="false">G6*(1+H5/100)</f>
        <v>56188.9326110112</v>
      </c>
      <c r="I6" s="0" t="n">
        <f aca="false">H6*(1+I5/100)</f>
        <v>58436.4899154517</v>
      </c>
      <c r="J6" s="0" t="n">
        <f aca="false">I6*(1+J5/100)</f>
        <v>60773.9495120697</v>
      </c>
      <c r="K6" s="0" t="n">
        <f aca="false">J6*(1+K5/100)</f>
        <v>62597.1679974318</v>
      </c>
      <c r="L6" s="0" t="n">
        <f aca="false">K6*(1+L5/100)</f>
        <v>64475.0830373548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9.2</v>
      </c>
      <c r="D7" s="4" t="n">
        <f aca="false">Assumptions!D42</f>
        <v>11</v>
      </c>
      <c r="E7" s="4" t="n">
        <f aca="false">Assumptions!E42</f>
        <v>12.5</v>
      </c>
      <c r="F7" s="4" t="n">
        <f aca="false">Assumptions!F42</f>
        <v>13.8</v>
      </c>
      <c r="G7" s="4" t="n">
        <f aca="false">Assumptions!G42</f>
        <v>15</v>
      </c>
      <c r="H7" s="4" t="n">
        <f aca="false">Assumptions!H42</f>
        <v>15.8</v>
      </c>
      <c r="I7" s="4" t="n">
        <f aca="false">Assumptions!I42</f>
        <v>16.3</v>
      </c>
      <c r="J7" s="4" t="n">
        <f aca="false">Assumptions!J42</f>
        <v>16.5</v>
      </c>
      <c r="K7" s="4" t="n">
        <f aca="false">Assumptions!K42</f>
        <v>16.5</v>
      </c>
      <c r="L7" s="4" t="n">
        <f aca="false">Assumptions!L42</f>
        <v>16.5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4012.49904</v>
      </c>
      <c r="D8" s="0" t="n">
        <f aca="false">D6*D7/100</f>
        <v>4989.455328</v>
      </c>
      <c r="E8" s="0" t="n">
        <f aca="false">E6*E7/100</f>
        <v>6010.025736</v>
      </c>
      <c r="F8" s="0" t="n">
        <f aca="false">F6*F7/100</f>
        <v>7033.17251729664</v>
      </c>
      <c r="G8" s="0" t="n">
        <f aca="false">G6*G7/100</f>
        <v>8026.9903730016</v>
      </c>
      <c r="H8" s="0" t="n">
        <f aca="false">H6*H7/100</f>
        <v>8877.85135253977</v>
      </c>
      <c r="I8" s="0" t="n">
        <f aca="false">I6*I7/100</f>
        <v>9525.14785621862</v>
      </c>
      <c r="J8" s="0" t="n">
        <f aca="false">J6*J7/100</f>
        <v>10027.7016694915</v>
      </c>
      <c r="K8" s="0" t="n">
        <f aca="false">K6*K7/100</f>
        <v>10328.5327195763</v>
      </c>
      <c r="L8" s="0" t="n">
        <f aca="false">L6*L7/100</f>
        <v>10638.3887011635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1.55</v>
      </c>
      <c r="D9" s="4" t="n">
        <f aca="false">Assumptions!D43</f>
        <v>1.55</v>
      </c>
      <c r="E9" s="4" t="n">
        <f aca="false">Assumptions!E43</f>
        <v>1.5</v>
      </c>
      <c r="F9" s="4" t="n">
        <f aca="false">Assumptions!F43</f>
        <v>1.5</v>
      </c>
      <c r="G9" s="4" t="n">
        <f aca="false">Assumptions!G43</f>
        <v>1.45</v>
      </c>
      <c r="H9" s="4" t="n">
        <f aca="false">Assumptions!H43</f>
        <v>1.45</v>
      </c>
      <c r="I9" s="4" t="n">
        <f aca="false">Assumptions!I43</f>
        <v>1.4</v>
      </c>
      <c r="J9" s="4" t="n">
        <f aca="false">Assumptions!J43</f>
        <v>1.4</v>
      </c>
      <c r="K9" s="4" t="n">
        <f aca="false">Assumptions!K43</f>
        <v>1.4</v>
      </c>
      <c r="L9" s="4" t="n">
        <f aca="false">Assumptions!L43</f>
        <v>1.4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-676.01886</v>
      </c>
      <c r="D10" s="0" t="n">
        <f aca="false">-D6*D9/100</f>
        <v>-703.0596144</v>
      </c>
      <c r="E10" s="0" t="n">
        <f aca="false">-E6*E9/100</f>
        <v>-721.20308832</v>
      </c>
      <c r="F10" s="0" t="n">
        <f aca="false">-F6*F9/100</f>
        <v>-764.4752736192</v>
      </c>
      <c r="G10" s="0" t="n">
        <f aca="false">-G6*G9/100</f>
        <v>-775.942402723488</v>
      </c>
      <c r="H10" s="0" t="n">
        <f aca="false">-H6*H9/100</f>
        <v>-814.739522859662</v>
      </c>
      <c r="I10" s="0" t="n">
        <f aca="false">-I6*I9/100</f>
        <v>-818.110858816323</v>
      </c>
      <c r="J10" s="0" t="n">
        <f aca="false">-J6*J9/100</f>
        <v>-850.835293168976</v>
      </c>
      <c r="K10" s="0" t="n">
        <f aca="false">-K6*K9/100</f>
        <v>-876.360351964045</v>
      </c>
      <c r="L10" s="0" t="n">
        <f aca="false">-L6*L9/100</f>
        <v>-902.651162522967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3336.48018</v>
      </c>
      <c r="D11" s="0" t="n">
        <f aca="false">D8+D10+D24</f>
        <v>4286.3957136</v>
      </c>
      <c r="E11" s="0" t="n">
        <f aca="false">E8+E10+E24</f>
        <v>5288.82264768</v>
      </c>
      <c r="F11" s="0" t="n">
        <f aca="false">F8+F10+F24</f>
        <v>6268.69724367744</v>
      </c>
      <c r="G11" s="0" t="n">
        <f aca="false">G8+G10+G24</f>
        <v>7251.04797027811</v>
      </c>
      <c r="H11" s="0" t="n">
        <f aca="false">H8+H10+H24</f>
        <v>8063.11182968011</v>
      </c>
      <c r="I11" s="0" t="n">
        <f aca="false">I8+I10+I24</f>
        <v>8707.0369974023</v>
      </c>
      <c r="J11" s="0" t="n">
        <f aca="false">J8+J10+J24</f>
        <v>9176.86637632253</v>
      </c>
      <c r="K11" s="0" t="n">
        <f aca="false">K8+K10+K24</f>
        <v>9452.1723676122</v>
      </c>
      <c r="L11" s="0" t="n">
        <f aca="false">L8+L10+L24</f>
        <v>9735.73753864057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-741.44004</v>
      </c>
      <c r="D12" s="4" t="n">
        <f aca="false">-D6*Assumptions!D45/100</f>
        <v>-771.0976416</v>
      </c>
      <c r="E12" s="4" t="n">
        <f aca="false">-E6*Assumptions!E45/100</f>
        <v>-817.363500096</v>
      </c>
      <c r="F12" s="4" t="n">
        <f aca="false">-F6*Assumptions!F45/100</f>
        <v>-866.40531010176</v>
      </c>
      <c r="G12" s="4" t="n">
        <f aca="false">-G6*Assumptions!G45/100</f>
        <v>-909.725575606848</v>
      </c>
      <c r="H12" s="4" t="n">
        <f aca="false">-H6*Assumptions!H45/100</f>
        <v>-955.21185438719</v>
      </c>
      <c r="I12" s="4" t="n">
        <f aca="false">-I6*Assumptions!I45/100</f>
        <v>-993.420328562678</v>
      </c>
      <c r="J12" s="4" t="n">
        <f aca="false">-J6*Assumptions!J45/100</f>
        <v>-1033.15714170519</v>
      </c>
      <c r="K12" s="4" t="n">
        <f aca="false">-K6*Assumptions!K45/100</f>
        <v>-1064.15185595634</v>
      </c>
      <c r="L12" s="4" t="n">
        <f aca="false">-L6*Assumptions!L45/100</f>
        <v>-1096.07641163503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2595.04014</v>
      </c>
      <c r="D13" s="0" t="n">
        <f aca="false">D11+D12</f>
        <v>3515.298072</v>
      </c>
      <c r="E13" s="0" t="n">
        <f aca="false">E11+E12</f>
        <v>4471.459147584</v>
      </c>
      <c r="F13" s="0" t="n">
        <f aca="false">F11+F12</f>
        <v>5402.29193357568</v>
      </c>
      <c r="G13" s="0" t="n">
        <f aca="false">G11+G12</f>
        <v>6341.32239467126</v>
      </c>
      <c r="H13" s="0" t="n">
        <f aca="false">H11+H12</f>
        <v>7107.89997529292</v>
      </c>
      <c r="I13" s="0" t="n">
        <f aca="false">I11+I12</f>
        <v>7713.61666883962</v>
      </c>
      <c r="J13" s="0" t="n">
        <f aca="false">J11+J12</f>
        <v>8143.70923461735</v>
      </c>
      <c r="K13" s="0" t="n">
        <f aca="false">K11+K12</f>
        <v>8388.02051165586</v>
      </c>
      <c r="L13" s="0" t="n">
        <f aca="false">L11+L12</f>
        <v>8639.66112700554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26</v>
      </c>
      <c r="D14" s="4" t="n">
        <f aca="false">Assumptions!D47</f>
        <v>25</v>
      </c>
      <c r="E14" s="4" t="n">
        <f aca="false">Assumptions!E47</f>
        <v>25</v>
      </c>
      <c r="F14" s="4" t="n">
        <f aca="false">Assumptions!F47</f>
        <v>24</v>
      </c>
      <c r="G14" s="4" t="n">
        <f aca="false">Assumptions!G47</f>
        <v>24</v>
      </c>
      <c r="H14" s="4" t="n">
        <f aca="false">Assumptions!H47</f>
        <v>24</v>
      </c>
      <c r="I14" s="4" t="n">
        <f aca="false">Assumptions!I47</f>
        <v>24</v>
      </c>
      <c r="J14" s="4" t="n">
        <f aca="false">Assumptions!J47</f>
        <v>24</v>
      </c>
      <c r="K14" s="4" t="n">
        <f aca="false">Assumptions!K47</f>
        <v>24</v>
      </c>
      <c r="L14" s="4" t="n">
        <f aca="false">Assumptions!L47</f>
        <v>24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1920.3297036</v>
      </c>
      <c r="D15" s="0" t="n">
        <f aca="false">D13-MAX(0,D13)*D14/100</f>
        <v>2636.473554</v>
      </c>
      <c r="E15" s="0" t="n">
        <f aca="false">E13-MAX(0,E13)*E14/100</f>
        <v>3353.594360688</v>
      </c>
      <c r="F15" s="0" t="n">
        <f aca="false">F13-MAX(0,F13)*F14/100</f>
        <v>4105.74186951752</v>
      </c>
      <c r="G15" s="0" t="n">
        <f aca="false">G13-MAX(0,G13)*G14/100</f>
        <v>4819.40501995016</v>
      </c>
      <c r="H15" s="0" t="n">
        <f aca="false">H13-MAX(0,H13)*H14/100</f>
        <v>5402.00398122262</v>
      </c>
      <c r="I15" s="0" t="n">
        <f aca="false">I13-MAX(0,I13)*I14/100</f>
        <v>5862.34866831811</v>
      </c>
      <c r="J15" s="0" t="n">
        <f aca="false">J13-MAX(0,J13)*J14/100</f>
        <v>6189.21901830918</v>
      </c>
      <c r="K15" s="0" t="n">
        <f aca="false">K13-MAX(0,K13)*K14/100</f>
        <v>6374.89558885846</v>
      </c>
      <c r="L15" s="0" t="n">
        <f aca="false">L13-MAX(0,L13)*L14/100</f>
        <v>6566.14245652421</v>
      </c>
    </row>
    <row r="16" customFormat="false" ht="15" hidden="false" customHeight="false" outlineLevel="0" collapsed="false">
      <c r="A16" s="0" t="s">
        <v>128</v>
      </c>
      <c r="C16" s="0" t="n">
        <f aca="false">-C12</f>
        <v>741.44004</v>
      </c>
      <c r="D16" s="0" t="n">
        <f aca="false">-D12</f>
        <v>771.0976416</v>
      </c>
      <c r="E16" s="0" t="n">
        <f aca="false">-E12</f>
        <v>817.363500096</v>
      </c>
      <c r="F16" s="0" t="n">
        <f aca="false">-F12</f>
        <v>866.40531010176</v>
      </c>
      <c r="G16" s="0" t="n">
        <f aca="false">-G12</f>
        <v>909.725575606848</v>
      </c>
      <c r="H16" s="0" t="n">
        <f aca="false">-H12</f>
        <v>955.21185438719</v>
      </c>
      <c r="I16" s="0" t="n">
        <f aca="false">-I12</f>
        <v>993.420328562678</v>
      </c>
      <c r="J16" s="0" t="n">
        <f aca="false">-J12</f>
        <v>1033.15714170519</v>
      </c>
      <c r="K16" s="0" t="n">
        <f aca="false">-K12</f>
        <v>1064.15185595634</v>
      </c>
      <c r="L16" s="0" t="n">
        <f aca="false">-L12</f>
        <v>1096.07641163503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-785.05416</v>
      </c>
      <c r="D17" s="4" t="n">
        <f aca="false">-D6*Assumptions!D46/100</f>
        <v>-907.173696</v>
      </c>
      <c r="E17" s="4" t="n">
        <f aca="false">-E6*Assumptions!E46/100</f>
        <v>-1057.764529536</v>
      </c>
      <c r="F17" s="4" t="n">
        <f aca="false">-F6*Assumptions!F46/100</f>
        <v>-1121.23040130816</v>
      </c>
      <c r="G17" s="4" t="n">
        <f aca="false">-G6*Assumptions!G46/100</f>
        <v>-1123.77865222022</v>
      </c>
      <c r="H17" s="4" t="n">
        <f aca="false">-H6*Assumptions!H46/100</f>
        <v>-1179.96758483124</v>
      </c>
      <c r="I17" s="4" t="n">
        <f aca="false">-I6*Assumptions!I46/100</f>
        <v>-1168.72979830903</v>
      </c>
      <c r="J17" s="4" t="n">
        <f aca="false">-J6*Assumptions!J46/100</f>
        <v>-1215.47899024139</v>
      </c>
      <c r="K17" s="4" t="n">
        <f aca="false">-K6*Assumptions!K46/100</f>
        <v>-1251.94335994864</v>
      </c>
      <c r="L17" s="4" t="n">
        <f aca="false">-L6*Assumptions!L46/100</f>
        <v>-1289.5016607471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417.582000000001</v>
      </c>
      <c r="D18" s="4" t="n">
        <f aca="false">(D6-C6)*Assumptions!$B$51/100</f>
        <v>-261.68472</v>
      </c>
      <c r="E18" s="4" t="n">
        <f aca="false">(E6-D6)*Assumptions!$B$51/100</f>
        <v>-408.2281632</v>
      </c>
      <c r="F18" s="4" t="n">
        <f aca="false">(F6-E6)*Assumptions!$B$51/100</f>
        <v>-432.721852992</v>
      </c>
      <c r="G18" s="4" t="n">
        <f aca="false">(G6-F6)*Assumptions!$B$51/100</f>
        <v>-382.2376368096</v>
      </c>
      <c r="H18" s="4" t="n">
        <f aca="false">(H6-G6)*Assumptions!$B$51/100</f>
        <v>-401.34951865008</v>
      </c>
      <c r="I18" s="4" t="n">
        <f aca="false">(I6-H6)*Assumptions!$B$51/100</f>
        <v>-337.133595666068</v>
      </c>
      <c r="J18" s="4" t="n">
        <f aca="false">(J6-I6)*Assumptions!$B$51/100</f>
        <v>-350.618939492711</v>
      </c>
      <c r="K18" s="4" t="n">
        <f aca="false">(K6-J6)*Assumptions!$B$51/100</f>
        <v>-273.482772804314</v>
      </c>
      <c r="L18" s="4" t="n">
        <f aca="false">(L6-K6)*Assumptions!$B$51/100</f>
        <v>-281.687255988443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2294.2975836</v>
      </c>
      <c r="D19" s="0" t="n">
        <f aca="false">D15+D16+D17+D18</f>
        <v>2238.7127796</v>
      </c>
      <c r="E19" s="0" t="n">
        <f aca="false">E15+E16+E17+E18</f>
        <v>2704.965168048</v>
      </c>
      <c r="F19" s="0" t="n">
        <f aca="false">F15+F16+F17+F18</f>
        <v>3418.19492531912</v>
      </c>
      <c r="G19" s="0" t="n">
        <f aca="false">G15+G16+G17+G18</f>
        <v>4223.11430652718</v>
      </c>
      <c r="H19" s="0" t="n">
        <f aca="false">H15+H16+H17+H18</f>
        <v>4775.89873212849</v>
      </c>
      <c r="I19" s="0" t="n">
        <f aca="false">I15+I16+I17+I18</f>
        <v>5349.90560290569</v>
      </c>
      <c r="J19" s="0" t="n">
        <f aca="false">J15+J16+J17+J18</f>
        <v>5656.27823028026</v>
      </c>
      <c r="K19" s="0" t="n">
        <f aca="false">K15+K16+K17+K18</f>
        <v>5913.62131206185</v>
      </c>
      <c r="L19" s="0" t="n">
        <f aca="false">L15+L16+L17+L18</f>
        <v>6091.0299514237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2104.86016844037</v>
      </c>
      <c r="D21" s="0" t="n">
        <f aca="false">D19*D20</f>
        <v>1884.27975725949</v>
      </c>
      <c r="E21" s="0" t="n">
        <f aca="false">E19*E20</f>
        <v>2088.72941690727</v>
      </c>
      <c r="F21" s="0" t="n">
        <f aca="false">F19*F20</f>
        <v>2421.53546143118</v>
      </c>
      <c r="G21" s="0" t="n">
        <f aca="false">G19*G20</f>
        <v>2744.73453573759</v>
      </c>
      <c r="H21" s="0" t="n">
        <f aca="false">H19*H20</f>
        <v>2847.71237045209</v>
      </c>
      <c r="I21" s="0" t="n">
        <f aca="false">I19*I20</f>
        <v>2926.58157146855</v>
      </c>
      <c r="J21" s="0" t="n">
        <f aca="false">J19*J20</f>
        <v>2838.69531222482</v>
      </c>
      <c r="K21" s="0" t="n">
        <f aca="false">K19*K20</f>
        <v>2722.79552961291</v>
      </c>
      <c r="L21" s="0" t="n">
        <f aca="false">L19*L20</f>
        <v>2572.91687660669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25152.841000141</v>
      </c>
    </row>
    <row r="31" customFormat="false" ht="15" hidden="false" customHeight="false" outlineLevel="0" collapsed="false">
      <c r="A31" s="0" t="s">
        <v>137</v>
      </c>
      <c r="B31" s="0" t="n">
        <f aca="false">L19</f>
        <v>6091.0299514237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104562.680832774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109638.539125627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104562.680832774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44168.4063817483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69321.2473818892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70919.2473818892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47.8860549506342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0.362334422493149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4959.86900289596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6545.4715680643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55.6546846406816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52281.3404163868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22.3856799149439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20.3077626467324</v>
      </c>
      <c r="C4" s="0" t="n">
        <f aca="false">B4/Assumptions!$B$2-1</f>
        <v>-0.422254263250856</v>
      </c>
      <c r="D4" s="4" t="n">
        <f aca="false">Assumptions!$B$24</f>
        <v>0.25</v>
      </c>
      <c r="E4" s="4" t="n">
        <f aca="false">DCF_Bear!$B$43</f>
        <v>25.6343910087838</v>
      </c>
      <c r="F4" s="4" t="n">
        <f aca="false">DCF_Bear!$B$47</f>
        <v>11.1258204270883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34.6551889151814</v>
      </c>
      <c r="C5" s="0" t="n">
        <f aca="false">B5/Assumptions!$B$2-1</f>
        <v>-0.014077129013332</v>
      </c>
      <c r="D5" s="4" t="n">
        <f aca="false">Assumptions!$B$38</f>
        <v>0.5</v>
      </c>
      <c r="E5" s="4" t="n">
        <f aca="false">DCF_Base!$B$43</f>
        <v>41.2076141488551</v>
      </c>
      <c r="F5" s="4" t="n">
        <f aca="false">DCF_Base!$B$47</f>
        <v>17.201852656838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47.8860549506342</v>
      </c>
      <c r="C6" s="0" t="n">
        <f aca="false">B6/Assumptions!$B$2-1</f>
        <v>0.362334422493149</v>
      </c>
      <c r="D6" s="4" t="n">
        <f aca="false">Assumptions!$B$52</f>
        <v>0.25</v>
      </c>
      <c r="E6" s="4" t="n">
        <f aca="false">DCF_Bull!$B$43</f>
        <v>55.6546846406816</v>
      </c>
      <c r="F6" s="4" t="n">
        <f aca="false">DCF_Bull!$B$47</f>
        <v>22.3856799149439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34.3760488569323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40.9260759867939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-0.0225142553842859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11.815999044328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16.9788014139271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34.6551889151814</v>
      </c>
      <c r="C15" s="3" t="n">
        <v>9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29.7559784549902</v>
      </c>
      <c r="C16" s="3" t="n">
        <v>10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26.0291096919061</v>
      </c>
      <c r="C17" s="3" t="n">
        <v>11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23.1032600932653</v>
      </c>
      <c r="C18" s="3" t="n">
        <v>12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17.201852656838</v>
      </c>
      <c r="C19" s="3" t="n">
        <v>15</v>
      </c>
    </row>
    <row r="21" customFormat="false" ht="15" hidden="false" customHeight="false" outlineLevel="0" collapsed="false">
      <c r="A21" s="2" t="s">
        <v>173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43.7129160088111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43.7129160088111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43.7129160088111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43.7129160088111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43.7129160088111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37.1081814384614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39.0607225194898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40.4708910780104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40.4708910780104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40.4708910780104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31.7798073722433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33.1148059457503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34.6551889151814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36.4523023795177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37.5239755463238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27.7306557722459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28.6800257797822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29.7559784549902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30.9856386552278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32.4044773478096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24.5552394779995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25.2512337456776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26.0291096919061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26.9042201314132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27.8960119628545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2026-10-02T02:46:56Z</dcterms:created>
  <dc:creator>openpyxl</dc:creator>
  <dc:description/>
  <dc:language>en-NZ</dc:language>
  <cp:lastModifiedBy/>
  <dcterms:modified xsi:type="dcterms:W3CDTF">2026-10-02T02:46:56Z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