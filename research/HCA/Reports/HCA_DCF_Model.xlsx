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<sst xmlns="http://schemas.openxmlformats.org/spreadsheetml/2006/main" count="384" uniqueCount="173">
  <si>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</si>
  <si>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HCA</t>
  </si>
  <si>
    <t xml:space="preserve">Company</t>
  </si>
  <si>
    <t xml:space="preserve">HCA Healthcare,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</si>
  <si>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</si>
  <si>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</si>
  <si>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</si>
  <si>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</si>
  <si>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</si>
  <si>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</si>
  <si>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</si>
  <si>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</si>
  <si>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</si>
  <si>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</si>
  <si>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</si>
  <si>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</si>
  <si>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</si>
  <si>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</si>
  <si>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</si>
  <si>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</si>
  <si>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</si>
  <si>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2026-09-28T21:11:24Z</t>
  </si>
  <si>
    <t xml:space="preserve">Drivers file</t>
  </si>
  <si>
    <t xml:space="preserve">HCA_Drivers.json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</si>
  <si>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</si>
  <si>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</si>
  <si>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</si>
  <si>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HCA is valued as an unlevered owner-FCF stream on an attributable (post-NCI), post-SBC basis, discounted at 8% with net debt of ~$48.7B deducted once. The business is a scale-advantaged, demographically supported cash generator whose near-term earnings are being set by federal policy rather than demand: the ACA subsidy lapse and OBBBA Medicaid changes are a multi-year margin headwind, not a one-quarter event, and the scenarios differ mainly on how much of the ~20% attributable EBITDA margin survives it. Negative book equity is a financing choice (LBO legacy plus ~$50B of buybacks) and is irrelevant to the DCF, but the leverage it reflects makes the equity ~1.5x as sensitive to enterprise value as an unlevered peer: the sensitivity grid, not the base case, is the honest picture. The terminal value is capped at 18x unlevered FCF (~8.4x EBITDA), inside HCA's own historical range, so no re-rating is assumed.
key_risks_to_valuation: Federal policy: the ACA enhanced-subsidy lapse (already $1.0-1.2B of FY2026 EBITDA) and OBBBA Medicaid work requirements and provider-tax phase-down (steepest in 2027-28) could take margins below the bear path if the uninsured shift compounds with a recession.; Leverage: net debt is ~34% of enterprise value, so a 10% change in EV is a ~15% change in equity value; refinancing ~$5-6B/yr of maturities at higher coupons erodes the equity share even though solvency is not in question.; Terminal weight: roughly 60% of enterprise value is terminal; the 18x cap holds the exit at ~8.4x EBITDA, but a structurally lower hospital multiple (7x, as in the bear case) removes ~$60/share.; NCI leakage: joint-venture partners take ~6% of EBITDA; if new capacity is JV-funded the attributable share of growth is lower than the consolidated numbers suggest.; Labour: nursing and physician cost inflation above commercial rate increases compresses margin independently of policy; contract-labour reliance rose again in 2025-26.</t>
  </si>
  <si>
    <t xml:space="preserve">Data sources</t>
  </si>
  <si>
    <t xml:space="preserve">price: Yahoo Finance chart API regularMarketPrice at inputs.price_as_of; 52-week range 353.99-556.52.
financials: SEC XBRL companyfacts (CIK 860730) for FY2016-Q1 2026 via HCA_Metrics.csv; Q2 2026 10-Q XBRL instance (accession 0001193125-26-321077, filed 2026-07-28) for the 2026-06-30 balance sheet, H1 2026 flows and the cover share count. EBITDA reconstructed as ProfitLoss + IncomeTaxExpenseBenefit + InterestExpense + DepreciationDepletionAndAmortization (ties to company Adjusted EBITDA within $3M on Q2 2025).
qualitative: HCA_Analysis.json (2026-09-29): business model, payer mix, ACA/OBBBA guidance revisions, FY2026 guidance (revenue $77.0-79.5B, Adjusted EBITDA $15.4-16.1B, net income $6.3-6.7B, capex $5.0-5.5B).</t>
  </si>
  <si>
    <t xml:space="preserve">Scenario narrative: bear</t>
  </si>
  <si>
    <t xml:space="preserve">The uninsured shift persists at one-for-one and a softer labour market pushes commercial mix down; OBBBA work requirements and redeterminations cut Medicaid enrolment harder than modelled, the provider-tax phase-down removes most supplemental payment revenue by 2030, and clinical labour inflation stays above pricing. Attributable margin falls ~285bp to 17% by FY2028 and never recovers, revenue growth stalls at 2-3% as management trims growth capex, and the terminal multiple compresses to 15x FCF (~7x consolidated EBITDA). Refinancing ~$5-6B/yr of maturities at higher coupons does not threaten solvency (EBITDA/interest still &gt;5x) but, with net debt at a third of EV, every 1% of EV lost is ~1.5% of equity.</t>
  </si>
  <si>
    <t xml:space="preserve">Scenario narrative: base</t>
  </si>
  <si>
    <t xml:space="preserve">The ACA enhanced-subsidy lapse and OBBBA Medicaid provisions play out roughly as management now models: the exchange-to-uninsured conversion stays near one-for-one, so FY2026 attributable EBITDA margin falls ~55bp from the FY2025 peak, and the steeper OBBBA effects (work requirements from 2027, provider-tax phase-down from 2028) take another 60bp over FY2027-28 before cost actions, commercial rate resets and the outpatient mix shift claw ~30bp back by the end of the decade. Volume stays healthy (record 73% occupancy, ~$7B of approved capacity coming online, Sun Belt demographics), so revenue compounds at 3.5-4.5% through the headwind and slows to 3% by year 10. Capex runs at the guided $5.0-5.5B and moderates to 6% of revenue; the company keeps buying back stock, which the flat-count convention treats as value-neutral. Terminal value bound by the 18x FCF cap (~8.4x consolidated EBITDA, HCA's own trading range).</t>
  </si>
  <si>
    <t xml:space="preserve">Scenario narrative: bull</t>
  </si>
  <si>
    <t xml:space="preserve">Congress extends or partially restores the enhanced ACA premium tax credits before the 2027-28 cliff, or the uninsured shift stabilises at the FY2026 level; states re-engineer supplemental payment programmes around the provider-tax caps so Medicaid revenue holds; commercial payers accept mid-single-digit rate increases and the outpatient buildout (20 sites per hospital by 2030) lifts attributable margin back to 20% by year 6. The $7B capacity programme converts record occupancy into 5-5.5% revenue growth through FY2030, capex tapers toward 5.8% as the programme matures, and terminal growth is 3%. Same 8% WACC; the upside is in the flows, not the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</si>
  <si>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</si>
  <si>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</si>
  <si>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</si>
  <si>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</si>
  <si>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</si>
  <si>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</si>
  <si>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</si>
  <si>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</si>
  <si>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</si>
  <si>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</si>
  <si>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</si>
  <si>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</si>
  <si>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</si>
  <si>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</si>
  <si>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</si>
  <si>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</si>
  <si>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</si>
  <si>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</si>
  <si>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</si>
  <si>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</si>
  <si>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</si>
  <si>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</si>
  <si>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</si>
  <si>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</si>
  <si>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</si>
  <si>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</si>
  <si>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</si>
  <si>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</si>
  <si>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</si>
  <si>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</si>
  <si>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</si>
  <si>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</si>
  <si>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</si>
  <si>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</si>
  <si>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</si>
  <si>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</si>
  <si>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</si>
  <si>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</si>
  <si>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</si>
  <si>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</si>
  <si>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</si>
  <si>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</si>
  <si>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</si>
  <si>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</si>
  <si>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</si>
  <si>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</si>
  <si>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</si>
  <si>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</si>
  <si>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</si>
  <si>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</si>
  <si>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</si>
  <si>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</si>
  <si>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</si>
  <si>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</si>
  <si>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</si>
  <si>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</si>
  <si>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</si>
  <si>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</si>
  <si>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</si>
  <si>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</si>
  <si>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</si>
  <si>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</si>
  <si>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</si>
  <si>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</si>
  <si>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</si>
  <si>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</si>
  <si>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</si>
  <si>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</si>
  <si>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</si>
  <si>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</si>
  <si>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</si>
  <si>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</si>
  <si>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</si>
  <si>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</si>
  <si>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</si>
  <si>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</si>
  <si>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</si>
  <si>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</si>
  <si>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</si>
  <si>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</si>
  <si>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</si>
  <si>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</si>
  <si>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HCA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</si>
  <si>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</si>
  <si>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</si>
  <si>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</si>
  <si>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</si>
  <si>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</si>
  <si>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</si>
  <si>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</si>
  <si>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</si>
  <si>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</si>
  <si>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</si>
  <si>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</si>
  <si>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</si>
  <si>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</si>
  <si>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</si>
  <si>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</si>
  <si>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</si>
  <si>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</si>
  <si>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</si>
  <si>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</si>
  <si>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</si>
  <si>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</si>
  <si>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</si>
  <si>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</si>
  <si>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</si>
  <si>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</si>
  <si>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</si>
  <si>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</si>
  <si>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</si>
  <si>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</si>
  <si>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</si>
  <si>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HCA owner-FCF component DCF: base case (millions, USD)</t>
  </si>
  <si>
    <t xml:space="preserve">HCA owner-FCF component DCF: bull case (millions, USD)</t>
  </si>
  <si>
    <t xml:space="preserve">HCA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</si>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</sst>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432.6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-9260</v>
      </c>
      <c r="S2" s="0" t="n">
        <v>465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1375</v>
      </c>
      <c r="K3" s="0" t="n">
        <v>2.48</v>
      </c>
      <c r="L3" s="0" t="n">
        <v>2747</v>
      </c>
      <c r="M3" s="0" t="n">
        <v>1317</v>
      </c>
      <c r="N3" s="0" t="n">
        <v>1430</v>
      </c>
      <c r="O3" s="0" t="n">
        <v>-7978</v>
      </c>
      <c r="S3" s="0" t="n">
        <v>312</v>
      </c>
      <c r="T3" s="0" t="n">
        <v>432.227</v>
      </c>
      <c r="U3" s="0" t="n">
        <v>40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1573</v>
      </c>
      <c r="K4" s="0" t="n">
        <v>2.83</v>
      </c>
      <c r="L4" s="0" t="n">
        <v>3085</v>
      </c>
      <c r="M4" s="0" t="n">
        <v>1325</v>
      </c>
      <c r="N4" s="0" t="n">
        <v>1760</v>
      </c>
      <c r="O4" s="0" t="n">
        <v>-10794</v>
      </c>
      <c r="P4" s="0" t="n">
        <v>23852</v>
      </c>
      <c r="R4" s="0" t="n">
        <v>28817</v>
      </c>
      <c r="S4" s="0" t="n">
        <v>411</v>
      </c>
      <c r="T4" s="0" t="n">
        <v>437.347</v>
      </c>
      <c r="U4" s="0" t="n">
        <v>32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2842</v>
      </c>
      <c r="K5" s="0" t="n">
        <v>5.17</v>
      </c>
      <c r="L5" s="0" t="n">
        <v>3933</v>
      </c>
      <c r="M5" s="0" t="n">
        <v>1679</v>
      </c>
      <c r="N5" s="0" t="n">
        <v>2254</v>
      </c>
      <c r="O5" s="0" t="n">
        <v>-7014</v>
      </c>
      <c r="P5" s="0" t="n">
        <v>26898</v>
      </c>
      <c r="Q5" s="0" t="n">
        <v>33912</v>
      </c>
      <c r="R5" s="0" t="n">
        <v>28459</v>
      </c>
      <c r="S5" s="0" t="n">
        <v>373</v>
      </c>
      <c r="T5" s="0" t="n">
        <v>495.943</v>
      </c>
      <c r="U5" s="0" t="n">
        <v>26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2006</v>
      </c>
      <c r="K6" s="0" t="n">
        <v>3.65</v>
      </c>
      <c r="L6" s="0" t="n">
        <v>4175</v>
      </c>
      <c r="M6" s="0" t="n">
        <v>1862</v>
      </c>
      <c r="N6" s="0" t="n">
        <v>2313</v>
      </c>
      <c r="O6" s="0" t="n">
        <v>-8341</v>
      </c>
      <c r="P6" s="0" t="n">
        <v>28075</v>
      </c>
      <c r="Q6" s="0" t="n">
        <v>36416</v>
      </c>
      <c r="R6" s="0" t="n">
        <v>30365</v>
      </c>
      <c r="S6" s="0" t="n">
        <v>705</v>
      </c>
      <c r="T6" s="0" t="n">
        <v>459.403</v>
      </c>
      <c r="U6" s="0" t="n">
        <v>56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1996</v>
      </c>
      <c r="K7" s="0" t="n">
        <v>3.5</v>
      </c>
      <c r="L7" s="0" t="n">
        <v>3680</v>
      </c>
      <c r="M7" s="0" t="n">
        <v>1943</v>
      </c>
      <c r="N7" s="0" t="n">
        <v>1737</v>
      </c>
      <c r="O7" s="0" t="n">
        <v>-6928</v>
      </c>
      <c r="P7" s="0" t="n">
        <v>28594</v>
      </c>
      <c r="Q7" s="0" t="n">
        <v>35759</v>
      </c>
      <c r="R7" s="0" t="n">
        <v>29162</v>
      </c>
      <c r="S7" s="0" t="n">
        <v>414</v>
      </c>
      <c r="T7" s="0" t="n">
        <v>461.913</v>
      </c>
      <c r="U7" s="0" t="n">
        <v>113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2373</v>
      </c>
      <c r="K8" s="0" t="n">
        <v>4.3</v>
      </c>
      <c r="L8" s="0" t="n">
        <v>4448</v>
      </c>
      <c r="M8" s="0" t="n">
        <v>2176</v>
      </c>
      <c r="N8" s="0" t="n">
        <v>2272</v>
      </c>
      <c r="O8" s="0" t="n">
        <v>-6498</v>
      </c>
      <c r="P8" s="0" t="n">
        <v>30980</v>
      </c>
      <c r="Q8" s="0" t="n">
        <v>37478</v>
      </c>
      <c r="R8" s="0" t="n">
        <v>29764</v>
      </c>
      <c r="S8" s="0" t="n">
        <v>566</v>
      </c>
      <c r="T8" s="0" t="n">
        <v>450.352</v>
      </c>
      <c r="U8" s="0" t="n">
        <v>163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2696</v>
      </c>
      <c r="K9" s="0" t="n">
        <v>5.14</v>
      </c>
      <c r="M9" s="0" t="n">
        <v>2375</v>
      </c>
      <c r="O9" s="0" t="n">
        <v>-6046</v>
      </c>
      <c r="P9" s="0" t="n">
        <v>32744</v>
      </c>
      <c r="Q9" s="0" t="n">
        <v>38790</v>
      </c>
      <c r="R9" s="0" t="n">
        <v>30721</v>
      </c>
      <c r="S9" s="0" t="n">
        <v>741</v>
      </c>
      <c r="T9" s="0" t="n">
        <v>426.721</v>
      </c>
      <c r="U9" s="0" t="n">
        <v>239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41490</v>
      </c>
      <c r="I10" s="0" t="n">
        <v>3432</v>
      </c>
      <c r="J10" s="0" t="n">
        <v>8.27187274041938</v>
      </c>
      <c r="K10" s="0" t="n">
        <v>7.53</v>
      </c>
      <c r="L10" s="0" t="n">
        <v>5653</v>
      </c>
      <c r="M10" s="0" t="n">
        <v>2760</v>
      </c>
      <c r="N10" s="0" t="n">
        <v>2893</v>
      </c>
      <c r="O10" s="0" t="n">
        <v>-5633</v>
      </c>
      <c r="P10" s="0" t="n">
        <v>33758</v>
      </c>
      <c r="Q10" s="0" t="n">
        <v>39391</v>
      </c>
      <c r="R10" s="0" t="n">
        <v>31592</v>
      </c>
      <c r="S10" s="0" t="n">
        <v>646</v>
      </c>
      <c r="T10" s="0" t="n">
        <v>395.851</v>
      </c>
      <c r="U10" s="0" t="n">
        <v>251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43614</v>
      </c>
      <c r="I11" s="0" t="n">
        <v>2743</v>
      </c>
      <c r="J11" s="0" t="n">
        <v>6.28926491493557</v>
      </c>
      <c r="K11" s="0" t="n">
        <v>6.12</v>
      </c>
      <c r="L11" s="0" t="n">
        <v>5426</v>
      </c>
      <c r="M11" s="0" t="n">
        <v>3015</v>
      </c>
      <c r="N11" s="0" t="n">
        <v>2411</v>
      </c>
      <c r="O11" s="0" t="n">
        <v>-4995</v>
      </c>
      <c r="P11" s="0" t="n">
        <v>36593</v>
      </c>
      <c r="Q11" s="0" t="n">
        <v>41588</v>
      </c>
      <c r="R11" s="0" t="n">
        <v>33258</v>
      </c>
      <c r="S11" s="0" t="n">
        <v>732</v>
      </c>
      <c r="T11" s="0" t="n">
        <v>372.221</v>
      </c>
      <c r="U11" s="0" t="n">
        <v>270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46677</v>
      </c>
      <c r="I12" s="0" t="n">
        <v>4389</v>
      </c>
      <c r="J12" s="0" t="n">
        <v>9.40291792531654</v>
      </c>
      <c r="K12" s="0" t="n">
        <v>10.9</v>
      </c>
      <c r="L12" s="0" t="n">
        <v>6761</v>
      </c>
      <c r="M12" s="0" t="n">
        <v>3573</v>
      </c>
      <c r="N12" s="0" t="n">
        <v>3188</v>
      </c>
      <c r="O12" s="0" t="n">
        <v>-2918</v>
      </c>
      <c r="P12" s="0" t="n">
        <v>39207</v>
      </c>
      <c r="Q12" s="0" t="n">
        <v>42125</v>
      </c>
      <c r="R12" s="0" t="n">
        <v>33609</v>
      </c>
      <c r="S12" s="0" t="n">
        <v>502</v>
      </c>
      <c r="T12" s="0" t="n">
        <v>355.303</v>
      </c>
      <c r="U12" s="0" t="n">
        <v>268</v>
      </c>
      <c r="V12" s="0" t="n">
        <v>1.4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51336</v>
      </c>
      <c r="I13" s="0" t="n">
        <v>4145</v>
      </c>
      <c r="J13" s="0" t="n">
        <v>8.07425588281128</v>
      </c>
      <c r="K13" s="0" t="n">
        <v>10.27</v>
      </c>
      <c r="L13" s="0" t="n">
        <v>7602</v>
      </c>
      <c r="M13" s="0" t="n">
        <v>4158</v>
      </c>
      <c r="N13" s="0" t="n">
        <v>3444</v>
      </c>
      <c r="O13" s="0" t="n">
        <v>-565</v>
      </c>
      <c r="P13" s="0" t="n">
        <v>45058</v>
      </c>
      <c r="Q13" s="0" t="n">
        <v>45623</v>
      </c>
      <c r="R13" s="0" t="n">
        <v>33867</v>
      </c>
      <c r="S13" s="0" t="n">
        <v>621</v>
      </c>
      <c r="T13" s="0" t="n">
        <v>348.226</v>
      </c>
      <c r="U13" s="0" t="n">
        <v>347</v>
      </c>
      <c r="V13" s="0" t="n">
        <v>1.6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51533</v>
      </c>
      <c r="I14" s="0" t="n">
        <v>4387</v>
      </c>
      <c r="J14" s="0" t="n">
        <v>8.51299167523723</v>
      </c>
      <c r="K14" s="0" t="n">
        <v>11.1</v>
      </c>
      <c r="L14" s="0" t="n">
        <v>9232</v>
      </c>
      <c r="M14" s="0" t="n">
        <v>2835</v>
      </c>
      <c r="N14" s="0" t="n">
        <v>6397</v>
      </c>
      <c r="O14" s="0" t="n">
        <v>2892</v>
      </c>
      <c r="P14" s="0" t="n">
        <v>47490</v>
      </c>
      <c r="R14" s="0" t="n">
        <v>31213</v>
      </c>
      <c r="S14" s="0" t="n">
        <v>1793</v>
      </c>
      <c r="T14" s="0" t="n">
        <v>343.605</v>
      </c>
      <c r="U14" s="0" t="n">
        <v>362</v>
      </c>
      <c r="V14" s="0" t="n">
        <v>0.43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58752</v>
      </c>
      <c r="I15" s="0" t="n">
        <v>7721</v>
      </c>
      <c r="J15" s="0" t="n">
        <v>13.1416802832244</v>
      </c>
      <c r="K15" s="0" t="n">
        <v>21.52</v>
      </c>
      <c r="L15" s="0" t="n">
        <v>8959</v>
      </c>
      <c r="M15" s="0" t="n">
        <v>3577</v>
      </c>
      <c r="N15" s="0" t="n">
        <v>5382</v>
      </c>
      <c r="O15" s="0" t="n">
        <v>1489</v>
      </c>
      <c r="P15" s="0" t="n">
        <v>50742</v>
      </c>
      <c r="R15" s="0" t="n">
        <v>34816</v>
      </c>
      <c r="S15" s="0" t="n">
        <v>1451</v>
      </c>
      <c r="T15" s="0" t="n">
        <v>328.752</v>
      </c>
      <c r="U15" s="0" t="n">
        <v>440</v>
      </c>
      <c r="V15" s="0" t="n">
        <v>1.92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60233</v>
      </c>
      <c r="I16" s="0" t="n">
        <v>6834</v>
      </c>
      <c r="J16" s="0" t="n">
        <v>11.3459399332592</v>
      </c>
      <c r="K16" s="0" t="n">
        <v>19.43</v>
      </c>
      <c r="L16" s="0" t="n">
        <v>8522</v>
      </c>
      <c r="M16" s="0" t="n">
        <v>4395</v>
      </c>
      <c r="N16" s="0" t="n">
        <v>4127</v>
      </c>
      <c r="O16" s="0" t="n">
        <v>-73</v>
      </c>
      <c r="P16" s="0" t="n">
        <v>52438</v>
      </c>
      <c r="R16" s="0" t="n">
        <v>38454</v>
      </c>
      <c r="S16" s="0" t="n">
        <v>908</v>
      </c>
      <c r="T16" s="0" t="n">
        <v>294.666</v>
      </c>
      <c r="U16" s="0" t="n">
        <v>341</v>
      </c>
      <c r="V16" s="0" t="n">
        <v>2.24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64968</v>
      </c>
      <c r="I17" s="0" t="n">
        <v>6091</v>
      </c>
      <c r="J17" s="0" t="n">
        <v>9.37538480482699</v>
      </c>
      <c r="K17" s="0" t="n">
        <v>19.25</v>
      </c>
      <c r="L17" s="0" t="n">
        <v>9431</v>
      </c>
      <c r="M17" s="0" t="n">
        <v>4744</v>
      </c>
      <c r="N17" s="0" t="n">
        <v>4687</v>
      </c>
      <c r="O17" s="0" t="n">
        <v>1060</v>
      </c>
      <c r="P17" s="0" t="n">
        <v>56211</v>
      </c>
      <c r="R17" s="0" t="n">
        <v>42017</v>
      </c>
      <c r="S17" s="0" t="n">
        <v>935</v>
      </c>
      <c r="T17" s="0" t="n">
        <v>276.412</v>
      </c>
      <c r="U17" s="0" t="n">
        <v>262</v>
      </c>
      <c r="V17" s="0" t="n">
        <v>2.4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70603</v>
      </c>
      <c r="I18" s="0" t="n">
        <v>6657</v>
      </c>
      <c r="J18" s="0" t="n">
        <v>9.42877781397391</v>
      </c>
      <c r="K18" s="0" t="n">
        <v>22.27</v>
      </c>
      <c r="L18" s="0" t="n">
        <v>10514</v>
      </c>
      <c r="M18" s="0" t="n">
        <v>4875</v>
      </c>
      <c r="N18" s="0" t="n">
        <v>5639</v>
      </c>
      <c r="O18" s="0" t="n">
        <v>-2499</v>
      </c>
      <c r="P18" s="0" t="n">
        <v>59513</v>
      </c>
      <c r="R18" s="0" t="n">
        <v>47729</v>
      </c>
      <c r="S18" s="0" t="n">
        <v>1933</v>
      </c>
      <c r="T18" s="0" t="n">
        <v>261.806</v>
      </c>
      <c r="U18" s="0" t="n">
        <v>360</v>
      </c>
      <c r="V18" s="0" t="n">
        <v>2.64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75600</v>
      </c>
      <c r="I19" s="0" t="n">
        <v>7782</v>
      </c>
      <c r="J19" s="0" t="n">
        <v>10.2936507936508</v>
      </c>
      <c r="K19" s="0" t="n">
        <v>28.7</v>
      </c>
      <c r="L19" s="0" t="n">
        <v>12636</v>
      </c>
      <c r="M19" s="0" t="n">
        <v>4944</v>
      </c>
      <c r="N19" s="0" t="n">
        <v>7692</v>
      </c>
      <c r="O19" s="0" t="n">
        <v>-6027</v>
      </c>
      <c r="P19" s="0" t="n">
        <v>60720</v>
      </c>
      <c r="R19" s="0" t="n">
        <v>49174</v>
      </c>
      <c r="S19" s="0" t="n">
        <v>1040</v>
      </c>
      <c r="T19" s="0" t="n">
        <v>239.495</v>
      </c>
      <c r="U19" s="0" t="n">
        <v>401</v>
      </c>
      <c r="V19" s="0" t="n">
        <v>2.88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432.6</v>
      </c>
    </row>
    <row r="3" customFormat="false" ht="15" hidden="false" customHeight="false" outlineLevel="0" collapsed="false">
      <c r="A3" s="0" t="s">
        <v>84</v>
      </c>
      <c r="B3" s="3" t="n">
        <v>218.8</v>
      </c>
    </row>
    <row r="4" customFormat="false" ht="15" hidden="false" customHeight="false" outlineLevel="0" collapsed="false">
      <c r="A4" s="0" t="s">
        <v>85</v>
      </c>
      <c r="B4" s="3" t="n">
        <v>48705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75600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3</v>
      </c>
      <c r="D13" s="3" t="n">
        <v>2</v>
      </c>
      <c r="E13" s="3" t="n">
        <v>2</v>
      </c>
      <c r="F13" s="3" t="n">
        <v>2.5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18.9</v>
      </c>
      <c r="D14" s="3" t="n">
        <v>17.9</v>
      </c>
      <c r="E14" s="3" t="n">
        <v>17.3</v>
      </c>
      <c r="F14" s="3" t="n">
        <v>17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106</v>
      </c>
      <c r="C15" s="3" t="n">
        <v>0.5</v>
      </c>
      <c r="D15" s="3" t="n">
        <v>0.5</v>
      </c>
      <c r="E15" s="3" t="n">
        <v>0.5</v>
      </c>
      <c r="F15" s="3" t="n">
        <v>0.48</v>
      </c>
      <c r="G15" s="3" t="n">
        <v>0.48</v>
      </c>
      <c r="H15" s="3" t="n">
        <v>0.46</v>
      </c>
      <c r="I15" s="3" t="n">
        <v>0.46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4.8</v>
      </c>
      <c r="D17" s="3" t="n">
        <v>5</v>
      </c>
      <c r="E17" s="3" t="n">
        <v>5.1</v>
      </c>
      <c r="F17" s="3" t="n">
        <v>5.2</v>
      </c>
      <c r="G17" s="3" t="n">
        <v>5.3</v>
      </c>
      <c r="H17" s="3" t="n">
        <v>5.3</v>
      </c>
      <c r="I17" s="3" t="n">
        <v>5.3</v>
      </c>
      <c r="J17" s="3" t="n">
        <v>5.3</v>
      </c>
      <c r="K17" s="3" t="n">
        <v>5.3</v>
      </c>
      <c r="L17" s="3" t="n">
        <v>5.3</v>
      </c>
    </row>
    <row r="18" customFormat="false" ht="15" hidden="false" customHeight="false" outlineLevel="0" collapsed="false">
      <c r="A18" s="0" t="s">
        <v>109</v>
      </c>
      <c r="C18" s="3" t="n">
        <v>6.7</v>
      </c>
      <c r="D18" s="3" t="n">
        <v>6.7</v>
      </c>
      <c r="E18" s="3" t="n">
        <v>6.6</v>
      </c>
      <c r="F18" s="3" t="n">
        <v>6.4</v>
      </c>
      <c r="G18" s="3" t="n">
        <v>6.2</v>
      </c>
      <c r="H18" s="3" t="n">
        <v>6</v>
      </c>
      <c r="I18" s="3" t="n">
        <v>5.9</v>
      </c>
      <c r="J18" s="3" t="n">
        <v>5.8</v>
      </c>
      <c r="K18" s="3" t="n">
        <v>5.8</v>
      </c>
      <c r="L18" s="3" t="n">
        <v>5.8</v>
      </c>
    </row>
    <row r="19" customFormat="false" ht="15" hidden="false" customHeight="false" outlineLevel="0" collapsed="false">
      <c r="A19" s="0" t="s">
        <v>110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111</v>
      </c>
      <c r="B20" s="3" t="n">
        <v>8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15</v>
      </c>
    </row>
    <row r="23" customFormat="false" ht="15" hidden="false" customHeight="false" outlineLevel="0" collapsed="false">
      <c r="A23" s="0" t="s">
        <v>114</v>
      </c>
      <c r="B23" s="3" t="n">
        <v>-3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4</v>
      </c>
      <c r="D27" s="3" t="n">
        <v>3.5</v>
      </c>
      <c r="E27" s="3" t="n">
        <v>4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19.3</v>
      </c>
      <c r="D28" s="3" t="n">
        <v>18.9</v>
      </c>
      <c r="E28" s="3" t="n">
        <v>18.7</v>
      </c>
      <c r="F28" s="3" t="n">
        <v>18.7</v>
      </c>
      <c r="G28" s="3" t="n">
        <v>18.8</v>
      </c>
      <c r="H28" s="3" t="n">
        <v>18.9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106</v>
      </c>
      <c r="C29" s="3" t="n">
        <v>0.5</v>
      </c>
      <c r="D29" s="3" t="n">
        <v>0.5</v>
      </c>
      <c r="E29" s="3" t="n">
        <v>0.5</v>
      </c>
      <c r="F29" s="3" t="n">
        <v>0.48</v>
      </c>
      <c r="G29" s="3" t="n">
        <v>0.48</v>
      </c>
      <c r="H29" s="3" t="n">
        <v>0.46</v>
      </c>
      <c r="I29" s="3" t="n">
        <v>0.46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4.8</v>
      </c>
      <c r="D31" s="3" t="n">
        <v>4.9</v>
      </c>
      <c r="E31" s="3" t="n">
        <v>5</v>
      </c>
      <c r="F31" s="3" t="n">
        <v>5</v>
      </c>
      <c r="G31" s="3" t="n">
        <v>5.1</v>
      </c>
      <c r="H31" s="3" t="n">
        <v>5.1</v>
      </c>
      <c r="I31" s="3" t="n">
        <v>5.2</v>
      </c>
      <c r="J31" s="3" t="n">
        <v>5.2</v>
      </c>
      <c r="K31" s="3" t="n">
        <v>5.2</v>
      </c>
      <c r="L31" s="3" t="n">
        <v>5.2</v>
      </c>
    </row>
    <row r="32" customFormat="false" ht="15" hidden="false" customHeight="false" outlineLevel="0" collapsed="false">
      <c r="A32" s="0" t="s">
        <v>109</v>
      </c>
      <c r="C32" s="3" t="n">
        <v>6.7</v>
      </c>
      <c r="D32" s="3" t="n">
        <v>6.7</v>
      </c>
      <c r="E32" s="3" t="n">
        <v>6.6</v>
      </c>
      <c r="F32" s="3" t="n">
        <v>6.5</v>
      </c>
      <c r="G32" s="3" t="n">
        <v>6.4</v>
      </c>
      <c r="H32" s="3" t="n">
        <v>6.3</v>
      </c>
      <c r="I32" s="3" t="n">
        <v>6.2</v>
      </c>
      <c r="J32" s="3" t="n">
        <v>6.1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110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111</v>
      </c>
      <c r="B34" s="3" t="n">
        <v>8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18</v>
      </c>
    </row>
    <row r="37" customFormat="false" ht="15" hidden="false" customHeight="false" outlineLevel="0" collapsed="false">
      <c r="A37" s="0" t="s">
        <v>114</v>
      </c>
      <c r="B37" s="3" t="n">
        <v>-3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4.5</v>
      </c>
      <c r="D41" s="3" t="n">
        <v>5</v>
      </c>
      <c r="E41" s="3" t="n">
        <v>5.5</v>
      </c>
      <c r="F41" s="3" t="n">
        <v>5.5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19.5</v>
      </c>
      <c r="D42" s="3" t="n">
        <v>19.4</v>
      </c>
      <c r="E42" s="3" t="n">
        <v>19.5</v>
      </c>
      <c r="F42" s="3" t="n">
        <v>19.7</v>
      </c>
      <c r="G42" s="3" t="n">
        <v>19.9</v>
      </c>
      <c r="H42" s="3" t="n">
        <v>20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106</v>
      </c>
      <c r="C43" s="3" t="n">
        <v>0.5</v>
      </c>
      <c r="D43" s="3" t="n">
        <v>0.5</v>
      </c>
      <c r="E43" s="3" t="n">
        <v>0.5</v>
      </c>
      <c r="F43" s="3" t="n">
        <v>0.48</v>
      </c>
      <c r="G43" s="3" t="n">
        <v>0.48</v>
      </c>
      <c r="H43" s="3" t="n">
        <v>0.46</v>
      </c>
      <c r="I43" s="3" t="n">
        <v>0.46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4.8</v>
      </c>
      <c r="D45" s="3" t="n">
        <v>4.9</v>
      </c>
      <c r="E45" s="3" t="n">
        <v>5</v>
      </c>
      <c r="F45" s="3" t="n">
        <v>5</v>
      </c>
      <c r="G45" s="3" t="n">
        <v>5.1</v>
      </c>
      <c r="H45" s="3" t="n">
        <v>5.1</v>
      </c>
      <c r="I45" s="3" t="n">
        <v>5.2</v>
      </c>
      <c r="J45" s="3" t="n">
        <v>5.2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109</v>
      </c>
      <c r="C46" s="3" t="n">
        <v>6.7</v>
      </c>
      <c r="D46" s="3" t="n">
        <v>6.6</v>
      </c>
      <c r="E46" s="3" t="n">
        <v>6.5</v>
      </c>
      <c r="F46" s="3" t="n">
        <v>6.4</v>
      </c>
      <c r="G46" s="3" t="n">
        <v>6.3</v>
      </c>
      <c r="H46" s="3" t="n">
        <v>6.2</v>
      </c>
      <c r="I46" s="3" t="n">
        <v>6.1</v>
      </c>
      <c r="J46" s="3" t="n">
        <v>6</v>
      </c>
      <c r="K46" s="3" t="n">
        <v>5.9</v>
      </c>
      <c r="L46" s="3" t="n">
        <v>5.8</v>
      </c>
    </row>
    <row r="47" customFormat="false" ht="15" hidden="false" customHeight="false" outlineLevel="0" collapsed="false">
      <c r="A47" s="0" t="s">
        <v>110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111</v>
      </c>
      <c r="B48" s="3" t="n">
        <v>8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18</v>
      </c>
    </row>
    <row r="51" customFormat="false" ht="15" hidden="false" customHeight="false" outlineLevel="0" collapsed="false">
      <c r="A51" s="0" t="s">
        <v>114</v>
      </c>
      <c r="B51" s="3" t="n">
        <v>-3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75600</v>
      </c>
      <c r="C6" s="0" t="n">
        <f aca="false">B6*(1+C5/100)</f>
        <v>77868</v>
      </c>
      <c r="D6" s="0" t="n">
        <f aca="false">C6*(1+D5/100)</f>
        <v>79425.36</v>
      </c>
      <c r="E6" s="0" t="n">
        <f aca="false">D6*(1+E5/100)</f>
        <v>81013.8672</v>
      </c>
      <c r="F6" s="0" t="n">
        <f aca="false">E6*(1+F5/100)</f>
        <v>83039.21388</v>
      </c>
      <c r="G6" s="0" t="n">
        <f aca="false">F6*(1+G5/100)</f>
        <v>85530.3902964</v>
      </c>
      <c r="H6" s="0" t="n">
        <f aca="false">G6*(1+H5/100)</f>
        <v>88096.302005292</v>
      </c>
      <c r="I6" s="0" t="n">
        <f aca="false">H6*(1+I5/100)</f>
        <v>90739.1910654508</v>
      </c>
      <c r="J6" s="0" t="n">
        <f aca="false">I6*(1+J5/100)</f>
        <v>93461.3667974143</v>
      </c>
      <c r="K6" s="0" t="n">
        <f aca="false">J6*(1+K5/100)</f>
        <v>95797.9009673496</v>
      </c>
      <c r="L6" s="0" t="n">
        <f aca="false">K6*(1+L5/100)</f>
        <v>98192.8484915334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18.9</v>
      </c>
      <c r="D7" s="4" t="n">
        <f aca="false">Assumptions!D14</f>
        <v>17.9</v>
      </c>
      <c r="E7" s="4" t="n">
        <f aca="false">Assumptions!E14</f>
        <v>17.3</v>
      </c>
      <c r="F7" s="4" t="n">
        <f aca="false">Assumptions!F14</f>
        <v>17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14717.052</v>
      </c>
      <c r="D8" s="0" t="n">
        <f aca="false">D6*D7/100</f>
        <v>14217.13944</v>
      </c>
      <c r="E8" s="0" t="n">
        <f aca="false">E6*E7/100</f>
        <v>14015.3990256</v>
      </c>
      <c r="F8" s="0" t="n">
        <f aca="false">F6*F7/100</f>
        <v>14116.6663596</v>
      </c>
      <c r="G8" s="0" t="n">
        <f aca="false">G6*G7/100</f>
        <v>14540.166350388</v>
      </c>
      <c r="H8" s="0" t="n">
        <f aca="false">H6*H7/100</f>
        <v>14976.3713408996</v>
      </c>
      <c r="I8" s="0" t="n">
        <f aca="false">I6*I7/100</f>
        <v>15425.6624811266</v>
      </c>
      <c r="J8" s="0" t="n">
        <f aca="false">J6*J7/100</f>
        <v>15888.4323555604</v>
      </c>
      <c r="K8" s="0" t="n">
        <f aca="false">K6*K7/100</f>
        <v>16285.6431644494</v>
      </c>
      <c r="L8" s="0" t="n">
        <f aca="false">L6*L7/100</f>
        <v>16692.7842435607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0.48</v>
      </c>
      <c r="G9" s="4" t="n">
        <f aca="false">Assumptions!G15</f>
        <v>0.48</v>
      </c>
      <c r="H9" s="4" t="n">
        <f aca="false">Assumptions!H15</f>
        <v>0.46</v>
      </c>
      <c r="I9" s="4" t="n">
        <f aca="false">Assumptions!I15</f>
        <v>0.46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-389.34</v>
      </c>
      <c r="D10" s="0" t="n">
        <f aca="false">-D6*D9/100</f>
        <v>-397.1268</v>
      </c>
      <c r="E10" s="0" t="n">
        <f aca="false">-E6*E9/100</f>
        <v>-405.069336</v>
      </c>
      <c r="F10" s="0" t="n">
        <f aca="false">-F6*F9/100</f>
        <v>-398.588226624</v>
      </c>
      <c r="G10" s="0" t="n">
        <f aca="false">-G6*G9/100</f>
        <v>-410.54587342272</v>
      </c>
      <c r="H10" s="0" t="n">
        <f aca="false">-H6*H9/100</f>
        <v>-405.242989224343</v>
      </c>
      <c r="I10" s="0" t="n">
        <f aca="false">-I6*I9/100</f>
        <v>-417.400278901074</v>
      </c>
      <c r="J10" s="0" t="n">
        <f aca="false">-J6*J9/100</f>
        <v>-420.576150588364</v>
      </c>
      <c r="K10" s="0" t="n">
        <f aca="false">-K6*K9/100</f>
        <v>-431.090554353073</v>
      </c>
      <c r="L10" s="0" t="n">
        <f aca="false">-L6*L9/100</f>
        <v>-441.8678182119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14327.712</v>
      </c>
      <c r="D11" s="0" t="n">
        <f aca="false">D8+D10+D24</f>
        <v>13820.01264</v>
      </c>
      <c r="E11" s="0" t="n">
        <f aca="false">E8+E10+E24</f>
        <v>13610.3296896</v>
      </c>
      <c r="F11" s="0" t="n">
        <f aca="false">F8+F10+F24</f>
        <v>13718.078132976</v>
      </c>
      <c r="G11" s="0" t="n">
        <f aca="false">G8+G10+G24</f>
        <v>14129.6204769653</v>
      </c>
      <c r="H11" s="0" t="n">
        <f aca="false">H8+H10+H24</f>
        <v>14571.1283516753</v>
      </c>
      <c r="I11" s="0" t="n">
        <f aca="false">I8+I10+I24</f>
        <v>15008.2622022256</v>
      </c>
      <c r="J11" s="0" t="n">
        <f aca="false">J8+J10+J24</f>
        <v>15467.8562049721</v>
      </c>
      <c r="K11" s="0" t="n">
        <f aca="false">K8+K10+K24</f>
        <v>15854.5526100964</v>
      </c>
      <c r="L11" s="0" t="n">
        <f aca="false">L8+L10+L24</f>
        <v>16250.9164253488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-3737.664</v>
      </c>
      <c r="D12" s="4" t="n">
        <f aca="false">-D6*Assumptions!D17/100</f>
        <v>-3971.268</v>
      </c>
      <c r="E12" s="4" t="n">
        <f aca="false">-E6*Assumptions!E17/100</f>
        <v>-4131.7072272</v>
      </c>
      <c r="F12" s="4" t="n">
        <f aca="false">-F6*Assumptions!F17/100</f>
        <v>-4318.03912176</v>
      </c>
      <c r="G12" s="4" t="n">
        <f aca="false">-G6*Assumptions!G17/100</f>
        <v>-4533.1106857092</v>
      </c>
      <c r="H12" s="4" t="n">
        <f aca="false">-H6*Assumptions!H17/100</f>
        <v>-4669.10400628048</v>
      </c>
      <c r="I12" s="4" t="n">
        <f aca="false">-I6*Assumptions!I17/100</f>
        <v>-4809.17712646889</v>
      </c>
      <c r="J12" s="4" t="n">
        <f aca="false">-J6*Assumptions!J17/100</f>
        <v>-4953.45244026296</v>
      </c>
      <c r="K12" s="4" t="n">
        <f aca="false">-K6*Assumptions!K17/100</f>
        <v>-5077.28875126953</v>
      </c>
      <c r="L12" s="4" t="n">
        <f aca="false">-L6*Assumptions!L17/100</f>
        <v>-5204.22097005127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10590.048</v>
      </c>
      <c r="D13" s="0" t="n">
        <f aca="false">D11+D12</f>
        <v>9848.74464</v>
      </c>
      <c r="E13" s="0" t="n">
        <f aca="false">E11+E12</f>
        <v>9478.6224624</v>
      </c>
      <c r="F13" s="0" t="n">
        <f aca="false">F11+F12</f>
        <v>9400.039011216</v>
      </c>
      <c r="G13" s="0" t="n">
        <f aca="false">G11+G12</f>
        <v>9596.50979125608</v>
      </c>
      <c r="H13" s="0" t="n">
        <f aca="false">H11+H12</f>
        <v>9902.02434539482</v>
      </c>
      <c r="I13" s="0" t="n">
        <f aca="false">I11+I12</f>
        <v>10199.0850757567</v>
      </c>
      <c r="J13" s="0" t="n">
        <f aca="false">J11+J12</f>
        <v>10514.4037647091</v>
      </c>
      <c r="K13" s="0" t="n">
        <f aca="false">K11+K12</f>
        <v>10777.2638588268</v>
      </c>
      <c r="L13" s="0" t="n">
        <f aca="false">L11+L12</f>
        <v>11046.6954552975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8207.2872</v>
      </c>
      <c r="D15" s="0" t="n">
        <f aca="false">D13-MAX(0,D13)*D14/100</f>
        <v>7632.777096</v>
      </c>
      <c r="E15" s="0" t="n">
        <f aca="false">E13-MAX(0,E13)*E14/100</f>
        <v>7345.93240836</v>
      </c>
      <c r="F15" s="0" t="n">
        <f aca="false">F13-MAX(0,F13)*F14/100</f>
        <v>7285.0302336924</v>
      </c>
      <c r="G15" s="0" t="n">
        <f aca="false">G13-MAX(0,G13)*G14/100</f>
        <v>7437.29508822346</v>
      </c>
      <c r="H15" s="0" t="n">
        <f aca="false">H13-MAX(0,H13)*H14/100</f>
        <v>7674.06886768099</v>
      </c>
      <c r="I15" s="0" t="n">
        <f aca="false">I13-MAX(0,I13)*I14/100</f>
        <v>7904.29093371142</v>
      </c>
      <c r="J15" s="0" t="n">
        <f aca="false">J13-MAX(0,J13)*J14/100</f>
        <v>8148.66291764956</v>
      </c>
      <c r="K15" s="0" t="n">
        <f aca="false">K13-MAX(0,K13)*K14/100</f>
        <v>8352.3794905908</v>
      </c>
      <c r="L15" s="0" t="n">
        <f aca="false">L13-MAX(0,L13)*L14/100</f>
        <v>8561.18897785557</v>
      </c>
    </row>
    <row r="16" customFormat="false" ht="15" hidden="false" customHeight="false" outlineLevel="0" collapsed="false">
      <c r="A16" s="0" t="s">
        <v>126</v>
      </c>
      <c r="C16" s="0" t="n">
        <f aca="false">-C12</f>
        <v>3737.664</v>
      </c>
      <c r="D16" s="0" t="n">
        <f aca="false">-D12</f>
        <v>3971.268</v>
      </c>
      <c r="E16" s="0" t="n">
        <f aca="false">-E12</f>
        <v>4131.7072272</v>
      </c>
      <c r="F16" s="0" t="n">
        <f aca="false">-F12</f>
        <v>4318.03912176</v>
      </c>
      <c r="G16" s="0" t="n">
        <f aca="false">-G12</f>
        <v>4533.1106857092</v>
      </c>
      <c r="H16" s="0" t="n">
        <f aca="false">-H12</f>
        <v>4669.10400628048</v>
      </c>
      <c r="I16" s="0" t="n">
        <f aca="false">-I12</f>
        <v>4809.17712646889</v>
      </c>
      <c r="J16" s="0" t="n">
        <f aca="false">-J12</f>
        <v>4953.45244026296</v>
      </c>
      <c r="K16" s="0" t="n">
        <f aca="false">-K12</f>
        <v>5077.28875126953</v>
      </c>
      <c r="L16" s="0" t="n">
        <f aca="false">-L12</f>
        <v>5204.22097005127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-5217.156</v>
      </c>
      <c r="D17" s="4" t="n">
        <f aca="false">-D6*Assumptions!D18/100</f>
        <v>-5321.49912</v>
      </c>
      <c r="E17" s="4" t="n">
        <f aca="false">-E6*Assumptions!E18/100</f>
        <v>-5346.9152352</v>
      </c>
      <c r="F17" s="4" t="n">
        <f aca="false">-F6*Assumptions!F18/100</f>
        <v>-5314.50968832</v>
      </c>
      <c r="G17" s="4" t="n">
        <f aca="false">-G6*Assumptions!G18/100</f>
        <v>-5302.8841983768</v>
      </c>
      <c r="H17" s="4" t="n">
        <f aca="false">-H6*Assumptions!H18/100</f>
        <v>-5285.77812031752</v>
      </c>
      <c r="I17" s="4" t="n">
        <f aca="false">-I6*Assumptions!I18/100</f>
        <v>-5353.6122728616</v>
      </c>
      <c r="J17" s="4" t="n">
        <f aca="false">-J6*Assumptions!J18/100</f>
        <v>-5420.75927425003</v>
      </c>
      <c r="K17" s="4" t="n">
        <f aca="false">-K6*Assumptions!K18/100</f>
        <v>-5556.27825610628</v>
      </c>
      <c r="L17" s="4" t="n">
        <f aca="false">-L6*Assumptions!L18/100</f>
        <v>-5695.18521250893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-68.04</v>
      </c>
      <c r="D18" s="4" t="n">
        <f aca="false">(D6-C6)*Assumptions!$B$23/100</f>
        <v>-46.7208</v>
      </c>
      <c r="E18" s="4" t="n">
        <f aca="false">(E6-D6)*Assumptions!$B$23/100</f>
        <v>-47.6552160000002</v>
      </c>
      <c r="F18" s="4" t="n">
        <f aca="false">(F6-E6)*Assumptions!$B$23/100</f>
        <v>-60.7604003999996</v>
      </c>
      <c r="G18" s="4" t="n">
        <f aca="false">(G6-F6)*Assumptions!$B$23/100</f>
        <v>-74.7352924920002</v>
      </c>
      <c r="H18" s="4" t="n">
        <f aca="false">(H6-G6)*Assumptions!$B$23/100</f>
        <v>-76.9773512667601</v>
      </c>
      <c r="I18" s="4" t="n">
        <f aca="false">(I6-H6)*Assumptions!$B$23/100</f>
        <v>-79.2866718047629</v>
      </c>
      <c r="J18" s="4" t="n">
        <f aca="false">(J6-I6)*Assumptions!$B$23/100</f>
        <v>-81.6652719589057</v>
      </c>
      <c r="K18" s="4" t="n">
        <f aca="false">(K6-J6)*Assumptions!$B$23/100</f>
        <v>-70.0960250980604</v>
      </c>
      <c r="L18" s="4" t="n">
        <f aca="false">(L6-K6)*Assumptions!$B$23/100</f>
        <v>-71.8484257255121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6659.7552</v>
      </c>
      <c r="D19" s="0" t="n">
        <f aca="false">D15+D16+D17+D18</f>
        <v>6235.825176</v>
      </c>
      <c r="E19" s="0" t="n">
        <f aca="false">E15+E16+E17+E18</f>
        <v>6083.06918436</v>
      </c>
      <c r="F19" s="0" t="n">
        <f aca="false">F15+F16+F17+F18</f>
        <v>6227.7992667324</v>
      </c>
      <c r="G19" s="0" t="n">
        <f aca="false">G15+G16+G17+G18</f>
        <v>6592.78628306386</v>
      </c>
      <c r="H19" s="0" t="n">
        <f aca="false">H15+H16+H17+H18</f>
        <v>6980.41740237718</v>
      </c>
      <c r="I19" s="0" t="n">
        <f aca="false">I15+I16+I17+I18</f>
        <v>7280.56911551395</v>
      </c>
      <c r="J19" s="0" t="n">
        <f aca="false">J15+J16+J17+J18</f>
        <v>7599.69081170358</v>
      </c>
      <c r="K19" s="0" t="n">
        <f aca="false">K15+K16+K17+K18</f>
        <v>7803.29396065599</v>
      </c>
      <c r="L19" s="0" t="n">
        <f aca="false">L15+L16+L17+L18</f>
        <v>7998.37630967239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6166.44</v>
      </c>
      <c r="D21" s="0" t="n">
        <f aca="false">D19*D20</f>
        <v>5346.215</v>
      </c>
      <c r="E21" s="0" t="n">
        <f aca="false">E19*E20</f>
        <v>4828.93644290124</v>
      </c>
      <c r="F21" s="0" t="n">
        <f aca="false">F19*F20</f>
        <v>4577.61837827218</v>
      </c>
      <c r="G21" s="0" t="n">
        <f aca="false">G19*G20</f>
        <v>4486.93956588788</v>
      </c>
      <c r="H21" s="0" t="n">
        <f aca="false">H19*H20</f>
        <v>4398.84702994436</v>
      </c>
      <c r="I21" s="0" t="n">
        <f aca="false">I19*I20</f>
        <v>4248.14215094452</v>
      </c>
      <c r="J21" s="0" t="n">
        <f aca="false">J19*J20</f>
        <v>4105.87647739901</v>
      </c>
      <c r="K21" s="0" t="n">
        <f aca="false">K19*K20</f>
        <v>3903.58974404131</v>
      </c>
      <c r="L21" s="0" t="n">
        <f aca="false">L19*L20</f>
        <v>3704.79582189106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45767.4006112815</v>
      </c>
    </row>
    <row r="31" customFormat="false" ht="15" hidden="false" customHeight="false" outlineLevel="0" collapsed="false">
      <c r="A31" s="0" t="s">
        <v>135</v>
      </c>
      <c r="B31" s="0" t="n">
        <f aca="false">L19</f>
        <v>7998.37630967239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135972.397264431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119975.644645086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119975.644645086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55571.9373283659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101339.337939647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52634.3379396474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240.559131351222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-0.443922488785895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2741.38217489926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3479.39503182897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268.990471418536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62756.4910451218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2.68030928599484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4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75600</v>
      </c>
      <c r="C6" s="0" t="n">
        <f aca="false">B6*(1+C5/100)</f>
        <v>78624</v>
      </c>
      <c r="D6" s="0" t="n">
        <f aca="false">C6*(1+D5/100)</f>
        <v>81375.84</v>
      </c>
      <c r="E6" s="0" t="n">
        <f aca="false">D6*(1+E5/100)</f>
        <v>84630.8736</v>
      </c>
      <c r="F6" s="0" t="n">
        <f aca="false">E6*(1+F5/100)</f>
        <v>88439.262912</v>
      </c>
      <c r="G6" s="0" t="n">
        <f aca="false">F6*(1+G5/100)</f>
        <v>92419.02974304</v>
      </c>
      <c r="H6" s="0" t="n">
        <f aca="false">G6*(1+H5/100)</f>
        <v>96115.7909327616</v>
      </c>
      <c r="I6" s="0" t="n">
        <f aca="false">H6*(1+I5/100)</f>
        <v>99960.4225700721</v>
      </c>
      <c r="J6" s="0" t="n">
        <f aca="false">I6*(1+J5/100)</f>
        <v>103459.037360025</v>
      </c>
      <c r="K6" s="0" t="n">
        <f aca="false">J6*(1+K5/100)</f>
        <v>107080.103667625</v>
      </c>
      <c r="L6" s="0" t="n">
        <f aca="false">K6*(1+L5/100)</f>
        <v>110292.506777654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19.3</v>
      </c>
      <c r="D7" s="4" t="n">
        <f aca="false">Assumptions!D28</f>
        <v>18.9</v>
      </c>
      <c r="E7" s="4" t="n">
        <f aca="false">Assumptions!E28</f>
        <v>18.7</v>
      </c>
      <c r="F7" s="4" t="n">
        <f aca="false">Assumptions!F28</f>
        <v>18.7</v>
      </c>
      <c r="G7" s="4" t="n">
        <f aca="false">Assumptions!G28</f>
        <v>18.8</v>
      </c>
      <c r="H7" s="4" t="n">
        <f aca="false">Assumptions!H28</f>
        <v>18.9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15174.432</v>
      </c>
      <c r="D8" s="0" t="n">
        <f aca="false">D6*D7/100</f>
        <v>15380.03376</v>
      </c>
      <c r="E8" s="0" t="n">
        <f aca="false">E6*E7/100</f>
        <v>15825.9733632</v>
      </c>
      <c r="F8" s="0" t="n">
        <f aca="false">F6*F7/100</f>
        <v>16538.142164544</v>
      </c>
      <c r="G8" s="0" t="n">
        <f aca="false">G6*G7/100</f>
        <v>17374.7775916915</v>
      </c>
      <c r="H8" s="0" t="n">
        <f aca="false">H6*H7/100</f>
        <v>18165.8844862919</v>
      </c>
      <c r="I8" s="0" t="n">
        <f aca="false">I6*I7/100</f>
        <v>18992.4802883137</v>
      </c>
      <c r="J8" s="0" t="n">
        <f aca="false">J6*J7/100</f>
        <v>19657.2170984047</v>
      </c>
      <c r="K8" s="0" t="n">
        <f aca="false">K6*K7/100</f>
        <v>20345.2196968488</v>
      </c>
      <c r="L8" s="0" t="n">
        <f aca="false">L6*L7/100</f>
        <v>20955.5762877543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0.48</v>
      </c>
      <c r="G9" s="4" t="n">
        <f aca="false">Assumptions!G29</f>
        <v>0.48</v>
      </c>
      <c r="H9" s="4" t="n">
        <f aca="false">Assumptions!H29</f>
        <v>0.46</v>
      </c>
      <c r="I9" s="4" t="n">
        <f aca="false">Assumptions!I29</f>
        <v>0.46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-393.12</v>
      </c>
      <c r="D10" s="0" t="n">
        <f aca="false">-D6*D9/100</f>
        <v>-406.8792</v>
      </c>
      <c r="E10" s="0" t="n">
        <f aca="false">-E6*E9/100</f>
        <v>-423.154368</v>
      </c>
      <c r="F10" s="0" t="n">
        <f aca="false">-F6*F9/100</f>
        <v>-424.5084619776</v>
      </c>
      <c r="G10" s="0" t="n">
        <f aca="false">-G6*G9/100</f>
        <v>-443.611342766592</v>
      </c>
      <c r="H10" s="0" t="n">
        <f aca="false">-H6*H9/100</f>
        <v>-442.132638290703</v>
      </c>
      <c r="I10" s="0" t="n">
        <f aca="false">-I6*I9/100</f>
        <v>-459.817943822332</v>
      </c>
      <c r="J10" s="0" t="n">
        <f aca="false">-J6*J9/100</f>
        <v>-465.565668120111</v>
      </c>
      <c r="K10" s="0" t="n">
        <f aca="false">-K6*K9/100</f>
        <v>-481.860466504314</v>
      </c>
      <c r="L10" s="0" t="n">
        <f aca="false">-L6*L9/100</f>
        <v>-496.316280499444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14781.312</v>
      </c>
      <c r="D11" s="0" t="n">
        <f aca="false">D8+D10+D24</f>
        <v>14973.15456</v>
      </c>
      <c r="E11" s="0" t="n">
        <f aca="false">E8+E10+E24</f>
        <v>15402.8189952</v>
      </c>
      <c r="F11" s="0" t="n">
        <f aca="false">F8+F10+F24</f>
        <v>16113.6337025664</v>
      </c>
      <c r="G11" s="0" t="n">
        <f aca="false">G8+G10+G24</f>
        <v>16931.1662489249</v>
      </c>
      <c r="H11" s="0" t="n">
        <f aca="false">H8+H10+H24</f>
        <v>17723.7518480012</v>
      </c>
      <c r="I11" s="0" t="n">
        <f aca="false">I8+I10+I24</f>
        <v>18532.6623444914</v>
      </c>
      <c r="J11" s="0" t="n">
        <f aca="false">J8+J10+J24</f>
        <v>19191.6514302846</v>
      </c>
      <c r="K11" s="0" t="n">
        <f aca="false">K8+K10+K24</f>
        <v>19863.3592303445</v>
      </c>
      <c r="L11" s="0" t="n">
        <f aca="false">L8+L10+L24</f>
        <v>20459.2600072549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-3773.952</v>
      </c>
      <c r="D12" s="4" t="n">
        <f aca="false">-D6*Assumptions!D31/100</f>
        <v>-3987.41616</v>
      </c>
      <c r="E12" s="4" t="n">
        <f aca="false">-E6*Assumptions!E31/100</f>
        <v>-4231.54368</v>
      </c>
      <c r="F12" s="4" t="n">
        <f aca="false">-F6*Assumptions!F31/100</f>
        <v>-4421.9631456</v>
      </c>
      <c r="G12" s="4" t="n">
        <f aca="false">-G6*Assumptions!G31/100</f>
        <v>-4713.37051689504</v>
      </c>
      <c r="H12" s="4" t="n">
        <f aca="false">-H6*Assumptions!H31/100</f>
        <v>-4901.90533757084</v>
      </c>
      <c r="I12" s="4" t="n">
        <f aca="false">-I6*Assumptions!I31/100</f>
        <v>-5197.94197364375</v>
      </c>
      <c r="J12" s="4" t="n">
        <f aca="false">-J6*Assumptions!J31/100</f>
        <v>-5379.86994272128</v>
      </c>
      <c r="K12" s="4" t="n">
        <f aca="false">-K6*Assumptions!K31/100</f>
        <v>-5568.16539071652</v>
      </c>
      <c r="L12" s="4" t="n">
        <f aca="false">-L6*Assumptions!L31/100</f>
        <v>-5735.21035243802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11007.36</v>
      </c>
      <c r="D13" s="0" t="n">
        <f aca="false">D11+D12</f>
        <v>10985.7384</v>
      </c>
      <c r="E13" s="0" t="n">
        <f aca="false">E11+E12</f>
        <v>11171.2753152</v>
      </c>
      <c r="F13" s="0" t="n">
        <f aca="false">F11+F12</f>
        <v>11691.6705569664</v>
      </c>
      <c r="G13" s="0" t="n">
        <f aca="false">G11+G12</f>
        <v>12217.7957320299</v>
      </c>
      <c r="H13" s="0" t="n">
        <f aca="false">H11+H12</f>
        <v>12821.8465104304</v>
      </c>
      <c r="I13" s="0" t="n">
        <f aca="false">I11+I12</f>
        <v>13334.7203708476</v>
      </c>
      <c r="J13" s="0" t="n">
        <f aca="false">J11+J12</f>
        <v>13811.7814875633</v>
      </c>
      <c r="K13" s="0" t="n">
        <f aca="false">K11+K12</f>
        <v>14295.193839628</v>
      </c>
      <c r="L13" s="0" t="n">
        <f aca="false">L11+L12</f>
        <v>14724.0496548168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8530.704</v>
      </c>
      <c r="D15" s="0" t="n">
        <f aca="false">D13-MAX(0,D13)*D14/100</f>
        <v>8513.94726</v>
      </c>
      <c r="E15" s="0" t="n">
        <f aca="false">E13-MAX(0,E13)*E14/100</f>
        <v>8657.73836928</v>
      </c>
      <c r="F15" s="0" t="n">
        <f aca="false">F13-MAX(0,F13)*F14/100</f>
        <v>9061.04468164896</v>
      </c>
      <c r="G15" s="0" t="n">
        <f aca="false">G13-MAX(0,G13)*G14/100</f>
        <v>9468.79169232316</v>
      </c>
      <c r="H15" s="0" t="n">
        <f aca="false">H13-MAX(0,H13)*H14/100</f>
        <v>9936.93104558356</v>
      </c>
      <c r="I15" s="0" t="n">
        <f aca="false">I13-MAX(0,I13)*I14/100</f>
        <v>10334.4082874069</v>
      </c>
      <c r="J15" s="0" t="n">
        <f aca="false">J13-MAX(0,J13)*J14/100</f>
        <v>10704.1306528615</v>
      </c>
      <c r="K15" s="0" t="n">
        <f aca="false">K13-MAX(0,K13)*K14/100</f>
        <v>11078.7752257117</v>
      </c>
      <c r="L15" s="0" t="n">
        <f aca="false">L13-MAX(0,L13)*L14/100</f>
        <v>11411.138482483</v>
      </c>
    </row>
    <row r="16" customFormat="false" ht="15" hidden="false" customHeight="false" outlineLevel="0" collapsed="false">
      <c r="A16" s="0" t="s">
        <v>126</v>
      </c>
      <c r="C16" s="0" t="n">
        <f aca="false">-C12</f>
        <v>3773.952</v>
      </c>
      <c r="D16" s="0" t="n">
        <f aca="false">-D12</f>
        <v>3987.41616</v>
      </c>
      <c r="E16" s="0" t="n">
        <f aca="false">-E12</f>
        <v>4231.54368</v>
      </c>
      <c r="F16" s="0" t="n">
        <f aca="false">-F12</f>
        <v>4421.9631456</v>
      </c>
      <c r="G16" s="0" t="n">
        <f aca="false">-G12</f>
        <v>4713.37051689504</v>
      </c>
      <c r="H16" s="0" t="n">
        <f aca="false">-H12</f>
        <v>4901.90533757084</v>
      </c>
      <c r="I16" s="0" t="n">
        <f aca="false">-I12</f>
        <v>5197.94197364375</v>
      </c>
      <c r="J16" s="0" t="n">
        <f aca="false">-J12</f>
        <v>5379.86994272128</v>
      </c>
      <c r="K16" s="0" t="n">
        <f aca="false">-K12</f>
        <v>5568.16539071652</v>
      </c>
      <c r="L16" s="0" t="n">
        <f aca="false">-L12</f>
        <v>5735.21035243802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-5267.808</v>
      </c>
      <c r="D17" s="4" t="n">
        <f aca="false">-D6*Assumptions!D32/100</f>
        <v>-5452.18128</v>
      </c>
      <c r="E17" s="4" t="n">
        <f aca="false">-E6*Assumptions!E32/100</f>
        <v>-5585.6376576</v>
      </c>
      <c r="F17" s="4" t="n">
        <f aca="false">-F6*Assumptions!F32/100</f>
        <v>-5748.55208928</v>
      </c>
      <c r="G17" s="4" t="n">
        <f aca="false">-G6*Assumptions!G32/100</f>
        <v>-5914.81790355456</v>
      </c>
      <c r="H17" s="4" t="n">
        <f aca="false">-H6*Assumptions!H32/100</f>
        <v>-6055.29482876398</v>
      </c>
      <c r="I17" s="4" t="n">
        <f aca="false">-I6*Assumptions!I32/100</f>
        <v>-6197.54619934447</v>
      </c>
      <c r="J17" s="4" t="n">
        <f aca="false">-J6*Assumptions!J32/100</f>
        <v>-6311.0012789615</v>
      </c>
      <c r="K17" s="4" t="n">
        <f aca="false">-K6*Assumptions!K32/100</f>
        <v>-6424.80622005753</v>
      </c>
      <c r="L17" s="4" t="n">
        <f aca="false">-L6*Assumptions!L32/100</f>
        <v>-6617.55040665925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-90.72</v>
      </c>
      <c r="D18" s="4" t="n">
        <f aca="false">(D6-C6)*Assumptions!$B$37/100</f>
        <v>-82.5551999999999</v>
      </c>
      <c r="E18" s="4" t="n">
        <f aca="false">(E6-D6)*Assumptions!$B$37/100</f>
        <v>-97.6510080000003</v>
      </c>
      <c r="F18" s="4" t="n">
        <f aca="false">(F6-E6)*Assumptions!$B$37/100</f>
        <v>-114.25167936</v>
      </c>
      <c r="G18" s="4" t="n">
        <f aca="false">(G6-F6)*Assumptions!$B$37/100</f>
        <v>-119.3930049312</v>
      </c>
      <c r="H18" s="4" t="n">
        <f aca="false">(H6-G6)*Assumptions!$B$37/100</f>
        <v>-110.902835691648</v>
      </c>
      <c r="I18" s="4" t="n">
        <f aca="false">(I6-H6)*Assumptions!$B$37/100</f>
        <v>-115.338949119314</v>
      </c>
      <c r="J18" s="4" t="n">
        <f aca="false">(J6-I6)*Assumptions!$B$37/100</f>
        <v>-104.958443698575</v>
      </c>
      <c r="K18" s="4" t="n">
        <f aca="false">(K6-J6)*Assumptions!$B$37/100</f>
        <v>-108.631989228025</v>
      </c>
      <c r="L18" s="4" t="n">
        <f aca="false">(L6-K6)*Assumptions!$B$37/100</f>
        <v>-96.3720933008631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6946.128</v>
      </c>
      <c r="D19" s="0" t="n">
        <f aca="false">D15+D16+D17+D18</f>
        <v>6966.62694</v>
      </c>
      <c r="E19" s="0" t="n">
        <f aca="false">E15+E16+E17+E18</f>
        <v>7205.99338368</v>
      </c>
      <c r="F19" s="0" t="n">
        <f aca="false">F15+F16+F17+F18</f>
        <v>7620.20405860896</v>
      </c>
      <c r="G19" s="0" t="n">
        <f aca="false">G15+G16+G17+G18</f>
        <v>8147.95130073245</v>
      </c>
      <c r="H19" s="0" t="n">
        <f aca="false">H15+H16+H17+H18</f>
        <v>8672.63871869877</v>
      </c>
      <c r="I19" s="0" t="n">
        <f aca="false">I15+I16+I17+I18</f>
        <v>9219.46511258687</v>
      </c>
      <c r="J19" s="0" t="n">
        <f aca="false">J15+J16+J17+J18</f>
        <v>9668.04087292275</v>
      </c>
      <c r="K19" s="0" t="n">
        <f aca="false">K15+K16+K17+K18</f>
        <v>10113.5024071427</v>
      </c>
      <c r="L19" s="0" t="n">
        <f aca="false">L15+L16+L17+L18</f>
        <v>10432.426334961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6431.6</v>
      </c>
      <c r="D21" s="0" t="n">
        <f aca="false">D19*D20</f>
        <v>5972.75972222222</v>
      </c>
      <c r="E21" s="0" t="n">
        <f aca="false">E19*E20</f>
        <v>5720.34987654321</v>
      </c>
      <c r="F21" s="0" t="n">
        <f aca="false">F19*F20</f>
        <v>5601.07746747828</v>
      </c>
      <c r="G21" s="0" t="n">
        <f aca="false">G19*G20</f>
        <v>5545.35874552781</v>
      </c>
      <c r="H21" s="0" t="n">
        <f aca="false">H19*H20</f>
        <v>5465.23350545437</v>
      </c>
      <c r="I21" s="0" t="n">
        <f aca="false">I19*I20</f>
        <v>5379.46934264876</v>
      </c>
      <c r="J21" s="0" t="n">
        <f aca="false">J19*J20</f>
        <v>5223.34165773348</v>
      </c>
      <c r="K21" s="0" t="n">
        <f aca="false">K19*K20</f>
        <v>5059.26913325464</v>
      </c>
      <c r="L21" s="0" t="n">
        <f aca="false">L19*L20</f>
        <v>4832.23194327708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55230.6913941399</v>
      </c>
    </row>
    <row r="31" customFormat="false" ht="15" hidden="false" customHeight="false" outlineLevel="0" collapsed="false">
      <c r="A31" s="0" t="s">
        <v>135</v>
      </c>
      <c r="B31" s="0" t="n">
        <f aca="false">L19</f>
        <v>10432.426334961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194422.490787909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187783.674029297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187783.674029297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86980.1749789874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142210.866373127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93505.8663731273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427.357707372611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-0.0121181059347873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2932.07695929871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4284.32237975814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460.339422816198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85545.8959466798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58.1531497070349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4.5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75600</v>
      </c>
      <c r="C6" s="0" t="n">
        <f aca="false">B6*(1+C5/100)</f>
        <v>79002</v>
      </c>
      <c r="D6" s="0" t="n">
        <f aca="false">C6*(1+D5/100)</f>
        <v>82952.1</v>
      </c>
      <c r="E6" s="0" t="n">
        <f aca="false">D6*(1+E5/100)</f>
        <v>87514.4655</v>
      </c>
      <c r="F6" s="0" t="n">
        <f aca="false">E6*(1+F5/100)</f>
        <v>92327.7611025</v>
      </c>
      <c r="G6" s="0" t="n">
        <f aca="false">F6*(1+G5/100)</f>
        <v>97405.7879631375</v>
      </c>
      <c r="H6" s="0" t="n">
        <f aca="false">G6*(1+H5/100)</f>
        <v>102276.077361294</v>
      </c>
      <c r="I6" s="0" t="n">
        <f aca="false">H6*(1+I5/100)</f>
        <v>106878.500842553</v>
      </c>
      <c r="J6" s="0" t="n">
        <f aca="false">I6*(1+J5/100)</f>
        <v>111153.640876255</v>
      </c>
      <c r="K6" s="0" t="n">
        <f aca="false">J6*(1+K5/100)</f>
        <v>115044.018306924</v>
      </c>
      <c r="L6" s="0" t="n">
        <f aca="false">K6*(1+L5/100)</f>
        <v>118495.338856131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19.5</v>
      </c>
      <c r="D7" s="4" t="n">
        <f aca="false">Assumptions!D42</f>
        <v>19.4</v>
      </c>
      <c r="E7" s="4" t="n">
        <f aca="false">Assumptions!E42</f>
        <v>19.5</v>
      </c>
      <c r="F7" s="4" t="n">
        <f aca="false">Assumptions!F42</f>
        <v>19.7</v>
      </c>
      <c r="G7" s="4" t="n">
        <f aca="false">Assumptions!G42</f>
        <v>19.9</v>
      </c>
      <c r="H7" s="4" t="n">
        <f aca="false">Assumptions!H42</f>
        <v>20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15405.39</v>
      </c>
      <c r="D8" s="0" t="n">
        <f aca="false">D6*D7/100</f>
        <v>16092.7074</v>
      </c>
      <c r="E8" s="0" t="n">
        <f aca="false">E6*E7/100</f>
        <v>17065.3207725</v>
      </c>
      <c r="F8" s="0" t="n">
        <f aca="false">F6*F7/100</f>
        <v>18188.5689371925</v>
      </c>
      <c r="G8" s="0" t="n">
        <f aca="false">G6*G7/100</f>
        <v>19383.7518046644</v>
      </c>
      <c r="H8" s="0" t="n">
        <f aca="false">H6*H7/100</f>
        <v>20455.2154722589</v>
      </c>
      <c r="I8" s="0" t="n">
        <f aca="false">I6*I7/100</f>
        <v>21375.7001685105</v>
      </c>
      <c r="J8" s="0" t="n">
        <f aca="false">J6*J7/100</f>
        <v>22230.7281752509</v>
      </c>
      <c r="K8" s="0" t="n">
        <f aca="false">K6*K7/100</f>
        <v>23008.8036613847</v>
      </c>
      <c r="L8" s="0" t="n">
        <f aca="false">L6*L7/100</f>
        <v>23699.0677712263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0.48</v>
      </c>
      <c r="G9" s="4" t="n">
        <f aca="false">Assumptions!G43</f>
        <v>0.48</v>
      </c>
      <c r="H9" s="4" t="n">
        <f aca="false">Assumptions!H43</f>
        <v>0.46</v>
      </c>
      <c r="I9" s="4" t="n">
        <f aca="false">Assumptions!I43</f>
        <v>0.46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-395.01</v>
      </c>
      <c r="D10" s="0" t="n">
        <f aca="false">-D6*D9/100</f>
        <v>-414.7605</v>
      </c>
      <c r="E10" s="0" t="n">
        <f aca="false">-E6*E9/100</f>
        <v>-437.5723275</v>
      </c>
      <c r="F10" s="0" t="n">
        <f aca="false">-F6*F9/100</f>
        <v>-443.173253292</v>
      </c>
      <c r="G10" s="0" t="n">
        <f aca="false">-G6*G9/100</f>
        <v>-467.54778222306</v>
      </c>
      <c r="H10" s="0" t="n">
        <f aca="false">-H6*H9/100</f>
        <v>-470.469955861954</v>
      </c>
      <c r="I10" s="0" t="n">
        <f aca="false">-I6*I9/100</f>
        <v>-491.641103875742</v>
      </c>
      <c r="J10" s="0" t="n">
        <f aca="false">-J6*J9/100</f>
        <v>-500.191383943146</v>
      </c>
      <c r="K10" s="0" t="n">
        <f aca="false">-K6*K9/100</f>
        <v>-517.698082381156</v>
      </c>
      <c r="L10" s="0" t="n">
        <f aca="false">-L6*L9/100</f>
        <v>-533.229024852591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15010.38</v>
      </c>
      <c r="D11" s="0" t="n">
        <f aca="false">D8+D10+D24</f>
        <v>15677.9469</v>
      </c>
      <c r="E11" s="0" t="n">
        <f aca="false">E8+E10+E24</f>
        <v>16627.748445</v>
      </c>
      <c r="F11" s="0" t="n">
        <f aca="false">F8+F10+F24</f>
        <v>17745.3956839005</v>
      </c>
      <c r="G11" s="0" t="n">
        <f aca="false">G8+G10+G24</f>
        <v>18916.2040224413</v>
      </c>
      <c r="H11" s="0" t="n">
        <f aca="false">H8+H10+H24</f>
        <v>19984.7455163969</v>
      </c>
      <c r="I11" s="0" t="n">
        <f aca="false">I8+I10+I24</f>
        <v>20884.0590646348</v>
      </c>
      <c r="J11" s="0" t="n">
        <f aca="false">J8+J10+J24</f>
        <v>21730.5367913078</v>
      </c>
      <c r="K11" s="0" t="n">
        <f aca="false">K8+K10+K24</f>
        <v>22491.1055790036</v>
      </c>
      <c r="L11" s="0" t="n">
        <f aca="false">L8+L10+L24</f>
        <v>23165.8387463737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-3792.096</v>
      </c>
      <c r="D12" s="4" t="n">
        <f aca="false">-D6*Assumptions!D45/100</f>
        <v>-4064.6529</v>
      </c>
      <c r="E12" s="4" t="n">
        <f aca="false">-E6*Assumptions!E45/100</f>
        <v>-4375.723275</v>
      </c>
      <c r="F12" s="4" t="n">
        <f aca="false">-F6*Assumptions!F45/100</f>
        <v>-4616.388055125</v>
      </c>
      <c r="G12" s="4" t="n">
        <f aca="false">-G6*Assumptions!G45/100</f>
        <v>-4967.69518612001</v>
      </c>
      <c r="H12" s="4" t="n">
        <f aca="false">-H6*Assumptions!H45/100</f>
        <v>-5216.07994542601</v>
      </c>
      <c r="I12" s="4" t="n">
        <f aca="false">-I6*Assumptions!I45/100</f>
        <v>-5557.68204381274</v>
      </c>
      <c r="J12" s="4" t="n">
        <f aca="false">-J6*Assumptions!J45/100</f>
        <v>-5779.98932556525</v>
      </c>
      <c r="K12" s="4" t="n">
        <f aca="false">-K6*Assumptions!K45/100</f>
        <v>-5982.28895196003</v>
      </c>
      <c r="L12" s="4" t="n">
        <f aca="false">-L6*Assumptions!L45/100</f>
        <v>-6161.75762051883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11218.284</v>
      </c>
      <c r="D13" s="0" t="n">
        <f aca="false">D11+D12</f>
        <v>11613.294</v>
      </c>
      <c r="E13" s="0" t="n">
        <f aca="false">E11+E12</f>
        <v>12252.02517</v>
      </c>
      <c r="F13" s="0" t="n">
        <f aca="false">F11+F12</f>
        <v>13129.0076287755</v>
      </c>
      <c r="G13" s="0" t="n">
        <f aca="false">G11+G12</f>
        <v>13948.5088363213</v>
      </c>
      <c r="H13" s="0" t="n">
        <f aca="false">H11+H12</f>
        <v>14768.6655709709</v>
      </c>
      <c r="I13" s="0" t="n">
        <f aca="false">I11+I12</f>
        <v>15326.377020822</v>
      </c>
      <c r="J13" s="0" t="n">
        <f aca="false">J11+J12</f>
        <v>15950.5474657426</v>
      </c>
      <c r="K13" s="0" t="n">
        <f aca="false">K11+K12</f>
        <v>16508.8166270435</v>
      </c>
      <c r="L13" s="0" t="n">
        <f aca="false">L11+L12</f>
        <v>17004.0811258549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8694.1701</v>
      </c>
      <c r="D15" s="0" t="n">
        <f aca="false">D13-MAX(0,D13)*D14/100</f>
        <v>9000.30285</v>
      </c>
      <c r="E15" s="0" t="n">
        <f aca="false">E13-MAX(0,E13)*E14/100</f>
        <v>9495.31950675</v>
      </c>
      <c r="F15" s="0" t="n">
        <f aca="false">F13-MAX(0,F13)*F14/100</f>
        <v>10174.980912301</v>
      </c>
      <c r="G15" s="0" t="n">
        <f aca="false">G13-MAX(0,G13)*G14/100</f>
        <v>10810.094348149</v>
      </c>
      <c r="H15" s="0" t="n">
        <f aca="false">H13-MAX(0,H13)*H14/100</f>
        <v>11445.7158175025</v>
      </c>
      <c r="I15" s="0" t="n">
        <f aca="false">I13-MAX(0,I13)*I14/100</f>
        <v>11877.9421911371</v>
      </c>
      <c r="J15" s="0" t="n">
        <f aca="false">J13-MAX(0,J13)*J14/100</f>
        <v>12361.6742859505</v>
      </c>
      <c r="K15" s="0" t="n">
        <f aca="false">K13-MAX(0,K13)*K14/100</f>
        <v>12794.3328859587</v>
      </c>
      <c r="L15" s="0" t="n">
        <f aca="false">L13-MAX(0,L13)*L14/100</f>
        <v>13178.1628725375</v>
      </c>
    </row>
    <row r="16" customFormat="false" ht="15" hidden="false" customHeight="false" outlineLevel="0" collapsed="false">
      <c r="A16" s="0" t="s">
        <v>126</v>
      </c>
      <c r="C16" s="0" t="n">
        <f aca="false">-C12</f>
        <v>3792.096</v>
      </c>
      <c r="D16" s="0" t="n">
        <f aca="false">-D12</f>
        <v>4064.6529</v>
      </c>
      <c r="E16" s="0" t="n">
        <f aca="false">-E12</f>
        <v>4375.723275</v>
      </c>
      <c r="F16" s="0" t="n">
        <f aca="false">-F12</f>
        <v>4616.388055125</v>
      </c>
      <c r="G16" s="0" t="n">
        <f aca="false">-G12</f>
        <v>4967.69518612001</v>
      </c>
      <c r="H16" s="0" t="n">
        <f aca="false">-H12</f>
        <v>5216.07994542601</v>
      </c>
      <c r="I16" s="0" t="n">
        <f aca="false">-I12</f>
        <v>5557.68204381274</v>
      </c>
      <c r="J16" s="0" t="n">
        <f aca="false">-J12</f>
        <v>5779.98932556525</v>
      </c>
      <c r="K16" s="0" t="n">
        <f aca="false">-K12</f>
        <v>5982.28895196003</v>
      </c>
      <c r="L16" s="0" t="n">
        <f aca="false">-L12</f>
        <v>6161.75762051883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-5293.134</v>
      </c>
      <c r="D17" s="4" t="n">
        <f aca="false">-D6*Assumptions!D46/100</f>
        <v>-5474.8386</v>
      </c>
      <c r="E17" s="4" t="n">
        <f aca="false">-E6*Assumptions!E46/100</f>
        <v>-5688.4402575</v>
      </c>
      <c r="F17" s="4" t="n">
        <f aca="false">-F6*Assumptions!F46/100</f>
        <v>-5908.97671056</v>
      </c>
      <c r="G17" s="4" t="n">
        <f aca="false">-G6*Assumptions!G46/100</f>
        <v>-6136.56464167766</v>
      </c>
      <c r="H17" s="4" t="n">
        <f aca="false">-H6*Assumptions!H46/100</f>
        <v>-6341.11679640025</v>
      </c>
      <c r="I17" s="4" t="n">
        <f aca="false">-I6*Assumptions!I46/100</f>
        <v>-6519.58855139571</v>
      </c>
      <c r="J17" s="4" t="n">
        <f aca="false">-J6*Assumptions!J46/100</f>
        <v>-6669.21845257528</v>
      </c>
      <c r="K17" s="4" t="n">
        <f aca="false">-K6*Assumptions!K46/100</f>
        <v>-6787.59708010849</v>
      </c>
      <c r="L17" s="4" t="n">
        <f aca="false">-L6*Assumptions!L46/100</f>
        <v>-6872.72965365562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-102.06</v>
      </c>
      <c r="D18" s="4" t="n">
        <f aca="false">(D6-C6)*Assumptions!$B$51/100</f>
        <v>-118.503</v>
      </c>
      <c r="E18" s="4" t="n">
        <f aca="false">(E6-D6)*Assumptions!$B$51/100</f>
        <v>-136.870965</v>
      </c>
      <c r="F18" s="4" t="n">
        <f aca="false">(F6-E6)*Assumptions!$B$51/100</f>
        <v>-144.398868075</v>
      </c>
      <c r="G18" s="4" t="n">
        <f aca="false">(G6-F6)*Assumptions!$B$51/100</f>
        <v>-152.340805819125</v>
      </c>
      <c r="H18" s="4" t="n">
        <f aca="false">(H6-G6)*Assumptions!$B$51/100</f>
        <v>-146.108681944706</v>
      </c>
      <c r="I18" s="4" t="n">
        <f aca="false">(I6-H6)*Assumptions!$B$51/100</f>
        <v>-138.072704437747</v>
      </c>
      <c r="J18" s="4" t="n">
        <f aca="false">(J6-I6)*Assumptions!$B$51/100</f>
        <v>-128.254201011063</v>
      </c>
      <c r="K18" s="4" t="n">
        <f aca="false">(K6-J6)*Assumptions!$B$51/100</f>
        <v>-116.711322920067</v>
      </c>
      <c r="L18" s="4" t="n">
        <f aca="false">(L6-K6)*Assumptions!$B$51/100</f>
        <v>-103.539616476231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7091.0721</v>
      </c>
      <c r="D19" s="0" t="n">
        <f aca="false">D15+D16+D17+D18</f>
        <v>7471.61415</v>
      </c>
      <c r="E19" s="0" t="n">
        <f aca="false">E15+E16+E17+E18</f>
        <v>8045.73155925</v>
      </c>
      <c r="F19" s="0" t="n">
        <f aca="false">F15+F16+F17+F18</f>
        <v>8737.99338879101</v>
      </c>
      <c r="G19" s="0" t="n">
        <f aca="false">G15+G16+G17+G18</f>
        <v>9488.88408677222</v>
      </c>
      <c r="H19" s="0" t="n">
        <f aca="false">H15+H16+H17+H18</f>
        <v>10174.5702845835</v>
      </c>
      <c r="I19" s="0" t="n">
        <f aca="false">I15+I16+I17+I18</f>
        <v>10777.9629791164</v>
      </c>
      <c r="J19" s="0" t="n">
        <f aca="false">J15+J16+J17+J18</f>
        <v>11344.1909579294</v>
      </c>
      <c r="K19" s="0" t="n">
        <f aca="false">K15+K16+K17+K18</f>
        <v>11872.3134348902</v>
      </c>
      <c r="L19" s="0" t="n">
        <f aca="false">L15+L16+L17+L18</f>
        <v>12363.6512229245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6565.8075</v>
      </c>
      <c r="D21" s="0" t="n">
        <f aca="false">D19*D20</f>
        <v>6405.70486111111</v>
      </c>
      <c r="E21" s="0" t="n">
        <f aca="false">E19*E20</f>
        <v>6386.96111432613</v>
      </c>
      <c r="F21" s="0" t="n">
        <f aca="false">F19*F20</f>
        <v>6422.68599429944</v>
      </c>
      <c r="G21" s="0" t="n">
        <f aca="false">G19*G20</f>
        <v>6457.97506805814</v>
      </c>
      <c r="H21" s="0" t="n">
        <f aca="false">H19*H20</f>
        <v>6411.70515993191</v>
      </c>
      <c r="I21" s="0" t="n">
        <f aca="false">I19*I20</f>
        <v>6288.83787880525</v>
      </c>
      <c r="J21" s="0" t="n">
        <f aca="false">J19*J20</f>
        <v>6128.9133944179</v>
      </c>
      <c r="K21" s="0" t="n">
        <f aca="false">K19*K20</f>
        <v>5939.11253326477</v>
      </c>
      <c r="L21" s="0" t="n">
        <f aca="false">L19*L20</f>
        <v>5726.76273540886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62734.4662396235</v>
      </c>
    </row>
    <row r="31" customFormat="false" ht="15" hidden="false" customHeight="false" outlineLevel="0" collapsed="false">
      <c r="A31" s="0" t="s">
        <v>135</v>
      </c>
      <c r="B31" s="0" t="n">
        <f aca="false">L19</f>
        <v>12363.6512229245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254691.215192244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222545.722012641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222545.722012641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103081.72923736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165816.195476983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117111.195476983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535.243123752208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0.237270281442922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3072.19775722732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5087.95716657101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572.538164537392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106121.339663435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104.826966325432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240.559131351222</v>
      </c>
      <c r="C4" s="0" t="n">
        <f aca="false">B4/Assumptions!$B$2-1</f>
        <v>-0.443922488785895</v>
      </c>
      <c r="D4" s="4" t="n">
        <f aca="false">Assumptions!$B$24</f>
        <v>0.25</v>
      </c>
      <c r="E4" s="4" t="n">
        <f aca="false">DCF_Bear!$B$43</f>
        <v>268.990471418536</v>
      </c>
      <c r="F4" s="4" t="n">
        <f aca="false">DCF_Bear!$B$47</f>
        <v>2.68030928599484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427.357707372611</v>
      </c>
      <c r="C5" s="0" t="n">
        <f aca="false">B5/Assumptions!$B$2-1</f>
        <v>-0.0121181059347873</v>
      </c>
      <c r="D5" s="4" t="n">
        <f aca="false">Assumptions!$B$38</f>
        <v>0.5</v>
      </c>
      <c r="E5" s="4" t="n">
        <f aca="false">DCF_Base!$B$43</f>
        <v>460.339422816198</v>
      </c>
      <c r="F5" s="4" t="n">
        <f aca="false">DCF_Base!$B$47</f>
        <v>58.1531497070349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535.243123752208</v>
      </c>
      <c r="C6" s="0" t="n">
        <f aca="false">B6/Assumptions!$B$2-1</f>
        <v>0.237270281442922</v>
      </c>
      <c r="D6" s="4" t="n">
        <f aca="false">Assumptions!$B$52</f>
        <v>0.25</v>
      </c>
      <c r="E6" s="4" t="n">
        <f aca="false">DCF_Bull!$B$43</f>
        <v>572.538164537392</v>
      </c>
      <c r="F6" s="4" t="n">
        <f aca="false">DCF_Bull!$B$47</f>
        <v>104.826966325432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407.629417462163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440.551870397081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-0.0612580482863578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75.8466648496684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55.9533937563743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427.357707372611</v>
      </c>
      <c r="C15" s="3" t="n">
        <v>8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335.515905945859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258.05540006769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198.981838926305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152.478570782277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58.1531497070349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535.663815042123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535.663815042123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535.663815042123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535.663815042123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535.663815042123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478.921404804488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478.921404804488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478.921404804488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478.921404804488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478.921404804488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374.693106668916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405.272552238804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427.357707372611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427.357707372611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427.357707372611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290.483525198908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311.391416259992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335.515905945859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363.661143912703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380.445001415866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226.33609575179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241.204519649869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258.05540006769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277.31354911663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299.534490326944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2026-09-28T21:11:24Z</dcterms:created>
  <dc:creator>openpyxl</dc:creator>
  <dc:description/>
  <dc:language>en-NZ</dc:language>
  <cp:lastModifiedBy/>
  <dcterms:modified xsi:type="dcterms:W3CDTF">2026-09-28T21:11:24Z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