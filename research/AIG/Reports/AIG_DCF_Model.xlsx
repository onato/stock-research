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  <xf numFmtId="9" fontId="0" fillId="0" borderId="0" pivotButton="0" quotePrefix="0" xfId="0"/>
    <xf numFmtId="164" fontId="2" fillId="0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AIG - BVPS Compounding x Exit P/B Model</t>
        </is>
      </c>
    </row>
    <row r="2">
      <c r="A2" s="2" t="inlineStr">
        <is>
          <t>Valuation date</t>
        </is>
      </c>
      <c r="B2" t="inlineStr">
        <is>
          <t>2026-09-26</t>
        </is>
      </c>
    </row>
    <row r="3">
      <c r="A3" s="2" t="inlineStr">
        <is>
          <t>Current price (USD)</t>
        </is>
      </c>
      <c r="B3" t="n">
        <v>74.13</v>
      </c>
    </row>
    <row r="4">
      <c r="A4" s="2" t="inlineStr">
        <is>
          <t>Price as of</t>
        </is>
      </c>
      <c r="B4" t="inlineStr">
        <is>
          <t>2026-09-25T16:05:43Z regular close</t>
        </is>
      </c>
    </row>
    <row r="5">
      <c r="A5" s="2" t="inlineStr">
        <is>
          <t>Shares outstanding (m)</t>
        </is>
      </c>
      <c r="B5" t="n">
        <v>522.89</v>
      </c>
    </row>
    <row r="6">
      <c r="A6" s="2" t="inlineStr">
        <is>
          <t>Shares basis</t>
        </is>
      </c>
      <c r="B6" t="inlineStr">
        <is>
          <t>cover-page, 10-Q filed 2026-07-31</t>
        </is>
      </c>
    </row>
    <row r="7">
      <c r="A7" s="2" t="inlineStr">
        <is>
          <t>Shareholders' equity (m, 2026-06-30)</t>
        </is>
      </c>
      <c r="B7" t="n">
        <v>40606</v>
      </c>
    </row>
    <row r="8">
      <c r="A8" s="2" t="inlineStr">
        <is>
          <t>Book value per share (BVPS0)</t>
        </is>
      </c>
      <c r="B8">
        <f>B7/B5</f>
        <v/>
      </c>
    </row>
    <row r="9">
      <c r="A9" s="2" t="inlineStr">
        <is>
          <t>P/B at current price</t>
        </is>
      </c>
      <c r="B9">
        <f>B3/B8</f>
        <v/>
      </c>
    </row>
    <row r="10">
      <c r="A10" s="2" t="inlineStr">
        <is>
          <t>Net debt treatment</t>
        </is>
      </c>
      <c r="B10" t="inlineStr">
        <is>
          <t>N/A -- insurer model, no net debt deduction (see notes)</t>
        </is>
      </c>
    </row>
    <row r="11">
      <c r="A11" s="2" t="inlineStr">
        <is>
          <t>Goodwill (m)</t>
        </is>
      </c>
      <c r="B11" t="n">
        <v>3400</v>
      </c>
    </row>
    <row r="12">
      <c r="A12" s="2" t="inlineStr">
        <is>
          <t>Tangible BVPS</t>
        </is>
      </c>
      <c r="B12">
        <f>(B7-B11)/B5</f>
        <v/>
      </c>
    </row>
    <row r="14">
      <c r="A14" s="2" t="inlineStr">
        <is>
          <t>Model</t>
        </is>
      </c>
      <c r="B14" t="inlineStr">
        <is>
          <t>BVPS compounding x exit P/B (residual-income-style insurer model, cost of equity discount)</t>
        </is>
      </c>
    </row>
    <row r="15">
      <c r="A15" s="2" t="inlineStr">
        <is>
          <t>Routing</t>
        </is>
      </c>
      <c r="B15" t="inlineStr">
        <is>
          <t>dcf-methods SKILL.md: Insurer, holdco, compounder-of-book -&gt; BVPS compounding x exit P/B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Scenario assumptions and 5-year BVPS / dividend projection</t>
        </is>
      </c>
    </row>
    <row r="3">
      <c r="A3" s="3" t="inlineStr">
        <is>
          <t>BASE</t>
        </is>
      </c>
      <c r="B3" s="3" t="inlineStr">
        <is>
          <t>Y1</t>
        </is>
      </c>
      <c r="C3" s="3" t="inlineStr">
        <is>
          <t>Y2</t>
        </is>
      </c>
      <c r="D3" s="3" t="inlineStr">
        <is>
          <t>Y3</t>
        </is>
      </c>
      <c r="E3" s="3" t="inlineStr">
        <is>
          <t>Y4</t>
        </is>
      </c>
      <c r="F3" s="3" t="inlineStr">
        <is>
          <t>Y5</t>
        </is>
      </c>
      <c r="G3" s="3" t="inlineStr">
        <is>
          <t>Terminal / Exit</t>
        </is>
      </c>
    </row>
    <row r="4">
      <c r="A4" t="inlineStr">
        <is>
          <t>ROE % (core operating)</t>
        </is>
      </c>
      <c r="B4" s="4" t="n">
        <v>0.095</v>
      </c>
      <c r="C4" s="4" t="n">
        <v>0.105</v>
      </c>
      <c r="D4" s="4" t="n">
        <v>0.11</v>
      </c>
      <c r="E4" s="4" t="n">
        <v>0.115</v>
      </c>
      <c r="F4" s="4" t="n">
        <v>0.115</v>
      </c>
    </row>
    <row r="5">
      <c r="A5" t="inlineStr">
        <is>
          <t>Payout ratio %</t>
        </is>
      </c>
      <c r="B5" s="4" t="n">
        <v>0.22</v>
      </c>
      <c r="C5" s="4" t="n">
        <v>0.24</v>
      </c>
      <c r="D5" s="4" t="n">
        <v>0.26</v>
      </c>
      <c r="E5" s="4" t="n">
        <v>0.28</v>
      </c>
      <c r="F5" s="4" t="n">
        <v>0.3</v>
      </c>
    </row>
    <row r="6">
      <c r="A6" t="inlineStr">
        <is>
          <t>BVPS (start of year)</t>
        </is>
      </c>
      <c r="B6">
        <f>Inputs!$B$8</f>
        <v/>
      </c>
      <c r="C6">
        <f>B6+B7-B8</f>
        <v/>
      </c>
      <c r="D6">
        <f>C6+C7-C8</f>
        <v/>
      </c>
      <c r="E6">
        <f>D6+D7-D8</f>
        <v/>
      </c>
      <c r="F6">
        <f>E6+E7-E8</f>
        <v/>
      </c>
    </row>
    <row r="7">
      <c r="A7" t="inlineStr">
        <is>
          <t>Earnings per share (BVPS x ROE)</t>
        </is>
      </c>
      <c r="B7">
        <f>B6*B4</f>
        <v/>
      </c>
      <c r="C7">
        <f>C6*C4</f>
        <v/>
      </c>
      <c r="D7">
        <f>D6*D4</f>
        <v/>
      </c>
      <c r="E7">
        <f>E6*E4</f>
        <v/>
      </c>
      <c r="F7">
        <f>F6*F4</f>
        <v/>
      </c>
    </row>
    <row r="8">
      <c r="A8" t="inlineStr">
        <is>
          <t>Dividend per share</t>
        </is>
      </c>
      <c r="B8" s="5">
        <f>B7*B5</f>
        <v/>
      </c>
      <c r="C8" s="5">
        <f>C7*C5</f>
        <v/>
      </c>
      <c r="D8" s="5">
        <f>D7*D5</f>
        <v/>
      </c>
      <c r="E8" s="5">
        <f>E7*E5</f>
        <v/>
      </c>
      <c r="F8" s="5">
        <f>F7*F5</f>
        <v/>
      </c>
    </row>
    <row r="9">
      <c r="A9" t="inlineStr">
        <is>
          <t>Retained earnings per share</t>
        </is>
      </c>
      <c r="B9">
        <f>B7-B8</f>
        <v/>
      </c>
      <c r="C9">
        <f>C7-C8</f>
        <v/>
      </c>
      <c r="D9">
        <f>D7-D8</f>
        <v/>
      </c>
      <c r="E9">
        <f>E7-E8</f>
        <v/>
      </c>
      <c r="F9">
        <f>F7-F8</f>
        <v/>
      </c>
    </row>
    <row r="10">
      <c r="A10" t="inlineStr">
        <is>
          <t>BVPS (end of year)</t>
        </is>
      </c>
      <c r="B10" s="5">
        <f>B6+B9</f>
        <v/>
      </c>
      <c r="C10" s="5">
        <f>C6+C9</f>
        <v/>
      </c>
      <c r="D10" s="5">
        <f>D6+D9</f>
        <v/>
      </c>
      <c r="E10" s="5">
        <f>E6+E9</f>
        <v/>
      </c>
      <c r="F10" s="5">
        <f>F6+F9</f>
        <v/>
      </c>
    </row>
    <row r="11">
      <c r="A11" t="inlineStr">
        <is>
          <t>Exit P/B multiple</t>
        </is>
      </c>
      <c r="G11" t="n">
        <v>1.05</v>
      </c>
    </row>
    <row r="12">
      <c r="A12" t="inlineStr">
        <is>
          <t>Terminal value per share</t>
        </is>
      </c>
      <c r="G12">
        <f>F10*G11</f>
        <v/>
      </c>
    </row>
    <row r="13">
      <c r="A13" t="inlineStr">
        <is>
          <t>Cost of equity</t>
        </is>
      </c>
      <c r="G13" s="4" t="n">
        <v>0.095</v>
      </c>
    </row>
    <row r="14">
      <c r="A14" t="inlineStr">
        <is>
          <t>PV of dividends</t>
        </is>
      </c>
      <c r="B14">
        <f>B8/(1+$G$13)^1+C8/(1+$G$13)^2+D8/(1+$G$13)^3+E8/(1+$G$13)^4+F8/(1+$G$13)^5</f>
        <v/>
      </c>
    </row>
    <row r="15">
      <c r="A15" t="inlineStr">
        <is>
          <t>PV of terminal value</t>
        </is>
      </c>
      <c r="B15">
        <f>G12/(1+$G$13)^5</f>
        <v/>
      </c>
    </row>
    <row r="16">
      <c r="A16" s="2" t="inlineStr">
        <is>
          <t>Intrinsic value per share</t>
        </is>
      </c>
      <c r="B16" s="6">
        <f>B14+B15</f>
        <v/>
      </c>
    </row>
    <row r="18">
      <c r="A18" s="3" t="inlineStr">
        <is>
          <t>BULL</t>
        </is>
      </c>
      <c r="B18" s="3" t="inlineStr">
        <is>
          <t>Y1</t>
        </is>
      </c>
      <c r="C18" s="3" t="inlineStr">
        <is>
          <t>Y2</t>
        </is>
      </c>
      <c r="D18" s="3" t="inlineStr">
        <is>
          <t>Y3</t>
        </is>
      </c>
      <c r="E18" s="3" t="inlineStr">
        <is>
          <t>Y4</t>
        </is>
      </c>
      <c r="F18" s="3" t="inlineStr">
        <is>
          <t>Y5</t>
        </is>
      </c>
      <c r="G18" s="3" t="inlineStr">
        <is>
          <t>Terminal / Exit</t>
        </is>
      </c>
    </row>
    <row r="19">
      <c r="A19" t="inlineStr">
        <is>
          <t>ROE % (core operating)</t>
        </is>
      </c>
      <c r="B19" s="4" t="n">
        <v>0.105</v>
      </c>
      <c r="C19" s="4" t="n">
        <v>0.12</v>
      </c>
      <c r="D19" s="4" t="n">
        <v>0.13</v>
      </c>
      <c r="E19" s="4" t="n">
        <v>0.13</v>
      </c>
      <c r="F19" s="4" t="n">
        <v>0.13</v>
      </c>
    </row>
    <row r="20">
      <c r="A20" t="inlineStr">
        <is>
          <t>Payout ratio %</t>
        </is>
      </c>
      <c r="B20" s="4" t="n">
        <v>0.2</v>
      </c>
      <c r="C20" s="4" t="n">
        <v>0.22</v>
      </c>
      <c r="D20" s="4" t="n">
        <v>0.24</v>
      </c>
      <c r="E20" s="4" t="n">
        <v>0.26</v>
      </c>
      <c r="F20" s="4" t="n">
        <v>0.28</v>
      </c>
    </row>
    <row r="21">
      <c r="A21" t="inlineStr">
        <is>
          <t>BVPS (start of year)</t>
        </is>
      </c>
      <c r="B21">
        <f>Inputs!$B$8</f>
        <v/>
      </c>
      <c r="C21">
        <f>B21+B22-B23</f>
        <v/>
      </c>
      <c r="D21">
        <f>C21+C22-C23</f>
        <v/>
      </c>
      <c r="E21">
        <f>D21+D22-D23</f>
        <v/>
      </c>
      <c r="F21">
        <f>E21+E22-E23</f>
        <v/>
      </c>
    </row>
    <row r="22">
      <c r="A22" t="inlineStr">
        <is>
          <t>Earnings per share (BVPS x ROE)</t>
        </is>
      </c>
      <c r="B22">
        <f>B21*B19</f>
        <v/>
      </c>
      <c r="C22">
        <f>C21*C19</f>
        <v/>
      </c>
      <c r="D22">
        <f>D21*D19</f>
        <v/>
      </c>
      <c r="E22">
        <f>E21*E19</f>
        <v/>
      </c>
      <c r="F22">
        <f>F21*F19</f>
        <v/>
      </c>
    </row>
    <row r="23">
      <c r="A23" t="inlineStr">
        <is>
          <t>Dividend per share</t>
        </is>
      </c>
      <c r="B23" s="5">
        <f>B22*B20</f>
        <v/>
      </c>
      <c r="C23" s="5">
        <f>C22*C20</f>
        <v/>
      </c>
      <c r="D23" s="5">
        <f>D22*D20</f>
        <v/>
      </c>
      <c r="E23" s="5">
        <f>E22*E20</f>
        <v/>
      </c>
      <c r="F23" s="5">
        <f>F22*F20</f>
        <v/>
      </c>
    </row>
    <row r="24">
      <c r="A24" t="inlineStr">
        <is>
          <t>Retained earnings per share</t>
        </is>
      </c>
      <c r="B24">
        <f>B22-B23</f>
        <v/>
      </c>
      <c r="C24">
        <f>C22-C23</f>
        <v/>
      </c>
      <c r="D24">
        <f>D22-D23</f>
        <v/>
      </c>
      <c r="E24">
        <f>E22-E23</f>
        <v/>
      </c>
      <c r="F24">
        <f>F22-F23</f>
        <v/>
      </c>
    </row>
    <row r="25">
      <c r="A25" t="inlineStr">
        <is>
          <t>BVPS (end of year)</t>
        </is>
      </c>
      <c r="B25" s="5">
        <f>B21+B24</f>
        <v/>
      </c>
      <c r="C25" s="5">
        <f>C21+C24</f>
        <v/>
      </c>
      <c r="D25" s="5">
        <f>D21+D24</f>
        <v/>
      </c>
      <c r="E25" s="5">
        <f>E21+E24</f>
        <v/>
      </c>
      <c r="F25" s="5">
        <f>F21+F24</f>
        <v/>
      </c>
    </row>
    <row r="26">
      <c r="A26" t="inlineStr">
        <is>
          <t>Exit P/B multiple</t>
        </is>
      </c>
      <c r="G26" t="n">
        <v>1.3</v>
      </c>
    </row>
    <row r="27">
      <c r="A27" t="inlineStr">
        <is>
          <t>Terminal value per share</t>
        </is>
      </c>
      <c r="G27">
        <f>F25*G26</f>
        <v/>
      </c>
    </row>
    <row r="28">
      <c r="A28" t="inlineStr">
        <is>
          <t>Cost of equity</t>
        </is>
      </c>
      <c r="G28" s="4" t="n">
        <v>0.09</v>
      </c>
    </row>
    <row r="29">
      <c r="A29" t="inlineStr">
        <is>
          <t>PV of dividends</t>
        </is>
      </c>
      <c r="B29">
        <f>B23/(1+$G$28)^1+C23/(1+$G$28)^2+D23/(1+$G$28)^3+E23/(1+$G$28)^4+F23/(1+$G$28)^5</f>
        <v/>
      </c>
    </row>
    <row r="30">
      <c r="A30" t="inlineStr">
        <is>
          <t>PV of terminal value</t>
        </is>
      </c>
      <c r="B30">
        <f>G27/(1+$G$28)^5</f>
        <v/>
      </c>
    </row>
    <row r="31">
      <c r="A31" s="2" t="inlineStr">
        <is>
          <t>Intrinsic value per share</t>
        </is>
      </c>
      <c r="B31" s="6">
        <f>B29+B30</f>
        <v/>
      </c>
    </row>
    <row r="33">
      <c r="A33" s="3" t="inlineStr">
        <is>
          <t>BEAR</t>
        </is>
      </c>
      <c r="B33" s="3" t="inlineStr">
        <is>
          <t>Y1</t>
        </is>
      </c>
      <c r="C33" s="3" t="inlineStr">
        <is>
          <t>Y2</t>
        </is>
      </c>
      <c r="D33" s="3" t="inlineStr">
        <is>
          <t>Y3</t>
        </is>
      </c>
      <c r="E33" s="3" t="inlineStr">
        <is>
          <t>Y4</t>
        </is>
      </c>
      <c r="F33" s="3" t="inlineStr">
        <is>
          <t>Y5</t>
        </is>
      </c>
      <c r="G33" s="3" t="inlineStr">
        <is>
          <t>Terminal / Exit</t>
        </is>
      </c>
    </row>
    <row r="34">
      <c r="A34" t="inlineStr">
        <is>
          <t>ROE % (core operating)</t>
        </is>
      </c>
      <c r="B34" s="4" t="n">
        <v>0.07000000000000001</v>
      </c>
      <c r="C34" s="4" t="n">
        <v>0.075</v>
      </c>
      <c r="D34" s="4" t="n">
        <v>0.08</v>
      </c>
      <c r="E34" s="4" t="n">
        <v>0.08</v>
      </c>
      <c r="F34" s="4" t="n">
        <v>0.08</v>
      </c>
    </row>
    <row r="35">
      <c r="A35" t="inlineStr">
        <is>
          <t>Payout ratio %</t>
        </is>
      </c>
      <c r="B35" s="4" t="n">
        <v>0.25</v>
      </c>
      <c r="C35" s="4" t="n">
        <v>0.28</v>
      </c>
      <c r="D35" s="4" t="n">
        <v>0.3</v>
      </c>
      <c r="E35" s="4" t="n">
        <v>0.32</v>
      </c>
      <c r="F35" s="4" t="n">
        <v>0.32</v>
      </c>
    </row>
    <row r="36">
      <c r="A36" t="inlineStr">
        <is>
          <t>BVPS (start of year)</t>
        </is>
      </c>
      <c r="B36">
        <f>Inputs!$B$8</f>
        <v/>
      </c>
      <c r="C36">
        <f>B36+B37-B38</f>
        <v/>
      </c>
      <c r="D36">
        <f>C36+C37-C38</f>
        <v/>
      </c>
      <c r="E36">
        <f>D36+D37-D38</f>
        <v/>
      </c>
      <c r="F36">
        <f>E36+E37-E38</f>
        <v/>
      </c>
    </row>
    <row r="37">
      <c r="A37" t="inlineStr">
        <is>
          <t>Earnings per share (BVPS x ROE)</t>
        </is>
      </c>
      <c r="B37">
        <f>B36*B34</f>
        <v/>
      </c>
      <c r="C37">
        <f>C36*C34</f>
        <v/>
      </c>
      <c r="D37">
        <f>D36*D34</f>
        <v/>
      </c>
      <c r="E37">
        <f>E36*E34</f>
        <v/>
      </c>
      <c r="F37">
        <f>F36*F34</f>
        <v/>
      </c>
    </row>
    <row r="38">
      <c r="A38" t="inlineStr">
        <is>
          <t>Dividend per share</t>
        </is>
      </c>
      <c r="B38" s="5">
        <f>B37*B35</f>
        <v/>
      </c>
      <c r="C38" s="5">
        <f>C37*C35</f>
        <v/>
      </c>
      <c r="D38" s="5">
        <f>D37*D35</f>
        <v/>
      </c>
      <c r="E38" s="5">
        <f>E37*E35</f>
        <v/>
      </c>
      <c r="F38" s="5">
        <f>F37*F35</f>
        <v/>
      </c>
    </row>
    <row r="39">
      <c r="A39" t="inlineStr">
        <is>
          <t>Retained earnings per share</t>
        </is>
      </c>
      <c r="B39">
        <f>B37-B38</f>
        <v/>
      </c>
      <c r="C39">
        <f>C37-C38</f>
        <v/>
      </c>
      <c r="D39">
        <f>D37-D38</f>
        <v/>
      </c>
      <c r="E39">
        <f>E37-E38</f>
        <v/>
      </c>
      <c r="F39">
        <f>F37-F38</f>
        <v/>
      </c>
    </row>
    <row r="40">
      <c r="A40" t="inlineStr">
        <is>
          <t>BVPS (end of year)</t>
        </is>
      </c>
      <c r="B40" s="5">
        <f>B36+B39</f>
        <v/>
      </c>
      <c r="C40" s="5">
        <f>C36+C39</f>
        <v/>
      </c>
      <c r="D40" s="5">
        <f>D36+D39</f>
        <v/>
      </c>
      <c r="E40" s="5">
        <f>E36+E39</f>
        <v/>
      </c>
      <c r="F40" s="5">
        <f>F36+F39</f>
        <v/>
      </c>
    </row>
    <row r="41">
      <c r="A41" t="inlineStr">
        <is>
          <t>Exit P/B multiple</t>
        </is>
      </c>
      <c r="G41" t="n">
        <v>0.85</v>
      </c>
    </row>
    <row r="42">
      <c r="A42" t="inlineStr">
        <is>
          <t>Terminal value per share</t>
        </is>
      </c>
      <c r="G42">
        <f>F40*G41</f>
        <v/>
      </c>
    </row>
    <row r="43">
      <c r="A43" t="inlineStr">
        <is>
          <t>Cost of equity</t>
        </is>
      </c>
      <c r="G43" s="4" t="n">
        <v>0.105</v>
      </c>
    </row>
    <row r="44">
      <c r="A44" t="inlineStr">
        <is>
          <t>PV of dividends</t>
        </is>
      </c>
      <c r="B44">
        <f>B38/(1+$G$43)^1+C38/(1+$G$43)^2+D38/(1+$G$43)^3+E38/(1+$G$43)^4+F38/(1+$G$43)^5</f>
        <v/>
      </c>
    </row>
    <row r="45">
      <c r="A45" t="inlineStr">
        <is>
          <t>PV of terminal value</t>
        </is>
      </c>
      <c r="B45">
        <f>G42/(1+$G$43)^5</f>
        <v/>
      </c>
    </row>
    <row r="46">
      <c r="A46" s="2" t="inlineStr">
        <is>
          <t>Intrinsic value per share</t>
        </is>
      </c>
      <c r="B46" s="6">
        <f>B44+B45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AIG Valuation Summary</t>
        </is>
      </c>
    </row>
    <row r="3">
      <c r="A3" s="3" t="inlineStr">
        <is>
          <t>Scenario</t>
        </is>
      </c>
      <c r="B3" s="3" t="inlineStr">
        <is>
          <t>Weight</t>
        </is>
      </c>
      <c r="C3" s="3" t="inlineStr">
        <is>
          <t>Terminal BVPS</t>
        </is>
      </c>
      <c r="D3" s="3" t="inlineStr">
        <is>
          <t>Exit P/B</t>
        </is>
      </c>
      <c r="E3" s="3" t="inlineStr">
        <is>
          <t>Terminal Value/Share</t>
        </is>
      </c>
      <c r="F3" s="3" t="inlineStr">
        <is>
          <t>PV Dividends</t>
        </is>
      </c>
      <c r="G3" s="3" t="inlineStr">
        <is>
          <t>PV Terminal</t>
        </is>
      </c>
      <c r="H3" s="3" t="inlineStr">
        <is>
          <t>Intrinsic Value</t>
        </is>
      </c>
      <c r="I3" s="3" t="inlineStr">
        <is>
          <t>Upside vs Current</t>
        </is>
      </c>
    </row>
    <row r="4">
      <c r="A4" t="inlineStr">
        <is>
          <t>Bear</t>
        </is>
      </c>
      <c r="B4" s="7" t="n">
        <v>0.25</v>
      </c>
      <c r="C4">
        <f>'Scenarios'!F40</f>
        <v/>
      </c>
      <c r="D4">
        <f>'Scenarios'!G41</f>
        <v/>
      </c>
      <c r="E4">
        <f>'Scenarios'!G42</f>
        <v/>
      </c>
      <c r="F4">
        <f>'Scenarios'!B44</f>
        <v/>
      </c>
      <c r="G4">
        <f>'Scenarios'!B45</f>
        <v/>
      </c>
      <c r="H4">
        <f>'Scenarios'!B46</f>
        <v/>
      </c>
      <c r="I4" s="4">
        <f>H4/Inputs!$B$3-1</f>
        <v/>
      </c>
    </row>
    <row r="5">
      <c r="A5" t="inlineStr">
        <is>
          <t>Base</t>
        </is>
      </c>
      <c r="B5" s="7" t="n">
        <v>0.5</v>
      </c>
      <c r="C5">
        <f>'Scenarios'!F10</f>
        <v/>
      </c>
      <c r="D5">
        <f>'Scenarios'!G11</f>
        <v/>
      </c>
      <c r="E5">
        <f>'Scenarios'!G12</f>
        <v/>
      </c>
      <c r="F5">
        <f>'Scenarios'!B14</f>
        <v/>
      </c>
      <c r="G5">
        <f>'Scenarios'!B15</f>
        <v/>
      </c>
      <c r="H5">
        <f>'Scenarios'!B16</f>
        <v/>
      </c>
      <c r="I5" s="4">
        <f>H5/Inputs!$B$3-1</f>
        <v/>
      </c>
    </row>
    <row r="6">
      <c r="A6" t="inlineStr">
        <is>
          <t>Bull</t>
        </is>
      </c>
      <c r="B6" s="7" t="n">
        <v>0.25</v>
      </c>
      <c r="C6">
        <f>'Scenarios'!F25</f>
        <v/>
      </c>
      <c r="D6">
        <f>'Scenarios'!G26</f>
        <v/>
      </c>
      <c r="E6">
        <f>'Scenarios'!G27</f>
        <v/>
      </c>
      <c r="F6">
        <f>'Scenarios'!B29</f>
        <v/>
      </c>
      <c r="G6">
        <f>'Scenarios'!B30</f>
        <v/>
      </c>
      <c r="H6">
        <f>'Scenarios'!B31</f>
        <v/>
      </c>
      <c r="I6" s="4">
        <f>H6/Inputs!$B$3-1</f>
        <v/>
      </c>
    </row>
    <row r="7">
      <c r="A7" s="2" t="inlineStr">
        <is>
          <t>Weighted</t>
        </is>
      </c>
      <c r="H7" s="6">
        <f>SUMPRODUCT(B4:B6,H4:H6)</f>
        <v/>
      </c>
      <c r="I7" s="8">
        <f>H7/Inputs!$B$3-1</f>
        <v/>
      </c>
    </row>
    <row r="9">
      <c r="A9" s="2" t="inlineStr">
        <is>
          <t>Current price</t>
        </is>
      </c>
      <c r="B9">
        <f>Inputs!B3</f>
        <v/>
      </c>
    </row>
    <row r="10">
      <c r="A10" s="2" t="inlineStr">
        <is>
          <t>Current BVPS</t>
        </is>
      </c>
      <c r="B10">
        <f>Inputs!B8</f>
        <v/>
      </c>
    </row>
    <row r="12">
      <c r="A12" s="2" t="inlineStr">
        <is>
          <t>Entry price @ 15% hurdle (weighted)</t>
        </is>
      </c>
      <c r="B12" t="n">
        <v>68.01000000000001</v>
      </c>
    </row>
    <row r="13">
      <c r="A13" s="2" t="inlineStr">
        <is>
          <t>Entry price base</t>
        </is>
      </c>
      <c r="B13" t="n">
        <v>67.79000000000001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Base-case sensitivity: Cost of Equity x Exit P/B</t>
        </is>
      </c>
    </row>
    <row r="3">
      <c r="A3" s="3" t="inlineStr">
        <is>
          <t>Exit P/B \ CoE</t>
        </is>
      </c>
      <c r="B3" s="9" t="n">
        <v>0.08</v>
      </c>
      <c r="C3" s="9" t="n">
        <v>0.08500000000000001</v>
      </c>
      <c r="D3" s="9" t="n">
        <v>0.095</v>
      </c>
      <c r="E3" s="9" t="n">
        <v>0.105</v>
      </c>
      <c r="F3" s="9" t="n">
        <v>0.11</v>
      </c>
    </row>
    <row r="4">
      <c r="A4" t="n">
        <v>0.85</v>
      </c>
      <c r="B4" t="n">
        <v>76.09999999999999</v>
      </c>
      <c r="C4" t="n">
        <v>74.40000000000001</v>
      </c>
      <c r="D4" t="n">
        <v>71.2</v>
      </c>
      <c r="E4" t="n">
        <v>68.2</v>
      </c>
      <c r="F4" t="n">
        <v>66.8</v>
      </c>
    </row>
    <row r="5">
      <c r="A5" t="n">
        <v>0.95</v>
      </c>
      <c r="B5" t="n">
        <v>83.8</v>
      </c>
      <c r="C5" t="n">
        <v>82</v>
      </c>
      <c r="D5" t="n">
        <v>78.5</v>
      </c>
      <c r="E5" t="n">
        <v>75.09999999999999</v>
      </c>
      <c r="F5" t="n">
        <v>73.5</v>
      </c>
    </row>
    <row r="6">
      <c r="A6" t="n">
        <v>1.05</v>
      </c>
      <c r="B6" t="n">
        <v>91.59999999999999</v>
      </c>
      <c r="C6" t="n">
        <v>89.59999999999999</v>
      </c>
      <c r="D6" t="n">
        <v>85.7</v>
      </c>
      <c r="E6" t="n">
        <v>82</v>
      </c>
      <c r="F6" t="n">
        <v>80.3</v>
      </c>
    </row>
    <row r="7">
      <c r="A7" t="n">
        <v>1.15</v>
      </c>
      <c r="B7" t="n">
        <v>99.3</v>
      </c>
      <c r="C7" t="n">
        <v>97.09999999999999</v>
      </c>
      <c r="D7" t="n">
        <v>92.90000000000001</v>
      </c>
      <c r="E7" t="n">
        <v>89</v>
      </c>
      <c r="F7" t="n">
        <v>87.09999999999999</v>
      </c>
    </row>
    <row r="8">
      <c r="A8" t="n">
        <v>1.25</v>
      </c>
      <c r="B8" t="n">
        <v>107.1</v>
      </c>
      <c r="C8" t="n">
        <v>104.7</v>
      </c>
      <c r="D8" t="n">
        <v>100.2</v>
      </c>
      <c r="E8" t="n">
        <v>95.90000000000001</v>
      </c>
      <c r="F8" t="n">
        <v>93.8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Methodology Notes</t>
        </is>
      </c>
    </row>
    <row r="3">
      <c r="A3" t="inlineStr">
        <is>
          <t>Model: BVPS compounding x exit price-to-book, discounted at cost of equity.</t>
        </is>
      </c>
    </row>
    <row r="4">
      <c r="A4" t="inlineStr">
        <is>
          <t>Rationale: AIG is a pure-play P&amp;C insurer post-Corebridge/Validus divestiture. Reported operating cash flow reflects investment-portfolio</t>
        </is>
      </c>
    </row>
    <row r="5">
      <c r="A5" t="inlineStr">
        <is>
          <t>and reserve timing, not a distributable owner-FCF stream -- an owner-FCF DCF would be meaningless. Net debt is not subtracted: the ~$9.2bn</t>
        </is>
      </c>
    </row>
    <row r="6">
      <c r="A6" t="inlineStr">
        <is>
          <t>of holding-company debt funds investable float backing policy liabilities and is already embedded in the book-value base being compounded;</t>
        </is>
      </c>
    </row>
    <row r="7">
      <c r="A7" t="inlineStr">
        <is>
          <t>subtracting it again would double-count exactly as owner-fcf-adaptations.md warns against for a bank/insurer.</t>
        </is>
      </c>
    </row>
    <row r="8"/>
    <row r="9">
      <c r="A9" t="inlineStr">
        <is>
          <t>Anchor: book value per share = $77.66 (equity $40,606m / 522.89m shares), equity as of 2026-06-30 (10-Q), shares as of 2026-07-31 (10-Q cover page).</t>
        </is>
      </c>
    </row>
    <row r="10"/>
    <row r="11">
      <c r="A11" t="inlineStr">
        <is>
          <t>Historical growth: BVPS 3yr CAGR (FY2022-&gt;FY2025) = 6.8%, used as selected_growth_rate. Total equity CAGR is negative and NOT used --</t>
        </is>
      </c>
    </row>
    <row r="12">
      <c r="A12" t="inlineStr">
        <is>
          <t>it mixes ~$20bn+ of Corebridge/Validus divestiture proceeds paid out as buybacks/dividends with organic book growth; share count fell</t>
        </is>
      </c>
    </row>
    <row r="13">
      <c r="A13" t="inlineStr">
        <is>
          <t>from 870m (FY2019) to 523m (current), ~40%, more than offsetting the equity-base shrinkage from the payout.</t>
        </is>
      </c>
    </row>
    <row r="14"/>
    <row r="15">
      <c r="A15" t="inlineStr">
        <is>
          <t>Scenario construction: ROE path (core operating basis) x payout ratio compounds BVPS per share each year; buyback accretion is captured</t>
        </is>
      </c>
    </row>
    <row r="16">
      <c r="A16" t="inlineStr">
        <is>
          <t>implicitly (not as a separate line) because ROE is already applied to equity-per-share on a shrinking share count -- charging it twice</t>
        </is>
      </c>
    </row>
    <row r="17">
      <c r="A17" t="inlineStr">
        <is>
          <t>would double-count exactly as sbc-flat-share-count.md warns against for the owner-FCF engine's SBC treatment.</t>
        </is>
      </c>
    </row>
    <row r="18"/>
    <row r="19">
      <c r="A19" t="inlineStr">
        <is>
          <t>Weights: 25/50/25 bear/base/bull -- wider bear weight than the house 15% default given AIG's persistent reserve-development history,</t>
        </is>
      </c>
    </row>
    <row r="20">
      <c r="A20" t="inlineStr">
        <is>
          <t>the external first-time-CEO transition, and a turning commercial pricing cycle, none of which are solvency risk but all bear on earnings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2026-09-25T16:09:04Z</dcterms:created>
  <dcterms:modified xsi:type="dcterms:W3CDTF">2026-09-25T16:09:32Z</dcterms:modified>
</cp:coreProperties>
</file>