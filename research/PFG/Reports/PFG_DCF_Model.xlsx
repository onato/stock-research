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<sst xmlns="http://schemas.openxmlformats.org/spreadsheetml/2006/main" count="390" uniqueCount="175">
  <si>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</si>
  <si>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PFG</t>
  </si>
  <si>
    <t xml:space="preserve">Company</t>
  </si>
  <si>
    <t xml:space="preserve">Principal Financial Group,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</si>
  <si>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</si>
  <si>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</si>
  <si>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</si>
  <si>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</si>
  <si>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2026-10-01T20:00:01Z regular close (Yahoo Finance chart API; no newer print on 2026-10-02 before the open)</t>
  </si>
  <si>
    <t xml:space="preserve">Balance sheet date</t>
  </si>
  <si>
    <t xml:space="preserve">2026-06-30</t>
  </si>
  <si>
    <t xml:space="preserve">Model</t>
  </si>
  <si>
    <t xml:space="preserve">Retirement-services and insurance FCFE (free capital flow) at cost of equity, net debt held at zero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</si>
  <si>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</si>
  <si>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</si>
  <si>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</si>
  <si>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</si>
  <si>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</si>
  <si>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</si>
  <si>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</si>
  <si>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</si>
  <si>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2026-10-02T06:53:22Z</t>
  </si>
  <si>
    <t xml:space="preserve">Drivers file</t>
  </si>
  <si>
    <t xml:space="preserve">PFG_Drivers.json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</si>
  <si>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</si>
  <si>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</si>
  <si>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</si>
  <si>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Principal is valued as the present value of the free capital flow its holding company can actually distribute -- 75-85% of non-GAAP operating earnings after the statutory capital the insurance subsidiaries must retain -- discounted at a 9.5% cost of equity with no separate net-debt deduction, because corporate interest is already inside the operating margin. GAAP book value was rejected as the compounding base (AOCI -$4.1bn, funds-withheld derivative +$2.1bn, and the company returns rather than retains) but serves as a cross-check: at 30 June 2026 BVPS ex-AOCI was $58.40, growing ~6%/yr net of buybacks; a 1.7x exit P/B on year-5 BVPS-ex-AOCI (~$78) discounted at 9.5% plus five years of dividends (~$3.4-4.2/share/yr) lands around $100-105, in the same neighbourhood as the FCFE base case. The terminal is capped at 13x FCFE in base (10x bear, 15x bull), inside the 11.7x forward operating P/E the market pays today.
key_risks_to_valuation: Capital-retention assumption (capex_pct 2.5% -&gt; 2.2% of revenue, i.e. 80-83% free capital flow conversion) is the single most important driver: every 1pp of revenue retained permanently is roughly $10/share; it is calibrated to the 75-85% guidance band that FY2025 delivered at the top of; Pre-SBC pre-tax operating margin path (16.2% -&gt; 17.0%) rests on RIS reaching the top of its 38-41% range and Benefits and Protection absorbing Beam Benefits accretively; each 0.5pp of permanent margin is ~$4-5/share; $1.6bn of excess and available capital (~$7/share) and the Chile annuities sale proceeds are NOT credited in the bridge; the Beam Benefits consideration (undisclosed, closed 1 Sept 2026) is likewise not deducted -- the two are assumed to roughly offset; Rates and markets: fee revenue on $1.9tn AUA and spread income on the general account move with equities and the curve; the bear case models both adverse together and is still a 10x-multiple outcome, not a solvency one; Operating tax rate held at the 18.5% book rate while cash taxes paid were ~half that in FY2025; if the reserve/DAC timing shelter persists the model is conservative by several dollars a share; GAAP revenue line (the engine's growth base) embeds net realised capital gains/losses and exited-business reinsurance effects; a year of large realised losses would make the margin path look wrong without the underlying operating earnings having moved</t>
  </si>
  <si>
    <t xml:space="preserve">Data sources</t>
  </si>
  <si>
    <t xml:space="preserve">price: Yahoo Finance chart API at inputs.price_as_of; 52-week range 77.90-121.18
financials: PFG_Metrics.csv (SEC XBRL core_metrics, FY2006-Q1 2026); SEC companyfacts API (CIK 1126328) for AOCI, dividends paid, repurchases, income taxes paid, NCI and cover share counts through Q1 2026; Q2 2026 10-Q (pfg-20260630x10q.htm, filed 2026-07-29) for the 30 June 2026 balance sheet, long-term debt note, EPS dilution note, H1-2026 revenues, repurchases and Principal Life dividends to parent; Q2 2026 earnings release (8-K ex-99, filed 2026-07-27) for TTM non-GAAP pre-tax/after-tax operating earnings, segment earnings, equity ex-AOCI and BVPS ex-AOCI; FY2025 earnings release (8-K ex-99, filed 2026-02-09) for FY2025 non-GAAP operating EPS, capital returned and the 2026 outlook; 8-Ks of 2026-06-01 ($400M 5.3% 2037 notes) and 2026-09-10 ($900M revolving credit facility, undrawn)
qualitative: PFG_Analysis.json (2026-10-02): FY2026 guidance of 9-12% non-GAAP operating EPS growth, 75-85% free capital flow conversion, 15-17% non-GAAP ROE, $1.5-1.8bn capital deployment incl. $0.8-1.1bn buybacks; RIS margin 38-41%; Beam Benefits closed Sept 2026; Chile annuities sale pending; Hong Kong pension exit complete</t>
  </si>
  <si>
    <t xml:space="preserve">Scenario narrative: bear</t>
  </si>
  <si>
    <t xml:space="preserve">The two 'high' severity risks in the Analysis -- the rate cycle and equity-market sensitivity -- land together: spread compression and higher hedging cost on the retirement book, fee revenue down with markets, asset-management outflows that never reverse, PRT demand fading with lower rates, and a CRE credit cycle that keeps more capital in the subsidiaries. Growth fades to 1-2%, margin to 14.5%, conversion to ~75%, and the stock de-rates to 10x FCFE. Solvency is not the issue (RBC 406%); the multiple and the margin are.</t>
  </si>
  <si>
    <t xml:space="preserve">Scenario narrative: base</t>
  </si>
  <si>
    <t xml:space="preserve">PFG keeps doing what it did in FY2025: mid-single-digit operating-earnings growth from recordkeeping fees, PRT, International Pension and benefits, turned into 9-12% EPS growth by ~3-4%/yr of share shrink, with 75-85% of operating earnings converted to free capital flow and returned. Value is the FCFE stream at a 9.5% cost of equity capped at 13x in the terminal year; GAAP book value, distorted by AOCI and the funds-withheld derivative, is a cross-check (BVPS ex-AOCI $58.40 at 2Q26; the price is ~1.9x that and ~11.7x FY2026 guided operating EPS), not the model.</t>
  </si>
  <si>
    <t xml:space="preserve">Scenario narrative: bull</t>
  </si>
  <si>
    <t xml:space="preserve">Markets and flows cooperate: AUA compounds, PRT and International Pension grow double digits, Principal Asset Management outflows reverse, Beam/DentaNet lift the benefits franchise, and the capital-light mix lets conversion run at the top of the 75-85% range. Revenue grows 5-5.5% for three years, the pre-SBC pre-tax operating margin reaches 18%, and the exit is 15x FCFE -- still a mature-financial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</si>
  <si>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</si>
  <si>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</si>
  <si>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</si>
  <si>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</si>
  <si>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</si>
  <si>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</si>
  <si>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</si>
  <si>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</si>
  <si>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</si>
  <si>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</si>
  <si>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</si>
  <si>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</si>
  <si>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</si>
  <si>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</si>
  <si>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</si>
  <si>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</si>
  <si>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</si>
  <si>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</si>
  <si>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</si>
  <si>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</si>
  <si>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</si>
  <si>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</si>
  <si>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</si>
  <si>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</si>
  <si>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</si>
  <si>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</si>
  <si>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</si>
  <si>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</si>
  <si>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</si>
  <si>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</si>
  <si>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</si>
  <si>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</si>
  <si>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</si>
  <si>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</si>
  <si>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</si>
  <si>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</si>
  <si>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</si>
  <si>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</si>
  <si>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</si>
  <si>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</si>
  <si>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</si>
  <si>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</si>
  <si>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</si>
  <si>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</si>
  <si>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</si>
  <si>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</si>
  <si>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</si>
  <si>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</si>
  <si>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</si>
  <si>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</si>
  <si>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</si>
  <si>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</si>
  <si>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</si>
  <si>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</si>
  <si>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</si>
  <si>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</si>
  <si>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</si>
  <si>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</si>
  <si>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</si>
  <si>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</si>
  <si>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</si>
  <si>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</si>
  <si>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</si>
  <si>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</si>
  <si>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</si>
  <si>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</si>
  <si>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</si>
  <si>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</si>
  <si>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</si>
  <si>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</si>
  <si>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</si>
  <si>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</si>
  <si>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</si>
  <si>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</si>
  <si>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</si>
  <si>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</si>
  <si>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</si>
  <si>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</si>
  <si>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</si>
  <si>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</si>
  <si>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</si>
  <si>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</si>
  <si>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</si>
  <si>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</si>
  <si>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PFG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</si>
  <si>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</si>
  <si>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</si>
  <si>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</si>
  <si>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</si>
  <si>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</si>
  <si>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</si>
  <si>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</si>
  <si>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</si>
  <si>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</si>
  <si>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</si>
  <si>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</si>
  <si>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</si>
  <si>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</si>
  <si>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</si>
  <si>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</si>
  <si>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</si>
  <si>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</si>
  <si>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</si>
  <si>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</si>
  <si>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</si>
  <si>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</si>
  <si>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</si>
  <si>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</si>
  <si>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</si>
  <si>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</si>
  <si>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</si>
  <si>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</si>
  <si>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</si>
  <si>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</si>
  <si>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</si>
  <si>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PFG owner-FCF component DCF: base case (millions, USD)</t>
  </si>
  <si>
    <t xml:space="preserve">PFG owner-FCF component DCF: bull case (millions, USD)</t>
  </si>
  <si>
    <t xml:space="preserve">PFG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</si>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</sst>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112.24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7919.6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10906.5</v>
      </c>
      <c r="I3" s="0" t="n">
        <v>884.5</v>
      </c>
      <c r="J3" s="0" t="n">
        <v>8.10984275432082</v>
      </c>
      <c r="K3" s="0" t="n">
        <v>3.12</v>
      </c>
      <c r="O3" s="0" t="n">
        <v>7519.3</v>
      </c>
      <c r="S3" s="0" t="n">
        <v>1344.4</v>
      </c>
      <c r="U3" s="0" t="n">
        <v>72.8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9935.9</v>
      </c>
      <c r="I4" s="0" t="n">
        <v>465.8</v>
      </c>
      <c r="J4" s="0" t="n">
        <v>4.68805040308377</v>
      </c>
      <c r="K4" s="0" t="n">
        <v>1.64</v>
      </c>
      <c r="O4" s="0" t="n">
        <v>2569.3</v>
      </c>
      <c r="P4" s="0" t="n">
        <v>128182.4</v>
      </c>
      <c r="Q4" s="0" t="n">
        <v>125613.1</v>
      </c>
      <c r="R4" s="0" t="n">
        <v>1290.5</v>
      </c>
      <c r="S4" s="0" t="n">
        <v>2608</v>
      </c>
      <c r="T4" s="0" t="n">
        <v>261.1</v>
      </c>
      <c r="U4" s="0" t="n">
        <v>31.5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8849.1</v>
      </c>
      <c r="I5" s="0" t="n">
        <v>645.7</v>
      </c>
      <c r="J5" s="0" t="n">
        <v>7.29678724390051</v>
      </c>
      <c r="K5" s="0" t="n">
        <v>1.98</v>
      </c>
      <c r="O5" s="0" t="n">
        <v>7420</v>
      </c>
      <c r="P5" s="0" t="n">
        <v>137759.4</v>
      </c>
      <c r="Q5" s="0" t="n">
        <v>129743</v>
      </c>
      <c r="R5" s="0" t="n">
        <v>1584.6</v>
      </c>
      <c r="S5" s="0" t="n">
        <v>2240.4</v>
      </c>
      <c r="T5" s="0" t="n">
        <v>319</v>
      </c>
      <c r="U5" s="0" t="n">
        <v>37.2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9198.2</v>
      </c>
      <c r="I6" s="0" t="n">
        <v>680.8</v>
      </c>
      <c r="J6" s="0" t="n">
        <v>7.40144810941271</v>
      </c>
      <c r="K6" s="0" t="n">
        <v>1.97</v>
      </c>
      <c r="O6" s="0" t="n">
        <v>9246.8</v>
      </c>
      <c r="P6" s="0" t="n">
        <v>145631.1</v>
      </c>
      <c r="Q6" s="0" t="n">
        <v>135746.1</v>
      </c>
      <c r="R6" s="0" t="n">
        <v>1583.7</v>
      </c>
      <c r="S6" s="0" t="n">
        <v>1877.4</v>
      </c>
      <c r="T6" s="0" t="n">
        <v>323</v>
      </c>
      <c r="U6" s="0" t="n">
        <v>47.6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8670.7</v>
      </c>
      <c r="I7" s="0" t="n">
        <v>674.5</v>
      </c>
      <c r="J7" s="0" t="n">
        <v>7.77907204723955</v>
      </c>
      <c r="K7" s="0" t="n">
        <v>1.92</v>
      </c>
      <c r="O7" s="0" t="n">
        <v>9306.2</v>
      </c>
      <c r="P7" s="0" t="n">
        <v>147361.7</v>
      </c>
      <c r="Q7" s="0" t="n">
        <v>137967.8</v>
      </c>
      <c r="R7" s="0" t="n">
        <v>1564.8</v>
      </c>
      <c r="S7" s="0" t="n">
        <v>2833.9</v>
      </c>
      <c r="T7" s="0" t="n">
        <v>317.6</v>
      </c>
      <c r="U7" s="0" t="n">
        <v>43.4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9215.1</v>
      </c>
      <c r="I8" s="0" t="n">
        <v>825.4</v>
      </c>
      <c r="J8" s="0" t="n">
        <v>8.95703790517737</v>
      </c>
      <c r="K8" s="0" t="n">
        <v>2.6</v>
      </c>
      <c r="O8" s="0" t="n">
        <v>9703.4</v>
      </c>
      <c r="P8" s="0" t="n">
        <v>161830.2</v>
      </c>
      <c r="Q8" s="0" t="n">
        <v>152066.4</v>
      </c>
      <c r="R8" s="0" t="n">
        <v>2671.3</v>
      </c>
      <c r="S8" s="0" t="n">
        <v>4177.2</v>
      </c>
      <c r="T8" s="0" t="n">
        <v>300.4</v>
      </c>
      <c r="U8" s="0" t="n">
        <v>63.8</v>
      </c>
      <c r="V8" s="0" t="n">
        <v>0.78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9289.5</v>
      </c>
      <c r="I9" s="0" t="n">
        <v>936.1</v>
      </c>
      <c r="J9" s="0" t="n">
        <v>10.0769686204855</v>
      </c>
      <c r="K9" s="0" t="n">
        <v>2.99</v>
      </c>
      <c r="O9" s="0" t="n">
        <v>9777</v>
      </c>
      <c r="P9" s="0" t="n">
        <v>208191.4</v>
      </c>
      <c r="Q9" s="0" t="n">
        <v>198167.2</v>
      </c>
      <c r="R9" s="0" t="n">
        <v>2601.4</v>
      </c>
      <c r="S9" s="0" t="n">
        <v>2371.8</v>
      </c>
      <c r="T9" s="0" t="n">
        <v>298.2</v>
      </c>
      <c r="U9" s="0" t="n">
        <v>68.5</v>
      </c>
      <c r="V9" s="0" t="n">
        <v>0.98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10477.6</v>
      </c>
      <c r="I10" s="0" t="n">
        <v>1176.4</v>
      </c>
      <c r="J10" s="0" t="n">
        <v>11.2277620829198</v>
      </c>
      <c r="K10" s="0" t="n">
        <v>3.7</v>
      </c>
      <c r="O10" s="0" t="n">
        <v>10232</v>
      </c>
      <c r="P10" s="0" t="n">
        <v>219087</v>
      </c>
      <c r="Q10" s="0" t="n">
        <v>208797</v>
      </c>
      <c r="R10" s="0" t="n">
        <v>2531.2</v>
      </c>
      <c r="S10" s="0" t="n">
        <v>1863.9</v>
      </c>
      <c r="T10" s="0" t="n">
        <v>298.7</v>
      </c>
      <c r="U10" s="0" t="n">
        <v>75.3</v>
      </c>
      <c r="V10" s="0" t="n">
        <v>1.28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11964.4</v>
      </c>
      <c r="I11" s="0" t="n">
        <v>1253.2</v>
      </c>
      <c r="J11" s="0" t="n">
        <v>10.4744074086457</v>
      </c>
      <c r="K11" s="0" t="n">
        <v>4.11</v>
      </c>
      <c r="L11" s="0" t="n">
        <v>4377.1</v>
      </c>
      <c r="O11" s="0" t="n">
        <v>9377.4</v>
      </c>
      <c r="P11" s="0" t="n">
        <v>218660.3</v>
      </c>
      <c r="Q11" s="0" t="n">
        <v>209197.2</v>
      </c>
      <c r="R11" s="0" t="n">
        <v>3265.2</v>
      </c>
      <c r="S11" s="0" t="n">
        <v>2564.8</v>
      </c>
      <c r="T11" s="0" t="n">
        <v>298</v>
      </c>
      <c r="U11" s="0" t="n">
        <v>84.5</v>
      </c>
      <c r="V11" s="0" t="n">
        <v>1.5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12394.1</v>
      </c>
      <c r="I12" s="0" t="n">
        <v>1361.8</v>
      </c>
      <c r="J12" s="0" t="n">
        <v>10.987485981233</v>
      </c>
      <c r="K12" s="0" t="n">
        <v>4.55</v>
      </c>
      <c r="L12" s="0" t="n">
        <v>3857.8</v>
      </c>
      <c r="O12" s="0" t="n">
        <v>10293.8</v>
      </c>
      <c r="P12" s="0" t="n">
        <v>228014.3</v>
      </c>
      <c r="Q12" s="0" t="n">
        <v>217623</v>
      </c>
      <c r="R12" s="0" t="n">
        <v>3125.7</v>
      </c>
      <c r="S12" s="0" t="n">
        <v>2719.6</v>
      </c>
      <c r="T12" s="0" t="n">
        <v>292.7</v>
      </c>
      <c r="U12" s="0" t="n">
        <v>84.4</v>
      </c>
      <c r="V12" s="0" t="n">
        <v>1.61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14093.2</v>
      </c>
      <c r="I13" s="0" t="n">
        <v>2324.5</v>
      </c>
      <c r="J13" s="0" t="n">
        <v>16.4937700451281</v>
      </c>
      <c r="K13" s="0" t="n">
        <v>8</v>
      </c>
      <c r="L13" s="0" t="n">
        <v>4188</v>
      </c>
      <c r="O13" s="0" t="n">
        <v>12921.9</v>
      </c>
      <c r="P13" s="0" t="n">
        <v>253941.2</v>
      </c>
      <c r="Q13" s="0" t="n">
        <v>240918</v>
      </c>
      <c r="R13" s="0" t="n">
        <v>3178.4</v>
      </c>
      <c r="S13" s="0" t="n">
        <v>2470.8</v>
      </c>
      <c r="T13" s="0" t="n">
        <v>293.1</v>
      </c>
      <c r="U13" s="0" t="n">
        <v>82.7</v>
      </c>
      <c r="V13" s="0" t="n">
        <v>1.87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14237.2</v>
      </c>
      <c r="I14" s="0" t="n">
        <v>1553.7</v>
      </c>
      <c r="J14" s="0" t="n">
        <v>10.9129604135645</v>
      </c>
      <c r="K14" s="0" t="n">
        <v>5.41</v>
      </c>
      <c r="L14" s="0" t="n">
        <v>5156.5</v>
      </c>
      <c r="O14" s="0" t="n">
        <v>11456</v>
      </c>
      <c r="P14" s="0" t="n">
        <v>243036.1</v>
      </c>
      <c r="Q14" s="0" t="n">
        <v>231188.9</v>
      </c>
      <c r="R14" s="0" t="n">
        <v>3259.6</v>
      </c>
      <c r="S14" s="0" t="n">
        <v>2977.5</v>
      </c>
      <c r="T14" s="0" t="n">
        <v>288.8</v>
      </c>
      <c r="U14" s="0" t="n">
        <v>77.4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16222.1</v>
      </c>
      <c r="I15" s="0" t="n">
        <v>1444.1</v>
      </c>
      <c r="J15" s="0" t="n">
        <v>8.90205337163499</v>
      </c>
      <c r="K15" s="0" t="n">
        <v>5</v>
      </c>
      <c r="L15" s="0" t="n">
        <v>5493.2</v>
      </c>
      <c r="O15" s="0" t="n">
        <v>14685.8</v>
      </c>
      <c r="P15" s="0" t="n">
        <v>276087.8</v>
      </c>
      <c r="Q15" s="0" t="n">
        <v>261137.1</v>
      </c>
      <c r="R15" s="0" t="n">
        <v>3734.1</v>
      </c>
      <c r="S15" s="0" t="n">
        <v>2515.9</v>
      </c>
      <c r="T15" s="0" t="n">
        <v>281</v>
      </c>
      <c r="U15" s="0" t="n">
        <v>82.6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14741.7</v>
      </c>
      <c r="I16" s="0" t="n">
        <v>1428.5</v>
      </c>
      <c r="J16" s="0" t="n">
        <v>9.69019855240576</v>
      </c>
      <c r="K16" s="0" t="n">
        <v>5.08</v>
      </c>
      <c r="L16" s="0" t="n">
        <v>3709.3</v>
      </c>
      <c r="O16" s="0" t="n">
        <v>16617.3</v>
      </c>
      <c r="P16" s="0" t="n">
        <v>296627.7</v>
      </c>
      <c r="Q16" s="0" t="n">
        <v>279754.8</v>
      </c>
      <c r="R16" s="0" t="n">
        <v>4279.2</v>
      </c>
      <c r="S16" s="0" t="n">
        <v>2849.8</v>
      </c>
      <c r="T16" s="0" t="n">
        <v>276.6</v>
      </c>
      <c r="U16" s="0" t="n">
        <v>87.2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14427.8</v>
      </c>
      <c r="I17" s="0" t="n">
        <v>1627</v>
      </c>
      <c r="J17" s="0" t="n">
        <v>11.2768405439499</v>
      </c>
      <c r="K17" s="0" t="n">
        <v>5.87</v>
      </c>
      <c r="L17" s="0" t="n">
        <v>3254.4</v>
      </c>
      <c r="O17" s="0" t="n">
        <v>12140.5</v>
      </c>
      <c r="P17" s="0" t="n">
        <v>304657.2</v>
      </c>
      <c r="Q17" s="0" t="n">
        <v>288198.9</v>
      </c>
      <c r="R17" s="0" t="n">
        <v>4280.2</v>
      </c>
      <c r="S17" s="0" t="n">
        <v>2332</v>
      </c>
      <c r="T17" s="0" t="n">
        <v>272.9</v>
      </c>
      <c r="U17" s="0" t="n">
        <v>96.1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17536.1</v>
      </c>
      <c r="I18" s="0" t="n">
        <v>4797.5</v>
      </c>
      <c r="J18" s="0" t="n">
        <v>27.3578503772219</v>
      </c>
      <c r="K18" s="0" t="n">
        <v>18.94</v>
      </c>
      <c r="L18" s="0" t="n">
        <v>3172.9</v>
      </c>
      <c r="O18" s="0" t="n">
        <v>10017.8</v>
      </c>
      <c r="P18" s="0" t="n">
        <v>290867</v>
      </c>
      <c r="Q18" s="0" t="n">
        <v>280587.2</v>
      </c>
      <c r="R18" s="0" t="n">
        <v>3997</v>
      </c>
      <c r="S18" s="0" t="n">
        <v>4848</v>
      </c>
      <c r="T18" s="0" t="n">
        <v>255.3</v>
      </c>
      <c r="U18" s="0" t="n">
        <v>91.3</v>
      </c>
      <c r="V18" s="0" t="n">
        <v>2.56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13665.8</v>
      </c>
      <c r="I19" s="0" t="n">
        <v>670.1</v>
      </c>
      <c r="J19" s="0" t="n">
        <v>4.90348168420436</v>
      </c>
      <c r="K19" s="0" t="n">
        <v>2.58</v>
      </c>
      <c r="L19" s="0" t="n">
        <v>3792.4</v>
      </c>
      <c r="O19" s="0" t="n">
        <v>10961.7</v>
      </c>
      <c r="P19" s="0" t="n">
        <v>305046.7</v>
      </c>
      <c r="Q19" s="0" t="n">
        <v>293836.1</v>
      </c>
      <c r="R19" s="0" t="n">
        <v>3930.9</v>
      </c>
      <c r="S19" s="0" t="n">
        <v>4707.7</v>
      </c>
      <c r="T19" s="0" t="n">
        <v>244.6</v>
      </c>
      <c r="U19" s="0" t="n">
        <v>99.4</v>
      </c>
      <c r="V19" s="0" t="n">
        <v>2.6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16127.7</v>
      </c>
      <c r="I20" s="0" t="n">
        <v>1597.9</v>
      </c>
      <c r="J20" s="0" t="n">
        <v>9.90779838414653</v>
      </c>
      <c r="K20" s="0" t="n">
        <v>6.77</v>
      </c>
      <c r="L20" s="0" t="n">
        <v>4602.9</v>
      </c>
      <c r="O20" s="0" t="n">
        <v>11131.3</v>
      </c>
      <c r="P20" s="0" t="n">
        <v>313663.6</v>
      </c>
      <c r="Q20" s="0" t="n">
        <v>302194.6</v>
      </c>
      <c r="R20" s="0" t="n">
        <v>3955.3</v>
      </c>
      <c r="S20" s="0" t="n">
        <v>4211.9</v>
      </c>
      <c r="T20" s="0" t="n">
        <v>235.3</v>
      </c>
      <c r="U20" s="0" t="n">
        <v>108.7</v>
      </c>
      <c r="V20" s="0" t="n">
        <v>2.85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15625.5</v>
      </c>
      <c r="I21" s="0" t="n">
        <v>1255.5</v>
      </c>
      <c r="J21" s="0" t="n">
        <v>8.03494288182778</v>
      </c>
      <c r="K21" s="0" t="n">
        <v>5.32</v>
      </c>
      <c r="L21" s="0" t="n">
        <v>4536.7</v>
      </c>
      <c r="O21" s="0" t="n">
        <v>11917</v>
      </c>
      <c r="P21" s="0" t="n">
        <v>341376.5</v>
      </c>
      <c r="Q21" s="0" t="n">
        <v>328985.2</v>
      </c>
      <c r="R21" s="0" t="n">
        <v>3926.3</v>
      </c>
      <c r="S21" s="0" t="n">
        <v>4431</v>
      </c>
      <c r="T21" s="0" t="n">
        <v>225.7</v>
      </c>
      <c r="U21" s="0" t="n">
        <v>109.9</v>
      </c>
      <c r="V21" s="0" t="n">
        <v>3.08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112.24</v>
      </c>
    </row>
    <row r="3" customFormat="false" ht="15" hidden="false" customHeight="false" outlineLevel="0" collapsed="false">
      <c r="A3" s="0" t="s">
        <v>86</v>
      </c>
      <c r="B3" s="3" t="n">
        <v>216.9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15625.5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1.5</v>
      </c>
      <c r="D13" s="3" t="n">
        <v>1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15.3</v>
      </c>
      <c r="D14" s="3" t="n">
        <v>15</v>
      </c>
      <c r="E14" s="3" t="n">
        <v>14.8</v>
      </c>
      <c r="F14" s="3" t="n">
        <v>14.6</v>
      </c>
      <c r="G14" s="3" t="n">
        <v>14.5</v>
      </c>
      <c r="H14" s="3" t="n">
        <v>14.5</v>
      </c>
      <c r="I14" s="3" t="n">
        <v>14.5</v>
      </c>
      <c r="J14" s="3" t="n">
        <v>14.5</v>
      </c>
      <c r="K14" s="3" t="n">
        <v>14.5</v>
      </c>
      <c r="L14" s="3" t="n">
        <v>14.5</v>
      </c>
    </row>
    <row r="15" customFormat="false" ht="15" hidden="false" customHeight="false" outlineLevel="0" collapsed="false">
      <c r="A15" s="0" t="s">
        <v>108</v>
      </c>
      <c r="C15" s="3" t="n">
        <v>0.7</v>
      </c>
      <c r="D15" s="3" t="n">
        <v>0.7</v>
      </c>
      <c r="E15" s="3" t="n">
        <v>0.7</v>
      </c>
      <c r="F15" s="3" t="n">
        <v>0.7</v>
      </c>
      <c r="G15" s="3" t="n">
        <v>0.7</v>
      </c>
      <c r="H15" s="3" t="n">
        <v>0.7</v>
      </c>
      <c r="I15" s="3" t="n">
        <v>0.7</v>
      </c>
      <c r="J15" s="3" t="n">
        <v>0.7</v>
      </c>
      <c r="K15" s="3" t="n">
        <v>0.7</v>
      </c>
      <c r="L15" s="3" t="n">
        <v>0.7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111</v>
      </c>
      <c r="C18" s="3" t="n">
        <v>2.8</v>
      </c>
      <c r="D18" s="3" t="n">
        <v>2.8</v>
      </c>
      <c r="E18" s="3" t="n">
        <v>2.7</v>
      </c>
      <c r="F18" s="3" t="n">
        <v>2.7</v>
      </c>
      <c r="G18" s="3" t="n">
        <v>2.6</v>
      </c>
      <c r="H18" s="3" t="n">
        <v>2.6</v>
      </c>
      <c r="I18" s="3" t="n">
        <v>2.6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112</v>
      </c>
      <c r="C19" s="3" t="n">
        <v>19.5</v>
      </c>
      <c r="D19" s="3" t="n">
        <v>19.5</v>
      </c>
      <c r="E19" s="3" t="n">
        <v>19.5</v>
      </c>
      <c r="F19" s="3" t="n">
        <v>19.5</v>
      </c>
      <c r="G19" s="3" t="n">
        <v>19.5</v>
      </c>
      <c r="H19" s="3" t="n">
        <v>19.5</v>
      </c>
      <c r="I19" s="3" t="n">
        <v>19.5</v>
      </c>
      <c r="J19" s="3" t="n">
        <v>19.5</v>
      </c>
      <c r="K19" s="3" t="n">
        <v>19.5</v>
      </c>
      <c r="L19" s="3" t="n">
        <v>19.5</v>
      </c>
    </row>
    <row r="20" customFormat="false" ht="15" hidden="false" customHeight="false" outlineLevel="0" collapsed="false">
      <c r="A20" s="0" t="s">
        <v>113</v>
      </c>
      <c r="B20" s="3" t="n">
        <v>9.5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10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3.5</v>
      </c>
      <c r="D27" s="3" t="n">
        <v>4</v>
      </c>
      <c r="E27" s="3" t="n">
        <v>4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16.2</v>
      </c>
      <c r="D28" s="3" t="n">
        <v>16.4</v>
      </c>
      <c r="E28" s="3" t="n">
        <v>16.6</v>
      </c>
      <c r="F28" s="3" t="n">
        <v>16.8</v>
      </c>
      <c r="G28" s="3" t="n">
        <v>16.9</v>
      </c>
      <c r="H28" s="3" t="n">
        <v>17</v>
      </c>
      <c r="I28" s="3" t="n">
        <v>17</v>
      </c>
      <c r="J28" s="3" t="n">
        <v>17</v>
      </c>
      <c r="K28" s="3" t="n">
        <v>17</v>
      </c>
      <c r="L28" s="3" t="n">
        <v>17</v>
      </c>
    </row>
    <row r="29" customFormat="false" ht="15" hidden="false" customHeight="false" outlineLevel="0" collapsed="false">
      <c r="A29" s="0" t="s">
        <v>108</v>
      </c>
      <c r="C29" s="3" t="n">
        <v>0.7</v>
      </c>
      <c r="D29" s="3" t="n">
        <v>0.7</v>
      </c>
      <c r="E29" s="3" t="n">
        <v>0.69</v>
      </c>
      <c r="F29" s="3" t="n">
        <v>0.69</v>
      </c>
      <c r="G29" s="3" t="n">
        <v>0.68</v>
      </c>
      <c r="H29" s="3" t="n">
        <v>0.68</v>
      </c>
      <c r="I29" s="3" t="n">
        <v>0.67</v>
      </c>
      <c r="J29" s="3" t="n">
        <v>0.67</v>
      </c>
      <c r="K29" s="3" t="n">
        <v>0.66</v>
      </c>
      <c r="L29" s="3" t="n">
        <v>0.65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111</v>
      </c>
      <c r="C32" s="3" t="n">
        <v>2.5</v>
      </c>
      <c r="D32" s="3" t="n">
        <v>2.5</v>
      </c>
      <c r="E32" s="3" t="n">
        <v>2.4</v>
      </c>
      <c r="F32" s="3" t="n">
        <v>2.4</v>
      </c>
      <c r="G32" s="3" t="n">
        <v>2.3</v>
      </c>
      <c r="H32" s="3" t="n">
        <v>2.3</v>
      </c>
      <c r="I32" s="3" t="n">
        <v>2.3</v>
      </c>
      <c r="J32" s="3" t="n">
        <v>2.2</v>
      </c>
      <c r="K32" s="3" t="n">
        <v>2.2</v>
      </c>
      <c r="L32" s="3" t="n">
        <v>2.2</v>
      </c>
    </row>
    <row r="33" customFormat="false" ht="15" hidden="false" customHeight="false" outlineLevel="0" collapsed="false">
      <c r="A33" s="0" t="s">
        <v>112</v>
      </c>
      <c r="C33" s="3" t="n">
        <v>18.5</v>
      </c>
      <c r="D33" s="3" t="n">
        <v>18.5</v>
      </c>
      <c r="E33" s="3" t="n">
        <v>18.5</v>
      </c>
      <c r="F33" s="3" t="n">
        <v>18.5</v>
      </c>
      <c r="G33" s="3" t="n">
        <v>18.5</v>
      </c>
      <c r="H33" s="3" t="n">
        <v>18.5</v>
      </c>
      <c r="I33" s="3" t="n">
        <v>18.5</v>
      </c>
      <c r="J33" s="3" t="n">
        <v>18.5</v>
      </c>
      <c r="K33" s="3" t="n">
        <v>18.5</v>
      </c>
      <c r="L33" s="3" t="n">
        <v>18.5</v>
      </c>
    </row>
    <row r="34" customFormat="false" ht="15" hidden="false" customHeight="false" outlineLevel="0" collapsed="false">
      <c r="A34" s="0" t="s">
        <v>113</v>
      </c>
      <c r="B34" s="3" t="n">
        <v>9.5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13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5</v>
      </c>
      <c r="D41" s="3" t="n">
        <v>5.5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16.5</v>
      </c>
      <c r="D42" s="3" t="n">
        <v>16.8</v>
      </c>
      <c r="E42" s="3" t="n">
        <v>17.1</v>
      </c>
      <c r="F42" s="3" t="n">
        <v>17.4</v>
      </c>
      <c r="G42" s="3" t="n">
        <v>17.6</v>
      </c>
      <c r="H42" s="3" t="n">
        <v>17.8</v>
      </c>
      <c r="I42" s="3" t="n">
        <v>18</v>
      </c>
      <c r="J42" s="3" t="n">
        <v>18</v>
      </c>
      <c r="K42" s="3" t="n">
        <v>18</v>
      </c>
      <c r="L42" s="3" t="n">
        <v>18</v>
      </c>
    </row>
    <row r="43" customFormat="false" ht="15" hidden="false" customHeight="false" outlineLevel="0" collapsed="false">
      <c r="A43" s="0" t="s">
        <v>108</v>
      </c>
      <c r="C43" s="3" t="n">
        <v>0.7</v>
      </c>
      <c r="D43" s="3" t="n">
        <v>0.7</v>
      </c>
      <c r="E43" s="3" t="n">
        <v>0.69</v>
      </c>
      <c r="F43" s="3" t="n">
        <v>0.69</v>
      </c>
      <c r="G43" s="3" t="n">
        <v>0.68</v>
      </c>
      <c r="H43" s="3" t="n">
        <v>0.68</v>
      </c>
      <c r="I43" s="3" t="n">
        <v>0.67</v>
      </c>
      <c r="J43" s="3" t="n">
        <v>0.67</v>
      </c>
      <c r="K43" s="3" t="n">
        <v>0.66</v>
      </c>
      <c r="L43" s="3" t="n">
        <v>0.65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111</v>
      </c>
      <c r="C46" s="3" t="n">
        <v>2.4</v>
      </c>
      <c r="D46" s="3" t="n">
        <v>2.3</v>
      </c>
      <c r="E46" s="3" t="n">
        <v>2.3</v>
      </c>
      <c r="F46" s="3" t="n">
        <v>2.2</v>
      </c>
      <c r="G46" s="3" t="n">
        <v>2.2</v>
      </c>
      <c r="H46" s="3" t="n">
        <v>2.1</v>
      </c>
      <c r="I46" s="3" t="n">
        <v>2.1</v>
      </c>
      <c r="J46" s="3" t="n">
        <v>2</v>
      </c>
      <c r="K46" s="3" t="n">
        <v>2</v>
      </c>
      <c r="L46" s="3" t="n">
        <v>1.9</v>
      </c>
    </row>
    <row r="47" customFormat="false" ht="15" hidden="false" customHeight="false" outlineLevel="0" collapsed="false">
      <c r="A47" s="0" t="s">
        <v>112</v>
      </c>
      <c r="C47" s="3" t="n">
        <v>18</v>
      </c>
      <c r="D47" s="3" t="n">
        <v>18</v>
      </c>
      <c r="E47" s="3" t="n">
        <v>18</v>
      </c>
      <c r="F47" s="3" t="n">
        <v>18</v>
      </c>
      <c r="G47" s="3" t="n">
        <v>18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113</v>
      </c>
      <c r="B48" s="3" t="n">
        <v>9.5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1.5</v>
      </c>
      <c r="D5" s="4" t="n">
        <f aca="false">Assumptions!D13</f>
        <v>1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15625.5</v>
      </c>
      <c r="C6" s="0" t="n">
        <f aca="false">B6*(1+C5/100)</f>
        <v>15859.8825</v>
      </c>
      <c r="D6" s="0" t="n">
        <f aca="false">C6*(1+D5/100)</f>
        <v>16018.481325</v>
      </c>
      <c r="E6" s="0" t="n">
        <f aca="false">D6*(1+E5/100)</f>
        <v>16258.758544875</v>
      </c>
      <c r="F6" s="0" t="n">
        <f aca="false">E6*(1+F5/100)</f>
        <v>16583.9337157725</v>
      </c>
      <c r="G6" s="0" t="n">
        <f aca="false">F6*(1+G5/100)</f>
        <v>16915.612390088</v>
      </c>
      <c r="H6" s="0" t="n">
        <f aca="false">G6*(1+H5/100)</f>
        <v>17253.9246378897</v>
      </c>
      <c r="I6" s="0" t="n">
        <f aca="false">H6*(1+I5/100)</f>
        <v>17599.0031306475</v>
      </c>
      <c r="J6" s="0" t="n">
        <f aca="false">I6*(1+J5/100)</f>
        <v>17950.9831932605</v>
      </c>
      <c r="K6" s="0" t="n">
        <f aca="false">J6*(1+K5/100)</f>
        <v>18310.0028571257</v>
      </c>
      <c r="L6" s="0" t="n">
        <f aca="false">K6*(1+L5/100)</f>
        <v>18676.2029142682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15.3</v>
      </c>
      <c r="D7" s="4" t="n">
        <f aca="false">Assumptions!D14</f>
        <v>15</v>
      </c>
      <c r="E7" s="4" t="n">
        <f aca="false">Assumptions!E14</f>
        <v>14.8</v>
      </c>
      <c r="F7" s="4" t="n">
        <f aca="false">Assumptions!F14</f>
        <v>14.6</v>
      </c>
      <c r="G7" s="4" t="n">
        <f aca="false">Assumptions!G14</f>
        <v>14.5</v>
      </c>
      <c r="H7" s="4" t="n">
        <f aca="false">Assumptions!H14</f>
        <v>14.5</v>
      </c>
      <c r="I7" s="4" t="n">
        <f aca="false">Assumptions!I14</f>
        <v>14.5</v>
      </c>
      <c r="J7" s="4" t="n">
        <f aca="false">Assumptions!J14</f>
        <v>14.5</v>
      </c>
      <c r="K7" s="4" t="n">
        <f aca="false">Assumptions!K14</f>
        <v>14.5</v>
      </c>
      <c r="L7" s="4" t="n">
        <f aca="false">Assumptions!L14</f>
        <v>14.5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2426.5620225</v>
      </c>
      <c r="D8" s="0" t="n">
        <f aca="false">D6*D7/100</f>
        <v>2402.77219875</v>
      </c>
      <c r="E8" s="0" t="n">
        <f aca="false">E6*E7/100</f>
        <v>2406.2962646415</v>
      </c>
      <c r="F8" s="0" t="n">
        <f aca="false">F6*F7/100</f>
        <v>2421.25432250279</v>
      </c>
      <c r="G8" s="0" t="n">
        <f aca="false">G6*G7/100</f>
        <v>2452.76379656275</v>
      </c>
      <c r="H8" s="0" t="n">
        <f aca="false">H6*H7/100</f>
        <v>2501.81907249401</v>
      </c>
      <c r="I8" s="0" t="n">
        <f aca="false">I6*I7/100</f>
        <v>2551.85545394389</v>
      </c>
      <c r="J8" s="0" t="n">
        <f aca="false">J6*J7/100</f>
        <v>2602.89256302277</v>
      </c>
      <c r="K8" s="0" t="n">
        <f aca="false">K6*K7/100</f>
        <v>2654.95041428322</v>
      </c>
      <c r="L8" s="0" t="n">
        <f aca="false">L6*L7/100</f>
        <v>2708.04942256889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0.7</v>
      </c>
      <c r="D9" s="4" t="n">
        <f aca="false">Assumptions!D15</f>
        <v>0.7</v>
      </c>
      <c r="E9" s="4" t="n">
        <f aca="false">Assumptions!E15</f>
        <v>0.7</v>
      </c>
      <c r="F9" s="4" t="n">
        <f aca="false">Assumptions!F15</f>
        <v>0.7</v>
      </c>
      <c r="G9" s="4" t="n">
        <f aca="false">Assumptions!G15</f>
        <v>0.7</v>
      </c>
      <c r="H9" s="4" t="n">
        <f aca="false">Assumptions!H15</f>
        <v>0.7</v>
      </c>
      <c r="I9" s="4" t="n">
        <f aca="false">Assumptions!I15</f>
        <v>0.7</v>
      </c>
      <c r="J9" s="4" t="n">
        <f aca="false">Assumptions!J15</f>
        <v>0.7</v>
      </c>
      <c r="K9" s="4" t="n">
        <f aca="false">Assumptions!K15</f>
        <v>0.7</v>
      </c>
      <c r="L9" s="4" t="n">
        <f aca="false">Assumptions!L15</f>
        <v>0.7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-111.0191775</v>
      </c>
      <c r="D10" s="0" t="n">
        <f aca="false">-D6*D9/100</f>
        <v>-112.129369275</v>
      </c>
      <c r="E10" s="0" t="n">
        <f aca="false">-E6*E9/100</f>
        <v>-113.811309814125</v>
      </c>
      <c r="F10" s="0" t="n">
        <f aca="false">-F6*F9/100</f>
        <v>-116.087536010407</v>
      </c>
      <c r="G10" s="0" t="n">
        <f aca="false">-G6*G9/100</f>
        <v>-118.409286730616</v>
      </c>
      <c r="H10" s="0" t="n">
        <f aca="false">-H6*H9/100</f>
        <v>-120.777472465228</v>
      </c>
      <c r="I10" s="0" t="n">
        <f aca="false">-I6*I9/100</f>
        <v>-123.193021914533</v>
      </c>
      <c r="J10" s="0" t="n">
        <f aca="false">-J6*J9/100</f>
        <v>-125.656882352823</v>
      </c>
      <c r="K10" s="0" t="n">
        <f aca="false">-K6*K9/100</f>
        <v>-128.17001999988</v>
      </c>
      <c r="L10" s="0" t="n">
        <f aca="false">-L6*L9/100</f>
        <v>-130.733420399877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2315.542845</v>
      </c>
      <c r="D11" s="0" t="n">
        <f aca="false">D8+D10+D24</f>
        <v>2290.642829475</v>
      </c>
      <c r="E11" s="0" t="n">
        <f aca="false">E8+E10+E24</f>
        <v>2292.48495482738</v>
      </c>
      <c r="F11" s="0" t="n">
        <f aca="false">F8+F10+F24</f>
        <v>2305.16678649238</v>
      </c>
      <c r="G11" s="0" t="n">
        <f aca="false">G8+G10+G24</f>
        <v>2334.35450983214</v>
      </c>
      <c r="H11" s="0" t="n">
        <f aca="false">H8+H10+H24</f>
        <v>2381.04160002878</v>
      </c>
      <c r="I11" s="0" t="n">
        <f aca="false">I8+I10+I24</f>
        <v>2428.66243202936</v>
      </c>
      <c r="J11" s="0" t="n">
        <f aca="false">J8+J10+J24</f>
        <v>2477.23568066994</v>
      </c>
      <c r="K11" s="0" t="n">
        <f aca="false">K8+K10+K24</f>
        <v>2526.78039428334</v>
      </c>
      <c r="L11" s="0" t="n">
        <f aca="false">L8+L10+L24</f>
        <v>2577.31600216901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2315.542845</v>
      </c>
      <c r="D13" s="0" t="n">
        <f aca="false">D11+D12</f>
        <v>2290.642829475</v>
      </c>
      <c r="E13" s="0" t="n">
        <f aca="false">E11+E12</f>
        <v>2292.48495482738</v>
      </c>
      <c r="F13" s="0" t="n">
        <f aca="false">F11+F12</f>
        <v>2305.16678649238</v>
      </c>
      <c r="G13" s="0" t="n">
        <f aca="false">G11+G12</f>
        <v>2334.35450983214</v>
      </c>
      <c r="H13" s="0" t="n">
        <f aca="false">H11+H12</f>
        <v>2381.04160002878</v>
      </c>
      <c r="I13" s="0" t="n">
        <f aca="false">I11+I12</f>
        <v>2428.66243202936</v>
      </c>
      <c r="J13" s="0" t="n">
        <f aca="false">J11+J12</f>
        <v>2477.23568066994</v>
      </c>
      <c r="K13" s="0" t="n">
        <f aca="false">K11+K12</f>
        <v>2526.78039428334</v>
      </c>
      <c r="L13" s="0" t="n">
        <f aca="false">L11+L12</f>
        <v>2577.31600216901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19.5</v>
      </c>
      <c r="D14" s="4" t="n">
        <f aca="false">Assumptions!D19</f>
        <v>19.5</v>
      </c>
      <c r="E14" s="4" t="n">
        <f aca="false">Assumptions!E19</f>
        <v>19.5</v>
      </c>
      <c r="F14" s="4" t="n">
        <f aca="false">Assumptions!F19</f>
        <v>19.5</v>
      </c>
      <c r="G14" s="4" t="n">
        <f aca="false">Assumptions!G19</f>
        <v>19.5</v>
      </c>
      <c r="H14" s="4" t="n">
        <f aca="false">Assumptions!H19</f>
        <v>19.5</v>
      </c>
      <c r="I14" s="4" t="n">
        <f aca="false">Assumptions!I19</f>
        <v>19.5</v>
      </c>
      <c r="J14" s="4" t="n">
        <f aca="false">Assumptions!J19</f>
        <v>19.5</v>
      </c>
      <c r="K14" s="4" t="n">
        <f aca="false">Assumptions!K19</f>
        <v>19.5</v>
      </c>
      <c r="L14" s="4" t="n">
        <f aca="false">Assumptions!L19</f>
        <v>19.5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1864.011990225</v>
      </c>
      <c r="D15" s="0" t="n">
        <f aca="false">D13-MAX(0,D13)*D14/100</f>
        <v>1843.96747772738</v>
      </c>
      <c r="E15" s="0" t="n">
        <f aca="false">E13-MAX(0,E13)*E14/100</f>
        <v>1845.45038863604</v>
      </c>
      <c r="F15" s="0" t="n">
        <f aca="false">F13-MAX(0,F13)*F14/100</f>
        <v>1855.65926312636</v>
      </c>
      <c r="G15" s="0" t="n">
        <f aca="false">G13-MAX(0,G13)*G14/100</f>
        <v>1879.15538041487</v>
      </c>
      <c r="H15" s="0" t="n">
        <f aca="false">H13-MAX(0,H13)*H14/100</f>
        <v>1916.73848802317</v>
      </c>
      <c r="I15" s="0" t="n">
        <f aca="false">I13-MAX(0,I13)*I14/100</f>
        <v>1955.07325778363</v>
      </c>
      <c r="J15" s="0" t="n">
        <f aca="false">J13-MAX(0,J13)*J14/100</f>
        <v>1994.1747229393</v>
      </c>
      <c r="K15" s="0" t="n">
        <f aca="false">K13-MAX(0,K13)*K14/100</f>
        <v>2034.05821739809</v>
      </c>
      <c r="L15" s="0" t="n">
        <f aca="false">L13-MAX(0,L13)*L14/100</f>
        <v>2074.73938174605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-444.07671</v>
      </c>
      <c r="D17" s="4" t="n">
        <f aca="false">-D6*Assumptions!D18/100</f>
        <v>-448.5174771</v>
      </c>
      <c r="E17" s="4" t="n">
        <f aca="false">-E6*Assumptions!E18/100</f>
        <v>-438.986480711625</v>
      </c>
      <c r="F17" s="4" t="n">
        <f aca="false">-F6*Assumptions!F18/100</f>
        <v>-447.766210325857</v>
      </c>
      <c r="G17" s="4" t="n">
        <f aca="false">-G6*Assumptions!G18/100</f>
        <v>-439.805922142287</v>
      </c>
      <c r="H17" s="4" t="n">
        <f aca="false">-H6*Assumptions!H18/100</f>
        <v>-448.602040585132</v>
      </c>
      <c r="I17" s="4" t="n">
        <f aca="false">-I6*Assumptions!I18/100</f>
        <v>-457.574081396835</v>
      </c>
      <c r="J17" s="4" t="n">
        <f aca="false">-J6*Assumptions!J18/100</f>
        <v>-448.774579831511</v>
      </c>
      <c r="K17" s="4" t="n">
        <f aca="false">-K6*Assumptions!K18/100</f>
        <v>-457.750071428142</v>
      </c>
      <c r="L17" s="4" t="n">
        <f aca="false">-L6*Assumptions!L18/100</f>
        <v>-466.905072856704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1419.935280225</v>
      </c>
      <c r="D19" s="0" t="n">
        <f aca="false">D15+D16+D17+D18</f>
        <v>1395.45000062738</v>
      </c>
      <c r="E19" s="0" t="n">
        <f aca="false">E15+E16+E17+E18</f>
        <v>1406.46390792441</v>
      </c>
      <c r="F19" s="0" t="n">
        <f aca="false">F15+F16+F17+F18</f>
        <v>1407.89305280051</v>
      </c>
      <c r="G19" s="0" t="n">
        <f aca="false">G15+G16+G17+G18</f>
        <v>1439.34945827258</v>
      </c>
      <c r="H19" s="0" t="n">
        <f aca="false">H15+H16+H17+H18</f>
        <v>1468.13644743804</v>
      </c>
      <c r="I19" s="0" t="n">
        <f aca="false">I15+I16+I17+I18</f>
        <v>1497.4991763868</v>
      </c>
      <c r="J19" s="0" t="n">
        <f aca="false">J15+J16+J17+J18</f>
        <v>1545.40014310779</v>
      </c>
      <c r="K19" s="0" t="n">
        <f aca="false">K15+K16+K17+K18</f>
        <v>1576.30814596995</v>
      </c>
      <c r="L19" s="0" t="n">
        <f aca="false">L15+L16+L17+L18</f>
        <v>1607.83430888935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1296.74454815069</v>
      </c>
      <c r="D21" s="0" t="n">
        <f aca="false">D19*D20</f>
        <v>1163.82060476418</v>
      </c>
      <c r="E21" s="0" t="n">
        <f aca="false">E19*E20</f>
        <v>1071.23865227591</v>
      </c>
      <c r="F21" s="0" t="n">
        <f aca="false">F19*F20</f>
        <v>979.294215502235</v>
      </c>
      <c r="G21" s="0" t="n">
        <f aca="false">G19*G20</f>
        <v>914.314595903205</v>
      </c>
      <c r="H21" s="0" t="n">
        <f aca="false">H19*H20</f>
        <v>851.690308512575</v>
      </c>
      <c r="I21" s="0" t="n">
        <f aca="false">I19*I20</f>
        <v>793.355355874727</v>
      </c>
      <c r="J21" s="0" t="n">
        <f aca="false">J19*J20</f>
        <v>747.70105720991</v>
      </c>
      <c r="K21" s="0" t="n">
        <f aca="false">K19*K20</f>
        <v>696.488656031149</v>
      </c>
      <c r="L21" s="0" t="n">
        <f aca="false">L19*L20</f>
        <v>648.783953563262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9163.43194778784</v>
      </c>
    </row>
    <row r="31" customFormat="false" ht="15" hidden="false" customHeight="false" outlineLevel="0" collapsed="false">
      <c r="A31" s="0" t="s">
        <v>137</v>
      </c>
      <c r="B31" s="0" t="n">
        <f aca="false">L19</f>
        <v>1607.83430888935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21866.5466008951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16078.3430888935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16078.3430888935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6487.83953563262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15651.2714834205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15651.2714834205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72.1589280010164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-0.357101496783532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743.064966742404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717.437941447584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78.8924591591076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12615.3153466703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47.95732562651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3.5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15625.5</v>
      </c>
      <c r="C6" s="0" t="n">
        <f aca="false">B6*(1+C5/100)</f>
        <v>16172.3925</v>
      </c>
      <c r="D6" s="0" t="n">
        <f aca="false">C6*(1+D5/100)</f>
        <v>16819.2882</v>
      </c>
      <c r="E6" s="0" t="n">
        <f aca="false">D6*(1+E5/100)</f>
        <v>17492.059728</v>
      </c>
      <c r="F6" s="0" t="n">
        <f aca="false">E6*(1+F5/100)</f>
        <v>18104.28181848</v>
      </c>
      <c r="G6" s="0" t="n">
        <f aca="false">F6*(1+G5/100)</f>
        <v>18737.9316821268</v>
      </c>
      <c r="H6" s="0" t="n">
        <f aca="false">G6*(1+H5/100)</f>
        <v>19300.0696325906</v>
      </c>
      <c r="I6" s="0" t="n">
        <f aca="false">H6*(1+I5/100)</f>
        <v>19879.0717215683</v>
      </c>
      <c r="J6" s="0" t="n">
        <f aca="false">I6*(1+J5/100)</f>
        <v>20376.0485146075</v>
      </c>
      <c r="K6" s="0" t="n">
        <f aca="false">J6*(1+K5/100)</f>
        <v>20885.4497274727</v>
      </c>
      <c r="L6" s="0" t="n">
        <f aca="false">K6*(1+L5/100)</f>
        <v>21407.5859706595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16.2</v>
      </c>
      <c r="D7" s="4" t="n">
        <f aca="false">Assumptions!D28</f>
        <v>16.4</v>
      </c>
      <c r="E7" s="4" t="n">
        <f aca="false">Assumptions!E28</f>
        <v>16.6</v>
      </c>
      <c r="F7" s="4" t="n">
        <f aca="false">Assumptions!F28</f>
        <v>16.8</v>
      </c>
      <c r="G7" s="4" t="n">
        <f aca="false">Assumptions!G28</f>
        <v>16.9</v>
      </c>
      <c r="H7" s="4" t="n">
        <f aca="false">Assumptions!H28</f>
        <v>17</v>
      </c>
      <c r="I7" s="4" t="n">
        <f aca="false">Assumptions!I28</f>
        <v>17</v>
      </c>
      <c r="J7" s="4" t="n">
        <f aca="false">Assumptions!J28</f>
        <v>17</v>
      </c>
      <c r="K7" s="4" t="n">
        <f aca="false">Assumptions!K28</f>
        <v>17</v>
      </c>
      <c r="L7" s="4" t="n">
        <f aca="false">Assumptions!L28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2619.927585</v>
      </c>
      <c r="D8" s="0" t="n">
        <f aca="false">D6*D7/100</f>
        <v>2758.3632648</v>
      </c>
      <c r="E8" s="0" t="n">
        <f aca="false">E6*E7/100</f>
        <v>2903.681914848</v>
      </c>
      <c r="F8" s="0" t="n">
        <f aca="false">F6*F7/100</f>
        <v>3041.51934550464</v>
      </c>
      <c r="G8" s="0" t="n">
        <f aca="false">G6*G7/100</f>
        <v>3166.71045427943</v>
      </c>
      <c r="H8" s="0" t="n">
        <f aca="false">H6*H7/100</f>
        <v>3281.0118375404</v>
      </c>
      <c r="I8" s="0" t="n">
        <f aca="false">I6*I7/100</f>
        <v>3379.44219266661</v>
      </c>
      <c r="J8" s="0" t="n">
        <f aca="false">J6*J7/100</f>
        <v>3463.92824748328</v>
      </c>
      <c r="K8" s="0" t="n">
        <f aca="false">K6*K7/100</f>
        <v>3550.52645367036</v>
      </c>
      <c r="L8" s="0" t="n">
        <f aca="false">L6*L7/100</f>
        <v>3639.28961501212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0.7</v>
      </c>
      <c r="D9" s="4" t="n">
        <f aca="false">Assumptions!D29</f>
        <v>0.7</v>
      </c>
      <c r="E9" s="4" t="n">
        <f aca="false">Assumptions!E29</f>
        <v>0.69</v>
      </c>
      <c r="F9" s="4" t="n">
        <f aca="false">Assumptions!F29</f>
        <v>0.69</v>
      </c>
      <c r="G9" s="4" t="n">
        <f aca="false">Assumptions!G29</f>
        <v>0.68</v>
      </c>
      <c r="H9" s="4" t="n">
        <f aca="false">Assumptions!H29</f>
        <v>0.68</v>
      </c>
      <c r="I9" s="4" t="n">
        <f aca="false">Assumptions!I29</f>
        <v>0.67</v>
      </c>
      <c r="J9" s="4" t="n">
        <f aca="false">Assumptions!J29</f>
        <v>0.67</v>
      </c>
      <c r="K9" s="4" t="n">
        <f aca="false">Assumptions!K29</f>
        <v>0.66</v>
      </c>
      <c r="L9" s="4" t="n">
        <f aca="false">Assumptions!L29</f>
        <v>0.65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-113.2067475</v>
      </c>
      <c r="D10" s="0" t="n">
        <f aca="false">-D6*D9/100</f>
        <v>-117.7350174</v>
      </c>
      <c r="E10" s="0" t="n">
        <f aca="false">-E6*E9/100</f>
        <v>-120.6952121232</v>
      </c>
      <c r="F10" s="0" t="n">
        <f aca="false">-F6*F9/100</f>
        <v>-124.919544547512</v>
      </c>
      <c r="G10" s="0" t="n">
        <f aca="false">-G6*G9/100</f>
        <v>-127.417935438462</v>
      </c>
      <c r="H10" s="0" t="n">
        <f aca="false">-H6*H9/100</f>
        <v>-131.240473501616</v>
      </c>
      <c r="I10" s="0" t="n">
        <f aca="false">-I6*I9/100</f>
        <v>-133.189780534508</v>
      </c>
      <c r="J10" s="0" t="n">
        <f aca="false">-J6*J9/100</f>
        <v>-136.51952504787</v>
      </c>
      <c r="K10" s="0" t="n">
        <f aca="false">-K6*K9/100</f>
        <v>-137.84396820132</v>
      </c>
      <c r="L10" s="0" t="n">
        <f aca="false">-L6*L9/100</f>
        <v>-139.149308809287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2506.7208375</v>
      </c>
      <c r="D11" s="0" t="n">
        <f aca="false">D8+D10+D24</f>
        <v>2640.6282474</v>
      </c>
      <c r="E11" s="0" t="n">
        <f aca="false">E8+E10+E24</f>
        <v>2782.9867027248</v>
      </c>
      <c r="F11" s="0" t="n">
        <f aca="false">F8+F10+F24</f>
        <v>2916.59980095713</v>
      </c>
      <c r="G11" s="0" t="n">
        <f aca="false">G8+G10+G24</f>
        <v>3039.29251884097</v>
      </c>
      <c r="H11" s="0" t="n">
        <f aca="false">H8+H10+H24</f>
        <v>3149.77136403879</v>
      </c>
      <c r="I11" s="0" t="n">
        <f aca="false">I8+I10+I24</f>
        <v>3246.25241213211</v>
      </c>
      <c r="J11" s="0" t="n">
        <f aca="false">J8+J10+J24</f>
        <v>3327.40872243541</v>
      </c>
      <c r="K11" s="0" t="n">
        <f aca="false">K8+K10+K24</f>
        <v>3412.68248546904</v>
      </c>
      <c r="L11" s="0" t="n">
        <f aca="false">L8+L10+L24</f>
        <v>3500.14030620283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2506.7208375</v>
      </c>
      <c r="D13" s="0" t="n">
        <f aca="false">D11+D12</f>
        <v>2640.6282474</v>
      </c>
      <c r="E13" s="0" t="n">
        <f aca="false">E11+E12</f>
        <v>2782.9867027248</v>
      </c>
      <c r="F13" s="0" t="n">
        <f aca="false">F11+F12</f>
        <v>2916.59980095713</v>
      </c>
      <c r="G13" s="0" t="n">
        <f aca="false">G11+G12</f>
        <v>3039.29251884097</v>
      </c>
      <c r="H13" s="0" t="n">
        <f aca="false">H11+H12</f>
        <v>3149.77136403879</v>
      </c>
      <c r="I13" s="0" t="n">
        <f aca="false">I11+I12</f>
        <v>3246.25241213211</v>
      </c>
      <c r="J13" s="0" t="n">
        <f aca="false">J11+J12</f>
        <v>3327.40872243541</v>
      </c>
      <c r="K13" s="0" t="n">
        <f aca="false">K11+K12</f>
        <v>3412.68248546904</v>
      </c>
      <c r="L13" s="0" t="n">
        <f aca="false">L11+L12</f>
        <v>3500.14030620283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18.5</v>
      </c>
      <c r="D14" s="4" t="n">
        <f aca="false">Assumptions!D33</f>
        <v>18.5</v>
      </c>
      <c r="E14" s="4" t="n">
        <f aca="false">Assumptions!E33</f>
        <v>18.5</v>
      </c>
      <c r="F14" s="4" t="n">
        <f aca="false">Assumptions!F33</f>
        <v>18.5</v>
      </c>
      <c r="G14" s="4" t="n">
        <f aca="false">Assumptions!G33</f>
        <v>18.5</v>
      </c>
      <c r="H14" s="4" t="n">
        <f aca="false">Assumptions!H33</f>
        <v>18.5</v>
      </c>
      <c r="I14" s="4" t="n">
        <f aca="false">Assumptions!I33</f>
        <v>18.5</v>
      </c>
      <c r="J14" s="4" t="n">
        <f aca="false">Assumptions!J33</f>
        <v>18.5</v>
      </c>
      <c r="K14" s="4" t="n">
        <f aca="false">Assumptions!K33</f>
        <v>18.5</v>
      </c>
      <c r="L14" s="4" t="n">
        <f aca="false">Assumptions!L33</f>
        <v>18.5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2042.9774825625</v>
      </c>
      <c r="D15" s="0" t="n">
        <f aca="false">D13-MAX(0,D13)*D14/100</f>
        <v>2152.112021631</v>
      </c>
      <c r="E15" s="0" t="n">
        <f aca="false">E13-MAX(0,E13)*E14/100</f>
        <v>2268.13416272071</v>
      </c>
      <c r="F15" s="0" t="n">
        <f aca="false">F13-MAX(0,F13)*F14/100</f>
        <v>2377.02883778006</v>
      </c>
      <c r="G15" s="0" t="n">
        <f aca="false">G13-MAX(0,G13)*G14/100</f>
        <v>2477.02340285539</v>
      </c>
      <c r="H15" s="0" t="n">
        <f aca="false">H13-MAX(0,H13)*H14/100</f>
        <v>2567.06366169161</v>
      </c>
      <c r="I15" s="0" t="n">
        <f aca="false">I13-MAX(0,I13)*I14/100</f>
        <v>2645.69571588767</v>
      </c>
      <c r="J15" s="0" t="n">
        <f aca="false">J13-MAX(0,J13)*J14/100</f>
        <v>2711.83810878486</v>
      </c>
      <c r="K15" s="0" t="n">
        <f aca="false">K13-MAX(0,K13)*K14/100</f>
        <v>2781.33622565727</v>
      </c>
      <c r="L15" s="0" t="n">
        <f aca="false">L13-MAX(0,L13)*L14/100</f>
        <v>2852.61434955531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-404.3098125</v>
      </c>
      <c r="D17" s="4" t="n">
        <f aca="false">-D6*Assumptions!D32/100</f>
        <v>-420.482205</v>
      </c>
      <c r="E17" s="4" t="n">
        <f aca="false">-E6*Assumptions!E32/100</f>
        <v>-419.809433472</v>
      </c>
      <c r="F17" s="4" t="n">
        <f aca="false">-F6*Assumptions!F32/100</f>
        <v>-434.50276364352</v>
      </c>
      <c r="G17" s="4" t="n">
        <f aca="false">-G6*Assumptions!G32/100</f>
        <v>-430.972428688916</v>
      </c>
      <c r="H17" s="4" t="n">
        <f aca="false">-H6*Assumptions!H32/100</f>
        <v>-443.901601549584</v>
      </c>
      <c r="I17" s="4" t="n">
        <f aca="false">-I6*Assumptions!I32/100</f>
        <v>-457.218649596071</v>
      </c>
      <c r="J17" s="4" t="n">
        <f aca="false">-J6*Assumptions!J32/100</f>
        <v>-448.273067321366</v>
      </c>
      <c r="K17" s="4" t="n">
        <f aca="false">-K6*Assumptions!K32/100</f>
        <v>-459.4798940044</v>
      </c>
      <c r="L17" s="4" t="n">
        <f aca="false">-L6*Assumptions!L32/100</f>
        <v>-470.96689135451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1638.6676700625</v>
      </c>
      <c r="D19" s="0" t="n">
        <f aca="false">D15+D16+D17+D18</f>
        <v>1731.629816631</v>
      </c>
      <c r="E19" s="0" t="n">
        <f aca="false">E15+E16+E17+E18</f>
        <v>1848.32472924871</v>
      </c>
      <c r="F19" s="0" t="n">
        <f aca="false">F15+F16+F17+F18</f>
        <v>1942.52607413654</v>
      </c>
      <c r="G19" s="0" t="n">
        <f aca="false">G15+G16+G17+G18</f>
        <v>2046.05097416647</v>
      </c>
      <c r="H19" s="0" t="n">
        <f aca="false">H15+H16+H17+H18</f>
        <v>2123.16206014203</v>
      </c>
      <c r="I19" s="0" t="n">
        <f aca="false">I15+I16+I17+I18</f>
        <v>2188.4770662916</v>
      </c>
      <c r="J19" s="0" t="n">
        <f aca="false">J15+J16+J17+J18</f>
        <v>2263.56504146349</v>
      </c>
      <c r="K19" s="0" t="n">
        <f aca="false">K15+K16+K17+K18</f>
        <v>2321.85633165287</v>
      </c>
      <c r="L19" s="0" t="n">
        <f aca="false">L15+L16+L17+L18</f>
        <v>2381.6474582008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1496.50015530822</v>
      </c>
      <c r="D21" s="0" t="n">
        <f aca="false">D19*D20</f>
        <v>1444.19825827735</v>
      </c>
      <c r="E21" s="0" t="n">
        <f aca="false">E19*E20</f>
        <v>1407.78364860468</v>
      </c>
      <c r="F21" s="0" t="n">
        <f aca="false">F19*F20</f>
        <v>1351.17120159107</v>
      </c>
      <c r="G21" s="0" t="n">
        <f aca="false">G19*G20</f>
        <v>1299.70818336745</v>
      </c>
      <c r="H21" s="0" t="n">
        <f aca="false">H19*H20</f>
        <v>1231.68153285758</v>
      </c>
      <c r="I21" s="0" t="n">
        <f aca="false">I19*I20</f>
        <v>1159.4263483608</v>
      </c>
      <c r="J21" s="0" t="n">
        <f aca="false">J19*J20</f>
        <v>1095.16618211391</v>
      </c>
      <c r="K21" s="0" t="n">
        <f aca="false">K19*K20</f>
        <v>1025.90765648505</v>
      </c>
      <c r="L21" s="0" t="n">
        <f aca="false">L19*L20</f>
        <v>961.028537195961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12472.5717041621</v>
      </c>
    </row>
    <row r="31" customFormat="false" ht="15" hidden="false" customHeight="false" outlineLevel="0" collapsed="false">
      <c r="A31" s="0" t="s">
        <v>137</v>
      </c>
      <c r="B31" s="0" t="n">
        <f aca="false">L19</f>
        <v>2381.6474582008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34874.1234950831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30961.4169566104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30961.4169566104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12493.3709835475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24965.9426877095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24965.9426877095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115.10347020613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0.0255120296340856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791.138791134998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822.177688343195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122.541536040515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19529.5091572465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67.4698074174295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5</v>
      </c>
      <c r="D5" s="4" t="n">
        <f aca="false">Assumptions!D41</f>
        <v>5.5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15625.5</v>
      </c>
      <c r="C6" s="0" t="n">
        <f aca="false">B6*(1+C5/100)</f>
        <v>16406.775</v>
      </c>
      <c r="D6" s="0" t="n">
        <f aca="false">C6*(1+D5/100)</f>
        <v>17309.147625</v>
      </c>
      <c r="E6" s="0" t="n">
        <f aca="false">D6*(1+E5/100)</f>
        <v>18261.150744375</v>
      </c>
      <c r="F6" s="0" t="n">
        <f aca="false">E6*(1+F5/100)</f>
        <v>19174.2082815938</v>
      </c>
      <c r="G6" s="0" t="n">
        <f aca="false">F6*(1+G5/100)</f>
        <v>20037.0476542655</v>
      </c>
      <c r="H6" s="0" t="n">
        <f aca="false">G6*(1+H5/100)</f>
        <v>20838.5295604361</v>
      </c>
      <c r="I6" s="0" t="n">
        <f aca="false">H6*(1+I5/100)</f>
        <v>21567.8780950514</v>
      </c>
      <c r="J6" s="0" t="n">
        <f aca="false">I6*(1+J5/100)</f>
        <v>22322.7538283782</v>
      </c>
      <c r="K6" s="0" t="n">
        <f aca="false">J6*(1+K5/100)</f>
        <v>22992.4364432295</v>
      </c>
      <c r="L6" s="0" t="n">
        <f aca="false">K6*(1+L5/100)</f>
        <v>23682.2095365264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16.5</v>
      </c>
      <c r="D7" s="4" t="n">
        <f aca="false">Assumptions!D42</f>
        <v>16.8</v>
      </c>
      <c r="E7" s="4" t="n">
        <f aca="false">Assumptions!E42</f>
        <v>17.1</v>
      </c>
      <c r="F7" s="4" t="n">
        <f aca="false">Assumptions!F42</f>
        <v>17.4</v>
      </c>
      <c r="G7" s="4" t="n">
        <f aca="false">Assumptions!G42</f>
        <v>17.6</v>
      </c>
      <c r="H7" s="4" t="n">
        <f aca="false">Assumptions!H42</f>
        <v>17.8</v>
      </c>
      <c r="I7" s="4" t="n">
        <f aca="false">Assumptions!I42</f>
        <v>18</v>
      </c>
      <c r="J7" s="4" t="n">
        <f aca="false">Assumptions!J42</f>
        <v>18</v>
      </c>
      <c r="K7" s="4" t="n">
        <f aca="false">Assumptions!K42</f>
        <v>18</v>
      </c>
      <c r="L7" s="4" t="n">
        <f aca="false">Assumptions!L42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2707.117875</v>
      </c>
      <c r="D8" s="0" t="n">
        <f aca="false">D6*D7/100</f>
        <v>2907.936801</v>
      </c>
      <c r="E8" s="0" t="n">
        <f aca="false">E6*E7/100</f>
        <v>3122.65677728813</v>
      </c>
      <c r="F8" s="0" t="n">
        <f aca="false">F6*F7/100</f>
        <v>3336.31224099731</v>
      </c>
      <c r="G8" s="0" t="n">
        <f aca="false">G6*G7/100</f>
        <v>3526.52038715072</v>
      </c>
      <c r="H8" s="0" t="n">
        <f aca="false">H6*H7/100</f>
        <v>3709.25826175762</v>
      </c>
      <c r="I8" s="0" t="n">
        <f aca="false">I6*I7/100</f>
        <v>3882.21805710924</v>
      </c>
      <c r="J8" s="0" t="n">
        <f aca="false">J6*J7/100</f>
        <v>4018.09568910807</v>
      </c>
      <c r="K8" s="0" t="n">
        <f aca="false">K6*K7/100</f>
        <v>4138.63855978131</v>
      </c>
      <c r="L8" s="0" t="n">
        <f aca="false">L6*L7/100</f>
        <v>4262.79771657475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0.7</v>
      </c>
      <c r="D9" s="4" t="n">
        <f aca="false">Assumptions!D43</f>
        <v>0.7</v>
      </c>
      <c r="E9" s="4" t="n">
        <f aca="false">Assumptions!E43</f>
        <v>0.69</v>
      </c>
      <c r="F9" s="4" t="n">
        <f aca="false">Assumptions!F43</f>
        <v>0.69</v>
      </c>
      <c r="G9" s="4" t="n">
        <f aca="false">Assumptions!G43</f>
        <v>0.68</v>
      </c>
      <c r="H9" s="4" t="n">
        <f aca="false">Assumptions!H43</f>
        <v>0.68</v>
      </c>
      <c r="I9" s="4" t="n">
        <f aca="false">Assumptions!I43</f>
        <v>0.67</v>
      </c>
      <c r="J9" s="4" t="n">
        <f aca="false">Assumptions!J43</f>
        <v>0.67</v>
      </c>
      <c r="K9" s="4" t="n">
        <f aca="false">Assumptions!K43</f>
        <v>0.66</v>
      </c>
      <c r="L9" s="4" t="n">
        <f aca="false">Assumptions!L43</f>
        <v>0.65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-114.847425</v>
      </c>
      <c r="D10" s="0" t="n">
        <f aca="false">-D6*D9/100</f>
        <v>-121.164033375</v>
      </c>
      <c r="E10" s="0" t="n">
        <f aca="false">-E6*E9/100</f>
        <v>-126.001940136188</v>
      </c>
      <c r="F10" s="0" t="n">
        <f aca="false">-F6*F9/100</f>
        <v>-132.302037142997</v>
      </c>
      <c r="G10" s="0" t="n">
        <f aca="false">-G6*G9/100</f>
        <v>-136.251924049005</v>
      </c>
      <c r="H10" s="0" t="n">
        <f aca="false">-H6*H9/100</f>
        <v>-141.702001010965</v>
      </c>
      <c r="I10" s="0" t="n">
        <f aca="false">-I6*I9/100</f>
        <v>-144.504783236844</v>
      </c>
      <c r="J10" s="0" t="n">
        <f aca="false">-J6*J9/100</f>
        <v>-149.562450650134</v>
      </c>
      <c r="K10" s="0" t="n">
        <f aca="false">-K6*K9/100</f>
        <v>-151.750080525315</v>
      </c>
      <c r="L10" s="0" t="n">
        <f aca="false">-L6*L9/100</f>
        <v>-153.934361987421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2592.27045</v>
      </c>
      <c r="D11" s="0" t="n">
        <f aca="false">D8+D10+D24</f>
        <v>2786.772767625</v>
      </c>
      <c r="E11" s="0" t="n">
        <f aca="false">E8+E10+E24</f>
        <v>2996.65483715194</v>
      </c>
      <c r="F11" s="0" t="n">
        <f aca="false">F8+F10+F24</f>
        <v>3204.01020385432</v>
      </c>
      <c r="G11" s="0" t="n">
        <f aca="false">G8+G10+G24</f>
        <v>3390.26846310172</v>
      </c>
      <c r="H11" s="0" t="n">
        <f aca="false">H8+H10+H24</f>
        <v>3567.55626074666</v>
      </c>
      <c r="I11" s="0" t="n">
        <f aca="false">I8+I10+I24</f>
        <v>3737.7132738724</v>
      </c>
      <c r="J11" s="0" t="n">
        <f aca="false">J8+J10+J24</f>
        <v>3868.53323845793</v>
      </c>
      <c r="K11" s="0" t="n">
        <f aca="false">K8+K10+K24</f>
        <v>3986.88847925599</v>
      </c>
      <c r="L11" s="0" t="n">
        <f aca="false">L8+L10+L24</f>
        <v>4108.86335458733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2592.27045</v>
      </c>
      <c r="D13" s="0" t="n">
        <f aca="false">D11+D12</f>
        <v>2786.772767625</v>
      </c>
      <c r="E13" s="0" t="n">
        <f aca="false">E11+E12</f>
        <v>2996.65483715194</v>
      </c>
      <c r="F13" s="0" t="n">
        <f aca="false">F11+F12</f>
        <v>3204.01020385432</v>
      </c>
      <c r="G13" s="0" t="n">
        <f aca="false">G11+G12</f>
        <v>3390.26846310172</v>
      </c>
      <c r="H13" s="0" t="n">
        <f aca="false">H11+H12</f>
        <v>3567.55626074666</v>
      </c>
      <c r="I13" s="0" t="n">
        <f aca="false">I11+I12</f>
        <v>3737.7132738724</v>
      </c>
      <c r="J13" s="0" t="n">
        <f aca="false">J11+J12</f>
        <v>3868.53323845793</v>
      </c>
      <c r="K13" s="0" t="n">
        <f aca="false">K11+K12</f>
        <v>3986.88847925599</v>
      </c>
      <c r="L13" s="0" t="n">
        <f aca="false">L11+L12</f>
        <v>4108.86335458733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18</v>
      </c>
      <c r="D14" s="4" t="n">
        <f aca="false">Assumptions!D47</f>
        <v>18</v>
      </c>
      <c r="E14" s="4" t="n">
        <f aca="false">Assumptions!E47</f>
        <v>18</v>
      </c>
      <c r="F14" s="4" t="n">
        <f aca="false">Assumptions!F47</f>
        <v>18</v>
      </c>
      <c r="G14" s="4" t="n">
        <f aca="false">Assumptions!G47</f>
        <v>18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2125.661769</v>
      </c>
      <c r="D15" s="0" t="n">
        <f aca="false">D13-MAX(0,D13)*D14/100</f>
        <v>2285.1536694525</v>
      </c>
      <c r="E15" s="0" t="n">
        <f aca="false">E13-MAX(0,E13)*E14/100</f>
        <v>2457.25696646459</v>
      </c>
      <c r="F15" s="0" t="n">
        <f aca="false">F13-MAX(0,F13)*F14/100</f>
        <v>2627.28836716054</v>
      </c>
      <c r="G15" s="0" t="n">
        <f aca="false">G13-MAX(0,G13)*G14/100</f>
        <v>2780.02013974341</v>
      </c>
      <c r="H15" s="0" t="n">
        <f aca="false">H13-MAX(0,H13)*H14/100</f>
        <v>2925.39613381226</v>
      </c>
      <c r="I15" s="0" t="n">
        <f aca="false">I13-MAX(0,I13)*I14/100</f>
        <v>3064.92488457537</v>
      </c>
      <c r="J15" s="0" t="n">
        <f aca="false">J13-MAX(0,J13)*J14/100</f>
        <v>3172.19725553551</v>
      </c>
      <c r="K15" s="0" t="n">
        <f aca="false">K13-MAX(0,K13)*K14/100</f>
        <v>3269.24855298992</v>
      </c>
      <c r="L15" s="0" t="n">
        <f aca="false">L13-MAX(0,L13)*L14/100</f>
        <v>3369.26795076161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-393.7626</v>
      </c>
      <c r="D17" s="4" t="n">
        <f aca="false">-D6*Assumptions!D46/100</f>
        <v>-398.110395375</v>
      </c>
      <c r="E17" s="4" t="n">
        <f aca="false">-E6*Assumptions!E46/100</f>
        <v>-420.006467120625</v>
      </c>
      <c r="F17" s="4" t="n">
        <f aca="false">-F6*Assumptions!F46/100</f>
        <v>-421.832582195063</v>
      </c>
      <c r="G17" s="4" t="n">
        <f aca="false">-G6*Assumptions!G46/100</f>
        <v>-440.81504839384</v>
      </c>
      <c r="H17" s="4" t="n">
        <f aca="false">-H6*Assumptions!H46/100</f>
        <v>-437.609120769158</v>
      </c>
      <c r="I17" s="4" t="n">
        <f aca="false">-I6*Assumptions!I46/100</f>
        <v>-452.925439996078</v>
      </c>
      <c r="J17" s="4" t="n">
        <f aca="false">-J6*Assumptions!J46/100</f>
        <v>-446.455076567563</v>
      </c>
      <c r="K17" s="4" t="n">
        <f aca="false">-K6*Assumptions!K46/100</f>
        <v>-459.84872886459</v>
      </c>
      <c r="L17" s="4" t="n">
        <f aca="false">-L6*Assumptions!L46/100</f>
        <v>-449.961981194001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1731.899169</v>
      </c>
      <c r="D19" s="0" t="n">
        <f aca="false">D15+D16+D17+D18</f>
        <v>1887.0432740775</v>
      </c>
      <c r="E19" s="0" t="n">
        <f aca="false">E15+E16+E17+E18</f>
        <v>2037.25049934396</v>
      </c>
      <c r="F19" s="0" t="n">
        <f aca="false">F15+F16+F17+F18</f>
        <v>2205.45578496548</v>
      </c>
      <c r="G19" s="0" t="n">
        <f aca="false">G15+G16+G17+G18</f>
        <v>2339.20509134957</v>
      </c>
      <c r="H19" s="0" t="n">
        <f aca="false">H15+H16+H17+H18</f>
        <v>2487.7870130431</v>
      </c>
      <c r="I19" s="0" t="n">
        <f aca="false">I15+I16+I17+I18</f>
        <v>2611.99944457929</v>
      </c>
      <c r="J19" s="0" t="n">
        <f aca="false">J15+J16+J17+J18</f>
        <v>2725.74217896794</v>
      </c>
      <c r="K19" s="0" t="n">
        <f aca="false">K15+K16+K17+K18</f>
        <v>2809.39982412533</v>
      </c>
      <c r="L19" s="0" t="n">
        <f aca="false">L15+L16+L17+L18</f>
        <v>2919.30596956761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1581.64307671233</v>
      </c>
      <c r="D21" s="0" t="n">
        <f aca="false">D19*D20</f>
        <v>1573.81478624507</v>
      </c>
      <c r="E21" s="0" t="n">
        <f aca="false">E19*E20</f>
        <v>1551.67968901975</v>
      </c>
      <c r="F21" s="0" t="n">
        <f aca="false">F19*F20</f>
        <v>1534.05834943676</v>
      </c>
      <c r="G21" s="0" t="n">
        <f aca="false">G19*G20</f>
        <v>1485.92778879343</v>
      </c>
      <c r="H21" s="0" t="n">
        <f aca="false">H19*H20</f>
        <v>1443.20651690768</v>
      </c>
      <c r="I21" s="0" t="n">
        <f aca="false">I19*I20</f>
        <v>1383.80293062915</v>
      </c>
      <c r="J21" s="0" t="n">
        <f aca="false">J19*J20</f>
        <v>1318.77838758154</v>
      </c>
      <c r="K21" s="0" t="n">
        <f aca="false">K19*K20</f>
        <v>1241.32779035737</v>
      </c>
      <c r="L21" s="0" t="n">
        <f aca="false">L19*L20</f>
        <v>1177.98137415368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14292.2206898368</v>
      </c>
    </row>
    <row r="31" customFormat="false" ht="15" hidden="false" customHeight="false" outlineLevel="0" collapsed="false">
      <c r="A31" s="0" t="s">
        <v>137</v>
      </c>
      <c r="B31" s="0" t="n">
        <f aca="false">L19</f>
        <v>2919.30596956761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46259.7715177636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43789.5895435141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43789.5895435141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17669.7206123052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31961.9413021419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31961.9413021419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147.357958977141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0.312882742134188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840.769807017616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984.27907469643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155.772200017778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25057.3762387886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80.031932858784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72.1589280010164</v>
      </c>
      <c r="C4" s="0" t="n">
        <f aca="false">B4/Assumptions!$B$2-1</f>
        <v>-0.357101496783532</v>
      </c>
      <c r="D4" s="4" t="n">
        <f aca="false">Assumptions!$B$24</f>
        <v>0.2</v>
      </c>
      <c r="E4" s="4" t="n">
        <f aca="false">DCF_Bear!$B$43</f>
        <v>78.8924591591076</v>
      </c>
      <c r="F4" s="4" t="n">
        <f aca="false">DCF_Bear!$B$47</f>
        <v>47.95732562651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115.10347020613</v>
      </c>
      <c r="C5" s="0" t="n">
        <f aca="false">B5/Assumptions!$B$2-1</f>
        <v>0.0255120296340856</v>
      </c>
      <c r="D5" s="4" t="n">
        <f aca="false">Assumptions!$B$38</f>
        <v>0.5</v>
      </c>
      <c r="E5" s="4" t="n">
        <f aca="false">DCF_Base!$B$43</f>
        <v>122.541536040515</v>
      </c>
      <c r="F5" s="4" t="n">
        <f aca="false">DCF_Base!$B$47</f>
        <v>67.4698074174295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147.357958977141</v>
      </c>
      <c r="C6" s="0" t="n">
        <f aca="false">B6/Assumptions!$B$2-1</f>
        <v>0.312882742134188</v>
      </c>
      <c r="D6" s="4" t="n">
        <f aca="false">Assumptions!$B$52</f>
        <v>0.3</v>
      </c>
      <c r="E6" s="4" t="n">
        <f aca="false">DCF_Bull!$B$43</f>
        <v>155.772200017778</v>
      </c>
      <c r="F6" s="4" t="n">
        <f aca="false">DCF_Bull!$B$47</f>
        <v>80.031932858784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116.190908396411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123.780919857412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0.0340035933184305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-52.0540504676529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67.3359486916519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119.164061548002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115.10347020613</v>
      </c>
      <c r="C16" s="3" t="n">
        <v>9.5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111.221952195436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100.32092962977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89.4985556783496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67.4698074174295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132.51861769313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132.51861769313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132.51861769313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132.51861769313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132.51861769313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123.413273456969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123.413273456969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123.413273456969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123.413273456969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123.413273456969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113.718862470428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115.10347020613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115.10347020613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115.10347020613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115.10347020613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100.542874481823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103.464778803183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106.751921164714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107.510492478913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107.510492478913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90.0272275732412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92.1968817478517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94.6076086085301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97.3019503939942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100.333084902641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2026-10-02T06:53:22Z</dcterms:created>
  <dc:creator>openpyxl</dc:creator>
  <dc:description/>
  <dc:language>en-NZ</dc:language>
  <cp:lastModifiedBy/>
  <dcterms:modified xsi:type="dcterms:W3CDTF">2026-10-02T06:53:22Z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