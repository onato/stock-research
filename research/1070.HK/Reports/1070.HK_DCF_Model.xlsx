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<sst xmlns="http://schemas.openxmlformats.org/spreadsheetml/2006/main" count="355" uniqueCount="165">
  <si>
    <t xml:space="preserve">Ticker</t>
  </si>
  <si>
    <t xml:space="preserve">1070.HK</t>
  </si>
  <si>
    <t xml:space="preserve">Company</t>
  </si>
  <si>
    <t xml:space="preserve">TCL Electronics Holdings Limited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</si>
  <si>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</si>
  <si>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</si>
  <si>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</si>
  <si>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</si>
  <si>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regular HKEX close (Friday)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</si>
  <si>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</si>
  <si>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</si>
  <si>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</si>
  <si>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</si>
  <si>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</si>
  <si>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</si>
  <si>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</si>
  <si>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</si>
  <si>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</si>
  <si>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</si>
  <si>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</si>
  <si>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</si>
  <si>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2026-10-11T15:33:37Z</t>
  </si>
  <si>
    <t xml:space="preserve">Drivers file</t>
  </si>
  <si>
    <t xml:space="preserve">1070.HK_Drivers.json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</si>
  <si>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</si>
  <si>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</si>
  <si>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</si>
  <si>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consolidated HKD flows with SBC expensed, interest and investment income stripped and their source assets (net cash HK$5.9bn, FVTPL products HK$3.4bn, associates HK$1.7bn) added back in the bridge, NCI and a minority put deducted once, leases charged as operating cost. The business is a thin-margin, high-turnover hardware assembler with a small high-margin platform annuity attached; value is driven almost entirely by (i) whether the FY2025-H1 2026 margin step-up (premiumisation) is structural and (ii) what multiple a 4-5%-margin assembler deserves at exit, so margins and the exit multiple -- not growth -- are the axes the scenarios turn on. 10% HKD WACC, 2.5% terminal growth, exit caps per scenario anchored to multiples the market has actually paid (bear decade-average 2.3x EBITDA, base FY2025 year-end 4.6x, bull today's ~7.3x). Pre-deal basis: the scrip-funded air-conditioning acquisition, the Sony JV and a possible PV spin-off are excluded from flows, share count and cash alike.
sanity_check_response: what_tripped: First build (2026-10-11): base IV HK$22.58 implied P/E 25.7x (2.3x the 10yr average of 11.2x), P/B 2.99x (1.9x the 10yr maximum of 1.59x) and EV/EBITDA 9.9x (2.2x the 10yr maximum of 4.6x), all on the SBC-adjusted basis. Top diagnosis: peak FCF -- FY2025 owner FCF of HK$2,867m is 1.9x the FY2018-25 median of HK$1,507m. Second candidate: WACC not pricing cyclicality / policy exposure.
what_changed: Peak-earnings fix (priority 1): base adj-EBITDA plateau cut from 5.0% to 4.5% (FY2026 4.3%, FY2027 4.4%) -- the H1 2026 run-rate sustained, not compounded further. Bull plateau cut from 6.0% to 5.5%. Bear (3.2-3.7%, the 8-year median) was already mid-cycle and is unchanged. Modelled FY2026 owner FCF is HK$2,249m, 22% below the FY2025 peak, and the base plateau FCF margin falls from ~2.5% to ~2.1% of revenue. Effect: base 22.58 -&gt; 19.97, bull 33.34 -&gt; 30.37, weighted 22.48 -&gt; 20.43 (-2.05/share).; Exit-multiple caps per scenario (priority 4, required by the fix pass): the engine's cap is a TV/FCF multiple, so each historical EV/EBITDA anchor is translated through the scenario's own terminal cash conversion. Bear 6.5x FCF (~2.3x EBITDA = 10yr average), base 9.5x FCF (4.5x = FY2025 year-end, the 10yr maximum), bull 13.5x FCF (~7.4x = today's market multiple). This deliberately shifts each rung up one realised mark from the literal min/avg/max rule because the 10yr minimum (0.375x, FY2023) priced the operating business at ~zero against HK$5.5bn of net cash and is a liquidation mark, not a going-concern exit; the ordering and the 'no multiple the market has not actually paid' discipline are preserved. Before the fix the caps were 12/15/15x FCF and Gordon bound in every scenario (12.75x / 13.7x / 14.7x FCF = ~4.6x / 6.8x / 8.1x EBITDA); after it the cap binds in all three. Effect: bear 11.41 -&gt; 9.84, base 19.97 -&gt; 17.47, bull 30.37 -&gt; 29.17, weighted 20.43 -&gt; 18.49 (-1.94/share).; WACC premium (priority 2): considered and NOT applied. Cyclicality and policy risk are already charged through the 25% bear weight (vs 15% house default), the bear flows and now the exit caps; adding 1pp of WACC on top would charge the same risk a third time, and the WACC is built from HKD rates with a 1.1 beta that already reflects cyclical hardware.; Growth cap (priority 3): considered and NOT applied. Implied P/S of 0.4-0.5x was not among the trips; FY2026 growth of 13% already has H2 at ~+10% vs H1 +16.4%, and later years fade to 2.5%. The multiples were elevated because of margin and exit assumptions, which are the two levers moved.
multiples_vs_history: After the fix (sanity_check.py re-run 2026-10-12, SBC-adjusted basis, base-case IV HK$17.47): P/E 19.9x vs 10yr average 11.2x and FY2025 year-end 13.7x -- 1.8x the average, inside the 2x gate (was 25.7x). P/B 2.31x vs 10yr maximum 1.59x -- 1.45x the maximum, inside the 1.5x gate (was 2.99x); the current price is 2.26x. EV/EBITDA 7.3x vs 10yr maximum 4.6x -- 1.6x the maximum, STILL ABOVE the 1.5x gate of 6.85x (was 9.9x). P/S 0.39x vs 10yr maximum 0.31x (not a gated rule). One trip of three survives and is recorded, not iterated: the current share price itself trades at ~7.9x on the checker's basis, i.e. the market has already re-rated the stock past anything in its 10-year year-end history, and the base case now sits within 2% of the price. Clearing the EV/EBITDA gate would need a base IV below ~HK$16.3 -- a terminal cap below the FY2025 year-end multiple or a plateau margin below FY2025's actual -- which would be asserting that the last audited year was itself a peak the business cannot hold; that is the bear case (9.84), already weighted 25%.
thesis_framing: Re-rating story or value trap? The 10-year multiples describe a different company: in FY2018-23 TCL Electronics earned 3-7% ROE, had three consecutive years of negative owner FCF, and traded at 0.36-0.97x book with net cash equal to half or more of its market cap (EV/EBITDA 0.4-2x) -- the Hong Kong small-cap discount on a commodity assembler. FY2024-H1 2026 ROE has gone 10% -&gt; 13% -&gt; ~17% annualised on the Mini LED / large-size mix shift and the internet annuity, and the move from 0.4x to 2.3x book is the market paying for that. The valuation now says: at HK$17 you are paying for the H1 2026 margin held flat forever with the multiple reverting to the FY2025 year-end mark (base 17.47, +2%); you make money only if premiumisation keeps compounding AND today's multiple holds (bull 29.17); and you lose ~42% if margins revert to the 8-year median and the multiple to the decade average (bear 9.84). The value-trap test is exactly the bear: a 4%-margin assembler whose FY2025-26 step-up proves to be a trade-in-subsidy and panel-price artefact. Weighted IV 18.49 (+8%) against a 15%-hurdle entry price of 13.51: a fairly-valued hold, not a buy -- the re-rating has happened, and the DCF no longer assumes another one.
key_risks_to_valuation: Air-conditioning acquisition from the parent: 362.86m new shares at HK$15.00 (+14.3% count) plus ~HK$167m cash for a business with no public financials; if its earnings do not cover the dilution the pre-deal per-share values here overstate post-deal value. Re-base at completion (Q4 2026).; Margin fragility: adj EBITDA of 4-5% on HK$115bn revenue; a 0.5pp miss is ~HK$600m of EBITDA (~25% of owner FCF). Display GM must hold the H1 2026 step-up against Samsung/LG/Hisense pricing. The base plateau (4.5%) is still ~1pp above the FY2018-25 median; if that premiumisation premium is not structural the bear is the base.; Exit multiple: the stock trades at ~7.9x EV/EBITDA against a 10-year year-end range of 0.4-4.6x; the base assumes the FY2025 year-end multiple (4.6x) at exit and the bull assumes today's. Any further de-rating toward the decade average (2.3x) is the bear.; US tariffs on Chinese-manufactured electronics and the strength of RMB vs USD/EUR (costs in RMB, ~72% of TV revenue international).; Working-capital volatility: owner FCF was negative FY2021-23 and H1 2026 OCF was -HK$673m; the model assumes -2% capture, not the +HK$1.2bn FY2025 inflow.; Photovoltaic bucket (18% of revenue, ~10% GM) is in a PRC policy down-cycle and may be spun off in specie on undetermined terms.; Factoring/bill-discount interest (~HK$500m/yr) is treated as an operating cost; a receivables model that leans harder on factoring would raise it.; Governance: TCL Industries controls panel supply and now the AC supply framework (HK$3bn/HK$18bn caps); minority value depends on transfer pricing.</t>
  </si>
  <si>
    <t xml:space="preserve">Data sources</t>
  </si>
  <si>
    <t xml:space="preserve">price: Yahoo Finance chart API at inputs.price_as_of (regular HKEX close); 52-week range 8.91-18.23
financials: 1070.HK_Metrics.csv / core_metrics (FY2018-FY2025 annuals, H1 2024-H1 2026 interims); FY2025 annual report (income statement, cash flow statement, notes 6/7/15/38); H1 2026 interim report (balance sheet at 30 June 2026, note 10 diluted shares, note 13 borrowings, liquidity section, outlook)
qualitative: 1070.HK_Analysis.json (growth drivers, risks, guidance, bull/bear cases, recent developments incl. AC acquisition terms, Sony JV and PV spin-off)</t>
  </si>
  <si>
    <t xml:space="preserve">Scenario narrative: bear</t>
  </si>
  <si>
    <t xml:space="preserve">The TV market re-commoditises: Samsung and LG answer Mini LED with aggressive premium pricing, Hisense matches on cost, TCL's July 2026 shipment reversal (-15% YoY) extends, and tariffs on Chinese-built sets exceed what Mexican capacity offsets. Revenue dips in FY2028 and grows 2% thereafter; adjusted EBITDA falls back to the FY2021-23 range of ~3.2-3.7%; working capital absorbs cash as in FY2021-22. Related-party dealings with TCL Industries (panel supply, the HK$5.6bn scrip-funded AC acquisition and its HK$18bn supply framework) and the reversion to a 4%-margin assembler take the multiple back to the decade average of ~2.3x EV/EBITDA -- the value-trap outcome.</t>
  </si>
  <si>
    <t xml:space="preserve">Scenario narrative: base</t>
  </si>
  <si>
    <t xml:space="preserve">TCL Electronics stays the global No.2 TV brand with the No.1 Mini LED position, growing revenue 13% in FY2026 (H1 +16.4%, H2 slower) then decelerating to 2.5% as global TV units stay flat and growth comes from screen size/mix and international share. Display gross margin holds its H1 2026 step-up (18.5%) and the 56-61%-GM internet business grows faster than hardware, so adjusted EBITDA settles at 4.5% from FY2028 -- the H1 2026 run-rate sustained, not compounded -- while the photovoltaic/all-category bucket (31% of revenue, ~10% GM) is flat-to-down and dilutive. Cash tax 27%, capex slightly above D&amp;A, growth consumes a little working capital. The terminal multiple is capped at the FY2025 year-end EV/EBITDA (~4.5x), so the base pays for the margin step-up but for no re-rating beyond the last audited mark. The air-conditioning acquisition, Sony JV and PV spin-off are outside this case on both sides (no flows, no new shares, no cash out).</t>
  </si>
  <si>
    <t xml:space="preserve">Scenario narrative: bull</t>
  </si>
  <si>
    <t xml:space="preserve">Premiumisation compounds: Mini LED and 65in+/75in+ mix keep lifting ASP, TCL takes share in Europe/North America/emerging markets off the World Cup and Olympic sponsorships, the Sony/BRAVIA JV gives access to the premium tier from 2027, and the internet platform grows mid-teens at 60%+ GM. Group adjusted EBITDA reaches 5.5% by FY2030 with revenue compounding ~8% over five years; PV stabilises after the 2026 PRC installation collapse; cash tax eases to 25%. The exit multiple is held at today's ~7.3x EV/EBITDA -- the current re-rating is sustained, not extended.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</si>
  <si>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</si>
  <si>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</si>
  <si>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</si>
  <si>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</si>
  <si>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</si>
  <si>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</si>
  <si>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</si>
  <si>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</si>
  <si>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</si>
  <si>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</si>
  <si>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</si>
  <si>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</si>
  <si>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</si>
  <si>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</si>
  <si>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</si>
  <si>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</si>
  <si>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</si>
  <si>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</si>
  <si>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</si>
  <si>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</si>
  <si>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</si>
  <si>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</si>
  <si>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</si>
  <si>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</si>
  <si>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</si>
  <si>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</si>
  <si>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</si>
  <si>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</si>
  <si>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NetIncomeInclNCI</t>
  </si>
  <si>
    <t xml:space="preserve">FY2018</t>
  </si>
  <si>
    <t xml:space="preserve">thousands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</si>
  <si>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</si>
  <si>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</si>
  <si>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</si>
  <si>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</si>
  <si>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</si>
  <si>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</si>
  <si>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</si>
  <si>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</si>
  <si>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</si>
  <si>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</si>
  <si>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</si>
  <si>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</si>
  <si>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</si>
  <si>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</si>
  <si>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</si>
  <si>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</si>
  <si>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</si>
  <si>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</si>
  <si>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</si>
  <si>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</si>
  <si>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</si>
  <si>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</si>
  <si>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</si>
  <si>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</si>
  <si>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</si>
  <si>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</si>
  <si>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</si>
  <si>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</si>
  <si>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</si>
  <si>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</si>
  <si>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</si>
  <si>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</si>
  <si>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</si>
  <si>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</si>
  <si>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</si>
  <si>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</si>
  <si>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</si>
  <si>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</si>
  <si>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</si>
  <si>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</si>
  <si>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</si>
  <si>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</si>
  <si>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</si>
  <si>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</si>
  <si>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1070.HK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</si>
  <si>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</si>
  <si>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</si>
  <si>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</si>
  <si>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</si>
  <si>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</si>
  <si>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</si>
  <si>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</si>
  <si>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</si>
  <si>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</si>
  <si>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</si>
  <si>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</si>
  <si>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</si>
  <si>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</si>
  <si>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</si>
  <si>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</si>
  <si>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</si>
  <si>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</si>
  <si>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</si>
  <si>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</si>
  <si>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</si>
  <si>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</si>
  <si>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</si>
  <si>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</si>
  <si>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</si>
  <si>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</si>
  <si>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</si>
  <si>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</si>
  <si>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</si>
  <si>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</si>
  <si>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</si>
  <si>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1070.HK owner-FCF component DCF: base case (millions, HKD)</t>
  </si>
  <si>
    <t xml:space="preserve">1070.HK owner-FCF component DCF: bull case (millions, HKD)</t>
  </si>
  <si>
    <t xml:space="preserve">1070.HK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</si>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</sst>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68.6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45581970</v>
      </c>
      <c r="C2" s="0" t="n">
        <v>38629813</v>
      </c>
      <c r="D2" s="0" t="n">
        <v>6952157</v>
      </c>
      <c r="E2" s="0" t="n">
        <v>15.3</v>
      </c>
      <c r="F2" s="0" t="n">
        <v>1187865</v>
      </c>
      <c r="G2" s="0" t="n">
        <v>2.6</v>
      </c>
      <c r="H2" s="0" t="n">
        <v>1406727</v>
      </c>
      <c r="I2" s="0" t="n">
        <v>944235</v>
      </c>
      <c r="J2" s="0" t="n">
        <v>2.1</v>
      </c>
      <c r="K2" s="0" t="n">
        <v>0.4158</v>
      </c>
      <c r="L2" s="0" t="n">
        <v>2072692</v>
      </c>
      <c r="M2" s="0" t="n">
        <v>129027</v>
      </c>
      <c r="N2" s="0" t="n">
        <v>1943665</v>
      </c>
      <c r="O2" s="0" t="n">
        <v>9779321</v>
      </c>
      <c r="P2" s="0" t="n">
        <v>28201203</v>
      </c>
      <c r="Q2" s="0" t="n">
        <v>18421638</v>
      </c>
      <c r="R2" s="0" t="n">
        <v>1114527</v>
      </c>
      <c r="S2" s="0" t="n">
        <v>6741976</v>
      </c>
      <c r="T2" s="0" t="n">
        <v>2270887</v>
      </c>
      <c r="U2" s="0" t="n">
        <v>82045</v>
      </c>
      <c r="AA2" s="0" t="s">
        <v>66</v>
      </c>
      <c r="AB2" s="0" t="s">
        <v>14</v>
      </c>
      <c r="AC2" s="0" t="n">
        <v>0.4263</v>
      </c>
      <c r="AD2" s="0" t="n">
        <v>934850</v>
      </c>
    </row>
    <row r="3" customFormat="false" ht="15" hidden="false" customHeight="false" outlineLevel="0" collapsed="false">
      <c r="A3" s="0" t="s">
        <v>67</v>
      </c>
      <c r="B3" s="0" t="n">
        <v>46991139</v>
      </c>
      <c r="C3" s="0" t="n">
        <v>38821075</v>
      </c>
      <c r="D3" s="0" t="n">
        <v>8170064</v>
      </c>
      <c r="E3" s="0" t="n">
        <v>17.4</v>
      </c>
      <c r="F3" s="0" t="n">
        <v>2624315</v>
      </c>
      <c r="G3" s="0" t="n">
        <v>5.6</v>
      </c>
      <c r="H3" s="0" t="n">
        <v>2932653</v>
      </c>
      <c r="I3" s="0" t="n">
        <v>2279426</v>
      </c>
      <c r="J3" s="0" t="n">
        <v>4.9</v>
      </c>
      <c r="K3" s="0" t="n">
        <v>0.9824</v>
      </c>
      <c r="L3" s="0" t="n">
        <v>2217631</v>
      </c>
      <c r="M3" s="0" t="n">
        <v>454022</v>
      </c>
      <c r="N3" s="0" t="n">
        <v>1763609</v>
      </c>
      <c r="O3" s="0" t="n">
        <v>11579990</v>
      </c>
      <c r="P3" s="0" t="n">
        <v>33322571</v>
      </c>
      <c r="Q3" s="0" t="n">
        <v>21385805</v>
      </c>
      <c r="R3" s="0" t="n">
        <v>1737898</v>
      </c>
      <c r="S3" s="0" t="n">
        <v>8194743</v>
      </c>
      <c r="T3" s="0" t="n">
        <v>2320263</v>
      </c>
      <c r="U3" s="0" t="n">
        <v>35560</v>
      </c>
      <c r="AA3" s="0" t="s">
        <v>66</v>
      </c>
      <c r="AB3" s="0" t="s">
        <v>14</v>
      </c>
      <c r="AC3" s="0" t="n">
        <v>1.0006</v>
      </c>
      <c r="AD3" s="0" t="n">
        <v>2325093</v>
      </c>
    </row>
    <row r="4" customFormat="false" ht="15" hidden="false" customHeight="false" outlineLevel="0" collapsed="false">
      <c r="A4" s="0" t="s">
        <v>68</v>
      </c>
      <c r="B4" s="0" t="n">
        <v>50952927</v>
      </c>
      <c r="C4" s="0" t="n">
        <v>41290719</v>
      </c>
      <c r="D4" s="0" t="n">
        <v>9662208</v>
      </c>
      <c r="E4" s="0" t="n">
        <v>19</v>
      </c>
      <c r="F4" s="0" t="n">
        <v>2384210</v>
      </c>
      <c r="G4" s="0" t="n">
        <v>4.7</v>
      </c>
      <c r="H4" s="0" t="n">
        <v>2899577</v>
      </c>
      <c r="I4" s="0" t="n">
        <v>3599442</v>
      </c>
      <c r="J4" s="0" t="n">
        <v>7.1</v>
      </c>
      <c r="K4" s="0" t="n">
        <v>1.5226</v>
      </c>
      <c r="L4" s="0" t="n">
        <v>2527255</v>
      </c>
      <c r="M4" s="0" t="n">
        <v>876691</v>
      </c>
      <c r="N4" s="0" t="n">
        <v>1650564</v>
      </c>
      <c r="O4" s="0" t="n">
        <v>16164190</v>
      </c>
      <c r="P4" s="0" t="n">
        <v>52336259</v>
      </c>
      <c r="Q4" s="0" t="n">
        <v>35601382</v>
      </c>
      <c r="R4" s="0" t="n">
        <v>5446788</v>
      </c>
      <c r="S4" s="0" t="n">
        <v>10384885</v>
      </c>
      <c r="T4" s="0" t="n">
        <v>2364010</v>
      </c>
      <c r="U4" s="0" t="n">
        <v>103927</v>
      </c>
      <c r="AA4" s="0" t="s">
        <v>66</v>
      </c>
      <c r="AB4" s="0" t="s">
        <v>14</v>
      </c>
      <c r="AC4" s="0" t="n">
        <v>1.5443</v>
      </c>
      <c r="AD4" s="0" t="n">
        <v>3645619</v>
      </c>
    </row>
    <row r="5" customFormat="false" ht="15" hidden="false" customHeight="false" outlineLevel="0" collapsed="false">
      <c r="A5" s="0" t="s">
        <v>69</v>
      </c>
      <c r="B5" s="0" t="n">
        <v>74846888</v>
      </c>
      <c r="C5" s="0" t="n">
        <v>62312579</v>
      </c>
      <c r="D5" s="0" t="n">
        <v>12534309</v>
      </c>
      <c r="E5" s="0" t="n">
        <v>16.7</v>
      </c>
      <c r="F5" s="0" t="n">
        <v>1703189</v>
      </c>
      <c r="G5" s="0" t="n">
        <v>2.3</v>
      </c>
      <c r="H5" s="0" t="n">
        <v>2833080</v>
      </c>
      <c r="I5" s="0" t="n">
        <v>1183999</v>
      </c>
      <c r="J5" s="0" t="n">
        <v>1.6</v>
      </c>
      <c r="K5" s="0" t="n">
        <v>0.475</v>
      </c>
      <c r="L5" s="0" t="n">
        <v>795533</v>
      </c>
      <c r="M5" s="0" t="n">
        <v>1243570</v>
      </c>
      <c r="N5" s="0" t="n">
        <v>-448037</v>
      </c>
      <c r="O5" s="0" t="n">
        <v>17957863</v>
      </c>
      <c r="P5" s="0" t="n">
        <v>59534337</v>
      </c>
      <c r="Q5" s="0" t="n">
        <v>41161673</v>
      </c>
      <c r="R5" s="0" t="n">
        <v>6880117</v>
      </c>
      <c r="S5" s="0" t="n">
        <v>11509166</v>
      </c>
      <c r="T5" s="0" t="n">
        <v>2492629</v>
      </c>
      <c r="U5" s="0" t="n">
        <v>41448</v>
      </c>
      <c r="AA5" s="0" t="s">
        <v>66</v>
      </c>
      <c r="AB5" s="0" t="s">
        <v>14</v>
      </c>
      <c r="AC5" s="0" t="n">
        <v>0.4926</v>
      </c>
      <c r="AD5" s="0" t="n">
        <v>1279290</v>
      </c>
    </row>
    <row r="6" customFormat="false" ht="15" hidden="false" customHeight="false" outlineLevel="0" collapsed="false">
      <c r="A6" s="0" t="s">
        <v>70</v>
      </c>
      <c r="B6" s="0" t="n">
        <v>71351415</v>
      </c>
      <c r="C6" s="0" t="n">
        <v>58239832</v>
      </c>
      <c r="D6" s="0" t="n">
        <v>13111583</v>
      </c>
      <c r="E6" s="0" t="n">
        <v>18.4</v>
      </c>
      <c r="F6" s="0" t="n">
        <v>1414358</v>
      </c>
      <c r="G6" s="0" t="n">
        <v>2</v>
      </c>
      <c r="H6" s="0" t="n">
        <v>2674107</v>
      </c>
      <c r="I6" s="0" t="n">
        <v>447007</v>
      </c>
      <c r="J6" s="0" t="n">
        <v>0.6</v>
      </c>
      <c r="K6" s="0" t="n">
        <v>0.1787</v>
      </c>
      <c r="L6" s="0" t="n">
        <v>1365003</v>
      </c>
      <c r="M6" s="0" t="n">
        <v>1169341</v>
      </c>
      <c r="N6" s="0" t="n">
        <v>195662</v>
      </c>
      <c r="O6" s="0" t="n">
        <v>16460228</v>
      </c>
      <c r="P6" s="0" t="n">
        <v>55105447</v>
      </c>
      <c r="Q6" s="0" t="n">
        <v>38227791</v>
      </c>
      <c r="R6" s="0" t="n">
        <v>5463083</v>
      </c>
      <c r="S6" s="0" t="n">
        <v>9390941</v>
      </c>
      <c r="T6" s="0" t="n">
        <v>2501438</v>
      </c>
      <c r="U6" s="0" t="n">
        <v>147720</v>
      </c>
      <c r="AA6" s="0" t="s">
        <v>66</v>
      </c>
      <c r="AB6" s="0" t="s">
        <v>14</v>
      </c>
      <c r="AC6" s="0" t="n">
        <v>0.1853</v>
      </c>
      <c r="AD6" s="0" t="n">
        <v>553924</v>
      </c>
    </row>
    <row r="7" customFormat="false" ht="15" hidden="false" customHeight="false" outlineLevel="0" collapsed="false">
      <c r="A7" s="0" t="s">
        <v>71</v>
      </c>
      <c r="B7" s="0" t="n">
        <v>78986064</v>
      </c>
      <c r="C7" s="0" t="n">
        <v>64230369</v>
      </c>
      <c r="D7" s="0" t="n">
        <v>14755695</v>
      </c>
      <c r="E7" s="0" t="n">
        <v>18.7</v>
      </c>
      <c r="F7" s="0" t="n">
        <v>1943194</v>
      </c>
      <c r="G7" s="0" t="n">
        <v>2.5</v>
      </c>
      <c r="H7" s="0" t="n">
        <v>3138321</v>
      </c>
      <c r="I7" s="0" t="n">
        <v>743633</v>
      </c>
      <c r="J7" s="0" t="n">
        <v>0.9</v>
      </c>
      <c r="K7" s="0" t="n">
        <v>0.3001</v>
      </c>
      <c r="L7" s="0" t="n">
        <v>1603327</v>
      </c>
      <c r="M7" s="0" t="n">
        <v>1034507</v>
      </c>
      <c r="N7" s="0" t="n">
        <v>568820</v>
      </c>
      <c r="O7" s="0" t="n">
        <v>16707654</v>
      </c>
      <c r="P7" s="0" t="n">
        <v>64776450</v>
      </c>
      <c r="Q7" s="0" t="n">
        <v>47470364</v>
      </c>
      <c r="R7" s="0" t="n">
        <v>5811654</v>
      </c>
      <c r="S7" s="0" t="n">
        <v>10736877</v>
      </c>
      <c r="T7" s="0" t="n">
        <v>2477951</v>
      </c>
      <c r="U7" s="0" t="n">
        <v>83636</v>
      </c>
      <c r="AA7" s="0" t="s">
        <v>66</v>
      </c>
      <c r="AB7" s="0" t="s">
        <v>14</v>
      </c>
      <c r="AC7" s="0" t="n">
        <v>0.3065</v>
      </c>
      <c r="AD7" s="0" t="n">
        <v>826809</v>
      </c>
    </row>
    <row r="8" customFormat="false" ht="15" hidden="false" customHeight="false" outlineLevel="0" collapsed="false">
      <c r="A8" s="0" t="s">
        <v>72</v>
      </c>
      <c r="B8" s="0" t="n">
        <v>99322325</v>
      </c>
      <c r="C8" s="0" t="n">
        <v>83768340</v>
      </c>
      <c r="D8" s="0" t="n">
        <v>15553985</v>
      </c>
      <c r="E8" s="0" t="n">
        <v>15.7</v>
      </c>
      <c r="F8" s="0" t="n">
        <v>3187562</v>
      </c>
      <c r="G8" s="0" t="n">
        <v>3.2</v>
      </c>
      <c r="H8" s="0" t="n">
        <v>4342886</v>
      </c>
      <c r="I8" s="0" t="n">
        <v>1759366</v>
      </c>
      <c r="J8" s="0" t="n">
        <v>1.8</v>
      </c>
      <c r="K8" s="0" t="n">
        <v>0.6972</v>
      </c>
      <c r="L8" s="0" t="n">
        <v>2630397</v>
      </c>
      <c r="M8" s="0" t="n">
        <v>1266137</v>
      </c>
      <c r="N8" s="0" t="n">
        <v>1364260</v>
      </c>
      <c r="O8" s="0" t="n">
        <v>17204368</v>
      </c>
      <c r="P8" s="0" t="n">
        <v>76367404</v>
      </c>
      <c r="Q8" s="0" t="n">
        <v>58690986</v>
      </c>
      <c r="R8" s="0" t="n">
        <v>4610059</v>
      </c>
      <c r="S8" s="0" t="n">
        <v>8771691</v>
      </c>
      <c r="T8" s="0" t="n">
        <v>2523474</v>
      </c>
      <c r="U8" s="0" t="n">
        <v>82531</v>
      </c>
      <c r="AA8" s="0" t="s">
        <v>66</v>
      </c>
      <c r="AB8" s="0" t="s">
        <v>14</v>
      </c>
      <c r="AC8" s="0" t="n">
        <v>0.7239</v>
      </c>
      <c r="AD8" s="0" t="n">
        <v>1848511</v>
      </c>
    </row>
    <row r="9" customFormat="false" ht="15" hidden="false" customHeight="false" outlineLevel="0" collapsed="false">
      <c r="A9" s="0" t="s">
        <v>73</v>
      </c>
      <c r="B9" s="0" t="n">
        <v>114582832</v>
      </c>
      <c r="C9" s="0" t="n">
        <v>96682644</v>
      </c>
      <c r="D9" s="0" t="n">
        <v>17900188</v>
      </c>
      <c r="E9" s="0" t="n">
        <v>15.6</v>
      </c>
      <c r="F9" s="0" t="n">
        <v>3938875</v>
      </c>
      <c r="G9" s="0" t="n">
        <v>3.4</v>
      </c>
      <c r="H9" s="0" t="n">
        <v>5312751</v>
      </c>
      <c r="I9" s="0" t="n">
        <v>2495131</v>
      </c>
      <c r="J9" s="0" t="n">
        <v>2.2</v>
      </c>
      <c r="K9" s="0" t="n">
        <v>0.9824</v>
      </c>
      <c r="L9" s="0" t="n">
        <v>4922571</v>
      </c>
      <c r="M9" s="0" t="n">
        <v>1360683</v>
      </c>
      <c r="N9" s="0" t="n">
        <v>3561888</v>
      </c>
      <c r="O9" s="0" t="n">
        <v>19197755</v>
      </c>
      <c r="P9" s="0" t="n">
        <v>91733970</v>
      </c>
      <c r="Q9" s="0" t="n">
        <v>71839195</v>
      </c>
      <c r="R9" s="0" t="n">
        <v>6074072</v>
      </c>
      <c r="S9" s="0" t="n">
        <v>13522134</v>
      </c>
      <c r="T9" s="0" t="n">
        <v>2539832</v>
      </c>
      <c r="U9" s="0" t="n">
        <v>263009</v>
      </c>
      <c r="AA9" s="0" t="s">
        <v>66</v>
      </c>
      <c r="AB9" s="0" t="s">
        <v>14</v>
      </c>
      <c r="AC9" s="0" t="n">
        <v>1.0341</v>
      </c>
      <c r="AD9" s="0" t="n">
        <v>2526980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17.08</v>
      </c>
    </row>
    <row r="3" customFormat="false" ht="15" hidden="false" customHeight="false" outlineLevel="0" collapsed="false">
      <c r="A3" s="0" t="s">
        <v>77</v>
      </c>
      <c r="B3" s="3" t="n">
        <v>2535.339</v>
      </c>
    </row>
    <row r="4" customFormat="false" ht="15" hidden="false" customHeight="false" outlineLevel="0" collapsed="false">
      <c r="A4" s="0" t="s">
        <v>78</v>
      </c>
      <c r="B4" s="3" t="n">
        <v>-5878.932</v>
      </c>
    </row>
    <row r="5" customFormat="false" ht="15" hidden="false" customHeight="false" outlineLevel="0" collapsed="false">
      <c r="A5" s="0" t="s">
        <v>79</v>
      </c>
      <c r="B5" s="3" t="n">
        <v>4479.108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114582.832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9</v>
      </c>
      <c r="D13" s="3" t="n">
        <v>2</v>
      </c>
      <c r="E13" s="3" t="n">
        <v>-3</v>
      </c>
      <c r="F13" s="3" t="n">
        <v>1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4.1</v>
      </c>
      <c r="D14" s="3" t="n">
        <v>3.6</v>
      </c>
      <c r="E14" s="3" t="n">
        <v>3.2</v>
      </c>
      <c r="F14" s="3" t="n">
        <v>3.3</v>
      </c>
      <c r="G14" s="3" t="n">
        <v>3.5</v>
      </c>
      <c r="H14" s="3" t="n">
        <v>3.6</v>
      </c>
      <c r="I14" s="3" t="n">
        <v>3.7</v>
      </c>
      <c r="J14" s="3" t="n">
        <v>3.7</v>
      </c>
      <c r="K14" s="3" t="n">
        <v>3.7</v>
      </c>
      <c r="L14" s="3" t="n">
        <v>3.7</v>
      </c>
    </row>
    <row r="15" customFormat="false" ht="15" hidden="false" customHeight="false" outlineLevel="0" collapsed="false">
      <c r="A15" s="0" t="s">
        <v>99</v>
      </c>
      <c r="C15" s="3" t="n">
        <v>0.22</v>
      </c>
      <c r="D15" s="3" t="n">
        <v>0.22</v>
      </c>
      <c r="E15" s="3" t="n">
        <v>0.21</v>
      </c>
      <c r="F15" s="3" t="n">
        <v>0.2</v>
      </c>
      <c r="G15" s="3" t="n">
        <v>0.2</v>
      </c>
      <c r="H15" s="3" t="n">
        <v>0.19</v>
      </c>
      <c r="I15" s="3" t="n">
        <v>0.18</v>
      </c>
      <c r="J15" s="3" t="n">
        <v>0.18</v>
      </c>
      <c r="K15" s="3" t="n">
        <v>0.18</v>
      </c>
      <c r="L15" s="3" t="n">
        <v>0.18</v>
      </c>
    </row>
    <row r="16" customFormat="false" ht="15" hidden="false" customHeight="false" outlineLevel="0" collapsed="false">
      <c r="A16" s="0" t="s">
        <v>100</v>
      </c>
      <c r="C16" s="3" t="n">
        <v>0.18</v>
      </c>
      <c r="D16" s="3" t="n">
        <v>0.18</v>
      </c>
      <c r="E16" s="3" t="n">
        <v>0.18</v>
      </c>
      <c r="F16" s="3" t="n">
        <v>0.18</v>
      </c>
      <c r="G16" s="3" t="n">
        <v>0.18</v>
      </c>
      <c r="H16" s="3" t="n">
        <v>0.18</v>
      </c>
      <c r="I16" s="3" t="n">
        <v>0.18</v>
      </c>
      <c r="J16" s="3" t="n">
        <v>0.18</v>
      </c>
      <c r="K16" s="3" t="n">
        <v>0.18</v>
      </c>
      <c r="L16" s="3" t="n">
        <v>0.18</v>
      </c>
    </row>
    <row r="17" customFormat="false" ht="15" hidden="false" customHeight="false" outlineLevel="0" collapsed="false">
      <c r="A17" s="0" t="s">
        <v>101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</row>
    <row r="18" customFormat="false" ht="15" hidden="false" customHeight="false" outlineLevel="0" collapsed="false">
      <c r="A18" s="0" t="s">
        <v>102</v>
      </c>
      <c r="C18" s="3" t="n">
        <v>1.25</v>
      </c>
      <c r="D18" s="3" t="n">
        <v>1.25</v>
      </c>
      <c r="E18" s="3" t="n">
        <v>1.25</v>
      </c>
      <c r="F18" s="3" t="n">
        <v>1.25</v>
      </c>
      <c r="G18" s="3" t="n">
        <v>1.25</v>
      </c>
      <c r="H18" s="3" t="n">
        <v>1.25</v>
      </c>
      <c r="I18" s="3" t="n">
        <v>1.25</v>
      </c>
      <c r="J18" s="3" t="n">
        <v>1.25</v>
      </c>
      <c r="K18" s="3" t="n">
        <v>1.25</v>
      </c>
      <c r="L18" s="3" t="n">
        <v>1.25</v>
      </c>
    </row>
    <row r="19" customFormat="false" ht="15" hidden="false" customHeight="false" outlineLevel="0" collapsed="false">
      <c r="A19" s="0" t="s">
        <v>103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6.5</v>
      </c>
    </row>
    <row r="23" customFormat="false" ht="15" hidden="false" customHeight="false" outlineLevel="0" collapsed="false">
      <c r="A23" s="0" t="s">
        <v>107</v>
      </c>
      <c r="B23" s="3" t="n">
        <v>-4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13</v>
      </c>
      <c r="D27" s="3" t="n">
        <v>8</v>
      </c>
      <c r="E27" s="3" t="n">
        <v>6</v>
      </c>
      <c r="F27" s="3" t="n">
        <v>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4.3</v>
      </c>
      <c r="D28" s="3" t="n">
        <v>4.4</v>
      </c>
      <c r="E28" s="3" t="n">
        <v>4.5</v>
      </c>
      <c r="F28" s="3" t="n">
        <v>4.5</v>
      </c>
      <c r="G28" s="3" t="n">
        <v>4.5</v>
      </c>
      <c r="H28" s="3" t="n">
        <v>4.5</v>
      </c>
      <c r="I28" s="3" t="n">
        <v>4.5</v>
      </c>
      <c r="J28" s="3" t="n">
        <v>4.5</v>
      </c>
      <c r="K28" s="3" t="n">
        <v>4.5</v>
      </c>
      <c r="L28" s="3" t="n">
        <v>4.5</v>
      </c>
    </row>
    <row r="29" customFormat="false" ht="15" hidden="false" customHeight="false" outlineLevel="0" collapsed="false">
      <c r="A29" s="0" t="s">
        <v>99</v>
      </c>
      <c r="C29" s="3" t="n">
        <v>0.22</v>
      </c>
      <c r="D29" s="3" t="n">
        <v>0.21</v>
      </c>
      <c r="E29" s="3" t="n">
        <v>0.2</v>
      </c>
      <c r="F29" s="3" t="n">
        <v>0.19</v>
      </c>
      <c r="G29" s="3" t="n">
        <v>0.18</v>
      </c>
      <c r="H29" s="3" t="n">
        <v>0.17</v>
      </c>
      <c r="I29" s="3" t="n">
        <v>0.16</v>
      </c>
      <c r="J29" s="3" t="n">
        <v>0.15</v>
      </c>
      <c r="K29" s="3" t="n">
        <v>0.15</v>
      </c>
      <c r="L29" s="3" t="n">
        <v>0.15</v>
      </c>
    </row>
    <row r="30" customFormat="false" ht="15" hidden="false" customHeight="false" outlineLevel="0" collapsed="false">
      <c r="A30" s="0" t="s">
        <v>100</v>
      </c>
      <c r="C30" s="3" t="n">
        <v>0.18</v>
      </c>
      <c r="D30" s="3" t="n">
        <v>0.18</v>
      </c>
      <c r="E30" s="3" t="n">
        <v>0.18</v>
      </c>
      <c r="F30" s="3" t="n">
        <v>0.18</v>
      </c>
      <c r="G30" s="3" t="n">
        <v>0.18</v>
      </c>
      <c r="H30" s="3" t="n">
        <v>0.18</v>
      </c>
      <c r="I30" s="3" t="n">
        <v>0.18</v>
      </c>
      <c r="J30" s="3" t="n">
        <v>0.18</v>
      </c>
      <c r="K30" s="3" t="n">
        <v>0.18</v>
      </c>
      <c r="L30" s="3" t="n">
        <v>0.18</v>
      </c>
    </row>
    <row r="31" customFormat="false" ht="15" hidden="false" customHeight="false" outlineLevel="0" collapsed="false">
      <c r="A31" s="0" t="s">
        <v>101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</row>
    <row r="32" customFormat="false" ht="15" hidden="false" customHeight="false" outlineLevel="0" collapsed="false">
      <c r="A32" s="0" t="s">
        <v>102</v>
      </c>
      <c r="C32" s="3" t="n">
        <v>1.15</v>
      </c>
      <c r="D32" s="3" t="n">
        <v>1.15</v>
      </c>
      <c r="E32" s="3" t="n">
        <v>1.15</v>
      </c>
      <c r="F32" s="3" t="n">
        <v>1.15</v>
      </c>
      <c r="G32" s="3" t="n">
        <v>1.15</v>
      </c>
      <c r="H32" s="3" t="n">
        <v>1.15</v>
      </c>
      <c r="I32" s="3" t="n">
        <v>1.15</v>
      </c>
      <c r="J32" s="3" t="n">
        <v>1.15</v>
      </c>
      <c r="K32" s="3" t="n">
        <v>1.15</v>
      </c>
      <c r="L32" s="3" t="n">
        <v>1.15</v>
      </c>
    </row>
    <row r="33" customFormat="false" ht="15" hidden="false" customHeight="false" outlineLevel="0" collapsed="false">
      <c r="A33" s="0" t="s">
        <v>103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104</v>
      </c>
      <c r="B34" s="3" t="n">
        <v>10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9.5</v>
      </c>
    </row>
    <row r="37" customFormat="false" ht="15" hidden="false" customHeight="false" outlineLevel="0" collapsed="false">
      <c r="A37" s="0" t="s">
        <v>107</v>
      </c>
      <c r="B37" s="3" t="n">
        <v>-2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15</v>
      </c>
      <c r="D41" s="3" t="n">
        <v>11</v>
      </c>
      <c r="E41" s="3" t="n">
        <v>9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4.7</v>
      </c>
      <c r="D42" s="3" t="n">
        <v>5</v>
      </c>
      <c r="E42" s="3" t="n">
        <v>5.2</v>
      </c>
      <c r="F42" s="3" t="n">
        <v>5.4</v>
      </c>
      <c r="G42" s="3" t="n">
        <v>5.5</v>
      </c>
      <c r="H42" s="3" t="n">
        <v>5.5</v>
      </c>
      <c r="I42" s="3" t="n">
        <v>5.5</v>
      </c>
      <c r="J42" s="3" t="n">
        <v>5.5</v>
      </c>
      <c r="K42" s="3" t="n">
        <v>5.5</v>
      </c>
      <c r="L42" s="3" t="n">
        <v>5.5</v>
      </c>
    </row>
    <row r="43" customFormat="false" ht="15" hidden="false" customHeight="false" outlineLevel="0" collapsed="false">
      <c r="A43" s="0" t="s">
        <v>99</v>
      </c>
      <c r="C43" s="3" t="n">
        <v>0.22</v>
      </c>
      <c r="D43" s="3" t="n">
        <v>0.21</v>
      </c>
      <c r="E43" s="3" t="n">
        <v>0.2</v>
      </c>
      <c r="F43" s="3" t="n">
        <v>0.19</v>
      </c>
      <c r="G43" s="3" t="n">
        <v>0.18</v>
      </c>
      <c r="H43" s="3" t="n">
        <v>0.17</v>
      </c>
      <c r="I43" s="3" t="n">
        <v>0.16</v>
      </c>
      <c r="J43" s="3" t="n">
        <v>0.15</v>
      </c>
      <c r="K43" s="3" t="n">
        <v>0.15</v>
      </c>
      <c r="L43" s="3" t="n">
        <v>0.15</v>
      </c>
    </row>
    <row r="44" customFormat="false" ht="15" hidden="false" customHeight="false" outlineLevel="0" collapsed="false">
      <c r="A44" s="0" t="s">
        <v>100</v>
      </c>
      <c r="C44" s="3" t="n">
        <v>0.18</v>
      </c>
      <c r="D44" s="3" t="n">
        <v>0.18</v>
      </c>
      <c r="E44" s="3" t="n">
        <v>0.18</v>
      </c>
      <c r="F44" s="3" t="n">
        <v>0.18</v>
      </c>
      <c r="G44" s="3" t="n">
        <v>0.18</v>
      </c>
      <c r="H44" s="3" t="n">
        <v>0.18</v>
      </c>
      <c r="I44" s="3" t="n">
        <v>0.18</v>
      </c>
      <c r="J44" s="3" t="n">
        <v>0.18</v>
      </c>
      <c r="K44" s="3" t="n">
        <v>0.18</v>
      </c>
      <c r="L44" s="3" t="n">
        <v>0.18</v>
      </c>
    </row>
    <row r="45" customFormat="false" ht="15" hidden="false" customHeight="false" outlineLevel="0" collapsed="false">
      <c r="A45" s="0" t="s">
        <v>101</v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</row>
    <row r="46" customFormat="false" ht="15" hidden="false" customHeight="false" outlineLevel="0" collapsed="false">
      <c r="A46" s="0" t="s">
        <v>102</v>
      </c>
      <c r="C46" s="3" t="n">
        <v>1.1</v>
      </c>
      <c r="D46" s="3" t="n">
        <v>1.1</v>
      </c>
      <c r="E46" s="3" t="n">
        <v>1.1</v>
      </c>
      <c r="F46" s="3" t="n">
        <v>1.1</v>
      </c>
      <c r="G46" s="3" t="n">
        <v>1.1</v>
      </c>
      <c r="H46" s="3" t="n">
        <v>1.1</v>
      </c>
      <c r="I46" s="3" t="n">
        <v>1.1</v>
      </c>
      <c r="J46" s="3" t="n">
        <v>1.1</v>
      </c>
      <c r="K46" s="3" t="n">
        <v>1.1</v>
      </c>
      <c r="L46" s="3" t="n">
        <v>1.1</v>
      </c>
    </row>
    <row r="47" customFormat="false" ht="15" hidden="false" customHeight="false" outlineLevel="0" collapsed="false">
      <c r="A47" s="0" t="s">
        <v>103</v>
      </c>
      <c r="C47" s="3" t="n">
        <v>26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10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13.5</v>
      </c>
    </row>
    <row r="51" customFormat="false" ht="15" hidden="false" customHeight="false" outlineLevel="0" collapsed="false">
      <c r="A51" s="0" t="s">
        <v>107</v>
      </c>
      <c r="B51" s="3" t="n">
        <v>-1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9</v>
      </c>
      <c r="D5" s="4" t="n">
        <f aca="false">Assumptions!D13</f>
        <v>2</v>
      </c>
      <c r="E5" s="4" t="n">
        <f aca="false">Assumptions!E13</f>
        <v>-3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114582.832</v>
      </c>
      <c r="C6" s="0" t="n">
        <f aca="false">B6*(1+C5/100)</f>
        <v>124895.28688</v>
      </c>
      <c r="D6" s="0" t="n">
        <f aca="false">C6*(1+D5/100)</f>
        <v>127393.1926176</v>
      </c>
      <c r="E6" s="0" t="n">
        <f aca="false">D6*(1+E5/100)</f>
        <v>123571.396839072</v>
      </c>
      <c r="F6" s="0" t="n">
        <f aca="false">E6*(1+F5/100)</f>
        <v>124807.110807463</v>
      </c>
      <c r="G6" s="0" t="n">
        <f aca="false">F6*(1+G5/100)</f>
        <v>127303.253023612</v>
      </c>
      <c r="H6" s="0" t="n">
        <f aca="false">G6*(1+H5/100)</f>
        <v>129849.318084084</v>
      </c>
      <c r="I6" s="0" t="n">
        <f aca="false">H6*(1+I5/100)</f>
        <v>132446.304445766</v>
      </c>
      <c r="J6" s="0" t="n">
        <f aca="false">I6*(1+J5/100)</f>
        <v>135095.230534681</v>
      </c>
      <c r="K6" s="0" t="n">
        <f aca="false">J6*(1+K5/100)</f>
        <v>137797.135145375</v>
      </c>
      <c r="L6" s="0" t="n">
        <f aca="false">K6*(1+L5/100)</f>
        <v>140553.077848282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4.1</v>
      </c>
      <c r="D7" s="4" t="n">
        <f aca="false">Assumptions!D14</f>
        <v>3.6</v>
      </c>
      <c r="E7" s="4" t="n">
        <f aca="false">Assumptions!E14</f>
        <v>3.2</v>
      </c>
      <c r="F7" s="4" t="n">
        <f aca="false">Assumptions!F14</f>
        <v>3.3</v>
      </c>
      <c r="G7" s="4" t="n">
        <f aca="false">Assumptions!G14</f>
        <v>3.5</v>
      </c>
      <c r="H7" s="4" t="n">
        <f aca="false">Assumptions!H14</f>
        <v>3.6</v>
      </c>
      <c r="I7" s="4" t="n">
        <f aca="false">Assumptions!I14</f>
        <v>3.7</v>
      </c>
      <c r="J7" s="4" t="n">
        <f aca="false">Assumptions!J14</f>
        <v>3.7</v>
      </c>
      <c r="K7" s="4" t="n">
        <f aca="false">Assumptions!K14</f>
        <v>3.7</v>
      </c>
      <c r="L7" s="4" t="n">
        <f aca="false">Assumptions!L14</f>
        <v>3.7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5120.70676208</v>
      </c>
      <c r="D8" s="0" t="n">
        <f aca="false">D6*D7/100</f>
        <v>4586.1549342336</v>
      </c>
      <c r="E8" s="0" t="n">
        <f aca="false">E6*E7/100</f>
        <v>3954.2846988503</v>
      </c>
      <c r="F8" s="0" t="n">
        <f aca="false">F6*F7/100</f>
        <v>4118.63465664627</v>
      </c>
      <c r="G8" s="0" t="n">
        <f aca="false">G6*G7/100</f>
        <v>4455.61385582642</v>
      </c>
      <c r="H8" s="0" t="n">
        <f aca="false">H6*H7/100</f>
        <v>4674.57545102703</v>
      </c>
      <c r="I8" s="0" t="n">
        <f aca="false">I6*I7/100</f>
        <v>4900.51326449334</v>
      </c>
      <c r="J8" s="0" t="n">
        <f aca="false">J6*J7/100</f>
        <v>4998.52352978321</v>
      </c>
      <c r="K8" s="0" t="n">
        <f aca="false">K6*K7/100</f>
        <v>5098.49400037887</v>
      </c>
      <c r="L8" s="0" t="n">
        <f aca="false">L6*L7/100</f>
        <v>5200.46388038645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0.22</v>
      </c>
      <c r="D9" s="4" t="n">
        <f aca="false">Assumptions!D15</f>
        <v>0.22</v>
      </c>
      <c r="E9" s="4" t="n">
        <f aca="false">Assumptions!E15</f>
        <v>0.21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0.19</v>
      </c>
      <c r="I9" s="4" t="n">
        <f aca="false">Assumptions!I15</f>
        <v>0.18</v>
      </c>
      <c r="J9" s="4" t="n">
        <f aca="false">Assumptions!J15</f>
        <v>0.18</v>
      </c>
      <c r="K9" s="4" t="n">
        <f aca="false">Assumptions!K15</f>
        <v>0.18</v>
      </c>
      <c r="L9" s="4" t="n">
        <f aca="false">Assumptions!L15</f>
        <v>0.18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-274.769631136</v>
      </c>
      <c r="D10" s="0" t="n">
        <f aca="false">-D6*D9/100</f>
        <v>-280.26502375872</v>
      </c>
      <c r="E10" s="0" t="n">
        <f aca="false">-E6*E9/100</f>
        <v>-259.499933362051</v>
      </c>
      <c r="F10" s="0" t="n">
        <f aca="false">-F6*F9/100</f>
        <v>-249.614221614925</v>
      </c>
      <c r="G10" s="0" t="n">
        <f aca="false">-G6*G9/100</f>
        <v>-254.606506047224</v>
      </c>
      <c r="H10" s="0" t="n">
        <f aca="false">-H6*H9/100</f>
        <v>-246.71370435976</v>
      </c>
      <c r="I10" s="0" t="n">
        <f aca="false">-I6*I9/100</f>
        <v>-238.403348002379</v>
      </c>
      <c r="J10" s="0" t="n">
        <f aca="false">-J6*J9/100</f>
        <v>-243.171414962426</v>
      </c>
      <c r="K10" s="0" t="n">
        <f aca="false">-K6*K9/100</f>
        <v>-248.034843261675</v>
      </c>
      <c r="L10" s="0" t="n">
        <f aca="false">-L6*L9/100</f>
        <v>-252.995540126908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4621.12561456</v>
      </c>
      <c r="D11" s="0" t="n">
        <f aca="false">D8+D10+D24</f>
        <v>4076.5821637632</v>
      </c>
      <c r="E11" s="0" t="n">
        <f aca="false">E8+E10+E24</f>
        <v>3472.35625117792</v>
      </c>
      <c r="F11" s="0" t="n">
        <f aca="false">F8+F10+F24</f>
        <v>3644.36763557791</v>
      </c>
      <c r="G11" s="0" t="n">
        <f aca="false">G8+G10+G24</f>
        <v>3971.86149433669</v>
      </c>
      <c r="H11" s="0" t="n">
        <f aca="false">H8+H10+H24</f>
        <v>4194.13297411592</v>
      </c>
      <c r="I11" s="0" t="n">
        <f aca="false">I8+I10+I24</f>
        <v>4423.70656848858</v>
      </c>
      <c r="J11" s="0" t="n">
        <f aca="false">J8+J10+J24</f>
        <v>4512.18069985835</v>
      </c>
      <c r="K11" s="0" t="n">
        <f aca="false">K8+K10+K24</f>
        <v>4602.42431385552</v>
      </c>
      <c r="L11" s="0" t="n">
        <f aca="false">L8+L10+L24</f>
        <v>4694.47280013263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-1248.9528688</v>
      </c>
      <c r="D12" s="4" t="n">
        <f aca="false">-D6*Assumptions!D17/100</f>
        <v>-1273.931926176</v>
      </c>
      <c r="E12" s="4" t="n">
        <f aca="false">-E6*Assumptions!E17/100</f>
        <v>-1235.71396839072</v>
      </c>
      <c r="F12" s="4" t="n">
        <f aca="false">-F6*Assumptions!F17/100</f>
        <v>-1248.07110807463</v>
      </c>
      <c r="G12" s="4" t="n">
        <f aca="false">-G6*Assumptions!G17/100</f>
        <v>-1273.03253023612</v>
      </c>
      <c r="H12" s="4" t="n">
        <f aca="false">-H6*Assumptions!H17/100</f>
        <v>-1298.49318084084</v>
      </c>
      <c r="I12" s="4" t="n">
        <f aca="false">-I6*Assumptions!I17/100</f>
        <v>-1324.46304445766</v>
      </c>
      <c r="J12" s="4" t="n">
        <f aca="false">-J6*Assumptions!J17/100</f>
        <v>-1350.95230534681</v>
      </c>
      <c r="K12" s="4" t="n">
        <f aca="false">-K6*Assumptions!K17/100</f>
        <v>-1377.97135145375</v>
      </c>
      <c r="L12" s="4" t="n">
        <f aca="false">-L6*Assumptions!L17/100</f>
        <v>-1405.53077848282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3372.17274576</v>
      </c>
      <c r="D13" s="0" t="n">
        <f aca="false">D11+D12</f>
        <v>2802.6502375872</v>
      </c>
      <c r="E13" s="0" t="n">
        <f aca="false">E11+E12</f>
        <v>2236.6422827872</v>
      </c>
      <c r="F13" s="0" t="n">
        <f aca="false">F11+F12</f>
        <v>2396.29652750328</v>
      </c>
      <c r="G13" s="0" t="n">
        <f aca="false">G11+G12</f>
        <v>2698.82896410057</v>
      </c>
      <c r="H13" s="0" t="n">
        <f aca="false">H11+H12</f>
        <v>2895.63979327508</v>
      </c>
      <c r="I13" s="0" t="n">
        <f aca="false">I11+I12</f>
        <v>3099.24352403092</v>
      </c>
      <c r="J13" s="0" t="n">
        <f aca="false">J11+J12</f>
        <v>3161.22839451154</v>
      </c>
      <c r="K13" s="0" t="n">
        <f aca="false">K11+K12</f>
        <v>3224.45296240177</v>
      </c>
      <c r="L13" s="0" t="n">
        <f aca="false">L11+L12</f>
        <v>3288.94202164981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2394.2426494896</v>
      </c>
      <c r="D15" s="0" t="n">
        <f aca="false">D13-MAX(0,D13)*D14/100</f>
        <v>1989.88166868691</v>
      </c>
      <c r="E15" s="0" t="n">
        <f aca="false">E13-MAX(0,E13)*E14/100</f>
        <v>1588.01602077891</v>
      </c>
      <c r="F15" s="0" t="n">
        <f aca="false">F13-MAX(0,F13)*F14/100</f>
        <v>1701.37053452733</v>
      </c>
      <c r="G15" s="0" t="n">
        <f aca="false">G13-MAX(0,G13)*G14/100</f>
        <v>1916.16856451141</v>
      </c>
      <c r="H15" s="0" t="n">
        <f aca="false">H13-MAX(0,H13)*H14/100</f>
        <v>2055.90425322531</v>
      </c>
      <c r="I15" s="0" t="n">
        <f aca="false">I13-MAX(0,I13)*I14/100</f>
        <v>2200.46290206196</v>
      </c>
      <c r="J15" s="0" t="n">
        <f aca="false">J13-MAX(0,J13)*J14/100</f>
        <v>2244.47216010319</v>
      </c>
      <c r="K15" s="0" t="n">
        <f aca="false">K13-MAX(0,K13)*K14/100</f>
        <v>2289.36160330526</v>
      </c>
      <c r="L15" s="0" t="n">
        <f aca="false">L13-MAX(0,L13)*L14/100</f>
        <v>2335.14883537136</v>
      </c>
    </row>
    <row r="16" customFormat="false" ht="15" hidden="false" customHeight="false" outlineLevel="0" collapsed="false">
      <c r="A16" s="0" t="s">
        <v>119</v>
      </c>
      <c r="C16" s="0" t="n">
        <f aca="false">-C12</f>
        <v>1248.9528688</v>
      </c>
      <c r="D16" s="0" t="n">
        <f aca="false">-D12</f>
        <v>1273.931926176</v>
      </c>
      <c r="E16" s="0" t="n">
        <f aca="false">-E12</f>
        <v>1235.71396839072</v>
      </c>
      <c r="F16" s="0" t="n">
        <f aca="false">-F12</f>
        <v>1248.07110807463</v>
      </c>
      <c r="G16" s="0" t="n">
        <f aca="false">-G12</f>
        <v>1273.03253023612</v>
      </c>
      <c r="H16" s="0" t="n">
        <f aca="false">-H12</f>
        <v>1298.49318084084</v>
      </c>
      <c r="I16" s="0" t="n">
        <f aca="false">-I12</f>
        <v>1324.46304445766</v>
      </c>
      <c r="J16" s="0" t="n">
        <f aca="false">-J12</f>
        <v>1350.95230534681</v>
      </c>
      <c r="K16" s="0" t="n">
        <f aca="false">-K12</f>
        <v>1377.97135145375</v>
      </c>
      <c r="L16" s="0" t="n">
        <f aca="false">-L12</f>
        <v>1405.53077848282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-1561.191086</v>
      </c>
      <c r="D17" s="4" t="n">
        <f aca="false">-D6*Assumptions!D18/100</f>
        <v>-1592.41490772</v>
      </c>
      <c r="E17" s="4" t="n">
        <f aca="false">-E6*Assumptions!E18/100</f>
        <v>-1544.6424604884</v>
      </c>
      <c r="F17" s="4" t="n">
        <f aca="false">-F6*Assumptions!F18/100</f>
        <v>-1560.08888509328</v>
      </c>
      <c r="G17" s="4" t="n">
        <f aca="false">-G6*Assumptions!G18/100</f>
        <v>-1591.29066279515</v>
      </c>
      <c r="H17" s="4" t="n">
        <f aca="false">-H6*Assumptions!H18/100</f>
        <v>-1623.11647605105</v>
      </c>
      <c r="I17" s="4" t="n">
        <f aca="false">-I6*Assumptions!I18/100</f>
        <v>-1655.57880557207</v>
      </c>
      <c r="J17" s="4" t="n">
        <f aca="false">-J6*Assumptions!J18/100</f>
        <v>-1688.69038168352</v>
      </c>
      <c r="K17" s="4" t="n">
        <f aca="false">-K6*Assumptions!K18/100</f>
        <v>-1722.46418931719</v>
      </c>
      <c r="L17" s="4" t="n">
        <f aca="false">-L6*Assumptions!L18/100</f>
        <v>-1756.91347310353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-412.4981952</v>
      </c>
      <c r="D18" s="4" t="n">
        <f aca="false">(D6-C6)*Assumptions!$B$23/100</f>
        <v>-99.9162295039999</v>
      </c>
      <c r="E18" s="4" t="n">
        <f aca="false">(E6-D6)*Assumptions!$B$23/100</f>
        <v>152.87183114112</v>
      </c>
      <c r="F18" s="4" t="n">
        <f aca="false">(F6-E6)*Assumptions!$B$23/100</f>
        <v>-49.4285587356286</v>
      </c>
      <c r="G18" s="4" t="n">
        <f aca="false">(G6-F6)*Assumptions!$B$23/100</f>
        <v>-99.8456886459701</v>
      </c>
      <c r="H18" s="4" t="n">
        <f aca="false">(H6-G6)*Assumptions!$B$23/100</f>
        <v>-101.84260241889</v>
      </c>
      <c r="I18" s="4" t="n">
        <f aca="false">(I6-H6)*Assumptions!$B$23/100</f>
        <v>-103.879454467267</v>
      </c>
      <c r="J18" s="4" t="n">
        <f aca="false">(J6-I6)*Assumptions!$B$23/100</f>
        <v>-105.957043556613</v>
      </c>
      <c r="K18" s="4" t="n">
        <f aca="false">(K6-J6)*Assumptions!$B$23/100</f>
        <v>-108.076184427745</v>
      </c>
      <c r="L18" s="4" t="n">
        <f aca="false">(L6-K6)*Assumptions!$B$23/100</f>
        <v>-110.237708116299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1669.5062370896</v>
      </c>
      <c r="D19" s="0" t="n">
        <f aca="false">D15+D16+D17+D18</f>
        <v>1571.48245763891</v>
      </c>
      <c r="E19" s="0" t="n">
        <f aca="false">E15+E16+E17+E18</f>
        <v>1431.95935982235</v>
      </c>
      <c r="F19" s="0" t="n">
        <f aca="false">F15+F16+F17+F18</f>
        <v>1339.92419877305</v>
      </c>
      <c r="G19" s="0" t="n">
        <f aca="false">G15+G16+G17+G18</f>
        <v>1498.06474330641</v>
      </c>
      <c r="H19" s="0" t="n">
        <f aca="false">H15+H16+H17+H18</f>
        <v>1629.4383555962</v>
      </c>
      <c r="I19" s="0" t="n">
        <f aca="false">I15+I16+I17+I18</f>
        <v>1765.46768648027</v>
      </c>
      <c r="J19" s="0" t="n">
        <f aca="false">J15+J16+J17+J18</f>
        <v>1800.77704020988</v>
      </c>
      <c r="K19" s="0" t="n">
        <f aca="false">K15+K16+K17+K18</f>
        <v>1836.79258101408</v>
      </c>
      <c r="L19" s="0" t="n">
        <f aca="false">L15+L16+L17+L18</f>
        <v>1873.52843263436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1517.73294280873</v>
      </c>
      <c r="D21" s="0" t="n">
        <f aca="false">D19*D20</f>
        <v>1298.74583275943</v>
      </c>
      <c r="E21" s="0" t="n">
        <f aca="false">E19*E20</f>
        <v>1075.85226132408</v>
      </c>
      <c r="F21" s="0" t="n">
        <f aca="false">F19*F20</f>
        <v>915.186256931251</v>
      </c>
      <c r="G21" s="0" t="n">
        <f aca="false">G19*G20</f>
        <v>930.180342442087</v>
      </c>
      <c r="H21" s="0" t="n">
        <f aca="false">H19*H20</f>
        <v>919.775472363754</v>
      </c>
      <c r="I21" s="0" t="n">
        <f aca="false">I19*I20</f>
        <v>905.964075791336</v>
      </c>
      <c r="J21" s="0" t="n">
        <f aca="false">J19*J20</f>
        <v>840.075779370147</v>
      </c>
      <c r="K21" s="0" t="n">
        <f aca="false">K19*K20</f>
        <v>778.979359052318</v>
      </c>
      <c r="L21" s="0" t="n">
        <f aca="false">L19*L20</f>
        <v>722.326314757605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0.18</v>
      </c>
      <c r="D23" s="4" t="n">
        <f aca="false">Assumptions!D16</f>
        <v>0.18</v>
      </c>
      <c r="E23" s="4" t="n">
        <f aca="false">Assumptions!E16</f>
        <v>0.18</v>
      </c>
      <c r="F23" s="4" t="n">
        <f aca="false">Assumptions!F16</f>
        <v>0.18</v>
      </c>
      <c r="G23" s="4" t="n">
        <f aca="false">Assumptions!G16</f>
        <v>0.18</v>
      </c>
      <c r="H23" s="4" t="n">
        <f aca="false">Assumptions!H16</f>
        <v>0.18</v>
      </c>
      <c r="I23" s="4" t="n">
        <f aca="false">Assumptions!I16</f>
        <v>0.18</v>
      </c>
      <c r="J23" s="4" t="n">
        <f aca="false">Assumptions!J16</f>
        <v>0.18</v>
      </c>
      <c r="K23" s="4" t="n">
        <f aca="false">Assumptions!K16</f>
        <v>0.18</v>
      </c>
      <c r="L23" s="4" t="n">
        <f aca="false">Assumptions!L16</f>
        <v>0.18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-224.811516384</v>
      </c>
      <c r="D24" s="0" t="n">
        <f aca="false">-D6*D23/100</f>
        <v>-229.30774671168</v>
      </c>
      <c r="E24" s="0" t="n">
        <f aca="false">-E6*E23/100</f>
        <v>-222.42851431033</v>
      </c>
      <c r="F24" s="0" t="n">
        <f aca="false">-F6*F23/100</f>
        <v>-224.652799453433</v>
      </c>
      <c r="G24" s="0" t="n">
        <f aca="false">-G6*G23/100</f>
        <v>-229.145855442502</v>
      </c>
      <c r="H24" s="0" t="n">
        <f aca="false">-H6*H23/100</f>
        <v>-233.728772551352</v>
      </c>
      <c r="I24" s="0" t="n">
        <f aca="false">-I6*I23/100</f>
        <v>-238.403348002379</v>
      </c>
      <c r="J24" s="0" t="n">
        <f aca="false">-J6*J23/100</f>
        <v>-243.171414962426</v>
      </c>
      <c r="K24" s="0" t="n">
        <f aca="false">-K6*K23/100</f>
        <v>-248.034843261675</v>
      </c>
      <c r="L24" s="0" t="n">
        <f aca="false">-L6*L23/100</f>
        <v>-252.995540126908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6.5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9904.81863760074</v>
      </c>
    </row>
    <row r="31" customFormat="false" ht="15" hidden="false" customHeight="false" outlineLevel="0" collapsed="false">
      <c r="A31" s="0" t="s">
        <v>128</v>
      </c>
      <c r="B31" s="0" t="n">
        <f aca="false">L19</f>
        <v>1873.52843263436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23887.4875160881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12177.9348121233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12177.9348121233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4695.12104592443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14599.9396835252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24957.9796835252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9.84404045515222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-0.423651027215912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1582.73622824021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1243.644342582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10.9588344021637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12177.9348121233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8.44177741429641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13</v>
      </c>
      <c r="D5" s="4" t="n">
        <f aca="false">Assumptions!D27</f>
        <v>8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114582.832</v>
      </c>
      <c r="C6" s="0" t="n">
        <f aca="false">B6*(1+C5/100)</f>
        <v>129478.60016</v>
      </c>
      <c r="D6" s="0" t="n">
        <f aca="false">C6*(1+D5/100)</f>
        <v>139836.8881728</v>
      </c>
      <c r="E6" s="0" t="n">
        <f aca="false">D6*(1+E5/100)</f>
        <v>148227.101463168</v>
      </c>
      <c r="F6" s="0" t="n">
        <f aca="false">E6*(1+F5/100)</f>
        <v>155638.456536326</v>
      </c>
      <c r="G6" s="0" t="n">
        <f aca="false">F6*(1+G5/100)</f>
        <v>161863.994797779</v>
      </c>
      <c r="H6" s="0" t="n">
        <f aca="false">G6*(1+H5/100)</f>
        <v>167529.234615702</v>
      </c>
      <c r="I6" s="0" t="n">
        <f aca="false">H6*(1+I5/100)</f>
        <v>172555.111654173</v>
      </c>
      <c r="J6" s="0" t="n">
        <f aca="false">I6*(1+J5/100)</f>
        <v>177731.765003798</v>
      </c>
      <c r="K6" s="0" t="n">
        <f aca="false">J6*(1+K5/100)</f>
        <v>182175.059128893</v>
      </c>
      <c r="L6" s="0" t="n">
        <f aca="false">K6*(1+L5/100)</f>
        <v>186729.435607115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4.3</v>
      </c>
      <c r="D7" s="4" t="n">
        <f aca="false">Assumptions!D28</f>
        <v>4.4</v>
      </c>
      <c r="E7" s="4" t="n">
        <f aca="false">Assumptions!E28</f>
        <v>4.5</v>
      </c>
      <c r="F7" s="4" t="n">
        <f aca="false">Assumptions!F28</f>
        <v>4.5</v>
      </c>
      <c r="G7" s="4" t="n">
        <f aca="false">Assumptions!G28</f>
        <v>4.5</v>
      </c>
      <c r="H7" s="4" t="n">
        <f aca="false">Assumptions!H28</f>
        <v>4.5</v>
      </c>
      <c r="I7" s="4" t="n">
        <f aca="false">Assumptions!I28</f>
        <v>4.5</v>
      </c>
      <c r="J7" s="4" t="n">
        <f aca="false">Assumptions!J28</f>
        <v>4.5</v>
      </c>
      <c r="K7" s="4" t="n">
        <f aca="false">Assumptions!K28</f>
        <v>4.5</v>
      </c>
      <c r="L7" s="4" t="n">
        <f aca="false">Assumptions!L28</f>
        <v>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5567.57980688</v>
      </c>
      <c r="D8" s="0" t="n">
        <f aca="false">D6*D7/100</f>
        <v>6152.8230796032</v>
      </c>
      <c r="E8" s="0" t="n">
        <f aca="false">E6*E7/100</f>
        <v>6670.21956584256</v>
      </c>
      <c r="F8" s="0" t="n">
        <f aca="false">F6*F7/100</f>
        <v>7003.73054413469</v>
      </c>
      <c r="G8" s="0" t="n">
        <f aca="false">G6*G7/100</f>
        <v>7283.87976590008</v>
      </c>
      <c r="H8" s="0" t="n">
        <f aca="false">H6*H7/100</f>
        <v>7538.81555770658</v>
      </c>
      <c r="I8" s="0" t="n">
        <f aca="false">I6*I7/100</f>
        <v>7764.98002443777</v>
      </c>
      <c r="J8" s="0" t="n">
        <f aca="false">J6*J7/100</f>
        <v>7997.92942517091</v>
      </c>
      <c r="K8" s="0" t="n">
        <f aca="false">K6*K7/100</f>
        <v>8197.87766080018</v>
      </c>
      <c r="L8" s="0" t="n">
        <f aca="false">L6*L7/100</f>
        <v>8402.82460232019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0.22</v>
      </c>
      <c r="D9" s="4" t="n">
        <f aca="false">Assumptions!D29</f>
        <v>0.21</v>
      </c>
      <c r="E9" s="4" t="n">
        <f aca="false">Assumptions!E29</f>
        <v>0.2</v>
      </c>
      <c r="F9" s="4" t="n">
        <f aca="false">Assumptions!F29</f>
        <v>0.19</v>
      </c>
      <c r="G9" s="4" t="n">
        <f aca="false">Assumptions!G29</f>
        <v>0.18</v>
      </c>
      <c r="H9" s="4" t="n">
        <f aca="false">Assumptions!H29</f>
        <v>0.17</v>
      </c>
      <c r="I9" s="4" t="n">
        <f aca="false">Assumptions!I29</f>
        <v>0.16</v>
      </c>
      <c r="J9" s="4" t="n">
        <f aca="false">Assumptions!J29</f>
        <v>0.15</v>
      </c>
      <c r="K9" s="4" t="n">
        <f aca="false">Assumptions!K29</f>
        <v>0.15</v>
      </c>
      <c r="L9" s="4" t="n">
        <f aca="false">Assumptions!L29</f>
        <v>0.15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-284.852920352</v>
      </c>
      <c r="D10" s="0" t="n">
        <f aca="false">-D6*D9/100</f>
        <v>-293.65746516288</v>
      </c>
      <c r="E10" s="0" t="n">
        <f aca="false">-E6*E9/100</f>
        <v>-296.454202926336</v>
      </c>
      <c r="F10" s="0" t="n">
        <f aca="false">-F6*F9/100</f>
        <v>-295.71306741902</v>
      </c>
      <c r="G10" s="0" t="n">
        <f aca="false">-G6*G9/100</f>
        <v>-291.355190636003</v>
      </c>
      <c r="H10" s="0" t="n">
        <f aca="false">-H6*H9/100</f>
        <v>-284.799698846693</v>
      </c>
      <c r="I10" s="0" t="n">
        <f aca="false">-I6*I9/100</f>
        <v>-276.088178646676</v>
      </c>
      <c r="J10" s="0" t="n">
        <f aca="false">-J6*J9/100</f>
        <v>-266.597647505697</v>
      </c>
      <c r="K10" s="0" t="n">
        <f aca="false">-K6*K9/100</f>
        <v>-273.262588693339</v>
      </c>
      <c r="L10" s="0" t="n">
        <f aca="false">-L6*L9/100</f>
        <v>-280.094153410673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5049.66540624</v>
      </c>
      <c r="D11" s="0" t="n">
        <f aca="false">D8+D10+D24</f>
        <v>5607.45921572928</v>
      </c>
      <c r="E11" s="0" t="n">
        <f aca="false">E8+E10+E24</f>
        <v>6106.95658028252</v>
      </c>
      <c r="F11" s="0" t="n">
        <f aca="false">F8+F10+F24</f>
        <v>6427.86825495028</v>
      </c>
      <c r="G11" s="0" t="n">
        <f aca="false">G8+G10+G24</f>
        <v>6701.16938462807</v>
      </c>
      <c r="H11" s="0" t="n">
        <f aca="false">H8+H10+H24</f>
        <v>6952.46323655162</v>
      </c>
      <c r="I11" s="0" t="n">
        <f aca="false">I8+I10+I24</f>
        <v>7178.29264481359</v>
      </c>
      <c r="J11" s="0" t="n">
        <f aca="false">J8+J10+J24</f>
        <v>7411.41460065838</v>
      </c>
      <c r="K11" s="0" t="n">
        <f aca="false">K8+K10+K24</f>
        <v>7596.69996567483</v>
      </c>
      <c r="L11" s="0" t="n">
        <f aca="false">L8+L10+L24</f>
        <v>7786.6174648167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-1294.7860016</v>
      </c>
      <c r="D12" s="4" t="n">
        <f aca="false">-D6*Assumptions!D31/100</f>
        <v>-1398.368881728</v>
      </c>
      <c r="E12" s="4" t="n">
        <f aca="false">-E6*Assumptions!E31/100</f>
        <v>-1482.27101463168</v>
      </c>
      <c r="F12" s="4" t="n">
        <f aca="false">-F6*Assumptions!F31/100</f>
        <v>-1556.38456536326</v>
      </c>
      <c r="G12" s="4" t="n">
        <f aca="false">-G6*Assumptions!G31/100</f>
        <v>-1618.63994797779</v>
      </c>
      <c r="H12" s="4" t="n">
        <f aca="false">-H6*Assumptions!H31/100</f>
        <v>-1675.29234615702</v>
      </c>
      <c r="I12" s="4" t="n">
        <f aca="false">-I6*Assumptions!I31/100</f>
        <v>-1725.55111654173</v>
      </c>
      <c r="J12" s="4" t="n">
        <f aca="false">-J6*Assumptions!J31/100</f>
        <v>-1777.31765003798</v>
      </c>
      <c r="K12" s="4" t="n">
        <f aca="false">-K6*Assumptions!K31/100</f>
        <v>-1821.75059128893</v>
      </c>
      <c r="L12" s="4" t="n">
        <f aca="false">-L6*Assumptions!L31/100</f>
        <v>-1867.29435607115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3754.87940464</v>
      </c>
      <c r="D13" s="0" t="n">
        <f aca="false">D11+D12</f>
        <v>4209.09033400128</v>
      </c>
      <c r="E13" s="0" t="n">
        <f aca="false">E11+E12</f>
        <v>4624.68556565084</v>
      </c>
      <c r="F13" s="0" t="n">
        <f aca="false">F11+F12</f>
        <v>4871.48368958702</v>
      </c>
      <c r="G13" s="0" t="n">
        <f aca="false">G11+G12</f>
        <v>5082.52943665028</v>
      </c>
      <c r="H13" s="0" t="n">
        <f aca="false">H11+H12</f>
        <v>5277.1708903946</v>
      </c>
      <c r="I13" s="0" t="n">
        <f aca="false">I11+I12</f>
        <v>5452.74152827186</v>
      </c>
      <c r="J13" s="0" t="n">
        <f aca="false">J11+J12</f>
        <v>5634.0969506204</v>
      </c>
      <c r="K13" s="0" t="n">
        <f aca="false">K11+K12</f>
        <v>5774.9493743859</v>
      </c>
      <c r="L13" s="0" t="n">
        <f aca="false">L11+L12</f>
        <v>5919.32310874555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2741.0619653872</v>
      </c>
      <c r="D15" s="0" t="n">
        <f aca="false">D13-MAX(0,D13)*D14/100</f>
        <v>3072.63594382094</v>
      </c>
      <c r="E15" s="0" t="n">
        <f aca="false">E13-MAX(0,E13)*E14/100</f>
        <v>3376.02046292511</v>
      </c>
      <c r="F15" s="0" t="n">
        <f aca="false">F13-MAX(0,F13)*F14/100</f>
        <v>3556.18309339852</v>
      </c>
      <c r="G15" s="0" t="n">
        <f aca="false">G13-MAX(0,G13)*G14/100</f>
        <v>3710.2464887547</v>
      </c>
      <c r="H15" s="0" t="n">
        <f aca="false">H13-MAX(0,H13)*H14/100</f>
        <v>3852.33474998806</v>
      </c>
      <c r="I15" s="0" t="n">
        <f aca="false">I13-MAX(0,I13)*I14/100</f>
        <v>3980.50131563846</v>
      </c>
      <c r="J15" s="0" t="n">
        <f aca="false">J13-MAX(0,J13)*J14/100</f>
        <v>4112.89077395289</v>
      </c>
      <c r="K15" s="0" t="n">
        <f aca="false">K13-MAX(0,K13)*K14/100</f>
        <v>4215.71304330171</v>
      </c>
      <c r="L15" s="0" t="n">
        <f aca="false">L13-MAX(0,L13)*L14/100</f>
        <v>4321.10586938425</v>
      </c>
    </row>
    <row r="16" customFormat="false" ht="15" hidden="false" customHeight="false" outlineLevel="0" collapsed="false">
      <c r="A16" s="0" t="s">
        <v>119</v>
      </c>
      <c r="C16" s="0" t="n">
        <f aca="false">-C12</f>
        <v>1294.7860016</v>
      </c>
      <c r="D16" s="0" t="n">
        <f aca="false">-D12</f>
        <v>1398.368881728</v>
      </c>
      <c r="E16" s="0" t="n">
        <f aca="false">-E12</f>
        <v>1482.27101463168</v>
      </c>
      <c r="F16" s="0" t="n">
        <f aca="false">-F12</f>
        <v>1556.38456536326</v>
      </c>
      <c r="G16" s="0" t="n">
        <f aca="false">-G12</f>
        <v>1618.63994797779</v>
      </c>
      <c r="H16" s="0" t="n">
        <f aca="false">-H12</f>
        <v>1675.29234615702</v>
      </c>
      <c r="I16" s="0" t="n">
        <f aca="false">-I12</f>
        <v>1725.55111654173</v>
      </c>
      <c r="J16" s="0" t="n">
        <f aca="false">-J12</f>
        <v>1777.31765003798</v>
      </c>
      <c r="K16" s="0" t="n">
        <f aca="false">-K12</f>
        <v>1821.75059128893</v>
      </c>
      <c r="L16" s="0" t="n">
        <f aca="false">-L12</f>
        <v>1867.29435607115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-1489.00390184</v>
      </c>
      <c r="D17" s="4" t="n">
        <f aca="false">-D6*Assumptions!D32/100</f>
        <v>-1608.1242139872</v>
      </c>
      <c r="E17" s="4" t="n">
        <f aca="false">-E6*Assumptions!E32/100</f>
        <v>-1704.61166682643</v>
      </c>
      <c r="F17" s="4" t="n">
        <f aca="false">-F6*Assumptions!F32/100</f>
        <v>-1789.84225016775</v>
      </c>
      <c r="G17" s="4" t="n">
        <f aca="false">-G6*Assumptions!G32/100</f>
        <v>-1861.43594017446</v>
      </c>
      <c r="H17" s="4" t="n">
        <f aca="false">-H6*Assumptions!H32/100</f>
        <v>-1926.58619808057</v>
      </c>
      <c r="I17" s="4" t="n">
        <f aca="false">-I6*Assumptions!I32/100</f>
        <v>-1984.38378402299</v>
      </c>
      <c r="J17" s="4" t="n">
        <f aca="false">-J6*Assumptions!J32/100</f>
        <v>-2043.91529754368</v>
      </c>
      <c r="K17" s="4" t="n">
        <f aca="false">-K6*Assumptions!K32/100</f>
        <v>-2095.01317998227</v>
      </c>
      <c r="L17" s="4" t="n">
        <f aca="false">-L6*Assumptions!L32/100</f>
        <v>-2147.38850948182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-297.9153632</v>
      </c>
      <c r="D18" s="4" t="n">
        <f aca="false">(D6-C6)*Assumptions!$B$37/100</f>
        <v>-207.165760256</v>
      </c>
      <c r="E18" s="4" t="n">
        <f aca="false">(E6-D6)*Assumptions!$B$37/100</f>
        <v>-167.80426580736</v>
      </c>
      <c r="F18" s="4" t="n">
        <f aca="false">(F6-E6)*Assumptions!$B$37/100</f>
        <v>-148.227101463168</v>
      </c>
      <c r="G18" s="4" t="n">
        <f aca="false">(G6-F6)*Assumptions!$B$37/100</f>
        <v>-124.510765229061</v>
      </c>
      <c r="H18" s="4" t="n">
        <f aca="false">(H6-G6)*Assumptions!$B$37/100</f>
        <v>-113.304796358445</v>
      </c>
      <c r="I18" s="4" t="n">
        <f aca="false">(I6-H6)*Assumptions!$B$37/100</f>
        <v>-100.517540769421</v>
      </c>
      <c r="J18" s="4" t="n">
        <f aca="false">(J6-I6)*Assumptions!$B$37/100</f>
        <v>-103.533066992504</v>
      </c>
      <c r="K18" s="4" t="n">
        <f aca="false">(K6-J6)*Assumptions!$B$37/100</f>
        <v>-88.8658825018985</v>
      </c>
      <c r="L18" s="4" t="n">
        <f aca="false">(L6-K6)*Assumptions!$B$37/100</f>
        <v>-91.0875295644463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2248.9287019472</v>
      </c>
      <c r="D19" s="0" t="n">
        <f aca="false">D15+D16+D17+D18</f>
        <v>2655.71485130574</v>
      </c>
      <c r="E19" s="0" t="n">
        <f aca="false">E15+E16+E17+E18</f>
        <v>2985.875544923</v>
      </c>
      <c r="F19" s="0" t="n">
        <f aca="false">F15+F16+F17+F18</f>
        <v>3174.49830713086</v>
      </c>
      <c r="G19" s="0" t="n">
        <f aca="false">G15+G16+G17+G18</f>
        <v>3342.93973132897</v>
      </c>
      <c r="H19" s="0" t="n">
        <f aca="false">H15+H16+H17+H18</f>
        <v>3487.73610170606</v>
      </c>
      <c r="I19" s="0" t="n">
        <f aca="false">I15+I16+I17+I18</f>
        <v>3621.15110738778</v>
      </c>
      <c r="J19" s="0" t="n">
        <f aca="false">J15+J16+J17+J18</f>
        <v>3742.76005945469</v>
      </c>
      <c r="K19" s="0" t="n">
        <f aca="false">K15+K16+K17+K18</f>
        <v>3853.58457210647</v>
      </c>
      <c r="L19" s="0" t="n">
        <f aca="false">L15+L16+L17+L18</f>
        <v>3949.92418640913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2044.48063813382</v>
      </c>
      <c r="D21" s="0" t="n">
        <f aca="false">D19*D20</f>
        <v>2194.80566223614</v>
      </c>
      <c r="E21" s="0" t="n">
        <f aca="false">E19*E20</f>
        <v>2243.33249055072</v>
      </c>
      <c r="F21" s="0" t="n">
        <f aca="false">F19*F20</f>
        <v>2168.22505780402</v>
      </c>
      <c r="G21" s="0" t="n">
        <f aca="false">G19*G20</f>
        <v>2075.7025608838</v>
      </c>
      <c r="H21" s="0" t="n">
        <f aca="false">H19*H20</f>
        <v>1968.73610432046</v>
      </c>
      <c r="I21" s="0" t="n">
        <f aca="false">I19*I20</f>
        <v>1858.22308809615</v>
      </c>
      <c r="J21" s="0" t="n">
        <f aca="false">J19*J20</f>
        <v>1746.02519008983</v>
      </c>
      <c r="K21" s="0" t="n">
        <f aca="false">K19*K20</f>
        <v>1634.2960392273</v>
      </c>
      <c r="L21" s="0" t="n">
        <f aca="false">L19*L20</f>
        <v>1522.86676382544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0.18</v>
      </c>
      <c r="D23" s="4" t="n">
        <f aca="false">Assumptions!D30</f>
        <v>0.18</v>
      </c>
      <c r="E23" s="4" t="n">
        <f aca="false">Assumptions!E30</f>
        <v>0.18</v>
      </c>
      <c r="F23" s="4" t="n">
        <f aca="false">Assumptions!F30</f>
        <v>0.18</v>
      </c>
      <c r="G23" s="4" t="n">
        <f aca="false">Assumptions!G30</f>
        <v>0.18</v>
      </c>
      <c r="H23" s="4" t="n">
        <f aca="false">Assumptions!H30</f>
        <v>0.18</v>
      </c>
      <c r="I23" s="4" t="n">
        <f aca="false">Assumptions!I30</f>
        <v>0.18</v>
      </c>
      <c r="J23" s="4" t="n">
        <f aca="false">Assumptions!J30</f>
        <v>0.18</v>
      </c>
      <c r="K23" s="4" t="n">
        <f aca="false">Assumptions!K30</f>
        <v>0.18</v>
      </c>
      <c r="L23" s="4" t="n">
        <f aca="false">Assumptions!L30</f>
        <v>0.18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-233.061480288</v>
      </c>
      <c r="D24" s="0" t="n">
        <f aca="false">-D6*D23/100</f>
        <v>-251.70639871104</v>
      </c>
      <c r="E24" s="0" t="n">
        <f aca="false">-E6*E23/100</f>
        <v>-266.808782633702</v>
      </c>
      <c r="F24" s="0" t="n">
        <f aca="false">-F6*F23/100</f>
        <v>-280.149221765388</v>
      </c>
      <c r="G24" s="0" t="n">
        <f aca="false">-G6*G23/100</f>
        <v>-291.355190636003</v>
      </c>
      <c r="H24" s="0" t="n">
        <f aca="false">-H6*H23/100</f>
        <v>-301.552622308263</v>
      </c>
      <c r="I24" s="0" t="n">
        <f aca="false">-I6*I23/100</f>
        <v>-310.599200977511</v>
      </c>
      <c r="J24" s="0" t="n">
        <f aca="false">-J6*J23/100</f>
        <v>-319.917177006836</v>
      </c>
      <c r="K24" s="0" t="n">
        <f aca="false">-K6*K23/100</f>
        <v>-327.915106432007</v>
      </c>
      <c r="L24" s="0" t="n">
        <f aca="false">-L6*L23/100</f>
        <v>-336.112984092807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9.5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19456.6935951677</v>
      </c>
    </row>
    <row r="31" customFormat="false" ht="15" hidden="false" customHeight="false" outlineLevel="0" collapsed="false">
      <c r="A31" s="0" t="s">
        <v>128</v>
      </c>
      <c r="B31" s="0" t="n">
        <f aca="false">L19</f>
        <v>3949.92418640913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53982.2972142582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37524.2797708868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37524.2797708868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14467.2342563417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33923.9278515094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44281.9678515094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17.4658962180243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0.0225934553878371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1757.95150508692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1475.84175716438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18.7413837414881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32389.3783285549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13.3838862206583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15</v>
      </c>
      <c r="D5" s="4" t="n">
        <f aca="false">Assumptions!D41</f>
        <v>11</v>
      </c>
      <c r="E5" s="4" t="n">
        <f aca="false">Assumptions!E41</f>
        <v>9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114582.832</v>
      </c>
      <c r="C6" s="0" t="n">
        <f aca="false">B6*(1+C5/100)</f>
        <v>131770.2568</v>
      </c>
      <c r="D6" s="0" t="n">
        <f aca="false">C6*(1+D5/100)</f>
        <v>146264.985048</v>
      </c>
      <c r="E6" s="0" t="n">
        <f aca="false">D6*(1+E5/100)</f>
        <v>159428.83370232</v>
      </c>
      <c r="F6" s="0" t="n">
        <f aca="false">E6*(1+F5/100)</f>
        <v>170588.852061482</v>
      </c>
      <c r="G6" s="0" t="n">
        <f aca="false">F6*(1+G5/100)</f>
        <v>180824.183185171</v>
      </c>
      <c r="H6" s="0" t="n">
        <f aca="false">G6*(1+H5/100)</f>
        <v>189865.39234443</v>
      </c>
      <c r="I6" s="0" t="n">
        <f aca="false">H6*(1+I5/100)</f>
        <v>197460.008038207</v>
      </c>
      <c r="J6" s="0" t="n">
        <f aca="false">I6*(1+J5/100)</f>
        <v>204371.108319544</v>
      </c>
      <c r="K6" s="0" t="n">
        <f aca="false">J6*(1+K5/100)</f>
        <v>210502.241569131</v>
      </c>
      <c r="L6" s="0" t="n">
        <f aca="false">K6*(1+L5/100)</f>
        <v>216817.308816205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4.7</v>
      </c>
      <c r="D7" s="4" t="n">
        <f aca="false">Assumptions!D42</f>
        <v>5</v>
      </c>
      <c r="E7" s="4" t="n">
        <f aca="false">Assumptions!E42</f>
        <v>5.2</v>
      </c>
      <c r="F7" s="4" t="n">
        <f aca="false">Assumptions!F42</f>
        <v>5.4</v>
      </c>
      <c r="G7" s="4" t="n">
        <f aca="false">Assumptions!G42</f>
        <v>5.5</v>
      </c>
      <c r="H7" s="4" t="n">
        <f aca="false">Assumptions!H42</f>
        <v>5.5</v>
      </c>
      <c r="I7" s="4" t="n">
        <f aca="false">Assumptions!I42</f>
        <v>5.5</v>
      </c>
      <c r="J7" s="4" t="n">
        <f aca="false">Assumptions!J42</f>
        <v>5.5</v>
      </c>
      <c r="K7" s="4" t="n">
        <f aca="false">Assumptions!K42</f>
        <v>5.5</v>
      </c>
      <c r="L7" s="4" t="n">
        <f aca="false">Assumptions!L42</f>
        <v>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6193.2020696</v>
      </c>
      <c r="D8" s="0" t="n">
        <f aca="false">D6*D7/100</f>
        <v>7313.2492524</v>
      </c>
      <c r="E8" s="0" t="n">
        <f aca="false">E6*E7/100</f>
        <v>8290.29935252064</v>
      </c>
      <c r="F8" s="0" t="n">
        <f aca="false">F6*F7/100</f>
        <v>9211.79801132005</v>
      </c>
      <c r="G8" s="0" t="n">
        <f aca="false">G6*G7/100</f>
        <v>9945.33007518442</v>
      </c>
      <c r="H8" s="0" t="n">
        <f aca="false">H6*H7/100</f>
        <v>10442.5965789436</v>
      </c>
      <c r="I8" s="0" t="n">
        <f aca="false">I6*I7/100</f>
        <v>10860.3004421014</v>
      </c>
      <c r="J8" s="0" t="n">
        <f aca="false">J6*J7/100</f>
        <v>11240.4109575749</v>
      </c>
      <c r="K8" s="0" t="n">
        <f aca="false">K6*K7/100</f>
        <v>11577.6232863022</v>
      </c>
      <c r="L8" s="0" t="n">
        <f aca="false">L6*L7/100</f>
        <v>11924.9519848913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0.22</v>
      </c>
      <c r="D9" s="4" t="n">
        <f aca="false">Assumptions!D43</f>
        <v>0.21</v>
      </c>
      <c r="E9" s="4" t="n">
        <f aca="false">Assumptions!E43</f>
        <v>0.2</v>
      </c>
      <c r="F9" s="4" t="n">
        <f aca="false">Assumptions!F43</f>
        <v>0.19</v>
      </c>
      <c r="G9" s="4" t="n">
        <f aca="false">Assumptions!G43</f>
        <v>0.18</v>
      </c>
      <c r="H9" s="4" t="n">
        <f aca="false">Assumptions!H43</f>
        <v>0.17</v>
      </c>
      <c r="I9" s="4" t="n">
        <f aca="false">Assumptions!I43</f>
        <v>0.16</v>
      </c>
      <c r="J9" s="4" t="n">
        <f aca="false">Assumptions!J43</f>
        <v>0.15</v>
      </c>
      <c r="K9" s="4" t="n">
        <f aca="false">Assumptions!K43</f>
        <v>0.15</v>
      </c>
      <c r="L9" s="4" t="n">
        <f aca="false">Assumptions!L43</f>
        <v>0.15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-289.89456496</v>
      </c>
      <c r="D10" s="0" t="n">
        <f aca="false">-D6*D9/100</f>
        <v>-307.1564686008</v>
      </c>
      <c r="E10" s="0" t="n">
        <f aca="false">-E6*E9/100</f>
        <v>-318.85766740464</v>
      </c>
      <c r="F10" s="0" t="n">
        <f aca="false">-F6*F9/100</f>
        <v>-324.118818916817</v>
      </c>
      <c r="G10" s="0" t="n">
        <f aca="false">-G6*G9/100</f>
        <v>-325.483529733308</v>
      </c>
      <c r="H10" s="0" t="n">
        <f aca="false">-H6*H9/100</f>
        <v>-322.771166985531</v>
      </c>
      <c r="I10" s="0" t="n">
        <f aca="false">-I6*I9/100</f>
        <v>-315.936012861131</v>
      </c>
      <c r="J10" s="0" t="n">
        <f aca="false">-J6*J9/100</f>
        <v>-306.556662479317</v>
      </c>
      <c r="K10" s="0" t="n">
        <f aca="false">-K6*K9/100</f>
        <v>-315.753362353696</v>
      </c>
      <c r="L10" s="0" t="n">
        <f aca="false">-L6*L9/100</f>
        <v>-325.225963224307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5666.1210424</v>
      </c>
      <c r="D11" s="0" t="n">
        <f aca="false">D8+D10+D24</f>
        <v>6742.8158107128</v>
      </c>
      <c r="E11" s="0" t="n">
        <f aca="false">E8+E10+E24</f>
        <v>7684.46978445182</v>
      </c>
      <c r="F11" s="0" t="n">
        <f aca="false">F8+F10+F24</f>
        <v>8580.61925869256</v>
      </c>
      <c r="G11" s="0" t="n">
        <f aca="false">G8+G10+G24</f>
        <v>9294.36301571781</v>
      </c>
      <c r="H11" s="0" t="n">
        <f aca="false">H8+H10+H24</f>
        <v>9778.06770573814</v>
      </c>
      <c r="I11" s="0" t="n">
        <f aca="false">I8+I10+I24</f>
        <v>10188.9364147715</v>
      </c>
      <c r="J11" s="0" t="n">
        <f aca="false">J8+J10+J24</f>
        <v>10565.9863001204</v>
      </c>
      <c r="K11" s="0" t="n">
        <f aca="false">K8+K10+K24</f>
        <v>10882.9658891241</v>
      </c>
      <c r="L11" s="0" t="n">
        <f aca="false">L8+L10+L24</f>
        <v>11209.4548657978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-1317.702568</v>
      </c>
      <c r="D12" s="4" t="n">
        <f aca="false">-D6*Assumptions!D45/100</f>
        <v>-1462.64985048</v>
      </c>
      <c r="E12" s="4" t="n">
        <f aca="false">-E6*Assumptions!E45/100</f>
        <v>-1594.2883370232</v>
      </c>
      <c r="F12" s="4" t="n">
        <f aca="false">-F6*Assumptions!F45/100</f>
        <v>-1705.88852061482</v>
      </c>
      <c r="G12" s="4" t="n">
        <f aca="false">-G6*Assumptions!G45/100</f>
        <v>-1808.24183185171</v>
      </c>
      <c r="H12" s="4" t="n">
        <f aca="false">-H6*Assumptions!H45/100</f>
        <v>-1898.6539234443</v>
      </c>
      <c r="I12" s="4" t="n">
        <f aca="false">-I6*Assumptions!I45/100</f>
        <v>-1974.60008038207</v>
      </c>
      <c r="J12" s="4" t="n">
        <f aca="false">-J6*Assumptions!J45/100</f>
        <v>-2043.71108319544</v>
      </c>
      <c r="K12" s="4" t="n">
        <f aca="false">-K6*Assumptions!K45/100</f>
        <v>-2105.02241569131</v>
      </c>
      <c r="L12" s="4" t="n">
        <f aca="false">-L6*Assumptions!L45/100</f>
        <v>-2168.17308816205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4348.4184744</v>
      </c>
      <c r="D13" s="0" t="n">
        <f aca="false">D11+D12</f>
        <v>5280.1659602328</v>
      </c>
      <c r="E13" s="0" t="n">
        <f aca="false">E11+E12</f>
        <v>6090.18144742862</v>
      </c>
      <c r="F13" s="0" t="n">
        <f aca="false">F11+F12</f>
        <v>6874.73073807774</v>
      </c>
      <c r="G13" s="0" t="n">
        <f aca="false">G11+G12</f>
        <v>7486.12118386609</v>
      </c>
      <c r="H13" s="0" t="n">
        <f aca="false">H11+H12</f>
        <v>7879.41378229384</v>
      </c>
      <c r="I13" s="0" t="n">
        <f aca="false">I11+I12</f>
        <v>8214.33633438942</v>
      </c>
      <c r="J13" s="0" t="n">
        <f aca="false">J11+J12</f>
        <v>8522.275216925</v>
      </c>
      <c r="K13" s="0" t="n">
        <f aca="false">K11+K12</f>
        <v>8777.94347343275</v>
      </c>
      <c r="L13" s="0" t="n">
        <f aca="false">L11+L12</f>
        <v>9041.28177763573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26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3217.829671056</v>
      </c>
      <c r="D15" s="0" t="n">
        <f aca="false">D13-MAX(0,D13)*D14/100</f>
        <v>3960.1244701746</v>
      </c>
      <c r="E15" s="0" t="n">
        <f aca="false">E13-MAX(0,E13)*E14/100</f>
        <v>4567.63608557147</v>
      </c>
      <c r="F15" s="0" t="n">
        <f aca="false">F13-MAX(0,F13)*F14/100</f>
        <v>5156.04805355831</v>
      </c>
      <c r="G15" s="0" t="n">
        <f aca="false">G13-MAX(0,G13)*G14/100</f>
        <v>5614.59088789957</v>
      </c>
      <c r="H15" s="0" t="n">
        <f aca="false">H13-MAX(0,H13)*H14/100</f>
        <v>5909.56033672038</v>
      </c>
      <c r="I15" s="0" t="n">
        <f aca="false">I13-MAX(0,I13)*I14/100</f>
        <v>6160.75225079206</v>
      </c>
      <c r="J15" s="0" t="n">
        <f aca="false">J13-MAX(0,J13)*J14/100</f>
        <v>6391.70641269375</v>
      </c>
      <c r="K15" s="0" t="n">
        <f aca="false">K13-MAX(0,K13)*K14/100</f>
        <v>6583.45760507456</v>
      </c>
      <c r="L15" s="0" t="n">
        <f aca="false">L13-MAX(0,L13)*L14/100</f>
        <v>6780.9613332268</v>
      </c>
    </row>
    <row r="16" customFormat="false" ht="15" hidden="false" customHeight="false" outlineLevel="0" collapsed="false">
      <c r="A16" s="0" t="s">
        <v>119</v>
      </c>
      <c r="C16" s="0" t="n">
        <f aca="false">-C12</f>
        <v>1317.702568</v>
      </c>
      <c r="D16" s="0" t="n">
        <f aca="false">-D12</f>
        <v>1462.64985048</v>
      </c>
      <c r="E16" s="0" t="n">
        <f aca="false">-E12</f>
        <v>1594.2883370232</v>
      </c>
      <c r="F16" s="0" t="n">
        <f aca="false">-F12</f>
        <v>1705.88852061482</v>
      </c>
      <c r="G16" s="0" t="n">
        <f aca="false">-G12</f>
        <v>1808.24183185171</v>
      </c>
      <c r="H16" s="0" t="n">
        <f aca="false">-H12</f>
        <v>1898.6539234443</v>
      </c>
      <c r="I16" s="0" t="n">
        <f aca="false">-I12</f>
        <v>1974.60008038207</v>
      </c>
      <c r="J16" s="0" t="n">
        <f aca="false">-J12</f>
        <v>2043.71108319544</v>
      </c>
      <c r="K16" s="0" t="n">
        <f aca="false">-K12</f>
        <v>2105.02241569131</v>
      </c>
      <c r="L16" s="0" t="n">
        <f aca="false">-L12</f>
        <v>2168.17308816205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-1449.4728248</v>
      </c>
      <c r="D17" s="4" t="n">
        <f aca="false">-D6*Assumptions!D46/100</f>
        <v>-1608.914835528</v>
      </c>
      <c r="E17" s="4" t="n">
        <f aca="false">-E6*Assumptions!E46/100</f>
        <v>-1753.71717072552</v>
      </c>
      <c r="F17" s="4" t="n">
        <f aca="false">-F6*Assumptions!F46/100</f>
        <v>-1876.47737267631</v>
      </c>
      <c r="G17" s="4" t="n">
        <f aca="false">-G6*Assumptions!G46/100</f>
        <v>-1989.06601503689</v>
      </c>
      <c r="H17" s="4" t="n">
        <f aca="false">-H6*Assumptions!H46/100</f>
        <v>-2088.51931578873</v>
      </c>
      <c r="I17" s="4" t="n">
        <f aca="false">-I6*Assumptions!I46/100</f>
        <v>-2172.06008842028</v>
      </c>
      <c r="J17" s="4" t="n">
        <f aca="false">-J6*Assumptions!J46/100</f>
        <v>-2248.08219151499</v>
      </c>
      <c r="K17" s="4" t="n">
        <f aca="false">-K6*Assumptions!K46/100</f>
        <v>-2315.52465726044</v>
      </c>
      <c r="L17" s="4" t="n">
        <f aca="false">-L6*Assumptions!L46/100</f>
        <v>-2384.99039697825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-171.874248</v>
      </c>
      <c r="D18" s="4" t="n">
        <f aca="false">(D6-C6)*Assumptions!$B$51/100</f>
        <v>-144.94728248</v>
      </c>
      <c r="E18" s="4" t="n">
        <f aca="false">(E6-D6)*Assumptions!$B$51/100</f>
        <v>-131.6384865432</v>
      </c>
      <c r="F18" s="4" t="n">
        <f aca="false">(F6-E6)*Assumptions!$B$51/100</f>
        <v>-111.600183591624</v>
      </c>
      <c r="G18" s="4" t="n">
        <f aca="false">(G6-F6)*Assumptions!$B$51/100</f>
        <v>-102.35331123689</v>
      </c>
      <c r="H18" s="4" t="n">
        <f aca="false">(H6-G6)*Assumptions!$B$51/100</f>
        <v>-90.4120915925858</v>
      </c>
      <c r="I18" s="4" t="n">
        <f aca="false">(I6-H6)*Assumptions!$B$51/100</f>
        <v>-75.9461569377722</v>
      </c>
      <c r="J18" s="4" t="n">
        <f aca="false">(J6-I6)*Assumptions!$B$51/100</f>
        <v>-69.1110028133725</v>
      </c>
      <c r="K18" s="4" t="n">
        <f aca="false">(K6-J6)*Assumptions!$B$51/100</f>
        <v>-61.3113324958633</v>
      </c>
      <c r="L18" s="4" t="n">
        <f aca="false">(L6-K6)*Assumptions!$B$51/100</f>
        <v>-63.1506724707392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2914.185166256</v>
      </c>
      <c r="D19" s="0" t="n">
        <f aca="false">D15+D16+D17+D18</f>
        <v>3668.9122026466</v>
      </c>
      <c r="E19" s="0" t="n">
        <f aca="false">E15+E16+E17+E18</f>
        <v>4276.56876532595</v>
      </c>
      <c r="F19" s="0" t="n">
        <f aca="false">F15+F16+F17+F18</f>
        <v>4873.8590179052</v>
      </c>
      <c r="G19" s="0" t="n">
        <f aca="false">G15+G16+G17+G18</f>
        <v>5331.41339347751</v>
      </c>
      <c r="H19" s="0" t="n">
        <f aca="false">H15+H16+H17+H18</f>
        <v>5629.28285278336</v>
      </c>
      <c r="I19" s="0" t="n">
        <f aca="false">I15+I16+I17+I18</f>
        <v>5887.34608581608</v>
      </c>
      <c r="J19" s="0" t="n">
        <f aca="false">J15+J16+J17+J18</f>
        <v>6118.22430156083</v>
      </c>
      <c r="K19" s="0" t="n">
        <f aca="false">K15+K16+K17+K18</f>
        <v>6311.64403100957</v>
      </c>
      <c r="L19" s="0" t="n">
        <f aca="false">L15+L16+L17+L18</f>
        <v>6500.99335193986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2649.25924205091</v>
      </c>
      <c r="D21" s="0" t="n">
        <f aca="false">D19*D20</f>
        <v>3032.15884516248</v>
      </c>
      <c r="E21" s="0" t="n">
        <f aca="false">E19*E20</f>
        <v>3213.04941046277</v>
      </c>
      <c r="F21" s="0" t="n">
        <f aca="false">F19*F20</f>
        <v>3328.91128878164</v>
      </c>
      <c r="G21" s="0" t="n">
        <f aca="false">G19*G20</f>
        <v>3310.38825805335</v>
      </c>
      <c r="H21" s="0" t="n">
        <f aca="false">H19*H20</f>
        <v>3177.58341529496</v>
      </c>
      <c r="I21" s="0" t="n">
        <f aca="false">I19*I20</f>
        <v>3021.1394387703</v>
      </c>
      <c r="J21" s="0" t="n">
        <f aca="false">J19*J20</f>
        <v>2854.19679045667</v>
      </c>
      <c r="K21" s="0" t="n">
        <f aca="false">K19*K20</f>
        <v>2676.75320156607</v>
      </c>
      <c r="L21" s="0" t="n">
        <f aca="false">L19*L20</f>
        <v>2506.41436146641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0.18</v>
      </c>
      <c r="D23" s="4" t="n">
        <f aca="false">Assumptions!D44</f>
        <v>0.18</v>
      </c>
      <c r="E23" s="4" t="n">
        <f aca="false">Assumptions!E44</f>
        <v>0.18</v>
      </c>
      <c r="F23" s="4" t="n">
        <f aca="false">Assumptions!F44</f>
        <v>0.18</v>
      </c>
      <c r="G23" s="4" t="n">
        <f aca="false">Assumptions!G44</f>
        <v>0.18</v>
      </c>
      <c r="H23" s="4" t="n">
        <f aca="false">Assumptions!H44</f>
        <v>0.18</v>
      </c>
      <c r="I23" s="4" t="n">
        <f aca="false">Assumptions!I44</f>
        <v>0.18</v>
      </c>
      <c r="J23" s="4" t="n">
        <f aca="false">Assumptions!J44</f>
        <v>0.18</v>
      </c>
      <c r="K23" s="4" t="n">
        <f aca="false">Assumptions!K44</f>
        <v>0.18</v>
      </c>
      <c r="L23" s="4" t="n">
        <f aca="false">Assumptions!L44</f>
        <v>0.18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-237.18646224</v>
      </c>
      <c r="D24" s="0" t="n">
        <f aca="false">-D6*D23/100</f>
        <v>-263.2769730864</v>
      </c>
      <c r="E24" s="0" t="n">
        <f aca="false">-E6*E23/100</f>
        <v>-286.971900664176</v>
      </c>
      <c r="F24" s="0" t="n">
        <f aca="false">-F6*F23/100</f>
        <v>-307.059933710668</v>
      </c>
      <c r="G24" s="0" t="n">
        <f aca="false">-G6*G23/100</f>
        <v>-325.483529733308</v>
      </c>
      <c r="H24" s="0" t="n">
        <f aca="false">-H6*H23/100</f>
        <v>-341.757706219974</v>
      </c>
      <c r="I24" s="0" t="n">
        <f aca="false">-I6*I23/100</f>
        <v>-355.428014468773</v>
      </c>
      <c r="J24" s="0" t="n">
        <f aca="false">-J6*J23/100</f>
        <v>-367.86799497518</v>
      </c>
      <c r="K24" s="0" t="n">
        <f aca="false">-K6*K23/100</f>
        <v>-378.904034824435</v>
      </c>
      <c r="L24" s="0" t="n">
        <f aca="false">-L6*L23/100</f>
        <v>-390.271155869168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13.5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29769.8542520656</v>
      </c>
    </row>
    <row r="31" customFormat="false" ht="15" hidden="false" customHeight="false" outlineLevel="0" collapsed="false">
      <c r="A31" s="0" t="s">
        <v>128</v>
      </c>
      <c r="B31" s="0" t="n">
        <f aca="false">L19</f>
        <v>6500.99335193986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95657.473607115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87763.410251188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87763.410251188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33836.5938797965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63606.448131862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73964.488131862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29.1734115760701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0.708045174242981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1927.05941914619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1845.0049757067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30.6612064606409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55800.1929374838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18.8363920270556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9.84404045515222</v>
      </c>
      <c r="C4" s="0" t="n">
        <f aca="false">B4/Assumptions!$B$2-1</f>
        <v>-0.423651027215912</v>
      </c>
      <c r="D4" s="4" t="n">
        <f aca="false">Assumptions!$B$24</f>
        <v>0.25</v>
      </c>
      <c r="E4" s="4" t="n">
        <f aca="false">DCF_Bear!$B$43</f>
        <v>10.9588344021637</v>
      </c>
      <c r="F4" s="4" t="n">
        <f aca="false">DCF_Bear!$B$47</f>
        <v>8.44177741429641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17.4658962180243</v>
      </c>
      <c r="C5" s="0" t="n">
        <f aca="false">B5/Assumptions!$B$2-1</f>
        <v>0.0225934553878371</v>
      </c>
      <c r="D5" s="4" t="n">
        <f aca="false">Assumptions!$B$38</f>
        <v>0.5</v>
      </c>
      <c r="E5" s="4" t="n">
        <f aca="false">DCF_Base!$B$43</f>
        <v>18.7413837414881</v>
      </c>
      <c r="F5" s="4" t="n">
        <f aca="false">DCF_Base!$B$47</f>
        <v>13.3838862206583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29.1734115760701</v>
      </c>
      <c r="C6" s="0" t="n">
        <f aca="false">B6/Assumptions!$B$2-1</f>
        <v>0.708045174242981</v>
      </c>
      <c r="D6" s="4" t="n">
        <f aca="false">Assumptions!$B$52</f>
        <v>0.25</v>
      </c>
      <c r="E6" s="4" t="n">
        <f aca="false">DCF_Bull!$B$43</f>
        <v>30.6612064606409</v>
      </c>
      <c r="F6" s="4" t="n">
        <f aca="false">DCF_Bull!$B$47</f>
        <v>18.8363920270556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18.4873111168177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19.7757020864452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0.0761230829040085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-109.230128896711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13.5114854706671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18.3865315103794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17.4658962180243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16.6225336559339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15.8490155340981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13.3838862206583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19.3927576100915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19.3927576100915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19.3927576100915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19.3927576100915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19.3927576100915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18.3865315103794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18.3865315103794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18.3865315103794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18.3865315103794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18.3865315103794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17.4658962180243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17.4658962180243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17.4658962180243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17.4658962180243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17.4658962180243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16.6225336559339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16.6225336559339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16.6225336559339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16.6225336559339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16.6225336559339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15.8490155340981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15.8490155340981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15.8490155340981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15.8490155340981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15.8490155340981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2026-10-11T15:33:37Z</dcterms:created>
  <dc:creator>openpyxl</dc:creator>
  <dc:description/>
  <dc:language>en-NZ</dc:language>
  <cp:lastModifiedBy/>
  <dcterms:modified xsi:type="dcterms:W3CDTF">2026-10-11T15:33:37Z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