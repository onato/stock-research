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<sst xmlns="http://schemas.openxmlformats.org/spreadsheetml/2006/main" count="374" uniqueCount="173">
  <si>
    <t xml:space="preserve">Ticker</t>
  </si>
  <si>
    <t xml:space="preserve">ALV.DE</t>
  </si>
  <si>
    <t xml:space="preserve">Company</t>
  </si>
  <si>
    <t xml:space="preserve">Allianz SE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</si>
  <si>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</si>
  <si>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</si>
  <si>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</si>
  <si>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</si>
  <si>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2026-10-23T15:35:10Z Xetra regular session (Yahoo chart API)</t>
  </si>
  <si>
    <t xml:space="preserve">Balance sheet date</t>
  </si>
  <si>
    <t xml:space="preserve">2025-12-31</t>
  </si>
  <si>
    <t xml:space="preserve">Model</t>
  </si>
  <si>
    <t xml:space="preserve">Insurer FCFE at cost of equity on core net income (engine route)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</si>
  <si>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</si>
  <si>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</si>
  <si>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</si>
  <si>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</si>
  <si>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</si>
  <si>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</si>
  <si>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</si>
  <si>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</si>
  <si>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2026-10-24T15:07:07Z</t>
  </si>
  <si>
    <t xml:space="preserve">Drivers file</t>
  </si>
  <si>
    <t xml:space="preserve">ALV.DE_Drivers.json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</si>
  <si>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</si>
  <si>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</si>
  <si>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</si>
  <si>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Allianz is valued on what it can distribute to shareholders: core net income times a payout ratio set by its Capital Management Policy (60% dividend + &gt;=15% buy-backs), discounted at a EUR cost of equity with no net-debt deduction. Owner FCF, EBITDA and net debt have no meaning for an insurer. Justified P/B on core RoE is the cross-check.
key_risks_to_valuation: Nat-cat severity above the ~3% of NEP budget (climate-driven frequency, U.S. and European convective storms).; Capital-market drawdown: equity/credit/spread shocks hit the Solvency II ratio and could pause buy-backs; distributions are discretionary.; Asset management fee compression at PIMCO and AllianzGI from passive products; outflows in a bond bear market.; USD/EUR translation: guidance assumes 1.17; a 10% USD move is disclosed as material to operating profit.; Cost-of-equity sensitivity: each 50bp on CoE moves the base value ~10%.; Litigation tail (Structured Alpha precedent) and regulatory interference (German/EU tax, Solvency II review).</t>
  </si>
  <si>
    <t xml:space="preserve">Data sources</t>
  </si>
  <si>
    <t xml:space="preserve">price: Yahoo Finance chart API at inputs.price_as_of; 52-week range 338.8-454.6
financials: Allianz Annual Report FY2025 (core EPS, EPS note, share capital, capital management policy, outlook 2026), Q3-2025 presentation (2025-27 targets), ALV.DE_Metrics.csv kpis (OperatingProfit, SolvencyRatio, DividendsPaid, ShareRepurchases)
qualitative: AR FY2025 Outlook section; ALV.DE_Analysis.json not yet available at build time</t>
  </si>
  <si>
    <t xml:space="preserve">Scenario narrative: bear</t>
  </si>
  <si>
    <t xml:space="preserve">A heavy nat-cat year (guidance assumes ~3% of NEP vs 1.4% in 2025) plus an equity/credit drawdown and a USD weakening (10% USD move is disclosed as material) cut 2026 core NI 3%; the Solvency II ratio falls toward the high-100s and buy-backs are trimmed to the 15% floor (payout 75%). PIMCO fee compression continues. Recovery to 2-3% growth; cost of equity 9.5%, terminal growth 2%.</t>
  </si>
  <si>
    <t xml:space="preserve">Scenario narrative: base</t>
  </si>
  <si>
    <t xml:space="preserve">Allianz delivers roughly its own plan: operating profit at the guided ~EUR 17.4bn in 2026 then mid-single-digit growth, P&amp;C combined ratio held at 92-93%, L/H CSM release 8-9%, PIMCO/AllianzGI margins under passive pressure but flows positive. Core NI compounds ~4% in aggregate (7-8% per share with buy-backs) fading to 3%, with ~80% paid out. Cost of equity 8.5%.</t>
  </si>
  <si>
    <t xml:space="preserve">Scenario narrative: bull</t>
  </si>
  <si>
    <t xml:space="preserve">Pricing and productivity (AI, Allianz Direct, claims automation) push P&amp;C combined ratio toward 91%, higher-for-longer rates lift the operating investment result and L/H new business (VNB EUR 4.8bn), and asset management returns to inflows. Core NI grows 7% near term (upper half of the 7-9% EPS target before buy-back accretion), payout 82%, and the market re-rates a 218%-solvency AA franchise toward a 7.75% cost of equity.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</si>
  <si>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</si>
  <si>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</si>
  <si>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</si>
  <si>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</si>
  <si>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</si>
  <si>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</si>
  <si>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</si>
  <si>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</si>
  <si>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</si>
  <si>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</si>
  <si>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</si>
  <si>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</si>
  <si>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</si>
  <si>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</si>
  <si>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</si>
  <si>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</si>
  <si>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</si>
  <si>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</si>
  <si>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</si>
  <si>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</si>
  <si>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</si>
  <si>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</si>
  <si>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</si>
  <si>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</si>
  <si>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</si>
  <si>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</si>
  <si>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</si>
  <si>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FeeAndCommissionIncome</t>
  </si>
  <si>
    <t xml:space="preserve">InsuranceRevenue</t>
  </si>
  <si>
    <t xml:space="preserve">SolvencyRatio</t>
  </si>
  <si>
    <t xml:space="preserve">TotalAUM</t>
  </si>
  <si>
    <t xml:space="preserve">ValueOfNewBusiness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</si>
  <si>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</si>
  <si>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</si>
  <si>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</si>
  <si>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</si>
  <si>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</si>
  <si>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</si>
  <si>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</si>
  <si>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</si>
  <si>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</si>
  <si>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</si>
  <si>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</si>
  <si>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</si>
  <si>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</si>
  <si>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</si>
  <si>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</si>
  <si>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</si>
  <si>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</si>
  <si>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</si>
  <si>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</si>
  <si>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</si>
  <si>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</si>
  <si>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</si>
  <si>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</si>
  <si>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</si>
  <si>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</si>
  <si>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</si>
  <si>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</si>
  <si>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</si>
  <si>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</si>
  <si>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</si>
  <si>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</si>
  <si>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</si>
  <si>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</si>
  <si>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</si>
  <si>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</si>
  <si>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</si>
  <si>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</si>
  <si>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</si>
  <si>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</si>
  <si>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</si>
  <si>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</si>
  <si>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</si>
  <si>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</si>
  <si>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</si>
  <si>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</si>
  <si>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</si>
  <si>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</si>
  <si>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</si>
  <si>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</si>
  <si>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</si>
  <si>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ALV.DE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</si>
  <si>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</si>
  <si>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</si>
  <si>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</si>
  <si>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</si>
  <si>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</si>
  <si>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</si>
  <si>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</si>
  <si>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</si>
  <si>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</si>
  <si>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</si>
  <si>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</si>
  <si>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</si>
  <si>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</si>
  <si>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</si>
  <si>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</si>
  <si>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</si>
  <si>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</si>
  <si>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</si>
  <si>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</si>
  <si>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</si>
  <si>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</si>
  <si>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</si>
  <si>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</si>
  <si>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</si>
  <si>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</si>
  <si>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</si>
  <si>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</si>
  <si>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</si>
  <si>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</si>
  <si>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</si>
  <si>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ALV.DE owner-FCF component DCF: base case (millions, EUR)</t>
  </si>
  <si>
    <t xml:space="preserve">ALV.DE owner-FCF component DCF: bull case (millions, EUR)</t>
  </si>
  <si>
    <t xml:space="preserve">ALV.DE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</si>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</sst>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427.9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101415</v>
      </c>
      <c r="F2" s="0" t="n">
        <v>10066</v>
      </c>
      <c r="G2" s="0" t="n">
        <v>9.9</v>
      </c>
      <c r="I2" s="0" t="n">
        <v>5996</v>
      </c>
      <c r="J2" s="0" t="n">
        <v>5.9</v>
      </c>
      <c r="K2" s="0" t="n">
        <v>13.05</v>
      </c>
      <c r="L2" s="0" t="n">
        <v>23239</v>
      </c>
      <c r="M2" s="0" t="n">
        <v>1484</v>
      </c>
      <c r="O2" s="0" t="n">
        <v>50083</v>
      </c>
      <c r="P2" s="0" t="n">
        <v>711079</v>
      </c>
      <c r="Q2" s="0" t="n">
        <v>658230</v>
      </c>
      <c r="R2" s="0" t="n">
        <v>19584</v>
      </c>
      <c r="S2" s="0" t="n">
        <v>11207</v>
      </c>
      <c r="T2" s="0" t="n">
        <v>453.2</v>
      </c>
      <c r="U2" s="0" t="n">
        <v>685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69</v>
      </c>
      <c r="B3" s="0" t="n">
        <v>103161</v>
      </c>
      <c r="F3" s="0" t="n">
        <v>10402</v>
      </c>
      <c r="G3" s="0" t="n">
        <v>10.1</v>
      </c>
      <c r="I3" s="0" t="n">
        <v>6221</v>
      </c>
      <c r="J3" s="0" t="n">
        <v>6</v>
      </c>
      <c r="K3" s="0" t="n">
        <v>13.64</v>
      </c>
      <c r="L3" s="0" t="n">
        <v>32232</v>
      </c>
      <c r="M3" s="0" t="n">
        <v>1692</v>
      </c>
      <c r="O3" s="0" t="n">
        <v>60747</v>
      </c>
      <c r="P3" s="0" t="n">
        <v>805787</v>
      </c>
      <c r="Q3" s="0" t="n">
        <v>742085</v>
      </c>
      <c r="R3" s="0" t="n">
        <v>20244</v>
      </c>
      <c r="S3" s="0" t="n">
        <v>13863</v>
      </c>
      <c r="T3" s="0" t="n">
        <v>453.8</v>
      </c>
      <c r="U3" s="0" t="n">
        <v>606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70</v>
      </c>
      <c r="B4" s="0" t="n">
        <v>110836</v>
      </c>
      <c r="F4" s="0" t="n">
        <v>10735</v>
      </c>
      <c r="G4" s="0" t="n">
        <v>9.7</v>
      </c>
      <c r="I4" s="0" t="n">
        <v>6616</v>
      </c>
      <c r="J4" s="0" t="n">
        <v>6</v>
      </c>
      <c r="K4" s="0" t="n">
        <v>14.55</v>
      </c>
      <c r="L4" s="0" t="n">
        <v>23663</v>
      </c>
      <c r="M4" s="0" t="n">
        <v>2033</v>
      </c>
      <c r="O4" s="0" t="n">
        <v>63144</v>
      </c>
      <c r="P4" s="0" t="n">
        <v>848942</v>
      </c>
      <c r="Q4" s="0" t="n">
        <v>782843</v>
      </c>
      <c r="R4" s="0" t="n">
        <v>20641</v>
      </c>
      <c r="S4" s="0" t="n">
        <v>14842</v>
      </c>
      <c r="T4" s="0" t="n">
        <v>454.4</v>
      </c>
      <c r="U4" s="0" t="n">
        <v>527</v>
      </c>
      <c r="AA4" s="0" t="s">
        <v>17</v>
      </c>
      <c r="AB4" s="0" t="s">
        <v>14</v>
      </c>
      <c r="AE4" s="0" t="n">
        <v>200</v>
      </c>
    </row>
    <row r="5" customFormat="false" ht="15" hidden="false" customHeight="false" outlineLevel="0" collapsed="false">
      <c r="A5" s="0" t="s">
        <v>71</v>
      </c>
      <c r="B5" s="0" t="n">
        <v>110500</v>
      </c>
      <c r="I5" s="0" t="n">
        <v>6883</v>
      </c>
      <c r="J5" s="0" t="n">
        <v>6.2</v>
      </c>
      <c r="K5" s="0" t="n">
        <v>15</v>
      </c>
      <c r="L5" s="0" t="n">
        <v>21461</v>
      </c>
      <c r="M5" s="0" t="n">
        <v>1335</v>
      </c>
      <c r="O5" s="0" t="n">
        <v>67341</v>
      </c>
      <c r="P5" s="0" t="n">
        <v>883809</v>
      </c>
      <c r="Q5" s="0" t="n">
        <v>813417</v>
      </c>
      <c r="R5" s="0" t="n">
        <v>21145</v>
      </c>
      <c r="S5" s="0" t="n">
        <v>14463</v>
      </c>
      <c r="T5" s="0" t="n">
        <v>454.6</v>
      </c>
      <c r="U5" s="0" t="n">
        <v>431</v>
      </c>
      <c r="AA5" s="0" t="s">
        <v>17</v>
      </c>
      <c r="AB5" s="0" t="s">
        <v>14</v>
      </c>
      <c r="AE5" s="0" t="n">
        <v>218</v>
      </c>
    </row>
    <row r="6" customFormat="false" ht="15" hidden="false" customHeight="false" outlineLevel="0" collapsed="false">
      <c r="A6" s="0" t="s">
        <v>72</v>
      </c>
      <c r="B6" s="0" t="n">
        <v>109590</v>
      </c>
      <c r="I6" s="0" t="n">
        <v>6803</v>
      </c>
      <c r="J6" s="0" t="n">
        <v>6.2</v>
      </c>
      <c r="K6" s="0" t="n">
        <v>15.23</v>
      </c>
      <c r="L6" s="0" t="n">
        <v>33188</v>
      </c>
      <c r="M6" s="0" t="n">
        <v>1374</v>
      </c>
      <c r="O6" s="0" t="n">
        <v>65553</v>
      </c>
      <c r="P6" s="0" t="n">
        <v>901300</v>
      </c>
      <c r="Q6" s="0" t="n">
        <v>832698</v>
      </c>
      <c r="R6" s="0" t="n">
        <v>22891</v>
      </c>
      <c r="S6" s="0" t="n">
        <v>17119</v>
      </c>
      <c r="T6" s="0" t="n">
        <v>446.4</v>
      </c>
      <c r="U6" s="0" t="n">
        <v>497</v>
      </c>
      <c r="AA6" s="0" t="s">
        <v>17</v>
      </c>
      <c r="AB6" s="0" t="s">
        <v>14</v>
      </c>
      <c r="AE6" s="0" t="n">
        <v>229</v>
      </c>
    </row>
    <row r="7" customFormat="false" ht="15" hidden="false" customHeight="false" outlineLevel="0" collapsed="false">
      <c r="A7" s="0" t="s">
        <v>73</v>
      </c>
      <c r="B7" s="0" t="n">
        <v>107442</v>
      </c>
      <c r="F7" s="0" t="n">
        <v>11510</v>
      </c>
      <c r="G7" s="0" t="n">
        <v>10.7</v>
      </c>
      <c r="I7" s="0" t="n">
        <v>7462</v>
      </c>
      <c r="J7" s="0" t="n">
        <v>6.9</v>
      </c>
      <c r="K7" s="0" t="n">
        <v>17.3</v>
      </c>
      <c r="L7" s="0" t="n">
        <v>25672</v>
      </c>
      <c r="M7" s="0" t="n">
        <v>1258</v>
      </c>
      <c r="O7" s="0" t="n">
        <v>61232</v>
      </c>
      <c r="P7" s="0" t="n">
        <v>897567</v>
      </c>
      <c r="Q7" s="0" t="n">
        <v>833888</v>
      </c>
      <c r="R7" s="0" t="n">
        <v>22674</v>
      </c>
      <c r="S7" s="0" t="n">
        <v>17234</v>
      </c>
      <c r="T7" s="0" t="n">
        <v>428.1</v>
      </c>
      <c r="U7" s="0" t="n">
        <v>383</v>
      </c>
      <c r="AA7" s="0" t="s">
        <v>17</v>
      </c>
      <c r="AB7" s="0" t="s">
        <v>14</v>
      </c>
      <c r="AE7" s="0" t="n">
        <v>229</v>
      </c>
    </row>
    <row r="8" customFormat="false" ht="15" hidden="false" customHeight="false" outlineLevel="0" collapsed="false">
      <c r="A8" s="0" t="s">
        <v>74</v>
      </c>
      <c r="B8" s="0" t="n">
        <v>116469</v>
      </c>
      <c r="F8" s="0" t="n">
        <v>11860</v>
      </c>
      <c r="G8" s="0" t="n">
        <v>10.2</v>
      </c>
      <c r="I8" s="0" t="n">
        <v>7914</v>
      </c>
      <c r="J8" s="0" t="n">
        <v>6.8</v>
      </c>
      <c r="K8" s="0" t="n">
        <v>18.83</v>
      </c>
      <c r="L8" s="0" t="n">
        <v>36448</v>
      </c>
      <c r="M8" s="0" t="n">
        <v>1238</v>
      </c>
      <c r="O8" s="0" t="n">
        <v>74002</v>
      </c>
      <c r="P8" s="0" t="n">
        <v>1011185</v>
      </c>
      <c r="Q8" s="0" t="n">
        <v>933820</v>
      </c>
      <c r="R8" s="0" t="n">
        <v>22447</v>
      </c>
      <c r="S8" s="0" t="n">
        <v>21075</v>
      </c>
      <c r="T8" s="0" t="n">
        <v>418.7</v>
      </c>
      <c r="U8" s="0" t="n">
        <v>429</v>
      </c>
      <c r="AA8" s="0" t="s">
        <v>17</v>
      </c>
      <c r="AB8" s="0" t="s">
        <v>14</v>
      </c>
      <c r="AE8" s="0" t="n">
        <v>212</v>
      </c>
      <c r="AF8" s="0" t="n">
        <v>2268</v>
      </c>
    </row>
    <row r="9" customFormat="false" ht="15" hidden="false" customHeight="false" outlineLevel="0" collapsed="false">
      <c r="A9" s="0" t="s">
        <v>75</v>
      </c>
      <c r="B9" s="0" t="n">
        <v>119508</v>
      </c>
      <c r="F9" s="0" t="n">
        <v>10750</v>
      </c>
      <c r="G9" s="0" t="n">
        <v>9</v>
      </c>
      <c r="I9" s="0" t="n">
        <v>6807</v>
      </c>
      <c r="J9" s="0" t="n">
        <v>5.7</v>
      </c>
      <c r="K9" s="0" t="n">
        <v>16.32</v>
      </c>
      <c r="L9" s="0" t="n">
        <v>32049</v>
      </c>
      <c r="M9" s="0" t="n">
        <v>1429</v>
      </c>
      <c r="O9" s="0" t="n">
        <v>80821</v>
      </c>
      <c r="P9" s="0" t="n">
        <v>1060012</v>
      </c>
      <c r="Q9" s="0" t="n">
        <v>975417</v>
      </c>
      <c r="R9" s="0" t="n">
        <v>23240</v>
      </c>
      <c r="S9" s="0" t="n">
        <v>22443</v>
      </c>
      <c r="T9" s="0" t="n">
        <v>413</v>
      </c>
      <c r="U9" s="0" t="n">
        <v>367</v>
      </c>
      <c r="AA9" s="0" t="s">
        <v>17</v>
      </c>
      <c r="AB9" s="0" t="s">
        <v>14</v>
      </c>
      <c r="AE9" s="0" t="n">
        <v>207</v>
      </c>
      <c r="AF9" s="0" t="n">
        <v>2389</v>
      </c>
    </row>
    <row r="10" customFormat="false" ht="15" hidden="false" customHeight="false" outlineLevel="0" collapsed="false">
      <c r="A10" s="0" t="s">
        <v>76</v>
      </c>
      <c r="B10" s="0" t="n">
        <v>122230</v>
      </c>
      <c r="F10" s="0" t="n">
        <v>13400</v>
      </c>
      <c r="G10" s="0" t="n">
        <v>11</v>
      </c>
      <c r="I10" s="0" t="n">
        <v>6610</v>
      </c>
      <c r="J10" s="0" t="n">
        <v>5.4</v>
      </c>
      <c r="K10" s="0" t="n">
        <v>15.83</v>
      </c>
      <c r="L10" s="0" t="n">
        <v>25124</v>
      </c>
      <c r="M10" s="0" t="n">
        <v>1363</v>
      </c>
      <c r="O10" s="0" t="n">
        <v>79952</v>
      </c>
      <c r="P10" s="0" t="n">
        <v>1139429</v>
      </c>
      <c r="Q10" s="0" t="n">
        <v>1055207</v>
      </c>
      <c r="R10" s="0" t="n">
        <v>21744</v>
      </c>
      <c r="S10" s="0" t="n">
        <v>24214</v>
      </c>
      <c r="T10" s="0" t="n">
        <v>414.2</v>
      </c>
      <c r="U10" s="0" t="n">
        <v>361</v>
      </c>
      <c r="AA10" s="0" t="s">
        <v>17</v>
      </c>
      <c r="AB10" s="0" t="s">
        <v>14</v>
      </c>
      <c r="AE10" s="0" t="n">
        <v>209</v>
      </c>
    </row>
    <row r="11" customFormat="false" ht="15" hidden="false" customHeight="false" outlineLevel="0" collapsed="false">
      <c r="A11" s="0" t="s">
        <v>77</v>
      </c>
      <c r="B11" s="0" t="n">
        <v>122708</v>
      </c>
      <c r="F11" s="0" t="n">
        <v>14160</v>
      </c>
      <c r="G11" s="0" t="n">
        <v>11.5</v>
      </c>
      <c r="I11" s="0" t="n">
        <v>6738</v>
      </c>
      <c r="J11" s="0" t="n">
        <v>5.5</v>
      </c>
      <c r="K11" s="0" t="n">
        <v>16.26</v>
      </c>
      <c r="L11" s="0" t="n">
        <v>1964</v>
      </c>
      <c r="M11" s="0" t="n">
        <v>1444</v>
      </c>
      <c r="O11" s="0" t="n">
        <v>51474</v>
      </c>
      <c r="P11" s="0" t="n">
        <v>1021503</v>
      </c>
      <c r="Q11" s="0" t="n">
        <v>966261</v>
      </c>
      <c r="R11" s="0" t="n">
        <v>20986</v>
      </c>
      <c r="S11" s="0" t="n">
        <v>22573</v>
      </c>
      <c r="T11" s="0" t="n">
        <v>412.1</v>
      </c>
      <c r="U11" s="0" t="n">
        <v>369</v>
      </c>
      <c r="AA11" s="0" t="s">
        <v>17</v>
      </c>
      <c r="AB11" s="0" t="s">
        <v>14</v>
      </c>
      <c r="AE11" s="0" t="n">
        <v>201</v>
      </c>
    </row>
    <row r="12" customFormat="false" ht="15" hidden="false" customHeight="false" outlineLevel="0" collapsed="false">
      <c r="A12" s="0" t="s">
        <v>78</v>
      </c>
      <c r="B12" s="0" t="n">
        <v>104902</v>
      </c>
      <c r="F12" s="0" t="n">
        <v>14750</v>
      </c>
      <c r="G12" s="0" t="n">
        <v>14.1</v>
      </c>
      <c r="I12" s="0" t="n">
        <v>8541</v>
      </c>
      <c r="J12" s="0" t="n">
        <v>8.1</v>
      </c>
      <c r="K12" s="0" t="n">
        <v>21.18</v>
      </c>
      <c r="L12" s="0" t="n">
        <v>24462</v>
      </c>
      <c r="M12" s="0" t="n">
        <v>1553</v>
      </c>
      <c r="O12" s="0" t="n">
        <v>58477</v>
      </c>
      <c r="P12" s="0" t="n">
        <v>983174</v>
      </c>
      <c r="Q12" s="0" t="n">
        <v>919594</v>
      </c>
      <c r="S12" s="0" t="n">
        <v>29210</v>
      </c>
      <c r="T12" s="0" t="n">
        <v>402.9</v>
      </c>
      <c r="U12" s="0" t="n">
        <v>495</v>
      </c>
      <c r="AA12" s="0" t="s">
        <v>17</v>
      </c>
      <c r="AB12" s="0" t="s">
        <v>14</v>
      </c>
      <c r="AC12" s="0" t="n">
        <v>13651</v>
      </c>
      <c r="AD12" s="0" t="n">
        <v>91251</v>
      </c>
      <c r="AE12" s="0" t="n">
        <v>206</v>
      </c>
    </row>
    <row r="13" customFormat="false" ht="15" hidden="false" customHeight="false" outlineLevel="0" collapsed="false">
      <c r="A13" s="0" t="s">
        <v>79</v>
      </c>
      <c r="B13" s="0" t="n">
        <v>112218</v>
      </c>
      <c r="F13" s="0" t="n">
        <v>16020</v>
      </c>
      <c r="G13" s="0" t="n">
        <v>14.3</v>
      </c>
      <c r="I13" s="0" t="n">
        <v>9931</v>
      </c>
      <c r="J13" s="0" t="n">
        <v>8.8</v>
      </c>
      <c r="K13" s="0" t="n">
        <v>25.18</v>
      </c>
      <c r="L13" s="0" t="n">
        <v>31903</v>
      </c>
      <c r="M13" s="0" t="n">
        <v>1627</v>
      </c>
      <c r="O13" s="0" t="n">
        <v>60287</v>
      </c>
      <c r="P13" s="0" t="n">
        <v>1044578</v>
      </c>
      <c r="Q13" s="0" t="n">
        <v>980502</v>
      </c>
      <c r="S13" s="0" t="n">
        <v>31637</v>
      </c>
      <c r="T13" s="0" t="n">
        <v>394.1</v>
      </c>
      <c r="U13" s="0" t="n">
        <v>656</v>
      </c>
      <c r="AA13" s="0" t="s">
        <v>17</v>
      </c>
      <c r="AB13" s="0" t="s">
        <v>14</v>
      </c>
      <c r="AC13" s="0" t="n">
        <v>14543</v>
      </c>
      <c r="AD13" s="0" t="n">
        <v>97675</v>
      </c>
      <c r="AE13" s="0" t="n">
        <v>209</v>
      </c>
      <c r="AG13" s="0" t="n">
        <v>4694</v>
      </c>
    </row>
    <row r="14" customFormat="false" ht="15" hidden="false" customHeight="false" outlineLevel="0" collapsed="false">
      <c r="A14" s="0" t="s">
        <v>80</v>
      </c>
      <c r="B14" s="0" t="n">
        <v>117783</v>
      </c>
      <c r="F14" s="0" t="n">
        <v>17370</v>
      </c>
      <c r="G14" s="0" t="n">
        <v>14.7</v>
      </c>
      <c r="I14" s="0" t="n">
        <v>10775</v>
      </c>
      <c r="J14" s="0" t="n">
        <v>9.1</v>
      </c>
      <c r="K14" s="0" t="n">
        <v>27.67</v>
      </c>
      <c r="L14" s="0" t="n">
        <v>33209</v>
      </c>
      <c r="O14" s="0" t="n">
        <v>62722</v>
      </c>
      <c r="P14" s="0" t="n">
        <v>1024276</v>
      </c>
      <c r="Q14" s="0" t="n">
        <v>957928</v>
      </c>
      <c r="S14" s="0" t="n">
        <v>29854</v>
      </c>
      <c r="T14" s="0" t="n">
        <v>389.1</v>
      </c>
      <c r="U14" s="0" t="n">
        <v>875</v>
      </c>
      <c r="AA14" s="0" t="s">
        <v>17</v>
      </c>
      <c r="AB14" s="0" t="s">
        <v>14</v>
      </c>
      <c r="AC14" s="0" t="n">
        <v>14981</v>
      </c>
      <c r="AD14" s="0" t="n">
        <v>102802</v>
      </c>
      <c r="AE14" s="0" t="n">
        <v>218</v>
      </c>
      <c r="AG14" s="0" t="n">
        <v>4829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427.9</v>
      </c>
    </row>
    <row r="3" customFormat="false" ht="15" hidden="false" customHeight="false" outlineLevel="0" collapsed="false">
      <c r="A3" s="0" t="s">
        <v>84</v>
      </c>
      <c r="B3" s="3" t="n">
        <v>374</v>
      </c>
    </row>
    <row r="4" customFormat="false" ht="15" hidden="false" customHeight="false" outlineLevel="0" collapsed="false">
      <c r="A4" s="0" t="s">
        <v>85</v>
      </c>
      <c r="B4" s="3" t="n">
        <v>0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10955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-3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75</v>
      </c>
      <c r="D14" s="3" t="n">
        <v>75</v>
      </c>
      <c r="E14" s="3" t="n">
        <v>75</v>
      </c>
      <c r="F14" s="3" t="n">
        <v>76</v>
      </c>
      <c r="G14" s="3" t="n">
        <v>77</v>
      </c>
      <c r="H14" s="3" t="n">
        <v>78</v>
      </c>
      <c r="I14" s="3" t="n">
        <v>78</v>
      </c>
      <c r="J14" s="3" t="n">
        <v>78</v>
      </c>
      <c r="K14" s="3" t="n">
        <v>78</v>
      </c>
      <c r="L14" s="3" t="n">
        <v>78</v>
      </c>
    </row>
    <row r="15" customFormat="false" ht="15" hidden="false" customHeight="false" outlineLevel="0" collapsed="false">
      <c r="A15" s="0" t="s">
        <v>106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13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4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80</v>
      </c>
      <c r="D28" s="3" t="n">
        <v>80</v>
      </c>
      <c r="E28" s="3" t="n">
        <v>80</v>
      </c>
      <c r="F28" s="3" t="n">
        <v>80</v>
      </c>
      <c r="G28" s="3" t="n">
        <v>80</v>
      </c>
      <c r="H28" s="3" t="n">
        <v>80</v>
      </c>
      <c r="I28" s="3" t="n">
        <v>81</v>
      </c>
      <c r="J28" s="3" t="n">
        <v>81</v>
      </c>
      <c r="K28" s="3" t="n">
        <v>81</v>
      </c>
      <c r="L28" s="3" t="n">
        <v>81</v>
      </c>
    </row>
    <row r="29" customFormat="false" ht="15" hidden="false" customHeight="false" outlineLevel="0" collapsed="false">
      <c r="A29" s="0" t="s">
        <v>106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111</v>
      </c>
      <c r="B34" s="3" t="n">
        <v>8.5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19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7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105</v>
      </c>
      <c r="C42" s="3" t="n">
        <v>82</v>
      </c>
      <c r="D42" s="3" t="n">
        <v>82</v>
      </c>
      <c r="E42" s="3" t="n">
        <v>82</v>
      </c>
      <c r="F42" s="3" t="n">
        <v>82</v>
      </c>
      <c r="G42" s="3" t="n">
        <v>82</v>
      </c>
      <c r="H42" s="3" t="n">
        <v>82</v>
      </c>
      <c r="I42" s="3" t="n">
        <v>82</v>
      </c>
      <c r="J42" s="3" t="n">
        <v>82</v>
      </c>
      <c r="K42" s="3" t="n">
        <v>82</v>
      </c>
      <c r="L42" s="3" t="n">
        <v>82</v>
      </c>
    </row>
    <row r="43" customFormat="false" ht="15" hidden="false" customHeight="false" outlineLevel="0" collapsed="false">
      <c r="A43" s="0" t="s">
        <v>106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111</v>
      </c>
      <c r="B48" s="3" t="n">
        <v>7.75</v>
      </c>
    </row>
    <row r="49" customFormat="false" ht="15" hidden="false" customHeight="false" outlineLevel="0" collapsed="false">
      <c r="A49" s="0" t="s">
        <v>112</v>
      </c>
      <c r="B49" s="3" t="n">
        <v>3.25</v>
      </c>
    </row>
    <row r="50" customFormat="false" ht="15" hidden="false" customHeight="false" outlineLevel="0" collapsed="false">
      <c r="A50" s="0" t="s">
        <v>113</v>
      </c>
      <c r="B50" s="3" t="n">
        <v>23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-3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10955</v>
      </c>
      <c r="C6" s="0" t="n">
        <f aca="false">B6*(1+C5/100)</f>
        <v>10626.35</v>
      </c>
      <c r="D6" s="0" t="n">
        <f aca="false">C6*(1+D5/100)</f>
        <v>10838.877</v>
      </c>
      <c r="E6" s="0" t="n">
        <f aca="false">D6*(1+E5/100)</f>
        <v>11164.04331</v>
      </c>
      <c r="F6" s="0" t="n">
        <f aca="false">E6*(1+F5/100)</f>
        <v>11498.9646093</v>
      </c>
      <c r="G6" s="0" t="n">
        <f aca="false">F6*(1+G5/100)</f>
        <v>11843.933547579</v>
      </c>
      <c r="H6" s="0" t="n">
        <f aca="false">G6*(1+H5/100)</f>
        <v>12140.0318862685</v>
      </c>
      <c r="I6" s="0" t="n">
        <f aca="false">H6*(1+I5/100)</f>
        <v>12443.5326834252</v>
      </c>
      <c r="J6" s="0" t="n">
        <f aca="false">I6*(1+J5/100)</f>
        <v>12754.6210005108</v>
      </c>
      <c r="K6" s="0" t="n">
        <f aca="false">J6*(1+K5/100)</f>
        <v>13009.713420521</v>
      </c>
      <c r="L6" s="0" t="n">
        <f aca="false">K6*(1+L5/100)</f>
        <v>13269.9076889315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75</v>
      </c>
      <c r="D7" s="4" t="n">
        <f aca="false">Assumptions!D14</f>
        <v>75</v>
      </c>
      <c r="E7" s="4" t="n">
        <f aca="false">Assumptions!E14</f>
        <v>75</v>
      </c>
      <c r="F7" s="4" t="n">
        <f aca="false">Assumptions!F14</f>
        <v>76</v>
      </c>
      <c r="G7" s="4" t="n">
        <f aca="false">Assumptions!G14</f>
        <v>77</v>
      </c>
      <c r="H7" s="4" t="n">
        <f aca="false">Assumptions!H14</f>
        <v>78</v>
      </c>
      <c r="I7" s="4" t="n">
        <f aca="false">Assumptions!I14</f>
        <v>78</v>
      </c>
      <c r="J7" s="4" t="n">
        <f aca="false">Assumptions!J14</f>
        <v>78</v>
      </c>
      <c r="K7" s="4" t="n">
        <f aca="false">Assumptions!K14</f>
        <v>78</v>
      </c>
      <c r="L7" s="4" t="n">
        <f aca="false">Assumptions!L14</f>
        <v>78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7969.7625</v>
      </c>
      <c r="D8" s="0" t="n">
        <f aca="false">D6*D7/100</f>
        <v>8129.15775</v>
      </c>
      <c r="E8" s="0" t="n">
        <f aca="false">E6*E7/100</f>
        <v>8373.0324825</v>
      </c>
      <c r="F8" s="0" t="n">
        <f aca="false">F6*F7/100</f>
        <v>8739.213103068</v>
      </c>
      <c r="G8" s="0" t="n">
        <f aca="false">G6*G7/100</f>
        <v>9119.82883163583</v>
      </c>
      <c r="H8" s="0" t="n">
        <f aca="false">H6*H7/100</f>
        <v>9469.22487128941</v>
      </c>
      <c r="I8" s="0" t="n">
        <f aca="false">I6*I7/100</f>
        <v>9705.95549307164</v>
      </c>
      <c r="J8" s="0" t="n">
        <f aca="false">J6*J7/100</f>
        <v>9948.60438039843</v>
      </c>
      <c r="K8" s="0" t="n">
        <f aca="false">K6*K7/100</f>
        <v>10147.5764680064</v>
      </c>
      <c r="L8" s="0" t="n">
        <f aca="false">L6*L7/100</f>
        <v>10350.5279973665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7969.7625</v>
      </c>
      <c r="D11" s="0" t="n">
        <f aca="false">D8+D10+D24</f>
        <v>8129.15775</v>
      </c>
      <c r="E11" s="0" t="n">
        <f aca="false">E8+E10+E24</f>
        <v>8373.0324825</v>
      </c>
      <c r="F11" s="0" t="n">
        <f aca="false">F8+F10+F24</f>
        <v>8739.213103068</v>
      </c>
      <c r="G11" s="0" t="n">
        <f aca="false">G8+G10+G24</f>
        <v>9119.82883163583</v>
      </c>
      <c r="H11" s="0" t="n">
        <f aca="false">H8+H10+H24</f>
        <v>9469.22487128941</v>
      </c>
      <c r="I11" s="0" t="n">
        <f aca="false">I8+I10+I24</f>
        <v>9705.95549307164</v>
      </c>
      <c r="J11" s="0" t="n">
        <f aca="false">J8+J10+J24</f>
        <v>9948.60438039843</v>
      </c>
      <c r="K11" s="0" t="n">
        <f aca="false">K8+K10+K24</f>
        <v>10147.5764680064</v>
      </c>
      <c r="L11" s="0" t="n">
        <f aca="false">L8+L10+L24</f>
        <v>10350.5279973665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7969.7625</v>
      </c>
      <c r="D13" s="0" t="n">
        <f aca="false">D11+D12</f>
        <v>8129.15775</v>
      </c>
      <c r="E13" s="0" t="n">
        <f aca="false">E11+E12</f>
        <v>8373.0324825</v>
      </c>
      <c r="F13" s="0" t="n">
        <f aca="false">F11+F12</f>
        <v>8739.213103068</v>
      </c>
      <c r="G13" s="0" t="n">
        <f aca="false">G11+G12</f>
        <v>9119.82883163583</v>
      </c>
      <c r="H13" s="0" t="n">
        <f aca="false">H11+H12</f>
        <v>9469.22487128941</v>
      </c>
      <c r="I13" s="0" t="n">
        <f aca="false">I11+I12</f>
        <v>9705.95549307164</v>
      </c>
      <c r="J13" s="0" t="n">
        <f aca="false">J11+J12</f>
        <v>9948.60438039843</v>
      </c>
      <c r="K13" s="0" t="n">
        <f aca="false">K11+K12</f>
        <v>10147.5764680064</v>
      </c>
      <c r="L13" s="0" t="n">
        <f aca="false">L11+L12</f>
        <v>10350.5279973665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7969.7625</v>
      </c>
      <c r="D15" s="0" t="n">
        <f aca="false">D13-MAX(0,D13)*D14/100</f>
        <v>8129.15775</v>
      </c>
      <c r="E15" s="0" t="n">
        <f aca="false">E13-MAX(0,E13)*E14/100</f>
        <v>8373.0324825</v>
      </c>
      <c r="F15" s="0" t="n">
        <f aca="false">F13-MAX(0,F13)*F14/100</f>
        <v>8739.213103068</v>
      </c>
      <c r="G15" s="0" t="n">
        <f aca="false">G13-MAX(0,G13)*G14/100</f>
        <v>9119.82883163583</v>
      </c>
      <c r="H15" s="0" t="n">
        <f aca="false">H13-MAX(0,H13)*H14/100</f>
        <v>9469.22487128941</v>
      </c>
      <c r="I15" s="0" t="n">
        <f aca="false">I13-MAX(0,I13)*I14/100</f>
        <v>9705.95549307164</v>
      </c>
      <c r="J15" s="0" t="n">
        <f aca="false">J13-MAX(0,J13)*J14/100</f>
        <v>9948.60438039843</v>
      </c>
      <c r="K15" s="0" t="n">
        <f aca="false">K13-MAX(0,K13)*K14/100</f>
        <v>10147.5764680064</v>
      </c>
      <c r="L15" s="0" t="n">
        <f aca="false">L13-MAX(0,L13)*L14/100</f>
        <v>10350.5279973665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7969.7625</v>
      </c>
      <c r="D19" s="0" t="n">
        <f aca="false">D15+D16+D17+D18</f>
        <v>8129.15775</v>
      </c>
      <c r="E19" s="0" t="n">
        <f aca="false">E15+E16+E17+E18</f>
        <v>8373.0324825</v>
      </c>
      <c r="F19" s="0" t="n">
        <f aca="false">F15+F16+F17+F18</f>
        <v>8739.213103068</v>
      </c>
      <c r="G19" s="0" t="n">
        <f aca="false">G15+G16+G17+G18</f>
        <v>9119.82883163583</v>
      </c>
      <c r="H19" s="0" t="n">
        <f aca="false">H15+H16+H17+H18</f>
        <v>9469.22487128941</v>
      </c>
      <c r="I19" s="0" t="n">
        <f aca="false">I15+I16+I17+I18</f>
        <v>9705.95549307164</v>
      </c>
      <c r="J19" s="0" t="n">
        <f aca="false">J15+J16+J17+J18</f>
        <v>9948.60438039843</v>
      </c>
      <c r="K19" s="0" t="n">
        <f aca="false">K15+K16+K17+K18</f>
        <v>10147.5764680064</v>
      </c>
      <c r="L19" s="0" t="n">
        <f aca="false">L15+L16+L17+L18</f>
        <v>10350.5279973665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7278.32191780822</v>
      </c>
      <c r="D21" s="0" t="n">
        <f aca="false">D19*D20</f>
        <v>6779.80671795834</v>
      </c>
      <c r="E21" s="0" t="n">
        <f aca="false">E19*E20</f>
        <v>6377.35243789689</v>
      </c>
      <c r="F21" s="0" t="n">
        <f aca="false">F19*F20</f>
        <v>6078.77197976948</v>
      </c>
      <c r="G21" s="0" t="n">
        <f aca="false">G19*G20</f>
        <v>5793.16757649024</v>
      </c>
      <c r="H21" s="0" t="n">
        <f aca="false">H19*H20</f>
        <v>5493.25443563297</v>
      </c>
      <c r="I21" s="0" t="n">
        <f aca="false">I19*I20</f>
        <v>5142.08748540986</v>
      </c>
      <c r="J21" s="0" t="n">
        <f aca="false">J19*J20</f>
        <v>4813.36956396814</v>
      </c>
      <c r="K21" s="0" t="n">
        <f aca="false">K19*K20</f>
        <v>4483.686717121</v>
      </c>
      <c r="L21" s="0" t="n">
        <f aca="false">L19*L20</f>
        <v>4176.58488718121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56416.4037192363</v>
      </c>
    </row>
    <row r="31" customFormat="false" ht="15" hidden="false" customHeight="false" outlineLevel="0" collapsed="false">
      <c r="A31" s="0" t="s">
        <v>135</v>
      </c>
      <c r="B31" s="0" t="n">
        <f aca="false">L19</f>
        <v>10350.5279973665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140767.180764185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134556.863965765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134556.863965765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54295.6035333557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110712.007252592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110712.007252592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296.021409766289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-0.308199556517203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296.021409766289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81211.8350562605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172.795525544363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4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10955</v>
      </c>
      <c r="C6" s="0" t="n">
        <f aca="false">B6*(1+C5/100)</f>
        <v>11393.2</v>
      </c>
      <c r="D6" s="0" t="n">
        <f aca="false">C6*(1+D5/100)</f>
        <v>12019.826</v>
      </c>
      <c r="E6" s="0" t="n">
        <f aca="false">D6*(1+E5/100)</f>
        <v>12620.8173</v>
      </c>
      <c r="F6" s="0" t="n">
        <f aca="false">E6*(1+F5/100)</f>
        <v>13188.7540785</v>
      </c>
      <c r="G6" s="0" t="n">
        <f aca="false">F6*(1+G5/100)</f>
        <v>13716.30424164</v>
      </c>
      <c r="H6" s="0" t="n">
        <f aca="false">G6*(1+H5/100)</f>
        <v>14264.9564113056</v>
      </c>
      <c r="I6" s="0" t="n">
        <f aca="false">H6*(1+I5/100)</f>
        <v>14764.2298857013</v>
      </c>
      <c r="J6" s="0" t="n">
        <f aca="false">I6*(1+J5/100)</f>
        <v>15280.9779317008</v>
      </c>
      <c r="K6" s="0" t="n">
        <f aca="false">J6*(1+K5/100)</f>
        <v>15739.4072696519</v>
      </c>
      <c r="L6" s="0" t="n">
        <f aca="false">K6*(1+L5/100)</f>
        <v>16211.5894877414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80</v>
      </c>
      <c r="D7" s="4" t="n">
        <f aca="false">Assumptions!D28</f>
        <v>80</v>
      </c>
      <c r="E7" s="4" t="n">
        <f aca="false">Assumptions!E28</f>
        <v>80</v>
      </c>
      <c r="F7" s="4" t="n">
        <f aca="false">Assumptions!F28</f>
        <v>80</v>
      </c>
      <c r="G7" s="4" t="n">
        <f aca="false">Assumptions!G28</f>
        <v>80</v>
      </c>
      <c r="H7" s="4" t="n">
        <f aca="false">Assumptions!H28</f>
        <v>80</v>
      </c>
      <c r="I7" s="4" t="n">
        <f aca="false">Assumptions!I28</f>
        <v>81</v>
      </c>
      <c r="J7" s="4" t="n">
        <f aca="false">Assumptions!J28</f>
        <v>81</v>
      </c>
      <c r="K7" s="4" t="n">
        <f aca="false">Assumptions!K28</f>
        <v>81</v>
      </c>
      <c r="L7" s="4" t="n">
        <f aca="false">Assumptions!L28</f>
        <v>81</v>
      </c>
    </row>
    <row r="8" customFormat="false" ht="15" hidden="false" customHeight="false" outlineLevel="0" collapsed="false">
      <c r="A8" s="0" t="s">
        <v>43</v>
      </c>
      <c r="C8" s="0" t="n">
        <f aca="false">C6*C7/100</f>
        <v>9114.56</v>
      </c>
      <c r="D8" s="0" t="n">
        <f aca="false">D6*D7/100</f>
        <v>9615.8608</v>
      </c>
      <c r="E8" s="0" t="n">
        <f aca="false">E6*E7/100</f>
        <v>10096.65384</v>
      </c>
      <c r="F8" s="0" t="n">
        <f aca="false">F6*F7/100</f>
        <v>10551.0032628</v>
      </c>
      <c r="G8" s="0" t="n">
        <f aca="false">G6*G7/100</f>
        <v>10973.043393312</v>
      </c>
      <c r="H8" s="0" t="n">
        <f aca="false">H6*H7/100</f>
        <v>11411.9651290445</v>
      </c>
      <c r="I8" s="0" t="n">
        <f aca="false">I6*I7/100</f>
        <v>11959.0262074181</v>
      </c>
      <c r="J8" s="0" t="n">
        <f aca="false">J6*J7/100</f>
        <v>12377.5921246777</v>
      </c>
      <c r="K8" s="0" t="n">
        <f aca="false">K6*K7/100</f>
        <v>12748.919888418</v>
      </c>
      <c r="L8" s="0" t="n">
        <f aca="false">L6*L7/100</f>
        <v>13131.3874850706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9114.56</v>
      </c>
      <c r="D11" s="0" t="n">
        <f aca="false">D8+D10+D24</f>
        <v>9615.8608</v>
      </c>
      <c r="E11" s="0" t="n">
        <f aca="false">E8+E10+E24</f>
        <v>10096.65384</v>
      </c>
      <c r="F11" s="0" t="n">
        <f aca="false">F8+F10+F24</f>
        <v>10551.0032628</v>
      </c>
      <c r="G11" s="0" t="n">
        <f aca="false">G8+G10+G24</f>
        <v>10973.043393312</v>
      </c>
      <c r="H11" s="0" t="n">
        <f aca="false">H8+H10+H24</f>
        <v>11411.9651290445</v>
      </c>
      <c r="I11" s="0" t="n">
        <f aca="false">I8+I10+I24</f>
        <v>11959.0262074181</v>
      </c>
      <c r="J11" s="0" t="n">
        <f aca="false">J8+J10+J24</f>
        <v>12377.5921246777</v>
      </c>
      <c r="K11" s="0" t="n">
        <f aca="false">K8+K10+K24</f>
        <v>12748.919888418</v>
      </c>
      <c r="L11" s="0" t="n">
        <f aca="false">L8+L10+L24</f>
        <v>13131.3874850706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9114.56</v>
      </c>
      <c r="D13" s="0" t="n">
        <f aca="false">D11+D12</f>
        <v>9615.8608</v>
      </c>
      <c r="E13" s="0" t="n">
        <f aca="false">E11+E12</f>
        <v>10096.65384</v>
      </c>
      <c r="F13" s="0" t="n">
        <f aca="false">F11+F12</f>
        <v>10551.0032628</v>
      </c>
      <c r="G13" s="0" t="n">
        <f aca="false">G11+G12</f>
        <v>10973.043393312</v>
      </c>
      <c r="H13" s="0" t="n">
        <f aca="false">H11+H12</f>
        <v>11411.9651290445</v>
      </c>
      <c r="I13" s="0" t="n">
        <f aca="false">I11+I12</f>
        <v>11959.0262074181</v>
      </c>
      <c r="J13" s="0" t="n">
        <f aca="false">J11+J12</f>
        <v>12377.5921246777</v>
      </c>
      <c r="K13" s="0" t="n">
        <f aca="false">K11+K12</f>
        <v>12748.919888418</v>
      </c>
      <c r="L13" s="0" t="n">
        <f aca="false">L11+L12</f>
        <v>13131.3874850706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9114.56</v>
      </c>
      <c r="D15" s="0" t="n">
        <f aca="false">D13-MAX(0,D13)*D14/100</f>
        <v>9615.8608</v>
      </c>
      <c r="E15" s="0" t="n">
        <f aca="false">E13-MAX(0,E13)*E14/100</f>
        <v>10096.65384</v>
      </c>
      <c r="F15" s="0" t="n">
        <f aca="false">F13-MAX(0,F13)*F14/100</f>
        <v>10551.0032628</v>
      </c>
      <c r="G15" s="0" t="n">
        <f aca="false">G13-MAX(0,G13)*G14/100</f>
        <v>10973.043393312</v>
      </c>
      <c r="H15" s="0" t="n">
        <f aca="false">H13-MAX(0,H13)*H14/100</f>
        <v>11411.9651290445</v>
      </c>
      <c r="I15" s="0" t="n">
        <f aca="false">I13-MAX(0,I13)*I14/100</f>
        <v>11959.0262074181</v>
      </c>
      <c r="J15" s="0" t="n">
        <f aca="false">J13-MAX(0,J13)*J14/100</f>
        <v>12377.5921246777</v>
      </c>
      <c r="K15" s="0" t="n">
        <f aca="false">K13-MAX(0,K13)*K14/100</f>
        <v>12748.919888418</v>
      </c>
      <c r="L15" s="0" t="n">
        <f aca="false">L13-MAX(0,L13)*L14/100</f>
        <v>13131.3874850706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9114.56</v>
      </c>
      <c r="D19" s="0" t="n">
        <f aca="false">D15+D16+D17+D18</f>
        <v>9615.8608</v>
      </c>
      <c r="E19" s="0" t="n">
        <f aca="false">E15+E16+E17+E18</f>
        <v>10096.65384</v>
      </c>
      <c r="F19" s="0" t="n">
        <f aca="false">F15+F16+F17+F18</f>
        <v>10551.0032628</v>
      </c>
      <c r="G19" s="0" t="n">
        <f aca="false">G15+G16+G17+G18</f>
        <v>10973.043393312</v>
      </c>
      <c r="H19" s="0" t="n">
        <f aca="false">H15+H16+H17+H18</f>
        <v>11411.9651290445</v>
      </c>
      <c r="I19" s="0" t="n">
        <f aca="false">I15+I16+I17+I18</f>
        <v>11959.0262074181</v>
      </c>
      <c r="J19" s="0" t="n">
        <f aca="false">J15+J16+J17+J18</f>
        <v>12377.5921246777</v>
      </c>
      <c r="K19" s="0" t="n">
        <f aca="false">K15+K16+K17+K18</f>
        <v>12748.919888418</v>
      </c>
      <c r="L19" s="0" t="n">
        <f aca="false">L15+L16+L17+L18</f>
        <v>13131.3874850706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8400.51612903226</v>
      </c>
      <c r="D21" s="0" t="n">
        <f aca="false">D19*D20</f>
        <v>8168.24379366731</v>
      </c>
      <c r="E21" s="0" t="n">
        <f aca="false">E19*E20</f>
        <v>7904.75205838772</v>
      </c>
      <c r="F21" s="0" t="n">
        <f aca="false">F19*F20</f>
        <v>7613.33262766375</v>
      </c>
      <c r="G21" s="0" t="n">
        <f aca="false">G19*G20</f>
        <v>7297.57228826756</v>
      </c>
      <c r="H21" s="0" t="n">
        <f aca="false">H19*H20</f>
        <v>6994.90799981407</v>
      </c>
      <c r="I21" s="0" t="n">
        <f aca="false">I19*I20</f>
        <v>6755.96903415221</v>
      </c>
      <c r="J21" s="0" t="n">
        <f aca="false">J19*J20</f>
        <v>6444.63405561985</v>
      </c>
      <c r="K21" s="0" t="n">
        <f aca="false">K19*K20</f>
        <v>6117.94753667138</v>
      </c>
      <c r="L21" s="0" t="n">
        <f aca="false">L19*L20</f>
        <v>5807.82116384472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19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71505.6966871208</v>
      </c>
    </row>
    <row r="31" customFormat="false" ht="15" hidden="false" customHeight="false" outlineLevel="0" collapsed="false">
      <c r="A31" s="0" t="s">
        <v>135</v>
      </c>
      <c r="B31" s="0" t="n">
        <f aca="false">L19</f>
        <v>13131.3874850706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245915.074720412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249496.362216341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245915.074720412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108764.650886547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180270.347573667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180270.347573667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482.00627693494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0.126446078370974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482.00627693494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112711.075913522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217.993793783718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10955</v>
      </c>
      <c r="C6" s="0" t="n">
        <f aca="false">B6*(1+C5/100)</f>
        <v>11721.85</v>
      </c>
      <c r="D6" s="0" t="n">
        <f aca="false">C6*(1+D5/100)</f>
        <v>12542.3795</v>
      </c>
      <c r="E6" s="0" t="n">
        <f aca="false">D6*(1+E5/100)</f>
        <v>13357.6341675</v>
      </c>
      <c r="F6" s="0" t="n">
        <f aca="false">E6*(1+F5/100)</f>
        <v>14159.09221755</v>
      </c>
      <c r="G6" s="0" t="n">
        <f aca="false">F6*(1+G5/100)</f>
        <v>14937.8422895153</v>
      </c>
      <c r="H6" s="0" t="n">
        <f aca="false">G6*(1+H5/100)</f>
        <v>15684.734403991</v>
      </c>
      <c r="I6" s="0" t="n">
        <f aca="false">H6*(1+I5/100)</f>
        <v>16390.5474521706</v>
      </c>
      <c r="J6" s="0" t="n">
        <f aca="false">I6*(1+J5/100)</f>
        <v>17046.1693502574</v>
      </c>
      <c r="K6" s="0" t="n">
        <f aca="false">J6*(1+K5/100)</f>
        <v>17642.7852775164</v>
      </c>
      <c r="L6" s="0" t="n">
        <f aca="false">K6*(1+L5/100)</f>
        <v>18260.2827622295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82</v>
      </c>
      <c r="D7" s="4" t="n">
        <f aca="false">Assumptions!D42</f>
        <v>82</v>
      </c>
      <c r="E7" s="4" t="n">
        <f aca="false">Assumptions!E42</f>
        <v>82</v>
      </c>
      <c r="F7" s="4" t="n">
        <f aca="false">Assumptions!F42</f>
        <v>82</v>
      </c>
      <c r="G7" s="4" t="n">
        <f aca="false">Assumptions!G42</f>
        <v>82</v>
      </c>
      <c r="H7" s="4" t="n">
        <f aca="false">Assumptions!H42</f>
        <v>82</v>
      </c>
      <c r="I7" s="4" t="n">
        <f aca="false">Assumptions!I42</f>
        <v>82</v>
      </c>
      <c r="J7" s="4" t="n">
        <f aca="false">Assumptions!J42</f>
        <v>82</v>
      </c>
      <c r="K7" s="4" t="n">
        <f aca="false">Assumptions!K42</f>
        <v>82</v>
      </c>
      <c r="L7" s="4" t="n">
        <f aca="false">Assumptions!L42</f>
        <v>82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9611.917</v>
      </c>
      <c r="D8" s="0" t="n">
        <f aca="false">D6*D7/100</f>
        <v>10284.75119</v>
      </c>
      <c r="E8" s="0" t="n">
        <f aca="false">E6*E7/100</f>
        <v>10953.26001735</v>
      </c>
      <c r="F8" s="0" t="n">
        <f aca="false">F6*F7/100</f>
        <v>11610.455618391</v>
      </c>
      <c r="G8" s="0" t="n">
        <f aca="false">G6*G7/100</f>
        <v>12249.0306774025</v>
      </c>
      <c r="H8" s="0" t="n">
        <f aca="false">H6*H7/100</f>
        <v>12861.4822112726</v>
      </c>
      <c r="I8" s="0" t="n">
        <f aca="false">I6*I7/100</f>
        <v>13440.2489107799</v>
      </c>
      <c r="J8" s="0" t="n">
        <f aca="false">J6*J7/100</f>
        <v>13977.8588672111</v>
      </c>
      <c r="K8" s="0" t="n">
        <f aca="false">K6*K7/100</f>
        <v>14467.0839275635</v>
      </c>
      <c r="L8" s="0" t="n">
        <f aca="false">L6*L7/100</f>
        <v>14973.4318650282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9611.917</v>
      </c>
      <c r="D11" s="0" t="n">
        <f aca="false">D8+D10+D24</f>
        <v>10284.75119</v>
      </c>
      <c r="E11" s="0" t="n">
        <f aca="false">E8+E10+E24</f>
        <v>10953.26001735</v>
      </c>
      <c r="F11" s="0" t="n">
        <f aca="false">F8+F10+F24</f>
        <v>11610.455618391</v>
      </c>
      <c r="G11" s="0" t="n">
        <f aca="false">G8+G10+G24</f>
        <v>12249.0306774025</v>
      </c>
      <c r="H11" s="0" t="n">
        <f aca="false">H8+H10+H24</f>
        <v>12861.4822112726</v>
      </c>
      <c r="I11" s="0" t="n">
        <f aca="false">I8+I10+I24</f>
        <v>13440.2489107799</v>
      </c>
      <c r="J11" s="0" t="n">
        <f aca="false">J8+J10+J24</f>
        <v>13977.8588672111</v>
      </c>
      <c r="K11" s="0" t="n">
        <f aca="false">K8+K10+K24</f>
        <v>14467.0839275635</v>
      </c>
      <c r="L11" s="0" t="n">
        <f aca="false">L8+L10+L24</f>
        <v>14973.4318650282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9611.917</v>
      </c>
      <c r="D13" s="0" t="n">
        <f aca="false">D11+D12</f>
        <v>10284.75119</v>
      </c>
      <c r="E13" s="0" t="n">
        <f aca="false">E11+E12</f>
        <v>10953.26001735</v>
      </c>
      <c r="F13" s="0" t="n">
        <f aca="false">F11+F12</f>
        <v>11610.455618391</v>
      </c>
      <c r="G13" s="0" t="n">
        <f aca="false">G11+G12</f>
        <v>12249.0306774025</v>
      </c>
      <c r="H13" s="0" t="n">
        <f aca="false">H11+H12</f>
        <v>12861.4822112726</v>
      </c>
      <c r="I13" s="0" t="n">
        <f aca="false">I11+I12</f>
        <v>13440.2489107799</v>
      </c>
      <c r="J13" s="0" t="n">
        <f aca="false">J11+J12</f>
        <v>13977.8588672111</v>
      </c>
      <c r="K13" s="0" t="n">
        <f aca="false">K11+K12</f>
        <v>14467.0839275635</v>
      </c>
      <c r="L13" s="0" t="n">
        <f aca="false">L11+L12</f>
        <v>14973.4318650282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9611.917</v>
      </c>
      <c r="D15" s="0" t="n">
        <f aca="false">D13-MAX(0,D13)*D14/100</f>
        <v>10284.75119</v>
      </c>
      <c r="E15" s="0" t="n">
        <f aca="false">E13-MAX(0,E13)*E14/100</f>
        <v>10953.26001735</v>
      </c>
      <c r="F15" s="0" t="n">
        <f aca="false">F13-MAX(0,F13)*F14/100</f>
        <v>11610.455618391</v>
      </c>
      <c r="G15" s="0" t="n">
        <f aca="false">G13-MAX(0,G13)*G14/100</f>
        <v>12249.0306774025</v>
      </c>
      <c r="H15" s="0" t="n">
        <f aca="false">H13-MAX(0,H13)*H14/100</f>
        <v>12861.4822112726</v>
      </c>
      <c r="I15" s="0" t="n">
        <f aca="false">I13-MAX(0,I13)*I14/100</f>
        <v>13440.2489107799</v>
      </c>
      <c r="J15" s="0" t="n">
        <f aca="false">J13-MAX(0,J13)*J14/100</f>
        <v>13977.8588672111</v>
      </c>
      <c r="K15" s="0" t="n">
        <f aca="false">K13-MAX(0,K13)*K14/100</f>
        <v>14467.0839275635</v>
      </c>
      <c r="L15" s="0" t="n">
        <f aca="false">L13-MAX(0,L13)*L14/100</f>
        <v>14973.4318650282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9611.917</v>
      </c>
      <c r="D19" s="0" t="n">
        <f aca="false">D15+D16+D17+D18</f>
        <v>10284.75119</v>
      </c>
      <c r="E19" s="0" t="n">
        <f aca="false">E15+E16+E17+E18</f>
        <v>10953.26001735</v>
      </c>
      <c r="F19" s="0" t="n">
        <f aca="false">F15+F16+F17+F18</f>
        <v>11610.455618391</v>
      </c>
      <c r="G19" s="0" t="n">
        <f aca="false">G15+G16+G17+G18</f>
        <v>12249.0306774025</v>
      </c>
      <c r="H19" s="0" t="n">
        <f aca="false">H15+H16+H17+H18</f>
        <v>12861.4822112726</v>
      </c>
      <c r="I19" s="0" t="n">
        <f aca="false">I15+I16+I17+I18</f>
        <v>13440.2489107799</v>
      </c>
      <c r="J19" s="0" t="n">
        <f aca="false">J15+J16+J17+J18</f>
        <v>13977.8588672111</v>
      </c>
      <c r="K19" s="0" t="n">
        <f aca="false">K15+K16+K17+K18</f>
        <v>14467.0839275635</v>
      </c>
      <c r="L19" s="0" t="n">
        <f aca="false">L15+L16+L17+L18</f>
        <v>14973.4318650282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0.928074245939675</v>
      </c>
      <c r="D20" s="0" t="n">
        <f aca="false">1/(1+$B$27/100)^D4</f>
        <v>0.861321805976497</v>
      </c>
      <c r="E20" s="0" t="n">
        <f aca="false">1/(1+$B$27/100)^E4</f>
        <v>0.799370585593037</v>
      </c>
      <c r="F20" s="0" t="n">
        <f aca="false">1/(1+$B$27/100)^F4</f>
        <v>0.741875253450614</v>
      </c>
      <c r="G20" s="0" t="n">
        <f aca="false">1/(1+$B$27/100)^G4</f>
        <v>0.688515316427484</v>
      </c>
      <c r="H20" s="0" t="n">
        <f aca="false">1/(1+$B$27/100)^H4</f>
        <v>0.638993333111354</v>
      </c>
      <c r="I20" s="0" t="n">
        <f aca="false">1/(1+$B$27/100)^I4</f>
        <v>0.5930332557878</v>
      </c>
      <c r="J20" s="0" t="n">
        <f aca="false">1/(1+$B$27/100)^J4</f>
        <v>0.550378891682413</v>
      </c>
      <c r="K20" s="0" t="n">
        <f aca="false">1/(1+$B$27/100)^K4</f>
        <v>0.51079247487927</v>
      </c>
      <c r="L20" s="0" t="n">
        <f aca="false">1/(1+$B$27/100)^L4</f>
        <v>0.474053340955239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8920.57262180975</v>
      </c>
      <c r="D21" s="0" t="n">
        <f aca="false">D19*D20</f>
        <v>8858.48046898973</v>
      </c>
      <c r="E21" s="0" t="n">
        <f aca="false">E19*E20</f>
        <v>8755.71387422186</v>
      </c>
      <c r="F21" s="0" t="n">
        <f aca="false">F19*F20</f>
        <v>8613.50970457093</v>
      </c>
      <c r="G21" s="0" t="n">
        <f aca="false">G19*G20</f>
        <v>8433.64523278175</v>
      </c>
      <c r="H21" s="0" t="n">
        <f aca="false">H19*H20</f>
        <v>8218.40138693349</v>
      </c>
      <c r="I21" s="0" t="n">
        <f aca="false">I19*I20</f>
        <v>7970.51457015823</v>
      </c>
      <c r="J21" s="0" t="n">
        <f aca="false">J19*J20</f>
        <v>7693.11847142883</v>
      </c>
      <c r="K21" s="0" t="n">
        <f aca="false">K19*K20</f>
        <v>7389.67760364625</v>
      </c>
      <c r="L21" s="0" t="n">
        <f aca="false">L19*L20</f>
        <v>7098.20540118225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7.75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3.25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81951.8393357231</v>
      </c>
    </row>
    <row r="31" customFormat="false" ht="15" hidden="false" customHeight="false" outlineLevel="0" collapsed="false">
      <c r="A31" s="0" t="s">
        <v>135</v>
      </c>
      <c r="B31" s="0" t="n">
        <f aca="false">L19</f>
        <v>14973.4318650282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343557.075569814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344388.932895649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343557.075569814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162864.379482682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244816.218818405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244816.218818405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654.588820370066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0.529770554732568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654.588820370066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131575.050218227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244.878536858821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296.021409766289</v>
      </c>
      <c r="C4" s="0" t="n">
        <f aca="false">B4/Assumptions!$B$2-1</f>
        <v>-0.308199556517203</v>
      </c>
      <c r="D4" s="4" t="n">
        <f aca="false">Assumptions!$B$24</f>
        <v>0.25</v>
      </c>
      <c r="E4" s="4" t="n">
        <f aca="false">DCF_Bear!$B$43</f>
        <v>296.021409766289</v>
      </c>
      <c r="F4" s="4" t="n">
        <f aca="false">DCF_Bear!$B$47</f>
        <v>172.795525544363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482.00627693494</v>
      </c>
      <c r="C5" s="0" t="n">
        <f aca="false">B5/Assumptions!$B$2-1</f>
        <v>0.126446078370974</v>
      </c>
      <c r="D5" s="4" t="n">
        <f aca="false">Assumptions!$B$38</f>
        <v>0.5</v>
      </c>
      <c r="E5" s="4" t="n">
        <f aca="false">DCF_Base!$B$43</f>
        <v>482.00627693494</v>
      </c>
      <c r="F5" s="4" t="n">
        <f aca="false">DCF_Base!$B$47</f>
        <v>217.993793783718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654.588820370066</v>
      </c>
      <c r="C6" s="0" t="n">
        <f aca="false">B6/Assumptions!$B$2-1</f>
        <v>0.529770554732568</v>
      </c>
      <c r="D6" s="4" t="n">
        <f aca="false">Assumptions!$B$52</f>
        <v>0.25</v>
      </c>
      <c r="E6" s="4" t="n">
        <f aca="false">DCF_Bull!$B$43</f>
        <v>654.588820370066</v>
      </c>
      <c r="F6" s="4" t="n">
        <f aca="false">DCF_Bull!$B$47</f>
        <v>244.878536858821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478.655696001559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478.655696001559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0.106038006912997</v>
      </c>
    </row>
    <row r="11" customFormat="false" ht="15" hidden="false" customHeight="false" outlineLevel="0" collapsed="false">
      <c r="A11" s="0" t="s">
        <v>162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213.415412492655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482.00627693494</v>
      </c>
      <c r="C15" s="3" t="n">
        <v>8.5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441.321592110265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377.420455641542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329.529946016472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292.311270483324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217.993793783718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566.156866889688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566.156866889688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566.156866889688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566.156866889688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566.156866889688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516.55870297976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524.30210292863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524.30210292863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524.30210292863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524.30210292863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434.876506449382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456.477651255263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482.00627693494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486.241440642167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486.241440642167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375.08495485751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389.859789974061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406.907676647005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426.796877765439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450.302297269043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329.451048165022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339.961940899497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351.874285998567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365.48839468322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381.196981627049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2026-10-24T15:07:07Z</dcterms:created>
  <dc:creator>openpyxl</dc:creator>
  <dc:description/>
  <dc:language>en-NZ</dc:language>
  <cp:lastModifiedBy/>
  <dcterms:modified xsi:type="dcterms:W3CDTF">2026-10-24T15:07:07Z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