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<sst xmlns="http://schemas.openxmlformats.org/spreadsheetml/2006/main" count="358" uniqueCount="168">
  <si>
    <t xml:space="preserve">Ticker</t>
  </si>
  <si>
    <t xml:space="preserve">1071.HK</t>
  </si>
  <si>
    <t xml:space="preserve">Company</t>
  </si>
  <si>
    <t xml:space="preserve">Huadian Power International Corporation Limited</t>
  </si>
  <si>
    <t xml:space="preserve">Valuation date</t>
  </si>
  <si>
    <t xml:space="preserve">2026-10-12</t>
  </si>
  <si>
    <t xml:space="preserve">Current price</t>
  </si>
  <si>
    <t xml:space="preserve">Price as of</t>
  </si>
  <si>
    <t xml:space="preserve">2026-10-09T08:08:06Z (16:08 HKT Friday regular close; 52-week range 3.67-4.89)</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</si>
  <si>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</si>
  <si>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</si>
  <si>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</si>
  <si>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</si>
  <si>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</si>
  <si>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</si>
  <si>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</si>
  <si>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</si>
  <si>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</si>
  <si>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</si>
  <si>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</si>
  <si>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</si>
  <si>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</si>
  <si>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2026-10-11T15:56:11Z</t>
  </si>
  <si>
    <t xml:space="preserve">Drivers file</t>
  </si>
  <si>
    <t xml:space="preserve">1071.HK_Drivers.json</t>
  </si>
  <si>
    <t xml:space="preserve">Convention</t>
  </si>
  <si>
    <t xml:space="preserve">Percents stored as percents; formulas divide by 100. Blue = input, green = link, black = formula.</t>
  </si>
  <si>
    <t xml:space="preserve">Methodology</t>
  </si>
  <si>
    <t xml:space="preserve">summary: An owner-FCF DCF of a 58%-levered state-owned thermal generator in a capex build-out, with the prior claims (net debt, perpetual notes, minorities) deducted at face and the associates added at value. The result — ordinary equity worth about zero or less in base and bear — is the honest output of asking what cash this business generates for its ordinary holders after growth capex and prior claims, discounted at a CNY rate built from the flows' own currency. The market values the H-shares as a yield instrument (0.87x ordinary book, 6.2% dividend yield, ~8x P/E, EV/EBITDA ~8.6x including associate income); that price reconciles to a DCF only at ~4.3% WACC with an uncapped Gordon terminal, associates at book and no haircut on the capital raised to pay the dividend. Memo values on the base path: uncapped Gordon at 5.0%/1.5% lifts the base by ~RMB2.9/share to roughly zero; associates at book add ~RMB1.05/share; a proportional NCI allocation adds ~RMB2.5-3/share; a dividend-discount cross-check (RMB0.23 growing 1.5% at a 7.8% CoE) gives ~RMB3.7 = HK$4.3, i.e. the current price, and is what the market is doing. House basis equals street basis (no SBC); band_position is null.
key_risks_to_valuation: Discount rate: the equity is the residual of ~145bn of value against ~181bn of prior claims, so every 0.5pp of WACC moves the value by roughly RMB1-1.5/share; the mechanical CNY WACC (4.1-4.6%) is below the 5.0% used and the market is pricing ~4.3%.; Terminal multiple: the 20x FCF cap binds (Gordon 29x at 5%/1.5%); it is equivalent to ~4.6x terminal EV/EBITDA against 6-8x for listed Chinese IPPs. Uncapped, base is ~zero rather than negative.; Capex taper: the base assumes the RMB19bn FY2026 programme falls to ~1.04x D&amp;A by FY2033; if the state keeps directing growth capex at regulated returns below the cost of capital (bear), owner FCF never emerges.; Coal spread: every 1pp of EBITDA margin is ~1.3bn of EBITDA (~RMB1/share at the terminal multiple); FY2025-H1 FY2026 margins were earned at trough coal prices.; Dilution: 1,384m shares were issued in FY2025 for the Jiangsu injection and ancillary funding; further parent injections paid in shares at a discount to value are the main per-share risk and are not in the paths.; NCI and perpetuals: deducted at book/face (53bn, 29% of claims); a proportional allocation of a near-zero residual would be far less punitive — the choice is the house default, not a finding about the minorities' value.; Associates: 50.7bn book (38.5bn used) earns ~6% on book from coal-mining and finance affiliates whose profits halved in H1 FY2026; a hard fall in coal helps the generation margin and hurts the associates — the two are partially hedged.</t>
  </si>
  <si>
    <t xml:space="preserve">Data sources</t>
  </si>
  <si>
    <t xml:space="preserve">price: Yahoo Finance chart API for 1071.HK at inputs.price_as_of (HKD); 52-week range 3.67-4.89; A-share parity from 600027.SS; CNYHKD=X for the FX rate
financials: research/1071.HK/Reports/1071.HK_Metrics.csv (FY2018-FY2025, H1 FY2024-H1 FY2026; FY2025 and H1 periods on the restated post-injection CAS basis); FY2025 Annual Report (consolidated income statement, cash-flow statement, notes V.40 perpetual bonds, V.46 cost by nature, V.50 finance costs, V.52 investment income); H1 FY2026 Interim Report (balance sheet at 30 Jun 2026, MD&amp;A s.2 operating data and s.10 indebtedness); kpis table for D&amp;A, NCI, perpetuals, interest income
qualitative: research/1071.HK/Reports/1071.HK_Analysis.json (2026-10-12): guidance (~240m MWh, ~RMB19bn capex FY2026), bull/bear axes, capacity-payment reform, Jiangsu injection, dilution history</t>
  </si>
  <si>
    <t xml:space="preserve">Scenario narrative: bear</t>
  </si>
  <si>
    <t xml:space="preserve">Spot-market tariff compression and renewables' dispatch priority outrun the capacity payment; coal mean-reverts to ~RMB900/t and the margin settles at 15.5%; the state-directed build does not taper (capex 13%+ of revenue at sub-WACC regulated returns), losses at individual plants get no group tax relief, and buyers de-rate thermal to a 15x cap. Equity is deeply negative; holders are relying on the parent and the state banks, not on cash flow.</t>
  </si>
  <si>
    <t xml:space="preserve">Scenario narrative: base</t>
  </si>
  <si>
    <t xml:space="preserve">Owner FCF is rebuilt from components on the restated FY2025 base: revenue falls 8.5% in FY2026 on the ~240m MWh guidance, then grows 1-2% as gas, pumped-storage and capacity payments offset thermal erosion; EBITDA settles at an 18% mid-cycle margin (between FY2025's 19.1% coal-trough year and FY2024's restated 15.6%); the FY2026 RMB19bn capex wave tapers to ~1.04x D&amp;A by FY2033; 22% cash tax; 5.0% CNY WACC; 1.5% terminal growth with the 20x FCF cap binding. Associates are carried at 38.5bn (income capitalised at CoE), perpetuals (21.0bn) and NCI (32.0bn, book) are deducted after net debt of 127.6bn. The enterprise is worth roughly 30-40bn less than those prior claims, so the ordinary equity is worth about zero in base: the 6% dividend yield is financed by placements, parent consideration shares, minority contributions and 2.5% state-bank debt rather than by free cash flow.</t>
  </si>
  <si>
    <t xml:space="preserve">Scenario narrative: bull</t>
  </si>
  <si>
    <t xml:space="preserve">Capacity payments and a RMB700-800/t coal band hold the margin at 20%, volumes grow 2.5-3% on the clean-energy build, growth is funded by REIT recycling so capex falls to 1.05x D&amp;A, and the terminal growth is 2.5%. This is the only path in which the ordinary residual is positive, and even then only modestly so.</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</si>
  <si>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</si>
  <si>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</si>
  <si>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</si>
  <si>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</si>
  <si>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</si>
  <si>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</si>
  <si>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</si>
  <si>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</si>
  <si>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</si>
  <si>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</si>
  <si>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</si>
  <si>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</si>
  <si>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</si>
  <si>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</si>
  <si>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</si>
  <si>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</si>
  <si>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</si>
  <si>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</si>
  <si>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</si>
  <si>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</si>
  <si>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</si>
  <si>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</si>
  <si>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</si>
  <si>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</si>
  <si>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</si>
  <si>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</si>
  <si>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</si>
  <si>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InterestPaid</t>
  </si>
  <si>
    <t xml:space="preserve">NonControllingInterests</t>
  </si>
  <si>
    <t xml:space="preserve">PerpetualCapitalSecurities</t>
  </si>
  <si>
    <t xml:space="preserve">ProfitForPeriodInclNCI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</si>
  <si>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</si>
  <si>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</si>
  <si>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</si>
  <si>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</si>
  <si>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</si>
  <si>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</si>
  <si>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</si>
  <si>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</si>
  <si>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</si>
  <si>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</si>
  <si>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</si>
  <si>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</si>
  <si>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</si>
  <si>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</si>
  <si>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</si>
  <si>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</si>
  <si>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</si>
  <si>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</si>
  <si>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</si>
  <si>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</si>
  <si>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</si>
  <si>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</si>
  <si>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</si>
  <si>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</si>
  <si>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</si>
  <si>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</si>
  <si>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</si>
  <si>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</si>
  <si>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</si>
  <si>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</si>
  <si>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</si>
  <si>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</si>
  <si>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</si>
  <si>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</si>
  <si>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</si>
  <si>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</si>
  <si>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</si>
  <si>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</si>
  <si>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</si>
  <si>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</si>
  <si>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</si>
  <si>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</si>
  <si>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</si>
  <si>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</si>
  <si>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</si>
  <si>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1071.HK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</si>
  <si>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</si>
  <si>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</si>
  <si>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</si>
  <si>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</si>
  <si>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</si>
  <si>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</si>
  <si>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</si>
  <si>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</si>
  <si>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</si>
  <si>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</si>
  <si>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</si>
  <si>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</si>
  <si>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</si>
  <si>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</si>
  <si>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</si>
  <si>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</si>
  <si>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</si>
  <si>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</si>
  <si>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</si>
  <si>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</si>
  <si>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</si>
  <si>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</si>
  <si>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</si>
  <si>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</si>
  <si>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</si>
  <si>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</si>
  <si>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</si>
  <si>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</si>
  <si>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</si>
  <si>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</si>
  <si>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1071.HK owner-FCF component DCF: base case (millions, CNY)</t>
  </si>
  <si>
    <t xml:space="preserve">1071.HK owner-FCF component DCF: bull case (millions, CNY)</t>
  </si>
  <si>
    <t xml:space="preserve">1071.HK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</si>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</sst>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4.36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87419.418</v>
      </c>
      <c r="F2" s="0" t="n">
        <v>6268.605</v>
      </c>
      <c r="G2" s="0" t="n">
        <v>7.2</v>
      </c>
      <c r="I2" s="0" t="n">
        <v>1445.736</v>
      </c>
      <c r="J2" s="0" t="n">
        <v>1.7</v>
      </c>
      <c r="K2" s="0" t="n">
        <v>0.132</v>
      </c>
      <c r="L2" s="0" t="n">
        <v>11648.977</v>
      </c>
      <c r="M2" s="0" t="n">
        <v>17244.975</v>
      </c>
      <c r="N2" s="0" t="n">
        <v>-5595.998</v>
      </c>
      <c r="O2" s="0" t="n">
        <v>53131.142</v>
      </c>
      <c r="P2" s="0" t="n">
        <v>227496</v>
      </c>
      <c r="Q2" s="0" t="n">
        <v>159254</v>
      </c>
      <c r="R2" s="0" t="n">
        <v>121218.984</v>
      </c>
      <c r="S2" s="0" t="n">
        <v>6638.326</v>
      </c>
      <c r="T2" s="0" t="n">
        <v>9862.977</v>
      </c>
      <c r="AA2" s="0" t="s">
        <v>18</v>
      </c>
      <c r="AB2" s="0" t="s">
        <v>14</v>
      </c>
      <c r="AC2" s="0" t="n">
        <v>6157.004</v>
      </c>
      <c r="AD2" s="0" t="n">
        <v>15110.722</v>
      </c>
      <c r="AE2" s="0" t="n">
        <v>9108.775</v>
      </c>
      <c r="AF2" s="0" t="n">
        <v>1912.032</v>
      </c>
    </row>
    <row r="3" customFormat="false" ht="15" hidden="false" customHeight="false" outlineLevel="0" collapsed="false">
      <c r="A3" s="0" t="s">
        <v>69</v>
      </c>
      <c r="B3" s="0" t="n">
        <v>91752.98</v>
      </c>
      <c r="F3" s="0" t="n">
        <v>8215.73</v>
      </c>
      <c r="G3" s="0" t="n">
        <v>9</v>
      </c>
      <c r="I3" s="0" t="n">
        <v>3385.324</v>
      </c>
      <c r="J3" s="0" t="n">
        <v>3.7</v>
      </c>
      <c r="K3" s="0" t="n">
        <v>0.288</v>
      </c>
      <c r="L3" s="0" t="n">
        <v>15545.644</v>
      </c>
      <c r="M3" s="0" t="n">
        <v>15089.119</v>
      </c>
      <c r="N3" s="0" t="n">
        <v>456.525</v>
      </c>
      <c r="O3" s="0" t="n">
        <v>62601.738</v>
      </c>
      <c r="P3" s="0" t="n">
        <v>232164</v>
      </c>
      <c r="Q3" s="0" t="n">
        <v>151557</v>
      </c>
      <c r="R3" s="0" t="n">
        <v>118009.616</v>
      </c>
      <c r="S3" s="0" t="n">
        <v>6465.56</v>
      </c>
      <c r="T3" s="0" t="n">
        <v>9862.977</v>
      </c>
      <c r="AA3" s="0" t="s">
        <v>18</v>
      </c>
      <c r="AB3" s="0" t="s">
        <v>14</v>
      </c>
      <c r="AC3" s="0" t="n">
        <v>5831.237</v>
      </c>
      <c r="AD3" s="0" t="n">
        <v>18005.905</v>
      </c>
      <c r="AE3" s="0" t="n">
        <v>16129.055</v>
      </c>
      <c r="AF3" s="0" t="n">
        <v>4324.702</v>
      </c>
    </row>
    <row r="4" customFormat="false" ht="15" hidden="false" customHeight="false" outlineLevel="0" collapsed="false">
      <c r="A4" s="0" t="s">
        <v>70</v>
      </c>
      <c r="B4" s="0" t="n">
        <v>89382.243</v>
      </c>
      <c r="F4" s="0" t="n">
        <v>8790.151</v>
      </c>
      <c r="G4" s="0" t="n">
        <v>9.8</v>
      </c>
      <c r="I4" s="0" t="n">
        <v>4166.756</v>
      </c>
      <c r="J4" s="0" t="n">
        <v>4.7</v>
      </c>
      <c r="K4" s="0" t="n">
        <v>0.329</v>
      </c>
      <c r="L4" s="0" t="n">
        <v>20285.581</v>
      </c>
      <c r="M4" s="0" t="n">
        <v>18653.784</v>
      </c>
      <c r="N4" s="0" t="n">
        <v>1631.797</v>
      </c>
      <c r="O4" s="0" t="n">
        <v>73145.361</v>
      </c>
      <c r="P4" s="0" t="n">
        <v>236691</v>
      </c>
      <c r="Q4" s="0" t="n">
        <v>142298</v>
      </c>
      <c r="R4" s="0" t="n">
        <v>108226.288</v>
      </c>
      <c r="S4" s="0" t="n">
        <v>6498.457</v>
      </c>
      <c r="T4" s="0" t="n">
        <v>9862.977</v>
      </c>
      <c r="AA4" s="0" t="s">
        <v>18</v>
      </c>
      <c r="AB4" s="0" t="s">
        <v>14</v>
      </c>
      <c r="AC4" s="0" t="n">
        <v>4962.571</v>
      </c>
      <c r="AD4" s="0" t="n">
        <v>21247.748</v>
      </c>
      <c r="AE4" s="0" t="n">
        <v>24645.175</v>
      </c>
      <c r="AF4" s="0" t="n">
        <v>5675.631</v>
      </c>
    </row>
    <row r="5" customFormat="false" ht="15" hidden="false" customHeight="false" outlineLevel="0" collapsed="false">
      <c r="A5" s="0" t="s">
        <v>71</v>
      </c>
      <c r="B5" s="0" t="n">
        <v>100983.552</v>
      </c>
      <c r="F5" s="0" t="n">
        <v>-14441.483</v>
      </c>
      <c r="G5" s="0" t="n">
        <v>-14.3</v>
      </c>
      <c r="I5" s="0" t="n">
        <v>-3341.982</v>
      </c>
      <c r="J5" s="0" t="n">
        <v>-3.3</v>
      </c>
      <c r="K5" s="0" t="n">
        <v>-0.443</v>
      </c>
      <c r="L5" s="0" t="n">
        <v>-10720.703</v>
      </c>
      <c r="M5" s="0" t="n">
        <v>12875.373</v>
      </c>
      <c r="N5" s="0" t="n">
        <v>-23596.076</v>
      </c>
      <c r="O5" s="0" t="n">
        <v>63708.417</v>
      </c>
      <c r="P5" s="0" t="n">
        <v>222386</v>
      </c>
      <c r="Q5" s="0" t="n">
        <v>146117</v>
      </c>
      <c r="R5" s="0" t="n">
        <v>118726.005</v>
      </c>
      <c r="S5" s="0" t="n">
        <v>5945.067</v>
      </c>
      <c r="T5" s="0" t="n">
        <v>9869.858</v>
      </c>
      <c r="AA5" s="0" t="s">
        <v>18</v>
      </c>
      <c r="AB5" s="0" t="s">
        <v>14</v>
      </c>
      <c r="AC5" s="0" t="n">
        <v>4168.76</v>
      </c>
      <c r="AD5" s="0" t="n">
        <v>12560.148</v>
      </c>
      <c r="AE5" s="0" t="n">
        <v>22473.349</v>
      </c>
      <c r="AF5" s="0" t="n">
        <v>-5215.889</v>
      </c>
    </row>
    <row r="6" customFormat="false" ht="15" hidden="false" customHeight="false" outlineLevel="0" collapsed="false">
      <c r="A6" s="0" t="s">
        <v>72</v>
      </c>
      <c r="B6" s="0" t="n">
        <v>105960.339</v>
      </c>
      <c r="F6" s="0" t="n">
        <v>-4183.994</v>
      </c>
      <c r="G6" s="0" t="n">
        <v>-3.9</v>
      </c>
      <c r="I6" s="0" t="n">
        <v>-30.791</v>
      </c>
      <c r="J6" s="0" t="n">
        <v>0</v>
      </c>
      <c r="K6" s="0" t="n">
        <v>-0.094</v>
      </c>
      <c r="L6" s="0" t="n">
        <v>5419.178</v>
      </c>
      <c r="M6" s="0" t="n">
        <v>10423.076</v>
      </c>
      <c r="N6" s="0" t="n">
        <v>-5003.898</v>
      </c>
      <c r="O6" s="0" t="n">
        <v>61430.552</v>
      </c>
      <c r="P6" s="0" t="n">
        <v>226802</v>
      </c>
      <c r="Q6" s="0" t="n">
        <v>153774</v>
      </c>
      <c r="R6" s="0" t="n">
        <v>125144.054</v>
      </c>
      <c r="S6" s="0" t="n">
        <v>5907.615</v>
      </c>
      <c r="T6" s="0" t="n">
        <v>9869.858</v>
      </c>
      <c r="AA6" s="0" t="s">
        <v>18</v>
      </c>
      <c r="AB6" s="0" t="s">
        <v>14</v>
      </c>
      <c r="AC6" s="0" t="n">
        <v>4235.32</v>
      </c>
      <c r="AD6" s="0" t="n">
        <v>11598.357</v>
      </c>
      <c r="AE6" s="0" t="n">
        <v>23506.213</v>
      </c>
      <c r="AF6" s="0" t="n">
        <v>-922.106</v>
      </c>
    </row>
    <row r="7" customFormat="false" ht="15" hidden="false" customHeight="false" outlineLevel="0" collapsed="false">
      <c r="A7" s="0" t="s">
        <v>73</v>
      </c>
      <c r="B7" s="0" t="n">
        <v>116376.064</v>
      </c>
      <c r="F7" s="0" t="n">
        <v>4100.87</v>
      </c>
      <c r="G7" s="0" t="n">
        <v>3.5</v>
      </c>
      <c r="I7" s="0" t="n">
        <v>4601.094</v>
      </c>
      <c r="J7" s="0" t="n">
        <v>4</v>
      </c>
      <c r="K7" s="0" t="n">
        <v>0.355</v>
      </c>
      <c r="L7" s="0" t="n">
        <v>9459.908</v>
      </c>
      <c r="M7" s="0" t="n">
        <v>10488.433</v>
      </c>
      <c r="N7" s="0" t="n">
        <v>-1028.525</v>
      </c>
      <c r="O7" s="0" t="n">
        <v>71638.659</v>
      </c>
      <c r="P7" s="0" t="n">
        <v>226476</v>
      </c>
      <c r="Q7" s="0" t="n">
        <v>140574</v>
      </c>
      <c r="R7" s="0" t="n">
        <v>117593.995</v>
      </c>
      <c r="S7" s="0" t="n">
        <v>5170.277</v>
      </c>
      <c r="T7" s="0" t="n">
        <v>10227.561</v>
      </c>
      <c r="AA7" s="0" t="s">
        <v>18</v>
      </c>
      <c r="AB7" s="0" t="s">
        <v>14</v>
      </c>
      <c r="AC7" s="0" t="n">
        <v>3791.74</v>
      </c>
      <c r="AD7" s="0" t="n">
        <v>14263.616</v>
      </c>
      <c r="AE7" s="0" t="n">
        <v>30656.009</v>
      </c>
      <c r="AF7" s="0" t="n">
        <v>4868.445</v>
      </c>
    </row>
    <row r="8" customFormat="false" ht="15" hidden="false" customHeight="false" outlineLevel="0" collapsed="false">
      <c r="A8" s="0" t="s">
        <v>74</v>
      </c>
      <c r="B8" s="0" t="n">
        <v>112391.667</v>
      </c>
      <c r="F8" s="0" t="n">
        <v>6621.635</v>
      </c>
      <c r="G8" s="0" t="n">
        <v>5.9</v>
      </c>
      <c r="I8" s="0" t="n">
        <v>5669.855</v>
      </c>
      <c r="J8" s="0" t="n">
        <v>5</v>
      </c>
      <c r="K8" s="0" t="n">
        <v>0.459</v>
      </c>
      <c r="L8" s="0" t="n">
        <v>12890.107</v>
      </c>
      <c r="M8" s="0" t="n">
        <v>9067.553</v>
      </c>
      <c r="N8" s="0" t="n">
        <v>3822.554</v>
      </c>
      <c r="O8" s="0" t="n">
        <v>69170.932</v>
      </c>
      <c r="P8" s="0" t="n">
        <v>227139</v>
      </c>
      <c r="Q8" s="0" t="n">
        <v>138622</v>
      </c>
      <c r="R8" s="0" t="n">
        <v>115906.867</v>
      </c>
      <c r="S8" s="0" t="n">
        <v>5621.212</v>
      </c>
      <c r="T8" s="0" t="n">
        <v>10227.561</v>
      </c>
      <c r="AA8" s="0" t="s">
        <v>18</v>
      </c>
      <c r="AB8" s="0" t="s">
        <v>14</v>
      </c>
      <c r="AC8" s="0" t="n">
        <v>3446.267</v>
      </c>
      <c r="AD8" s="0" t="n">
        <v>19345.915</v>
      </c>
      <c r="AE8" s="0" t="n">
        <v>25019.956</v>
      </c>
      <c r="AF8" s="0" t="n">
        <v>6764.775</v>
      </c>
    </row>
    <row r="9" customFormat="false" ht="15" hidden="false" customHeight="false" outlineLevel="0" collapsed="false">
      <c r="A9" s="0" t="s">
        <v>75</v>
      </c>
      <c r="B9" s="0" t="n">
        <v>126012.591</v>
      </c>
      <c r="I9" s="0" t="n">
        <v>6070.315</v>
      </c>
      <c r="J9" s="0" t="n">
        <v>4.8</v>
      </c>
      <c r="K9" s="0" t="n">
        <v>0.49</v>
      </c>
      <c r="L9" s="0" t="n">
        <v>27220.563</v>
      </c>
      <c r="M9" s="0" t="n">
        <v>15062.722</v>
      </c>
      <c r="N9" s="0" t="n">
        <v>12157.841</v>
      </c>
      <c r="O9" s="0" t="n">
        <v>69162.202</v>
      </c>
      <c r="P9" s="0" t="n">
        <v>264230.768</v>
      </c>
      <c r="Q9" s="0" t="n">
        <v>162142.438</v>
      </c>
      <c r="R9" s="0" t="n">
        <v>132910.816</v>
      </c>
      <c r="S9" s="0" t="n">
        <v>6982.918</v>
      </c>
      <c r="T9" s="0" t="n">
        <v>11611.774</v>
      </c>
      <c r="AA9" s="0" t="s">
        <v>18</v>
      </c>
      <c r="AB9" s="0" t="s">
        <v>14</v>
      </c>
      <c r="AD9" s="0" t="n">
        <v>32926.128</v>
      </c>
      <c r="AE9" s="0" t="n">
        <v>21000</v>
      </c>
      <c r="AF9" s="0" t="n">
        <v>8216.59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4.36</v>
      </c>
    </row>
    <row r="3" customFormat="false" ht="15" hidden="false" customHeight="false" outlineLevel="0" collapsed="false">
      <c r="A3" s="0" t="s">
        <v>79</v>
      </c>
      <c r="B3" s="3" t="n">
        <v>11611.774</v>
      </c>
    </row>
    <row r="4" customFormat="false" ht="15" hidden="false" customHeight="false" outlineLevel="0" collapsed="false">
      <c r="A4" s="0" t="s">
        <v>80</v>
      </c>
      <c r="B4" s="3" t="n">
        <v>127558</v>
      </c>
    </row>
    <row r="5" customFormat="false" ht="15" hidden="false" customHeight="false" outlineLevel="0" collapsed="false">
      <c r="A5" s="0" t="s">
        <v>81</v>
      </c>
      <c r="B5" s="3" t="n">
        <v>-14118.182</v>
      </c>
    </row>
    <row r="6" customFormat="false" ht="15" hidden="false" customHeight="false" outlineLevel="0" collapsed="false">
      <c r="A6" s="0" t="s">
        <v>82</v>
      </c>
      <c r="B6" s="3" t="n">
        <v>15</v>
      </c>
    </row>
    <row r="7" customFormat="false" ht="15" hidden="false" customHeight="false" outlineLevel="0" collapsed="false">
      <c r="A7" s="0" t="s">
        <v>83</v>
      </c>
      <c r="B7" s="3" t="n">
        <v>126012.591</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1.1722</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-10</v>
      </c>
      <c r="D13" s="3" t="n">
        <v>-3</v>
      </c>
      <c r="E13" s="3" t="n">
        <v>-1</v>
      </c>
      <c r="F13" s="3" t="n">
        <v>0</v>
      </c>
      <c r="G13" s="3" t="n">
        <v>0</v>
      </c>
      <c r="H13" s="3" t="n">
        <v>0.5</v>
      </c>
      <c r="I13" s="3" t="n">
        <v>0.5</v>
      </c>
      <c r="J13" s="3" t="n">
        <v>0.5</v>
      </c>
      <c r="K13" s="3" t="n">
        <v>0.5</v>
      </c>
      <c r="L13" s="3" t="n">
        <v>0.5</v>
      </c>
    </row>
    <row r="14" customFormat="false" ht="15" hidden="false" customHeight="false" outlineLevel="0" collapsed="false">
      <c r="A14" s="0" t="s">
        <v>100</v>
      </c>
      <c r="C14" s="3" t="n">
        <v>19</v>
      </c>
      <c r="D14" s="3" t="n">
        <v>16.5</v>
      </c>
      <c r="E14" s="3" t="n">
        <v>15.5</v>
      </c>
      <c r="F14" s="3" t="n">
        <v>15.5</v>
      </c>
      <c r="G14" s="3" t="n">
        <v>15.5</v>
      </c>
      <c r="H14" s="3" t="n">
        <v>15.5</v>
      </c>
      <c r="I14" s="3" t="n">
        <v>15.5</v>
      </c>
      <c r="J14" s="3" t="n">
        <v>15.5</v>
      </c>
      <c r="K14" s="3" t="n">
        <v>15.5</v>
      </c>
      <c r="L14" s="3" t="n">
        <v>15.5</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11.8</v>
      </c>
      <c r="D17" s="3" t="n">
        <v>12.3</v>
      </c>
      <c r="E17" s="3" t="n">
        <v>12.5</v>
      </c>
      <c r="F17" s="3" t="n">
        <v>12.5</v>
      </c>
      <c r="G17" s="3" t="n">
        <v>12.5</v>
      </c>
      <c r="H17" s="3" t="n">
        <v>12.5</v>
      </c>
      <c r="I17" s="3" t="n">
        <v>12.5</v>
      </c>
      <c r="J17" s="3" t="n">
        <v>12.5</v>
      </c>
      <c r="K17" s="3" t="n">
        <v>12.5</v>
      </c>
      <c r="L17" s="3" t="n">
        <v>12.5</v>
      </c>
    </row>
    <row r="18" customFormat="false" ht="15" hidden="false" customHeight="false" outlineLevel="0" collapsed="false">
      <c r="A18" s="0" t="s">
        <v>104</v>
      </c>
      <c r="C18" s="3" t="n">
        <v>16.5</v>
      </c>
      <c r="D18" s="3" t="n">
        <v>16</v>
      </c>
      <c r="E18" s="3" t="n">
        <v>15</v>
      </c>
      <c r="F18" s="3" t="n">
        <v>14.5</v>
      </c>
      <c r="G18" s="3" t="n">
        <v>14</v>
      </c>
      <c r="H18" s="3" t="n">
        <v>13.5</v>
      </c>
      <c r="I18" s="3" t="n">
        <v>13</v>
      </c>
      <c r="J18" s="3" t="n">
        <v>13</v>
      </c>
      <c r="K18" s="3" t="n">
        <v>13</v>
      </c>
      <c r="L18" s="3" t="n">
        <v>13</v>
      </c>
    </row>
    <row r="19" customFormat="false" ht="15" hidden="false" customHeight="false" outlineLevel="0" collapsed="false">
      <c r="A19" s="0" t="s">
        <v>105</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106</v>
      </c>
      <c r="B20" s="3" t="n">
        <v>5</v>
      </c>
    </row>
    <row r="21" customFormat="false" ht="15" hidden="false" customHeight="false" outlineLevel="0" collapsed="false">
      <c r="A21" s="0" t="s">
        <v>107</v>
      </c>
      <c r="B21" s="3" t="n">
        <v>0.5</v>
      </c>
    </row>
    <row r="22" customFormat="false" ht="15" hidden="false" customHeight="false" outlineLevel="0" collapsed="false">
      <c r="A22" s="0" t="s">
        <v>108</v>
      </c>
      <c r="B22" s="3" t="n">
        <v>15</v>
      </c>
    </row>
    <row r="23" customFormat="false" ht="15" hidden="false" customHeight="false" outlineLevel="0" collapsed="false">
      <c r="A23" s="0" t="s">
        <v>109</v>
      </c>
      <c r="B23" s="3" t="n">
        <v>0</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-8.5</v>
      </c>
      <c r="D27" s="3" t="n">
        <v>1</v>
      </c>
      <c r="E27" s="3" t="n">
        <v>2</v>
      </c>
      <c r="F27" s="3" t="n">
        <v>2</v>
      </c>
      <c r="G27" s="3" t="n">
        <v>2</v>
      </c>
      <c r="H27" s="3" t="n">
        <v>2</v>
      </c>
      <c r="I27" s="3" t="n">
        <v>2</v>
      </c>
      <c r="J27" s="3" t="n">
        <v>1.5</v>
      </c>
      <c r="K27" s="3" t="n">
        <v>1.5</v>
      </c>
      <c r="L27" s="3" t="n">
        <v>1.5</v>
      </c>
    </row>
    <row r="28" customFormat="false" ht="15" hidden="false" customHeight="false" outlineLevel="0" collapsed="false">
      <c r="A28" s="0" t="s">
        <v>100</v>
      </c>
      <c r="C28" s="3" t="n">
        <v>20</v>
      </c>
      <c r="D28" s="3" t="n">
        <v>19</v>
      </c>
      <c r="E28" s="3" t="n">
        <v>18.5</v>
      </c>
      <c r="F28" s="3" t="n">
        <v>18</v>
      </c>
      <c r="G28" s="3" t="n">
        <v>18</v>
      </c>
      <c r="H28" s="3" t="n">
        <v>18</v>
      </c>
      <c r="I28" s="3" t="n">
        <v>18</v>
      </c>
      <c r="J28" s="3" t="n">
        <v>18</v>
      </c>
      <c r="K28" s="3" t="n">
        <v>18</v>
      </c>
      <c r="L28" s="3" t="n">
        <v>18</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11.2</v>
      </c>
      <c r="D31" s="3" t="n">
        <v>11.3</v>
      </c>
      <c r="E31" s="3" t="n">
        <v>11.4</v>
      </c>
      <c r="F31" s="3" t="n">
        <v>11.5</v>
      </c>
      <c r="G31" s="3" t="n">
        <v>11.5</v>
      </c>
      <c r="H31" s="3" t="n">
        <v>11.5</v>
      </c>
      <c r="I31" s="3" t="n">
        <v>11.5</v>
      </c>
      <c r="J31" s="3" t="n">
        <v>11.5</v>
      </c>
      <c r="K31" s="3" t="n">
        <v>11.5</v>
      </c>
      <c r="L31" s="3" t="n">
        <v>11.5</v>
      </c>
    </row>
    <row r="32" customFormat="false" ht="15" hidden="false" customHeight="false" outlineLevel="0" collapsed="false">
      <c r="A32" s="0" t="s">
        <v>104</v>
      </c>
      <c r="C32" s="3" t="n">
        <v>16.5</v>
      </c>
      <c r="D32" s="3" t="n">
        <v>15</v>
      </c>
      <c r="E32" s="3" t="n">
        <v>14.5</v>
      </c>
      <c r="F32" s="3" t="n">
        <v>14</v>
      </c>
      <c r="G32" s="3" t="n">
        <v>13.5</v>
      </c>
      <c r="H32" s="3" t="n">
        <v>13</v>
      </c>
      <c r="I32" s="3" t="n">
        <v>12.5</v>
      </c>
      <c r="J32" s="3" t="n">
        <v>12</v>
      </c>
      <c r="K32" s="3" t="n">
        <v>12</v>
      </c>
      <c r="L32" s="3" t="n">
        <v>12</v>
      </c>
    </row>
    <row r="33" customFormat="false" ht="15" hidden="false" customHeight="false" outlineLevel="0" collapsed="false">
      <c r="A33" s="0" t="s">
        <v>105</v>
      </c>
      <c r="C33" s="3" t="n">
        <v>22</v>
      </c>
      <c r="D33" s="3" t="n">
        <v>22</v>
      </c>
      <c r="E33" s="3" t="n">
        <v>22</v>
      </c>
      <c r="F33" s="3" t="n">
        <v>22</v>
      </c>
      <c r="G33" s="3" t="n">
        <v>22</v>
      </c>
      <c r="H33" s="3" t="n">
        <v>22</v>
      </c>
      <c r="I33" s="3" t="n">
        <v>22</v>
      </c>
      <c r="J33" s="3" t="n">
        <v>22</v>
      </c>
      <c r="K33" s="3" t="n">
        <v>22</v>
      </c>
      <c r="L33" s="3" t="n">
        <v>22</v>
      </c>
    </row>
    <row r="34" customFormat="false" ht="15" hidden="false" customHeight="false" outlineLevel="0" collapsed="false">
      <c r="A34" s="0" t="s">
        <v>106</v>
      </c>
      <c r="B34" s="3" t="n">
        <v>5</v>
      </c>
    </row>
    <row r="35" customFormat="false" ht="15" hidden="false" customHeight="false" outlineLevel="0" collapsed="false">
      <c r="A35" s="0" t="s">
        <v>107</v>
      </c>
      <c r="B35" s="3" t="n">
        <v>1.5</v>
      </c>
    </row>
    <row r="36" customFormat="false" ht="15" hidden="false" customHeight="false" outlineLevel="0" collapsed="false">
      <c r="A36" s="0" t="s">
        <v>108</v>
      </c>
      <c r="B36" s="3" t="n">
        <v>20</v>
      </c>
    </row>
    <row r="37" customFormat="false" ht="15" hidden="false" customHeight="false" outlineLevel="0" collapsed="false">
      <c r="A37" s="0" t="s">
        <v>109</v>
      </c>
      <c r="B37" s="3" t="n">
        <v>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-7</v>
      </c>
      <c r="D41" s="3" t="n">
        <v>2</v>
      </c>
      <c r="E41" s="3" t="n">
        <v>3</v>
      </c>
      <c r="F41" s="3" t="n">
        <v>3</v>
      </c>
      <c r="G41" s="3" t="n">
        <v>3</v>
      </c>
      <c r="H41" s="3" t="n">
        <v>2.5</v>
      </c>
      <c r="I41" s="3" t="n">
        <v>2.5</v>
      </c>
      <c r="J41" s="3" t="n">
        <v>2.5</v>
      </c>
      <c r="K41" s="3" t="n">
        <v>2.5</v>
      </c>
      <c r="L41" s="3" t="n">
        <v>2.5</v>
      </c>
    </row>
    <row r="42" customFormat="false" ht="15" hidden="false" customHeight="false" outlineLevel="0" collapsed="false">
      <c r="A42" s="0" t="s">
        <v>100</v>
      </c>
      <c r="C42" s="3" t="n">
        <v>21</v>
      </c>
      <c r="D42" s="3" t="n">
        <v>20.5</v>
      </c>
      <c r="E42" s="3" t="n">
        <v>20</v>
      </c>
      <c r="F42" s="3" t="n">
        <v>20</v>
      </c>
      <c r="G42" s="3" t="n">
        <v>20</v>
      </c>
      <c r="H42" s="3" t="n">
        <v>20</v>
      </c>
      <c r="I42" s="3" t="n">
        <v>20</v>
      </c>
      <c r="J42" s="3" t="n">
        <v>20</v>
      </c>
      <c r="K42" s="3" t="n">
        <v>20</v>
      </c>
      <c r="L42" s="3" t="n">
        <v>20</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11</v>
      </c>
      <c r="D45" s="3" t="n">
        <v>11</v>
      </c>
      <c r="E45" s="3" t="n">
        <v>11</v>
      </c>
      <c r="F45" s="3" t="n">
        <v>11</v>
      </c>
      <c r="G45" s="3" t="n">
        <v>11</v>
      </c>
      <c r="H45" s="3" t="n">
        <v>11</v>
      </c>
      <c r="I45" s="3" t="n">
        <v>11</v>
      </c>
      <c r="J45" s="3" t="n">
        <v>11</v>
      </c>
      <c r="K45" s="3" t="n">
        <v>11</v>
      </c>
      <c r="L45" s="3" t="n">
        <v>11</v>
      </c>
    </row>
    <row r="46" customFormat="false" ht="15" hidden="false" customHeight="false" outlineLevel="0" collapsed="false">
      <c r="A46" s="0" t="s">
        <v>104</v>
      </c>
      <c r="C46" s="3" t="n">
        <v>16</v>
      </c>
      <c r="D46" s="3" t="n">
        <v>14.5</v>
      </c>
      <c r="E46" s="3" t="n">
        <v>13.5</v>
      </c>
      <c r="F46" s="3" t="n">
        <v>12.5</v>
      </c>
      <c r="G46" s="3" t="n">
        <v>12</v>
      </c>
      <c r="H46" s="3" t="n">
        <v>11.5</v>
      </c>
      <c r="I46" s="3" t="n">
        <v>11.5</v>
      </c>
      <c r="J46" s="3" t="n">
        <v>11.5</v>
      </c>
      <c r="K46" s="3" t="n">
        <v>11.5</v>
      </c>
      <c r="L46" s="3" t="n">
        <v>11.5</v>
      </c>
    </row>
    <row r="47" customFormat="false" ht="15" hidden="false" customHeight="false" outlineLevel="0" collapsed="false">
      <c r="A47" s="0" t="s">
        <v>105</v>
      </c>
      <c r="C47" s="3" t="n">
        <v>20</v>
      </c>
      <c r="D47" s="3" t="n">
        <v>20</v>
      </c>
      <c r="E47" s="3" t="n">
        <v>20</v>
      </c>
      <c r="F47" s="3" t="n">
        <v>20</v>
      </c>
      <c r="G47" s="3" t="n">
        <v>20</v>
      </c>
      <c r="H47" s="3" t="n">
        <v>20</v>
      </c>
      <c r="I47" s="3" t="n">
        <v>20</v>
      </c>
      <c r="J47" s="3" t="n">
        <v>20</v>
      </c>
      <c r="K47" s="3" t="n">
        <v>20</v>
      </c>
      <c r="L47" s="3" t="n">
        <v>20</v>
      </c>
    </row>
    <row r="48" customFormat="false" ht="15" hidden="false" customHeight="false" outlineLevel="0" collapsed="false">
      <c r="A48" s="0" t="s">
        <v>106</v>
      </c>
      <c r="B48" s="3" t="n">
        <v>5</v>
      </c>
    </row>
    <row r="49" customFormat="false" ht="15" hidden="false" customHeight="false" outlineLevel="0" collapsed="false">
      <c r="A49" s="0" t="s">
        <v>107</v>
      </c>
      <c r="B49" s="3" t="n">
        <v>2.5</v>
      </c>
    </row>
    <row r="50" customFormat="false" ht="15" hidden="false" customHeight="false" outlineLevel="0" collapsed="false">
      <c r="A50" s="0" t="s">
        <v>108</v>
      </c>
      <c r="B50" s="3" t="n">
        <v>20</v>
      </c>
    </row>
    <row r="51" customFormat="false" ht="15" hidden="false" customHeight="false" outlineLevel="0" collapsed="false">
      <c r="A51" s="0" t="s">
        <v>109</v>
      </c>
      <c r="B51" s="3" t="n">
        <v>0</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-10</v>
      </c>
      <c r="D5" s="4" t="n">
        <f aca="false">Assumptions!D13</f>
        <v>-3</v>
      </c>
      <c r="E5" s="4" t="n">
        <f aca="false">Assumptions!E13</f>
        <v>-1</v>
      </c>
      <c r="F5" s="4" t="n">
        <f aca="false">Assumptions!F13</f>
        <v>0</v>
      </c>
      <c r="G5" s="4" t="n">
        <f aca="false">Assumptions!G13</f>
        <v>0</v>
      </c>
      <c r="H5" s="4" t="n">
        <f aca="false">Assumptions!H13</f>
        <v>0.5</v>
      </c>
      <c r="I5" s="4" t="n">
        <f aca="false">Assumptions!I13</f>
        <v>0.5</v>
      </c>
      <c r="J5" s="4" t="n">
        <f aca="false">Assumptions!J13</f>
        <v>0.5</v>
      </c>
      <c r="K5" s="4" t="n">
        <f aca="false">Assumptions!K13</f>
        <v>0.5</v>
      </c>
      <c r="L5" s="4" t="n">
        <f aca="false">Assumptions!L13</f>
        <v>0.5</v>
      </c>
    </row>
    <row r="6" customFormat="false" ht="15" hidden="false" customHeight="false" outlineLevel="0" collapsed="false">
      <c r="A6" s="0" t="s">
        <v>38</v>
      </c>
      <c r="B6" s="3" t="n">
        <v>126012.591</v>
      </c>
      <c r="C6" s="0" t="n">
        <f aca="false">B6*(1+C5/100)</f>
        <v>113411.3319</v>
      </c>
      <c r="D6" s="0" t="n">
        <f aca="false">C6*(1+D5/100)</f>
        <v>110008.991943</v>
      </c>
      <c r="E6" s="0" t="n">
        <f aca="false">D6*(1+E5/100)</f>
        <v>108908.90202357</v>
      </c>
      <c r="F6" s="0" t="n">
        <f aca="false">E6*(1+F5/100)</f>
        <v>108908.90202357</v>
      </c>
      <c r="G6" s="0" t="n">
        <f aca="false">F6*(1+G5/100)</f>
        <v>108908.90202357</v>
      </c>
      <c r="H6" s="0" t="n">
        <f aca="false">G6*(1+H5/100)</f>
        <v>109453.446533688</v>
      </c>
      <c r="I6" s="0" t="n">
        <f aca="false">H6*(1+I5/100)</f>
        <v>110000.713766356</v>
      </c>
      <c r="J6" s="0" t="n">
        <f aca="false">I6*(1+J5/100)</f>
        <v>110550.717335188</v>
      </c>
      <c r="K6" s="0" t="n">
        <f aca="false">J6*(1+K5/100)</f>
        <v>111103.470921864</v>
      </c>
      <c r="L6" s="0" t="n">
        <f aca="false">K6*(1+L5/100)</f>
        <v>111658.988276473</v>
      </c>
    </row>
    <row r="7" customFormat="false" ht="15" hidden="false" customHeight="false" outlineLevel="0" collapsed="false">
      <c r="A7" s="0" t="s">
        <v>100</v>
      </c>
      <c r="C7" s="4" t="n">
        <f aca="false">Assumptions!C14</f>
        <v>19</v>
      </c>
      <c r="D7" s="4" t="n">
        <f aca="false">Assumptions!D14</f>
        <v>16.5</v>
      </c>
      <c r="E7" s="4" t="n">
        <f aca="false">Assumptions!E14</f>
        <v>15.5</v>
      </c>
      <c r="F7" s="4" t="n">
        <f aca="false">Assumptions!F14</f>
        <v>15.5</v>
      </c>
      <c r="G7" s="4" t="n">
        <f aca="false">Assumptions!G14</f>
        <v>15.5</v>
      </c>
      <c r="H7" s="4" t="n">
        <f aca="false">Assumptions!H14</f>
        <v>15.5</v>
      </c>
      <c r="I7" s="4" t="n">
        <f aca="false">Assumptions!I14</f>
        <v>15.5</v>
      </c>
      <c r="J7" s="4" t="n">
        <f aca="false">Assumptions!J14</f>
        <v>15.5</v>
      </c>
      <c r="K7" s="4" t="n">
        <f aca="false">Assumptions!K14</f>
        <v>15.5</v>
      </c>
      <c r="L7" s="4" t="n">
        <f aca="false">Assumptions!L14</f>
        <v>15.5</v>
      </c>
    </row>
    <row r="8" customFormat="false" ht="15" hidden="false" customHeight="false" outlineLevel="0" collapsed="false">
      <c r="A8" s="0" t="s">
        <v>44</v>
      </c>
      <c r="C8" s="0" t="n">
        <f aca="false">C6*C7/100</f>
        <v>21548.153061</v>
      </c>
      <c r="D8" s="0" t="n">
        <f aca="false">D6*D7/100</f>
        <v>18151.483670595</v>
      </c>
      <c r="E8" s="0" t="n">
        <f aca="false">E6*E7/100</f>
        <v>16880.8798136533</v>
      </c>
      <c r="F8" s="0" t="n">
        <f aca="false">F6*F7/100</f>
        <v>16880.8798136533</v>
      </c>
      <c r="G8" s="0" t="n">
        <f aca="false">G6*G7/100</f>
        <v>16880.8798136533</v>
      </c>
      <c r="H8" s="0" t="n">
        <f aca="false">H6*H7/100</f>
        <v>16965.2842127216</v>
      </c>
      <c r="I8" s="0" t="n">
        <f aca="false">I6*I7/100</f>
        <v>17050.1106337852</v>
      </c>
      <c r="J8" s="0" t="n">
        <f aca="false">J6*J7/100</f>
        <v>17135.3611869541</v>
      </c>
      <c r="K8" s="0" t="n">
        <f aca="false">K6*K7/100</f>
        <v>17221.0379928889</v>
      </c>
      <c r="L8" s="0" t="n">
        <f aca="false">L6*L7/100</f>
        <v>17307.1431828534</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21548.153061</v>
      </c>
      <c r="D11" s="0" t="n">
        <f aca="false">D8+D10+D24</f>
        <v>18151.483670595</v>
      </c>
      <c r="E11" s="0" t="n">
        <f aca="false">E8+E10+E24</f>
        <v>16880.8798136533</v>
      </c>
      <c r="F11" s="0" t="n">
        <f aca="false">F8+F10+F24</f>
        <v>16880.8798136533</v>
      </c>
      <c r="G11" s="0" t="n">
        <f aca="false">G8+G10+G24</f>
        <v>16880.8798136533</v>
      </c>
      <c r="H11" s="0" t="n">
        <f aca="false">H8+H10+H24</f>
        <v>16965.2842127216</v>
      </c>
      <c r="I11" s="0" t="n">
        <f aca="false">I8+I10+I24</f>
        <v>17050.1106337852</v>
      </c>
      <c r="J11" s="0" t="n">
        <f aca="false">J8+J10+J24</f>
        <v>17135.3611869541</v>
      </c>
      <c r="K11" s="0" t="n">
        <f aca="false">K8+K10+K24</f>
        <v>17221.0379928889</v>
      </c>
      <c r="L11" s="0" t="n">
        <f aca="false">L8+L10+L24</f>
        <v>17307.1431828534</v>
      </c>
    </row>
    <row r="12" customFormat="false" ht="15" hidden="false" customHeight="false" outlineLevel="0" collapsed="false">
      <c r="A12" s="0" t="s">
        <v>118</v>
      </c>
      <c r="C12" s="4" t="n">
        <f aca="false">-C6*Assumptions!C17/100</f>
        <v>-13382.5371642</v>
      </c>
      <c r="D12" s="4" t="n">
        <f aca="false">-D6*Assumptions!D17/100</f>
        <v>-13531.106008989</v>
      </c>
      <c r="E12" s="4" t="n">
        <f aca="false">-E6*Assumptions!E17/100</f>
        <v>-13613.6127529463</v>
      </c>
      <c r="F12" s="4" t="n">
        <f aca="false">-F6*Assumptions!F17/100</f>
        <v>-13613.6127529463</v>
      </c>
      <c r="G12" s="4" t="n">
        <f aca="false">-G6*Assumptions!G17/100</f>
        <v>-13613.6127529463</v>
      </c>
      <c r="H12" s="4" t="n">
        <f aca="false">-H6*Assumptions!H17/100</f>
        <v>-13681.680816711</v>
      </c>
      <c r="I12" s="4" t="n">
        <f aca="false">-I6*Assumptions!I17/100</f>
        <v>-13750.0892207945</v>
      </c>
      <c r="J12" s="4" t="n">
        <f aca="false">-J6*Assumptions!J17/100</f>
        <v>-13818.8396668985</v>
      </c>
      <c r="K12" s="4" t="n">
        <f aca="false">-K6*Assumptions!K17/100</f>
        <v>-13887.933865233</v>
      </c>
      <c r="L12" s="4" t="n">
        <f aca="false">-L6*Assumptions!L17/100</f>
        <v>-13957.3735345592</v>
      </c>
    </row>
    <row r="13" customFormat="false" ht="15" hidden="false" customHeight="false" outlineLevel="0" collapsed="false">
      <c r="A13" s="0" t="s">
        <v>119</v>
      </c>
      <c r="C13" s="0" t="n">
        <f aca="false">C11+C12</f>
        <v>8165.6158968</v>
      </c>
      <c r="D13" s="0" t="n">
        <f aca="false">D11+D12</f>
        <v>4620.377661606</v>
      </c>
      <c r="E13" s="0" t="n">
        <f aca="false">E11+E12</f>
        <v>3267.2670607071</v>
      </c>
      <c r="F13" s="0" t="n">
        <f aca="false">F11+F12</f>
        <v>3267.2670607071</v>
      </c>
      <c r="G13" s="0" t="n">
        <f aca="false">G11+G12</f>
        <v>3267.2670607071</v>
      </c>
      <c r="H13" s="0" t="n">
        <f aca="false">H11+H12</f>
        <v>3283.60339601063</v>
      </c>
      <c r="I13" s="0" t="n">
        <f aca="false">I11+I12</f>
        <v>3300.02141299069</v>
      </c>
      <c r="J13" s="0" t="n">
        <f aca="false">J11+J12</f>
        <v>3316.52152005564</v>
      </c>
      <c r="K13" s="0" t="n">
        <f aca="false">K11+K12</f>
        <v>3333.10412765592</v>
      </c>
      <c r="L13" s="0" t="n">
        <f aca="false">L11+L12</f>
        <v>3349.7696482942</v>
      </c>
    </row>
    <row r="14" customFormat="false" ht="15" hidden="false" customHeight="false" outlineLevel="0" collapsed="false">
      <c r="A14" s="0" t="s">
        <v>105</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120</v>
      </c>
      <c r="C15" s="0" t="n">
        <f aca="false">C13-MAX(0,C13)*C14/100</f>
        <v>6124.2119226</v>
      </c>
      <c r="D15" s="0" t="n">
        <f aca="false">D13-MAX(0,D13)*D14/100</f>
        <v>3465.2832462045</v>
      </c>
      <c r="E15" s="0" t="n">
        <f aca="false">E13-MAX(0,E13)*E14/100</f>
        <v>2450.45029553032</v>
      </c>
      <c r="F15" s="0" t="n">
        <f aca="false">F13-MAX(0,F13)*F14/100</f>
        <v>2450.45029553032</v>
      </c>
      <c r="G15" s="0" t="n">
        <f aca="false">G13-MAX(0,G13)*G14/100</f>
        <v>2450.45029553032</v>
      </c>
      <c r="H15" s="0" t="n">
        <f aca="false">H13-MAX(0,H13)*H14/100</f>
        <v>2462.70254700798</v>
      </c>
      <c r="I15" s="0" t="n">
        <f aca="false">I13-MAX(0,I13)*I14/100</f>
        <v>2475.01605974301</v>
      </c>
      <c r="J15" s="0" t="n">
        <f aca="false">J13-MAX(0,J13)*J14/100</f>
        <v>2487.39114004173</v>
      </c>
      <c r="K15" s="0" t="n">
        <f aca="false">K13-MAX(0,K13)*K14/100</f>
        <v>2499.82809574194</v>
      </c>
      <c r="L15" s="0" t="n">
        <f aca="false">L13-MAX(0,L13)*L14/100</f>
        <v>2512.32723622065</v>
      </c>
    </row>
    <row r="16" customFormat="false" ht="15" hidden="false" customHeight="false" outlineLevel="0" collapsed="false">
      <c r="A16" s="0" t="s">
        <v>121</v>
      </c>
      <c r="C16" s="0" t="n">
        <f aca="false">-C12</f>
        <v>13382.5371642</v>
      </c>
      <c r="D16" s="0" t="n">
        <f aca="false">-D12</f>
        <v>13531.106008989</v>
      </c>
      <c r="E16" s="0" t="n">
        <f aca="false">-E12</f>
        <v>13613.6127529463</v>
      </c>
      <c r="F16" s="0" t="n">
        <f aca="false">-F12</f>
        <v>13613.6127529463</v>
      </c>
      <c r="G16" s="0" t="n">
        <f aca="false">-G12</f>
        <v>13613.6127529463</v>
      </c>
      <c r="H16" s="0" t="n">
        <f aca="false">-H12</f>
        <v>13681.680816711</v>
      </c>
      <c r="I16" s="0" t="n">
        <f aca="false">-I12</f>
        <v>13750.0892207945</v>
      </c>
      <c r="J16" s="0" t="n">
        <f aca="false">-J12</f>
        <v>13818.8396668985</v>
      </c>
      <c r="K16" s="0" t="n">
        <f aca="false">-K12</f>
        <v>13887.933865233</v>
      </c>
      <c r="L16" s="0" t="n">
        <f aca="false">-L12</f>
        <v>13957.3735345592</v>
      </c>
    </row>
    <row r="17" customFormat="false" ht="15" hidden="false" customHeight="false" outlineLevel="0" collapsed="false">
      <c r="A17" s="0" t="s">
        <v>122</v>
      </c>
      <c r="C17" s="4" t="n">
        <f aca="false">-C6*Assumptions!C18/100</f>
        <v>-18712.8697635</v>
      </c>
      <c r="D17" s="4" t="n">
        <f aca="false">-D6*Assumptions!D18/100</f>
        <v>-17601.43871088</v>
      </c>
      <c r="E17" s="4" t="n">
        <f aca="false">-E6*Assumptions!E18/100</f>
        <v>-16336.3353035355</v>
      </c>
      <c r="F17" s="4" t="n">
        <f aca="false">-F6*Assumptions!F18/100</f>
        <v>-15791.7907934177</v>
      </c>
      <c r="G17" s="4" t="n">
        <f aca="false">-G6*Assumptions!G18/100</f>
        <v>-15247.2462832998</v>
      </c>
      <c r="H17" s="4" t="n">
        <f aca="false">-H6*Assumptions!H18/100</f>
        <v>-14776.2152820479</v>
      </c>
      <c r="I17" s="4" t="n">
        <f aca="false">-I6*Assumptions!I18/100</f>
        <v>-14300.0927896263</v>
      </c>
      <c r="J17" s="4" t="n">
        <f aca="false">-J6*Assumptions!J18/100</f>
        <v>-14371.5932535744</v>
      </c>
      <c r="K17" s="4" t="n">
        <f aca="false">-K6*Assumptions!K18/100</f>
        <v>-14443.4512198423</v>
      </c>
      <c r="L17" s="4" t="n">
        <f aca="false">-L6*Assumptions!L18/100</f>
        <v>-14515.6684759415</v>
      </c>
    </row>
    <row r="18" customFormat="false" ht="15" hidden="false" customHeight="false" outlineLevel="0" collapsed="false">
      <c r="A18" s="0" t="s">
        <v>123</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124</v>
      </c>
      <c r="C19" s="0" t="n">
        <f aca="false">C15+C16+C17+C18</f>
        <v>793.8793233</v>
      </c>
      <c r="D19" s="0" t="n">
        <f aca="false">D15+D16+D17+D18</f>
        <v>-605.049455686502</v>
      </c>
      <c r="E19" s="0" t="n">
        <f aca="false">E15+E16+E17+E18</f>
        <v>-272.272255058928</v>
      </c>
      <c r="F19" s="0" t="n">
        <f aca="false">F15+F16+F17+F18</f>
        <v>272.272255058922</v>
      </c>
      <c r="G19" s="0" t="n">
        <f aca="false">G15+G16+G17+G18</f>
        <v>816.816765176774</v>
      </c>
      <c r="H19" s="0" t="n">
        <f aca="false">H15+H16+H17+H18</f>
        <v>1368.1680816711</v>
      </c>
      <c r="I19" s="0" t="n">
        <f aca="false">I15+I16+I17+I18</f>
        <v>1925.01249091123</v>
      </c>
      <c r="J19" s="0" t="n">
        <f aca="false">J15+J16+J17+J18</f>
        <v>1934.63755336579</v>
      </c>
      <c r="K19" s="0" t="n">
        <f aca="false">K15+K16+K17+K18</f>
        <v>1944.31074113262</v>
      </c>
      <c r="L19" s="0" t="n">
        <f aca="false">L15+L16+L17+L18</f>
        <v>1954.03229483828</v>
      </c>
    </row>
    <row r="20" customFormat="false" ht="15" hidden="false" customHeight="false" outlineLevel="0" collapsed="false">
      <c r="A20" s="0" t="s">
        <v>125</v>
      </c>
      <c r="C20" s="0" t="n">
        <f aca="false">1/(1+$B$27/100)^C4</f>
        <v>0.952380952380952</v>
      </c>
      <c r="D20" s="0" t="n">
        <f aca="false">1/(1+$B$27/100)^D4</f>
        <v>0.90702947845805</v>
      </c>
      <c r="E20" s="0" t="n">
        <f aca="false">1/(1+$B$27/100)^E4</f>
        <v>0.863837598531476</v>
      </c>
      <c r="F20" s="0" t="n">
        <f aca="false">1/(1+$B$27/100)^F4</f>
        <v>0.822702474791882</v>
      </c>
      <c r="G20" s="0" t="n">
        <f aca="false">1/(1+$B$27/100)^G4</f>
        <v>0.783526166468459</v>
      </c>
      <c r="H20" s="0" t="n">
        <f aca="false">1/(1+$B$27/100)^H4</f>
        <v>0.746215396636627</v>
      </c>
      <c r="I20" s="0" t="n">
        <f aca="false">1/(1+$B$27/100)^I4</f>
        <v>0.710681330130121</v>
      </c>
      <c r="J20" s="0" t="n">
        <f aca="false">1/(1+$B$27/100)^J4</f>
        <v>0.676839362028687</v>
      </c>
      <c r="K20" s="0" t="n">
        <f aca="false">1/(1+$B$27/100)^K4</f>
        <v>0.644608916217797</v>
      </c>
      <c r="L20" s="0" t="n">
        <f aca="false">1/(1+$B$27/100)^L4</f>
        <v>0.613913253540759</v>
      </c>
    </row>
    <row r="21" customFormat="false" ht="15" hidden="false" customHeight="false" outlineLevel="0" collapsed="false">
      <c r="A21" s="0" t="s">
        <v>126</v>
      </c>
      <c r="C21" s="0" t="n">
        <f aca="false">C19*C20</f>
        <v>756.075546</v>
      </c>
      <c r="D21" s="0" t="n">
        <f aca="false">D19*D20</f>
        <v>-548.797692232654</v>
      </c>
      <c r="E21" s="0" t="n">
        <f aca="false">E19*E20</f>
        <v>-235.199010956854</v>
      </c>
      <c r="F21" s="0" t="n">
        <f aca="false">F19*F20</f>
        <v>223.999058054142</v>
      </c>
      <c r="G21" s="0" t="n">
        <f aca="false">G19*G20</f>
        <v>639.997308726125</v>
      </c>
      <c r="H21" s="0" t="n">
        <f aca="false">H19*H20</f>
        <v>1020.94808772977</v>
      </c>
      <c r="I21" s="0" t="n">
        <f aca="false">I19*I20</f>
        <v>1368.07043755789</v>
      </c>
      <c r="J21" s="0" t="n">
        <f aca="false">J19*J20</f>
        <v>1309.43884737684</v>
      </c>
      <c r="K21" s="0" t="n">
        <f aca="false">K19*K20</f>
        <v>1253.32003963212</v>
      </c>
      <c r="L21" s="0" t="n">
        <f aca="false">L19*L20</f>
        <v>1199.60632364788</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5</v>
      </c>
    </row>
    <row r="28" customFormat="false" ht="15" hidden="false" customHeight="false" outlineLevel="0" collapsed="false">
      <c r="A28" s="0" t="s">
        <v>107</v>
      </c>
      <c r="B28" s="4" t="n">
        <f aca="false">Assumptions!$B$21</f>
        <v>0.5</v>
      </c>
    </row>
    <row r="29" customFormat="false" ht="15" hidden="false" customHeight="false" outlineLevel="0" collapsed="false">
      <c r="A29" s="0" t="s">
        <v>108</v>
      </c>
      <c r="B29" s="4" t="n">
        <f aca="false">Assumptions!$B$22</f>
        <v>15</v>
      </c>
    </row>
    <row r="30" customFormat="false" ht="15" hidden="false" customHeight="false" outlineLevel="0" collapsed="false">
      <c r="A30" s="0" t="s">
        <v>129</v>
      </c>
      <c r="B30" s="0" t="n">
        <f aca="false">SUM(C21:L21)</f>
        <v>6987.45894553527</v>
      </c>
    </row>
    <row r="31" customFormat="false" ht="15" hidden="false" customHeight="false" outlineLevel="0" collapsed="false">
      <c r="A31" s="0" t="s">
        <v>130</v>
      </c>
      <c r="B31" s="0" t="n">
        <f aca="false">L19</f>
        <v>1954.03229483828</v>
      </c>
    </row>
    <row r="32" customFormat="false" ht="15" hidden="false" customHeight="false" outlineLevel="0" collapsed="false">
      <c r="A32" s="0" t="s">
        <v>131</v>
      </c>
      <c r="B32" s="0" t="n">
        <f aca="false">IF(B27&gt;B28,B31*(1+B28/100)/((B27-B28)/100),B31*B29)</f>
        <v>43640.0545847216</v>
      </c>
    </row>
    <row r="33" customFormat="false" ht="15" hidden="false" customHeight="false" outlineLevel="0" collapsed="false">
      <c r="A33" s="0" t="s">
        <v>132</v>
      </c>
      <c r="B33" s="0" t="n">
        <f aca="false">B31*B29</f>
        <v>29310.4844225742</v>
      </c>
    </row>
    <row r="34" customFormat="false" ht="15" hidden="false" customHeight="false" outlineLevel="0" collapsed="false">
      <c r="A34" s="0" t="s">
        <v>133</v>
      </c>
      <c r="B34" s="0" t="n">
        <f aca="false">MAX(0,MIN(B32,B33))</f>
        <v>29310.4844225742</v>
      </c>
    </row>
    <row r="35" customFormat="false" ht="15" hidden="false" customHeight="false" outlineLevel="0" collapsed="false">
      <c r="A35" s="0" t="s">
        <v>134</v>
      </c>
      <c r="B35" s="0" t="n">
        <f aca="false">B34/(1+B27/100)^L4</f>
        <v>17994.0948547183</v>
      </c>
    </row>
    <row r="36" customFormat="false" ht="15" hidden="false" customHeight="false" outlineLevel="0" collapsed="false">
      <c r="A36" s="0" t="s">
        <v>135</v>
      </c>
      <c r="B36" s="0" t="n">
        <f aca="false">B30+B35</f>
        <v>24981.5538002535</v>
      </c>
    </row>
    <row r="37" customFormat="false" ht="15" hidden="false" customHeight="false" outlineLevel="0" collapsed="false">
      <c r="A37" s="0" t="s">
        <v>136</v>
      </c>
      <c r="B37" s="0" t="n">
        <f aca="false">B36+Assumptions!$B$5-Assumptions!$B$4</f>
        <v>-116694.628199746</v>
      </c>
    </row>
    <row r="38" customFormat="false" ht="15" hidden="false" customHeight="false" outlineLevel="0" collapsed="false">
      <c r="A38" s="0" t="s">
        <v>137</v>
      </c>
      <c r="B38" s="0" t="n">
        <f aca="false">B37/Assumptions!$B$3*Assumptions!$B$10</f>
        <v>-11.7802364372354</v>
      </c>
    </row>
    <row r="39" customFormat="false" ht="15" hidden="false" customHeight="false" outlineLevel="0" collapsed="false">
      <c r="A39" s="0" t="s">
        <v>138</v>
      </c>
      <c r="B39" s="4" t="n">
        <f aca="false">B38/Assumptions!$B$2-1</f>
        <v>-3.70188909110904</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-11.7802364372354</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13543.4652159481</v>
      </c>
    </row>
    <row r="47" customFormat="false" ht="15" hidden="false" customHeight="false" outlineLevel="0" collapsed="false">
      <c r="A47" s="0" t="s">
        <v>143</v>
      </c>
      <c r="B47" s="0" t="n">
        <f aca="false">(SUMPRODUCT(C19:L19/(1+B45/100)^C4:L4)+B46/(1+B45/100)^L4+Assumptions!$B$5-Assumptions!$B$4)/Assumptions!$B$3*Assumptions!$B$10</f>
        <v>-13.6008484046492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-8.5</v>
      </c>
      <c r="D5" s="4" t="n">
        <f aca="false">Assumptions!D27</f>
        <v>1</v>
      </c>
      <c r="E5" s="4" t="n">
        <f aca="false">Assumptions!E27</f>
        <v>2</v>
      </c>
      <c r="F5" s="4" t="n">
        <f aca="false">Assumptions!F27</f>
        <v>2</v>
      </c>
      <c r="G5" s="4" t="n">
        <f aca="false">Assumptions!G27</f>
        <v>2</v>
      </c>
      <c r="H5" s="4" t="n">
        <f aca="false">Assumptions!H27</f>
        <v>2</v>
      </c>
      <c r="I5" s="4" t="n">
        <f aca="false">Assumptions!I27</f>
        <v>2</v>
      </c>
      <c r="J5" s="4" t="n">
        <f aca="false">Assumptions!J27</f>
        <v>1.5</v>
      </c>
      <c r="K5" s="4" t="n">
        <f aca="false">Assumptions!K27</f>
        <v>1.5</v>
      </c>
      <c r="L5" s="4" t="n">
        <f aca="false">Assumptions!L27</f>
        <v>1.5</v>
      </c>
    </row>
    <row r="6" customFormat="false" ht="15" hidden="false" customHeight="false" outlineLevel="0" collapsed="false">
      <c r="A6" s="0" t="s">
        <v>38</v>
      </c>
      <c r="B6" s="3" t="n">
        <v>126012.591</v>
      </c>
      <c r="C6" s="0" t="n">
        <f aca="false">B6*(1+C5/100)</f>
        <v>115301.520765</v>
      </c>
      <c r="D6" s="0" t="n">
        <f aca="false">C6*(1+D5/100)</f>
        <v>116454.53597265</v>
      </c>
      <c r="E6" s="0" t="n">
        <f aca="false">D6*(1+E5/100)</f>
        <v>118783.626692103</v>
      </c>
      <c r="F6" s="0" t="n">
        <f aca="false">E6*(1+F5/100)</f>
        <v>121159.299225945</v>
      </c>
      <c r="G6" s="0" t="n">
        <f aca="false">F6*(1+G5/100)</f>
        <v>123582.485210464</v>
      </c>
      <c r="H6" s="0" t="n">
        <f aca="false">G6*(1+H5/100)</f>
        <v>126054.134914673</v>
      </c>
      <c r="I6" s="0" t="n">
        <f aca="false">H6*(1+I5/100)</f>
        <v>128575.217612967</v>
      </c>
      <c r="J6" s="0" t="n">
        <f aca="false">I6*(1+J5/100)</f>
        <v>130503.845877161</v>
      </c>
      <c r="K6" s="0" t="n">
        <f aca="false">J6*(1+K5/100)</f>
        <v>132461.403565319</v>
      </c>
      <c r="L6" s="0" t="n">
        <f aca="false">K6*(1+L5/100)</f>
        <v>134448.324618798</v>
      </c>
    </row>
    <row r="7" customFormat="false" ht="15" hidden="false" customHeight="false" outlineLevel="0" collapsed="false">
      <c r="A7" s="0" t="s">
        <v>100</v>
      </c>
      <c r="C7" s="4" t="n">
        <f aca="false">Assumptions!C28</f>
        <v>20</v>
      </c>
      <c r="D7" s="4" t="n">
        <f aca="false">Assumptions!D28</f>
        <v>19</v>
      </c>
      <c r="E7" s="4" t="n">
        <f aca="false">Assumptions!E28</f>
        <v>18.5</v>
      </c>
      <c r="F7" s="4" t="n">
        <f aca="false">Assumptions!F28</f>
        <v>18</v>
      </c>
      <c r="G7" s="4" t="n">
        <f aca="false">Assumptions!G28</f>
        <v>18</v>
      </c>
      <c r="H7" s="4" t="n">
        <f aca="false">Assumptions!H28</f>
        <v>18</v>
      </c>
      <c r="I7" s="4" t="n">
        <f aca="false">Assumptions!I28</f>
        <v>18</v>
      </c>
      <c r="J7" s="4" t="n">
        <f aca="false">Assumptions!J28</f>
        <v>18</v>
      </c>
      <c r="K7" s="4" t="n">
        <f aca="false">Assumptions!K28</f>
        <v>18</v>
      </c>
      <c r="L7" s="4" t="n">
        <f aca="false">Assumptions!L28</f>
        <v>18</v>
      </c>
    </row>
    <row r="8" customFormat="false" ht="15" hidden="false" customHeight="false" outlineLevel="0" collapsed="false">
      <c r="A8" s="0" t="s">
        <v>44</v>
      </c>
      <c r="C8" s="0" t="n">
        <f aca="false">C6*C7/100</f>
        <v>23060.304153</v>
      </c>
      <c r="D8" s="0" t="n">
        <f aca="false">D6*D7/100</f>
        <v>22126.3618348035</v>
      </c>
      <c r="E8" s="0" t="n">
        <f aca="false">E6*E7/100</f>
        <v>21974.9709380391</v>
      </c>
      <c r="F8" s="0" t="n">
        <f aca="false">F6*F7/100</f>
        <v>21808.6738606701</v>
      </c>
      <c r="G8" s="0" t="n">
        <f aca="false">G6*G7/100</f>
        <v>22244.8473378835</v>
      </c>
      <c r="H8" s="0" t="n">
        <f aca="false">H6*H7/100</f>
        <v>22689.7442846412</v>
      </c>
      <c r="I8" s="0" t="n">
        <f aca="false">I6*I7/100</f>
        <v>23143.539170334</v>
      </c>
      <c r="J8" s="0" t="n">
        <f aca="false">J6*J7/100</f>
        <v>23490.692257889</v>
      </c>
      <c r="K8" s="0" t="n">
        <f aca="false">K6*K7/100</f>
        <v>23843.0526417574</v>
      </c>
      <c r="L8" s="0" t="n">
        <f aca="false">L6*L7/100</f>
        <v>24200.6984313837</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23060.304153</v>
      </c>
      <c r="D11" s="0" t="n">
        <f aca="false">D8+D10+D24</f>
        <v>22126.3618348035</v>
      </c>
      <c r="E11" s="0" t="n">
        <f aca="false">E8+E10+E24</f>
        <v>21974.9709380391</v>
      </c>
      <c r="F11" s="0" t="n">
        <f aca="false">F8+F10+F24</f>
        <v>21808.6738606701</v>
      </c>
      <c r="G11" s="0" t="n">
        <f aca="false">G8+G10+G24</f>
        <v>22244.8473378835</v>
      </c>
      <c r="H11" s="0" t="n">
        <f aca="false">H8+H10+H24</f>
        <v>22689.7442846412</v>
      </c>
      <c r="I11" s="0" t="n">
        <f aca="false">I8+I10+I24</f>
        <v>23143.539170334</v>
      </c>
      <c r="J11" s="0" t="n">
        <f aca="false">J8+J10+J24</f>
        <v>23490.692257889</v>
      </c>
      <c r="K11" s="0" t="n">
        <f aca="false">K8+K10+K24</f>
        <v>23843.0526417574</v>
      </c>
      <c r="L11" s="0" t="n">
        <f aca="false">L8+L10+L24</f>
        <v>24200.6984313837</v>
      </c>
    </row>
    <row r="12" customFormat="false" ht="15" hidden="false" customHeight="false" outlineLevel="0" collapsed="false">
      <c r="A12" s="0" t="s">
        <v>118</v>
      </c>
      <c r="C12" s="4" t="n">
        <f aca="false">-C6*Assumptions!C31/100</f>
        <v>-12913.77032568</v>
      </c>
      <c r="D12" s="4" t="n">
        <f aca="false">-D6*Assumptions!D31/100</f>
        <v>-13159.3625649095</v>
      </c>
      <c r="E12" s="4" t="n">
        <f aca="false">-E6*Assumptions!E31/100</f>
        <v>-13541.3334428997</v>
      </c>
      <c r="F12" s="4" t="n">
        <f aca="false">-F6*Assumptions!F31/100</f>
        <v>-13933.3194109837</v>
      </c>
      <c r="G12" s="4" t="n">
        <f aca="false">-G6*Assumptions!G31/100</f>
        <v>-14211.9857992034</v>
      </c>
      <c r="H12" s="4" t="n">
        <f aca="false">-H6*Assumptions!H31/100</f>
        <v>-14496.2255151874</v>
      </c>
      <c r="I12" s="4" t="n">
        <f aca="false">-I6*Assumptions!I31/100</f>
        <v>-14786.1500254912</v>
      </c>
      <c r="J12" s="4" t="n">
        <f aca="false">-J6*Assumptions!J31/100</f>
        <v>-15007.9422758735</v>
      </c>
      <c r="K12" s="4" t="n">
        <f aca="false">-K6*Assumptions!K31/100</f>
        <v>-15233.0614100116</v>
      </c>
      <c r="L12" s="4" t="n">
        <f aca="false">-L6*Assumptions!L31/100</f>
        <v>-15461.5573311618</v>
      </c>
    </row>
    <row r="13" customFormat="false" ht="15" hidden="false" customHeight="false" outlineLevel="0" collapsed="false">
      <c r="A13" s="0" t="s">
        <v>119</v>
      </c>
      <c r="C13" s="0" t="n">
        <f aca="false">C11+C12</f>
        <v>10146.53382732</v>
      </c>
      <c r="D13" s="0" t="n">
        <f aca="false">D11+D12</f>
        <v>8966.99926989405</v>
      </c>
      <c r="E13" s="0" t="n">
        <f aca="false">E11+E12</f>
        <v>8433.63749513931</v>
      </c>
      <c r="F13" s="0" t="n">
        <f aca="false">F11+F12</f>
        <v>7875.35444968643</v>
      </c>
      <c r="G13" s="0" t="n">
        <f aca="false">G11+G12</f>
        <v>8032.86153868016</v>
      </c>
      <c r="H13" s="0" t="n">
        <f aca="false">H11+H12</f>
        <v>8193.51876945376</v>
      </c>
      <c r="I13" s="0" t="n">
        <f aca="false">I11+I12</f>
        <v>8357.38914484284</v>
      </c>
      <c r="J13" s="0" t="n">
        <f aca="false">J11+J12</f>
        <v>8482.74998201548</v>
      </c>
      <c r="K13" s="0" t="n">
        <f aca="false">K11+K12</f>
        <v>8609.99123174571</v>
      </c>
      <c r="L13" s="0" t="n">
        <f aca="false">L11+L12</f>
        <v>8739.1411002219</v>
      </c>
    </row>
    <row r="14" customFormat="false" ht="15" hidden="false" customHeight="false" outlineLevel="0" collapsed="false">
      <c r="A14" s="0" t="s">
        <v>105</v>
      </c>
      <c r="C14" s="4" t="n">
        <f aca="false">Assumptions!C33</f>
        <v>22</v>
      </c>
      <c r="D14" s="4" t="n">
        <f aca="false">Assumptions!D33</f>
        <v>22</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120</v>
      </c>
      <c r="C15" s="0" t="n">
        <f aca="false">C13-MAX(0,C13)*C14/100</f>
        <v>7914.2963853096</v>
      </c>
      <c r="D15" s="0" t="n">
        <f aca="false">D13-MAX(0,D13)*D14/100</f>
        <v>6994.25943051736</v>
      </c>
      <c r="E15" s="0" t="n">
        <f aca="false">E13-MAX(0,E13)*E14/100</f>
        <v>6578.23724620866</v>
      </c>
      <c r="F15" s="0" t="n">
        <f aca="false">F13-MAX(0,F13)*F14/100</f>
        <v>6142.77647075542</v>
      </c>
      <c r="G15" s="0" t="n">
        <f aca="false">G13-MAX(0,G13)*G14/100</f>
        <v>6265.63200017052</v>
      </c>
      <c r="H15" s="0" t="n">
        <f aca="false">H13-MAX(0,H13)*H14/100</f>
        <v>6390.94464017393</v>
      </c>
      <c r="I15" s="0" t="n">
        <f aca="false">I13-MAX(0,I13)*I14/100</f>
        <v>6518.76353297741</v>
      </c>
      <c r="J15" s="0" t="n">
        <f aca="false">J13-MAX(0,J13)*J14/100</f>
        <v>6616.54498597207</v>
      </c>
      <c r="K15" s="0" t="n">
        <f aca="false">K13-MAX(0,K13)*K14/100</f>
        <v>6715.79316076165</v>
      </c>
      <c r="L15" s="0" t="n">
        <f aca="false">L13-MAX(0,L13)*L14/100</f>
        <v>6816.53005817308</v>
      </c>
    </row>
    <row r="16" customFormat="false" ht="15" hidden="false" customHeight="false" outlineLevel="0" collapsed="false">
      <c r="A16" s="0" t="s">
        <v>121</v>
      </c>
      <c r="C16" s="0" t="n">
        <f aca="false">-C12</f>
        <v>12913.77032568</v>
      </c>
      <c r="D16" s="0" t="n">
        <f aca="false">-D12</f>
        <v>13159.3625649095</v>
      </c>
      <c r="E16" s="0" t="n">
        <f aca="false">-E12</f>
        <v>13541.3334428997</v>
      </c>
      <c r="F16" s="0" t="n">
        <f aca="false">-F12</f>
        <v>13933.3194109837</v>
      </c>
      <c r="G16" s="0" t="n">
        <f aca="false">-G12</f>
        <v>14211.9857992034</v>
      </c>
      <c r="H16" s="0" t="n">
        <f aca="false">-H12</f>
        <v>14496.2255151874</v>
      </c>
      <c r="I16" s="0" t="n">
        <f aca="false">-I12</f>
        <v>14786.1500254912</v>
      </c>
      <c r="J16" s="0" t="n">
        <f aca="false">-J12</f>
        <v>15007.9422758735</v>
      </c>
      <c r="K16" s="0" t="n">
        <f aca="false">-K12</f>
        <v>15233.0614100116</v>
      </c>
      <c r="L16" s="0" t="n">
        <f aca="false">-L12</f>
        <v>15461.5573311618</v>
      </c>
    </row>
    <row r="17" customFormat="false" ht="15" hidden="false" customHeight="false" outlineLevel="0" collapsed="false">
      <c r="A17" s="0" t="s">
        <v>122</v>
      </c>
      <c r="C17" s="4" t="n">
        <f aca="false">-C6*Assumptions!C32/100</f>
        <v>-19024.750926225</v>
      </c>
      <c r="D17" s="4" t="n">
        <f aca="false">-D6*Assumptions!D32/100</f>
        <v>-17468.1803958975</v>
      </c>
      <c r="E17" s="4" t="n">
        <f aca="false">-E6*Assumptions!E32/100</f>
        <v>-17223.6258703549</v>
      </c>
      <c r="F17" s="4" t="n">
        <f aca="false">-F6*Assumptions!F32/100</f>
        <v>-16962.3018916323</v>
      </c>
      <c r="G17" s="4" t="n">
        <f aca="false">-G6*Assumptions!G32/100</f>
        <v>-16683.6355034126</v>
      </c>
      <c r="H17" s="4" t="n">
        <f aca="false">-H6*Assumptions!H32/100</f>
        <v>-16387.0375389075</v>
      </c>
      <c r="I17" s="4" t="n">
        <f aca="false">-I6*Assumptions!I32/100</f>
        <v>-16071.9022016208</v>
      </c>
      <c r="J17" s="4" t="n">
        <f aca="false">-J6*Assumptions!J32/100</f>
        <v>-15660.4615052593</v>
      </c>
      <c r="K17" s="4" t="n">
        <f aca="false">-K6*Assumptions!K32/100</f>
        <v>-15895.3684278382</v>
      </c>
      <c r="L17" s="4" t="n">
        <f aca="false">-L6*Assumptions!L32/100</f>
        <v>-16133.7989542558</v>
      </c>
    </row>
    <row r="18" customFormat="false" ht="15" hidden="false" customHeight="false" outlineLevel="0" collapsed="false">
      <c r="A18" s="0" t="s">
        <v>123</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124</v>
      </c>
      <c r="C19" s="0" t="n">
        <f aca="false">C15+C16+C17+C18</f>
        <v>1803.3157847646</v>
      </c>
      <c r="D19" s="0" t="n">
        <f aca="false">D15+D16+D17+D18</f>
        <v>2685.44159952931</v>
      </c>
      <c r="E19" s="0" t="n">
        <f aca="false">E15+E16+E17+E18</f>
        <v>2895.94481875347</v>
      </c>
      <c r="F19" s="0" t="n">
        <f aca="false">F15+F16+F17+F18</f>
        <v>3113.79399010679</v>
      </c>
      <c r="G19" s="0" t="n">
        <f aca="false">G15+G16+G17+G18</f>
        <v>3793.98229596125</v>
      </c>
      <c r="H19" s="0" t="n">
        <f aca="false">H15+H16+H17+H18</f>
        <v>4500.13261645383</v>
      </c>
      <c r="I19" s="0" t="n">
        <f aca="false">I15+I16+I17+I18</f>
        <v>5233.01135684775</v>
      </c>
      <c r="J19" s="0" t="n">
        <f aca="false">J15+J16+J17+J18</f>
        <v>5964.02575658627</v>
      </c>
      <c r="K19" s="0" t="n">
        <f aca="false">K15+K16+K17+K18</f>
        <v>6053.48614293506</v>
      </c>
      <c r="L19" s="0" t="n">
        <f aca="false">L15+L16+L17+L18</f>
        <v>6144.28843507909</v>
      </c>
    </row>
    <row r="20" customFormat="false" ht="15" hidden="false" customHeight="false" outlineLevel="0" collapsed="false">
      <c r="A20" s="0" t="s">
        <v>125</v>
      </c>
      <c r="C20" s="0" t="n">
        <f aca="false">1/(1+$B$27/100)^C4</f>
        <v>0.952380952380952</v>
      </c>
      <c r="D20" s="0" t="n">
        <f aca="false">1/(1+$B$27/100)^D4</f>
        <v>0.90702947845805</v>
      </c>
      <c r="E20" s="0" t="n">
        <f aca="false">1/(1+$B$27/100)^E4</f>
        <v>0.863837598531476</v>
      </c>
      <c r="F20" s="0" t="n">
        <f aca="false">1/(1+$B$27/100)^F4</f>
        <v>0.822702474791882</v>
      </c>
      <c r="G20" s="0" t="n">
        <f aca="false">1/(1+$B$27/100)^G4</f>
        <v>0.783526166468459</v>
      </c>
      <c r="H20" s="0" t="n">
        <f aca="false">1/(1+$B$27/100)^H4</f>
        <v>0.746215396636627</v>
      </c>
      <c r="I20" s="0" t="n">
        <f aca="false">1/(1+$B$27/100)^I4</f>
        <v>0.710681330130121</v>
      </c>
      <c r="J20" s="0" t="n">
        <f aca="false">1/(1+$B$27/100)^J4</f>
        <v>0.676839362028687</v>
      </c>
      <c r="K20" s="0" t="n">
        <f aca="false">1/(1+$B$27/100)^K4</f>
        <v>0.644608916217797</v>
      </c>
      <c r="L20" s="0" t="n">
        <f aca="false">1/(1+$B$27/100)^L4</f>
        <v>0.613913253540759</v>
      </c>
    </row>
    <row r="21" customFormat="false" ht="15" hidden="false" customHeight="false" outlineLevel="0" collapsed="false">
      <c r="A21" s="0" t="s">
        <v>126</v>
      </c>
      <c r="C21" s="0" t="n">
        <f aca="false">C19*C20</f>
        <v>1717.44360453771</v>
      </c>
      <c r="D21" s="0" t="n">
        <f aca="false">D19*D20</f>
        <v>2435.77469345062</v>
      </c>
      <c r="E21" s="0" t="n">
        <f aca="false">E19*E20</f>
        <v>2501.62601771167</v>
      </c>
      <c r="F21" s="0" t="n">
        <f aca="false">F19*F20</f>
        <v>2561.72602165295</v>
      </c>
      <c r="G21" s="0" t="n">
        <f aca="false">G19*G20</f>
        <v>2972.68440400372</v>
      </c>
      <c r="H21" s="0" t="n">
        <f aca="false">H19*H20</f>
        <v>3358.06824530452</v>
      </c>
      <c r="I21" s="0" t="n">
        <f aca="false">I19*I20</f>
        <v>3719.00347167059</v>
      </c>
      <c r="J21" s="0" t="n">
        <f aca="false">J19*J20</f>
        <v>4036.6873882105</v>
      </c>
      <c r="K21" s="0" t="n">
        <f aca="false">K19*K20</f>
        <v>3902.13114193682</v>
      </c>
      <c r="L21" s="0" t="n">
        <f aca="false">L19*L20</f>
        <v>3772.06010387226</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5</v>
      </c>
    </row>
    <row r="28" customFormat="false" ht="15" hidden="false" customHeight="false" outlineLevel="0" collapsed="false">
      <c r="A28" s="0" t="s">
        <v>107</v>
      </c>
      <c r="B28" s="4" t="n">
        <f aca="false">Assumptions!$B$35</f>
        <v>1.5</v>
      </c>
    </row>
    <row r="29" customFormat="false" ht="15" hidden="false" customHeight="false" outlineLevel="0" collapsed="false">
      <c r="A29" s="0" t="s">
        <v>108</v>
      </c>
      <c r="B29" s="4" t="n">
        <f aca="false">Assumptions!$B$36</f>
        <v>20</v>
      </c>
    </row>
    <row r="30" customFormat="false" ht="15" hidden="false" customHeight="false" outlineLevel="0" collapsed="false">
      <c r="A30" s="0" t="s">
        <v>129</v>
      </c>
      <c r="B30" s="0" t="n">
        <f aca="false">SUM(C21:L21)</f>
        <v>30977.2050923514</v>
      </c>
    </row>
    <row r="31" customFormat="false" ht="15" hidden="false" customHeight="false" outlineLevel="0" collapsed="false">
      <c r="A31" s="0" t="s">
        <v>130</v>
      </c>
      <c r="B31" s="0" t="n">
        <f aca="false">L19</f>
        <v>6144.28843507909</v>
      </c>
    </row>
    <row r="32" customFormat="false" ht="15" hidden="false" customHeight="false" outlineLevel="0" collapsed="false">
      <c r="A32" s="0" t="s">
        <v>131</v>
      </c>
      <c r="B32" s="0" t="n">
        <f aca="false">IF(B27&gt;B28,B31*(1+B28/100)/((B27-B28)/100),B31*B29)</f>
        <v>178184.364617294</v>
      </c>
    </row>
    <row r="33" customFormat="false" ht="15" hidden="false" customHeight="false" outlineLevel="0" collapsed="false">
      <c r="A33" s="0" t="s">
        <v>132</v>
      </c>
      <c r="B33" s="0" t="n">
        <f aca="false">B31*B29</f>
        <v>122885.768701582</v>
      </c>
    </row>
    <row r="34" customFormat="false" ht="15" hidden="false" customHeight="false" outlineLevel="0" collapsed="false">
      <c r="A34" s="0" t="s">
        <v>133</v>
      </c>
      <c r="B34" s="0" t="n">
        <f aca="false">MAX(0,MIN(B32,B33))</f>
        <v>122885.768701582</v>
      </c>
    </row>
    <row r="35" customFormat="false" ht="15" hidden="false" customHeight="false" outlineLevel="0" collapsed="false">
      <c r="A35" s="0" t="s">
        <v>134</v>
      </c>
      <c r="B35" s="0" t="n">
        <f aca="false">B34/(1+B27/100)^L4</f>
        <v>75441.2020774453</v>
      </c>
    </row>
    <row r="36" customFormat="false" ht="15" hidden="false" customHeight="false" outlineLevel="0" collapsed="false">
      <c r="A36" s="0" t="s">
        <v>135</v>
      </c>
      <c r="B36" s="0" t="n">
        <f aca="false">B30+B35</f>
        <v>106418.407169797</v>
      </c>
    </row>
    <row r="37" customFormat="false" ht="15" hidden="false" customHeight="false" outlineLevel="0" collapsed="false">
      <c r="A37" s="0" t="s">
        <v>136</v>
      </c>
      <c r="B37" s="0" t="n">
        <f aca="false">B36+Assumptions!$B$5-Assumptions!$B$4</f>
        <v>-35257.7748302034</v>
      </c>
    </row>
    <row r="38" customFormat="false" ht="15" hidden="false" customHeight="false" outlineLevel="0" collapsed="false">
      <c r="A38" s="0" t="s">
        <v>137</v>
      </c>
      <c r="B38" s="0" t="n">
        <f aca="false">B37/Assumptions!$B$3*Assumptions!$B$10</f>
        <v>-3.55924630086362</v>
      </c>
    </row>
    <row r="39" customFormat="false" ht="15" hidden="false" customHeight="false" outlineLevel="0" collapsed="false">
      <c r="A39" s="0" t="s">
        <v>138</v>
      </c>
      <c r="B39" s="4" t="n">
        <f aca="false">B38/Assumptions!$B$2-1</f>
        <v>-1.81634089469349</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-3.55924630086362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46195.9463822613</v>
      </c>
    </row>
    <row r="47" customFormat="false" ht="15" hidden="false" customHeight="false" outlineLevel="0" collapsed="false">
      <c r="A47" s="0" t="s">
        <v>143</v>
      </c>
      <c r="B47" s="0" t="n">
        <f aca="false">(SUMPRODUCT(C19:L19/(1+B45/100)^C4:L4)+B46/(1+B45/100)^L4+Assumptions!$B$5-Assumptions!$B$4)/Assumptions!$B$3*Assumptions!$B$10</f>
        <v>-11.3048857645266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-7</v>
      </c>
      <c r="D5" s="4" t="n">
        <f aca="false">Assumptions!D41</f>
        <v>2</v>
      </c>
      <c r="E5" s="4" t="n">
        <f aca="false">Assumptions!E41</f>
        <v>3</v>
      </c>
      <c r="F5" s="4" t="n">
        <f aca="false">Assumptions!F41</f>
        <v>3</v>
      </c>
      <c r="G5" s="4" t="n">
        <f aca="false">Assumptions!G41</f>
        <v>3</v>
      </c>
      <c r="H5" s="4" t="n">
        <f aca="false">Assumptions!H41</f>
        <v>2.5</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38</v>
      </c>
      <c r="B6" s="3" t="n">
        <v>126012.591</v>
      </c>
      <c r="C6" s="0" t="n">
        <f aca="false">B6*(1+C5/100)</f>
        <v>117191.70963</v>
      </c>
      <c r="D6" s="0" t="n">
        <f aca="false">C6*(1+D5/100)</f>
        <v>119535.5438226</v>
      </c>
      <c r="E6" s="0" t="n">
        <f aca="false">D6*(1+E5/100)</f>
        <v>123121.610137278</v>
      </c>
      <c r="F6" s="0" t="n">
        <f aca="false">E6*(1+F5/100)</f>
        <v>126815.258441396</v>
      </c>
      <c r="G6" s="0" t="n">
        <f aca="false">F6*(1+G5/100)</f>
        <v>130619.716194638</v>
      </c>
      <c r="H6" s="0" t="n">
        <f aca="false">G6*(1+H5/100)</f>
        <v>133885.209099504</v>
      </c>
      <c r="I6" s="0" t="n">
        <f aca="false">H6*(1+I5/100)</f>
        <v>137232.339326992</v>
      </c>
      <c r="J6" s="0" t="n">
        <f aca="false">I6*(1+J5/100)</f>
        <v>140663.147810167</v>
      </c>
      <c r="K6" s="0" t="n">
        <f aca="false">J6*(1+K5/100)</f>
        <v>144179.726505421</v>
      </c>
      <c r="L6" s="0" t="n">
        <f aca="false">K6*(1+L5/100)</f>
        <v>147784.219668056</v>
      </c>
    </row>
    <row r="7" customFormat="false" ht="15" hidden="false" customHeight="false" outlineLevel="0" collapsed="false">
      <c r="A7" s="0" t="s">
        <v>100</v>
      </c>
      <c r="C7" s="4" t="n">
        <f aca="false">Assumptions!C42</f>
        <v>21</v>
      </c>
      <c r="D7" s="4" t="n">
        <f aca="false">Assumptions!D42</f>
        <v>20.5</v>
      </c>
      <c r="E7" s="4" t="n">
        <f aca="false">Assumptions!E42</f>
        <v>20</v>
      </c>
      <c r="F7" s="4" t="n">
        <f aca="false">Assumptions!F42</f>
        <v>20</v>
      </c>
      <c r="G7" s="4" t="n">
        <f aca="false">Assumptions!G42</f>
        <v>20</v>
      </c>
      <c r="H7" s="4" t="n">
        <f aca="false">Assumptions!H42</f>
        <v>20</v>
      </c>
      <c r="I7" s="4" t="n">
        <f aca="false">Assumptions!I42</f>
        <v>20</v>
      </c>
      <c r="J7" s="4" t="n">
        <f aca="false">Assumptions!J42</f>
        <v>20</v>
      </c>
      <c r="K7" s="4" t="n">
        <f aca="false">Assumptions!K42</f>
        <v>20</v>
      </c>
      <c r="L7" s="4" t="n">
        <f aca="false">Assumptions!L42</f>
        <v>20</v>
      </c>
    </row>
    <row r="8" customFormat="false" ht="15" hidden="false" customHeight="false" outlineLevel="0" collapsed="false">
      <c r="A8" s="0" t="s">
        <v>44</v>
      </c>
      <c r="C8" s="0" t="n">
        <f aca="false">C6*C7/100</f>
        <v>24610.2590223</v>
      </c>
      <c r="D8" s="0" t="n">
        <f aca="false">D6*D7/100</f>
        <v>24504.786483633</v>
      </c>
      <c r="E8" s="0" t="n">
        <f aca="false">E6*E7/100</f>
        <v>24624.3220274556</v>
      </c>
      <c r="F8" s="0" t="n">
        <f aca="false">F6*F7/100</f>
        <v>25363.0516882793</v>
      </c>
      <c r="G8" s="0" t="n">
        <f aca="false">G6*G7/100</f>
        <v>26123.9432389276</v>
      </c>
      <c r="H8" s="0" t="n">
        <f aca="false">H6*H7/100</f>
        <v>26777.0418199008</v>
      </c>
      <c r="I8" s="0" t="n">
        <f aca="false">I6*I7/100</f>
        <v>27446.4678653984</v>
      </c>
      <c r="J8" s="0" t="n">
        <f aca="false">J6*J7/100</f>
        <v>28132.6295620333</v>
      </c>
      <c r="K8" s="0" t="n">
        <f aca="false">K6*K7/100</f>
        <v>28835.9453010841</v>
      </c>
      <c r="L8" s="0" t="n">
        <f aca="false">L6*L7/100</f>
        <v>29556.8439336112</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24610.2590223</v>
      </c>
      <c r="D11" s="0" t="n">
        <f aca="false">D8+D10+D24</f>
        <v>24504.786483633</v>
      </c>
      <c r="E11" s="0" t="n">
        <f aca="false">E8+E10+E24</f>
        <v>24624.3220274556</v>
      </c>
      <c r="F11" s="0" t="n">
        <f aca="false">F8+F10+F24</f>
        <v>25363.0516882793</v>
      </c>
      <c r="G11" s="0" t="n">
        <f aca="false">G8+G10+G24</f>
        <v>26123.9432389276</v>
      </c>
      <c r="H11" s="0" t="n">
        <f aca="false">H8+H10+H24</f>
        <v>26777.0418199008</v>
      </c>
      <c r="I11" s="0" t="n">
        <f aca="false">I8+I10+I24</f>
        <v>27446.4678653984</v>
      </c>
      <c r="J11" s="0" t="n">
        <f aca="false">J8+J10+J24</f>
        <v>28132.6295620333</v>
      </c>
      <c r="K11" s="0" t="n">
        <f aca="false">K8+K10+K24</f>
        <v>28835.9453010841</v>
      </c>
      <c r="L11" s="0" t="n">
        <f aca="false">L8+L10+L24</f>
        <v>29556.8439336112</v>
      </c>
    </row>
    <row r="12" customFormat="false" ht="15" hidden="false" customHeight="false" outlineLevel="0" collapsed="false">
      <c r="A12" s="0" t="s">
        <v>118</v>
      </c>
      <c r="C12" s="4" t="n">
        <f aca="false">-C6*Assumptions!C45/100</f>
        <v>-12891.0880593</v>
      </c>
      <c r="D12" s="4" t="n">
        <f aca="false">-D6*Assumptions!D45/100</f>
        <v>-13148.909820486</v>
      </c>
      <c r="E12" s="4" t="n">
        <f aca="false">-E6*Assumptions!E45/100</f>
        <v>-13543.3771151006</v>
      </c>
      <c r="F12" s="4" t="n">
        <f aca="false">-F6*Assumptions!F45/100</f>
        <v>-13949.6784285536</v>
      </c>
      <c r="G12" s="4" t="n">
        <f aca="false">-G6*Assumptions!G45/100</f>
        <v>-14368.1687814102</v>
      </c>
      <c r="H12" s="4" t="n">
        <f aca="false">-H6*Assumptions!H45/100</f>
        <v>-14727.3730009455</v>
      </c>
      <c r="I12" s="4" t="n">
        <f aca="false">-I6*Assumptions!I45/100</f>
        <v>-15095.5573259691</v>
      </c>
      <c r="J12" s="4" t="n">
        <f aca="false">-J6*Assumptions!J45/100</f>
        <v>-15472.9462591183</v>
      </c>
      <c r="K12" s="4" t="n">
        <f aca="false">-K6*Assumptions!K45/100</f>
        <v>-15859.7699155963</v>
      </c>
      <c r="L12" s="4" t="n">
        <f aca="false">-L6*Assumptions!L45/100</f>
        <v>-16256.2641634862</v>
      </c>
    </row>
    <row r="13" customFormat="false" ht="15" hidden="false" customHeight="false" outlineLevel="0" collapsed="false">
      <c r="A13" s="0" t="s">
        <v>119</v>
      </c>
      <c r="C13" s="0" t="n">
        <f aca="false">C11+C12</f>
        <v>11719.170963</v>
      </c>
      <c r="D13" s="0" t="n">
        <f aca="false">D11+D12</f>
        <v>11355.876663147</v>
      </c>
      <c r="E13" s="0" t="n">
        <f aca="false">E11+E12</f>
        <v>11080.944912355</v>
      </c>
      <c r="F13" s="0" t="n">
        <f aca="false">F11+F12</f>
        <v>11413.3732597257</v>
      </c>
      <c r="G13" s="0" t="n">
        <f aca="false">G11+G12</f>
        <v>11755.7744575174</v>
      </c>
      <c r="H13" s="0" t="n">
        <f aca="false">H11+H12</f>
        <v>12049.6688189554</v>
      </c>
      <c r="I13" s="0" t="n">
        <f aca="false">I11+I12</f>
        <v>12350.9105394293</v>
      </c>
      <c r="J13" s="0" t="n">
        <f aca="false">J11+J12</f>
        <v>12659.683302915</v>
      </c>
      <c r="K13" s="0" t="n">
        <f aca="false">K11+K12</f>
        <v>12976.1753854879</v>
      </c>
      <c r="L13" s="0" t="n">
        <f aca="false">L11+L12</f>
        <v>13300.5797701251</v>
      </c>
    </row>
    <row r="14" customFormat="false" ht="15" hidden="false" customHeight="false" outlineLevel="0" collapsed="false">
      <c r="A14" s="0" t="s">
        <v>105</v>
      </c>
      <c r="C14" s="4" t="n">
        <f aca="false">Assumptions!C47</f>
        <v>20</v>
      </c>
      <c r="D14" s="4" t="n">
        <f aca="false">Assumptions!D47</f>
        <v>20</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120</v>
      </c>
      <c r="C15" s="0" t="n">
        <f aca="false">C13-MAX(0,C13)*C14/100</f>
        <v>9375.3367704</v>
      </c>
      <c r="D15" s="0" t="n">
        <f aca="false">D13-MAX(0,D13)*D14/100</f>
        <v>9084.7013305176</v>
      </c>
      <c r="E15" s="0" t="n">
        <f aca="false">E13-MAX(0,E13)*E14/100</f>
        <v>8864.75592988402</v>
      </c>
      <c r="F15" s="0" t="n">
        <f aca="false">F13-MAX(0,F13)*F14/100</f>
        <v>9130.69860778054</v>
      </c>
      <c r="G15" s="0" t="n">
        <f aca="false">G13-MAX(0,G13)*G14/100</f>
        <v>9404.61956601396</v>
      </c>
      <c r="H15" s="0" t="n">
        <f aca="false">H13-MAX(0,H13)*H14/100</f>
        <v>9639.7350551643</v>
      </c>
      <c r="I15" s="0" t="n">
        <f aca="false">I13-MAX(0,I13)*I14/100</f>
        <v>9880.7284315434</v>
      </c>
      <c r="J15" s="0" t="n">
        <f aca="false">J13-MAX(0,J13)*J14/100</f>
        <v>10127.746642332</v>
      </c>
      <c r="K15" s="0" t="n">
        <f aca="false">K13-MAX(0,K13)*K14/100</f>
        <v>10380.9403083903</v>
      </c>
      <c r="L15" s="0" t="n">
        <f aca="false">L13-MAX(0,L13)*L14/100</f>
        <v>10640.4638161</v>
      </c>
    </row>
    <row r="16" customFormat="false" ht="15" hidden="false" customHeight="false" outlineLevel="0" collapsed="false">
      <c r="A16" s="0" t="s">
        <v>121</v>
      </c>
      <c r="C16" s="0" t="n">
        <f aca="false">-C12</f>
        <v>12891.0880593</v>
      </c>
      <c r="D16" s="0" t="n">
        <f aca="false">-D12</f>
        <v>13148.909820486</v>
      </c>
      <c r="E16" s="0" t="n">
        <f aca="false">-E12</f>
        <v>13543.3771151006</v>
      </c>
      <c r="F16" s="0" t="n">
        <f aca="false">-F12</f>
        <v>13949.6784285536</v>
      </c>
      <c r="G16" s="0" t="n">
        <f aca="false">-G12</f>
        <v>14368.1687814102</v>
      </c>
      <c r="H16" s="0" t="n">
        <f aca="false">-H12</f>
        <v>14727.3730009455</v>
      </c>
      <c r="I16" s="0" t="n">
        <f aca="false">-I12</f>
        <v>15095.5573259691</v>
      </c>
      <c r="J16" s="0" t="n">
        <f aca="false">-J12</f>
        <v>15472.9462591183</v>
      </c>
      <c r="K16" s="0" t="n">
        <f aca="false">-K12</f>
        <v>15859.7699155963</v>
      </c>
      <c r="L16" s="0" t="n">
        <f aca="false">-L12</f>
        <v>16256.2641634862</v>
      </c>
    </row>
    <row r="17" customFormat="false" ht="15" hidden="false" customHeight="false" outlineLevel="0" collapsed="false">
      <c r="A17" s="0" t="s">
        <v>122</v>
      </c>
      <c r="C17" s="4" t="n">
        <f aca="false">-C6*Assumptions!C46/100</f>
        <v>-18750.6735408</v>
      </c>
      <c r="D17" s="4" t="n">
        <f aca="false">-D6*Assumptions!D46/100</f>
        <v>-17332.653854277</v>
      </c>
      <c r="E17" s="4" t="n">
        <f aca="false">-E6*Assumptions!E46/100</f>
        <v>-16621.4173685325</v>
      </c>
      <c r="F17" s="4" t="n">
        <f aca="false">-F6*Assumptions!F46/100</f>
        <v>-15851.9073051745</v>
      </c>
      <c r="G17" s="4" t="n">
        <f aca="false">-G6*Assumptions!G46/100</f>
        <v>-15674.3659433566</v>
      </c>
      <c r="H17" s="4" t="n">
        <f aca="false">-H6*Assumptions!H46/100</f>
        <v>-15396.799046443</v>
      </c>
      <c r="I17" s="4" t="n">
        <f aca="false">-I6*Assumptions!I46/100</f>
        <v>-15781.7190226041</v>
      </c>
      <c r="J17" s="4" t="n">
        <f aca="false">-J6*Assumptions!J46/100</f>
        <v>-16176.2619981692</v>
      </c>
      <c r="K17" s="4" t="n">
        <f aca="false">-K6*Assumptions!K46/100</f>
        <v>-16580.6685481234</v>
      </c>
      <c r="L17" s="4" t="n">
        <f aca="false">-L6*Assumptions!L46/100</f>
        <v>-16995.1852618265</v>
      </c>
    </row>
    <row r="18" customFormat="false" ht="15" hidden="false" customHeight="false" outlineLevel="0" collapsed="false">
      <c r="A18" s="0" t="s">
        <v>123</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124</v>
      </c>
      <c r="C19" s="0" t="n">
        <f aca="false">C15+C16+C17+C18</f>
        <v>3515.7512889</v>
      </c>
      <c r="D19" s="0" t="n">
        <f aca="false">D15+D16+D17+D18</f>
        <v>4900.9572967266</v>
      </c>
      <c r="E19" s="0" t="n">
        <f aca="false">E15+E16+E17+E18</f>
        <v>5786.71567645207</v>
      </c>
      <c r="F19" s="0" t="n">
        <f aca="false">F15+F16+F17+F18</f>
        <v>7228.46973115959</v>
      </c>
      <c r="G19" s="0" t="n">
        <f aca="false">G15+G16+G17+G18</f>
        <v>8098.42240406757</v>
      </c>
      <c r="H19" s="0" t="n">
        <f aca="false">H15+H16+H17+H18</f>
        <v>8970.30900966678</v>
      </c>
      <c r="I19" s="0" t="n">
        <f aca="false">I15+I16+I17+I18</f>
        <v>9194.56673490845</v>
      </c>
      <c r="J19" s="0" t="n">
        <f aca="false">J15+J16+J17+J18</f>
        <v>9424.43090328116</v>
      </c>
      <c r="K19" s="0" t="n">
        <f aca="false">K15+K16+K17+K18</f>
        <v>9660.04167586318</v>
      </c>
      <c r="L19" s="0" t="n">
        <f aca="false">L15+L16+L17+L18</f>
        <v>9901.54271775976</v>
      </c>
    </row>
    <row r="20" customFormat="false" ht="15" hidden="false" customHeight="false" outlineLevel="0" collapsed="false">
      <c r="A20" s="0" t="s">
        <v>125</v>
      </c>
      <c r="C20" s="0" t="n">
        <f aca="false">1/(1+$B$27/100)^C4</f>
        <v>0.952380952380952</v>
      </c>
      <c r="D20" s="0" t="n">
        <f aca="false">1/(1+$B$27/100)^D4</f>
        <v>0.90702947845805</v>
      </c>
      <c r="E20" s="0" t="n">
        <f aca="false">1/(1+$B$27/100)^E4</f>
        <v>0.863837598531476</v>
      </c>
      <c r="F20" s="0" t="n">
        <f aca="false">1/(1+$B$27/100)^F4</f>
        <v>0.822702474791882</v>
      </c>
      <c r="G20" s="0" t="n">
        <f aca="false">1/(1+$B$27/100)^G4</f>
        <v>0.783526166468459</v>
      </c>
      <c r="H20" s="0" t="n">
        <f aca="false">1/(1+$B$27/100)^H4</f>
        <v>0.746215396636627</v>
      </c>
      <c r="I20" s="0" t="n">
        <f aca="false">1/(1+$B$27/100)^I4</f>
        <v>0.710681330130121</v>
      </c>
      <c r="J20" s="0" t="n">
        <f aca="false">1/(1+$B$27/100)^J4</f>
        <v>0.676839362028687</v>
      </c>
      <c r="K20" s="0" t="n">
        <f aca="false">1/(1+$B$27/100)^K4</f>
        <v>0.644608916217797</v>
      </c>
      <c r="L20" s="0" t="n">
        <f aca="false">1/(1+$B$27/100)^L4</f>
        <v>0.613913253540759</v>
      </c>
    </row>
    <row r="21" customFormat="false" ht="15" hidden="false" customHeight="false" outlineLevel="0" collapsed="false">
      <c r="A21" s="0" t="s">
        <v>126</v>
      </c>
      <c r="C21" s="0" t="n">
        <f aca="false">C19*C20</f>
        <v>3348.33456085715</v>
      </c>
      <c r="D21" s="0" t="n">
        <f aca="false">D19*D20</f>
        <v>4445.3127407951</v>
      </c>
      <c r="E21" s="0" t="n">
        <f aca="false">E19*E20</f>
        <v>4998.7825733308</v>
      </c>
      <c r="F21" s="0" t="n">
        <f aca="false">F19*F20</f>
        <v>5946.8799367832</v>
      </c>
      <c r="G21" s="0" t="n">
        <f aca="false">G19*G20</f>
        <v>6345.32586070135</v>
      </c>
      <c r="H21" s="0" t="n">
        <f aca="false">H19*H20</f>
        <v>6693.78269560161</v>
      </c>
      <c r="I21" s="0" t="n">
        <f aca="false">I19*I20</f>
        <v>6534.4069171349</v>
      </c>
      <c r="J21" s="0" t="n">
        <f aca="false">J19*J20</f>
        <v>6378.82580006026</v>
      </c>
      <c r="K21" s="0" t="n">
        <f aca="false">K19*K20</f>
        <v>6226.94899529692</v>
      </c>
      <c r="L21" s="0" t="n">
        <f aca="false">L19*L20</f>
        <v>6078.6883049327</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5</v>
      </c>
    </row>
    <row r="28" customFormat="false" ht="15" hidden="false" customHeight="false" outlineLevel="0" collapsed="false">
      <c r="A28" s="0" t="s">
        <v>107</v>
      </c>
      <c r="B28" s="4" t="n">
        <f aca="false">Assumptions!$B$49</f>
        <v>2.5</v>
      </c>
    </row>
    <row r="29" customFormat="false" ht="15" hidden="false" customHeight="false" outlineLevel="0" collapsed="false">
      <c r="A29" s="0" t="s">
        <v>108</v>
      </c>
      <c r="B29" s="4" t="n">
        <f aca="false">Assumptions!$B$50</f>
        <v>20</v>
      </c>
    </row>
    <row r="30" customFormat="false" ht="15" hidden="false" customHeight="false" outlineLevel="0" collapsed="false">
      <c r="A30" s="0" t="s">
        <v>129</v>
      </c>
      <c r="B30" s="0" t="n">
        <f aca="false">SUM(C21:L21)</f>
        <v>56997.288385494</v>
      </c>
    </row>
    <row r="31" customFormat="false" ht="15" hidden="false" customHeight="false" outlineLevel="0" collapsed="false">
      <c r="A31" s="0" t="s">
        <v>130</v>
      </c>
      <c r="B31" s="0" t="n">
        <f aca="false">L19</f>
        <v>9901.54271775976</v>
      </c>
    </row>
    <row r="32" customFormat="false" ht="15" hidden="false" customHeight="false" outlineLevel="0" collapsed="false">
      <c r="A32" s="0" t="s">
        <v>131</v>
      </c>
      <c r="B32" s="0" t="n">
        <f aca="false">IF(B27&gt;B28,B31*(1+B28/100)/((B27-B28)/100),B31*B29)</f>
        <v>405963.25142815</v>
      </c>
    </row>
    <row r="33" customFormat="false" ht="15" hidden="false" customHeight="false" outlineLevel="0" collapsed="false">
      <c r="A33" s="0" t="s">
        <v>132</v>
      </c>
      <c r="B33" s="0" t="n">
        <f aca="false">B31*B29</f>
        <v>198030.854355195</v>
      </c>
    </row>
    <row r="34" customFormat="false" ht="15" hidden="false" customHeight="false" outlineLevel="0" collapsed="false">
      <c r="A34" s="0" t="s">
        <v>133</v>
      </c>
      <c r="B34" s="0" t="n">
        <f aca="false">MAX(0,MIN(B32,B33))</f>
        <v>198030.854355195</v>
      </c>
    </row>
    <row r="35" customFormat="false" ht="15" hidden="false" customHeight="false" outlineLevel="0" collapsed="false">
      <c r="A35" s="0" t="s">
        <v>134</v>
      </c>
      <c r="B35" s="0" t="n">
        <f aca="false">B34/(1+B27/100)^L4</f>
        <v>121573.766098654</v>
      </c>
    </row>
    <row r="36" customFormat="false" ht="15" hidden="false" customHeight="false" outlineLevel="0" collapsed="false">
      <c r="A36" s="0" t="s">
        <v>135</v>
      </c>
      <c r="B36" s="0" t="n">
        <f aca="false">B30+B35</f>
        <v>178571.054484148</v>
      </c>
    </row>
    <row r="37" customFormat="false" ht="15" hidden="false" customHeight="false" outlineLevel="0" collapsed="false">
      <c r="A37" s="0" t="s">
        <v>136</v>
      </c>
      <c r="B37" s="0" t="n">
        <f aca="false">B36+Assumptions!$B$5-Assumptions!$B$4</f>
        <v>36894.8724841481</v>
      </c>
    </row>
    <row r="38" customFormat="false" ht="15" hidden="false" customHeight="false" outlineLevel="0" collapsed="false">
      <c r="A38" s="0" t="s">
        <v>137</v>
      </c>
      <c r="B38" s="0" t="n">
        <f aca="false">B37/Assumptions!$B$3*Assumptions!$B$10</f>
        <v>3.72451009862217</v>
      </c>
    </row>
    <row r="39" customFormat="false" ht="15" hidden="false" customHeight="false" outlineLevel="0" collapsed="false">
      <c r="A39" s="0" t="s">
        <v>138</v>
      </c>
      <c r="B39" s="4" t="n">
        <f aca="false">B38/Assumptions!$B$2-1</f>
        <v>-0.145754564536199</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3.72451009862217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81192.65028563</v>
      </c>
    </row>
    <row r="47" customFormat="false" ht="15" hidden="false" customHeight="false" outlineLevel="0" collapsed="false">
      <c r="A47" s="0" t="s">
        <v>143</v>
      </c>
      <c r="B47" s="0" t="n">
        <f aca="false">(SUMPRODUCT(C19:L19/(1+B45/100)^C4:L4)+B46/(1+B45/100)^L4+Assumptions!$B$5-Assumptions!$B$4)/Assumptions!$B$3*Assumptions!$B$10</f>
        <v>-8.80988637613226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-11.7802364372354</v>
      </c>
      <c r="C4" s="0" t="n">
        <f aca="false">B4/Assumptions!$B$2-1</f>
        <v>-3.70188909110904</v>
      </c>
      <c r="D4" s="4" t="n">
        <f aca="false">Assumptions!$B$24</f>
        <v>0.3</v>
      </c>
      <c r="E4" s="4" t="n">
        <f aca="false">DCF_Bear!$B$43</f>
        <v>-11.7802364372354</v>
      </c>
      <c r="F4" s="4" t="n">
        <f aca="false">DCF_Bear!$B$47</f>
        <v>-13.6008484046492</v>
      </c>
    </row>
    <row r="5" customFormat="false" ht="15" hidden="false" customHeight="false" outlineLevel="0" collapsed="false">
      <c r="A5" s="0" t="s">
        <v>152</v>
      </c>
      <c r="B5" s="4" t="n">
        <f aca="false">DCF_Base!$B$38</f>
        <v>-3.55924630086362</v>
      </c>
      <c r="C5" s="0" t="n">
        <f aca="false">B5/Assumptions!$B$2-1</f>
        <v>-1.81634089469349</v>
      </c>
      <c r="D5" s="4" t="n">
        <f aca="false">Assumptions!$B$38</f>
        <v>0.5</v>
      </c>
      <c r="E5" s="4" t="n">
        <f aca="false">DCF_Base!$B$43</f>
        <v>-3.55924630086362</v>
      </c>
      <c r="F5" s="4" t="n">
        <f aca="false">DCF_Base!$B$47</f>
        <v>-11.3048857645266</v>
      </c>
    </row>
    <row r="6" customFormat="false" ht="15" hidden="false" customHeight="false" outlineLevel="0" collapsed="false">
      <c r="A6" s="0" t="s">
        <v>153</v>
      </c>
      <c r="B6" s="4" t="n">
        <f aca="false">DCF_Bull!$B$38</f>
        <v>3.72451009862217</v>
      </c>
      <c r="C6" s="0" t="n">
        <f aca="false">B6/Assumptions!$B$2-1</f>
        <v>-0.145754564536199</v>
      </c>
      <c r="D6" s="4" t="n">
        <f aca="false">Assumptions!$B$52</f>
        <v>0.2</v>
      </c>
      <c r="E6" s="4" t="n">
        <f aca="false">DCF_Bull!$B$43</f>
        <v>3.72451009862217</v>
      </c>
      <c r="F6" s="4" t="n">
        <f aca="false">DCF_Bull!$B$47</f>
        <v>-8.80988637613226</v>
      </c>
    </row>
    <row r="8" customFormat="false" ht="15" hidden="false" customHeight="false" outlineLevel="0" collapsed="false">
      <c r="A8" s="0" t="s">
        <v>154</v>
      </c>
      <c r="B8" s="0" t="n">
        <f aca="false">SUMPRODUCT(B4:B6,D4:D6)</f>
        <v>-4.568792061878</v>
      </c>
    </row>
    <row r="9" customFormat="false" ht="15" hidden="false" customHeight="false" outlineLevel="0" collapsed="false">
      <c r="A9" s="0" t="s">
        <v>155</v>
      </c>
      <c r="B9" s="0" t="n">
        <f aca="false">SUMPRODUCT(E4:E6,D4:D6)</f>
        <v>-4.568792061878</v>
      </c>
    </row>
    <row r="10" customFormat="false" ht="15" hidden="false" customHeight="false" outlineLevel="0" collapsed="false">
      <c r="A10" s="0" t="s">
        <v>156</v>
      </c>
      <c r="B10" s="0" t="n">
        <f aca="false">1-Assumptions!$B$2/B8</f>
        <v>1.95430037982683</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-11.4946746788845</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-3.55924630086362</v>
      </c>
      <c r="C15" s="3" t="n">
        <v>5</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-8.25838572506982</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-9.07814725773179</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-9.72012215902357</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-10.23541741976</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-11.3048857645266</v>
      </c>
      <c r="C20" s="3" t="n">
        <v>15</v>
      </c>
    </row>
    <row r="22" customFormat="false" ht="15" hidden="false" customHeight="false" outlineLevel="0" collapsed="false">
      <c r="A22" s="2" t="s">
        <v>167</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3</v>
      </c>
      <c r="B24" s="0" t="n">
        <f aca="false">(SUMPRODUCT(DCF_Base!$C$19:$L$19/(1+$A$24/100)^DCF_Base!$C$4:$L$4)+MAX(0,MIN(IF($A$24&gt;$B$23,DCF_Base!$L$19*(1+$B$23/100)/(($A$24-$B$23)/100),DCF_Base!$L$19*DCF_Base!$B$29),DCF_Base!$L$19*DCF_Base!$B$29))/(1+$A$24/100)^DCF_Base!$L$4+Assumptions!$B$5-Assumptions!$B$4)/Assumptions!$B$3*Assumptions!$B$10</f>
        <v>-1.54683321660872</v>
      </c>
      <c r="C24" s="0" t="n">
        <f aca="false">(SUMPRODUCT(DCF_Base!$C$19:$L$19/(1+$A$24/100)^DCF_Base!$C$4:$L$4)+MAX(0,MIN(IF($A$24&gt;$C$23,DCF_Base!$L$19*(1+$C$23/100)/(($A$24-$C$23)/100),DCF_Base!$L$19*DCF_Base!$B$29),DCF_Base!$L$19*DCF_Base!$B$29))/(1+$A$24/100)^DCF_Base!$L$4+Assumptions!$B$5-Assumptions!$B$4)/Assumptions!$B$3*Assumptions!$B$10</f>
        <v>-1.54683321660872</v>
      </c>
      <c r="D24" s="0" t="n">
        <f aca="false">(SUMPRODUCT(DCF_Base!$C$19:$L$19/(1+$A$24/100)^DCF_Base!$C$4:$L$4)+MAX(0,MIN(IF($A$24&gt;$D$23,DCF_Base!$L$19*(1+$D$23/100)/(($A$24-$D$23)/100),DCF_Base!$L$19*DCF_Base!$B$29),DCF_Base!$L$19*DCF_Base!$B$29))/(1+$A$24/100)^DCF_Base!$L$4+Assumptions!$B$5-Assumptions!$B$4)/Assumptions!$B$3*Assumptions!$B$10</f>
        <v>-1.54683321660872</v>
      </c>
      <c r="E24" s="0" t="n">
        <f aca="false">(SUMPRODUCT(DCF_Base!$C$19:$L$19/(1+$A$24/100)^DCF_Base!$C$4:$L$4)+MAX(0,MIN(IF($A$24&gt;$E$23,DCF_Base!$L$19*(1+$E$23/100)/(($A$24-$E$23)/100),DCF_Base!$L$19*DCF_Base!$B$29),DCF_Base!$L$19*DCF_Base!$B$29))/(1+$A$24/100)^DCF_Base!$L$4+Assumptions!$B$5-Assumptions!$B$4)/Assumptions!$B$3*Assumptions!$B$10</f>
        <v>-1.54683321660872</v>
      </c>
      <c r="F24" s="0" t="n">
        <f aca="false">(SUMPRODUCT(DCF_Base!$C$19:$L$19/(1+$A$24/100)^DCF_Base!$C$4:$L$4)+MAX(0,MIN(IF($A$24&gt;$F$23,DCF_Base!$L$19*(1+$F$23/100)/(($A$24-$F$23)/100),DCF_Base!$L$19*DCF_Base!$B$29),DCF_Base!$L$19*DCF_Base!$B$29))/(1+$A$24/100)^DCF_Base!$L$4+Assumptions!$B$5-Assumptions!$B$4)/Assumptions!$B$3*Assumptions!$B$10</f>
        <v>-1.54683321660872</v>
      </c>
    </row>
    <row r="25" customFormat="false" ht="15" hidden="false" customHeight="false" outlineLevel="0" collapsed="false">
      <c r="A25" s="3" t="n">
        <v>4</v>
      </c>
      <c r="B25" s="0" t="n">
        <f aca="false">(SUMPRODUCT(DCF_Base!$C$19:$L$19/(1+$A$25/100)^DCF_Base!$C$4:$L$4)+MAX(0,MIN(IF($A$25&gt;$B$23,DCF_Base!$L$19*(1+$B$23/100)/(($A$25-$B$23)/100),DCF_Base!$L$19*DCF_Base!$B$29),DCF_Base!$L$19*DCF_Base!$B$29))/(1+$A$25/100)^DCF_Base!$L$4+Assumptions!$B$5-Assumptions!$B$4)/Assumptions!$B$3*Assumptions!$B$10</f>
        <v>-2.60374602602208</v>
      </c>
      <c r="C25" s="0" t="n">
        <f aca="false">(SUMPRODUCT(DCF_Base!$C$19:$L$19/(1+$A$25/100)^DCF_Base!$C$4:$L$4)+MAX(0,MIN(IF($A$25&gt;$C$23,DCF_Base!$L$19*(1+$C$23/100)/(($A$25-$C$23)/100),DCF_Base!$L$19*DCF_Base!$B$29),DCF_Base!$L$19*DCF_Base!$B$29))/(1+$A$25/100)^DCF_Base!$L$4+Assumptions!$B$5-Assumptions!$B$4)/Assumptions!$B$3*Assumptions!$B$10</f>
        <v>-2.60374602602208</v>
      </c>
      <c r="D25" s="0" t="n">
        <f aca="false">(SUMPRODUCT(DCF_Base!$C$19:$L$19/(1+$A$25/100)^DCF_Base!$C$4:$L$4)+MAX(0,MIN(IF($A$25&gt;$D$23,DCF_Base!$L$19*(1+$D$23/100)/(($A$25-$D$23)/100),DCF_Base!$L$19*DCF_Base!$B$29),DCF_Base!$L$19*DCF_Base!$B$29))/(1+$A$25/100)^DCF_Base!$L$4+Assumptions!$B$5-Assumptions!$B$4)/Assumptions!$B$3*Assumptions!$B$10</f>
        <v>-2.60374602602208</v>
      </c>
      <c r="E25" s="0" t="n">
        <f aca="false">(SUMPRODUCT(DCF_Base!$C$19:$L$19/(1+$A$25/100)^DCF_Base!$C$4:$L$4)+MAX(0,MIN(IF($A$25&gt;$E$23,DCF_Base!$L$19*(1+$E$23/100)/(($A$25-$E$23)/100),DCF_Base!$L$19*DCF_Base!$B$29),DCF_Base!$L$19*DCF_Base!$B$29))/(1+$A$25/100)^DCF_Base!$L$4+Assumptions!$B$5-Assumptions!$B$4)/Assumptions!$B$3*Assumptions!$B$10</f>
        <v>-2.60374602602208</v>
      </c>
      <c r="F25" s="0" t="n">
        <f aca="false">(SUMPRODUCT(DCF_Base!$C$19:$L$19/(1+$A$25/100)^DCF_Base!$C$4:$L$4)+MAX(0,MIN(IF($A$25&gt;$F$23,DCF_Base!$L$19*(1+$F$23/100)/(($A$25-$F$23)/100),DCF_Base!$L$19*DCF_Base!$B$29),DCF_Base!$L$19*DCF_Base!$B$29))/(1+$A$25/100)^DCF_Base!$L$4+Assumptions!$B$5-Assumptions!$B$4)/Assumptions!$B$3*Assumptions!$B$10</f>
        <v>-2.60374602602208</v>
      </c>
    </row>
    <row r="26" customFormat="false" ht="15" hidden="false" customHeight="false" outlineLevel="0" collapsed="false">
      <c r="A26" s="3" t="n">
        <v>5</v>
      </c>
      <c r="B26" s="0" t="n">
        <f aca="false">(SUMPRODUCT(DCF_Base!$C$19:$L$19/(1+$A$26/100)^DCF_Base!$C$4:$L$4)+MAX(0,MIN(IF($A$26&gt;$B$23,DCF_Base!$L$19*(1+$B$23/100)/(($A$26-$B$23)/100),DCF_Base!$L$19*DCF_Base!$B$29),DCF_Base!$L$19*DCF_Base!$B$29))/(1+$A$26/100)^DCF_Base!$L$4+Assumptions!$B$5-Assumptions!$B$4)/Assumptions!$B$3*Assumptions!$B$10</f>
        <v>-3.55924630086362</v>
      </c>
      <c r="C26" s="0" t="n">
        <f aca="false">(SUMPRODUCT(DCF_Base!$C$19:$L$19/(1+$A$26/100)^DCF_Base!$C$4:$L$4)+MAX(0,MIN(IF($A$26&gt;$C$23,DCF_Base!$L$19*(1+$C$23/100)/(($A$26-$C$23)/100),DCF_Base!$L$19*DCF_Base!$B$29),DCF_Base!$L$19*DCF_Base!$B$29))/(1+$A$26/100)^DCF_Base!$L$4+Assumptions!$B$5-Assumptions!$B$4)/Assumptions!$B$3*Assumptions!$B$10</f>
        <v>-3.55924630086362</v>
      </c>
      <c r="D26" s="0" t="n">
        <f aca="false">(SUMPRODUCT(DCF_Base!$C$19:$L$19/(1+$A$26/100)^DCF_Base!$C$4:$L$4)+MAX(0,MIN(IF($A$26&gt;$D$23,DCF_Base!$L$19*(1+$D$23/100)/(($A$26-$D$23)/100),DCF_Base!$L$19*DCF_Base!$B$29),DCF_Base!$L$19*DCF_Base!$B$29))/(1+$A$26/100)^DCF_Base!$L$4+Assumptions!$B$5-Assumptions!$B$4)/Assumptions!$B$3*Assumptions!$B$10</f>
        <v>-3.55924630086362</v>
      </c>
      <c r="E26" s="0" t="n">
        <f aca="false">(SUMPRODUCT(DCF_Base!$C$19:$L$19/(1+$A$26/100)^DCF_Base!$C$4:$L$4)+MAX(0,MIN(IF($A$26&gt;$E$23,DCF_Base!$L$19*(1+$E$23/100)/(($A$26-$E$23)/100),DCF_Base!$L$19*DCF_Base!$B$29),DCF_Base!$L$19*DCF_Base!$B$29))/(1+$A$26/100)^DCF_Base!$L$4+Assumptions!$B$5-Assumptions!$B$4)/Assumptions!$B$3*Assumptions!$B$10</f>
        <v>-3.55924630086362</v>
      </c>
      <c r="F26" s="0" t="n">
        <f aca="false">(SUMPRODUCT(DCF_Base!$C$19:$L$19/(1+$A$26/100)^DCF_Base!$C$4:$L$4)+MAX(0,MIN(IF($A$26&gt;$F$23,DCF_Base!$L$19*(1+$F$23/100)/(($A$26-$F$23)/100),DCF_Base!$L$19*DCF_Base!$B$29),DCF_Base!$L$19*DCF_Base!$B$29))/(1+$A$26/100)^DCF_Base!$L$4+Assumptions!$B$5-Assumptions!$B$4)/Assumptions!$B$3*Assumptions!$B$10</f>
        <v>-3.55924630086362</v>
      </c>
    </row>
    <row r="27" customFormat="false" ht="15" hidden="false" customHeight="false" outlineLevel="0" collapsed="false">
      <c r="A27" s="3" t="n">
        <v>6</v>
      </c>
      <c r="B27" s="0" t="n">
        <f aca="false">(SUMPRODUCT(DCF_Base!$C$19:$L$19/(1+$A$27/100)^DCF_Base!$C$4:$L$4)+MAX(0,MIN(IF($A$27&gt;$B$23,DCF_Base!$L$19*(1+$B$23/100)/(($A$27-$B$23)/100),DCF_Base!$L$19*DCF_Base!$B$29),DCF_Base!$L$19*DCF_Base!$B$29))/(1+$A$27/100)^DCF_Base!$L$4+Assumptions!$B$5-Assumptions!$B$4)/Assumptions!$B$3*Assumptions!$B$10</f>
        <v>-5.022301626805</v>
      </c>
      <c r="C27" s="0" t="n">
        <f aca="false">(SUMPRODUCT(DCF_Base!$C$19:$L$19/(1+$A$27/100)^DCF_Base!$C$4:$L$4)+MAX(0,MIN(IF($A$27&gt;$C$23,DCF_Base!$L$19*(1+$C$23/100)/(($A$27-$C$23)/100),DCF_Base!$L$19*DCF_Base!$B$29),DCF_Base!$L$19*DCF_Base!$B$29))/(1+$A$27/100)^DCF_Base!$L$4+Assumptions!$B$5-Assumptions!$B$4)/Assumptions!$B$3*Assumptions!$B$10</f>
        <v>-4.42405948800294</v>
      </c>
      <c r="D27" s="0" t="n">
        <f aca="false">(SUMPRODUCT(DCF_Base!$C$19:$L$19/(1+$A$27/100)^DCF_Base!$C$4:$L$4)+MAX(0,MIN(IF($A$27&gt;$D$23,DCF_Base!$L$19*(1+$D$23/100)/(($A$27-$D$23)/100),DCF_Base!$L$19*DCF_Base!$B$29),DCF_Base!$L$19*DCF_Base!$B$29))/(1+$A$27/100)^DCF_Base!$L$4+Assumptions!$B$5-Assumptions!$B$4)/Assumptions!$B$3*Assumptions!$B$10</f>
        <v>-4.42405948800294</v>
      </c>
      <c r="E27" s="0" t="n">
        <f aca="false">(SUMPRODUCT(DCF_Base!$C$19:$L$19/(1+$A$27/100)^DCF_Base!$C$4:$L$4)+MAX(0,MIN(IF($A$27&gt;$E$23,DCF_Base!$L$19*(1+$E$23/100)/(($A$27-$E$23)/100),DCF_Base!$L$19*DCF_Base!$B$29),DCF_Base!$L$19*DCF_Base!$B$29))/(1+$A$27/100)^DCF_Base!$L$4+Assumptions!$B$5-Assumptions!$B$4)/Assumptions!$B$3*Assumptions!$B$10</f>
        <v>-4.42405948800294</v>
      </c>
      <c r="F27" s="0" t="n">
        <f aca="false">(SUMPRODUCT(DCF_Base!$C$19:$L$19/(1+$A$27/100)^DCF_Base!$C$4:$L$4)+MAX(0,MIN(IF($A$27&gt;$F$23,DCF_Base!$L$19*(1+$F$23/100)/(($A$27-$F$23)/100),DCF_Base!$L$19*DCF_Base!$B$29),DCF_Base!$L$19*DCF_Base!$B$29))/(1+$A$27/100)^DCF_Base!$L$4+Assumptions!$B$5-Assumptions!$B$4)/Assumptions!$B$3*Assumptions!$B$10</f>
        <v>-4.42405948800294</v>
      </c>
    </row>
    <row r="28" customFormat="false" ht="15" hidden="false" customHeight="false" outlineLevel="0" collapsed="false">
      <c r="A28" s="3" t="n">
        <v>7</v>
      </c>
      <c r="B28" s="0" t="n">
        <f aca="false">(SUMPRODUCT(DCF_Base!$C$19:$L$19/(1+$A$28/100)^DCF_Base!$C$4:$L$4)+MAX(0,MIN(IF($A$28&gt;$B$23,DCF_Base!$L$19*(1+$B$23/100)/(($A$28-$B$23)/100),DCF_Base!$L$19*DCF_Base!$B$29),DCF_Base!$L$19*DCF_Base!$B$29))/(1+$A$28/100)^DCF_Base!$L$4+Assumptions!$B$5-Assumptions!$B$4)/Assumptions!$B$3*Assumptions!$B$10</f>
        <v>-6.63870201834379</v>
      </c>
      <c r="C28" s="0" t="n">
        <f aca="false">(SUMPRODUCT(DCF_Base!$C$19:$L$19/(1+$A$28/100)^DCF_Base!$C$4:$L$4)+MAX(0,MIN(IF($A$28&gt;$C$23,DCF_Base!$L$19*(1+$C$23/100)/(($A$28-$C$23)/100),DCF_Base!$L$19*DCF_Base!$B$29),DCF_Base!$L$19*DCF_Base!$B$29))/(1+$A$28/100)^DCF_Base!$L$4+Assumptions!$B$5-Assumptions!$B$4)/Assumptions!$B$3*Assumptions!$B$10</f>
        <v>-6.20616215820949</v>
      </c>
      <c r="D28" s="0" t="n">
        <f aca="false">(SUMPRODUCT(DCF_Base!$C$19:$L$19/(1+$A$28/100)^DCF_Base!$C$4:$L$4)+MAX(0,MIN(IF($A$28&gt;$D$23,DCF_Base!$L$19*(1+$D$23/100)/(($A$28-$D$23)/100),DCF_Base!$L$19*DCF_Base!$B$29),DCF_Base!$L$19*DCF_Base!$B$29))/(1+$A$28/100)^DCF_Base!$L$4+Assumptions!$B$5-Assumptions!$B$4)/Assumptions!$B$3*Assumptions!$B$10</f>
        <v>-5.69497868714169</v>
      </c>
      <c r="E28" s="0" t="n">
        <f aca="false">(SUMPRODUCT(DCF_Base!$C$19:$L$19/(1+$A$28/100)^DCF_Base!$C$4:$L$4)+MAX(0,MIN(IF($A$28&gt;$E$23,DCF_Base!$L$19*(1+$E$23/100)/(($A$28-$E$23)/100),DCF_Base!$L$19*DCF_Base!$B$29),DCF_Base!$L$19*DCF_Base!$B$29))/(1+$A$28/100)^DCF_Base!$L$4+Assumptions!$B$5-Assumptions!$B$4)/Assumptions!$B$3*Assumptions!$B$10</f>
        <v>-5.20768229416116</v>
      </c>
      <c r="F28" s="0" t="n">
        <f aca="false">(SUMPRODUCT(DCF_Base!$C$19:$L$19/(1+$A$28/100)^DCF_Base!$C$4:$L$4)+MAX(0,MIN(IF($A$28&gt;$F$23,DCF_Base!$L$19*(1+$F$23/100)/(($A$28-$F$23)/100),DCF_Base!$L$19*DCF_Base!$B$29),DCF_Base!$L$19*DCF_Base!$B$29))/(1+$A$28/100)^DCF_Base!$L$4+Assumptions!$B$5-Assumptions!$B$4)/Assumptions!$B$3*Assumptions!$B$10</f>
        <v>-5.20768229416116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2026-10-11T15:56:11Z</dcterms:created>
  <dc:creator>openpyxl</dc:creator>
  <dc:description/>
  <dc:language>en-NZ</dc:language>
  <cp:lastModifiedBy/>
  <dcterms:modified xsi:type="dcterms:W3CDTF">2026-10-11T15:56:11Z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