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0" fillId="0" borderId="0" pivotButton="0" quotePrefix="0" xfId="0"/>
    <xf numFmtId="10" fontId="2" fillId="2" borderId="0" pivotButton="0" quotePrefix="0" xfId="0"/>
    <xf numFmtId="0" fontId="3" fillId="0" borderId="0" pivotButton="0" quotePrefix="0" xfId="0"/>
    <xf numFmtId="10" fontId="2" fillId="0" borderId="0" pivotButton="0" quotePrefix="0" xfId="0"/>
    <xf numFmtId="10" fontId="3" fillId="0" borderId="0" pivotButton="0" quotePrefix="0" xfId="0"/>
    <xf numFmtId="164" fontId="3" fillId="0" borderId="0" pivotButton="0" quotePrefix="0" xfId="0"/>
    <xf numFmtId="10" fontId="0" fillId="0" borderId="0" pivotButton="0" quotePrefix="0" xfId="0"/>
    <xf numFmtId="0" fontId="0" fillId="3" borderId="0" pivotButton="0" quotePrefix="0" xfId="0"/>
    <xf numFmtId="0" fontId="1" fillId="3" borderId="0" pivotButton="0" quotePrefix="0" xfId="0"/>
    <xf numFmtId="165" fontId="0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" t="inlineStr">
        <is>
          <t>VNT.NZ owner-FCF DCF model</t>
        </is>
      </c>
      <c r="B1" t="inlineStr"/>
    </row>
    <row r="2">
      <c r="A2" s="1" t="inlineStr">
        <is>
          <t>Version</t>
        </is>
      </c>
      <c r="B2" t="inlineStr">
        <is>
          <t>v1 (fresh build) 2026-09-19. Supersedes nothing: first DCF for this ticker.</t>
        </is>
      </c>
    </row>
    <row r="3">
      <c r="A3" s="1" t="inlineStr">
        <is>
          <t>Built by</t>
        </is>
      </c>
      <c r="B3" t="inlineStr">
        <is>
          <t>dcf-analyst agent (Claude Fable 5.1), 2026-09-19, at the request of the research-stock orchestrator (user: Stephen Williams).</t>
        </is>
      </c>
    </row>
    <row r="4">
      <c r="A4" s="1" t="inlineStr">
        <is>
          <t>Data vintage</t>
        </is>
      </c>
      <c r="B4" t="inlineStr">
        <is>
          <t>Price NZ$7.49 VNT.NZ, Yahoo regularMarketTime 2026-09-18T04:08:13Z (NZX regular close). ASX parity VNT.AX A$6.00 x AUDNZD 1.2435 (Yahoo, 2026-09-19) = NZ$7.46 (0.4% tie).</t>
        </is>
      </c>
    </row>
    <row r="5">
      <c r="A5" s="1" t="inlineStr"/>
      <c r="B5" t="inlineStr">
        <is>
          <t>Balance sheet: 30-Jun-2026 (H1 FY2026 Appendix 4D, 24-Aug-2026): gross borrowings A$1,050.0m, cash A$480.8m, lease liabilities A$179.1m (excluded, treatment B).</t>
        </is>
      </c>
    </row>
    <row r="6">
      <c r="A6" s="1" t="inlineStr"/>
      <c r="B6" t="inlineStr">
        <is>
          <t>Share count: 826.6m fully diluted at 30-Jun-2026 (817.8m issued - 10.8m treasury + 19.6m dilutive rights). Held flat.</t>
        </is>
      </c>
    </row>
    <row r="7">
      <c r="A7" s="1" t="inlineStr"/>
      <c r="B7" t="inlineStr">
        <is>
          <t>FY0 = FY2025 actuals (31-Dec-2025): revenue A$6,141.1m, underlying EBITDA A$532.1m (8.66%), statutory EBITDA A$557.0m incl. A$24.9m TSRC gain.</t>
        </is>
      </c>
    </row>
    <row r="8">
      <c r="A8" s="1" t="inlineStr"/>
      <c r="B8" t="inlineStr">
        <is>
          <t>Guidance: FY2026 underlying NPATA +7-10% on A$257.6m (reaffirmed 24-Aug-2026); OCF conversion &gt;90%; payout 60-80% NPATA; A$300m buyback 2025-26.</t>
        </is>
      </c>
    </row>
    <row r="9">
      <c r="A9" s="1" t="inlineStr">
        <is>
          <t>Methodology</t>
        </is>
      </c>
      <c r="B9" t="inlineStr">
        <is>
          <t>Owner-FCF DCF, component-built (EBITDA - SBC - lease cash - D&amp;A ex-ROU = EBIT; tax; + D&amp;A - capex + WC), 10-year explicit horizon, end-of-year discounting.</t>
        </is>
      </c>
    </row>
    <row r="10">
      <c r="A10" s="1" t="inlineStr"/>
      <c r="B10" t="inlineStr">
        <is>
          <t>Leases: treatment (B) -- lease principal + interest charged in the flows (1.2% of revenue); lease liabilities excluded from net debt; D&amp;A is ex-ROU.</t>
        </is>
      </c>
    </row>
    <row r="11">
      <c r="A11" s="1" t="inlineStr"/>
      <c r="B11" t="inlineStr">
        <is>
          <t>Terminal value = MAX(0, MIN(Gordon, 15x FCF_10)); 15x because low-margin contracted services. Cap binds in all three scenarios.</t>
        </is>
      </c>
    </row>
    <row r="12">
      <c r="A12" s="1" t="inlineStr"/>
      <c r="B12" t="inlineStr">
        <is>
          <t>Single AUD WACC 8.5% for all scenarios (CoE 8.9% = 4.4% rf + 5.0% ERP x 0.9 beta; Kd 3.9% after tax; E/D 90/10). ACCC litigation is in the bear flows and weights, not in WACC.</t>
        </is>
      </c>
    </row>
    <row r="13">
      <c r="A13" s="1" t="inlineStr"/>
      <c r="B13" t="inlineStr">
        <is>
          <t>All per-share values are computed in AUD and converted to NZD at the Assumptions FX rate. Unsuffixed JSON keys are NZD (quote currency).</t>
        </is>
      </c>
    </row>
    <row r="14">
      <c r="A14" s="1" t="inlineStr">
        <is>
          <t>Scenario drivers</t>
        </is>
      </c>
      <c r="B14" t="inlineStr">
        <is>
          <t>Judgment of the dcf-analyst agent, set 2026-09-19 from the FY2025 annual report, H1 FY2026 4D and VNT.NZ_Analysis.json. Rows 5, 7, 9, 17, 21 on each DCF tab are the only hardcoded drivers.</t>
        </is>
      </c>
    </row>
    <row r="15">
      <c r="A15" s="1" t="inlineStr">
        <is>
          <t>Refresh after next print</t>
        </is>
      </c>
      <c r="B15" t="inlineStr">
        <is>
          <t>FY2026 results (Feb-2027): revenue, underlying EBITDA margin, cash tax, capex, lease cash, net debt (31-Dec-2026), diluted count after the buyback, FY2027 guidance; AUDNZD rate; ACCC trial outcome (May-2027).</t>
        </is>
      </c>
    </row>
    <row r="16">
      <c r="A16" s="1" t="inlineStr">
        <is>
          <t>Staleness</t>
        </is>
      </c>
      <c r="B16" t="inlineStr">
        <is>
          <t>Every figure in this workbook goes stale: price daily, FX daily, balance sheet each half. Check Model_Info dates before relying on any output.</t>
        </is>
      </c>
    </row>
    <row r="17">
      <c r="A17" s="1" t="inlineStr">
        <is>
          <t>Cell legend</t>
        </is>
      </c>
      <c r="B17" t="inlineStr">
        <is>
          <t>Blue = hardcoded input; yellow fill = key lever; black = formula; green = cross-sheet link.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48" customWidth="1" min="1" max="1"/>
    <col width="50" customWidth="1" min="9" max="9"/>
  </cols>
  <sheetData>
    <row r="1">
      <c r="A1" s="1" t="inlineStr">
        <is>
          <t>Item (A$m)</t>
        </is>
      </c>
      <c r="B1" s="1" t="inlineStr">
        <is>
          <t>FY2020</t>
        </is>
      </c>
      <c r="C1" s="1" t="inlineStr">
        <is>
          <t>FY2021</t>
        </is>
      </c>
      <c r="D1" s="1" t="inlineStr">
        <is>
          <t>FY2022</t>
        </is>
      </c>
      <c r="E1" s="1" t="inlineStr">
        <is>
          <t>FY2023</t>
        </is>
      </c>
      <c r="F1" s="1" t="inlineStr">
        <is>
          <t>FY2024</t>
        </is>
      </c>
      <c r="G1" s="1" t="inlineStr">
        <is>
          <t>FY2025</t>
        </is>
      </c>
      <c r="H1" s="1" t="inlineStr">
        <is>
          <t>H1 FY2026</t>
        </is>
      </c>
      <c r="I1" s="1" t="inlineStr">
        <is>
          <t>Source</t>
        </is>
      </c>
    </row>
    <row r="2">
      <c r="A2" t="inlineStr">
        <is>
          <t>Revenue</t>
        </is>
      </c>
      <c r="B2" s="2" t="n">
        <v>3223.9</v>
      </c>
      <c r="C2" s="2" t="n">
        <v>4557.4</v>
      </c>
      <c r="D2" s="2" t="n">
        <v>5167.5</v>
      </c>
      <c r="E2" s="2" t="n">
        <v>5676.4</v>
      </c>
      <c r="F2" s="2" t="n">
        <v>6105.5</v>
      </c>
      <c r="G2" s="2" t="n">
        <v>6141.1</v>
      </c>
      <c r="H2" s="2" t="n">
        <v>2893.6</v>
      </c>
      <c r="I2" t="inlineStr">
        <is>
          <t>Metrics.csv / income statements</t>
        </is>
      </c>
    </row>
    <row r="3">
      <c r="A3" t="inlineStr">
        <is>
          <t>EBITDA statutory</t>
        </is>
      </c>
      <c r="B3" s="2" t="n">
        <v>265.8</v>
      </c>
      <c r="C3" s="2" t="n">
        <v>312.2</v>
      </c>
      <c r="D3" s="2" t="n">
        <v>414.3</v>
      </c>
      <c r="E3" s="2" t="n">
        <v>465.2</v>
      </c>
      <c r="F3" s="2" t="n">
        <v>499.3</v>
      </c>
      <c r="G3" s="2" t="n">
        <v>557</v>
      </c>
      <c r="H3" s="2" t="n">
        <v>273.3</v>
      </c>
      <c r="I3" t="inlineStr">
        <is>
          <t>Metrics.csv; FY2025 incl. A$24.9m TSRC gain</t>
        </is>
      </c>
    </row>
    <row r="4">
      <c r="A4" t="inlineStr">
        <is>
          <t>EBITDA underlying</t>
        </is>
      </c>
      <c r="F4" s="2" t="n">
        <v>499.3</v>
      </c>
      <c r="G4" s="2" t="n">
        <v>532.1</v>
      </c>
      <c r="H4" s="2" t="n">
        <v>273.3</v>
      </c>
      <c r="I4" t="inlineStr">
        <is>
          <t>Annual FY2025 s3.1; H1 FY2026 s2</t>
        </is>
      </c>
    </row>
    <row r="5">
      <c r="A5" t="inlineStr">
        <is>
          <t>Net income</t>
        </is>
      </c>
      <c r="B5" s="2" t="n">
        <v>28</v>
      </c>
      <c r="C5" s="2" t="n">
        <v>19.5</v>
      </c>
      <c r="D5" s="2" t="n">
        <v>191.2</v>
      </c>
      <c r="E5" s="2" t="n">
        <v>189.8</v>
      </c>
      <c r="F5" s="2" t="n">
        <v>220.2</v>
      </c>
      <c r="G5" s="2" t="n">
        <v>272.2</v>
      </c>
      <c r="H5" s="2" t="n">
        <v>127.6</v>
      </c>
      <c r="I5" t="inlineStr">
        <is>
          <t>Metrics.csv</t>
        </is>
      </c>
    </row>
    <row r="6">
      <c r="A6" t="inlineStr">
        <is>
          <t>Underlying NPATA</t>
        </is>
      </c>
      <c r="F6" s="2" t="n">
        <v>227.9</v>
      </c>
      <c r="G6" s="2" t="n">
        <v>257.6</v>
      </c>
      <c r="H6" s="2" t="n">
        <v>128.2</v>
      </c>
      <c r="I6" t="inlineStr">
        <is>
          <t>Annual FY2025 s3.2; H1 FY2026</t>
        </is>
      </c>
    </row>
    <row r="7">
      <c r="A7" t="inlineStr">
        <is>
          <t>Operating cash flow</t>
        </is>
      </c>
      <c r="B7" s="2" t="n">
        <v>82.5</v>
      </c>
      <c r="C7" s="2" t="n">
        <v>124.6</v>
      </c>
      <c r="D7" s="2" t="n">
        <v>289.9</v>
      </c>
      <c r="E7" s="2" t="n">
        <v>305.9</v>
      </c>
      <c r="F7" s="2" t="n">
        <v>356.2</v>
      </c>
      <c r="G7" s="2" t="n">
        <v>378.9</v>
      </c>
      <c r="H7" s="2" t="n">
        <v>178</v>
      </c>
      <c r="I7" t="inlineStr">
        <is>
          <t>Cash flow statements</t>
        </is>
      </c>
    </row>
    <row r="8">
      <c r="A8" t="inlineStr">
        <is>
          <t>Capex (PP&amp;E + intangibles)</t>
        </is>
      </c>
      <c r="B8" s="2" t="n">
        <v>29.2</v>
      </c>
      <c r="C8" s="2" t="n">
        <v>36.3</v>
      </c>
      <c r="D8" s="2" t="n">
        <v>38.4</v>
      </c>
      <c r="E8" s="2" t="n">
        <v>50.9</v>
      </c>
      <c r="F8" s="2" t="n">
        <v>69</v>
      </c>
      <c r="G8" s="2" t="n">
        <v>110.1</v>
      </c>
      <c r="H8" s="2" t="n">
        <v>61</v>
      </c>
      <c r="I8" t="inlineStr">
        <is>
          <t>Cash flow statements</t>
        </is>
      </c>
    </row>
    <row r="9">
      <c r="A9" t="inlineStr">
        <is>
          <t>Reported FCF (OCF - capex)</t>
        </is>
      </c>
      <c r="B9" s="2" t="n">
        <v>53.3</v>
      </c>
      <c r="C9" s="2" t="n">
        <v>88.3</v>
      </c>
      <c r="D9" s="2" t="n">
        <v>251.5</v>
      </c>
      <c r="E9" s="2" t="n">
        <v>255</v>
      </c>
      <c r="F9" s="2" t="n">
        <v>287.2</v>
      </c>
      <c r="G9" s="2" t="n">
        <v>268.8</v>
      </c>
      <c r="H9" s="2" t="n">
        <v>117</v>
      </c>
      <c r="I9" t="inlineStr">
        <is>
          <t>derived</t>
        </is>
      </c>
    </row>
    <row r="10">
      <c r="A10" t="inlineStr">
        <is>
          <t>Lease principal repaid</t>
        </is>
      </c>
      <c r="B10" s="2" t="n">
        <v>52.9</v>
      </c>
      <c r="C10" s="2" t="n">
        <v>63.8</v>
      </c>
      <c r="D10" s="2" t="n">
        <v>64.40000000000001</v>
      </c>
      <c r="E10" s="2" t="n">
        <v>62.2</v>
      </c>
      <c r="F10" s="2" t="n">
        <v>59</v>
      </c>
      <c r="G10" s="2" t="n">
        <v>61.6</v>
      </c>
      <c r="H10" s="2" t="n">
        <v>30.1</v>
      </c>
      <c r="I10" t="inlineStr">
        <is>
          <t>Financing cash flows</t>
        </is>
      </c>
    </row>
    <row r="11">
      <c r="A11" t="inlineStr">
        <is>
          <t>Lease interest paid</t>
        </is>
      </c>
      <c r="C11" s="2" t="n">
        <v>8.199999999999999</v>
      </c>
      <c r="D11" s="2" t="n">
        <v>7.1</v>
      </c>
      <c r="E11" s="2" t="n">
        <v>6.7</v>
      </c>
      <c r="F11" s="2" t="n">
        <v>7.1</v>
      </c>
      <c r="G11" s="2" t="n">
        <v>9.4</v>
      </c>
      <c r="H11" s="2" t="n">
        <v>5.7</v>
      </c>
      <c r="I11" t="inlineStr">
        <is>
          <t>Operating cash flows</t>
        </is>
      </c>
    </row>
    <row r="12">
      <c r="A12" t="inlineStr">
        <is>
          <t>SBC expense</t>
        </is>
      </c>
      <c r="B12" s="2" t="n">
        <v>0</v>
      </c>
      <c r="C12" s="2" t="n">
        <v>3.1</v>
      </c>
      <c r="D12" s="2" t="n">
        <v>7.6</v>
      </c>
      <c r="E12" s="2" t="n">
        <v>4.4</v>
      </c>
      <c r="F12" s="2" t="n">
        <v>5.2</v>
      </c>
      <c r="G12" s="2" t="n">
        <v>5.9</v>
      </c>
      <c r="I12" t="inlineStr">
        <is>
          <t>OCF reconciliation / equity statement</t>
        </is>
      </c>
    </row>
    <row r="13">
      <c r="A13" t="inlineStr">
        <is>
          <t>Owner FCF (levered) = FCF - lease principal - SBC</t>
        </is>
      </c>
      <c r="B13" s="2" t="n">
        <v>0.4</v>
      </c>
      <c r="C13" s="2" t="n">
        <v>21.4</v>
      </c>
      <c r="D13" s="2" t="n">
        <v>179.5</v>
      </c>
      <c r="E13" s="2" t="n">
        <v>188.4</v>
      </c>
      <c r="F13" s="2" t="n">
        <v>223</v>
      </c>
      <c r="G13" s="2" t="n">
        <v>201.3</v>
      </c>
      <c r="I13" t="inlineStr">
        <is>
          <t>derived</t>
        </is>
      </c>
    </row>
    <row r="14">
      <c r="A14" t="inlineStr">
        <is>
          <t>Depreciation (total, incl. ROU)</t>
        </is>
      </c>
      <c r="C14" s="2" t="n">
        <v>108.9</v>
      </c>
      <c r="D14" s="2" t="n">
        <v>104.1</v>
      </c>
      <c r="E14" s="2" t="n">
        <v>106.6</v>
      </c>
      <c r="F14" s="2" t="n">
        <v>105.6</v>
      </c>
      <c r="G14" s="2" t="n">
        <v>100.7</v>
      </c>
      <c r="H14" s="2" t="n">
        <v>55</v>
      </c>
      <c r="I14" t="inlineStr">
        <is>
          <t>Income statements</t>
        </is>
      </c>
    </row>
    <row r="15">
      <c r="A15" t="inlineStr">
        <is>
          <t>ROU depreciation</t>
        </is>
      </c>
      <c r="F15" s="2" t="n">
        <v>59</v>
      </c>
      <c r="G15" s="2" t="n">
        <v>61.6</v>
      </c>
      <c r="I15" t="inlineStr">
        <is>
          <t>Note 3.2.1</t>
        </is>
      </c>
    </row>
    <row r="16">
      <c r="A16" t="inlineStr">
        <is>
          <t>Amortisation</t>
        </is>
      </c>
      <c r="C16" s="2" t="n">
        <v>85.90000000000001</v>
      </c>
      <c r="D16" s="2" t="n">
        <v>55</v>
      </c>
      <c r="E16" s="2" t="n">
        <v>39.1</v>
      </c>
      <c r="F16" s="2" t="n">
        <v>33</v>
      </c>
      <c r="G16" s="2" t="n">
        <v>20.6</v>
      </c>
      <c r="H16" s="2" t="n">
        <v>7.3</v>
      </c>
      <c r="I16" t="inlineStr">
        <is>
          <t>Income statements</t>
        </is>
      </c>
    </row>
    <row r="17">
      <c r="A17" t="inlineStr">
        <is>
          <t>Income tax paid</t>
        </is>
      </c>
      <c r="C17" s="2" t="n">
        <v>35.3</v>
      </c>
      <c r="D17" s="2" t="n">
        <v>25.7</v>
      </c>
      <c r="E17" s="2" t="n">
        <v>58.2</v>
      </c>
      <c r="F17" s="2" t="n">
        <v>59</v>
      </c>
      <c r="G17" s="2" t="n">
        <v>73.8</v>
      </c>
      <c r="H17" s="2" t="n">
        <v>51</v>
      </c>
      <c r="I17" t="inlineStr">
        <is>
          <t>Operating cash flows</t>
        </is>
      </c>
    </row>
    <row r="18">
      <c r="A18" t="inlineStr">
        <is>
          <t>Interest received</t>
        </is>
      </c>
      <c r="C18" s="2" t="n">
        <v>1</v>
      </c>
      <c r="D18" s="2" t="n">
        <v>1.6</v>
      </c>
      <c r="E18" s="2" t="n">
        <v>6.2</v>
      </c>
      <c r="F18" s="2" t="n">
        <v>11.1</v>
      </c>
      <c r="G18" s="2" t="n">
        <v>10.5</v>
      </c>
      <c r="H18" s="2" t="n">
        <v>2.9</v>
      </c>
      <c r="I18" t="inlineStr">
        <is>
          <t>Operating cash flows</t>
        </is>
      </c>
    </row>
    <row r="19">
      <c r="A19" t="inlineStr">
        <is>
          <t>Interest and other finance costs paid</t>
        </is>
      </c>
      <c r="F19" s="2" t="n">
        <v>45</v>
      </c>
      <c r="G19" s="2" t="n">
        <v>48.8</v>
      </c>
      <c r="H19" s="2" t="n">
        <v>24.6</v>
      </c>
      <c r="I19" t="inlineStr">
        <is>
          <t>Operating cash flows</t>
        </is>
      </c>
    </row>
    <row r="20">
      <c r="A20" t="inlineStr">
        <is>
          <t>Share buyback</t>
        </is>
      </c>
      <c r="C20" s="2" t="n">
        <v>4.5</v>
      </c>
      <c r="D20" s="2" t="n">
        <v>0</v>
      </c>
      <c r="E20" s="2" t="n">
        <v>0</v>
      </c>
      <c r="F20" s="2" t="n">
        <v>0</v>
      </c>
      <c r="G20" s="2" t="n">
        <v>137.8</v>
      </c>
      <c r="H20" s="2" t="n">
        <v>48.3</v>
      </c>
      <c r="I20" t="inlineStr">
        <is>
          <t>Financing cash flows</t>
        </is>
      </c>
    </row>
    <row r="21">
      <c r="A21" t="inlineStr">
        <is>
          <t>Treasury shares purchased</t>
        </is>
      </c>
      <c r="F21" s="2" t="n">
        <v>0</v>
      </c>
      <c r="G21" s="2" t="n">
        <v>28</v>
      </c>
      <c r="H21" s="2" t="n">
        <v>0.6</v>
      </c>
      <c r="I21" t="inlineStr">
        <is>
          <t>Financing cash flows</t>
        </is>
      </c>
    </row>
    <row r="22">
      <c r="A22" t="inlineStr">
        <is>
          <t>Dividends paid</t>
        </is>
      </c>
      <c r="C22" s="2" t="n">
        <v>38.5</v>
      </c>
      <c r="D22" s="2" t="n">
        <v>75.5</v>
      </c>
      <c r="E22" s="2" t="n">
        <v>139.9</v>
      </c>
      <c r="F22" s="2" t="n">
        <v>158.6</v>
      </c>
      <c r="G22" s="2" t="n">
        <v>178.4</v>
      </c>
      <c r="H22" s="2" t="n">
        <v>102.7</v>
      </c>
      <c r="I22" t="inlineStr">
        <is>
          <t>Financing cash flows</t>
        </is>
      </c>
    </row>
    <row r="23">
      <c r="A23" t="inlineStr">
        <is>
          <t>Shareholders' equity</t>
        </is>
      </c>
      <c r="B23" s="2" t="n">
        <v>33.7</v>
      </c>
      <c r="C23" s="2" t="n">
        <v>390.5</v>
      </c>
      <c r="D23" s="2" t="n">
        <v>520.9</v>
      </c>
      <c r="E23" s="2" t="n">
        <v>570.2</v>
      </c>
      <c r="F23" s="2" t="n">
        <v>630.9</v>
      </c>
      <c r="G23" s="2" t="n">
        <v>561.1</v>
      </c>
      <c r="H23" s="2" t="n">
        <v>540.2</v>
      </c>
      <c r="I23" t="inlineStr">
        <is>
          <t>Balance sheets</t>
        </is>
      </c>
    </row>
    <row r="24">
      <c r="A24" t="inlineStr">
        <is>
          <t>Gross borrowings (ex capitalised costs)</t>
        </is>
      </c>
      <c r="F24" s="2" t="n">
        <v>750</v>
      </c>
      <c r="G24" s="2" t="n">
        <v>750</v>
      </c>
      <c r="H24" s="2" t="n">
        <v>1050</v>
      </c>
      <c r="I24" t="inlineStr">
        <is>
          <t>Note 4.4</t>
        </is>
      </c>
    </row>
    <row r="25">
      <c r="A25" t="inlineStr">
        <is>
          <t>Cash</t>
        </is>
      </c>
      <c r="B25" s="2" t="n">
        <v>444.3</v>
      </c>
      <c r="C25" s="2" t="n">
        <v>180.2</v>
      </c>
      <c r="D25" s="2" t="n">
        <v>280</v>
      </c>
      <c r="E25" s="2" t="n">
        <v>338.7</v>
      </c>
      <c r="F25" s="2" t="n">
        <v>392.8</v>
      </c>
      <c r="G25" s="2" t="n">
        <v>236.3</v>
      </c>
      <c r="H25" s="2" t="n">
        <v>480.8</v>
      </c>
      <c r="I25" t="inlineStr">
        <is>
          <t>Balance sheets</t>
        </is>
      </c>
    </row>
    <row r="26">
      <c r="A26" t="inlineStr">
        <is>
          <t>Lease liabilities</t>
        </is>
      </c>
      <c r="F26" s="2" t="n">
        <v>143.8</v>
      </c>
      <c r="G26" s="2" t="n">
        <v>190.2</v>
      </c>
      <c r="H26" s="2" t="n">
        <v>179.1</v>
      </c>
      <c r="I26" t="inlineStr">
        <is>
          <t>Note 3.2.2 / balance sheet</t>
        </is>
      </c>
    </row>
    <row r="27">
      <c r="A27" t="inlineStr">
        <is>
          <t>Company net debt incl. leases</t>
        </is>
      </c>
      <c r="F27" s="2" t="n">
        <v>501</v>
      </c>
      <c r="G27" s="2" t="n">
        <v>703.9</v>
      </c>
      <c r="H27" s="2" t="n">
        <v>748.3</v>
      </c>
      <c r="I27" t="inlineStr">
        <is>
          <t>OFR</t>
        </is>
      </c>
    </row>
    <row r="28">
      <c r="A28" t="inlineStr">
        <is>
          <t>Shares issued (m)</t>
        </is>
      </c>
      <c r="F28" s="2" t="n">
        <v>855.5</v>
      </c>
      <c r="G28" s="2" t="n">
        <v>826.4</v>
      </c>
      <c r="H28" s="2" t="n">
        <v>817.8</v>
      </c>
      <c r="I28" t="inlineStr">
        <is>
          <t>Note 4.3</t>
        </is>
      </c>
    </row>
    <row r="29">
      <c r="A29" t="inlineStr">
        <is>
          <t>Diluted WANOS (m)</t>
        </is>
      </c>
      <c r="F29" s="2" t="n">
        <v>864.3</v>
      </c>
      <c r="G29" s="2" t="n">
        <v>850.7</v>
      </c>
      <c r="H29" s="2" t="n">
        <v>826.9</v>
      </c>
      <c r="I29" t="inlineStr">
        <is>
          <t>Note 4.1</t>
        </is>
      </c>
    </row>
    <row r="30">
      <c r="A30" t="inlineStr">
        <is>
          <t>Work in hand (A$bn)</t>
        </is>
      </c>
      <c r="F30" s="2" t="n">
        <v>19.3</v>
      </c>
      <c r="G30" s="2" t="n">
        <v>22.1</v>
      </c>
      <c r="H30" s="2" t="n">
        <v>21.1</v>
      </c>
      <c r="I30" t="inlineStr">
        <is>
          <t>OFR</t>
        </is>
      </c>
    </row>
    <row r="32">
      <c r="A32" t="inlineStr">
        <is>
          <t>Guidance FY2026: underlying NPATA growth 7-10% (ex A$24.9m TSRC gain); 87% of FY2026 revenue secured at H1; OCF conversion &gt;90%; dividend payout 60-80% of NPATA; A$300m cumulative buyback 2025-26 (A$185.8m used to 30-Jun-2026).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3" max="3"/>
  </cols>
  <sheetData>
    <row r="1">
      <c r="A1" s="1" t="inlineStr">
        <is>
          <t>Global inputs</t>
        </is>
      </c>
    </row>
    <row r="2">
      <c r="A2" t="inlineStr">
        <is>
          <t>WACC (AUD, all scenarios)</t>
        </is>
      </c>
      <c r="B2" s="3" t="n">
        <v>0.08500000000000001</v>
      </c>
      <c r="C2" t="inlineStr">
        <is>
          <t>CoE 8.9% (rf 4.4% + 5.0% ERP x 0.9 beta), Kd 3.9% after tax, E/D 90/10 -&gt; 8.4%, rounded 8.5%</t>
        </is>
      </c>
    </row>
    <row r="3">
      <c r="A3" t="inlineStr">
        <is>
          <t>Lease cash % of revenue (principal + interest)</t>
        </is>
      </c>
      <c r="B3" s="2" t="n">
        <v>0.012</v>
      </c>
      <c r="C3" t="inlineStr">
        <is>
          <t>FY2025 1.16%, H1 FY2026 1.24%; treatment B</t>
        </is>
      </c>
    </row>
    <row r="4">
      <c r="A4" t="inlineStr">
        <is>
          <t>D&amp;A ex-ROU % of revenue</t>
        </is>
      </c>
      <c r="B4" s="2" t="n">
        <v>0.01</v>
      </c>
      <c r="C4" t="inlineStr">
        <is>
          <t>FY2025: depreciation 100.7 - ROU 61.6 + amortisation 20.6 = 59.7 = 0.97%</t>
        </is>
      </c>
    </row>
    <row r="5">
      <c r="A5" t="inlineStr">
        <is>
          <t>Working-capital capture on revenue CHANGE</t>
        </is>
      </c>
      <c r="B5" s="2" t="n">
        <v>0.03</v>
      </c>
      <c r="C5" t="inlineStr">
        <is>
          <t>Negative NWC business: growth releases ~3c per $ of new revenue; outflow when revenue falls</t>
        </is>
      </c>
    </row>
    <row r="6">
      <c r="A6" t="inlineStr">
        <is>
          <t>Net bank debt A$m (30-Jun-2026)</t>
        </is>
      </c>
      <c r="B6" s="2" t="n">
        <v>569.2</v>
      </c>
      <c r="C6" t="inlineStr">
        <is>
          <t>Gross borrowings 1,050.0 - cash 480.8; lease liabilities 179.1 excluded</t>
        </is>
      </c>
    </row>
    <row r="7">
      <c r="A7" t="inlineStr">
        <is>
          <t>Diluted shares (m), flat</t>
        </is>
      </c>
      <c r="B7" s="2" t="n">
        <v>826.6</v>
      </c>
      <c r="C7" t="inlineStr">
        <is>
          <t>817.8 issued - 10.8 treasury + 19.6 dilutive rights, 30-Jun-2026</t>
        </is>
      </c>
    </row>
    <row r="8">
      <c r="A8" t="inlineStr">
        <is>
          <t>Current price NZ$ (VNT.NZ)</t>
        </is>
      </c>
      <c r="B8" s="2" t="n">
        <v>7.49</v>
      </c>
      <c r="C8" t="inlineStr">
        <is>
          <t>Yahoo 2026-09-18T04:08:13Z NZX close</t>
        </is>
      </c>
    </row>
    <row r="9">
      <c r="A9" t="inlineStr">
        <is>
          <t>AUD -&gt; NZD rate</t>
        </is>
      </c>
      <c r="B9" s="2" t="n">
        <v>1.2435</v>
      </c>
      <c r="C9" t="inlineStr">
        <is>
          <t>Yahoo AUDNZD=X 2026-09-19; parity VNT.AX A$6.00 -&gt; NZ$7.46 vs NZ$7.49</t>
        </is>
      </c>
    </row>
    <row r="10">
      <c r="A10" t="inlineStr">
        <is>
          <t>Terminal value cap (x FCF_10)</t>
        </is>
      </c>
      <c r="B10" s="3" t="n">
        <v>15</v>
      </c>
      <c r="C10" t="inlineStr">
        <is>
          <t>Low-margin contracted services; Gordon at 8.5%/2.5% would be 17.1x</t>
        </is>
      </c>
    </row>
    <row r="11">
      <c r="A11" t="inlineStr">
        <is>
          <t>Hurdle IRR for entry price</t>
        </is>
      </c>
      <c r="B11" s="2" t="n">
        <v>0.15</v>
      </c>
      <c r="C11" t="inlineStr">
        <is>
          <t>House standard</t>
        </is>
      </c>
    </row>
    <row r="12">
      <c r="A12" t="inlineStr">
        <is>
          <t>FY2025 revenue A$m (FY0)</t>
        </is>
      </c>
      <c r="B12" s="2" t="n">
        <v>6141.1</v>
      </c>
      <c r="C12" t="inlineStr">
        <is>
          <t>Annual report FY2025</t>
        </is>
      </c>
    </row>
    <row r="15">
      <c r="A15" s="1" t="inlineStr">
        <is>
          <t>Per scenario</t>
        </is>
      </c>
      <c r="B15" s="1" t="inlineStr">
        <is>
          <t>Bear</t>
        </is>
      </c>
      <c r="C15" s="1" t="inlineStr">
        <is>
          <t>Base</t>
        </is>
      </c>
      <c r="D15" s="1" t="inlineStr">
        <is>
          <t>Bull</t>
        </is>
      </c>
    </row>
    <row r="16">
      <c r="A16" t="inlineStr">
        <is>
          <t>Terminal growth</t>
        </is>
      </c>
      <c r="B16" s="3" t="n">
        <v>0.02</v>
      </c>
      <c r="C16" s="3" t="n">
        <v>0.025</v>
      </c>
      <c r="D16" s="3" t="n">
        <v>0.03</v>
      </c>
    </row>
    <row r="17">
      <c r="A17" t="inlineStr">
        <is>
          <t>Probability weight</t>
        </is>
      </c>
      <c r="B17" s="2" t="n">
        <v>0.25</v>
      </c>
      <c r="C17" s="2" t="n">
        <v>0.5</v>
      </c>
      <c r="D17" s="2" t="n">
        <v>0.25</v>
      </c>
    </row>
    <row r="18">
      <c r="A18" t="inlineStr">
        <is>
          <t>Weights check (must be 1.0)</t>
        </is>
      </c>
      <c r="B18">
        <f>SUM(B17:D17)</f>
        <v/>
      </c>
    </row>
    <row r="20">
      <c r="A20" s="1" t="inlineStr">
        <is>
          <t>Scenario narratives</t>
        </is>
      </c>
    </row>
    <row r="21">
      <c r="A21" t="inlineStr">
        <is>
          <t>Bear</t>
        </is>
      </c>
      <c r="B21" t="inlineStr">
        <is>
          <t>The Defence transition drags into FY2027 (revenue -4% then flat), the ACCC cartel case produces an adverse finding in mid-2027 with a penalty, legal and remediation cost of ~A$70m (FY2027 margin 7.3%) and a lasting hit to Defence tender competitiveness, insourcing and re-tender losses cap growth at 2-2.5%, and the margin settles back at the FY2025 level of 8.5% as labour inflation on fixed-price/unit-rate contracts erodes the mix gains. Capex stays at 1.5-1.8% of revenue to keep winning work. Terminal growth 2.0%. No solvency path: ND/EBITDA ~1.4x incl. leases, covenant 3.25x.</t>
        </is>
      </c>
    </row>
    <row r="22">
      <c r="A22" t="inlineStr">
        <is>
          <t>Base</t>
        </is>
      </c>
      <c r="B22" t="inlineStr">
        <is>
          <t>Ventia converts its A$21bn work-in-hand and 87% FY26 revenue cover into a flat-to-slightly-down FY2026 (Defence Base Services transition) and then 4-5% growth as the A$2.7bn BST and A$935m Clothing Defence contracts, nbn Field Module/FTTN, Yarra Valley Water and the Victorian road contracts ramp -- broadly the 4.7% market CAGR. Underlying EBITDA margin lifts from 8.7% to 9.5% in FY2026 (guidance-consistent: NPATA ~A$279m, +8%) and plateaus at 9.8% as the mix keeps tilting to Energy/Water/Resources. Capex normalises from 1.8% to 1.3% of revenue after the rig and SAP programmes. The ACCC case settles or is decided without changing Defence eligibility. Terminal growth 2.5%, cap 15x owner FCF (binds).</t>
        </is>
      </c>
    </row>
    <row r="23">
      <c r="A23" t="inlineStr">
        <is>
          <t>Bull</t>
        </is>
      </c>
      <c r="B23" t="inlineStr">
        <is>
          <t>New Defence contracts mobilise on time and Defence spending heads toward 2.3% of GDP, telecommunications wins (nbn, Optus) and the energy-transition/water pipeline push growth to 5-6.5% in FY2027-29, and the mix shift plus AI/digital productivity tools (VenSpark, VenSights) take the underlying margin to 10.6% by FY2031. Capex falls back to 1.2% of revenue and the buyback keeps the count flat at no cost to the model. ACCC outcome immaterial. Terminal growth 3.0%.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DCF_Bear -- A$m unless stated; drivers in blue on rows 5, 7, 9, 17, 21</t>
        </is>
      </c>
    </row>
    <row r="3">
      <c r="A3" t="inlineStr">
        <is>
          <t>Year</t>
        </is>
      </c>
      <c r="B3" t="inlineStr">
        <is>
          <t>2025A</t>
        </is>
      </c>
      <c r="C3" t="inlineStr">
        <is>
          <t>2026E</t>
        </is>
      </c>
      <c r="D3" t="inlineStr">
        <is>
          <t>2027E</t>
        </is>
      </c>
      <c r="E3" t="inlineStr">
        <is>
          <t>2028E</t>
        </is>
      </c>
      <c r="F3" t="inlineStr">
        <is>
          <t>2029E</t>
        </is>
      </c>
      <c r="G3" t="inlineStr">
        <is>
          <t>2030E</t>
        </is>
      </c>
      <c r="H3" t="inlineStr">
        <is>
          <t>2031E</t>
        </is>
      </c>
      <c r="I3" t="inlineStr">
        <is>
          <t>2032E</t>
        </is>
      </c>
      <c r="J3" t="inlineStr">
        <is>
          <t>2033E</t>
        </is>
      </c>
      <c r="K3" t="inlineStr">
        <is>
          <t>2034E</t>
        </is>
      </c>
      <c r="L3" t="inlineStr">
        <is>
          <t>2035E</t>
        </is>
      </c>
    </row>
    <row r="4">
      <c r="A4" t="inlineStr">
        <is>
          <t>Index</t>
        </is>
      </c>
      <c r="B4" s="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5" t="n">
        <v>-0.04</v>
      </c>
      <c r="D5" s="5" t="n">
        <v>0</v>
      </c>
      <c r="E5" s="5" t="n">
        <v>0.015</v>
      </c>
      <c r="F5" s="5" t="n">
        <v>0.02</v>
      </c>
      <c r="G5" s="5" t="n">
        <v>0.025</v>
      </c>
      <c r="H5" s="5" t="n">
        <v>0.025</v>
      </c>
      <c r="I5" s="5" t="n">
        <v>0.025</v>
      </c>
      <c r="J5" s="5" t="n">
        <v>0.025</v>
      </c>
      <c r="K5" s="5" t="n">
        <v>0.02</v>
      </c>
      <c r="L5" s="5" t="n">
        <v>0.02</v>
      </c>
    </row>
    <row r="6">
      <c r="A6" t="inlineStr">
        <is>
          <t>Revenue</t>
        </is>
      </c>
      <c r="B6" s="6">
        <f>Assumptions!$B$12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(underlying) EBITDA margin</t>
        </is>
      </c>
      <c r="C7" s="5" t="n">
        <v>0.092</v>
      </c>
      <c r="D7" s="5" t="n">
        <v>0.073</v>
      </c>
      <c r="E7" s="5" t="n">
        <v>0.08400000000000001</v>
      </c>
      <c r="F7" s="5" t="n">
        <v>0.08500000000000001</v>
      </c>
      <c r="G7" s="5" t="n">
        <v>0.08500000000000001</v>
      </c>
      <c r="H7" s="5" t="n">
        <v>0.08500000000000001</v>
      </c>
      <c r="I7" s="5" t="n">
        <v>0.08500000000000001</v>
      </c>
      <c r="J7" s="5" t="n">
        <v>0.08500000000000001</v>
      </c>
      <c r="K7" s="5" t="n">
        <v>0.08500000000000001</v>
      </c>
      <c r="L7" s="5" t="n">
        <v>0.08500000000000001</v>
      </c>
    </row>
    <row r="8">
      <c r="A8" t="inlineStr">
        <is>
          <t>Adjusted 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C9" s="7" t="n">
        <v>0.0015</v>
      </c>
      <c r="D9" s="7" t="n">
        <v>0.0015</v>
      </c>
      <c r="E9" s="7" t="n">
        <v>0.0015</v>
      </c>
      <c r="F9" s="7" t="n">
        <v>0.0015</v>
      </c>
      <c r="G9" s="7" t="n">
        <v>0.0015</v>
      </c>
      <c r="H9" s="7" t="n">
        <v>0.0015</v>
      </c>
      <c r="I9" s="7" t="n">
        <v>0.0015</v>
      </c>
      <c r="J9" s="7" t="n">
        <v>0.0015</v>
      </c>
      <c r="K9" s="7" t="n">
        <v>0.0015</v>
      </c>
      <c r="L9" s="7" t="n">
        <v>0.0015</v>
      </c>
    </row>
    <row r="10">
      <c r="A10" t="inlineStr">
        <is>
          <t>SBC (negative)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Lease cash % of revenue</t>
        </is>
      </c>
      <c r="C11" s="8">
        <f>Assumptions!$B$3</f>
        <v/>
      </c>
      <c r="D11" s="8">
        <f>Assumptions!$B$3</f>
        <v/>
      </c>
      <c r="E11" s="8">
        <f>Assumptions!$B$3</f>
        <v/>
      </c>
      <c r="F11" s="8">
        <f>Assumptions!$B$3</f>
        <v/>
      </c>
      <c r="G11" s="8">
        <f>Assumptions!$B$3</f>
        <v/>
      </c>
      <c r="H11" s="8">
        <f>Assumptions!$B$3</f>
        <v/>
      </c>
      <c r="I11" s="8">
        <f>Assumptions!$B$3</f>
        <v/>
      </c>
      <c r="J11" s="8">
        <f>Assumptions!$B$3</f>
        <v/>
      </c>
      <c r="K11" s="8">
        <f>Assumptions!$B$3</f>
        <v/>
      </c>
      <c r="L11" s="8">
        <f>Assumptions!$B$3</f>
        <v/>
      </c>
    </row>
    <row r="12">
      <c r="A12" t="inlineStr">
        <is>
          <t>Lease cash (negative)</t>
        </is>
      </c>
      <c r="C12">
        <f>-C6*C11</f>
        <v/>
      </c>
      <c r="D12">
        <f>-D6*D11</f>
        <v/>
      </c>
      <c r="E12">
        <f>-E6*E11</f>
        <v/>
      </c>
      <c r="F12">
        <f>-F6*F11</f>
        <v/>
      </c>
      <c r="G12">
        <f>-G6*G11</f>
        <v/>
      </c>
      <c r="H12">
        <f>-H6*H11</f>
        <v/>
      </c>
      <c r="I12">
        <f>-I6*I11</f>
        <v/>
      </c>
      <c r="J12">
        <f>-J6*J11</f>
        <v/>
      </c>
      <c r="K12">
        <f>-K6*K11</f>
        <v/>
      </c>
      <c r="L12">
        <f>-L6*L11</f>
        <v/>
      </c>
    </row>
    <row r="13">
      <c r="A13" t="inlineStr">
        <is>
          <t>Owner EBITDA (post SBC, post lease)</t>
        </is>
      </c>
      <c r="C13">
        <f>C8+C10+C12</f>
        <v/>
      </c>
      <c r="D13">
        <f>D8+D10+D12</f>
        <v/>
      </c>
      <c r="E13">
        <f>E8+E10+E12</f>
        <v/>
      </c>
      <c r="F13">
        <f>F8+F10+F12</f>
        <v/>
      </c>
      <c r="G13">
        <f>G8+G10+G12</f>
        <v/>
      </c>
      <c r="H13">
        <f>H8+H10+H12</f>
        <v/>
      </c>
      <c r="I13">
        <f>I8+I10+I12</f>
        <v/>
      </c>
      <c r="J13">
        <f>J8+J10+J12</f>
        <v/>
      </c>
      <c r="K13">
        <f>K8+K10+K12</f>
        <v/>
      </c>
      <c r="L13">
        <f>L8+L10+L12</f>
        <v/>
      </c>
    </row>
    <row r="14">
      <c r="A14" t="inlineStr">
        <is>
          <t>D&amp;A ex-ROU % of revenue</t>
        </is>
      </c>
      <c r="C14" s="8">
        <f>Assumptions!$B$4</f>
        <v/>
      </c>
      <c r="D14" s="8">
        <f>Assumptions!$B$4</f>
        <v/>
      </c>
      <c r="E14" s="8">
        <f>Assumptions!$B$4</f>
        <v/>
      </c>
      <c r="F14" s="8">
        <f>Assumptions!$B$4</f>
        <v/>
      </c>
      <c r="G14" s="8">
        <f>Assumptions!$B$4</f>
        <v/>
      </c>
      <c r="H14" s="8">
        <f>Assumptions!$B$4</f>
        <v/>
      </c>
      <c r="I14" s="8">
        <f>Assumptions!$B$4</f>
        <v/>
      </c>
      <c r="J14" s="8">
        <f>Assumptions!$B$4</f>
        <v/>
      </c>
      <c r="K14" s="8">
        <f>Assumptions!$B$4</f>
        <v/>
      </c>
      <c r="L14" s="8">
        <f>Assumptions!$B$4</f>
        <v/>
      </c>
    </row>
    <row r="15">
      <c r="A15" t="inlineStr">
        <is>
          <t>D&amp;A (negative)</t>
        </is>
      </c>
      <c r="C15">
        <f>-C6*C14</f>
        <v/>
      </c>
      <c r="D15">
        <f>-D6*D14</f>
        <v/>
      </c>
      <c r="E15">
        <f>-E6*E14</f>
        <v/>
      </c>
      <c r="F15">
        <f>-F6*F14</f>
        <v/>
      </c>
      <c r="G15">
        <f>-G6*G14</f>
        <v/>
      </c>
      <c r="H15">
        <f>-H6*H14</f>
        <v/>
      </c>
      <c r="I15">
        <f>-I6*I14</f>
        <v/>
      </c>
      <c r="J15">
        <f>-J6*J14</f>
        <v/>
      </c>
      <c r="K15">
        <f>-K6*K14</f>
        <v/>
      </c>
      <c r="L15">
        <f>-L6*L14</f>
        <v/>
      </c>
    </row>
    <row r="16">
      <c r="A16" t="inlineStr">
        <is>
          <t>EBIT</t>
        </is>
      </c>
      <c r="C16">
        <f>C13+C15</f>
        <v/>
      </c>
      <c r="D16">
        <f>D13+D15</f>
        <v/>
      </c>
      <c r="E16">
        <f>E13+E15</f>
        <v/>
      </c>
      <c r="F16">
        <f>F13+F15</f>
        <v/>
      </c>
      <c r="G16">
        <f>G13+G15</f>
        <v/>
      </c>
      <c r="H16">
        <f>H13+H15</f>
        <v/>
      </c>
      <c r="I16">
        <f>I13+I15</f>
        <v/>
      </c>
      <c r="J16">
        <f>J13+J15</f>
        <v/>
      </c>
      <c r="K16">
        <f>K13+K15</f>
        <v/>
      </c>
      <c r="L16">
        <f>L13+L15</f>
        <v/>
      </c>
    </row>
    <row r="17">
      <c r="A17" t="inlineStr">
        <is>
          <t>Cash tax rate</t>
        </is>
      </c>
      <c r="C17" s="7" t="n">
        <v>0.28</v>
      </c>
      <c r="D17" s="7" t="n">
        <v>0.29</v>
      </c>
      <c r="E17" s="7" t="n">
        <v>0.3</v>
      </c>
      <c r="F17" s="7" t="n">
        <v>0.3</v>
      </c>
      <c r="G17" s="7" t="n">
        <v>0.3</v>
      </c>
      <c r="H17" s="7" t="n">
        <v>0.3</v>
      </c>
      <c r="I17" s="7" t="n">
        <v>0.3</v>
      </c>
      <c r="J17" s="7" t="n">
        <v>0.3</v>
      </c>
      <c r="K17" s="7" t="n">
        <v>0.3</v>
      </c>
      <c r="L17" s="7" t="n">
        <v>0.3</v>
      </c>
    </row>
    <row r="18">
      <c r="A18" t="inlineStr">
        <is>
          <t>Cash tax (negative)</t>
        </is>
      </c>
      <c r="C18">
        <f>-MAX(0,C16)*C17</f>
        <v/>
      </c>
      <c r="D18">
        <f>-MAX(0,D16)*D17</f>
        <v/>
      </c>
      <c r="E18">
        <f>-MAX(0,E16)*E17</f>
        <v/>
      </c>
      <c r="F18">
        <f>-MAX(0,F16)*F17</f>
        <v/>
      </c>
      <c r="G18">
        <f>-MAX(0,G16)*G17</f>
        <v/>
      </c>
      <c r="H18">
        <f>-MAX(0,H16)*H17</f>
        <v/>
      </c>
      <c r="I18">
        <f>-MAX(0,I16)*I17</f>
        <v/>
      </c>
      <c r="J18">
        <f>-MAX(0,J16)*J17</f>
        <v/>
      </c>
      <c r="K18">
        <f>-MAX(0,K16)*K17</f>
        <v/>
      </c>
      <c r="L18">
        <f>-MAX(0,L16)*L17</f>
        <v/>
      </c>
    </row>
    <row r="19">
      <c r="A19" t="inlineStr">
        <is>
          <t>NOPAT</t>
        </is>
      </c>
      <c r="C19">
        <f>C16+C18</f>
        <v/>
      </c>
      <c r="D19">
        <f>D16+D18</f>
        <v/>
      </c>
      <c r="E19">
        <f>E16+E18</f>
        <v/>
      </c>
      <c r="F19">
        <f>F16+F18</f>
        <v/>
      </c>
      <c r="G19">
        <f>G16+G18</f>
        <v/>
      </c>
      <c r="H19">
        <f>H16+H18</f>
        <v/>
      </c>
      <c r="I19">
        <f>I16+I18</f>
        <v/>
      </c>
      <c r="J19">
        <f>J16+J18</f>
        <v/>
      </c>
      <c r="K19">
        <f>K16+K18</f>
        <v/>
      </c>
      <c r="L19">
        <f>L16+L18</f>
        <v/>
      </c>
    </row>
    <row r="20">
      <c r="A20" t="inlineStr">
        <is>
          <t>add back D&amp;A</t>
        </is>
      </c>
      <c r="C20">
        <f>-C15</f>
        <v/>
      </c>
      <c r="D20">
        <f>-D15</f>
        <v/>
      </c>
      <c r="E20">
        <f>-E15</f>
        <v/>
      </c>
      <c r="F20">
        <f>-F15</f>
        <v/>
      </c>
      <c r="G20">
        <f>-G15</f>
        <v/>
      </c>
      <c r="H20">
        <f>-H15</f>
        <v/>
      </c>
      <c r="I20">
        <f>-I15</f>
        <v/>
      </c>
      <c r="J20">
        <f>-J15</f>
        <v/>
      </c>
      <c r="K20">
        <f>-K15</f>
        <v/>
      </c>
      <c r="L20">
        <f>-L15</f>
        <v/>
      </c>
    </row>
    <row r="21">
      <c r="A21" t="inlineStr">
        <is>
          <t>Capex % of revenue</t>
        </is>
      </c>
      <c r="C21" s="7" t="n">
        <v>0.018</v>
      </c>
      <c r="D21" s="7" t="n">
        <v>0.017</v>
      </c>
      <c r="E21" s="7" t="n">
        <v>0.016</v>
      </c>
      <c r="F21" s="7" t="n">
        <v>0.015</v>
      </c>
      <c r="G21" s="7" t="n">
        <v>0.015</v>
      </c>
      <c r="H21" s="7" t="n">
        <v>0.015</v>
      </c>
      <c r="I21" s="7" t="n">
        <v>0.015</v>
      </c>
      <c r="J21" s="7" t="n">
        <v>0.015</v>
      </c>
      <c r="K21" s="7" t="n">
        <v>0.015</v>
      </c>
      <c r="L21" s="7" t="n">
        <v>0.015</v>
      </c>
    </row>
    <row r="22">
      <c r="A22" t="inlineStr">
        <is>
          <t>Capex (negative)</t>
        </is>
      </c>
      <c r="C22">
        <f>-C6*C21</f>
        <v/>
      </c>
      <c r="D22">
        <f>-D6*D21</f>
        <v/>
      </c>
      <c r="E22">
        <f>-E6*E21</f>
        <v/>
      </c>
      <c r="F22">
        <f>-F6*F21</f>
        <v/>
      </c>
      <c r="G22">
        <f>-G6*G21</f>
        <v/>
      </c>
      <c r="H22">
        <f>-H6*H21</f>
        <v/>
      </c>
      <c r="I22">
        <f>-I6*I21</f>
        <v/>
      </c>
      <c r="J22">
        <f>-J6*J21</f>
        <v/>
      </c>
      <c r="K22">
        <f>-K6*K21</f>
        <v/>
      </c>
      <c r="L22">
        <f>-L6*L21</f>
        <v/>
      </c>
    </row>
    <row r="23">
      <c r="A23" t="inlineStr">
        <is>
          <t>Working capital (capture x rev change)</t>
        </is>
      </c>
      <c r="C23" s="6">
        <f>Assumptions!$B$5*(C6-B6)</f>
        <v/>
      </c>
      <c r="D23" s="6">
        <f>Assumptions!$B$5*(D6-C6)</f>
        <v/>
      </c>
      <c r="E23" s="6">
        <f>Assumptions!$B$5*(E6-D6)</f>
        <v/>
      </c>
      <c r="F23" s="6">
        <f>Assumptions!$B$5*(F6-E6)</f>
        <v/>
      </c>
      <c r="G23" s="6">
        <f>Assumptions!$B$5*(G6-F6)</f>
        <v/>
      </c>
      <c r="H23" s="6">
        <f>Assumptions!$B$5*(H6-G6)</f>
        <v/>
      </c>
      <c r="I23" s="6">
        <f>Assumptions!$B$5*(I6-H6)</f>
        <v/>
      </c>
      <c r="J23" s="6">
        <f>Assumptions!$B$5*(J6-I6)</f>
        <v/>
      </c>
      <c r="K23" s="6">
        <f>Assumptions!$B$5*(K6-J6)</f>
        <v/>
      </c>
      <c r="L23" s="6">
        <f>Assumptions!$B$5*(L6-K6)</f>
        <v/>
      </c>
    </row>
    <row r="24">
      <c r="A24" s="1" t="inlineStr">
        <is>
          <t>Unlevered owner FCF</t>
        </is>
      </c>
      <c r="C24" s="1">
        <f>C19+C20+C22+C23</f>
        <v/>
      </c>
      <c r="D24" s="1">
        <f>D19+D20+D22+D23</f>
        <v/>
      </c>
      <c r="E24" s="1">
        <f>E19+E20+E22+E23</f>
        <v/>
      </c>
      <c r="F24" s="1">
        <f>F19+F20+F22+F23</f>
        <v/>
      </c>
      <c r="G24" s="1">
        <f>G19+G20+G22+G23</f>
        <v/>
      </c>
      <c r="H24" s="1">
        <f>H19+H20+H22+H23</f>
        <v/>
      </c>
      <c r="I24" s="1">
        <f>I19+I20+I22+I23</f>
        <v/>
      </c>
      <c r="J24" s="1">
        <f>J19+J20+J22+J23</f>
        <v/>
      </c>
      <c r="K24" s="1">
        <f>K19+K20+K22+K23</f>
        <v/>
      </c>
      <c r="L24" s="1">
        <f>L19+L20+L22+L23</f>
        <v/>
      </c>
    </row>
    <row r="25">
      <c r="A25" t="inlineStr">
        <is>
          <t>Discount factor</t>
        </is>
      </c>
      <c r="C25" s="9">
        <f>1/(1+Assumptions!$B$2)^C4</f>
        <v/>
      </c>
      <c r="D25" s="9">
        <f>1/(1+Assumptions!$B$2)^D4</f>
        <v/>
      </c>
      <c r="E25" s="9">
        <f>1/(1+Assumptions!$B$2)^E4</f>
        <v/>
      </c>
      <c r="F25" s="9">
        <f>1/(1+Assumptions!$B$2)^F4</f>
        <v/>
      </c>
      <c r="G25" s="9">
        <f>1/(1+Assumptions!$B$2)^G4</f>
        <v/>
      </c>
      <c r="H25" s="9">
        <f>1/(1+Assumptions!$B$2)^H4</f>
        <v/>
      </c>
      <c r="I25" s="9">
        <f>1/(1+Assumptions!$B$2)^I4</f>
        <v/>
      </c>
      <c r="J25" s="9">
        <f>1/(1+Assumptions!$B$2)^J4</f>
        <v/>
      </c>
      <c r="K25" s="9">
        <f>1/(1+Assumptions!$B$2)^K4</f>
        <v/>
      </c>
      <c r="L25" s="9">
        <f>1/(1+Assumptions!$B$2)^L4</f>
        <v/>
      </c>
    </row>
    <row r="26">
      <c r="A26" t="inlineStr">
        <is>
          <t>PV of FCF</t>
        </is>
      </c>
      <c r="C26">
        <f>C24*C25</f>
        <v/>
      </c>
      <c r="D26">
        <f>D24*D25</f>
        <v/>
      </c>
      <c r="E26">
        <f>E24*E25</f>
        <v/>
      </c>
      <c r="F26">
        <f>F24*F25</f>
        <v/>
      </c>
      <c r="G26">
        <f>G24*G25</f>
        <v/>
      </c>
      <c r="H26">
        <f>H24*H25</f>
        <v/>
      </c>
      <c r="I26">
        <f>I24*I25</f>
        <v/>
      </c>
      <c r="J26">
        <f>J24*J25</f>
        <v/>
      </c>
      <c r="K26">
        <f>K24*K25</f>
        <v/>
      </c>
      <c r="L26">
        <f>L24*L25</f>
        <v/>
      </c>
    </row>
    <row r="28">
      <c r="A28" t="inlineStr">
        <is>
          <t>Memo: FCF before SBC (company-style)</t>
        </is>
      </c>
      <c r="C28">
        <f>C24-C10</f>
        <v/>
      </c>
      <c r="D28">
        <f>D24-D10</f>
        <v/>
      </c>
      <c r="E28">
        <f>E24-E10</f>
        <v/>
      </c>
      <c r="F28">
        <f>F24-F10</f>
        <v/>
      </c>
      <c r="G28">
        <f>G24-G10</f>
        <v/>
      </c>
      <c r="H28">
        <f>H24-H10</f>
        <v/>
      </c>
      <c r="I28">
        <f>I24-I10</f>
        <v/>
      </c>
      <c r="J28">
        <f>J24-J10</f>
        <v/>
      </c>
      <c r="K28">
        <f>K24-K10</f>
        <v/>
      </c>
      <c r="L28">
        <f>L24-L10</f>
        <v/>
      </c>
    </row>
    <row r="29">
      <c r="A29" t="inlineStr">
        <is>
          <t>Memo: owner FCF margin</t>
        </is>
      </c>
      <c r="C29" s="10">
        <f>C24/C6</f>
        <v/>
      </c>
      <c r="D29" s="10">
        <f>D24/D6</f>
        <v/>
      </c>
      <c r="E29" s="10">
        <f>E24/E6</f>
        <v/>
      </c>
      <c r="F29" s="10">
        <f>F24/F6</f>
        <v/>
      </c>
      <c r="G29" s="10">
        <f>G24/G6</f>
        <v/>
      </c>
      <c r="H29" s="10">
        <f>H24/H6</f>
        <v/>
      </c>
      <c r="I29" s="10">
        <f>I24/I6</f>
        <v/>
      </c>
      <c r="J29" s="10">
        <f>J24/J6</f>
        <v/>
      </c>
      <c r="K29" s="10">
        <f>K24/K6</f>
        <v/>
      </c>
      <c r="L29" s="10">
        <f>L24/L6</f>
        <v/>
      </c>
    </row>
    <row r="31">
      <c r="A31" t="inlineStr">
        <is>
          <t>Sum of PV of FCF (Y1-Y10)</t>
        </is>
      </c>
      <c r="B31">
        <f>SUM(C26:L26)</f>
        <v/>
      </c>
    </row>
    <row r="32">
      <c r="A32" t="inlineStr">
        <is>
          <t>Terminal growth</t>
        </is>
      </c>
      <c r="B32" s="8">
        <f>Assumptions!$B$16</f>
        <v/>
      </c>
    </row>
    <row r="33">
      <c r="A33" t="inlineStr">
        <is>
          <t>Terminal-year FCF x (1+g)</t>
        </is>
      </c>
      <c r="B33">
        <f>L24*(1+B32)</f>
        <v/>
      </c>
    </row>
    <row r="34">
      <c r="A34" t="inlineStr">
        <is>
          <t>Gordon TV</t>
        </is>
      </c>
      <c r="B34">
        <f>B33/(Assumptions!$B$2-B32)</f>
        <v/>
      </c>
    </row>
    <row r="35">
      <c r="A35" t="inlineStr">
        <is>
          <t>Cap TV (cap x FCF_10)</t>
        </is>
      </c>
      <c r="B35">
        <f>Assumptions!$B$10*L24</f>
        <v/>
      </c>
    </row>
    <row r="36">
      <c r="A36" t="inlineStr">
        <is>
          <t>TV used = MAX(0, MIN(Gordon, cap))</t>
        </is>
      </c>
      <c r="B36">
        <f>MAX(0,MIN(B34,B35))</f>
        <v/>
      </c>
    </row>
    <row r="37">
      <c r="A37" t="inlineStr">
        <is>
          <t>Implied exit multiple (TV / FCF_10)</t>
        </is>
      </c>
      <c r="B37">
        <f>B36/L24</f>
        <v/>
      </c>
    </row>
    <row r="38">
      <c r="A38" t="inlineStr">
        <is>
          <t>PV of TV</t>
        </is>
      </c>
      <c r="B38">
        <f>B36*L25</f>
        <v/>
      </c>
    </row>
    <row r="39">
      <c r="A39" t="inlineStr">
        <is>
          <t>Enterprise value</t>
        </is>
      </c>
      <c r="B39">
        <f>B31+B38</f>
        <v/>
      </c>
    </row>
    <row r="40">
      <c r="A40" t="inlineStr">
        <is>
          <t>less net bank debt</t>
        </is>
      </c>
      <c r="B40" s="6">
        <f>-Assumptions!$B$6</f>
        <v/>
      </c>
    </row>
    <row r="41">
      <c r="A41" t="inlineStr">
        <is>
          <t>Equity value</t>
        </is>
      </c>
      <c r="B41">
        <f>B39+B40</f>
        <v/>
      </c>
    </row>
    <row r="42">
      <c r="A42" t="inlineStr">
        <is>
          <t>Diluted shares (m)</t>
        </is>
      </c>
      <c r="B42" s="6">
        <f>Assumptions!$B$7</f>
        <v/>
      </c>
    </row>
    <row r="43">
      <c r="A43" t="inlineStr">
        <is>
          <t>Value per share A$</t>
        </is>
      </c>
      <c r="B43" s="11">
        <f>B41/B42</f>
        <v/>
      </c>
    </row>
    <row r="44">
      <c r="A44" t="inlineStr">
        <is>
          <t>Value per share NZ$</t>
        </is>
      </c>
      <c r="B44" s="12">
        <f>B43*Assumptions!$B$9</f>
        <v/>
      </c>
    </row>
    <row r="45">
      <c r="A45" t="inlineStr">
        <is>
          <t>Upside vs current NZ$ price</t>
        </is>
      </c>
      <c r="B45" s="13">
        <f>B44/Assumptions!$B$8-1</f>
        <v/>
      </c>
    </row>
    <row r="47">
      <c r="A47" t="inlineStr">
        <is>
          <t>Street memo: PV of explicit SBC</t>
        </is>
      </c>
      <c r="B47">
        <f>SUMPRODUCT(-C10:L10,C25:L25)</f>
        <v/>
      </c>
    </row>
    <row r="48">
      <c r="A48" t="inlineStr">
        <is>
          <t>Street memo: PV of terminal SBC (Gordon)</t>
        </is>
      </c>
      <c r="B48">
        <f>(-L10*(1+B32)/(Assumptions!$B$2-B32))*L25</f>
        <v/>
      </c>
    </row>
    <row r="49">
      <c r="A49" t="inlineStr">
        <is>
          <t>Street value per share A$</t>
        </is>
      </c>
      <c r="B49">
        <f>(B41+B47+B48)/B42</f>
        <v/>
      </c>
    </row>
    <row r="50">
      <c r="A50" t="inlineStr">
        <is>
          <t>Street value per share NZ$</t>
        </is>
      </c>
      <c r="B50">
        <f>B49*Assumptions!$B$9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DCF_Base -- A$m unless stated; drivers in blue on rows 5, 7, 9, 17, 21</t>
        </is>
      </c>
    </row>
    <row r="3">
      <c r="A3" t="inlineStr">
        <is>
          <t>Year</t>
        </is>
      </c>
      <c r="B3" t="inlineStr">
        <is>
          <t>2025A</t>
        </is>
      </c>
      <c r="C3" t="inlineStr">
        <is>
          <t>2026E</t>
        </is>
      </c>
      <c r="D3" t="inlineStr">
        <is>
          <t>2027E</t>
        </is>
      </c>
      <c r="E3" t="inlineStr">
        <is>
          <t>2028E</t>
        </is>
      </c>
      <c r="F3" t="inlineStr">
        <is>
          <t>2029E</t>
        </is>
      </c>
      <c r="G3" t="inlineStr">
        <is>
          <t>2030E</t>
        </is>
      </c>
      <c r="H3" t="inlineStr">
        <is>
          <t>2031E</t>
        </is>
      </c>
      <c r="I3" t="inlineStr">
        <is>
          <t>2032E</t>
        </is>
      </c>
      <c r="J3" t="inlineStr">
        <is>
          <t>2033E</t>
        </is>
      </c>
      <c r="K3" t="inlineStr">
        <is>
          <t>2034E</t>
        </is>
      </c>
      <c r="L3" t="inlineStr">
        <is>
          <t>2035E</t>
        </is>
      </c>
    </row>
    <row r="4">
      <c r="A4" t="inlineStr">
        <is>
          <t>Index</t>
        </is>
      </c>
      <c r="B4" s="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5" t="n">
        <v>-0.015</v>
      </c>
      <c r="D5" s="5" t="n">
        <v>0.05</v>
      </c>
      <c r="E5" s="5" t="n">
        <v>0.045</v>
      </c>
      <c r="F5" s="5" t="n">
        <v>0.04</v>
      </c>
      <c r="G5" s="5" t="n">
        <v>0.04</v>
      </c>
      <c r="H5" s="5" t="n">
        <v>0.035</v>
      </c>
      <c r="I5" s="5" t="n">
        <v>0.035</v>
      </c>
      <c r="J5" s="5" t="n">
        <v>0.03</v>
      </c>
      <c r="K5" s="5" t="n">
        <v>0.03</v>
      </c>
      <c r="L5" s="5" t="n">
        <v>0.0275</v>
      </c>
    </row>
    <row r="6">
      <c r="A6" t="inlineStr">
        <is>
          <t>Revenue</t>
        </is>
      </c>
      <c r="B6" s="6">
        <f>Assumptions!$B$12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(underlying) EBITDA margin</t>
        </is>
      </c>
      <c r="C7" s="5" t="n">
        <v>0.095</v>
      </c>
      <c r="D7" s="5" t="n">
        <v>0.096</v>
      </c>
      <c r="E7" s="5" t="n">
        <v>0.09699999999999999</v>
      </c>
      <c r="F7" s="5" t="n">
        <v>0.0975</v>
      </c>
      <c r="G7" s="5" t="n">
        <v>0.098</v>
      </c>
      <c r="H7" s="5" t="n">
        <v>0.098</v>
      </c>
      <c r="I7" s="5" t="n">
        <v>0.098</v>
      </c>
      <c r="J7" s="5" t="n">
        <v>0.098</v>
      </c>
      <c r="K7" s="5" t="n">
        <v>0.098</v>
      </c>
      <c r="L7" s="5" t="n">
        <v>0.098</v>
      </c>
    </row>
    <row r="8">
      <c r="A8" t="inlineStr">
        <is>
          <t>Adjusted 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C9" s="7" t="n">
        <v>0.0015</v>
      </c>
      <c r="D9" s="7" t="n">
        <v>0.0015</v>
      </c>
      <c r="E9" s="7" t="n">
        <v>0.0015</v>
      </c>
      <c r="F9" s="7" t="n">
        <v>0.0015</v>
      </c>
      <c r="G9" s="7" t="n">
        <v>0.0015</v>
      </c>
      <c r="H9" s="7" t="n">
        <v>0.0015</v>
      </c>
      <c r="I9" s="7" t="n">
        <v>0.0015</v>
      </c>
      <c r="J9" s="7" t="n">
        <v>0.0015</v>
      </c>
      <c r="K9" s="7" t="n">
        <v>0.0015</v>
      </c>
      <c r="L9" s="7" t="n">
        <v>0.0015</v>
      </c>
    </row>
    <row r="10">
      <c r="A10" t="inlineStr">
        <is>
          <t>SBC (negative)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Lease cash % of revenue</t>
        </is>
      </c>
      <c r="C11" s="8">
        <f>Assumptions!$B$3</f>
        <v/>
      </c>
      <c r="D11" s="8">
        <f>Assumptions!$B$3</f>
        <v/>
      </c>
      <c r="E11" s="8">
        <f>Assumptions!$B$3</f>
        <v/>
      </c>
      <c r="F11" s="8">
        <f>Assumptions!$B$3</f>
        <v/>
      </c>
      <c r="G11" s="8">
        <f>Assumptions!$B$3</f>
        <v/>
      </c>
      <c r="H11" s="8">
        <f>Assumptions!$B$3</f>
        <v/>
      </c>
      <c r="I11" s="8">
        <f>Assumptions!$B$3</f>
        <v/>
      </c>
      <c r="J11" s="8">
        <f>Assumptions!$B$3</f>
        <v/>
      </c>
      <c r="K11" s="8">
        <f>Assumptions!$B$3</f>
        <v/>
      </c>
      <c r="L11" s="8">
        <f>Assumptions!$B$3</f>
        <v/>
      </c>
    </row>
    <row r="12">
      <c r="A12" t="inlineStr">
        <is>
          <t>Lease cash (negative)</t>
        </is>
      </c>
      <c r="C12">
        <f>-C6*C11</f>
        <v/>
      </c>
      <c r="D12">
        <f>-D6*D11</f>
        <v/>
      </c>
      <c r="E12">
        <f>-E6*E11</f>
        <v/>
      </c>
      <c r="F12">
        <f>-F6*F11</f>
        <v/>
      </c>
      <c r="G12">
        <f>-G6*G11</f>
        <v/>
      </c>
      <c r="H12">
        <f>-H6*H11</f>
        <v/>
      </c>
      <c r="I12">
        <f>-I6*I11</f>
        <v/>
      </c>
      <c r="J12">
        <f>-J6*J11</f>
        <v/>
      </c>
      <c r="K12">
        <f>-K6*K11</f>
        <v/>
      </c>
      <c r="L12">
        <f>-L6*L11</f>
        <v/>
      </c>
    </row>
    <row r="13">
      <c r="A13" t="inlineStr">
        <is>
          <t>Owner EBITDA (post SBC, post lease)</t>
        </is>
      </c>
      <c r="C13">
        <f>C8+C10+C12</f>
        <v/>
      </c>
      <c r="D13">
        <f>D8+D10+D12</f>
        <v/>
      </c>
      <c r="E13">
        <f>E8+E10+E12</f>
        <v/>
      </c>
      <c r="F13">
        <f>F8+F10+F12</f>
        <v/>
      </c>
      <c r="G13">
        <f>G8+G10+G12</f>
        <v/>
      </c>
      <c r="H13">
        <f>H8+H10+H12</f>
        <v/>
      </c>
      <c r="I13">
        <f>I8+I10+I12</f>
        <v/>
      </c>
      <c r="J13">
        <f>J8+J10+J12</f>
        <v/>
      </c>
      <c r="K13">
        <f>K8+K10+K12</f>
        <v/>
      </c>
      <c r="L13">
        <f>L8+L10+L12</f>
        <v/>
      </c>
    </row>
    <row r="14">
      <c r="A14" t="inlineStr">
        <is>
          <t>D&amp;A ex-ROU % of revenue</t>
        </is>
      </c>
      <c r="C14" s="8">
        <f>Assumptions!$B$4</f>
        <v/>
      </c>
      <c r="D14" s="8">
        <f>Assumptions!$B$4</f>
        <v/>
      </c>
      <c r="E14" s="8">
        <f>Assumptions!$B$4</f>
        <v/>
      </c>
      <c r="F14" s="8">
        <f>Assumptions!$B$4</f>
        <v/>
      </c>
      <c r="G14" s="8">
        <f>Assumptions!$B$4</f>
        <v/>
      </c>
      <c r="H14" s="8">
        <f>Assumptions!$B$4</f>
        <v/>
      </c>
      <c r="I14" s="8">
        <f>Assumptions!$B$4</f>
        <v/>
      </c>
      <c r="J14" s="8">
        <f>Assumptions!$B$4</f>
        <v/>
      </c>
      <c r="K14" s="8">
        <f>Assumptions!$B$4</f>
        <v/>
      </c>
      <c r="L14" s="8">
        <f>Assumptions!$B$4</f>
        <v/>
      </c>
    </row>
    <row r="15">
      <c r="A15" t="inlineStr">
        <is>
          <t>D&amp;A (negative)</t>
        </is>
      </c>
      <c r="C15">
        <f>-C6*C14</f>
        <v/>
      </c>
      <c r="D15">
        <f>-D6*D14</f>
        <v/>
      </c>
      <c r="E15">
        <f>-E6*E14</f>
        <v/>
      </c>
      <c r="F15">
        <f>-F6*F14</f>
        <v/>
      </c>
      <c r="G15">
        <f>-G6*G14</f>
        <v/>
      </c>
      <c r="H15">
        <f>-H6*H14</f>
        <v/>
      </c>
      <c r="I15">
        <f>-I6*I14</f>
        <v/>
      </c>
      <c r="J15">
        <f>-J6*J14</f>
        <v/>
      </c>
      <c r="K15">
        <f>-K6*K14</f>
        <v/>
      </c>
      <c r="L15">
        <f>-L6*L14</f>
        <v/>
      </c>
    </row>
    <row r="16">
      <c r="A16" t="inlineStr">
        <is>
          <t>EBIT</t>
        </is>
      </c>
      <c r="C16">
        <f>C13+C15</f>
        <v/>
      </c>
      <c r="D16">
        <f>D13+D15</f>
        <v/>
      </c>
      <c r="E16">
        <f>E13+E15</f>
        <v/>
      </c>
      <c r="F16">
        <f>F13+F15</f>
        <v/>
      </c>
      <c r="G16">
        <f>G13+G15</f>
        <v/>
      </c>
      <c r="H16">
        <f>H13+H15</f>
        <v/>
      </c>
      <c r="I16">
        <f>I13+I15</f>
        <v/>
      </c>
      <c r="J16">
        <f>J13+J15</f>
        <v/>
      </c>
      <c r="K16">
        <f>K13+K15</f>
        <v/>
      </c>
      <c r="L16">
        <f>L13+L15</f>
        <v/>
      </c>
    </row>
    <row r="17">
      <c r="A17" t="inlineStr">
        <is>
          <t>Cash tax rate</t>
        </is>
      </c>
      <c r="C17" s="7" t="n">
        <v>0.28</v>
      </c>
      <c r="D17" s="7" t="n">
        <v>0.29</v>
      </c>
      <c r="E17" s="7" t="n">
        <v>0.3</v>
      </c>
      <c r="F17" s="7" t="n">
        <v>0.3</v>
      </c>
      <c r="G17" s="7" t="n">
        <v>0.3</v>
      </c>
      <c r="H17" s="7" t="n">
        <v>0.3</v>
      </c>
      <c r="I17" s="7" t="n">
        <v>0.3</v>
      </c>
      <c r="J17" s="7" t="n">
        <v>0.3</v>
      </c>
      <c r="K17" s="7" t="n">
        <v>0.3</v>
      </c>
      <c r="L17" s="7" t="n">
        <v>0.3</v>
      </c>
    </row>
    <row r="18">
      <c r="A18" t="inlineStr">
        <is>
          <t>Cash tax (negative)</t>
        </is>
      </c>
      <c r="C18">
        <f>-MAX(0,C16)*C17</f>
        <v/>
      </c>
      <c r="D18">
        <f>-MAX(0,D16)*D17</f>
        <v/>
      </c>
      <c r="E18">
        <f>-MAX(0,E16)*E17</f>
        <v/>
      </c>
      <c r="F18">
        <f>-MAX(0,F16)*F17</f>
        <v/>
      </c>
      <c r="G18">
        <f>-MAX(0,G16)*G17</f>
        <v/>
      </c>
      <c r="H18">
        <f>-MAX(0,H16)*H17</f>
        <v/>
      </c>
      <c r="I18">
        <f>-MAX(0,I16)*I17</f>
        <v/>
      </c>
      <c r="J18">
        <f>-MAX(0,J16)*J17</f>
        <v/>
      </c>
      <c r="K18">
        <f>-MAX(0,K16)*K17</f>
        <v/>
      </c>
      <c r="L18">
        <f>-MAX(0,L16)*L17</f>
        <v/>
      </c>
    </row>
    <row r="19">
      <c r="A19" t="inlineStr">
        <is>
          <t>NOPAT</t>
        </is>
      </c>
      <c r="C19">
        <f>C16+C18</f>
        <v/>
      </c>
      <c r="D19">
        <f>D16+D18</f>
        <v/>
      </c>
      <c r="E19">
        <f>E16+E18</f>
        <v/>
      </c>
      <c r="F19">
        <f>F16+F18</f>
        <v/>
      </c>
      <c r="G19">
        <f>G16+G18</f>
        <v/>
      </c>
      <c r="H19">
        <f>H16+H18</f>
        <v/>
      </c>
      <c r="I19">
        <f>I16+I18</f>
        <v/>
      </c>
      <c r="J19">
        <f>J16+J18</f>
        <v/>
      </c>
      <c r="K19">
        <f>K16+K18</f>
        <v/>
      </c>
      <c r="L19">
        <f>L16+L18</f>
        <v/>
      </c>
    </row>
    <row r="20">
      <c r="A20" t="inlineStr">
        <is>
          <t>add back D&amp;A</t>
        </is>
      </c>
      <c r="C20">
        <f>-C15</f>
        <v/>
      </c>
      <c r="D20">
        <f>-D15</f>
        <v/>
      </c>
      <c r="E20">
        <f>-E15</f>
        <v/>
      </c>
      <c r="F20">
        <f>-F15</f>
        <v/>
      </c>
      <c r="G20">
        <f>-G15</f>
        <v/>
      </c>
      <c r="H20">
        <f>-H15</f>
        <v/>
      </c>
      <c r="I20">
        <f>-I15</f>
        <v/>
      </c>
      <c r="J20">
        <f>-J15</f>
        <v/>
      </c>
      <c r="K20">
        <f>-K15</f>
        <v/>
      </c>
      <c r="L20">
        <f>-L15</f>
        <v/>
      </c>
    </row>
    <row r="21">
      <c r="A21" t="inlineStr">
        <is>
          <t>Capex % of revenue</t>
        </is>
      </c>
      <c r="C21" s="7" t="n">
        <v>0.017</v>
      </c>
      <c r="D21" s="7" t="n">
        <v>0.016</v>
      </c>
      <c r="E21" s="7" t="n">
        <v>0.015</v>
      </c>
      <c r="F21" s="7" t="n">
        <v>0.014</v>
      </c>
      <c r="G21" s="7" t="n">
        <v>0.013</v>
      </c>
      <c r="H21" s="7" t="n">
        <v>0.013</v>
      </c>
      <c r="I21" s="7" t="n">
        <v>0.013</v>
      </c>
      <c r="J21" s="7" t="n">
        <v>0.013</v>
      </c>
      <c r="K21" s="7" t="n">
        <v>0.013</v>
      </c>
      <c r="L21" s="7" t="n">
        <v>0.013</v>
      </c>
    </row>
    <row r="22">
      <c r="A22" t="inlineStr">
        <is>
          <t>Capex (negative)</t>
        </is>
      </c>
      <c r="C22">
        <f>-C6*C21</f>
        <v/>
      </c>
      <c r="D22">
        <f>-D6*D21</f>
        <v/>
      </c>
      <c r="E22">
        <f>-E6*E21</f>
        <v/>
      </c>
      <c r="F22">
        <f>-F6*F21</f>
        <v/>
      </c>
      <c r="G22">
        <f>-G6*G21</f>
        <v/>
      </c>
      <c r="H22">
        <f>-H6*H21</f>
        <v/>
      </c>
      <c r="I22">
        <f>-I6*I21</f>
        <v/>
      </c>
      <c r="J22">
        <f>-J6*J21</f>
        <v/>
      </c>
      <c r="K22">
        <f>-K6*K21</f>
        <v/>
      </c>
      <c r="L22">
        <f>-L6*L21</f>
        <v/>
      </c>
    </row>
    <row r="23">
      <c r="A23" t="inlineStr">
        <is>
          <t>Working capital (capture x rev change)</t>
        </is>
      </c>
      <c r="C23" s="6">
        <f>Assumptions!$B$5*(C6-B6)</f>
        <v/>
      </c>
      <c r="D23" s="6">
        <f>Assumptions!$B$5*(D6-C6)</f>
        <v/>
      </c>
      <c r="E23" s="6">
        <f>Assumptions!$B$5*(E6-D6)</f>
        <v/>
      </c>
      <c r="F23" s="6">
        <f>Assumptions!$B$5*(F6-E6)</f>
        <v/>
      </c>
      <c r="G23" s="6">
        <f>Assumptions!$B$5*(G6-F6)</f>
        <v/>
      </c>
      <c r="H23" s="6">
        <f>Assumptions!$B$5*(H6-G6)</f>
        <v/>
      </c>
      <c r="I23" s="6">
        <f>Assumptions!$B$5*(I6-H6)</f>
        <v/>
      </c>
      <c r="J23" s="6">
        <f>Assumptions!$B$5*(J6-I6)</f>
        <v/>
      </c>
      <c r="K23" s="6">
        <f>Assumptions!$B$5*(K6-J6)</f>
        <v/>
      </c>
      <c r="L23" s="6">
        <f>Assumptions!$B$5*(L6-K6)</f>
        <v/>
      </c>
    </row>
    <row r="24">
      <c r="A24" s="1" t="inlineStr">
        <is>
          <t>Unlevered owner FCF</t>
        </is>
      </c>
      <c r="C24" s="1">
        <f>C19+C20+C22+C23</f>
        <v/>
      </c>
      <c r="D24" s="1">
        <f>D19+D20+D22+D23</f>
        <v/>
      </c>
      <c r="E24" s="1">
        <f>E19+E20+E22+E23</f>
        <v/>
      </c>
      <c r="F24" s="1">
        <f>F19+F20+F22+F23</f>
        <v/>
      </c>
      <c r="G24" s="1">
        <f>G19+G20+G22+G23</f>
        <v/>
      </c>
      <c r="H24" s="1">
        <f>H19+H20+H22+H23</f>
        <v/>
      </c>
      <c r="I24" s="1">
        <f>I19+I20+I22+I23</f>
        <v/>
      </c>
      <c r="J24" s="1">
        <f>J19+J20+J22+J23</f>
        <v/>
      </c>
      <c r="K24" s="1">
        <f>K19+K20+K22+K23</f>
        <v/>
      </c>
      <c r="L24" s="1">
        <f>L19+L20+L22+L23</f>
        <v/>
      </c>
    </row>
    <row r="25">
      <c r="A25" t="inlineStr">
        <is>
          <t>Discount factor</t>
        </is>
      </c>
      <c r="C25" s="9">
        <f>1/(1+Assumptions!$B$2)^C4</f>
        <v/>
      </c>
      <c r="D25" s="9">
        <f>1/(1+Assumptions!$B$2)^D4</f>
        <v/>
      </c>
      <c r="E25" s="9">
        <f>1/(1+Assumptions!$B$2)^E4</f>
        <v/>
      </c>
      <c r="F25" s="9">
        <f>1/(1+Assumptions!$B$2)^F4</f>
        <v/>
      </c>
      <c r="G25" s="9">
        <f>1/(1+Assumptions!$B$2)^G4</f>
        <v/>
      </c>
      <c r="H25" s="9">
        <f>1/(1+Assumptions!$B$2)^H4</f>
        <v/>
      </c>
      <c r="I25" s="9">
        <f>1/(1+Assumptions!$B$2)^I4</f>
        <v/>
      </c>
      <c r="J25" s="9">
        <f>1/(1+Assumptions!$B$2)^J4</f>
        <v/>
      </c>
      <c r="K25" s="9">
        <f>1/(1+Assumptions!$B$2)^K4</f>
        <v/>
      </c>
      <c r="L25" s="9">
        <f>1/(1+Assumptions!$B$2)^L4</f>
        <v/>
      </c>
    </row>
    <row r="26">
      <c r="A26" t="inlineStr">
        <is>
          <t>PV of FCF</t>
        </is>
      </c>
      <c r="C26">
        <f>C24*C25</f>
        <v/>
      </c>
      <c r="D26">
        <f>D24*D25</f>
        <v/>
      </c>
      <c r="E26">
        <f>E24*E25</f>
        <v/>
      </c>
      <c r="F26">
        <f>F24*F25</f>
        <v/>
      </c>
      <c r="G26">
        <f>G24*G25</f>
        <v/>
      </c>
      <c r="H26">
        <f>H24*H25</f>
        <v/>
      </c>
      <c r="I26">
        <f>I24*I25</f>
        <v/>
      </c>
      <c r="J26">
        <f>J24*J25</f>
        <v/>
      </c>
      <c r="K26">
        <f>K24*K25</f>
        <v/>
      </c>
      <c r="L26">
        <f>L24*L25</f>
        <v/>
      </c>
    </row>
    <row r="28">
      <c r="A28" t="inlineStr">
        <is>
          <t>Memo: FCF before SBC (company-style)</t>
        </is>
      </c>
      <c r="C28">
        <f>C24-C10</f>
        <v/>
      </c>
      <c r="D28">
        <f>D24-D10</f>
        <v/>
      </c>
      <c r="E28">
        <f>E24-E10</f>
        <v/>
      </c>
      <c r="F28">
        <f>F24-F10</f>
        <v/>
      </c>
      <c r="G28">
        <f>G24-G10</f>
        <v/>
      </c>
      <c r="H28">
        <f>H24-H10</f>
        <v/>
      </c>
      <c r="I28">
        <f>I24-I10</f>
        <v/>
      </c>
      <c r="J28">
        <f>J24-J10</f>
        <v/>
      </c>
      <c r="K28">
        <f>K24-K10</f>
        <v/>
      </c>
      <c r="L28">
        <f>L24-L10</f>
        <v/>
      </c>
    </row>
    <row r="29">
      <c r="A29" t="inlineStr">
        <is>
          <t>Memo: owner FCF margin</t>
        </is>
      </c>
      <c r="C29" s="10">
        <f>C24/C6</f>
        <v/>
      </c>
      <c r="D29" s="10">
        <f>D24/D6</f>
        <v/>
      </c>
      <c r="E29" s="10">
        <f>E24/E6</f>
        <v/>
      </c>
      <c r="F29" s="10">
        <f>F24/F6</f>
        <v/>
      </c>
      <c r="G29" s="10">
        <f>G24/G6</f>
        <v/>
      </c>
      <c r="H29" s="10">
        <f>H24/H6</f>
        <v/>
      </c>
      <c r="I29" s="10">
        <f>I24/I6</f>
        <v/>
      </c>
      <c r="J29" s="10">
        <f>J24/J6</f>
        <v/>
      </c>
      <c r="K29" s="10">
        <f>K24/K6</f>
        <v/>
      </c>
      <c r="L29" s="10">
        <f>L24/L6</f>
        <v/>
      </c>
    </row>
    <row r="31">
      <c r="A31" t="inlineStr">
        <is>
          <t>Sum of PV of FCF (Y1-Y10)</t>
        </is>
      </c>
      <c r="B31">
        <f>SUM(C26:L26)</f>
        <v/>
      </c>
    </row>
    <row r="32">
      <c r="A32" t="inlineStr">
        <is>
          <t>Terminal growth</t>
        </is>
      </c>
      <c r="B32" s="8">
        <f>Assumptions!$C$16</f>
        <v/>
      </c>
    </row>
    <row r="33">
      <c r="A33" t="inlineStr">
        <is>
          <t>Terminal-year FCF x (1+g)</t>
        </is>
      </c>
      <c r="B33">
        <f>L24*(1+B32)</f>
        <v/>
      </c>
    </row>
    <row r="34">
      <c r="A34" t="inlineStr">
        <is>
          <t>Gordon TV</t>
        </is>
      </c>
      <c r="B34">
        <f>B33/(Assumptions!$B$2-B32)</f>
        <v/>
      </c>
    </row>
    <row r="35">
      <c r="A35" t="inlineStr">
        <is>
          <t>Cap TV (cap x FCF_10)</t>
        </is>
      </c>
      <c r="B35">
        <f>Assumptions!$B$10*L24</f>
        <v/>
      </c>
    </row>
    <row r="36">
      <c r="A36" t="inlineStr">
        <is>
          <t>TV used = MAX(0, MIN(Gordon, cap))</t>
        </is>
      </c>
      <c r="B36">
        <f>MAX(0,MIN(B34,B35))</f>
        <v/>
      </c>
    </row>
    <row r="37">
      <c r="A37" t="inlineStr">
        <is>
          <t>Implied exit multiple (TV / FCF_10)</t>
        </is>
      </c>
      <c r="B37">
        <f>B36/L24</f>
        <v/>
      </c>
    </row>
    <row r="38">
      <c r="A38" t="inlineStr">
        <is>
          <t>PV of TV</t>
        </is>
      </c>
      <c r="B38">
        <f>B36*L25</f>
        <v/>
      </c>
    </row>
    <row r="39">
      <c r="A39" t="inlineStr">
        <is>
          <t>Enterprise value</t>
        </is>
      </c>
      <c r="B39">
        <f>B31+B38</f>
        <v/>
      </c>
    </row>
    <row r="40">
      <c r="A40" t="inlineStr">
        <is>
          <t>less net bank debt</t>
        </is>
      </c>
      <c r="B40" s="6">
        <f>-Assumptions!$B$6</f>
        <v/>
      </c>
    </row>
    <row r="41">
      <c r="A41" t="inlineStr">
        <is>
          <t>Equity value</t>
        </is>
      </c>
      <c r="B41">
        <f>B39+B40</f>
        <v/>
      </c>
    </row>
    <row r="42">
      <c r="A42" t="inlineStr">
        <is>
          <t>Diluted shares (m)</t>
        </is>
      </c>
      <c r="B42" s="6">
        <f>Assumptions!$B$7</f>
        <v/>
      </c>
    </row>
    <row r="43">
      <c r="A43" t="inlineStr">
        <is>
          <t>Value per share A$</t>
        </is>
      </c>
      <c r="B43" s="11">
        <f>B41/B42</f>
        <v/>
      </c>
    </row>
    <row r="44">
      <c r="A44" t="inlineStr">
        <is>
          <t>Value per share NZ$</t>
        </is>
      </c>
      <c r="B44" s="12">
        <f>B43*Assumptions!$B$9</f>
        <v/>
      </c>
    </row>
    <row r="45">
      <c r="A45" t="inlineStr">
        <is>
          <t>Upside vs current NZ$ price</t>
        </is>
      </c>
      <c r="B45" s="13">
        <f>B44/Assumptions!$B$8-1</f>
        <v/>
      </c>
    </row>
    <row r="47">
      <c r="A47" t="inlineStr">
        <is>
          <t>Street memo: PV of explicit SBC</t>
        </is>
      </c>
      <c r="B47">
        <f>SUMPRODUCT(-C10:L10,C25:L25)</f>
        <v/>
      </c>
    </row>
    <row r="48">
      <c r="A48" t="inlineStr">
        <is>
          <t>Street memo: PV of terminal SBC (Gordon)</t>
        </is>
      </c>
      <c r="B48">
        <f>(-L10*(1+B32)/(Assumptions!$B$2-B32))*L25</f>
        <v/>
      </c>
    </row>
    <row r="49">
      <c r="A49" t="inlineStr">
        <is>
          <t>Street value per share A$</t>
        </is>
      </c>
      <c r="B49">
        <f>(B41+B47+B48)/B42</f>
        <v/>
      </c>
    </row>
    <row r="50">
      <c r="A50" t="inlineStr">
        <is>
          <t>Street value per share NZ$</t>
        </is>
      </c>
      <c r="B50">
        <f>B49*Assumptions!$B$9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DCF_Bull -- A$m unless stated; drivers in blue on rows 5, 7, 9, 17, 21</t>
        </is>
      </c>
    </row>
    <row r="3">
      <c r="A3" t="inlineStr">
        <is>
          <t>Year</t>
        </is>
      </c>
      <c r="B3" t="inlineStr">
        <is>
          <t>2025A</t>
        </is>
      </c>
      <c r="C3" t="inlineStr">
        <is>
          <t>2026E</t>
        </is>
      </c>
      <c r="D3" t="inlineStr">
        <is>
          <t>2027E</t>
        </is>
      </c>
      <c r="E3" t="inlineStr">
        <is>
          <t>2028E</t>
        </is>
      </c>
      <c r="F3" t="inlineStr">
        <is>
          <t>2029E</t>
        </is>
      </c>
      <c r="G3" t="inlineStr">
        <is>
          <t>2030E</t>
        </is>
      </c>
      <c r="H3" t="inlineStr">
        <is>
          <t>2031E</t>
        </is>
      </c>
      <c r="I3" t="inlineStr">
        <is>
          <t>2032E</t>
        </is>
      </c>
      <c r="J3" t="inlineStr">
        <is>
          <t>2033E</t>
        </is>
      </c>
      <c r="K3" t="inlineStr">
        <is>
          <t>2034E</t>
        </is>
      </c>
      <c r="L3" t="inlineStr">
        <is>
          <t>2035E</t>
        </is>
      </c>
    </row>
    <row r="4">
      <c r="A4" t="inlineStr">
        <is>
          <t>Index</t>
        </is>
      </c>
      <c r="B4" s="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5" t="n">
        <v>0</v>
      </c>
      <c r="D5" s="5" t="n">
        <v>0.065</v>
      </c>
      <c r="E5" s="5" t="n">
        <v>0.06</v>
      </c>
      <c r="F5" s="5" t="n">
        <v>0.055</v>
      </c>
      <c r="G5" s="5" t="n">
        <v>0.05</v>
      </c>
      <c r="H5" s="5" t="n">
        <v>0.045</v>
      </c>
      <c r="I5" s="5" t="n">
        <v>0.04</v>
      </c>
      <c r="J5" s="5" t="n">
        <v>0.04</v>
      </c>
      <c r="K5" s="5" t="n">
        <v>0.035</v>
      </c>
      <c r="L5" s="5" t="n">
        <v>0.035</v>
      </c>
    </row>
    <row r="6">
      <c r="A6" t="inlineStr">
        <is>
          <t>Revenue</t>
        </is>
      </c>
      <c r="B6" s="6">
        <f>Assumptions!$B$12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(underlying) EBITDA margin</t>
        </is>
      </c>
      <c r="C7" s="5" t="n">
        <v>0.096</v>
      </c>
      <c r="D7" s="5" t="n">
        <v>0.099</v>
      </c>
      <c r="E7" s="5" t="n">
        <v>0.101</v>
      </c>
      <c r="F7" s="5" t="n">
        <v>0.103</v>
      </c>
      <c r="G7" s="5" t="n">
        <v>0.105</v>
      </c>
      <c r="H7" s="5" t="n">
        <v>0.106</v>
      </c>
      <c r="I7" s="5" t="n">
        <v>0.106</v>
      </c>
      <c r="J7" s="5" t="n">
        <v>0.106</v>
      </c>
      <c r="K7" s="5" t="n">
        <v>0.106</v>
      </c>
      <c r="L7" s="5" t="n">
        <v>0.106</v>
      </c>
    </row>
    <row r="8">
      <c r="A8" t="inlineStr">
        <is>
          <t>Adjusted 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C9" s="7" t="n">
        <v>0.0015</v>
      </c>
      <c r="D9" s="7" t="n">
        <v>0.0015</v>
      </c>
      <c r="E9" s="7" t="n">
        <v>0.0015</v>
      </c>
      <c r="F9" s="7" t="n">
        <v>0.0015</v>
      </c>
      <c r="G9" s="7" t="n">
        <v>0.0015</v>
      </c>
      <c r="H9" s="7" t="n">
        <v>0.0015</v>
      </c>
      <c r="I9" s="7" t="n">
        <v>0.0015</v>
      </c>
      <c r="J9" s="7" t="n">
        <v>0.0015</v>
      </c>
      <c r="K9" s="7" t="n">
        <v>0.0015</v>
      </c>
      <c r="L9" s="7" t="n">
        <v>0.0015</v>
      </c>
    </row>
    <row r="10">
      <c r="A10" t="inlineStr">
        <is>
          <t>SBC (negative)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Lease cash % of revenue</t>
        </is>
      </c>
      <c r="C11" s="8">
        <f>Assumptions!$B$3</f>
        <v/>
      </c>
      <c r="D11" s="8">
        <f>Assumptions!$B$3</f>
        <v/>
      </c>
      <c r="E11" s="8">
        <f>Assumptions!$B$3</f>
        <v/>
      </c>
      <c r="F11" s="8">
        <f>Assumptions!$B$3</f>
        <v/>
      </c>
      <c r="G11" s="8">
        <f>Assumptions!$B$3</f>
        <v/>
      </c>
      <c r="H11" s="8">
        <f>Assumptions!$B$3</f>
        <v/>
      </c>
      <c r="I11" s="8">
        <f>Assumptions!$B$3</f>
        <v/>
      </c>
      <c r="J11" s="8">
        <f>Assumptions!$B$3</f>
        <v/>
      </c>
      <c r="K11" s="8">
        <f>Assumptions!$B$3</f>
        <v/>
      </c>
      <c r="L11" s="8">
        <f>Assumptions!$B$3</f>
        <v/>
      </c>
    </row>
    <row r="12">
      <c r="A12" t="inlineStr">
        <is>
          <t>Lease cash (negative)</t>
        </is>
      </c>
      <c r="C12">
        <f>-C6*C11</f>
        <v/>
      </c>
      <c r="D12">
        <f>-D6*D11</f>
        <v/>
      </c>
      <c r="E12">
        <f>-E6*E11</f>
        <v/>
      </c>
      <c r="F12">
        <f>-F6*F11</f>
        <v/>
      </c>
      <c r="G12">
        <f>-G6*G11</f>
        <v/>
      </c>
      <c r="H12">
        <f>-H6*H11</f>
        <v/>
      </c>
      <c r="I12">
        <f>-I6*I11</f>
        <v/>
      </c>
      <c r="J12">
        <f>-J6*J11</f>
        <v/>
      </c>
      <c r="K12">
        <f>-K6*K11</f>
        <v/>
      </c>
      <c r="L12">
        <f>-L6*L11</f>
        <v/>
      </c>
    </row>
    <row r="13">
      <c r="A13" t="inlineStr">
        <is>
          <t>Owner EBITDA (post SBC, post lease)</t>
        </is>
      </c>
      <c r="C13">
        <f>C8+C10+C12</f>
        <v/>
      </c>
      <c r="D13">
        <f>D8+D10+D12</f>
        <v/>
      </c>
      <c r="E13">
        <f>E8+E10+E12</f>
        <v/>
      </c>
      <c r="F13">
        <f>F8+F10+F12</f>
        <v/>
      </c>
      <c r="G13">
        <f>G8+G10+G12</f>
        <v/>
      </c>
      <c r="H13">
        <f>H8+H10+H12</f>
        <v/>
      </c>
      <c r="I13">
        <f>I8+I10+I12</f>
        <v/>
      </c>
      <c r="J13">
        <f>J8+J10+J12</f>
        <v/>
      </c>
      <c r="K13">
        <f>K8+K10+K12</f>
        <v/>
      </c>
      <c r="L13">
        <f>L8+L10+L12</f>
        <v/>
      </c>
    </row>
    <row r="14">
      <c r="A14" t="inlineStr">
        <is>
          <t>D&amp;A ex-ROU % of revenue</t>
        </is>
      </c>
      <c r="C14" s="8">
        <f>Assumptions!$B$4</f>
        <v/>
      </c>
      <c r="D14" s="8">
        <f>Assumptions!$B$4</f>
        <v/>
      </c>
      <c r="E14" s="8">
        <f>Assumptions!$B$4</f>
        <v/>
      </c>
      <c r="F14" s="8">
        <f>Assumptions!$B$4</f>
        <v/>
      </c>
      <c r="G14" s="8">
        <f>Assumptions!$B$4</f>
        <v/>
      </c>
      <c r="H14" s="8">
        <f>Assumptions!$B$4</f>
        <v/>
      </c>
      <c r="I14" s="8">
        <f>Assumptions!$B$4</f>
        <v/>
      </c>
      <c r="J14" s="8">
        <f>Assumptions!$B$4</f>
        <v/>
      </c>
      <c r="K14" s="8">
        <f>Assumptions!$B$4</f>
        <v/>
      </c>
      <c r="L14" s="8">
        <f>Assumptions!$B$4</f>
        <v/>
      </c>
    </row>
    <row r="15">
      <c r="A15" t="inlineStr">
        <is>
          <t>D&amp;A (negative)</t>
        </is>
      </c>
      <c r="C15">
        <f>-C6*C14</f>
        <v/>
      </c>
      <c r="D15">
        <f>-D6*D14</f>
        <v/>
      </c>
      <c r="E15">
        <f>-E6*E14</f>
        <v/>
      </c>
      <c r="F15">
        <f>-F6*F14</f>
        <v/>
      </c>
      <c r="G15">
        <f>-G6*G14</f>
        <v/>
      </c>
      <c r="H15">
        <f>-H6*H14</f>
        <v/>
      </c>
      <c r="I15">
        <f>-I6*I14</f>
        <v/>
      </c>
      <c r="J15">
        <f>-J6*J14</f>
        <v/>
      </c>
      <c r="K15">
        <f>-K6*K14</f>
        <v/>
      </c>
      <c r="L15">
        <f>-L6*L14</f>
        <v/>
      </c>
    </row>
    <row r="16">
      <c r="A16" t="inlineStr">
        <is>
          <t>EBIT</t>
        </is>
      </c>
      <c r="C16">
        <f>C13+C15</f>
        <v/>
      </c>
      <c r="D16">
        <f>D13+D15</f>
        <v/>
      </c>
      <c r="E16">
        <f>E13+E15</f>
        <v/>
      </c>
      <c r="F16">
        <f>F13+F15</f>
        <v/>
      </c>
      <c r="G16">
        <f>G13+G15</f>
        <v/>
      </c>
      <c r="H16">
        <f>H13+H15</f>
        <v/>
      </c>
      <c r="I16">
        <f>I13+I15</f>
        <v/>
      </c>
      <c r="J16">
        <f>J13+J15</f>
        <v/>
      </c>
      <c r="K16">
        <f>K13+K15</f>
        <v/>
      </c>
      <c r="L16">
        <f>L13+L15</f>
        <v/>
      </c>
    </row>
    <row r="17">
      <c r="A17" t="inlineStr">
        <is>
          <t>Cash tax rate</t>
        </is>
      </c>
      <c r="C17" s="7" t="n">
        <v>0.28</v>
      </c>
      <c r="D17" s="7" t="n">
        <v>0.29</v>
      </c>
      <c r="E17" s="7" t="n">
        <v>0.3</v>
      </c>
      <c r="F17" s="7" t="n">
        <v>0.3</v>
      </c>
      <c r="G17" s="7" t="n">
        <v>0.3</v>
      </c>
      <c r="H17" s="7" t="n">
        <v>0.3</v>
      </c>
      <c r="I17" s="7" t="n">
        <v>0.3</v>
      </c>
      <c r="J17" s="7" t="n">
        <v>0.3</v>
      </c>
      <c r="K17" s="7" t="n">
        <v>0.3</v>
      </c>
      <c r="L17" s="7" t="n">
        <v>0.3</v>
      </c>
    </row>
    <row r="18">
      <c r="A18" t="inlineStr">
        <is>
          <t>Cash tax (negative)</t>
        </is>
      </c>
      <c r="C18">
        <f>-MAX(0,C16)*C17</f>
        <v/>
      </c>
      <c r="D18">
        <f>-MAX(0,D16)*D17</f>
        <v/>
      </c>
      <c r="E18">
        <f>-MAX(0,E16)*E17</f>
        <v/>
      </c>
      <c r="F18">
        <f>-MAX(0,F16)*F17</f>
        <v/>
      </c>
      <c r="G18">
        <f>-MAX(0,G16)*G17</f>
        <v/>
      </c>
      <c r="H18">
        <f>-MAX(0,H16)*H17</f>
        <v/>
      </c>
      <c r="I18">
        <f>-MAX(0,I16)*I17</f>
        <v/>
      </c>
      <c r="J18">
        <f>-MAX(0,J16)*J17</f>
        <v/>
      </c>
      <c r="K18">
        <f>-MAX(0,K16)*K17</f>
        <v/>
      </c>
      <c r="L18">
        <f>-MAX(0,L16)*L17</f>
        <v/>
      </c>
    </row>
    <row r="19">
      <c r="A19" t="inlineStr">
        <is>
          <t>NOPAT</t>
        </is>
      </c>
      <c r="C19">
        <f>C16+C18</f>
        <v/>
      </c>
      <c r="D19">
        <f>D16+D18</f>
        <v/>
      </c>
      <c r="E19">
        <f>E16+E18</f>
        <v/>
      </c>
      <c r="F19">
        <f>F16+F18</f>
        <v/>
      </c>
      <c r="G19">
        <f>G16+G18</f>
        <v/>
      </c>
      <c r="H19">
        <f>H16+H18</f>
        <v/>
      </c>
      <c r="I19">
        <f>I16+I18</f>
        <v/>
      </c>
      <c r="J19">
        <f>J16+J18</f>
        <v/>
      </c>
      <c r="K19">
        <f>K16+K18</f>
        <v/>
      </c>
      <c r="L19">
        <f>L16+L18</f>
        <v/>
      </c>
    </row>
    <row r="20">
      <c r="A20" t="inlineStr">
        <is>
          <t>add back D&amp;A</t>
        </is>
      </c>
      <c r="C20">
        <f>-C15</f>
        <v/>
      </c>
      <c r="D20">
        <f>-D15</f>
        <v/>
      </c>
      <c r="E20">
        <f>-E15</f>
        <v/>
      </c>
      <c r="F20">
        <f>-F15</f>
        <v/>
      </c>
      <c r="G20">
        <f>-G15</f>
        <v/>
      </c>
      <c r="H20">
        <f>-H15</f>
        <v/>
      </c>
      <c r="I20">
        <f>-I15</f>
        <v/>
      </c>
      <c r="J20">
        <f>-J15</f>
        <v/>
      </c>
      <c r="K20">
        <f>-K15</f>
        <v/>
      </c>
      <c r="L20">
        <f>-L15</f>
        <v/>
      </c>
    </row>
    <row r="21">
      <c r="A21" t="inlineStr">
        <is>
          <t>Capex % of revenue</t>
        </is>
      </c>
      <c r="C21" s="7" t="n">
        <v>0.017</v>
      </c>
      <c r="D21" s="7" t="n">
        <v>0.015</v>
      </c>
      <c r="E21" s="7" t="n">
        <v>0.014</v>
      </c>
      <c r="F21" s="7" t="n">
        <v>0.013</v>
      </c>
      <c r="G21" s="7" t="n">
        <v>0.012</v>
      </c>
      <c r="H21" s="7" t="n">
        <v>0.012</v>
      </c>
      <c r="I21" s="7" t="n">
        <v>0.012</v>
      </c>
      <c r="J21" s="7" t="n">
        <v>0.012</v>
      </c>
      <c r="K21" s="7" t="n">
        <v>0.012</v>
      </c>
      <c r="L21" s="7" t="n">
        <v>0.012</v>
      </c>
    </row>
    <row r="22">
      <c r="A22" t="inlineStr">
        <is>
          <t>Capex (negative)</t>
        </is>
      </c>
      <c r="C22">
        <f>-C6*C21</f>
        <v/>
      </c>
      <c r="D22">
        <f>-D6*D21</f>
        <v/>
      </c>
      <c r="E22">
        <f>-E6*E21</f>
        <v/>
      </c>
      <c r="F22">
        <f>-F6*F21</f>
        <v/>
      </c>
      <c r="G22">
        <f>-G6*G21</f>
        <v/>
      </c>
      <c r="H22">
        <f>-H6*H21</f>
        <v/>
      </c>
      <c r="I22">
        <f>-I6*I21</f>
        <v/>
      </c>
      <c r="J22">
        <f>-J6*J21</f>
        <v/>
      </c>
      <c r="K22">
        <f>-K6*K21</f>
        <v/>
      </c>
      <c r="L22">
        <f>-L6*L21</f>
        <v/>
      </c>
    </row>
    <row r="23">
      <c r="A23" t="inlineStr">
        <is>
          <t>Working capital (capture x rev change)</t>
        </is>
      </c>
      <c r="C23" s="6">
        <f>Assumptions!$B$5*(C6-B6)</f>
        <v/>
      </c>
      <c r="D23" s="6">
        <f>Assumptions!$B$5*(D6-C6)</f>
        <v/>
      </c>
      <c r="E23" s="6">
        <f>Assumptions!$B$5*(E6-D6)</f>
        <v/>
      </c>
      <c r="F23" s="6">
        <f>Assumptions!$B$5*(F6-E6)</f>
        <v/>
      </c>
      <c r="G23" s="6">
        <f>Assumptions!$B$5*(G6-F6)</f>
        <v/>
      </c>
      <c r="H23" s="6">
        <f>Assumptions!$B$5*(H6-G6)</f>
        <v/>
      </c>
      <c r="I23" s="6">
        <f>Assumptions!$B$5*(I6-H6)</f>
        <v/>
      </c>
      <c r="J23" s="6">
        <f>Assumptions!$B$5*(J6-I6)</f>
        <v/>
      </c>
      <c r="K23" s="6">
        <f>Assumptions!$B$5*(K6-J6)</f>
        <v/>
      </c>
      <c r="L23" s="6">
        <f>Assumptions!$B$5*(L6-K6)</f>
        <v/>
      </c>
    </row>
    <row r="24">
      <c r="A24" s="1" t="inlineStr">
        <is>
          <t>Unlevered owner FCF</t>
        </is>
      </c>
      <c r="C24" s="1">
        <f>C19+C20+C22+C23</f>
        <v/>
      </c>
      <c r="D24" s="1">
        <f>D19+D20+D22+D23</f>
        <v/>
      </c>
      <c r="E24" s="1">
        <f>E19+E20+E22+E23</f>
        <v/>
      </c>
      <c r="F24" s="1">
        <f>F19+F20+F22+F23</f>
        <v/>
      </c>
      <c r="G24" s="1">
        <f>G19+G20+G22+G23</f>
        <v/>
      </c>
      <c r="H24" s="1">
        <f>H19+H20+H22+H23</f>
        <v/>
      </c>
      <c r="I24" s="1">
        <f>I19+I20+I22+I23</f>
        <v/>
      </c>
      <c r="J24" s="1">
        <f>J19+J20+J22+J23</f>
        <v/>
      </c>
      <c r="K24" s="1">
        <f>K19+K20+K22+K23</f>
        <v/>
      </c>
      <c r="L24" s="1">
        <f>L19+L20+L22+L23</f>
        <v/>
      </c>
    </row>
    <row r="25">
      <c r="A25" t="inlineStr">
        <is>
          <t>Discount factor</t>
        </is>
      </c>
      <c r="C25" s="9">
        <f>1/(1+Assumptions!$B$2)^C4</f>
        <v/>
      </c>
      <c r="D25" s="9">
        <f>1/(1+Assumptions!$B$2)^D4</f>
        <v/>
      </c>
      <c r="E25" s="9">
        <f>1/(1+Assumptions!$B$2)^E4</f>
        <v/>
      </c>
      <c r="F25" s="9">
        <f>1/(1+Assumptions!$B$2)^F4</f>
        <v/>
      </c>
      <c r="G25" s="9">
        <f>1/(1+Assumptions!$B$2)^G4</f>
        <v/>
      </c>
      <c r="H25" s="9">
        <f>1/(1+Assumptions!$B$2)^H4</f>
        <v/>
      </c>
      <c r="I25" s="9">
        <f>1/(1+Assumptions!$B$2)^I4</f>
        <v/>
      </c>
      <c r="J25" s="9">
        <f>1/(1+Assumptions!$B$2)^J4</f>
        <v/>
      </c>
      <c r="K25" s="9">
        <f>1/(1+Assumptions!$B$2)^K4</f>
        <v/>
      </c>
      <c r="L25" s="9">
        <f>1/(1+Assumptions!$B$2)^L4</f>
        <v/>
      </c>
    </row>
    <row r="26">
      <c r="A26" t="inlineStr">
        <is>
          <t>PV of FCF</t>
        </is>
      </c>
      <c r="C26">
        <f>C24*C25</f>
        <v/>
      </c>
      <c r="D26">
        <f>D24*D25</f>
        <v/>
      </c>
      <c r="E26">
        <f>E24*E25</f>
        <v/>
      </c>
      <c r="F26">
        <f>F24*F25</f>
        <v/>
      </c>
      <c r="G26">
        <f>G24*G25</f>
        <v/>
      </c>
      <c r="H26">
        <f>H24*H25</f>
        <v/>
      </c>
      <c r="I26">
        <f>I24*I25</f>
        <v/>
      </c>
      <c r="J26">
        <f>J24*J25</f>
        <v/>
      </c>
      <c r="K26">
        <f>K24*K25</f>
        <v/>
      </c>
      <c r="L26">
        <f>L24*L25</f>
        <v/>
      </c>
    </row>
    <row r="28">
      <c r="A28" t="inlineStr">
        <is>
          <t>Memo: FCF before SBC (company-style)</t>
        </is>
      </c>
      <c r="C28">
        <f>C24-C10</f>
        <v/>
      </c>
      <c r="D28">
        <f>D24-D10</f>
        <v/>
      </c>
      <c r="E28">
        <f>E24-E10</f>
        <v/>
      </c>
      <c r="F28">
        <f>F24-F10</f>
        <v/>
      </c>
      <c r="G28">
        <f>G24-G10</f>
        <v/>
      </c>
      <c r="H28">
        <f>H24-H10</f>
        <v/>
      </c>
      <c r="I28">
        <f>I24-I10</f>
        <v/>
      </c>
      <c r="J28">
        <f>J24-J10</f>
        <v/>
      </c>
      <c r="K28">
        <f>K24-K10</f>
        <v/>
      </c>
      <c r="L28">
        <f>L24-L10</f>
        <v/>
      </c>
    </row>
    <row r="29">
      <c r="A29" t="inlineStr">
        <is>
          <t>Memo: owner FCF margin</t>
        </is>
      </c>
      <c r="C29" s="10">
        <f>C24/C6</f>
        <v/>
      </c>
      <c r="D29" s="10">
        <f>D24/D6</f>
        <v/>
      </c>
      <c r="E29" s="10">
        <f>E24/E6</f>
        <v/>
      </c>
      <c r="F29" s="10">
        <f>F24/F6</f>
        <v/>
      </c>
      <c r="G29" s="10">
        <f>G24/G6</f>
        <v/>
      </c>
      <c r="H29" s="10">
        <f>H24/H6</f>
        <v/>
      </c>
      <c r="I29" s="10">
        <f>I24/I6</f>
        <v/>
      </c>
      <c r="J29" s="10">
        <f>J24/J6</f>
        <v/>
      </c>
      <c r="K29" s="10">
        <f>K24/K6</f>
        <v/>
      </c>
      <c r="L29" s="10">
        <f>L24/L6</f>
        <v/>
      </c>
    </row>
    <row r="31">
      <c r="A31" t="inlineStr">
        <is>
          <t>Sum of PV of FCF (Y1-Y10)</t>
        </is>
      </c>
      <c r="B31">
        <f>SUM(C26:L26)</f>
        <v/>
      </c>
    </row>
    <row r="32">
      <c r="A32" t="inlineStr">
        <is>
          <t>Terminal growth</t>
        </is>
      </c>
      <c r="B32" s="8">
        <f>Assumptions!$D$16</f>
        <v/>
      </c>
    </row>
    <row r="33">
      <c r="A33" t="inlineStr">
        <is>
          <t>Terminal-year FCF x (1+g)</t>
        </is>
      </c>
      <c r="B33">
        <f>L24*(1+B32)</f>
        <v/>
      </c>
    </row>
    <row r="34">
      <c r="A34" t="inlineStr">
        <is>
          <t>Gordon TV</t>
        </is>
      </c>
      <c r="B34">
        <f>B33/(Assumptions!$B$2-B32)</f>
        <v/>
      </c>
    </row>
    <row r="35">
      <c r="A35" t="inlineStr">
        <is>
          <t>Cap TV (cap x FCF_10)</t>
        </is>
      </c>
      <c r="B35">
        <f>Assumptions!$B$10*L24</f>
        <v/>
      </c>
    </row>
    <row r="36">
      <c r="A36" t="inlineStr">
        <is>
          <t>TV used = MAX(0, MIN(Gordon, cap))</t>
        </is>
      </c>
      <c r="B36">
        <f>MAX(0,MIN(B34,B35))</f>
        <v/>
      </c>
    </row>
    <row r="37">
      <c r="A37" t="inlineStr">
        <is>
          <t>Implied exit multiple (TV / FCF_10)</t>
        </is>
      </c>
      <c r="B37">
        <f>B36/L24</f>
        <v/>
      </c>
    </row>
    <row r="38">
      <c r="A38" t="inlineStr">
        <is>
          <t>PV of TV</t>
        </is>
      </c>
      <c r="B38">
        <f>B36*L25</f>
        <v/>
      </c>
    </row>
    <row r="39">
      <c r="A39" t="inlineStr">
        <is>
          <t>Enterprise value</t>
        </is>
      </c>
      <c r="B39">
        <f>B31+B38</f>
        <v/>
      </c>
    </row>
    <row r="40">
      <c r="A40" t="inlineStr">
        <is>
          <t>less net bank debt</t>
        </is>
      </c>
      <c r="B40" s="6">
        <f>-Assumptions!$B$6</f>
        <v/>
      </c>
    </row>
    <row r="41">
      <c r="A41" t="inlineStr">
        <is>
          <t>Equity value</t>
        </is>
      </c>
      <c r="B41">
        <f>B39+B40</f>
        <v/>
      </c>
    </row>
    <row r="42">
      <c r="A42" t="inlineStr">
        <is>
          <t>Diluted shares (m)</t>
        </is>
      </c>
      <c r="B42" s="6">
        <f>Assumptions!$B$7</f>
        <v/>
      </c>
    </row>
    <row r="43">
      <c r="A43" t="inlineStr">
        <is>
          <t>Value per share A$</t>
        </is>
      </c>
      <c r="B43" s="11">
        <f>B41/B42</f>
        <v/>
      </c>
    </row>
    <row r="44">
      <c r="A44" t="inlineStr">
        <is>
          <t>Value per share NZ$</t>
        </is>
      </c>
      <c r="B44" s="12">
        <f>B43*Assumptions!$B$9</f>
        <v/>
      </c>
    </row>
    <row r="45">
      <c r="A45" t="inlineStr">
        <is>
          <t>Upside vs current NZ$ price</t>
        </is>
      </c>
      <c r="B45" s="13">
        <f>B44/Assumptions!$B$8-1</f>
        <v/>
      </c>
    </row>
    <row r="47">
      <c r="A47" t="inlineStr">
        <is>
          <t>Street memo: PV of explicit SBC</t>
        </is>
      </c>
      <c r="B47">
        <f>SUMPRODUCT(-C10:L10,C25:L25)</f>
        <v/>
      </c>
    </row>
    <row r="48">
      <c r="A48" t="inlineStr">
        <is>
          <t>Street memo: PV of terminal SBC (Gordon)</t>
        </is>
      </c>
      <c r="B48">
        <f>(-L10*(1+B32)/(Assumptions!$B$2-B32))*L25</f>
        <v/>
      </c>
    </row>
    <row r="49">
      <c r="A49" t="inlineStr">
        <is>
          <t>Street value per share A$</t>
        </is>
      </c>
      <c r="B49">
        <f>(B41+B47+B48)/B42</f>
        <v/>
      </c>
    </row>
    <row r="50">
      <c r="A50" t="inlineStr">
        <is>
          <t>Street value per share NZ$</t>
        </is>
      </c>
      <c r="B50">
        <f>B49*Assumptions!$B$9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2" customWidth="1" min="1" max="1"/>
  </cols>
  <sheetData>
    <row r="1">
      <c r="A1" s="1" t="inlineStr">
        <is>
          <t>Reported FCF reconciled to owner FCF (A$m), levered basis</t>
        </is>
      </c>
    </row>
    <row r="2">
      <c r="B2" s="1" t="inlineStr">
        <is>
          <t>FY2020</t>
        </is>
      </c>
      <c r="C2" s="1" t="inlineStr">
        <is>
          <t>FY2021</t>
        </is>
      </c>
      <c r="D2" s="1" t="inlineStr">
        <is>
          <t>FY2022</t>
        </is>
      </c>
      <c r="E2" s="1" t="inlineStr">
        <is>
          <t>FY2023</t>
        </is>
      </c>
      <c r="F2" s="1" t="inlineStr">
        <is>
          <t>FY2024</t>
        </is>
      </c>
      <c r="G2" s="1" t="inlineStr">
        <is>
          <t>FY2025</t>
        </is>
      </c>
    </row>
    <row r="3">
      <c r="A3" t="inlineStr">
        <is>
          <t>Revenue</t>
        </is>
      </c>
      <c r="B3" s="2" t="n">
        <v>3223.9</v>
      </c>
      <c r="C3" s="2" t="n">
        <v>4557.4</v>
      </c>
      <c r="D3" s="2" t="n">
        <v>5167.5</v>
      </c>
      <c r="E3" s="2" t="n">
        <v>5676.4</v>
      </c>
      <c r="F3" s="2" t="n">
        <v>6105.5</v>
      </c>
      <c r="G3" s="2" t="n">
        <v>6141.1</v>
      </c>
    </row>
    <row r="4">
      <c r="A4" t="inlineStr">
        <is>
          <t>Free cash flow (company definition: OCF - capex)</t>
        </is>
      </c>
      <c r="B4" s="2" t="n">
        <v>53.3</v>
      </c>
      <c r="C4" s="2" t="n">
        <v>88.3</v>
      </c>
      <c r="D4" s="2" t="n">
        <v>251.5</v>
      </c>
      <c r="E4" s="2" t="n">
        <v>255</v>
      </c>
      <c r="F4" s="2" t="n">
        <v>287.2</v>
      </c>
      <c r="G4" s="2" t="n">
        <v>268.8</v>
      </c>
    </row>
    <row r="5">
      <c r="A5" t="inlineStr">
        <is>
          <t>less: IFRS-16 lease principal</t>
        </is>
      </c>
      <c r="B5" s="2" t="n">
        <v>-52.9</v>
      </c>
      <c r="C5" s="2" t="n">
        <v>-63.8</v>
      </c>
      <c r="D5" s="2" t="n">
        <v>-64.40000000000001</v>
      </c>
      <c r="E5" s="2" t="n">
        <v>-62.2</v>
      </c>
      <c r="F5" s="2" t="n">
        <v>-59</v>
      </c>
      <c r="G5" s="2" t="n">
        <v>-61.6</v>
      </c>
    </row>
    <row r="6">
      <c r="A6" t="inlineStr">
        <is>
          <t>less: SBC</t>
        </is>
      </c>
      <c r="B6" s="2" t="n">
        <v>0</v>
      </c>
      <c r="C6" s="2" t="n">
        <v>-3.1</v>
      </c>
      <c r="D6" s="2" t="n">
        <v>-7.6</v>
      </c>
      <c r="E6" s="2" t="n">
        <v>-4.4</v>
      </c>
      <c r="F6" s="2" t="n">
        <v>-5.2</v>
      </c>
      <c r="G6" s="2" t="n">
        <v>-5.9</v>
      </c>
    </row>
    <row r="7">
      <c r="A7" t="inlineStr">
        <is>
          <t>less: interest income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</row>
    <row r="8">
      <c r="A8" s="1" t="inlineStr">
        <is>
          <t>Owner FCF (levered) = sum of the four lines above</t>
        </is>
      </c>
      <c r="B8">
        <f>SUM(B4:B7)</f>
        <v/>
      </c>
      <c r="C8">
        <f>SUM(C4:C7)</f>
        <v/>
      </c>
      <c r="D8">
        <f>SUM(D4:D7)</f>
        <v/>
      </c>
      <c r="E8">
        <f>SUM(E4:E7)</f>
        <v/>
      </c>
      <c r="F8">
        <f>SUM(F4:F7)</f>
        <v/>
      </c>
      <c r="G8">
        <f>SUM(G4:G7)</f>
        <v/>
      </c>
    </row>
    <row r="9">
      <c r="A9" t="inlineStr">
        <is>
          <t>Reported FCF margin</t>
        </is>
      </c>
      <c r="B9" s="13">
        <f>B4/B3</f>
        <v/>
      </c>
      <c r="C9" s="13">
        <f>C4/C3</f>
        <v/>
      </c>
      <c r="D9" s="13">
        <f>D4/D3</f>
        <v/>
      </c>
      <c r="E9" s="13">
        <f>E4/E3</f>
        <v/>
      </c>
      <c r="F9" s="13">
        <f>F4/F3</f>
        <v/>
      </c>
      <c r="G9" s="13">
        <f>G4/G3</f>
        <v/>
      </c>
    </row>
    <row r="10">
      <c r="A10" t="inlineStr">
        <is>
          <t>Owner FCF margin</t>
        </is>
      </c>
      <c r="B10" s="13">
        <f>B8/B3</f>
        <v/>
      </c>
      <c r="C10" s="13">
        <f>C8/C3</f>
        <v/>
      </c>
      <c r="D10" s="13">
        <f>D8/D3</f>
        <v/>
      </c>
      <c r="E10" s="13">
        <f>E8/E3</f>
        <v/>
      </c>
      <c r="F10" s="13">
        <f>F8/F3</f>
        <v/>
      </c>
      <c r="G10" s="13">
        <f>G8/G3</f>
        <v/>
      </c>
    </row>
    <row r="11">
      <c r="A11" t="inlineStr">
        <is>
          <t>Memo: cash tax paid</t>
        </is>
      </c>
      <c r="C11" s="2" t="n">
        <v>35.3</v>
      </c>
      <c r="D11" s="2" t="n">
        <v>25.7</v>
      </c>
      <c r="E11" s="2" t="n">
        <v>58.2</v>
      </c>
      <c r="F11" s="2" t="n">
        <v>59</v>
      </c>
      <c r="G11" s="2" t="n">
        <v>73.8</v>
      </c>
    </row>
    <row r="12">
      <c r="A12" t="inlineStr">
        <is>
          <t>Memo: cash tax / underlying PBT (FY2025 20.3% is below the 30% statutory rate -- timing)</t>
        </is>
      </c>
      <c r="C12" s="13">
        <f>C11/-19.8</f>
        <v/>
      </c>
      <c r="D12" s="13">
        <f>D11/221.3</f>
        <v/>
      </c>
      <c r="E12" s="13">
        <f>E11/270.1</f>
        <v/>
      </c>
      <c r="F12" s="13">
        <f>F11/313.0</f>
        <v/>
      </c>
      <c r="G12" s="13">
        <f>G11/363.4</f>
        <v/>
      </c>
    </row>
    <row r="13">
      <c r="A13" t="inlineStr">
        <is>
          <t>Memo: lease interest paid (inside OCF already)</t>
        </is>
      </c>
      <c r="C13" s="2" t="n">
        <v>8.199999999999999</v>
      </c>
      <c r="D13" s="2" t="n">
        <v>7.1</v>
      </c>
      <c r="E13" s="2" t="n">
        <v>6.7</v>
      </c>
      <c r="F13" s="2" t="n">
        <v>7.1</v>
      </c>
      <c r="G13" s="2" t="n">
        <v>9.4</v>
      </c>
    </row>
    <row r="15">
      <c r="A15" t="inlineStr">
        <is>
          <t>Interest income (A$10.5m FY2025) is not stripped: net borrower, cash netted in the bridge. Deferred revenue (contract liabilities) fell 413 -&gt; 339 in FY2025 (a ~A$74m OCF headwind) and rose to 388 at H1 FY2026: working-capital timing, not earnings.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Valuation summary (NZ$ per share unless stated; AUD twins alongside)</t>
        </is>
      </c>
    </row>
    <row r="3">
      <c r="A3" s="1" t="inlineStr">
        <is>
          <t>Scenario</t>
        </is>
      </c>
      <c r="B3" s="1" t="inlineStr">
        <is>
          <t>Value/share A$</t>
        </is>
      </c>
      <c r="C3" s="1" t="inlineStr">
        <is>
          <t>Value/share NZ$</t>
        </is>
      </c>
      <c r="D3" s="1" t="inlineStr">
        <is>
          <t>Upside vs price</t>
        </is>
      </c>
      <c r="E3" s="1" t="inlineStr">
        <is>
          <t>Probability</t>
        </is>
      </c>
      <c r="F3" s="1" t="inlineStr">
        <is>
          <t>Street NZ$</t>
        </is>
      </c>
    </row>
    <row r="4">
      <c r="A4" t="inlineStr">
        <is>
          <t>Bear</t>
        </is>
      </c>
      <c r="B4" s="6">
        <f>DCF_Bear!$B$43</f>
        <v/>
      </c>
      <c r="C4" s="6">
        <f>DCF_Bear!$B$44</f>
        <v/>
      </c>
      <c r="D4" s="13">
        <f>C4/Assumptions!$B$8-1</f>
        <v/>
      </c>
      <c r="E4" s="6">
        <f>Assumptions!$B$17</f>
        <v/>
      </c>
      <c r="F4" s="6">
        <f>DCF_Bear!$B$50</f>
        <v/>
      </c>
    </row>
    <row r="5">
      <c r="A5" t="inlineStr">
        <is>
          <t>Base</t>
        </is>
      </c>
      <c r="B5" s="6">
        <f>DCF_Base!$B$43</f>
        <v/>
      </c>
      <c r="C5" s="6">
        <f>DCF_Base!$B$44</f>
        <v/>
      </c>
      <c r="D5" s="13">
        <f>C5/Assumptions!$B$8-1</f>
        <v/>
      </c>
      <c r="E5" s="6">
        <f>Assumptions!$C$17</f>
        <v/>
      </c>
      <c r="F5" s="6">
        <f>DCF_Base!$B$50</f>
        <v/>
      </c>
    </row>
    <row r="6">
      <c r="A6" t="inlineStr">
        <is>
          <t>Bull</t>
        </is>
      </c>
      <c r="B6" s="6">
        <f>DCF_Bull!$B$43</f>
        <v/>
      </c>
      <c r="C6" s="6">
        <f>DCF_Bull!$B$44</f>
        <v/>
      </c>
      <c r="D6" s="13">
        <f>C6/Assumptions!$B$8-1</f>
        <v/>
      </c>
      <c r="E6" s="6">
        <f>Assumptions!$D$17</f>
        <v/>
      </c>
      <c r="F6" s="6">
        <f>DCF_Bull!$B$50</f>
        <v/>
      </c>
    </row>
    <row r="8">
      <c r="A8" t="inlineStr">
        <is>
          <t>Probability-weighted value A$</t>
        </is>
      </c>
      <c r="B8">
        <f>SUMPRODUCT(B4:B6,E4:E6)</f>
        <v/>
      </c>
    </row>
    <row r="9">
      <c r="A9" s="1" t="inlineStr">
        <is>
          <t>Probability-weighted value NZ$</t>
        </is>
      </c>
      <c r="B9" s="12">
        <f>SUMPRODUCT(C4:C6,E4:E6)</f>
        <v/>
      </c>
    </row>
    <row r="10">
      <c r="A10" t="inlineStr">
        <is>
          <t>Street weighted value NZ$</t>
        </is>
      </c>
      <c r="B10">
        <f>SUMPRODUCT(F4:F6,E4:E6)</f>
        <v/>
      </c>
    </row>
    <row r="11">
      <c r="A11" t="inlineStr">
        <is>
          <t>Current price NZ$</t>
        </is>
      </c>
      <c r="B11" s="6">
        <f>Assumptions!$B$8</f>
        <v/>
      </c>
    </row>
    <row r="12">
      <c r="A12" t="inlineStr">
        <is>
          <t>Margin of safety (1 - price/weighted)</t>
        </is>
      </c>
      <c r="B12" s="13">
        <f>1-B11/B9</f>
        <v/>
      </c>
    </row>
    <row r="13">
      <c r="A13" t="inlineStr">
        <is>
          <t>Band position (price - house)/(street - house); n/a-ish: SBC ~0.15% of revenue</t>
        </is>
      </c>
      <c r="B13" s="13">
        <f>IF(ABS(B10-B9)&lt;0.001,"n/a",(B11-B9)/(B10-B9))</f>
        <v/>
      </c>
    </row>
    <row r="15">
      <c r="A15" s="1" t="inlineStr">
        <is>
          <t>15% hurdle entry price (TV rebuilt at the hurdle)</t>
        </is>
      </c>
    </row>
    <row r="16">
      <c r="A16" s="1" t="inlineStr">
        <is>
          <t>Scenario</t>
        </is>
      </c>
      <c r="B16" s="1" t="inlineStr">
        <is>
          <t>Entry A$</t>
        </is>
      </c>
      <c r="C16" s="1" t="inlineStr">
        <is>
          <t>Entry NZ$</t>
        </is>
      </c>
      <c r="D16" s="1" t="inlineStr">
        <is>
          <t>Discount vs price</t>
        </is>
      </c>
      <c r="E16" s="1" t="inlineStr">
        <is>
          <t>Street entry NZ$</t>
        </is>
      </c>
    </row>
    <row r="17">
      <c r="A17" t="inlineStr">
        <is>
          <t>Bear</t>
        </is>
      </c>
      <c r="B17">
        <f>(SUMPRODUCT(DCF_Bear!$C$24:$L$24/(1+Assumptions!$B$11)^DCF_Bear!$C$4:$L$4)+MAX(0,MIN(DCF_Bear!$L$24*(1+Assumptions!$B$16)/(Assumptions!$B$11-Assumptions!$B$16),Assumptions!$B$10*DCF_Bear!$L$24))/(1+Assumptions!$B$11)^10-Assumptions!$B$6)/Assumptions!$B$7</f>
        <v/>
      </c>
      <c r="C17">
        <f>(SUMPRODUCT(DCF_Bear!$C$24:$L$24/(1+Assumptions!$B$11)^DCF_Bear!$C$4:$L$4)+MAX(0,MIN(DCF_Bear!$L$24*(1+Assumptions!$B$16)/(Assumptions!$B$11-Assumptions!$B$16),Assumptions!$B$10*DCF_Bear!$L$24))/(1+Assumptions!$B$11)^10-Assumptions!$B$6)/Assumptions!$B$7*Assumptions!$B$9</f>
        <v/>
      </c>
      <c r="D17" s="13">
        <f>C17/Assumptions!$B$8-1</f>
        <v/>
      </c>
      <c r="E17">
        <f>(SUMPRODUCT(DCF_Bear!$C$24:$L$24/(1+Assumptions!$B$11)^DCF_Bear!$C$4:$L$4)+MAX(0,MIN(DCF_Bear!$L$24*(1+Assumptions!$B$16)/(Assumptions!$B$11-Assumptions!$B$16),Assumptions!$B$10*DCF_Bear!$L$24))/(1+Assumptions!$B$11)^10-Assumptions!$B$6+SUMPRODUCT(-DCF_Bear!$C$10:$L$10/(1+Assumptions!$B$11)^DCF_Bear!$C$4:$L$4)+(-DCF_Bear!$L$10*(1+Assumptions!$B$16)/(Assumptions!$B$11-Assumptions!$B$16))/(1+Assumptions!$B$11)^10)/Assumptions!$B$7*Assumptions!$B$9</f>
        <v/>
      </c>
    </row>
    <row r="18">
      <c r="A18" t="inlineStr">
        <is>
          <t>Base</t>
        </is>
      </c>
      <c r="B18">
        <f>(SUMPRODUCT(DCF_Base!$C$24:$L$24/(1+Assumptions!$B$11)^DCF_Base!$C$4:$L$4)+MAX(0,MIN(DCF_Base!$L$24*(1+Assumptions!$C$16)/(Assumptions!$B$11-Assumptions!$C$16),Assumptions!$B$10*DCF_Base!$L$24))/(1+Assumptions!$B$11)^10-Assumptions!$B$6)/Assumptions!$B$7</f>
        <v/>
      </c>
      <c r="C18">
        <f>(SUMPRODUCT(DCF_Base!$C$24:$L$24/(1+Assumptions!$B$11)^DCF_Base!$C$4:$L$4)+MAX(0,MIN(DCF_Base!$L$24*(1+Assumptions!$C$16)/(Assumptions!$B$11-Assumptions!$C$16),Assumptions!$B$10*DCF_Base!$L$24))/(1+Assumptions!$B$11)^10-Assumptions!$B$6)/Assumptions!$B$7*Assumptions!$B$9</f>
        <v/>
      </c>
      <c r="D18" s="13">
        <f>C18/Assumptions!$B$8-1</f>
        <v/>
      </c>
      <c r="E18">
        <f>(SUMPRODUCT(DCF_Base!$C$24:$L$24/(1+Assumptions!$B$11)^DCF_Base!$C$4:$L$4)+MAX(0,MIN(DCF_Base!$L$24*(1+Assumptions!$C$16)/(Assumptions!$B$11-Assumptions!$C$16),Assumptions!$B$10*DCF_Base!$L$24))/(1+Assumptions!$B$11)^10-Assumptions!$B$6+SUMPRODUCT(-DCF_Base!$C$10:$L$10/(1+Assumptions!$B$11)^DCF_Base!$C$4:$L$4)+(-DCF_Base!$L$10*(1+Assumptions!$C$16)/(Assumptions!$B$11-Assumptions!$C$16))/(1+Assumptions!$B$11)^10)/Assumptions!$B$7*Assumptions!$B$9</f>
        <v/>
      </c>
    </row>
    <row r="19">
      <c r="A19" t="inlineStr">
        <is>
          <t>Bull</t>
        </is>
      </c>
      <c r="B19">
        <f>(SUMPRODUCT(DCF_Bull!$C$24:$L$24/(1+Assumptions!$B$11)^DCF_Bull!$C$4:$L$4)+MAX(0,MIN(DCF_Bull!$L$24*(1+Assumptions!$D$16)/(Assumptions!$B$11-Assumptions!$D$16),Assumptions!$B$10*DCF_Bull!$L$24))/(1+Assumptions!$B$11)^10-Assumptions!$B$6)/Assumptions!$B$7</f>
        <v/>
      </c>
      <c r="C19">
        <f>(SUMPRODUCT(DCF_Bull!$C$24:$L$24/(1+Assumptions!$B$11)^DCF_Bull!$C$4:$L$4)+MAX(0,MIN(DCF_Bull!$L$24*(1+Assumptions!$D$16)/(Assumptions!$B$11-Assumptions!$D$16),Assumptions!$B$10*DCF_Bull!$L$24))/(1+Assumptions!$B$11)^10-Assumptions!$B$6)/Assumptions!$B$7*Assumptions!$B$9</f>
        <v/>
      </c>
      <c r="D19" s="13">
        <f>C19/Assumptions!$B$8-1</f>
        <v/>
      </c>
      <c r="E19">
        <f>(SUMPRODUCT(DCF_Bull!$C$24:$L$24/(1+Assumptions!$B$11)^DCF_Bull!$C$4:$L$4)+MAX(0,MIN(DCF_Bull!$L$24*(1+Assumptions!$D$16)/(Assumptions!$B$11-Assumptions!$D$16),Assumptions!$B$10*DCF_Bull!$L$24))/(1+Assumptions!$B$11)^10-Assumptions!$B$6+SUMPRODUCT(-DCF_Bull!$C$10:$L$10/(1+Assumptions!$B$11)^DCF_Bull!$C$4:$L$4)+(-DCF_Bull!$L$10*(1+Assumptions!$D$16)/(Assumptions!$B$11-Assumptions!$D$16))/(1+Assumptions!$B$11)^10)/Assumptions!$B$7*Assumptions!$B$9</f>
        <v/>
      </c>
    </row>
    <row r="20">
      <c r="A20" s="1" t="inlineStr">
        <is>
          <t>Probability-weighted entry price NZ$ (buy-below)</t>
        </is>
      </c>
      <c r="B20">
        <f>SUMPRODUCT(B17:B19,E4:E6)</f>
        <v/>
      </c>
      <c r="C20" s="11">
        <f>SUMPRODUCT(C17:C19,E4:E6)</f>
        <v/>
      </c>
    </row>
    <row r="22">
      <c r="A22" s="1" t="inlineStr">
        <is>
          <t>Required-return table (base case), TV rebuilt at each rate</t>
        </is>
      </c>
    </row>
    <row r="23">
      <c r="A23" t="inlineStr">
        <is>
          <t>Required return</t>
        </is>
      </c>
      <c r="B23" t="inlineStr">
        <is>
          <t>Value/share A$</t>
        </is>
      </c>
      <c r="C23" t="inlineStr">
        <is>
          <t>Value/share NZ$</t>
        </is>
      </c>
    </row>
    <row r="24">
      <c r="A24">
        <f>"WACC "&amp;TEXT(Assumptions!$B$2,"0.0%")</f>
        <v/>
      </c>
      <c r="B24">
        <f>(SUMPRODUCT(DCF_Base!$C$24:$L$24/(1+Assumptions!$B$2)^DCF_Base!$C$4:$L$4)+MAX(0,MIN(DCF_Base!$L$24*(1+Assumptions!$C$16)/(Assumptions!$B$2-Assumptions!$C$16),Assumptions!$B$10*DCF_Base!$L$24))/(1+Assumptions!$B$2)^10-Assumptions!$B$6)/Assumptions!$B$7</f>
        <v/>
      </c>
      <c r="C24">
        <f>(SUMPRODUCT(DCF_Base!$C$24:$L$24/(1+Assumptions!$B$2)^DCF_Base!$C$4:$L$4)+MAX(0,MIN(DCF_Base!$L$24*(1+Assumptions!$C$16)/(Assumptions!$B$2-Assumptions!$C$16),Assumptions!$B$10*DCF_Base!$L$24))/(1+Assumptions!$B$2)^10-Assumptions!$B$6)/Assumptions!$B$7*Assumptions!$B$9</f>
        <v/>
      </c>
    </row>
    <row r="25">
      <c r="A25" t="inlineStr">
        <is>
          <t>9%</t>
        </is>
      </c>
      <c r="B25">
        <f>(SUMPRODUCT(DCF_Base!$C$24:$L$24/(1+0.09)^DCF_Base!$C$4:$L$4)+MAX(0,MIN(DCF_Base!$L$24*(1+Assumptions!$C$16)/(0.09-Assumptions!$C$16),Assumptions!$B$10*DCF_Base!$L$24))/(1+0.09)^10-Assumptions!$B$6)/Assumptions!$B$7</f>
        <v/>
      </c>
      <c r="C25">
        <f>(SUMPRODUCT(DCF_Base!$C$24:$L$24/(1+0.09)^DCF_Base!$C$4:$L$4)+MAX(0,MIN(DCF_Base!$L$24*(1+Assumptions!$C$16)/(0.09-Assumptions!$C$16),Assumptions!$B$10*DCF_Base!$L$24))/(1+0.09)^10-Assumptions!$B$6)/Assumptions!$B$7*Assumptions!$B$9</f>
        <v/>
      </c>
    </row>
    <row r="26">
      <c r="A26" t="inlineStr">
        <is>
          <t>10%</t>
        </is>
      </c>
      <c r="B26">
        <f>(SUMPRODUCT(DCF_Base!$C$24:$L$24/(1+0.1)^DCF_Base!$C$4:$L$4)+MAX(0,MIN(DCF_Base!$L$24*(1+Assumptions!$C$16)/(0.1-Assumptions!$C$16),Assumptions!$B$10*DCF_Base!$L$24))/(1+0.1)^10-Assumptions!$B$6)/Assumptions!$B$7</f>
        <v/>
      </c>
      <c r="C26">
        <f>(SUMPRODUCT(DCF_Base!$C$24:$L$24/(1+0.1)^DCF_Base!$C$4:$L$4)+MAX(0,MIN(DCF_Base!$L$24*(1+Assumptions!$C$16)/(0.1-Assumptions!$C$16),Assumptions!$B$10*DCF_Base!$L$24))/(1+0.1)^10-Assumptions!$B$6)/Assumptions!$B$7*Assumptions!$B$9</f>
        <v/>
      </c>
    </row>
    <row r="27">
      <c r="A27" t="inlineStr">
        <is>
          <t>11%</t>
        </is>
      </c>
      <c r="B27">
        <f>(SUMPRODUCT(DCF_Base!$C$24:$L$24/(1+0.11)^DCF_Base!$C$4:$L$4)+MAX(0,MIN(DCF_Base!$L$24*(1+Assumptions!$C$16)/(0.11-Assumptions!$C$16),Assumptions!$B$10*DCF_Base!$L$24))/(1+0.11)^10-Assumptions!$B$6)/Assumptions!$B$7</f>
        <v/>
      </c>
      <c r="C27">
        <f>(SUMPRODUCT(DCF_Base!$C$24:$L$24/(1+0.11)^DCF_Base!$C$4:$L$4)+MAX(0,MIN(DCF_Base!$L$24*(1+Assumptions!$C$16)/(0.11-Assumptions!$C$16),Assumptions!$B$10*DCF_Base!$L$24))/(1+0.11)^10-Assumptions!$B$6)/Assumptions!$B$7*Assumptions!$B$9</f>
        <v/>
      </c>
    </row>
    <row r="28">
      <c r="A28" t="inlineStr">
        <is>
          <t>12%</t>
        </is>
      </c>
      <c r="B28">
        <f>(SUMPRODUCT(DCF_Base!$C$24:$L$24/(1+0.12)^DCF_Base!$C$4:$L$4)+MAX(0,MIN(DCF_Base!$L$24*(1+Assumptions!$C$16)/(0.12-Assumptions!$C$16),Assumptions!$B$10*DCF_Base!$L$24))/(1+0.12)^10-Assumptions!$B$6)/Assumptions!$B$7</f>
        <v/>
      </c>
      <c r="C28">
        <f>(SUMPRODUCT(DCF_Base!$C$24:$L$24/(1+0.12)^DCF_Base!$C$4:$L$4)+MAX(0,MIN(DCF_Base!$L$24*(1+Assumptions!$C$16)/(0.12-Assumptions!$C$16),Assumptions!$B$10*DCF_Base!$L$24))/(1+0.12)^10-Assumptions!$B$6)/Assumptions!$B$7*Assumptions!$B$9</f>
        <v/>
      </c>
    </row>
    <row r="29">
      <c r="A29" t="inlineStr">
        <is>
          <t>15%</t>
        </is>
      </c>
      <c r="B29">
        <f>(SUMPRODUCT(DCF_Base!$C$24:$L$24/(1+0.15)^DCF_Base!$C$4:$L$4)+MAX(0,MIN(DCF_Base!$L$24*(1+Assumptions!$C$16)/(0.15-Assumptions!$C$16),Assumptions!$B$10*DCF_Base!$L$24))/(1+0.15)^10-Assumptions!$B$6)/Assumptions!$B$7</f>
        <v/>
      </c>
      <c r="C29">
        <f>(SUMPRODUCT(DCF_Base!$C$24:$L$24/(1+0.15)^DCF_Base!$C$4:$L$4)+MAX(0,MIN(DCF_Base!$L$24*(1+Assumptions!$C$16)/(0.15-Assumptions!$C$16),Assumptions!$B$10*DCF_Base!$L$24))/(1+0.15)^10-Assumptions!$B$6)/Assumptions!$B$7*Assumptions!$B$9</f>
        <v/>
      </c>
    </row>
    <row r="30">
      <c r="A30" t="inlineStr">
        <is>
          <t>Check: WACC row = DCF_Base!B44; 15% row = base entry price (C17).</t>
        </is>
      </c>
    </row>
    <row r="32">
      <c r="A32" s="1" t="inlineStr">
        <is>
          <t>Sensitivity (base, NZ$/share): rows WACC, columns terminal growth</t>
        </is>
      </c>
    </row>
    <row r="33">
      <c r="A33" t="inlineStr">
        <is>
          <t>WACC \ g</t>
        </is>
      </c>
      <c r="B33" s="14" t="n">
        <v>0.015</v>
      </c>
      <c r="C33" s="14" t="n">
        <v>0.02</v>
      </c>
      <c r="D33" s="14" t="n">
        <v>0.025</v>
      </c>
      <c r="E33" s="14" t="n">
        <v>0.03</v>
      </c>
      <c r="F33" s="14" t="n">
        <v>0.035</v>
      </c>
    </row>
    <row r="34">
      <c r="A34" s="14" t="n">
        <v>0.065</v>
      </c>
      <c r="B34">
        <f>IF($A34&gt;B$33,(SUMPRODUCT(DCF_Base!$C$24:$L$24/(1+$A34)^DCF_Base!$C$4:$L$4)+MAX(0,MIN(DCF_Base!$L$24*(1+B$33)/($A34-B$33),Assumptions!$B$10*DCF_Base!$L$24))/(1+$A34)^10-Assumptions!$B$6)/Assumptions!$B$7*Assumptions!$B$9,"n/a")</f>
        <v/>
      </c>
      <c r="C34">
        <f>IF($A34&gt;C$33,(SUMPRODUCT(DCF_Base!$C$24:$L$24/(1+$A34)^DCF_Base!$C$4:$L$4)+MAX(0,MIN(DCF_Base!$L$24*(1+C$33)/($A34-C$33),Assumptions!$B$10*DCF_Base!$L$24))/(1+$A34)^10-Assumptions!$B$6)/Assumptions!$B$7*Assumptions!$B$9,"n/a")</f>
        <v/>
      </c>
      <c r="D34">
        <f>IF($A34&gt;D$33,(SUMPRODUCT(DCF_Base!$C$24:$L$24/(1+$A34)^DCF_Base!$C$4:$L$4)+MAX(0,MIN(DCF_Base!$L$24*(1+D$33)/($A34-D$33),Assumptions!$B$10*DCF_Base!$L$24))/(1+$A34)^10-Assumptions!$B$6)/Assumptions!$B$7*Assumptions!$B$9,"n/a")</f>
        <v/>
      </c>
      <c r="E34">
        <f>IF($A34&gt;E$33,(SUMPRODUCT(DCF_Base!$C$24:$L$24/(1+$A34)^DCF_Base!$C$4:$L$4)+MAX(0,MIN(DCF_Base!$L$24*(1+E$33)/($A34-E$33),Assumptions!$B$10*DCF_Base!$L$24))/(1+$A34)^10-Assumptions!$B$6)/Assumptions!$B$7*Assumptions!$B$9,"n/a")</f>
        <v/>
      </c>
      <c r="F34">
        <f>IF($A34&gt;F$33,(SUMPRODUCT(DCF_Base!$C$24:$L$24/(1+$A34)^DCF_Base!$C$4:$L$4)+MAX(0,MIN(DCF_Base!$L$24*(1+F$33)/($A34-F$33),Assumptions!$B$10*DCF_Base!$L$24))/(1+$A34)^10-Assumptions!$B$6)/Assumptions!$B$7*Assumptions!$B$9,"n/a")</f>
        <v/>
      </c>
    </row>
    <row r="35">
      <c r="A35" s="14" t="n">
        <v>0.075</v>
      </c>
      <c r="B35">
        <f>IF($A35&gt;B$33,(SUMPRODUCT(DCF_Base!$C$24:$L$24/(1+$A35)^DCF_Base!$C$4:$L$4)+MAX(0,MIN(DCF_Base!$L$24*(1+B$33)/($A35-B$33),Assumptions!$B$10*DCF_Base!$L$24))/(1+$A35)^10-Assumptions!$B$6)/Assumptions!$B$7*Assumptions!$B$9,"n/a")</f>
        <v/>
      </c>
      <c r="C35">
        <f>IF($A35&gt;C$33,(SUMPRODUCT(DCF_Base!$C$24:$L$24/(1+$A35)^DCF_Base!$C$4:$L$4)+MAX(0,MIN(DCF_Base!$L$24*(1+C$33)/($A35-C$33),Assumptions!$B$10*DCF_Base!$L$24))/(1+$A35)^10-Assumptions!$B$6)/Assumptions!$B$7*Assumptions!$B$9,"n/a")</f>
        <v/>
      </c>
      <c r="D35">
        <f>IF($A35&gt;D$33,(SUMPRODUCT(DCF_Base!$C$24:$L$24/(1+$A35)^DCF_Base!$C$4:$L$4)+MAX(0,MIN(DCF_Base!$L$24*(1+D$33)/($A35-D$33),Assumptions!$B$10*DCF_Base!$L$24))/(1+$A35)^10-Assumptions!$B$6)/Assumptions!$B$7*Assumptions!$B$9,"n/a")</f>
        <v/>
      </c>
      <c r="E35">
        <f>IF($A35&gt;E$33,(SUMPRODUCT(DCF_Base!$C$24:$L$24/(1+$A35)^DCF_Base!$C$4:$L$4)+MAX(0,MIN(DCF_Base!$L$24*(1+E$33)/($A35-E$33),Assumptions!$B$10*DCF_Base!$L$24))/(1+$A35)^10-Assumptions!$B$6)/Assumptions!$B$7*Assumptions!$B$9,"n/a")</f>
        <v/>
      </c>
      <c r="F35">
        <f>IF($A35&gt;F$33,(SUMPRODUCT(DCF_Base!$C$24:$L$24/(1+$A35)^DCF_Base!$C$4:$L$4)+MAX(0,MIN(DCF_Base!$L$24*(1+F$33)/($A35-F$33),Assumptions!$B$10*DCF_Base!$L$24))/(1+$A35)^10-Assumptions!$B$6)/Assumptions!$B$7*Assumptions!$B$9,"n/a")</f>
        <v/>
      </c>
    </row>
    <row r="36">
      <c r="A36" s="14" t="n">
        <v>0.08500000000000001</v>
      </c>
      <c r="B36">
        <f>IF($A36&gt;B$33,(SUMPRODUCT(DCF_Base!$C$24:$L$24/(1+$A36)^DCF_Base!$C$4:$L$4)+MAX(0,MIN(DCF_Base!$L$24*(1+B$33)/($A36-B$33),Assumptions!$B$10*DCF_Base!$L$24))/(1+$A36)^10-Assumptions!$B$6)/Assumptions!$B$7*Assumptions!$B$9,"n/a")</f>
        <v/>
      </c>
      <c r="C36">
        <f>IF($A36&gt;C$33,(SUMPRODUCT(DCF_Base!$C$24:$L$24/(1+$A36)^DCF_Base!$C$4:$L$4)+MAX(0,MIN(DCF_Base!$L$24*(1+C$33)/($A36-C$33),Assumptions!$B$10*DCF_Base!$L$24))/(1+$A36)^10-Assumptions!$B$6)/Assumptions!$B$7*Assumptions!$B$9,"n/a")</f>
        <v/>
      </c>
      <c r="D36" s="11">
        <f>IF($A36&gt;D$33,(SUMPRODUCT(DCF_Base!$C$24:$L$24/(1+$A36)^DCF_Base!$C$4:$L$4)+MAX(0,MIN(DCF_Base!$L$24*(1+D$33)/($A36-D$33),Assumptions!$B$10*DCF_Base!$L$24))/(1+$A36)^10-Assumptions!$B$6)/Assumptions!$B$7*Assumptions!$B$9,"n/a")</f>
        <v/>
      </c>
      <c r="E36">
        <f>IF($A36&gt;E$33,(SUMPRODUCT(DCF_Base!$C$24:$L$24/(1+$A36)^DCF_Base!$C$4:$L$4)+MAX(0,MIN(DCF_Base!$L$24*(1+E$33)/($A36-E$33),Assumptions!$B$10*DCF_Base!$L$24))/(1+$A36)^10-Assumptions!$B$6)/Assumptions!$B$7*Assumptions!$B$9,"n/a")</f>
        <v/>
      </c>
      <c r="F36">
        <f>IF($A36&gt;F$33,(SUMPRODUCT(DCF_Base!$C$24:$L$24/(1+$A36)^DCF_Base!$C$4:$L$4)+MAX(0,MIN(DCF_Base!$L$24*(1+F$33)/($A36-F$33),Assumptions!$B$10*DCF_Base!$L$24))/(1+$A36)^10-Assumptions!$B$6)/Assumptions!$B$7*Assumptions!$B$9,"n/a")</f>
        <v/>
      </c>
    </row>
    <row r="37">
      <c r="A37" s="14" t="n">
        <v>0.095</v>
      </c>
      <c r="B37">
        <f>IF($A37&gt;B$33,(SUMPRODUCT(DCF_Base!$C$24:$L$24/(1+$A37)^DCF_Base!$C$4:$L$4)+MAX(0,MIN(DCF_Base!$L$24*(1+B$33)/($A37-B$33),Assumptions!$B$10*DCF_Base!$L$24))/(1+$A37)^10-Assumptions!$B$6)/Assumptions!$B$7*Assumptions!$B$9,"n/a")</f>
        <v/>
      </c>
      <c r="C37">
        <f>IF($A37&gt;C$33,(SUMPRODUCT(DCF_Base!$C$24:$L$24/(1+$A37)^DCF_Base!$C$4:$L$4)+MAX(0,MIN(DCF_Base!$L$24*(1+C$33)/($A37-C$33),Assumptions!$B$10*DCF_Base!$L$24))/(1+$A37)^10-Assumptions!$B$6)/Assumptions!$B$7*Assumptions!$B$9,"n/a")</f>
        <v/>
      </c>
      <c r="D37">
        <f>IF($A37&gt;D$33,(SUMPRODUCT(DCF_Base!$C$24:$L$24/(1+$A37)^DCF_Base!$C$4:$L$4)+MAX(0,MIN(DCF_Base!$L$24*(1+D$33)/($A37-D$33),Assumptions!$B$10*DCF_Base!$L$24))/(1+$A37)^10-Assumptions!$B$6)/Assumptions!$B$7*Assumptions!$B$9,"n/a")</f>
        <v/>
      </c>
      <c r="E37">
        <f>IF($A37&gt;E$33,(SUMPRODUCT(DCF_Base!$C$24:$L$24/(1+$A37)^DCF_Base!$C$4:$L$4)+MAX(0,MIN(DCF_Base!$L$24*(1+E$33)/($A37-E$33),Assumptions!$B$10*DCF_Base!$L$24))/(1+$A37)^10-Assumptions!$B$6)/Assumptions!$B$7*Assumptions!$B$9,"n/a")</f>
        <v/>
      </c>
      <c r="F37">
        <f>IF($A37&gt;F$33,(SUMPRODUCT(DCF_Base!$C$24:$L$24/(1+$A37)^DCF_Base!$C$4:$L$4)+MAX(0,MIN(DCF_Base!$L$24*(1+F$33)/($A37-F$33),Assumptions!$B$10*DCF_Base!$L$24))/(1+$A37)^10-Assumptions!$B$6)/Assumptions!$B$7*Assumptions!$B$9,"n/a")</f>
        <v/>
      </c>
    </row>
    <row r="38">
      <c r="A38" s="14" t="n">
        <v>0.105</v>
      </c>
      <c r="B38">
        <f>IF($A38&gt;B$33,(SUMPRODUCT(DCF_Base!$C$24:$L$24/(1+$A38)^DCF_Base!$C$4:$L$4)+MAX(0,MIN(DCF_Base!$L$24*(1+B$33)/($A38-B$33),Assumptions!$B$10*DCF_Base!$L$24))/(1+$A38)^10-Assumptions!$B$6)/Assumptions!$B$7*Assumptions!$B$9,"n/a")</f>
        <v/>
      </c>
      <c r="C38">
        <f>IF($A38&gt;C$33,(SUMPRODUCT(DCF_Base!$C$24:$L$24/(1+$A38)^DCF_Base!$C$4:$L$4)+MAX(0,MIN(DCF_Base!$L$24*(1+C$33)/($A38-C$33),Assumptions!$B$10*DCF_Base!$L$24))/(1+$A38)^10-Assumptions!$B$6)/Assumptions!$B$7*Assumptions!$B$9,"n/a")</f>
        <v/>
      </c>
      <c r="D38">
        <f>IF($A38&gt;D$33,(SUMPRODUCT(DCF_Base!$C$24:$L$24/(1+$A38)^DCF_Base!$C$4:$L$4)+MAX(0,MIN(DCF_Base!$L$24*(1+D$33)/($A38-D$33),Assumptions!$B$10*DCF_Base!$L$24))/(1+$A38)^10-Assumptions!$B$6)/Assumptions!$B$7*Assumptions!$B$9,"n/a")</f>
        <v/>
      </c>
      <c r="E38">
        <f>IF($A38&gt;E$33,(SUMPRODUCT(DCF_Base!$C$24:$L$24/(1+$A38)^DCF_Base!$C$4:$L$4)+MAX(0,MIN(DCF_Base!$L$24*(1+E$33)/($A38-E$33),Assumptions!$B$10*DCF_Base!$L$24))/(1+$A38)^10-Assumptions!$B$6)/Assumptions!$B$7*Assumptions!$B$9,"n/a")</f>
        <v/>
      </c>
      <c r="F38">
        <f>IF($A38&gt;F$33,(SUMPRODUCT(DCF_Base!$C$24:$L$24/(1+$A38)^DCF_Base!$C$4:$L$4)+MAX(0,MIN(DCF_Base!$L$24*(1+F$33)/($A38-F$33),Assumptions!$B$10*DCF_Base!$L$24))/(1+$A38)^10-Assumptions!$B$6)/Assumptions!$B$7*Assumptions!$B$9,"n/a")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2026-09-19T09:48:33Z</dcterms:created>
  <dcterms:modified xsi:type="dcterms:W3CDTF">2026-09-19T09:48:33Z</dcterms:modified>
</cp:coreProperties>
</file>