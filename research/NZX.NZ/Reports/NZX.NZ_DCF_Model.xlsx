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CC"/>
    </font>
    <font>
      <color rgb="00007700"/>
    </font>
    <font>
      <b val="1"/>
      <color rgb="00007700"/>
    </font>
  </fonts>
  <fills count="3">
    <fill>
      <patternFill/>
    </fill>
    <fill>
      <patternFill patternType="gray125"/>
    </fill>
    <fill>
      <patternFill patternType="solid">
        <fgColor rgb="00FFF2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NZX Limited (NZX.NZ) owner-FCF DCF model - version 1.0 (fresh build, supersedes nothing)</t>
        </is>
      </c>
    </row>
    <row r="2">
      <c r="A2" t="inlineStr">
        <is>
          <t>Built by the dcf-analyst agent (Claude Fable 5) on 2026-08-24 at the user's request</t>
        </is>
      </c>
    </row>
    <row r="3">
      <c r="A3" t="inlineStr"/>
    </row>
    <row r="4">
      <c r="A4" t="inlineStr">
        <is>
          <t>DATA VINTAGE - these figures go stale:</t>
        </is>
      </c>
    </row>
    <row r="5">
      <c r="A5" t="inlineStr">
        <is>
          <t>Price NZ$1.535 - Yahoo Finance regular NZX close Fri 2026-08-21 04:59 UTC (run Mon 2026-08-24 NZT pre-open)</t>
        </is>
      </c>
    </row>
    <row r="6">
      <c r="A6" t="inlineStr">
        <is>
          <t>Balance sheet 30-Jun-2026 (H1-2026 Interim Report): TotalDebt 73,525k incl ~19,300k IFRS-16 leases, own cash 15,137k -&gt; net debt 58,388k</t>
        </is>
      </c>
    </row>
    <row r="7">
      <c r="A7" t="inlineStr">
        <is>
          <t>Share count 329,241,123 (H1-2026; diluted EPS = basic 6.5c FY2025 so dilution negligible) - held FLAT, SBC fully expensed</t>
        </is>
      </c>
    </row>
    <row r="8">
      <c r="A8" t="inlineStr">
        <is>
          <t>Guidance FY2026 EBITDA pre project/restructure costs 53.0-58.5m, maintained at H1-2026 (H1 actual 27.3m)</t>
        </is>
      </c>
    </row>
    <row r="9">
      <c r="A9" t="inlineStr">
        <is>
          <t>All figures NZD THOUSANDS unless stated</t>
        </is>
      </c>
    </row>
    <row r="10">
      <c r="A10" t="inlineStr"/>
    </row>
    <row r="11">
      <c r="A11" t="inlineStr">
        <is>
          <t>METHODOLOGY CHOICES:</t>
        </is>
      </c>
    </row>
    <row r="12">
      <c r="A12" t="inlineStr">
        <is>
          <t>Model owner-FCF DCF, 10-year component build - operating company (exchange + funds mgmt + wealth platform)</t>
        </is>
      </c>
    </row>
    <row r="13">
      <c r="A13" t="inlineStr">
        <is>
          <t>Revenue basis break: H1-2026 restated revenue GROSS (+12,303k FY2025, profit lines unaffected). Model drives off</t>
        </is>
      </c>
    </row>
    <row r="14">
      <c r="A14" t="inlineStr">
        <is>
          <t xml:space="preserve">  EBITDA/NPAT/FCF (basis-consistent); forward revenue projects from FY2025 gross 141,251k. Never CAGR FY2024 -&gt; FY2025 raw.</t>
        </is>
      </c>
    </row>
    <row r="15">
      <c r="A15" t="inlineStr">
        <is>
          <t>Leases treatment A: lease liabilities inside net debt; NO lease-principal deduction from flows; lease-asset renewal (~1.4pp) inside capex%</t>
        </is>
      </c>
    </row>
    <row r="16">
      <c r="A16" t="inlineStr">
        <is>
          <t>EBITDA margin driver is PRE-SBC (statutory margin = driver minus 0.7pp); SBC row kept explicit per house rule</t>
        </is>
      </c>
    </row>
    <row r="17">
      <c r="A17" t="inlineStr">
        <is>
          <t>WACC 9.5% NZD-built: rf 4.4% + 0.9 beta x 5.0% ERP + 1.25pp small-cap illiquidity = CoE ~10.15%; Kd after-tax 4.3%; 90/10 weights.</t>
        </is>
      </c>
    </row>
    <row r="18">
      <c r="A18" t="inlineStr">
        <is>
          <t xml:space="preserve">  Single WACC across scenarios - cyclicality/attrition risk lives in the scenario flows (risk charged once)</t>
        </is>
      </c>
    </row>
    <row r="19">
      <c r="A19" t="inlineStr">
        <is>
          <t>Terminal value = MAX(0, MIN(Gordon, 15x terminal FCF)); tax flat 28% NZ statutory; WC = 2% of revenue change</t>
        </is>
      </c>
    </row>
    <row r="20">
      <c r="A20" t="inlineStr">
        <is>
          <t>D&amp;A% declines 13.4 -&gt; 9.2 as the NZXWT amortisation bubble rolls off (D&amp;A converges to capex by Y10)</t>
        </is>
      </c>
    </row>
    <row r="21">
      <c r="A21" t="inlineStr">
        <is>
          <t>Scenario drivers are the agent's judgment, set 2026-08-24; weights 25/50/25 bear/base/bull</t>
        </is>
      </c>
    </row>
    <row r="22">
      <c r="A22" t="inlineStr"/>
    </row>
    <row r="23">
      <c r="A23" t="inlineStr">
        <is>
          <t>REFRESH AFTER NEXT PRINT (FY2026 annual, ~Feb-2027): price, FY-end net debt (H1 cash is a seasonal LOW,</t>
        </is>
      </c>
    </row>
    <row r="24">
      <c r="A24" t="inlineStr">
        <is>
          <t xml:space="preserve">  conservative by ~4-5c/share), FY2026 actuals vs guidance, FY2027 guidance year drivers</t>
        </is>
      </c>
    </row>
    <row r="25">
      <c r="A25" t="inlineStr"/>
    </row>
    <row r="26">
      <c r="A26" t="inlineStr">
        <is>
          <t>CELL LEGEND: blue = hardcoded input, yellow fill = key driver row, black = formula, green = cross-sheet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9" max="9"/>
  </cols>
  <sheetData>
    <row r="1">
      <c r="A1" s="1" t="inlineStr">
        <is>
          <t>Metric (NZD k)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H1-2026</t>
        </is>
      </c>
      <c r="I1" s="1" t="inlineStr">
        <is>
          <t>Source</t>
        </is>
      </c>
    </row>
    <row r="2">
      <c r="A2" t="inlineStr">
        <is>
          <t>Revenue (as reported)</t>
        </is>
      </c>
      <c r="B2" s="2" t="n">
        <v>78426</v>
      </c>
      <c r="C2" s="2" t="n">
        <v>87955</v>
      </c>
      <c r="D2" s="2" t="n">
        <v>95726</v>
      </c>
      <c r="E2" s="2" t="n">
        <v>108387</v>
      </c>
      <c r="F2" s="2" t="n">
        <v>120122</v>
      </c>
      <c r="G2" s="2" t="n">
        <v>141251</v>
      </c>
      <c r="H2" s="2" t="n">
        <v>76647</v>
      </c>
      <c r="I2" t="inlineStr">
        <is>
          <t>Metrics.csv; FY2025 &amp; H1 rows GROSS basis, FY2024 and earlier NET basis - NOT comparable</t>
        </is>
      </c>
    </row>
    <row r="3">
      <c r="A3" t="inlineStr">
        <is>
          <t>Revenue FY2025 restated NET</t>
        </is>
      </c>
      <c r="G3" s="2" t="n">
        <v>128948</v>
      </c>
      <c r="I3" t="inlineStr">
        <is>
          <t>141,251 less 12,303 gross-up (H1-2026 Note 1) - use for CAGR vs history</t>
        </is>
      </c>
    </row>
    <row r="4">
      <c r="A4" t="inlineStr">
        <is>
          <t>EBITDA (statutory)</t>
        </is>
      </c>
      <c r="B4" s="2" t="n">
        <v>34396</v>
      </c>
      <c r="C4" s="2" t="n">
        <v>34427</v>
      </c>
      <c r="D4" s="2" t="n">
        <v>35065</v>
      </c>
      <c r="E4" s="2" t="n">
        <v>38894</v>
      </c>
      <c r="F4" s="2" t="n">
        <v>46549</v>
      </c>
      <c r="G4" s="2" t="n">
        <v>51689</v>
      </c>
      <c r="H4" s="2" t="n">
        <v>26333</v>
      </c>
      <c r="I4" t="inlineStr">
        <is>
          <t>Basis-consistent across restatement</t>
        </is>
      </c>
    </row>
    <row r="5">
      <c r="A5" t="inlineStr">
        <is>
          <t>EBITDA normalised (pre project costs)</t>
        </is>
      </c>
      <c r="E5" s="2" t="n">
        <v>40100</v>
      </c>
      <c r="F5" s="2" t="n">
        <v>48500</v>
      </c>
      <c r="G5" s="2" t="n">
        <v>53500</v>
      </c>
      <c r="H5" s="2" t="n">
        <v>27300</v>
      </c>
      <c r="I5" t="inlineStr">
        <is>
          <t>Company disclosure</t>
        </is>
      </c>
    </row>
    <row r="6">
      <c r="A6" t="inlineStr">
        <is>
          <t>Net income</t>
        </is>
      </c>
      <c r="B6" s="2" t="n">
        <v>17586</v>
      </c>
      <c r="C6" s="2" t="n">
        <v>15015</v>
      </c>
      <c r="D6" s="2" t="n">
        <v>14159</v>
      </c>
      <c r="E6" s="2" t="n">
        <v>13554</v>
      </c>
      <c r="F6" s="2" t="n">
        <v>25033</v>
      </c>
      <c r="G6" s="2" t="n">
        <v>21475</v>
      </c>
      <c r="H6" s="2" t="n">
        <v>9842</v>
      </c>
      <c r="I6" t="inlineStr">
        <is>
          <t>Unaffected by restatement</t>
        </is>
      </c>
    </row>
    <row r="7">
      <c r="A7" t="inlineStr">
        <is>
          <t>Operating cash flow</t>
        </is>
      </c>
      <c r="B7" s="2" t="n">
        <v>31234</v>
      </c>
      <c r="C7" s="2" t="n">
        <v>27392</v>
      </c>
      <c r="D7" s="2" t="n">
        <v>23436</v>
      </c>
      <c r="E7" s="2" t="n">
        <v>34439</v>
      </c>
      <c r="F7" s="2" t="n">
        <v>35887</v>
      </c>
      <c r="G7" s="2" t="n">
        <v>39492</v>
      </c>
      <c r="H7" s="2" t="n">
        <v>9507</v>
      </c>
      <c r="I7" t="inlineStr">
        <is>
          <t>H1 seasonally weak (listing fees collected H2... actually H1; cash seasonal)</t>
        </is>
      </c>
    </row>
    <row r="8">
      <c r="A8" t="inlineStr">
        <is>
          <t>Capex</t>
        </is>
      </c>
      <c r="B8" s="2" t="n">
        <v>9972</v>
      </c>
      <c r="C8" s="2" t="n">
        <v>16920</v>
      </c>
      <c r="D8" s="2" t="n">
        <v>40496</v>
      </c>
      <c r="E8" s="2" t="n">
        <v>12395</v>
      </c>
      <c r="F8" s="2" t="n">
        <v>13423</v>
      </c>
      <c r="G8" s="2" t="n">
        <v>11638</v>
      </c>
      <c r="H8" s="2" t="n">
        <v>7347</v>
      </c>
      <c r="I8" t="inlineStr">
        <is>
          <t>FY2022 includes ~$25m SuperLife mgmt-rights acquisition</t>
        </is>
      </c>
    </row>
    <row r="9">
      <c r="A9" t="inlineStr">
        <is>
          <t>Free cash flow (reported)</t>
        </is>
      </c>
      <c r="B9" s="2" t="n">
        <v>21262</v>
      </c>
      <c r="C9" s="2" t="n">
        <v>10472</v>
      </c>
      <c r="D9" s="2" t="n">
        <v>-17060</v>
      </c>
      <c r="E9" s="2" t="n">
        <v>22044</v>
      </c>
      <c r="F9" s="2" t="n">
        <v>22464</v>
      </c>
      <c r="G9" s="2" t="n">
        <v>27854</v>
      </c>
      <c r="H9" s="2" t="n">
        <v>2160</v>
      </c>
      <c r="I9" t="inlineStr">
        <is>
          <t>Lumpy - never annualise a half</t>
        </is>
      </c>
    </row>
    <row r="10">
      <c r="A10" t="inlineStr">
        <is>
          <t>SBC</t>
        </is>
      </c>
      <c r="B10" s="2" t="n">
        <v>695</v>
      </c>
      <c r="C10" s="2" t="n">
        <v>976</v>
      </c>
      <c r="D10" s="2" t="n">
        <v>1013</v>
      </c>
      <c r="E10" s="2" t="n">
        <v>1138</v>
      </c>
      <c r="F10" s="2" t="n">
        <v>962</v>
      </c>
      <c r="G10" s="2" t="n">
        <v>998</v>
      </c>
      <c r="H10" s="2" t="n">
        <v>467</v>
      </c>
      <c r="I10" t="inlineStr">
        <is>
          <t>Expensed inside EBITDA; tiny</t>
        </is>
      </c>
    </row>
    <row r="11">
      <c r="A11" t="inlineStr">
        <is>
          <t>Dividend per share (cents)</t>
        </is>
      </c>
      <c r="B11" s="2" t="n">
        <v>6.1</v>
      </c>
      <c r="C11" s="2" t="n">
        <v>6.1</v>
      </c>
      <c r="D11" s="2" t="n">
        <v>6.1</v>
      </c>
      <c r="E11" s="2" t="n">
        <v>6.1</v>
      </c>
      <c r="F11" s="2" t="n">
        <v>6.1</v>
      </c>
      <c r="G11" s="2" t="n">
        <v>6.3</v>
      </c>
      <c r="H11" s="2" t="n">
        <v>3.2</v>
      </c>
      <c r="I11" t="inlineStr">
        <is>
          <t>6.1c flat FY2016-FY2024; policy 70-90% of normalised FCF</t>
        </is>
      </c>
    </row>
    <row r="12">
      <c r="A12" t="inlineStr">
        <is>
          <t>Total debt (incl IFRS-16 leases)</t>
        </is>
      </c>
      <c r="B12" s="2" t="n">
        <v>46015</v>
      </c>
      <c r="C12" s="2" t="n">
        <v>52524</v>
      </c>
      <c r="D12" s="2" t="n">
        <v>60713</v>
      </c>
      <c r="E12" s="2" t="n">
        <v>82317</v>
      </c>
      <c r="F12" s="2" t="n">
        <v>81194</v>
      </c>
      <c r="G12" s="2" t="n">
        <v>81159</v>
      </c>
      <c r="H12" s="2" t="n">
        <v>73525</v>
      </c>
      <c r="I12" t="inlineStr">
        <is>
          <t>Excludes third-party/clearing balances</t>
        </is>
      </c>
    </row>
    <row r="13">
      <c r="A13" t="inlineStr">
        <is>
          <t>Cash (own, unrestricted)</t>
        </is>
      </c>
      <c r="B13" s="2" t="n">
        <v>32775</v>
      </c>
      <c r="C13" s="2" t="n">
        <v>29062</v>
      </c>
      <c r="D13" s="2" t="n">
        <v>20611</v>
      </c>
      <c r="E13" s="2" t="n">
        <v>24670</v>
      </c>
      <c r="F13" s="2" t="n">
        <v>28825</v>
      </c>
      <c r="G13" s="2" t="n">
        <v>32055</v>
      </c>
      <c r="H13" s="2" t="n">
        <v>15137</v>
      </c>
      <c r="I13" t="inlineStr">
        <is>
          <t>Excludes $20m clearing risk capital + ~$24.8m third-party funds</t>
        </is>
      </c>
    </row>
    <row r="14">
      <c r="A14" t="inlineStr">
        <is>
          <t>Shares outstanding (k)</t>
        </is>
      </c>
      <c r="B14" s="2" t="n">
        <v>278001</v>
      </c>
      <c r="C14" s="2" t="n">
        <v>280690</v>
      </c>
      <c r="D14" s="2" t="n">
        <v>314709</v>
      </c>
      <c r="E14" s="2" t="n">
        <v>324205</v>
      </c>
      <c r="F14" s="2" t="n">
        <v>327022</v>
      </c>
      <c r="G14" s="2" t="n">
        <v>328535</v>
      </c>
      <c r="H14" s="2" t="n">
        <v>329241</v>
      </c>
      <c r="I14" t="inlineStr">
        <is>
          <t>2021-22 capital raises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3" max="3"/>
  </cols>
  <sheetData>
    <row r="1">
      <c r="A1" s="1" t="inlineStr">
        <is>
          <t>Globals</t>
        </is>
      </c>
    </row>
    <row r="2">
      <c r="A2" t="inlineStr">
        <is>
          <t>WACC</t>
        </is>
      </c>
      <c r="B2" s="2" t="n">
        <v>0.095</v>
      </c>
      <c r="C2" t="inlineStr">
        <is>
          <t>NZD-built: rf 4.4% + 0.9x5.0% ERP + 1.25pp illiquidity -&gt; CoE 10.15%; Kd 4.3% AT; 90/10</t>
        </is>
      </c>
    </row>
    <row r="3">
      <c r="A3" t="inlineStr">
        <is>
          <t>Tax rate</t>
        </is>
      </c>
      <c r="B3" s="2" t="n">
        <v>0.28</v>
      </c>
      <c r="C3" t="inlineStr">
        <is>
          <t>NZ statutory, flat</t>
        </is>
      </c>
    </row>
    <row r="4">
      <c r="A4" t="inlineStr">
        <is>
          <t>TV cap multiple (x terminal FCF)</t>
        </is>
      </c>
      <c r="B4" s="2" t="n">
        <v>15</v>
      </c>
      <c r="C4" t="inlineStr">
        <is>
          <t>Mature small single-country franchise; Gordon binds in all three scenarios</t>
        </is>
      </c>
    </row>
    <row r="5">
      <c r="A5" t="inlineStr">
        <is>
          <t>WC capture (% of revenue change)</t>
        </is>
      </c>
      <c r="B5" s="2" t="n">
        <v>0.02</v>
      </c>
      <c r="C5" t="inlineStr">
        <is>
          <t>Annual listing/participant fees billed in advance - small positive</t>
        </is>
      </c>
    </row>
    <row r="6">
      <c r="A6" t="inlineStr">
        <is>
          <t>Net debt (30-Jun-2026)</t>
        </is>
      </c>
      <c r="B6" s="2" t="n">
        <v>58388</v>
      </c>
      <c r="C6" t="inlineStr">
        <is>
          <t>TotalDebt 73,525 incl leases, less own cash 15,137; H1 cash a seasonal low</t>
        </is>
      </c>
    </row>
    <row r="7">
      <c r="A7" t="inlineStr">
        <is>
          <t>Diluted shares (k)</t>
        </is>
      </c>
      <c r="B7" s="2" t="n">
        <v>329241.123</v>
      </c>
      <c r="C7" t="inlineStr">
        <is>
          <t>H1-2026; held flat, SBC expensed</t>
        </is>
      </c>
    </row>
    <row r="8">
      <c r="A8" t="inlineStr">
        <is>
          <t>Current price (NZ$)</t>
        </is>
      </c>
      <c r="B8" s="2" t="n">
        <v>1.535</v>
      </c>
      <c r="C8" t="inlineStr">
        <is>
          <t>NZX close Fri 2026-08-21</t>
        </is>
      </c>
    </row>
    <row r="9">
      <c r="A9" t="inlineStr">
        <is>
          <t>Revenue FY2025 (gross basis, k)</t>
        </is>
      </c>
      <c r="B9" s="2" t="n">
        <v>141251</v>
      </c>
      <c r="C9" t="inlineStr">
        <is>
          <t>Restated per H1-2026 Note 1</t>
        </is>
      </c>
    </row>
    <row r="10">
      <c r="A10" t="inlineStr">
        <is>
          <t>Hurdle rate (entry price)</t>
        </is>
      </c>
      <c r="B10" s="2" t="n">
        <v>0.15</v>
      </c>
      <c r="C10" t="inlineStr">
        <is>
          <t>House IRR hurdle</t>
        </is>
      </c>
    </row>
    <row r="12">
      <c r="A12" s="1" t="inlineStr">
        <is>
          <t>Per scenario</t>
        </is>
      </c>
      <c r="B12" s="1" t="inlineStr">
        <is>
          <t>Bear</t>
        </is>
      </c>
      <c r="C12" s="1" t="inlineStr">
        <is>
          <t>Base</t>
        </is>
      </c>
      <c r="D12" s="1" t="inlineStr">
        <is>
          <t>Bull</t>
        </is>
      </c>
    </row>
    <row r="13">
      <c r="A13" t="inlineStr">
        <is>
          <t>Terminal growth</t>
        </is>
      </c>
      <c r="B13" s="2" t="n">
        <v>0.015</v>
      </c>
      <c r="C13" s="2" t="n">
        <v>0.0225</v>
      </c>
      <c r="D13" s="2" t="n">
        <v>0.025</v>
      </c>
    </row>
    <row r="14">
      <c r="A14" t="inlineStr">
        <is>
          <t>Probability weight</t>
        </is>
      </c>
      <c r="B14" s="2" t="n">
        <v>0.25</v>
      </c>
      <c r="C14" s="2" t="n">
        <v>0.5</v>
      </c>
      <c r="D14" s="2" t="n">
        <v>0.25</v>
      </c>
      <c r="E14">
        <f>SUM(B14:D14)</f>
        <v/>
      </c>
      <c r="F14" t="inlineStr">
        <is>
          <t>check - must equal 1.0</t>
        </is>
      </c>
    </row>
    <row r="16">
      <c r="A16" t="inlineStr">
        <is>
          <t>Bear: issuer attrition accelerates (3 delistings in 14 months already; ASX NZ-linked turnover exceeds NZX cash-market turnover); IPO pipeline stays unconverted; passive fee compression outruns Smart FUM growth (H1-2026 Smart margin fell 45.4-&gt;42.2 ex-project despite +19% revenue); restructure costs permanent. Growth fades to ~1%, statutory margin ~32.5%. A stagnation bear, not solvency.</t>
        </is>
      </c>
    </row>
    <row r="17">
      <c r="A17" t="inlineStr">
        <is>
          <t>Base: FY2026 mid-guidance; growth 11% decaying to 2.25% terminal - Smart FUM rides the KiwiSaver pool (contributions 3-&gt;3.5% Apr-2026, -&gt;4% Apr-2028) and NZXWT scales with Craigs (2027), Markets flat as delistings offset pricing/data. Statutory margin 34.5-&gt;36.0; D&amp;A converges to capex as the amortisation bubble rolls off.</t>
        </is>
      </c>
    </row>
    <row r="18">
      <c r="A18" t="inlineStr">
        <is>
          <t>Bull: KiwiSaver increases AND asset-recycling IPOs land; Smart &gt;$20b FUM with scale margins; Craigs migration opens the $275b registry market; NZX20 futures build; new CEO executes. Margins to ~38.5% statutory, growth 13% -&gt; 3%.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0.08</v>
      </c>
      <c r="D5" s="3" t="n">
        <v>0.03</v>
      </c>
      <c r="E5" s="3" t="n">
        <v>0.02</v>
      </c>
      <c r="F5" s="3" t="n">
        <v>0.015</v>
      </c>
      <c r="G5" s="3" t="n">
        <v>0.015</v>
      </c>
      <c r="H5" s="3" t="n">
        <v>0.015</v>
      </c>
      <c r="I5" s="3" t="n">
        <v>0.0125</v>
      </c>
      <c r="J5" s="3" t="n">
        <v>0.01</v>
      </c>
      <c r="K5" s="3" t="n">
        <v>0.01</v>
      </c>
      <c r="L5" s="3" t="n">
        <v>0.01</v>
      </c>
    </row>
    <row r="6">
      <c r="A6" t="inlineStr">
        <is>
          <t>Revenue</t>
        </is>
      </c>
      <c r="B6" s="2" t="n">
        <v>141251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(pre-SBC)</t>
        </is>
      </c>
      <c r="C7" s="3" t="n">
        <v>0.347</v>
      </c>
      <c r="D7" s="3" t="n">
        <v>0.342</v>
      </c>
      <c r="E7" s="3" t="n">
        <v>0.338</v>
      </c>
      <c r="F7" s="3" t="n">
        <v>0.336</v>
      </c>
      <c r="G7" s="3" t="n">
        <v>0.334</v>
      </c>
      <c r="H7" s="3" t="n">
        <v>0.333</v>
      </c>
      <c r="I7" s="3" t="n">
        <v>0.332</v>
      </c>
      <c r="J7" s="3" t="n">
        <v>0.332</v>
      </c>
      <c r="K7" s="3" t="n">
        <v>0.332</v>
      </c>
      <c r="L7" s="3" t="n">
        <v>0.332</v>
      </c>
    </row>
    <row r="8">
      <c r="A8" t="inlineStr">
        <is>
          <t>Adjusted EBITDA (pre-SBC)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0.006999999999999999</v>
      </c>
      <c r="G9" s="3" t="n">
        <v>0.006999999999999999</v>
      </c>
      <c r="H9" s="3" t="n">
        <v>0.006999999999999999</v>
      </c>
      <c r="I9" s="3" t="n">
        <v>0.006999999999999999</v>
      </c>
      <c r="J9" s="3" t="n">
        <v>0.006999999999999999</v>
      </c>
      <c r="K9" s="3" t="n">
        <v>0.006999999999999999</v>
      </c>
      <c r="L9" s="3" t="n">
        <v>0.006999999999999999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(statutory)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3" t="n">
        <v>0.134</v>
      </c>
      <c r="D12" s="3" t="n">
        <v>0.13</v>
      </c>
      <c r="E12" s="3" t="n">
        <v>0.124</v>
      </c>
      <c r="F12" s="3" t="n">
        <v>0.118</v>
      </c>
      <c r="G12" s="3" t="n">
        <v>0.112</v>
      </c>
      <c r="H12" s="3" t="n">
        <v>0.106</v>
      </c>
      <c r="I12" s="3" t="n">
        <v>0.102</v>
      </c>
      <c r="J12" s="3" t="n">
        <v>0.098</v>
      </c>
      <c r="K12" s="3" t="n">
        <v>0.095</v>
      </c>
      <c r="L12" s="3" t="n">
        <v>0.092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Cash tax rate</t>
        </is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Capex % of revenue (incl lease renewal)</t>
        </is>
      </c>
      <c r="C18" s="3" t="n">
        <v>0.096</v>
      </c>
      <c r="D18" s="3" t="n">
        <v>0.096</v>
      </c>
      <c r="E18" s="3" t="n">
        <v>0.095</v>
      </c>
      <c r="F18" s="3" t="n">
        <v>0.095</v>
      </c>
      <c r="G18" s="3" t="n">
        <v>0.094</v>
      </c>
      <c r="H18" s="3" t="n">
        <v>0.094</v>
      </c>
      <c r="I18" s="3" t="n">
        <v>0.09300000000000001</v>
      </c>
      <c r="J18" s="3" t="n">
        <v>0.09300000000000001</v>
      </c>
      <c r="K18" s="3" t="n">
        <v>0.092</v>
      </c>
      <c r="L18" s="3" t="n">
        <v>0.092</v>
      </c>
    </row>
    <row r="19">
      <c r="A19" t="inlineStr">
        <is>
          <t>Capex $ (negative)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Working capital</t>
        </is>
      </c>
      <c r="C20">
        <f>Assumptions!$B$5*(C6-B6)</f>
        <v/>
      </c>
      <c r="D20">
        <f>Assumptions!$B$5*(D6-C6)</f>
        <v/>
      </c>
      <c r="E20">
        <f>Assumptions!$B$5*(E6-D6)</f>
        <v/>
      </c>
      <c r="F20">
        <f>Assumptions!$B$5*(F6-E6)</f>
        <v/>
      </c>
      <c r="G20">
        <f>Assumptions!$B$5*(G6-F6)</f>
        <v/>
      </c>
      <c r="H20">
        <f>Assumptions!$B$5*(H6-G6)</f>
        <v/>
      </c>
      <c r="I20">
        <f>Assumptions!$B$5*(I6-H6)</f>
        <v/>
      </c>
      <c r="J20">
        <f>Assumptions!$B$5*(J6-I6)</f>
        <v/>
      </c>
      <c r="K20">
        <f>Assumptions!$B$5*(K6-J6)</f>
        <v/>
      </c>
      <c r="L20">
        <f>Assumptions!$B$5*(L6-K6)</f>
        <v/>
      </c>
    </row>
    <row r="21">
      <c r="A21" t="inlineStr">
        <is>
          <t>Unlevered owner FCF</t>
        </is>
      </c>
      <c r="C21">
        <f>C16+C17+C19+C20</f>
        <v/>
      </c>
      <c r="D21">
        <f>D16+D17+D19+D20</f>
        <v/>
      </c>
      <c r="E21">
        <f>E16+E17+E19+E20</f>
        <v/>
      </c>
      <c r="F21">
        <f>F16+F17+F19+F20</f>
        <v/>
      </c>
      <c r="G21">
        <f>G16+G17+G19+G20</f>
        <v/>
      </c>
      <c r="H21">
        <f>H16+H17+H19+H20</f>
        <v/>
      </c>
      <c r="I21">
        <f>I16+I17+I19+I20</f>
        <v/>
      </c>
      <c r="J21">
        <f>J16+J17+J19+J20</f>
        <v/>
      </c>
      <c r="K21">
        <f>K16+K17+K19+K20</f>
        <v/>
      </c>
      <c r="L21">
        <f>L16+L17+L19+L20</f>
        <v/>
      </c>
    </row>
    <row r="22">
      <c r="A22" t="inlineStr">
        <is>
          <t>Discount factor</t>
        </is>
      </c>
      <c r="C22">
        <f>1/(1+Assumptions!$B$2)^C4</f>
        <v/>
      </c>
      <c r="D22">
        <f>1/(1+Assumptions!$B$2)^D4</f>
        <v/>
      </c>
      <c r="E22">
        <f>1/(1+Assumptions!$B$2)^E4</f>
        <v/>
      </c>
      <c r="F22">
        <f>1/(1+Assumptions!$B$2)^F4</f>
        <v/>
      </c>
      <c r="G22">
        <f>1/(1+Assumptions!$B$2)^G4</f>
        <v/>
      </c>
      <c r="H22">
        <f>1/(1+Assumptions!$B$2)^H4</f>
        <v/>
      </c>
      <c r="I22">
        <f>1/(1+Assumptions!$B$2)^I4</f>
        <v/>
      </c>
      <c r="J22">
        <f>1/(1+Assumptions!$B$2)^J4</f>
        <v/>
      </c>
      <c r="K22">
        <f>1/(1+Assumptions!$B$2)^K4</f>
        <v/>
      </c>
      <c r="L22">
        <f>1/(1+Assumptions!$B$2)^L4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4">
      <c r="A24" t="inlineStr">
        <is>
          <t>Memo: FCF before SBC (street-style)</t>
        </is>
      </c>
      <c r="C24">
        <f>C21-C10</f>
        <v/>
      </c>
      <c r="D24">
        <f>D21-D10</f>
        <v/>
      </c>
      <c r="E24">
        <f>E21-E10</f>
        <v/>
      </c>
      <c r="F24">
        <f>F21-F10</f>
        <v/>
      </c>
      <c r="G24">
        <f>G21-G10</f>
        <v/>
      </c>
      <c r="H24">
        <f>H21-H10</f>
        <v/>
      </c>
      <c r="I24">
        <f>I21-I10</f>
        <v/>
      </c>
      <c r="J24">
        <f>J21-J10</f>
        <v/>
      </c>
      <c r="K24">
        <f>K21-K10</f>
        <v/>
      </c>
      <c r="L24">
        <f>L21-L10</f>
        <v/>
      </c>
    </row>
    <row r="25">
      <c r="A25" t="inlineStr">
        <is>
          <t>Memo: implied owner-FCF margin</t>
        </is>
      </c>
      <c r="C25">
        <f>C21/C6</f>
        <v/>
      </c>
      <c r="D25">
        <f>D21/D6</f>
        <v/>
      </c>
      <c r="E25">
        <f>E21/E6</f>
        <v/>
      </c>
      <c r="F25">
        <f>F21/F6</f>
        <v/>
      </c>
      <c r="G25">
        <f>G21/G6</f>
        <v/>
      </c>
      <c r="H25">
        <f>H21/H6</f>
        <v/>
      </c>
      <c r="I25">
        <f>I21/I6</f>
        <v/>
      </c>
      <c r="J25">
        <f>J21/J6</f>
        <v/>
      </c>
      <c r="K25">
        <f>K21/K6</f>
        <v/>
      </c>
      <c r="L25">
        <f>L21/L6</f>
        <v/>
      </c>
    </row>
    <row r="26">
      <c r="A26" t="inlineStr">
        <is>
          <t>Sum PV of FCF</t>
        </is>
      </c>
      <c r="B26">
        <f>SUM(C23:L23)</f>
        <v/>
      </c>
    </row>
    <row r="27">
      <c r="A27" t="inlineStr">
        <is>
          <t>Terminal growth</t>
        </is>
      </c>
      <c r="B27" s="4">
        <f>Assumptions!$B$13</f>
        <v/>
      </c>
    </row>
    <row r="28">
      <c r="A28" t="inlineStr">
        <is>
          <t>Terminal FCF</t>
        </is>
      </c>
      <c r="B28">
        <f>L21*(1+B27)</f>
        <v/>
      </c>
    </row>
    <row r="29">
      <c r="A29" t="inlineStr">
        <is>
          <t>Gordon TV</t>
        </is>
      </c>
      <c r="B29" s="4">
        <f>B28/(Assumptions!$B$2-B27)</f>
        <v/>
      </c>
    </row>
    <row r="30">
      <c r="A30" t="inlineStr">
        <is>
          <t>Cap TV</t>
        </is>
      </c>
      <c r="B30" s="4">
        <f>Assumptions!$B$4*L21</f>
        <v/>
      </c>
    </row>
    <row r="31">
      <c r="A31" t="inlineStr">
        <is>
          <t>TV used</t>
        </is>
      </c>
      <c r="B31">
        <f>MAX(0,MIN(B29,B30))</f>
        <v/>
      </c>
    </row>
    <row r="32">
      <c r="A32" t="inlineStr">
        <is>
          <t>Implied exit multiple</t>
        </is>
      </c>
      <c r="B32">
        <f>B31/L21</f>
        <v/>
      </c>
    </row>
    <row r="33">
      <c r="A33" t="inlineStr">
        <is>
          <t>PV of TV</t>
        </is>
      </c>
      <c r="B33">
        <f>B31*L22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4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(k)</t>
        </is>
      </c>
      <c r="B37" s="4">
        <f>Assumptions!$B$7</f>
        <v/>
      </c>
    </row>
    <row r="38">
      <c r="A38" t="inlineStr">
        <is>
          <t>Value per share (NZ$)</t>
        </is>
      </c>
      <c r="B38" s="5">
        <f>B36/B37</f>
        <v/>
      </c>
    </row>
    <row r="39">
      <c r="A39" t="inlineStr">
        <is>
          <t>Upside vs price</t>
        </is>
      </c>
      <c r="B39" s="4">
        <f>B38/Assumptions!$B$8-1</f>
        <v/>
      </c>
    </row>
    <row r="41">
      <c r="A41" t="inlineStr">
        <is>
          <t>Street: PV of explicit SBC</t>
        </is>
      </c>
      <c r="B41">
        <f>SUMPRODUCT(-C10:L10,C22:L22)</f>
        <v/>
      </c>
    </row>
    <row r="42">
      <c r="A42" t="inlineStr">
        <is>
          <t>Street: PV of terminal SBC</t>
        </is>
      </c>
      <c r="B42">
        <f>(-L10*(1+B27)/(Assumptions!$B$2-B27))*L22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0.11</v>
      </c>
      <c r="D5" s="3" t="n">
        <v>0.07000000000000001</v>
      </c>
      <c r="E5" s="3" t="n">
        <v>0.06</v>
      </c>
      <c r="F5" s="3" t="n">
        <v>0.05</v>
      </c>
      <c r="G5" s="3" t="n">
        <v>0.045</v>
      </c>
      <c r="H5" s="3" t="n">
        <v>0.04</v>
      </c>
      <c r="I5" s="3" t="n">
        <v>0.035</v>
      </c>
      <c r="J5" s="3" t="n">
        <v>0.03</v>
      </c>
      <c r="K5" s="3" t="n">
        <v>0.025</v>
      </c>
      <c r="L5" s="3" t="n">
        <v>0.0225</v>
      </c>
    </row>
    <row r="6">
      <c r="A6" t="inlineStr">
        <is>
          <t>Revenue</t>
        </is>
      </c>
      <c r="B6" s="2" t="n">
        <v>141251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(pre-SBC)</t>
        </is>
      </c>
      <c r="C7" s="3" t="n">
        <v>0.352</v>
      </c>
      <c r="D7" s="3" t="n">
        <v>0.354</v>
      </c>
      <c r="E7" s="3" t="n">
        <v>0.356</v>
      </c>
      <c r="F7" s="3" t="n">
        <v>0.358</v>
      </c>
      <c r="G7" s="3" t="n">
        <v>0.36</v>
      </c>
      <c r="H7" s="3" t="n">
        <v>0.362</v>
      </c>
      <c r="I7" s="3" t="n">
        <v>0.363</v>
      </c>
      <c r="J7" s="3" t="n">
        <v>0.365</v>
      </c>
      <c r="K7" s="3" t="n">
        <v>0.366</v>
      </c>
      <c r="L7" s="3" t="n">
        <v>0.367</v>
      </c>
    </row>
    <row r="8">
      <c r="A8" t="inlineStr">
        <is>
          <t>Adjusted EBITDA (pre-SBC)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0.006999999999999999</v>
      </c>
      <c r="G9" s="3" t="n">
        <v>0.006999999999999999</v>
      </c>
      <c r="H9" s="3" t="n">
        <v>0.006999999999999999</v>
      </c>
      <c r="I9" s="3" t="n">
        <v>0.006999999999999999</v>
      </c>
      <c r="J9" s="3" t="n">
        <v>0.006999999999999999</v>
      </c>
      <c r="K9" s="3" t="n">
        <v>0.006999999999999999</v>
      </c>
      <c r="L9" s="3" t="n">
        <v>0.006999999999999999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(statutory)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3" t="n">
        <v>0.134</v>
      </c>
      <c r="D12" s="3" t="n">
        <v>0.13</v>
      </c>
      <c r="E12" s="3" t="n">
        <v>0.124</v>
      </c>
      <c r="F12" s="3" t="n">
        <v>0.118</v>
      </c>
      <c r="G12" s="3" t="n">
        <v>0.112</v>
      </c>
      <c r="H12" s="3" t="n">
        <v>0.106</v>
      </c>
      <c r="I12" s="3" t="n">
        <v>0.102</v>
      </c>
      <c r="J12" s="3" t="n">
        <v>0.098</v>
      </c>
      <c r="K12" s="3" t="n">
        <v>0.095</v>
      </c>
      <c r="L12" s="3" t="n">
        <v>0.092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Cash tax rate</t>
        </is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Capex % of revenue (incl lease renewal)</t>
        </is>
      </c>
      <c r="C18" s="3" t="n">
        <v>0.096</v>
      </c>
      <c r="D18" s="3" t="n">
        <v>0.096</v>
      </c>
      <c r="E18" s="3" t="n">
        <v>0.095</v>
      </c>
      <c r="F18" s="3" t="n">
        <v>0.095</v>
      </c>
      <c r="G18" s="3" t="n">
        <v>0.094</v>
      </c>
      <c r="H18" s="3" t="n">
        <v>0.094</v>
      </c>
      <c r="I18" s="3" t="n">
        <v>0.09300000000000001</v>
      </c>
      <c r="J18" s="3" t="n">
        <v>0.09300000000000001</v>
      </c>
      <c r="K18" s="3" t="n">
        <v>0.092</v>
      </c>
      <c r="L18" s="3" t="n">
        <v>0.092</v>
      </c>
    </row>
    <row r="19">
      <c r="A19" t="inlineStr">
        <is>
          <t>Capex $ (negative)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Working capital</t>
        </is>
      </c>
      <c r="C20">
        <f>Assumptions!$B$5*(C6-B6)</f>
        <v/>
      </c>
      <c r="D20">
        <f>Assumptions!$B$5*(D6-C6)</f>
        <v/>
      </c>
      <c r="E20">
        <f>Assumptions!$B$5*(E6-D6)</f>
        <v/>
      </c>
      <c r="F20">
        <f>Assumptions!$B$5*(F6-E6)</f>
        <v/>
      </c>
      <c r="G20">
        <f>Assumptions!$B$5*(G6-F6)</f>
        <v/>
      </c>
      <c r="H20">
        <f>Assumptions!$B$5*(H6-G6)</f>
        <v/>
      </c>
      <c r="I20">
        <f>Assumptions!$B$5*(I6-H6)</f>
        <v/>
      </c>
      <c r="J20">
        <f>Assumptions!$B$5*(J6-I6)</f>
        <v/>
      </c>
      <c r="K20">
        <f>Assumptions!$B$5*(K6-J6)</f>
        <v/>
      </c>
      <c r="L20">
        <f>Assumptions!$B$5*(L6-K6)</f>
        <v/>
      </c>
    </row>
    <row r="21">
      <c r="A21" t="inlineStr">
        <is>
          <t>Unlevered owner FCF</t>
        </is>
      </c>
      <c r="C21">
        <f>C16+C17+C19+C20</f>
        <v/>
      </c>
      <c r="D21">
        <f>D16+D17+D19+D20</f>
        <v/>
      </c>
      <c r="E21">
        <f>E16+E17+E19+E20</f>
        <v/>
      </c>
      <c r="F21">
        <f>F16+F17+F19+F20</f>
        <v/>
      </c>
      <c r="G21">
        <f>G16+G17+G19+G20</f>
        <v/>
      </c>
      <c r="H21">
        <f>H16+H17+H19+H20</f>
        <v/>
      </c>
      <c r="I21">
        <f>I16+I17+I19+I20</f>
        <v/>
      </c>
      <c r="J21">
        <f>J16+J17+J19+J20</f>
        <v/>
      </c>
      <c r="K21">
        <f>K16+K17+K19+K20</f>
        <v/>
      </c>
      <c r="L21">
        <f>L16+L17+L19+L20</f>
        <v/>
      </c>
    </row>
    <row r="22">
      <c r="A22" t="inlineStr">
        <is>
          <t>Discount factor</t>
        </is>
      </c>
      <c r="C22">
        <f>1/(1+Assumptions!$B$2)^C4</f>
        <v/>
      </c>
      <c r="D22">
        <f>1/(1+Assumptions!$B$2)^D4</f>
        <v/>
      </c>
      <c r="E22">
        <f>1/(1+Assumptions!$B$2)^E4</f>
        <v/>
      </c>
      <c r="F22">
        <f>1/(1+Assumptions!$B$2)^F4</f>
        <v/>
      </c>
      <c r="G22">
        <f>1/(1+Assumptions!$B$2)^G4</f>
        <v/>
      </c>
      <c r="H22">
        <f>1/(1+Assumptions!$B$2)^H4</f>
        <v/>
      </c>
      <c r="I22">
        <f>1/(1+Assumptions!$B$2)^I4</f>
        <v/>
      </c>
      <c r="J22">
        <f>1/(1+Assumptions!$B$2)^J4</f>
        <v/>
      </c>
      <c r="K22">
        <f>1/(1+Assumptions!$B$2)^K4</f>
        <v/>
      </c>
      <c r="L22">
        <f>1/(1+Assumptions!$B$2)^L4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4">
      <c r="A24" t="inlineStr">
        <is>
          <t>Memo: FCF before SBC (street-style)</t>
        </is>
      </c>
      <c r="C24">
        <f>C21-C10</f>
        <v/>
      </c>
      <c r="D24">
        <f>D21-D10</f>
        <v/>
      </c>
      <c r="E24">
        <f>E21-E10</f>
        <v/>
      </c>
      <c r="F24">
        <f>F21-F10</f>
        <v/>
      </c>
      <c r="G24">
        <f>G21-G10</f>
        <v/>
      </c>
      <c r="H24">
        <f>H21-H10</f>
        <v/>
      </c>
      <c r="I24">
        <f>I21-I10</f>
        <v/>
      </c>
      <c r="J24">
        <f>J21-J10</f>
        <v/>
      </c>
      <c r="K24">
        <f>K21-K10</f>
        <v/>
      </c>
      <c r="L24">
        <f>L21-L10</f>
        <v/>
      </c>
    </row>
    <row r="25">
      <c r="A25" t="inlineStr">
        <is>
          <t>Memo: implied owner-FCF margin</t>
        </is>
      </c>
      <c r="C25">
        <f>C21/C6</f>
        <v/>
      </c>
      <c r="D25">
        <f>D21/D6</f>
        <v/>
      </c>
      <c r="E25">
        <f>E21/E6</f>
        <v/>
      </c>
      <c r="F25">
        <f>F21/F6</f>
        <v/>
      </c>
      <c r="G25">
        <f>G21/G6</f>
        <v/>
      </c>
      <c r="H25">
        <f>H21/H6</f>
        <v/>
      </c>
      <c r="I25">
        <f>I21/I6</f>
        <v/>
      </c>
      <c r="J25">
        <f>J21/J6</f>
        <v/>
      </c>
      <c r="K25">
        <f>K21/K6</f>
        <v/>
      </c>
      <c r="L25">
        <f>L21/L6</f>
        <v/>
      </c>
    </row>
    <row r="26">
      <c r="A26" t="inlineStr">
        <is>
          <t>Sum PV of FCF</t>
        </is>
      </c>
      <c r="B26">
        <f>SUM(C23:L23)</f>
        <v/>
      </c>
    </row>
    <row r="27">
      <c r="A27" t="inlineStr">
        <is>
          <t>Terminal growth</t>
        </is>
      </c>
      <c r="B27" s="4">
        <f>Assumptions!$C$13</f>
        <v/>
      </c>
    </row>
    <row r="28">
      <c r="A28" t="inlineStr">
        <is>
          <t>Terminal FCF</t>
        </is>
      </c>
      <c r="B28">
        <f>L21*(1+B27)</f>
        <v/>
      </c>
    </row>
    <row r="29">
      <c r="A29" t="inlineStr">
        <is>
          <t>Gordon TV</t>
        </is>
      </c>
      <c r="B29" s="4">
        <f>B28/(Assumptions!$B$2-B27)</f>
        <v/>
      </c>
    </row>
    <row r="30">
      <c r="A30" t="inlineStr">
        <is>
          <t>Cap TV</t>
        </is>
      </c>
      <c r="B30" s="4">
        <f>Assumptions!$B$4*L21</f>
        <v/>
      </c>
    </row>
    <row r="31">
      <c r="A31" t="inlineStr">
        <is>
          <t>TV used</t>
        </is>
      </c>
      <c r="B31">
        <f>MAX(0,MIN(B29,B30))</f>
        <v/>
      </c>
    </row>
    <row r="32">
      <c r="A32" t="inlineStr">
        <is>
          <t>Implied exit multiple</t>
        </is>
      </c>
      <c r="B32">
        <f>B31/L21</f>
        <v/>
      </c>
    </row>
    <row r="33">
      <c r="A33" t="inlineStr">
        <is>
          <t>PV of TV</t>
        </is>
      </c>
      <c r="B33">
        <f>B31*L22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4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(k)</t>
        </is>
      </c>
      <c r="B37" s="4">
        <f>Assumptions!$B$7</f>
        <v/>
      </c>
    </row>
    <row r="38">
      <c r="A38" t="inlineStr">
        <is>
          <t>Value per share (NZ$)</t>
        </is>
      </c>
      <c r="B38" s="5">
        <f>B36/B37</f>
        <v/>
      </c>
    </row>
    <row r="39">
      <c r="A39" t="inlineStr">
        <is>
          <t>Upside vs price</t>
        </is>
      </c>
      <c r="B39" s="4">
        <f>B38/Assumptions!$B$8-1</f>
        <v/>
      </c>
    </row>
    <row r="41">
      <c r="A41" t="inlineStr">
        <is>
          <t>Street: PV of explicit SBC</t>
        </is>
      </c>
      <c r="B41">
        <f>SUMPRODUCT(-C10:L10,C22:L22)</f>
        <v/>
      </c>
    </row>
    <row r="42">
      <c r="A42" t="inlineStr">
        <is>
          <t>Street: PV of terminal SBC</t>
        </is>
      </c>
      <c r="B42">
        <f>(-L10*(1+B27)/(Assumptions!$B$2-B27))*L22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3">
      <c r="A3" t="inlineStr">
        <is>
          <t>Year</t>
        </is>
      </c>
      <c r="B3" s="1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  <c r="H3" s="1" t="inlineStr">
        <is>
          <t>FY2031E</t>
        </is>
      </c>
      <c r="I3" s="1" t="inlineStr">
        <is>
          <t>FY2032E</t>
        </is>
      </c>
      <c r="J3" s="1" t="inlineStr">
        <is>
          <t>FY2033E</t>
        </is>
      </c>
      <c r="K3" s="1" t="inlineStr">
        <is>
          <t>FY2034E</t>
        </is>
      </c>
      <c r="L3" s="1" t="inlineStr">
        <is>
          <t>FY2035E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0.13</v>
      </c>
      <c r="D5" s="3" t="n">
        <v>0.1</v>
      </c>
      <c r="E5" s="3" t="n">
        <v>0.09</v>
      </c>
      <c r="F5" s="3" t="n">
        <v>0.08</v>
      </c>
      <c r="G5" s="3" t="n">
        <v>0.07000000000000001</v>
      </c>
      <c r="H5" s="3" t="n">
        <v>0.06</v>
      </c>
      <c r="I5" s="3" t="n">
        <v>0.05</v>
      </c>
      <c r="J5" s="3" t="n">
        <v>0.04</v>
      </c>
      <c r="K5" s="3" t="n">
        <v>0.035</v>
      </c>
      <c r="L5" s="3" t="n">
        <v>0.03</v>
      </c>
    </row>
    <row r="6">
      <c r="A6" t="inlineStr">
        <is>
          <t>Revenue</t>
        </is>
      </c>
      <c r="B6" s="2" t="n">
        <v>141251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 (pre-SBC)</t>
        </is>
      </c>
      <c r="C7" s="3" t="n">
        <v>0.357</v>
      </c>
      <c r="D7" s="3" t="n">
        <v>0.362</v>
      </c>
      <c r="E7" s="3" t="n">
        <v>0.367</v>
      </c>
      <c r="F7" s="3" t="n">
        <v>0.3720000000000001</v>
      </c>
      <c r="G7" s="3" t="n">
        <v>0.377</v>
      </c>
      <c r="H7" s="3" t="n">
        <v>0.382</v>
      </c>
      <c r="I7" s="3" t="n">
        <v>0.386</v>
      </c>
      <c r="J7" s="3" t="n">
        <v>0.389</v>
      </c>
      <c r="K7" s="3" t="n">
        <v>0.391</v>
      </c>
      <c r="L7" s="3" t="n">
        <v>0.392</v>
      </c>
    </row>
    <row r="8">
      <c r="A8" t="inlineStr">
        <is>
          <t>Adjusted EBITDA (pre-SBC)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0.006999999999999999</v>
      </c>
      <c r="D9" s="3" t="n">
        <v>0.006999999999999999</v>
      </c>
      <c r="E9" s="3" t="n">
        <v>0.006999999999999999</v>
      </c>
      <c r="F9" s="3" t="n">
        <v>0.006999999999999999</v>
      </c>
      <c r="G9" s="3" t="n">
        <v>0.006999999999999999</v>
      </c>
      <c r="H9" s="3" t="n">
        <v>0.006999999999999999</v>
      </c>
      <c r="I9" s="3" t="n">
        <v>0.006999999999999999</v>
      </c>
      <c r="J9" s="3" t="n">
        <v>0.006999999999999999</v>
      </c>
      <c r="K9" s="3" t="n">
        <v>0.006999999999999999</v>
      </c>
      <c r="L9" s="3" t="n">
        <v>0.006999999999999999</v>
      </c>
    </row>
    <row r="10">
      <c r="A10" t="inlineStr">
        <is>
          <t>SBC $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 (statutory)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% of revenue</t>
        </is>
      </c>
      <c r="C12" s="3" t="n">
        <v>0.134</v>
      </c>
      <c r="D12" s="3" t="n">
        <v>0.13</v>
      </c>
      <c r="E12" s="3" t="n">
        <v>0.124</v>
      </c>
      <c r="F12" s="3" t="n">
        <v>0.118</v>
      </c>
      <c r="G12" s="3" t="n">
        <v>0.112</v>
      </c>
      <c r="H12" s="3" t="n">
        <v>0.106</v>
      </c>
      <c r="I12" s="3" t="n">
        <v>0.102</v>
      </c>
      <c r="J12" s="3" t="n">
        <v>0.098</v>
      </c>
      <c r="K12" s="3" t="n">
        <v>0.095</v>
      </c>
      <c r="L12" s="3" t="n">
        <v>0.092</v>
      </c>
    </row>
    <row r="13">
      <c r="A13" t="inlineStr">
        <is>
          <t>D&amp;A $ (negative)</t>
        </is>
      </c>
      <c r="C13">
        <f>-C6*C12</f>
        <v/>
      </c>
      <c r="D13">
        <f>-D6*D12</f>
        <v/>
      </c>
      <c r="E13">
        <f>-E6*E12</f>
        <v/>
      </c>
      <c r="F13">
        <f>-F6*F12</f>
        <v/>
      </c>
      <c r="G13">
        <f>-G6*G12</f>
        <v/>
      </c>
      <c r="H13">
        <f>-H6*H12</f>
        <v/>
      </c>
      <c r="I13">
        <f>-I6*I12</f>
        <v/>
      </c>
      <c r="J13">
        <f>-J6*J12</f>
        <v/>
      </c>
      <c r="K13">
        <f>-K6*K12</f>
        <v/>
      </c>
      <c r="L13">
        <f>-L6*L12</f>
        <v/>
      </c>
    </row>
    <row r="14">
      <c r="A14" t="inlineStr">
        <is>
          <t>EBIT</t>
        </is>
      </c>
      <c r="C14">
        <f>C11+C13</f>
        <v/>
      </c>
      <c r="D14">
        <f>D11+D13</f>
        <v/>
      </c>
      <c r="E14">
        <f>E11+E13</f>
        <v/>
      </c>
      <c r="F14">
        <f>F11+F13</f>
        <v/>
      </c>
      <c r="G14">
        <f>G11+G13</f>
        <v/>
      </c>
      <c r="H14">
        <f>H11+H13</f>
        <v/>
      </c>
      <c r="I14">
        <f>I11+I13</f>
        <v/>
      </c>
      <c r="J14">
        <f>J11+J13</f>
        <v/>
      </c>
      <c r="K14">
        <f>K11+K13</f>
        <v/>
      </c>
      <c r="L14">
        <f>L11+L13</f>
        <v/>
      </c>
    </row>
    <row r="15">
      <c r="A15" t="inlineStr">
        <is>
          <t>Cash tax rate</t>
        </is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  <c r="H16">
        <f>H14*(1-H15)</f>
        <v/>
      </c>
      <c r="I16">
        <f>I14*(1-I15)</f>
        <v/>
      </c>
      <c r="J16">
        <f>J14*(1-J15)</f>
        <v/>
      </c>
      <c r="K16">
        <f>K14*(1-K15)</f>
        <v/>
      </c>
      <c r="L16">
        <f>L14*(1-L15)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  <c r="H17">
        <f>-H13</f>
        <v/>
      </c>
      <c r="I17">
        <f>-I13</f>
        <v/>
      </c>
      <c r="J17">
        <f>-J13</f>
        <v/>
      </c>
      <c r="K17">
        <f>-K13</f>
        <v/>
      </c>
      <c r="L17">
        <f>-L13</f>
        <v/>
      </c>
    </row>
    <row r="18">
      <c r="A18" t="inlineStr">
        <is>
          <t>Capex % of revenue (incl lease renewal)</t>
        </is>
      </c>
      <c r="C18" s="3" t="n">
        <v>0.096</v>
      </c>
      <c r="D18" s="3" t="n">
        <v>0.096</v>
      </c>
      <c r="E18" s="3" t="n">
        <v>0.095</v>
      </c>
      <c r="F18" s="3" t="n">
        <v>0.095</v>
      </c>
      <c r="G18" s="3" t="n">
        <v>0.094</v>
      </c>
      <c r="H18" s="3" t="n">
        <v>0.094</v>
      </c>
      <c r="I18" s="3" t="n">
        <v>0.09300000000000001</v>
      </c>
      <c r="J18" s="3" t="n">
        <v>0.09300000000000001</v>
      </c>
      <c r="K18" s="3" t="n">
        <v>0.092</v>
      </c>
      <c r="L18" s="3" t="n">
        <v>0.092</v>
      </c>
    </row>
    <row r="19">
      <c r="A19" t="inlineStr">
        <is>
          <t>Capex $ (negative)</t>
        </is>
      </c>
      <c r="C19">
        <f>-C6*C18</f>
        <v/>
      </c>
      <c r="D19">
        <f>-D6*D18</f>
        <v/>
      </c>
      <c r="E19">
        <f>-E6*E18</f>
        <v/>
      </c>
      <c r="F19">
        <f>-F6*F18</f>
        <v/>
      </c>
      <c r="G19">
        <f>-G6*G18</f>
        <v/>
      </c>
      <c r="H19">
        <f>-H6*H18</f>
        <v/>
      </c>
      <c r="I19">
        <f>-I6*I18</f>
        <v/>
      </c>
      <c r="J19">
        <f>-J6*J18</f>
        <v/>
      </c>
      <c r="K19">
        <f>-K6*K18</f>
        <v/>
      </c>
      <c r="L19">
        <f>-L6*L18</f>
        <v/>
      </c>
    </row>
    <row r="20">
      <c r="A20" t="inlineStr">
        <is>
          <t>Working capital</t>
        </is>
      </c>
      <c r="C20">
        <f>Assumptions!$B$5*(C6-B6)</f>
        <v/>
      </c>
      <c r="D20">
        <f>Assumptions!$B$5*(D6-C6)</f>
        <v/>
      </c>
      <c r="E20">
        <f>Assumptions!$B$5*(E6-D6)</f>
        <v/>
      </c>
      <c r="F20">
        <f>Assumptions!$B$5*(F6-E6)</f>
        <v/>
      </c>
      <c r="G20">
        <f>Assumptions!$B$5*(G6-F6)</f>
        <v/>
      </c>
      <c r="H20">
        <f>Assumptions!$B$5*(H6-G6)</f>
        <v/>
      </c>
      <c r="I20">
        <f>Assumptions!$B$5*(I6-H6)</f>
        <v/>
      </c>
      <c r="J20">
        <f>Assumptions!$B$5*(J6-I6)</f>
        <v/>
      </c>
      <c r="K20">
        <f>Assumptions!$B$5*(K6-J6)</f>
        <v/>
      </c>
      <c r="L20">
        <f>Assumptions!$B$5*(L6-K6)</f>
        <v/>
      </c>
    </row>
    <row r="21">
      <c r="A21" t="inlineStr">
        <is>
          <t>Unlevered owner FCF</t>
        </is>
      </c>
      <c r="C21">
        <f>C16+C17+C19+C20</f>
        <v/>
      </c>
      <c r="D21">
        <f>D16+D17+D19+D20</f>
        <v/>
      </c>
      <c r="E21">
        <f>E16+E17+E19+E20</f>
        <v/>
      </c>
      <c r="F21">
        <f>F16+F17+F19+F20</f>
        <v/>
      </c>
      <c r="G21">
        <f>G16+G17+G19+G20</f>
        <v/>
      </c>
      <c r="H21">
        <f>H16+H17+H19+H20</f>
        <v/>
      </c>
      <c r="I21">
        <f>I16+I17+I19+I20</f>
        <v/>
      </c>
      <c r="J21">
        <f>J16+J17+J19+J20</f>
        <v/>
      </c>
      <c r="K21">
        <f>K16+K17+K19+K20</f>
        <v/>
      </c>
      <c r="L21">
        <f>L16+L17+L19+L20</f>
        <v/>
      </c>
    </row>
    <row r="22">
      <c r="A22" t="inlineStr">
        <is>
          <t>Discount factor</t>
        </is>
      </c>
      <c r="C22">
        <f>1/(1+Assumptions!$B$2)^C4</f>
        <v/>
      </c>
      <c r="D22">
        <f>1/(1+Assumptions!$B$2)^D4</f>
        <v/>
      </c>
      <c r="E22">
        <f>1/(1+Assumptions!$B$2)^E4</f>
        <v/>
      </c>
      <c r="F22">
        <f>1/(1+Assumptions!$B$2)^F4</f>
        <v/>
      </c>
      <c r="G22">
        <f>1/(1+Assumptions!$B$2)^G4</f>
        <v/>
      </c>
      <c r="H22">
        <f>1/(1+Assumptions!$B$2)^H4</f>
        <v/>
      </c>
      <c r="I22">
        <f>1/(1+Assumptions!$B$2)^I4</f>
        <v/>
      </c>
      <c r="J22">
        <f>1/(1+Assumptions!$B$2)^J4</f>
        <v/>
      </c>
      <c r="K22">
        <f>1/(1+Assumptions!$B$2)^K4</f>
        <v/>
      </c>
      <c r="L22">
        <f>1/(1+Assumptions!$B$2)^L4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4">
      <c r="A24" t="inlineStr">
        <is>
          <t>Memo: FCF before SBC (street-style)</t>
        </is>
      </c>
      <c r="C24">
        <f>C21-C10</f>
        <v/>
      </c>
      <c r="D24">
        <f>D21-D10</f>
        <v/>
      </c>
      <c r="E24">
        <f>E21-E10</f>
        <v/>
      </c>
      <c r="F24">
        <f>F21-F10</f>
        <v/>
      </c>
      <c r="G24">
        <f>G21-G10</f>
        <v/>
      </c>
      <c r="H24">
        <f>H21-H10</f>
        <v/>
      </c>
      <c r="I24">
        <f>I21-I10</f>
        <v/>
      </c>
      <c r="J24">
        <f>J21-J10</f>
        <v/>
      </c>
      <c r="K24">
        <f>K21-K10</f>
        <v/>
      </c>
      <c r="L24">
        <f>L21-L10</f>
        <v/>
      </c>
    </row>
    <row r="25">
      <c r="A25" t="inlineStr">
        <is>
          <t>Memo: implied owner-FCF margin</t>
        </is>
      </c>
      <c r="C25">
        <f>C21/C6</f>
        <v/>
      </c>
      <c r="D25">
        <f>D21/D6</f>
        <v/>
      </c>
      <c r="E25">
        <f>E21/E6</f>
        <v/>
      </c>
      <c r="F25">
        <f>F21/F6</f>
        <v/>
      </c>
      <c r="G25">
        <f>G21/G6</f>
        <v/>
      </c>
      <c r="H25">
        <f>H21/H6</f>
        <v/>
      </c>
      <c r="I25">
        <f>I21/I6</f>
        <v/>
      </c>
      <c r="J25">
        <f>J21/J6</f>
        <v/>
      </c>
      <c r="K25">
        <f>K21/K6</f>
        <v/>
      </c>
      <c r="L25">
        <f>L21/L6</f>
        <v/>
      </c>
    </row>
    <row r="26">
      <c r="A26" t="inlineStr">
        <is>
          <t>Sum PV of FCF</t>
        </is>
      </c>
      <c r="B26">
        <f>SUM(C23:L23)</f>
        <v/>
      </c>
    </row>
    <row r="27">
      <c r="A27" t="inlineStr">
        <is>
          <t>Terminal growth</t>
        </is>
      </c>
      <c r="B27" s="4">
        <f>Assumptions!$D$13</f>
        <v/>
      </c>
    </row>
    <row r="28">
      <c r="A28" t="inlineStr">
        <is>
          <t>Terminal FCF</t>
        </is>
      </c>
      <c r="B28">
        <f>L21*(1+B27)</f>
        <v/>
      </c>
    </row>
    <row r="29">
      <c r="A29" t="inlineStr">
        <is>
          <t>Gordon TV</t>
        </is>
      </c>
      <c r="B29" s="4">
        <f>B28/(Assumptions!$B$2-B27)</f>
        <v/>
      </c>
    </row>
    <row r="30">
      <c r="A30" t="inlineStr">
        <is>
          <t>Cap TV</t>
        </is>
      </c>
      <c r="B30" s="4">
        <f>Assumptions!$B$4*L21</f>
        <v/>
      </c>
    </row>
    <row r="31">
      <c r="A31" t="inlineStr">
        <is>
          <t>TV used</t>
        </is>
      </c>
      <c r="B31">
        <f>MAX(0,MIN(B29,B30))</f>
        <v/>
      </c>
    </row>
    <row r="32">
      <c r="A32" t="inlineStr">
        <is>
          <t>Implied exit multiple</t>
        </is>
      </c>
      <c r="B32">
        <f>B31/L21</f>
        <v/>
      </c>
    </row>
    <row r="33">
      <c r="A33" t="inlineStr">
        <is>
          <t>PV of TV</t>
        </is>
      </c>
      <c r="B33">
        <f>B31*L22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less net debt</t>
        </is>
      </c>
      <c r="B35" s="4">
        <f>-Assumptions!$B$6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Diluted shares (k)</t>
        </is>
      </c>
      <c r="B37" s="4">
        <f>Assumptions!$B$7</f>
        <v/>
      </c>
    </row>
    <row r="38">
      <c r="A38" t="inlineStr">
        <is>
          <t>Value per share (NZ$)</t>
        </is>
      </c>
      <c r="B38" s="5">
        <f>B36/B37</f>
        <v/>
      </c>
    </row>
    <row r="39">
      <c r="A39" t="inlineStr">
        <is>
          <t>Upside vs price</t>
        </is>
      </c>
      <c r="B39" s="4">
        <f>B38/Assumptions!$B$8-1</f>
        <v/>
      </c>
    </row>
    <row r="41">
      <c r="A41" t="inlineStr">
        <is>
          <t>Street: PV of explicit SBC</t>
        </is>
      </c>
      <c r="B41">
        <f>SUMPRODUCT(-C10:L10,C22:L22)</f>
        <v/>
      </c>
    </row>
    <row r="42">
      <c r="A42" t="inlineStr">
        <is>
          <t>Street: PV of terminal SBC</t>
        </is>
      </c>
      <c r="B42">
        <f>(-L10*(1+B27)/(Assumptions!$B$2-B27))*L22</f>
        <v/>
      </c>
    </row>
    <row r="43">
      <c r="A43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Reported FCF to owner FCF (NZD k)</t>
        </is>
      </c>
    </row>
    <row r="2">
      <c r="A2" s="1" t="inlineStr"/>
      <c r="B2" s="1" t="inlineStr">
        <is>
          <t>FY2020</t>
        </is>
      </c>
      <c r="C2" s="1" t="inlineStr">
        <is>
          <t>FY2021</t>
        </is>
      </c>
      <c r="D2" s="1" t="inlineStr">
        <is>
          <t>FY2022</t>
        </is>
      </c>
      <c r="E2" s="1" t="inlineStr">
        <is>
          <t>FY2023</t>
        </is>
      </c>
      <c r="F2" s="1" t="inlineStr">
        <is>
          <t>FY2024</t>
        </is>
      </c>
      <c r="G2" s="1" t="inlineStr">
        <is>
          <t>FY2025</t>
        </is>
      </c>
    </row>
    <row r="3">
      <c r="A3" t="inlineStr">
        <is>
          <t>Free cash flow (OCF - capex, company definition)</t>
        </is>
      </c>
      <c r="B3" s="2" t="n">
        <v>21262</v>
      </c>
      <c r="C3" s="2" t="n">
        <v>10472</v>
      </c>
      <c r="D3" s="2" t="n">
        <v>-17060</v>
      </c>
      <c r="E3" s="2" t="n">
        <v>22044</v>
      </c>
      <c r="F3" s="2" t="n">
        <v>22464</v>
      </c>
      <c r="G3" s="2" t="n">
        <v>27854</v>
      </c>
    </row>
    <row r="4">
      <c r="A4" t="inlineStr">
        <is>
          <t>less: SBC (expensed in EBITDA; deducted here for the owner series)</t>
        </is>
      </c>
      <c r="B4" s="2" t="n">
        <v>-695</v>
      </c>
      <c r="C4" s="2" t="n">
        <v>-976</v>
      </c>
      <c r="D4" s="2" t="n">
        <v>-1013</v>
      </c>
      <c r="E4" s="2" t="n">
        <v>-1138</v>
      </c>
      <c r="F4" s="2" t="n">
        <v>-962</v>
      </c>
      <c r="G4" s="2" t="n">
        <v>-998</v>
      </c>
    </row>
    <row r="5">
      <c r="A5" t="inlineStr">
        <is>
          <t>less: interest income (n/a - net-debt company)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Owner FCF</t>
        </is>
      </c>
      <c r="B6">
        <f>SUM(B3:B5)</f>
        <v/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SUM(G3:G5)</f>
        <v/>
      </c>
    </row>
    <row r="8">
      <c r="A8" t="inlineStr">
        <is>
          <t>Memo: FY2022 capex 40,496k includes the ~$25m SuperLife management-rights acquisition (term-loan funded) - the FCF trough is deal-driven, not operational.</t>
        </is>
      </c>
    </row>
    <row r="9">
      <c r="A9" t="inlineStr">
        <is>
          <t>Memo: reported FCF is LEVERED (OCF includes ~3.4m net finance costs); the DCF tabs build UNLEVERED FCF - FY2025 unlevered equivalent ~30.3m ties to the Y1 component build of ~30.1m.</t>
        </is>
      </c>
    </row>
    <row r="10">
      <c r="A10" t="inlineStr">
        <is>
          <t>Memo: D&amp;A 18,989k vs cash capex 11,638k in FY2025 - the NZXWT amortisation bubble; model converges D&amp;A% to capex% by Y10 so the temporary tax shield is not perpetuated.</t>
        </is>
      </c>
    </row>
    <row r="11">
      <c r="A11" t="inlineStr">
        <is>
          <t>Memo: mid-cycle normalised unlevered owner FCF ~29,500k = (norm EBITDA 53,500 - SBC 1,000 - capex incl lease renewal 13,600) x 0.72 + ~1,500 amortisation timing.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Scenario summary</t>
        </is>
      </c>
    </row>
    <row r="2">
      <c r="A2" s="1" t="inlineStr"/>
      <c r="B2" s="1" t="inlineStr">
        <is>
          <t>Bear</t>
        </is>
      </c>
      <c r="C2" s="1" t="inlineStr">
        <is>
          <t>Base</t>
        </is>
      </c>
      <c r="D2" s="1" t="inlineStr">
        <is>
          <t>Bull</t>
        </is>
      </c>
    </row>
    <row r="3">
      <c r="A3" t="inlineStr">
        <is>
          <t>Value per share (NZ$)</t>
        </is>
      </c>
      <c r="B3" s="4">
        <f>DCF_Bear!$B$38</f>
        <v/>
      </c>
      <c r="C3" s="4">
        <f>DCF_Base!$B$38</f>
        <v/>
      </c>
      <c r="D3" s="4">
        <f>DCF_Bull!$B$38</f>
        <v/>
      </c>
    </row>
    <row r="4">
      <c r="A4" t="inlineStr">
        <is>
          <t>Upside vs price</t>
        </is>
      </c>
      <c r="B4" s="4">
        <f>DCF_Bear!$B$39</f>
        <v/>
      </c>
      <c r="C4" s="4">
        <f>DCF_Base!$B$39</f>
        <v/>
      </c>
      <c r="D4" s="4">
        <f>DCF_Bull!$B$39</f>
        <v/>
      </c>
    </row>
    <row r="5">
      <c r="A5" t="inlineStr">
        <is>
          <t>Probability</t>
        </is>
      </c>
      <c r="B5" s="4">
        <f>Assumptions!B$14</f>
        <v/>
      </c>
      <c r="C5" s="4">
        <f>Assumptions!C$14</f>
        <v/>
      </c>
      <c r="D5" s="4">
        <f>Assumptions!D$14</f>
        <v/>
      </c>
    </row>
    <row r="6">
      <c r="A6" t="inlineStr">
        <is>
          <t>Street value per share</t>
        </is>
      </c>
      <c r="B6" s="4">
        <f>DCF_Bear!$B$43</f>
        <v/>
      </c>
      <c r="C6" s="4">
        <f>DCF_Base!$B$43</f>
        <v/>
      </c>
      <c r="D6" s="4">
        <f>DCF_Bull!$B$43</f>
        <v/>
      </c>
    </row>
    <row r="8">
      <c r="A8" s="1" t="inlineStr">
        <is>
          <t>Probability-weighted value (NZ$)</t>
        </is>
      </c>
      <c r="B8" s="6">
        <f>SUMPRODUCT(B3:D3,B5:D5)</f>
        <v/>
      </c>
    </row>
    <row r="9">
      <c r="A9" t="inlineStr">
        <is>
          <t>Margin of safety at current price</t>
        </is>
      </c>
      <c r="B9">
        <f>1-Assumptions!$B$8/B8</f>
        <v/>
      </c>
    </row>
    <row r="10">
      <c r="A10" t="inlineStr">
        <is>
          <t>Street weighted value</t>
        </is>
      </c>
      <c r="B10">
        <f>SUMPRODUCT(B6:D6,B5:D5)</f>
        <v/>
      </c>
    </row>
    <row r="11">
      <c r="A11" t="inlineStr">
        <is>
          <t>Band position</t>
        </is>
      </c>
      <c r="B11" t="inlineStr">
        <is>
          <t>null - house/street band ~5c wide (SBC 0.7% of revenue), narrower than estimation error</t>
        </is>
      </c>
    </row>
    <row r="13">
      <c r="A13" s="1" t="inlineStr">
        <is>
          <t>Required-return table (base case)</t>
        </is>
      </c>
    </row>
    <row r="14">
      <c r="A14" t="inlineStr">
        <is>
          <t>Required return</t>
        </is>
      </c>
      <c r="B14" s="2" t="n">
        <v>0.09</v>
      </c>
      <c r="C14" s="2" t="n">
        <v>0.095</v>
      </c>
      <c r="D14" s="2" t="n">
        <v>0.1</v>
      </c>
      <c r="E14" s="2" t="n">
        <v>0.11</v>
      </c>
      <c r="F14" s="2" t="n">
        <v>0.12</v>
      </c>
      <c r="G14" s="2" t="n">
        <v>0.15</v>
      </c>
    </row>
    <row r="15">
      <c r="A15" t="inlineStr">
        <is>
          <t>Value per share (NZ$)</t>
        </is>
      </c>
      <c r="B15">
        <f>(SUMPRODUCT(DCF_Base!$C$21:$L$21/(1+B14)^DCF_Base!$C$4:$L$4)+DCF_Base!$B$31/(1+B14)^10-Assumptions!$B$6)/Assumptions!$B$7</f>
        <v/>
      </c>
      <c r="C15">
        <f>(SUMPRODUCT(DCF_Base!$C$21:$L$21/(1+C14)^DCF_Base!$C$4:$L$4)+DCF_Base!$B$31/(1+C14)^10-Assumptions!$B$6)/Assumptions!$B$7</f>
        <v/>
      </c>
      <c r="D15">
        <f>(SUMPRODUCT(DCF_Base!$C$21:$L$21/(1+D14)^DCF_Base!$C$4:$L$4)+DCF_Base!$B$31/(1+D14)^10-Assumptions!$B$6)/Assumptions!$B$7</f>
        <v/>
      </c>
      <c r="E15">
        <f>(SUMPRODUCT(DCF_Base!$C$21:$L$21/(1+E14)^DCF_Base!$C$4:$L$4)+DCF_Base!$B$31/(1+E14)^10-Assumptions!$B$6)/Assumptions!$B$7</f>
        <v/>
      </c>
      <c r="F15">
        <f>(SUMPRODUCT(DCF_Base!$C$21:$L$21/(1+F14)^DCF_Base!$C$4:$L$4)+DCF_Base!$B$31/(1+F14)^10-Assumptions!$B$6)/Assumptions!$B$7</f>
        <v/>
      </c>
      <c r="G15">
        <f>(SUMPRODUCT(DCF_Base!$C$21:$L$21/(1+G14)^DCF_Base!$C$4:$L$4)+DCF_Base!$B$31/(1+G14)^10-Assumptions!$B$6)/Assumptions!$B$7</f>
        <v/>
      </c>
    </row>
    <row r="16">
      <c r="A16" t="inlineStr">
        <is>
          <t>Note: 9.5% column is the model WACC; price NZ$1.535 exceeds even the 9% value - market accepts ~8.3% on base flows</t>
        </is>
      </c>
    </row>
    <row r="18">
      <c r="A18" s="1" t="inlineStr">
        <is>
          <t>Entry prices at 15% hurdle</t>
        </is>
      </c>
    </row>
    <row r="19">
      <c r="B19" s="1" t="inlineStr">
        <is>
          <t>Bear</t>
        </is>
      </c>
      <c r="C19" s="1" t="inlineStr">
        <is>
          <t>Base</t>
        </is>
      </c>
      <c r="D19" s="1" t="inlineStr">
        <is>
          <t>Bull</t>
        </is>
      </c>
    </row>
    <row r="20">
      <c r="A20" t="inlineStr">
        <is>
          <t>Entry price (NZ$)</t>
        </is>
      </c>
      <c r="B20">
        <f>(SUMPRODUCT(DCF_Bear!$C$21:$L$21/(1+Assumptions!$B$10)^DCF_Bear!$C$4:$L$4)+DCF_Bear!$B$31/(1+Assumptions!$B$10)^10-Assumptions!$B$6)/Assumptions!$B$7</f>
        <v/>
      </c>
      <c r="C20">
        <f>(SUMPRODUCT(DCF_Base!$C$21:$L$21/(1+Assumptions!$B$10)^DCF_Base!$C$4:$L$4)+DCF_Base!$B$31/(1+Assumptions!$B$10)^10-Assumptions!$B$6)/Assumptions!$B$7</f>
        <v/>
      </c>
      <c r="D20">
        <f>(SUMPRODUCT(DCF_Bull!$C$21:$L$21/(1+Assumptions!$B$10)^DCF_Bull!$C$4:$L$4)+DCF_Bull!$B$31/(1+Assumptions!$B$10)^10-Assumptions!$B$6)/Assumptions!$B$7</f>
        <v/>
      </c>
    </row>
    <row r="21">
      <c r="A21" s="1" t="inlineStr">
        <is>
          <t>Weighted entry (buy-below) price</t>
        </is>
      </c>
      <c r="B21" s="6">
        <f>SUMPRODUCT(B20:D20,B5:D5)</f>
        <v/>
      </c>
    </row>
    <row r="23">
      <c r="A23" s="1" t="inlineStr">
        <is>
          <t>Sensitivity: WACC (rows) x terminal growth (cols), base case, NZ$/share</t>
        </is>
      </c>
    </row>
    <row r="24">
      <c r="B24" s="2" t="n">
        <v>0.0125</v>
      </c>
      <c r="C24" s="2" t="n">
        <v>0.0175</v>
      </c>
      <c r="D24" s="2" t="n">
        <v>0.0225</v>
      </c>
      <c r="E24" s="2" t="n">
        <v>0.0275</v>
      </c>
      <c r="F24" s="2" t="n">
        <v>0.0325</v>
      </c>
    </row>
    <row r="25">
      <c r="A25" s="2" t="n">
        <v>0.075</v>
      </c>
      <c r="B25">
        <f>IF($A25&gt;B$24,(SUMPRODUCT(DCF_Base!$C$21:$L$21/(1+$A25)^DCF_Base!$C$4:$L$4)+MAX(0,MIN(DCF_Base!$L$21*(1+B$24)/($A25-B$24),Assumptions!$B$4*DCF_Base!$L$21))/(1+$A25)^10-Assumptions!$B$6)/Assumptions!$B$7,"n/a")</f>
        <v/>
      </c>
      <c r="C25">
        <f>IF($A25&gt;C$24,(SUMPRODUCT(DCF_Base!$C$21:$L$21/(1+$A25)^DCF_Base!$C$4:$L$4)+MAX(0,MIN(DCF_Base!$L$21*(1+C$24)/($A25-C$24),Assumptions!$B$4*DCF_Base!$L$21))/(1+$A25)^10-Assumptions!$B$6)/Assumptions!$B$7,"n/a")</f>
        <v/>
      </c>
      <c r="D25">
        <f>IF($A25&gt;D$24,(SUMPRODUCT(DCF_Base!$C$21:$L$21/(1+$A25)^DCF_Base!$C$4:$L$4)+MAX(0,MIN(DCF_Base!$L$21*(1+D$24)/($A25-D$24),Assumptions!$B$4*DCF_Base!$L$21))/(1+$A25)^10-Assumptions!$B$6)/Assumptions!$B$7,"n/a")</f>
        <v/>
      </c>
      <c r="E25">
        <f>IF($A25&gt;E$24,(SUMPRODUCT(DCF_Base!$C$21:$L$21/(1+$A25)^DCF_Base!$C$4:$L$4)+MAX(0,MIN(DCF_Base!$L$21*(1+E$24)/($A25-E$24),Assumptions!$B$4*DCF_Base!$L$21))/(1+$A25)^10-Assumptions!$B$6)/Assumptions!$B$7,"n/a")</f>
        <v/>
      </c>
      <c r="F25">
        <f>IF($A25&gt;F$24,(SUMPRODUCT(DCF_Base!$C$21:$L$21/(1+$A25)^DCF_Base!$C$4:$L$4)+MAX(0,MIN(DCF_Base!$L$21*(1+F$24)/($A25-F$24),Assumptions!$B$4*DCF_Base!$L$21))/(1+$A25)^10-Assumptions!$B$6)/Assumptions!$B$7,"n/a")</f>
        <v/>
      </c>
    </row>
    <row r="26">
      <c r="A26" s="2" t="n">
        <v>0.08500000000000001</v>
      </c>
      <c r="B26">
        <f>IF($A26&gt;B$24,(SUMPRODUCT(DCF_Base!$C$21:$L$21/(1+$A26)^DCF_Base!$C$4:$L$4)+MAX(0,MIN(DCF_Base!$L$21*(1+B$24)/($A26-B$24),Assumptions!$B$4*DCF_Base!$L$21))/(1+$A26)^10-Assumptions!$B$6)/Assumptions!$B$7,"n/a")</f>
        <v/>
      </c>
      <c r="C26">
        <f>IF($A26&gt;C$24,(SUMPRODUCT(DCF_Base!$C$21:$L$21/(1+$A26)^DCF_Base!$C$4:$L$4)+MAX(0,MIN(DCF_Base!$L$21*(1+C$24)/($A26-C$24),Assumptions!$B$4*DCF_Base!$L$21))/(1+$A26)^10-Assumptions!$B$6)/Assumptions!$B$7,"n/a")</f>
        <v/>
      </c>
      <c r="D26">
        <f>IF($A26&gt;D$24,(SUMPRODUCT(DCF_Base!$C$21:$L$21/(1+$A26)^DCF_Base!$C$4:$L$4)+MAX(0,MIN(DCF_Base!$L$21*(1+D$24)/($A26-D$24),Assumptions!$B$4*DCF_Base!$L$21))/(1+$A26)^10-Assumptions!$B$6)/Assumptions!$B$7,"n/a")</f>
        <v/>
      </c>
      <c r="E26">
        <f>IF($A26&gt;E$24,(SUMPRODUCT(DCF_Base!$C$21:$L$21/(1+$A26)^DCF_Base!$C$4:$L$4)+MAX(0,MIN(DCF_Base!$L$21*(1+E$24)/($A26-E$24),Assumptions!$B$4*DCF_Base!$L$21))/(1+$A26)^10-Assumptions!$B$6)/Assumptions!$B$7,"n/a")</f>
        <v/>
      </c>
      <c r="F26">
        <f>IF($A26&gt;F$24,(SUMPRODUCT(DCF_Base!$C$21:$L$21/(1+$A26)^DCF_Base!$C$4:$L$4)+MAX(0,MIN(DCF_Base!$L$21*(1+F$24)/($A26-F$24),Assumptions!$B$4*DCF_Base!$L$21))/(1+$A26)^10-Assumptions!$B$6)/Assumptions!$B$7,"n/a")</f>
        <v/>
      </c>
    </row>
    <row r="27">
      <c r="A27" s="2" t="n">
        <v>0.095</v>
      </c>
      <c r="B27">
        <f>IF($A27&gt;B$24,(SUMPRODUCT(DCF_Base!$C$21:$L$21/(1+$A27)^DCF_Base!$C$4:$L$4)+MAX(0,MIN(DCF_Base!$L$21*(1+B$24)/($A27-B$24),Assumptions!$B$4*DCF_Base!$L$21))/(1+$A27)^10-Assumptions!$B$6)/Assumptions!$B$7,"n/a")</f>
        <v/>
      </c>
      <c r="C27">
        <f>IF($A27&gt;C$24,(SUMPRODUCT(DCF_Base!$C$21:$L$21/(1+$A27)^DCF_Base!$C$4:$L$4)+MAX(0,MIN(DCF_Base!$L$21*(1+C$24)/($A27-C$24),Assumptions!$B$4*DCF_Base!$L$21))/(1+$A27)^10-Assumptions!$B$6)/Assumptions!$B$7,"n/a")</f>
        <v/>
      </c>
      <c r="D27" s="6">
        <f>IF($A27&gt;D$24,(SUMPRODUCT(DCF_Base!$C$21:$L$21/(1+$A27)^DCF_Base!$C$4:$L$4)+MAX(0,MIN(DCF_Base!$L$21*(1+D$24)/($A27-D$24),Assumptions!$B$4*DCF_Base!$L$21))/(1+$A27)^10-Assumptions!$B$6)/Assumptions!$B$7,"n/a")</f>
        <v/>
      </c>
      <c r="E27">
        <f>IF($A27&gt;E$24,(SUMPRODUCT(DCF_Base!$C$21:$L$21/(1+$A27)^DCF_Base!$C$4:$L$4)+MAX(0,MIN(DCF_Base!$L$21*(1+E$24)/($A27-E$24),Assumptions!$B$4*DCF_Base!$L$21))/(1+$A27)^10-Assumptions!$B$6)/Assumptions!$B$7,"n/a")</f>
        <v/>
      </c>
      <c r="F27">
        <f>IF($A27&gt;F$24,(SUMPRODUCT(DCF_Base!$C$21:$L$21/(1+$A27)^DCF_Base!$C$4:$L$4)+MAX(0,MIN(DCF_Base!$L$21*(1+F$24)/($A27-F$24),Assumptions!$B$4*DCF_Base!$L$21))/(1+$A27)^10-Assumptions!$B$6)/Assumptions!$B$7,"n/a")</f>
        <v/>
      </c>
    </row>
    <row r="28">
      <c r="A28" s="2" t="n">
        <v>0.105</v>
      </c>
      <c r="B28">
        <f>IF($A28&gt;B$24,(SUMPRODUCT(DCF_Base!$C$21:$L$21/(1+$A28)^DCF_Base!$C$4:$L$4)+MAX(0,MIN(DCF_Base!$L$21*(1+B$24)/($A28-B$24),Assumptions!$B$4*DCF_Base!$L$21))/(1+$A28)^10-Assumptions!$B$6)/Assumptions!$B$7,"n/a")</f>
        <v/>
      </c>
      <c r="C28">
        <f>IF($A28&gt;C$24,(SUMPRODUCT(DCF_Base!$C$21:$L$21/(1+$A28)^DCF_Base!$C$4:$L$4)+MAX(0,MIN(DCF_Base!$L$21*(1+C$24)/($A28-C$24),Assumptions!$B$4*DCF_Base!$L$21))/(1+$A28)^10-Assumptions!$B$6)/Assumptions!$B$7,"n/a")</f>
        <v/>
      </c>
      <c r="D28">
        <f>IF($A28&gt;D$24,(SUMPRODUCT(DCF_Base!$C$21:$L$21/(1+$A28)^DCF_Base!$C$4:$L$4)+MAX(0,MIN(DCF_Base!$L$21*(1+D$24)/($A28-D$24),Assumptions!$B$4*DCF_Base!$L$21))/(1+$A28)^10-Assumptions!$B$6)/Assumptions!$B$7,"n/a")</f>
        <v/>
      </c>
      <c r="E28">
        <f>IF($A28&gt;E$24,(SUMPRODUCT(DCF_Base!$C$21:$L$21/(1+$A28)^DCF_Base!$C$4:$L$4)+MAX(0,MIN(DCF_Base!$L$21*(1+E$24)/($A28-E$24),Assumptions!$B$4*DCF_Base!$L$21))/(1+$A28)^10-Assumptions!$B$6)/Assumptions!$B$7,"n/a")</f>
        <v/>
      </c>
      <c r="F28">
        <f>IF($A28&gt;F$24,(SUMPRODUCT(DCF_Base!$C$21:$L$21/(1+$A28)^DCF_Base!$C$4:$L$4)+MAX(0,MIN(DCF_Base!$L$21*(1+F$24)/($A28-F$24),Assumptions!$B$4*DCF_Base!$L$21))/(1+$A28)^10-Assumptions!$B$6)/Assumptions!$B$7,"n/a")</f>
        <v/>
      </c>
    </row>
    <row r="29">
      <c r="A29" s="2" t="n">
        <v>0.115</v>
      </c>
      <c r="B29">
        <f>IF($A29&gt;B$24,(SUMPRODUCT(DCF_Base!$C$21:$L$21/(1+$A29)^DCF_Base!$C$4:$L$4)+MAX(0,MIN(DCF_Base!$L$21*(1+B$24)/($A29-B$24),Assumptions!$B$4*DCF_Base!$L$21))/(1+$A29)^10-Assumptions!$B$6)/Assumptions!$B$7,"n/a")</f>
        <v/>
      </c>
      <c r="C29">
        <f>IF($A29&gt;C$24,(SUMPRODUCT(DCF_Base!$C$21:$L$21/(1+$A29)^DCF_Base!$C$4:$L$4)+MAX(0,MIN(DCF_Base!$L$21*(1+C$24)/($A29-C$24),Assumptions!$B$4*DCF_Base!$L$21))/(1+$A29)^10-Assumptions!$B$6)/Assumptions!$B$7,"n/a")</f>
        <v/>
      </c>
      <c r="D29">
        <f>IF($A29&gt;D$24,(SUMPRODUCT(DCF_Base!$C$21:$L$21/(1+$A29)^DCF_Base!$C$4:$L$4)+MAX(0,MIN(DCF_Base!$L$21*(1+D$24)/($A29-D$24),Assumptions!$B$4*DCF_Base!$L$21))/(1+$A29)^10-Assumptions!$B$6)/Assumptions!$B$7,"n/a")</f>
        <v/>
      </c>
      <c r="E29">
        <f>IF($A29&gt;E$24,(SUMPRODUCT(DCF_Base!$C$21:$L$21/(1+$A29)^DCF_Base!$C$4:$L$4)+MAX(0,MIN(DCF_Base!$L$21*(1+E$24)/($A29-E$24),Assumptions!$B$4*DCF_Base!$L$21))/(1+$A29)^10-Assumptions!$B$6)/Assumptions!$B$7,"n/a")</f>
        <v/>
      </c>
      <c r="F29">
        <f>IF($A29&gt;F$24,(SUMPRODUCT(DCF_Base!$C$21:$L$21/(1+$A29)^DCF_Base!$C$4:$L$4)+MAX(0,MIN(DCF_Base!$L$21*(1+F$24)/($A29-F$24),Assumptions!$B$4*DCF_Base!$L$21))/(1+$A29)^10-Assumptions!$B$6)/Assumptions!$B$7,"n/a")</f>
        <v/>
      </c>
    </row>
    <row r="31">
      <c r="A31" t="inlineStr">
        <is>
          <t>Flat cells are where the 15x terminal-FCF cap binds (entire 7.5% WACC row; high-g cells at 8.5-9.5%)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2026-08-23T21:49:32Z</dcterms:created>
  <dcterms:modified xsi:type="dcterms:W3CDTF">2026-08-23T21:49:32Z</dcterms:modified>
</cp:coreProperties>
</file>