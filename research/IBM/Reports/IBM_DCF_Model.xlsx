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<sst xmlns="http://schemas.openxmlformats.org/spreadsheetml/2006/main" count="390" uniqueCount="175">
  <si>
    <t xml:space="preserve">Ticker</t>
  </si>
  <si>
    <t xml:space="preserve">IBM</t>
  </si>
  <si>
    <t xml:space="preserve">Company</t>
  </si>
  <si>
    <t xml:space="preserve">International Business Machines Corporation</t>
  </si>
  <si>
    <t xml:space="preserve">Valuation date</t>
  </si>
  <si>
    <t xml:space="preserve">2026-09-29</t>
  </si>
  <si>
    <t xml:space="preserve">Current price</t>
  </si>
  <si>
    <t xml:space="preserve">Price as of</t>
  </si>
  <si>
    <t xml:space="preserve">2026-09-28T20:00:03Z regular close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</si>
  <si>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</si>
  <si>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</si>
  <si>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</si>
  <si>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</si>
  <si>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</si>
  <si>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</si>
  <si>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</si>
  <si>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</si>
  <si>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</si>
  <si>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</si>
  <si>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</si>
  <si>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</si>
  <si>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2026-09-28T21:43:49Z</t>
  </si>
  <si>
    <t xml:space="preserve">Drivers file</t>
  </si>
  <si>
    <t xml:space="preserve">IBM_Drivers.json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</si>
  <si>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</si>
  <si>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</si>
  <si>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</si>
  <si>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House basis expenses SBC (1.7bn) AND the cash withholding on vesting (1.0bn) as the real cost of keeping the share count flat; IBM has bought back no stock since 2019, so the flat count is paid for only in the flows. Growth is organic-ish after FY2026 and acquisitions are treated as value-neutral, so the model gives no credit for bought growth but also charges no M&amp;A outflow. Interest income on the 7bn cash balance is left inside the margin anchor at a shaved 27.5% rather than stripped, because IBM is a net-debt company. The terminal value is capped at 15x owner FCF (Gordon would give 20.5x) because IBM is a structurally slow grower; the cap, not terminal growth, sets the terminal value in every scenario, which is what keeps the WACC/g sensitivity tame.
key_risks_to_valuation: Terminal value share: the 15x cap binds in every scenario, so the valuation is ~55% terminal; a 13x exit takes roughly 15% off base.; Leverage: 55bn net debt against a ~230bn enterprise value means a 10% EV change is a ~13% equity change; the balance-sheet date (30 Jun 2026) already absorbs Confluent but not any later deal.; SBC path: the 4.2% -&gt; 3.5% glide assumes retention grants from HashiCorp/Confluent roll off; holding 4.3% flat is worth roughly -5/share. The street basis (SBC as non-cash) is the upper bound of the band.; Acquired-intangible amortisation (~2bn/yr) is inside D&amp;A and mostly non-deductible; the cash tax path is calibrated to actual cash taxes to avoid overstating the shield, but a reader adjusting D&amp;A without adjusting tax will move value.; Mainframe cycle: FY2027 is the z17 trough; the base path's 3.5% assumes Software and the z17 tail offset it. A deeper trough with flat Consulting is the bear path.; Reported vs. owner FCF: IBM's own FCF definition (excludes financing receivables, includes software capex) will print above the 12.1bn XBRL figure used here; do not read the gap as a modelling error.</t>
  </si>
  <si>
    <t xml:space="preserve">Data sources</t>
  </si>
  <si>
    <t xml:space="preserve">price: Yahoo Finance chart API regularMarketPrice at inputs.price_as_of (regular close); 52-week range 199.19-332.46.
financials: IBM_Metrics.csv / IBM.duckdb core_metrics (SEC XBRL, FY2007-Q2 2026) for revenue, net income, OCF, PP&amp;E capex, SBC, shares, debt, cash; SEC companyfacts API (CIK 51143) for pretax income, interest expense, depreciation, intangible amortisation, income taxes paid, equity-award withholding, diluted shares, lease liabilities and acquisition spend (FY2024, FY2025, Q1-Q2 2026 10-K/10-Q). Net debt and share count from the 30 Jun 2026 10-Q.
qualitative: IBM_Analysis.json (2026-09-29): FY2026 guidance (4-5% cc revenue, FCF up ~1bn), segment trends, Q2 2026 results, bull/bear axes.</t>
  </si>
  <si>
    <t xml:space="preserve">Scenario narrative: bear</t>
  </si>
  <si>
    <t xml:space="preserve">Consulting stays flat while the mainframe cycle troughs, hyperscaler AI platforms erode IBM's share of enterprise AI budgets, and Software decelerates to mid-single digits; group growth 1-2%, margin down 1.5pp, SBC stuck above 4% of revenue, cash tax rising to 22%. Terminal 13x at 2% growth. Leverage is serviceable but the equity is a thin slice of a 270bn enterprise value.</t>
  </si>
  <si>
    <t xml:space="preserve">Scenario narrative: base</t>
  </si>
  <si>
    <t xml:space="preserve">IBM grows 4.5% in FY2026 (guidance midpoint, Confluent included) and settles into 2.5-3.5% organic growth thereafter as Software (Red Hat, automation, data/AI, now ~44% of revenue) offsets a cyclical Infrastructure trough in FY2027 and a flat-to-low-growth Consulting franchise. Pre-SBC EBITDA margin expands ~1pp over ten years on mix. The valuation is dominated by the terminal value (15x cap binds) and by the 55bn of net debt that the Red Hat/HashiCorp/Confluent programme has built up.</t>
  </si>
  <si>
    <t xml:space="preserve">Scenario narrative: bull</t>
  </si>
  <si>
    <t xml:space="preserve">The generative-AI consulting backlog converts to revenue, Consulting returns to mid-single-digit growth, and Red Hat/HashiCorp/Confluent keep Software growing low-double-digits, so the group compounds ~5% for four years and the Software mix lifts margin 3pp. SBC glides down as the acquired teams settle. Terminal 16x owner FCF at 3% growth.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</si>
  <si>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</si>
  <si>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</si>
  <si>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</si>
  <si>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</si>
  <si>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</si>
  <si>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</si>
  <si>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</si>
  <si>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</si>
  <si>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</si>
  <si>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</si>
  <si>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</si>
  <si>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</si>
  <si>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</si>
  <si>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</si>
  <si>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</si>
  <si>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</si>
  <si>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</si>
  <si>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</si>
  <si>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</si>
  <si>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</si>
  <si>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</si>
  <si>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</si>
  <si>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</si>
  <si>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</si>
  <si>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</si>
  <si>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</si>
  <si>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</si>
  <si>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FY2006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</si>
  <si>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</si>
  <si>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</si>
  <si>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</si>
  <si>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</si>
  <si>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</si>
  <si>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</si>
  <si>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</si>
  <si>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</si>
  <si>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</si>
  <si>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</si>
  <si>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</si>
  <si>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</si>
  <si>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</si>
  <si>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</si>
  <si>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</si>
  <si>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</si>
  <si>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</si>
  <si>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</si>
  <si>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</si>
  <si>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</si>
  <si>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</si>
  <si>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</si>
  <si>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</si>
  <si>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</si>
  <si>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</si>
  <si>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</si>
  <si>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</si>
  <si>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</si>
  <si>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</si>
  <si>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</si>
  <si>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</si>
  <si>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</si>
  <si>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</si>
  <si>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</si>
  <si>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</si>
  <si>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</si>
  <si>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</si>
  <si>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</si>
  <si>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</si>
  <si>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</si>
  <si>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</si>
  <si>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</si>
  <si>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</si>
  <si>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</si>
  <si>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</si>
  <si>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</si>
  <si>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</si>
  <si>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</si>
  <si>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</si>
  <si>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</si>
  <si>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</si>
  <si>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</si>
  <si>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</si>
  <si>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</si>
  <si>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</si>
  <si>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</si>
  <si>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IBM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</si>
  <si>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</si>
  <si>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</si>
  <si>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</si>
  <si>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</si>
  <si>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</si>
  <si>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</si>
  <si>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</si>
  <si>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</si>
  <si>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</si>
  <si>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</si>
  <si>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</si>
  <si>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</si>
  <si>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</si>
  <si>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</si>
  <si>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</si>
  <si>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</si>
  <si>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</si>
  <si>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</si>
  <si>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</si>
  <si>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</si>
  <si>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</si>
  <si>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</si>
  <si>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</si>
  <si>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</si>
  <si>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</si>
  <si>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</si>
  <si>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</si>
  <si>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</si>
  <si>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</si>
  <si>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</si>
  <si>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IBM owner-FCF component DCF: base case (millions, USD)</t>
  </si>
  <si>
    <t xml:space="preserve">IBM owner-FCF component DCF: bull case (millions, USD)</t>
  </si>
  <si>
    <t xml:space="preserve">IBM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</si>
  <si>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</si>
  <si>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</si>
  <si>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</si>
  <si>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</si>
  <si>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</si>
  <si>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</si>
  <si>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</si>
  <si>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</si>
  <si>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</si>
  <si>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</si>
  <si>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</si>
  <si>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</si>
  <si>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</si>
  <si>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</si>
  <si>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7.5%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</si>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</sst>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220.67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28635</v>
      </c>
      <c r="S2" s="0" t="n">
        <v>8022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98786</v>
      </c>
      <c r="C3" s="0" t="n">
        <v>57057</v>
      </c>
      <c r="D3" s="0" t="n">
        <v>41729</v>
      </c>
      <c r="E3" s="0" t="n">
        <v>42.2418156418926</v>
      </c>
      <c r="I3" s="0" t="n">
        <v>10418</v>
      </c>
      <c r="J3" s="0" t="n">
        <v>10.5460287895046</v>
      </c>
      <c r="K3" s="0" t="n">
        <v>7.27</v>
      </c>
      <c r="M3" s="0" t="n">
        <v>4630</v>
      </c>
      <c r="O3" s="0" t="n">
        <v>28615</v>
      </c>
      <c r="S3" s="0" t="n">
        <v>14991</v>
      </c>
      <c r="T3" s="0" t="n">
        <v>1456.880751</v>
      </c>
      <c r="U3" s="0" t="n">
        <v>713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103630</v>
      </c>
      <c r="C4" s="0" t="n">
        <v>57969</v>
      </c>
      <c r="D4" s="0" t="n">
        <v>45661</v>
      </c>
      <c r="E4" s="0" t="n">
        <v>44.0615651838271</v>
      </c>
      <c r="I4" s="0" t="n">
        <v>12334</v>
      </c>
      <c r="J4" s="0" t="n">
        <v>11.9019588922127</v>
      </c>
      <c r="K4" s="0" t="n">
        <v>9.02</v>
      </c>
      <c r="L4" s="0" t="n">
        <v>18812</v>
      </c>
      <c r="M4" s="0" t="n">
        <v>4171</v>
      </c>
      <c r="N4" s="0" t="n">
        <v>14641</v>
      </c>
      <c r="O4" s="0" t="n">
        <v>13584</v>
      </c>
      <c r="P4" s="0" t="n">
        <v>109524</v>
      </c>
      <c r="Q4" s="0" t="n">
        <v>95939</v>
      </c>
      <c r="R4" s="0" t="n">
        <v>33925</v>
      </c>
      <c r="S4" s="0" t="n">
        <v>12741</v>
      </c>
      <c r="T4" s="0" t="n">
        <v>1387.797198</v>
      </c>
      <c r="U4" s="0" t="n">
        <v>659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95758</v>
      </c>
      <c r="C5" s="0" t="n">
        <v>51973</v>
      </c>
      <c r="D5" s="0" t="n">
        <v>43785</v>
      </c>
      <c r="E5" s="0" t="n">
        <v>45.7246391946365</v>
      </c>
      <c r="I5" s="0" t="n">
        <v>13425</v>
      </c>
      <c r="J5" s="0" t="n">
        <v>14.0197163683452</v>
      </c>
      <c r="K5" s="0" t="n">
        <v>10.12</v>
      </c>
      <c r="L5" s="0" t="n">
        <v>20773</v>
      </c>
      <c r="M5" s="0" t="n">
        <v>3447</v>
      </c>
      <c r="N5" s="0" t="n">
        <v>17326</v>
      </c>
      <c r="O5" s="0" t="n">
        <v>22755</v>
      </c>
      <c r="P5" s="0" t="n">
        <v>109022</v>
      </c>
      <c r="Q5" s="0" t="n">
        <v>86267</v>
      </c>
      <c r="R5" s="0" t="n">
        <v>28322</v>
      </c>
      <c r="S5" s="0" t="n">
        <v>12183</v>
      </c>
      <c r="T5" s="0" t="n">
        <v>1341.352754</v>
      </c>
      <c r="U5" s="0" t="n">
        <v>558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99870</v>
      </c>
      <c r="C6" s="0" t="n">
        <v>53857</v>
      </c>
      <c r="D6" s="0" t="n">
        <v>46014</v>
      </c>
      <c r="E6" s="0" t="n">
        <v>46.0738960648844</v>
      </c>
      <c r="I6" s="0" t="n">
        <v>14833</v>
      </c>
      <c r="J6" s="0" t="n">
        <v>14.8523080004005</v>
      </c>
      <c r="K6" s="0" t="n">
        <v>11.69</v>
      </c>
      <c r="L6" s="0" t="n">
        <v>19549</v>
      </c>
      <c r="M6" s="0" t="n">
        <v>4185</v>
      </c>
      <c r="N6" s="0" t="n">
        <v>15364</v>
      </c>
      <c r="O6" s="0" t="n">
        <v>23172</v>
      </c>
      <c r="P6" s="0" t="n">
        <v>113452</v>
      </c>
      <c r="Q6" s="0" t="n">
        <v>90279</v>
      </c>
      <c r="R6" s="0" t="n">
        <v>32641</v>
      </c>
      <c r="S6" s="0" t="n">
        <v>10661</v>
      </c>
      <c r="T6" s="0" t="n">
        <v>1287.355388</v>
      </c>
      <c r="U6" s="0" t="n">
        <v>629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106916</v>
      </c>
      <c r="C7" s="0" t="n">
        <v>56778</v>
      </c>
      <c r="D7" s="0" t="n">
        <v>50138</v>
      </c>
      <c r="E7" s="0" t="n">
        <v>46.8947585020016</v>
      </c>
      <c r="I7" s="0" t="n">
        <v>15855</v>
      </c>
      <c r="J7" s="0" t="n">
        <v>14.8293987803509</v>
      </c>
      <c r="K7" s="0" t="n">
        <v>13.25</v>
      </c>
      <c r="M7" s="0" t="n">
        <v>4108</v>
      </c>
      <c r="O7" s="0" t="n">
        <v>20236</v>
      </c>
      <c r="P7" s="0" t="n">
        <v>116433</v>
      </c>
      <c r="Q7" s="0" t="n">
        <v>96197</v>
      </c>
      <c r="R7" s="0" t="n">
        <v>35624</v>
      </c>
      <c r="S7" s="0" t="n">
        <v>11922</v>
      </c>
      <c r="T7" s="0" t="n">
        <v>1213.767985</v>
      </c>
      <c r="U7" s="0" t="n">
        <v>697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102874</v>
      </c>
      <c r="C8" s="0" t="n">
        <v>52513</v>
      </c>
      <c r="D8" s="0" t="n">
        <v>50361</v>
      </c>
      <c r="E8" s="0" t="n">
        <v>48.9540603067831</v>
      </c>
      <c r="I8" s="0" t="n">
        <v>16604</v>
      </c>
      <c r="J8" s="0" t="n">
        <v>16.1401325893812</v>
      </c>
      <c r="K8" s="0" t="n">
        <v>14.53</v>
      </c>
      <c r="M8" s="0" t="n">
        <v>4082</v>
      </c>
      <c r="O8" s="0" t="n">
        <v>18984</v>
      </c>
      <c r="P8" s="0" t="n">
        <v>119213</v>
      </c>
      <c r="Q8" s="0" t="n">
        <v>100229</v>
      </c>
      <c r="R8" s="0" t="n">
        <v>38861</v>
      </c>
      <c r="S8" s="0" t="n">
        <v>10412</v>
      </c>
      <c r="T8" s="0" t="n">
        <v>1155.449317</v>
      </c>
      <c r="U8" s="0" t="n">
        <v>688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98367</v>
      </c>
      <c r="C9" s="0" t="n">
        <v>49683</v>
      </c>
      <c r="D9" s="0" t="n">
        <v>48684</v>
      </c>
      <c r="E9" s="0" t="n">
        <v>49.4922077526</v>
      </c>
      <c r="I9" s="0" t="n">
        <v>16483</v>
      </c>
      <c r="J9" s="0" t="n">
        <v>16.7566358636535</v>
      </c>
      <c r="K9" s="0" t="n">
        <v>15.06</v>
      </c>
      <c r="M9" s="0" t="n">
        <v>3623</v>
      </c>
      <c r="O9" s="0" t="n">
        <v>22929</v>
      </c>
      <c r="P9" s="0" t="n">
        <v>125641</v>
      </c>
      <c r="Q9" s="0" t="n">
        <v>103294</v>
      </c>
      <c r="R9" s="0" t="n">
        <v>43572</v>
      </c>
      <c r="S9" s="0" t="n">
        <v>10716</v>
      </c>
      <c r="T9" s="0" t="n">
        <v>1103.042156</v>
      </c>
      <c r="U9" s="0" t="n">
        <v>614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92793</v>
      </c>
      <c r="C10" s="0" t="n">
        <v>46386</v>
      </c>
      <c r="D10" s="0" t="n">
        <v>46407</v>
      </c>
      <c r="E10" s="0" t="n">
        <v>50.0113155087129</v>
      </c>
      <c r="I10" s="0" t="n">
        <v>12022</v>
      </c>
      <c r="J10" s="0" t="n">
        <v>12.95571864257</v>
      </c>
      <c r="K10" s="0" t="n">
        <v>11.97</v>
      </c>
      <c r="L10" s="0" t="n">
        <v>16868</v>
      </c>
      <c r="M10" s="0" t="n">
        <v>3740</v>
      </c>
      <c r="N10" s="0" t="n">
        <v>13128</v>
      </c>
      <c r="O10" s="0" t="n">
        <v>12014</v>
      </c>
      <c r="P10" s="0" t="n">
        <v>117271</v>
      </c>
      <c r="Q10" s="0" t="n">
        <v>105257</v>
      </c>
      <c r="R10" s="0" t="n">
        <v>45324</v>
      </c>
      <c r="S10" s="0" t="n">
        <v>8476</v>
      </c>
      <c r="T10" s="0" t="n">
        <v>1010.00048</v>
      </c>
      <c r="U10" s="0" t="n">
        <v>512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81741</v>
      </c>
      <c r="C11" s="0" t="n">
        <v>41057</v>
      </c>
      <c r="D11" s="0" t="n">
        <v>40684</v>
      </c>
      <c r="E11" s="0" t="n">
        <v>49.7718403249287</v>
      </c>
      <c r="I11" s="0" t="n">
        <v>13190</v>
      </c>
      <c r="J11" s="0" t="n">
        <v>16.1363330519568</v>
      </c>
      <c r="K11" s="0" t="n">
        <v>13.48</v>
      </c>
      <c r="L11" s="0" t="n">
        <v>17255</v>
      </c>
      <c r="M11" s="0" t="n">
        <v>3579</v>
      </c>
      <c r="N11" s="0" t="n">
        <v>13676</v>
      </c>
      <c r="O11" s="0" t="n">
        <v>14424</v>
      </c>
      <c r="P11" s="0" t="n">
        <v>110495</v>
      </c>
      <c r="Q11" s="0" t="n">
        <v>96071</v>
      </c>
      <c r="R11" s="0" t="n">
        <v>45160</v>
      </c>
      <c r="S11" s="0" t="n">
        <v>7686</v>
      </c>
      <c r="T11" s="0" t="n">
        <v>982.700267</v>
      </c>
      <c r="U11" s="0" t="n">
        <v>468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79919</v>
      </c>
      <c r="C12" s="0" t="n">
        <v>41403</v>
      </c>
      <c r="D12" s="0" t="n">
        <v>38516</v>
      </c>
      <c r="E12" s="0" t="n">
        <v>48.1937962186714</v>
      </c>
      <c r="I12" s="0" t="n">
        <v>11872</v>
      </c>
      <c r="J12" s="0" t="n">
        <v>14.8550407287379</v>
      </c>
      <c r="K12" s="0" t="n">
        <v>12.43</v>
      </c>
      <c r="L12" s="0" t="n">
        <v>17084</v>
      </c>
      <c r="M12" s="0" t="n">
        <v>3567</v>
      </c>
      <c r="N12" s="0" t="n">
        <v>13517</v>
      </c>
      <c r="O12" s="0" t="n">
        <v>18392</v>
      </c>
      <c r="P12" s="0" t="n">
        <v>117470</v>
      </c>
      <c r="Q12" s="0" t="n">
        <v>99078</v>
      </c>
      <c r="R12" s="0" t="n">
        <v>48406</v>
      </c>
      <c r="S12" s="0" t="n">
        <v>7826</v>
      </c>
      <c r="T12" s="0" t="n">
        <v>958.714097</v>
      </c>
      <c r="U12" s="0" t="n">
        <v>544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79139</v>
      </c>
      <c r="C13" s="0" t="n">
        <v>42196</v>
      </c>
      <c r="D13" s="0" t="n">
        <v>36943</v>
      </c>
      <c r="E13" s="0" t="n">
        <v>46.681155940813</v>
      </c>
      <c r="I13" s="0" t="n">
        <v>5753</v>
      </c>
      <c r="J13" s="0" t="n">
        <v>7.2694878631269</v>
      </c>
      <c r="K13" s="0" t="n">
        <v>6.17</v>
      </c>
      <c r="L13" s="0" t="n">
        <v>16724</v>
      </c>
      <c r="M13" s="0" t="n">
        <v>3229</v>
      </c>
      <c r="N13" s="0" t="n">
        <v>13495</v>
      </c>
      <c r="O13" s="0" t="n">
        <v>17725</v>
      </c>
      <c r="P13" s="0" t="n">
        <v>125356</v>
      </c>
      <c r="Q13" s="0" t="n">
        <v>107631</v>
      </c>
      <c r="R13" s="0" t="n">
        <v>52039</v>
      </c>
      <c r="S13" s="0" t="n">
        <v>11972</v>
      </c>
      <c r="T13" s="0" t="n">
        <v>937.385625</v>
      </c>
      <c r="U13" s="0" t="n">
        <v>534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79591</v>
      </c>
      <c r="C14" s="0" t="n">
        <v>42655</v>
      </c>
      <c r="D14" s="0" t="n">
        <v>36936</v>
      </c>
      <c r="E14" s="0" t="n">
        <v>46.4072571019336</v>
      </c>
      <c r="I14" s="0" t="n">
        <v>8728</v>
      </c>
      <c r="J14" s="0" t="n">
        <v>10.9660640022113</v>
      </c>
      <c r="K14" s="0" t="n">
        <v>9.57</v>
      </c>
      <c r="L14" s="0" t="n">
        <v>15247</v>
      </c>
      <c r="M14" s="0" t="n">
        <v>3395</v>
      </c>
      <c r="N14" s="0" t="n">
        <v>11852</v>
      </c>
      <c r="O14" s="0" t="n">
        <v>16929</v>
      </c>
      <c r="P14" s="0" t="n">
        <v>123382</v>
      </c>
      <c r="Q14" s="0" t="n">
        <v>106452</v>
      </c>
      <c r="R14" s="0" t="n">
        <v>42656</v>
      </c>
      <c r="S14" s="0" t="n">
        <v>11379</v>
      </c>
      <c r="T14" s="0" t="n">
        <v>916.315714</v>
      </c>
      <c r="U14" s="0" t="n">
        <v>510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57714</v>
      </c>
      <c r="C15" s="0" t="n">
        <v>26181</v>
      </c>
      <c r="D15" s="0" t="n">
        <v>31533</v>
      </c>
      <c r="E15" s="0" t="n">
        <v>54.636656617112</v>
      </c>
      <c r="I15" s="0" t="n">
        <v>9431</v>
      </c>
      <c r="J15" s="0" t="n">
        <v>16.3409224798143</v>
      </c>
      <c r="K15" s="0" t="n">
        <v>10.63</v>
      </c>
      <c r="L15" s="0" t="n">
        <v>14770</v>
      </c>
      <c r="M15" s="0" t="n">
        <v>2286</v>
      </c>
      <c r="N15" s="0" t="n">
        <v>12484</v>
      </c>
      <c r="O15" s="0" t="n">
        <v>20985</v>
      </c>
      <c r="P15" s="0" t="n">
        <v>152186</v>
      </c>
      <c r="Q15" s="0" t="n">
        <v>131202</v>
      </c>
      <c r="R15" s="0" t="n">
        <v>61624</v>
      </c>
      <c r="S15" s="0" t="n">
        <v>8172</v>
      </c>
      <c r="T15" s="0" t="n">
        <v>892.813376</v>
      </c>
      <c r="U15" s="0" t="n">
        <v>679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55179</v>
      </c>
      <c r="C16" s="0" t="n">
        <v>24314</v>
      </c>
      <c r="D16" s="0" t="n">
        <v>30865</v>
      </c>
      <c r="E16" s="0" t="n">
        <v>55.9361351238696</v>
      </c>
      <c r="I16" s="0" t="n">
        <v>5590</v>
      </c>
      <c r="J16" s="0" t="n">
        <v>10.1306656517878</v>
      </c>
      <c r="K16" s="0" t="n">
        <v>6.28</v>
      </c>
      <c r="L16" s="0" t="n">
        <v>18197</v>
      </c>
      <c r="M16" s="0" t="n">
        <v>2618</v>
      </c>
      <c r="N16" s="0" t="n">
        <v>15579</v>
      </c>
      <c r="O16" s="0" t="n">
        <v>20727</v>
      </c>
      <c r="P16" s="0" t="n">
        <v>155971</v>
      </c>
      <c r="Q16" s="0" t="n">
        <v>135244</v>
      </c>
      <c r="R16" s="0" t="n">
        <v>61203</v>
      </c>
      <c r="S16" s="0" t="n">
        <v>13188</v>
      </c>
      <c r="T16" s="0" t="n">
        <v>896.563971</v>
      </c>
      <c r="U16" s="0" t="n">
        <v>937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57350</v>
      </c>
      <c r="C17" s="0" t="n">
        <v>25865</v>
      </c>
      <c r="D17" s="0" t="n">
        <v>31486</v>
      </c>
      <c r="E17" s="0" t="n">
        <v>54.9014821272886</v>
      </c>
      <c r="I17" s="0" t="n">
        <v>5743</v>
      </c>
      <c r="J17" s="0" t="n">
        <v>10.0139494333043</v>
      </c>
      <c r="K17" s="0" t="n">
        <v>6.41</v>
      </c>
      <c r="L17" s="0" t="n">
        <v>12796</v>
      </c>
      <c r="M17" s="0" t="n">
        <v>2062</v>
      </c>
      <c r="N17" s="0" t="n">
        <v>10734</v>
      </c>
      <c r="O17" s="0" t="n">
        <v>18996</v>
      </c>
      <c r="P17" s="0" t="n">
        <v>132001</v>
      </c>
      <c r="Q17" s="0" t="n">
        <v>113005</v>
      </c>
      <c r="R17" s="0" t="n">
        <v>51681</v>
      </c>
      <c r="S17" s="0" t="n">
        <v>6650</v>
      </c>
      <c r="T17" s="0" t="n">
        <v>904.641001</v>
      </c>
      <c r="U17" s="0" t="n">
        <v>982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60530</v>
      </c>
      <c r="C18" s="0" t="n">
        <v>27842</v>
      </c>
      <c r="D18" s="0" t="n">
        <v>32687</v>
      </c>
      <c r="E18" s="0" t="n">
        <v>54.0013216586817</v>
      </c>
      <c r="I18" s="0" t="n">
        <v>1639</v>
      </c>
      <c r="J18" s="0" t="n">
        <v>2.70774822402115</v>
      </c>
      <c r="K18" s="0" t="n">
        <v>1.82</v>
      </c>
      <c r="L18" s="0" t="n">
        <v>10435</v>
      </c>
      <c r="M18" s="0" t="n">
        <v>1346</v>
      </c>
      <c r="N18" s="0" t="n">
        <v>9089</v>
      </c>
      <c r="O18" s="0" t="n">
        <v>22021</v>
      </c>
      <c r="P18" s="0" t="n">
        <v>127243</v>
      </c>
      <c r="Q18" s="0" t="n">
        <v>105222</v>
      </c>
      <c r="R18" s="0" t="n">
        <v>50940</v>
      </c>
      <c r="S18" s="0" t="n">
        <v>7886</v>
      </c>
      <c r="T18" s="0" t="n">
        <v>912.269062</v>
      </c>
      <c r="U18" s="0" t="n">
        <v>987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61860</v>
      </c>
      <c r="C19" s="0" t="n">
        <v>27560</v>
      </c>
      <c r="D19" s="0" t="n">
        <v>34300</v>
      </c>
      <c r="E19" s="0" t="n">
        <v>55.4477853216941</v>
      </c>
      <c r="I19" s="0" t="n">
        <v>7502</v>
      </c>
      <c r="J19" s="0" t="n">
        <v>12.1273844164242</v>
      </c>
      <c r="K19" s="0" t="n">
        <v>8.23</v>
      </c>
      <c r="L19" s="0" t="n">
        <v>13931</v>
      </c>
      <c r="M19" s="0" t="n">
        <v>1245</v>
      </c>
      <c r="N19" s="0" t="n">
        <v>12686</v>
      </c>
      <c r="O19" s="0" t="n">
        <v>22613</v>
      </c>
      <c r="P19" s="0" t="n">
        <v>135241</v>
      </c>
      <c r="Q19" s="0" t="n">
        <v>112628</v>
      </c>
      <c r="R19" s="0" t="n">
        <v>56546</v>
      </c>
      <c r="S19" s="0" t="n">
        <v>13068</v>
      </c>
      <c r="T19" s="0" t="n">
        <v>922.073828</v>
      </c>
      <c r="U19" s="0" t="n">
        <v>1133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62753</v>
      </c>
      <c r="C20" s="0" t="n">
        <v>27201</v>
      </c>
      <c r="D20" s="0" t="n">
        <v>35551</v>
      </c>
      <c r="E20" s="0" t="n">
        <v>56.6522716045448</v>
      </c>
      <c r="I20" s="0" t="n">
        <v>6023</v>
      </c>
      <c r="J20" s="0" t="n">
        <v>9.59794750848565</v>
      </c>
      <c r="K20" s="0" t="n">
        <v>6.53</v>
      </c>
      <c r="L20" s="0" t="n">
        <v>13445</v>
      </c>
      <c r="M20" s="0" t="n">
        <v>1048</v>
      </c>
      <c r="N20" s="0" t="n">
        <v>12397</v>
      </c>
      <c r="O20" s="0" t="n">
        <v>27393</v>
      </c>
      <c r="P20" s="0" t="n">
        <v>137175</v>
      </c>
      <c r="Q20" s="0" t="n">
        <v>109783</v>
      </c>
      <c r="R20" s="0" t="n">
        <v>54943</v>
      </c>
      <c r="S20" s="0" t="n">
        <v>13947</v>
      </c>
      <c r="T20" s="0" t="n">
        <v>937.161224</v>
      </c>
      <c r="U20" s="0" t="n">
        <v>1311</v>
      </c>
      <c r="AA20" s="0" t="s">
        <v>17</v>
      </c>
      <c r="AB20" s="0" t="s">
        <v>14</v>
      </c>
    </row>
    <row r="21" customFormat="false" ht="15" hidden="false" customHeight="false" outlineLevel="0" collapsed="false">
      <c r="A21" s="0" t="s">
        <v>82</v>
      </c>
      <c r="B21" s="0" t="n">
        <v>67535</v>
      </c>
      <c r="C21" s="0" t="n">
        <v>28239</v>
      </c>
      <c r="D21" s="0" t="n">
        <v>39297</v>
      </c>
      <c r="E21" s="0" t="n">
        <v>58.1876064262975</v>
      </c>
      <c r="I21" s="0" t="n">
        <v>10593</v>
      </c>
      <c r="J21" s="0" t="n">
        <v>15.6852002665285</v>
      </c>
      <c r="K21" s="0" t="n">
        <v>11.36</v>
      </c>
      <c r="L21" s="0" t="n">
        <v>13193</v>
      </c>
      <c r="M21" s="0" t="n">
        <v>1091</v>
      </c>
      <c r="N21" s="0" t="n">
        <v>12102</v>
      </c>
      <c r="O21" s="0" t="n">
        <v>32740</v>
      </c>
      <c r="P21" s="0" t="n">
        <v>151880</v>
      </c>
      <c r="Q21" s="0" t="n">
        <v>119139</v>
      </c>
      <c r="R21" s="0" t="n">
        <v>61260</v>
      </c>
      <c r="S21" s="0" t="n">
        <v>13587</v>
      </c>
      <c r="T21" s="0" t="n">
        <v>948.675228</v>
      </c>
      <c r="U21" s="0" t="n">
        <v>1715</v>
      </c>
      <c r="AA21" s="0" t="s">
        <v>17</v>
      </c>
      <c r="AB21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83</v>
      </c>
      <c r="B1" s="2" t="s">
        <v>84</v>
      </c>
    </row>
    <row r="2" customFormat="false" ht="15" hidden="false" customHeight="false" outlineLevel="0" collapsed="false">
      <c r="A2" s="0" t="s">
        <v>85</v>
      </c>
      <c r="B2" s="3" t="n">
        <v>220.67</v>
      </c>
    </row>
    <row r="3" customFormat="false" ht="15" hidden="false" customHeight="false" outlineLevel="0" collapsed="false">
      <c r="A3" s="0" t="s">
        <v>86</v>
      </c>
      <c r="B3" s="3" t="n">
        <v>953.3</v>
      </c>
    </row>
    <row r="4" customFormat="false" ht="15" hidden="false" customHeight="false" outlineLevel="0" collapsed="false">
      <c r="A4" s="0" t="s">
        <v>87</v>
      </c>
      <c r="B4" s="3" t="n">
        <v>54812</v>
      </c>
    </row>
    <row r="5" customFormat="false" ht="15" hidden="false" customHeight="false" outlineLevel="0" collapsed="false">
      <c r="A5" s="0" t="s">
        <v>88</v>
      </c>
      <c r="B5" s="3" t="n">
        <v>0</v>
      </c>
    </row>
    <row r="6" customFormat="false" ht="15" hidden="false" customHeight="false" outlineLevel="0" collapsed="false">
      <c r="A6" s="0" t="s">
        <v>89</v>
      </c>
      <c r="B6" s="3" t="n">
        <v>15</v>
      </c>
    </row>
    <row r="7" customFormat="false" ht="15" hidden="false" customHeight="false" outlineLevel="0" collapsed="false">
      <c r="A7" s="0" t="s">
        <v>90</v>
      </c>
      <c r="B7" s="3" t="n">
        <v>67535</v>
      </c>
    </row>
    <row r="8" customFormat="false" ht="15" hidden="false" customHeight="false" outlineLevel="0" collapsed="false">
      <c r="A8" s="0" t="s">
        <v>91</v>
      </c>
      <c r="B8" s="3" t="s">
        <v>82</v>
      </c>
    </row>
    <row r="9" customFormat="false" ht="15" hidden="false" customHeight="false" outlineLevel="0" collapsed="false">
      <c r="A9" s="0" t="s">
        <v>92</v>
      </c>
      <c r="B9" s="3" t="s">
        <v>93</v>
      </c>
    </row>
    <row r="10" customFormat="false" ht="15" hidden="false" customHeight="false" outlineLevel="0" collapsed="false">
      <c r="A10" s="0" t="s">
        <v>94</v>
      </c>
      <c r="B10" s="3" t="n">
        <v>1</v>
      </c>
    </row>
    <row r="12" customFormat="false" ht="15" hidden="false" customHeight="false" outlineLevel="0" collapsed="false">
      <c r="A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  <c r="H12" s="2" t="s">
        <v>101</v>
      </c>
      <c r="I12" s="2" t="s">
        <v>102</v>
      </c>
      <c r="J12" s="2" t="s">
        <v>103</v>
      </c>
      <c r="K12" s="2" t="s">
        <v>104</v>
      </c>
      <c r="L12" s="2" t="s">
        <v>105</v>
      </c>
    </row>
    <row r="13" customFormat="false" ht="15" hidden="false" customHeight="false" outlineLevel="0" collapsed="false">
      <c r="A13" s="0" t="s">
        <v>106</v>
      </c>
      <c r="C13" s="3" t="n">
        <v>3.5</v>
      </c>
      <c r="D13" s="3" t="n">
        <v>1.5</v>
      </c>
      <c r="E13" s="3" t="n">
        <v>1</v>
      </c>
      <c r="F13" s="3" t="n">
        <v>1.5</v>
      </c>
      <c r="G13" s="3" t="n">
        <v>2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107</v>
      </c>
      <c r="C14" s="3" t="n">
        <v>27</v>
      </c>
      <c r="D14" s="3" t="n">
        <v>26.8</v>
      </c>
      <c r="E14" s="3" t="n">
        <v>26.5</v>
      </c>
      <c r="F14" s="3" t="n">
        <v>26.3</v>
      </c>
      <c r="G14" s="3" t="n">
        <v>26</v>
      </c>
      <c r="H14" s="3" t="n">
        <v>26</v>
      </c>
      <c r="I14" s="3" t="n">
        <v>26</v>
      </c>
      <c r="J14" s="3" t="n">
        <v>26</v>
      </c>
      <c r="K14" s="3" t="n">
        <v>26</v>
      </c>
      <c r="L14" s="3" t="n">
        <v>26</v>
      </c>
    </row>
    <row r="15" customFormat="false" ht="15" hidden="false" customHeight="false" outlineLevel="0" collapsed="false">
      <c r="A15" s="0" t="s">
        <v>108</v>
      </c>
      <c r="C15" s="3" t="n">
        <v>4.3</v>
      </c>
      <c r="D15" s="3" t="n">
        <v>4.3</v>
      </c>
      <c r="E15" s="3" t="n">
        <v>4.2</v>
      </c>
      <c r="F15" s="3" t="n">
        <v>4.1</v>
      </c>
      <c r="G15" s="3" t="n">
        <v>4</v>
      </c>
      <c r="H15" s="3" t="n">
        <v>4</v>
      </c>
      <c r="I15" s="3" t="n">
        <v>3.9</v>
      </c>
      <c r="J15" s="3" t="n">
        <v>3.8</v>
      </c>
      <c r="K15" s="3" t="n">
        <v>3.8</v>
      </c>
      <c r="L15" s="3" t="n">
        <v>3.8</v>
      </c>
    </row>
    <row r="16" customFormat="false" ht="15" hidden="false" customHeight="false" outlineLevel="0" collapsed="false">
      <c r="A16" s="0" t="s">
        <v>109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110</v>
      </c>
      <c r="C17" s="3" t="n">
        <v>7.8</v>
      </c>
      <c r="D17" s="3" t="n">
        <v>7.6</v>
      </c>
      <c r="E17" s="3" t="n">
        <v>7.4</v>
      </c>
      <c r="F17" s="3" t="n">
        <v>7.2</v>
      </c>
      <c r="G17" s="3" t="n">
        <v>7</v>
      </c>
      <c r="H17" s="3" t="n">
        <v>6.8</v>
      </c>
      <c r="I17" s="3" t="n">
        <v>6.6</v>
      </c>
      <c r="J17" s="3" t="n">
        <v>6.5</v>
      </c>
      <c r="K17" s="3" t="n">
        <v>6.5</v>
      </c>
      <c r="L17" s="3" t="n">
        <v>6.5</v>
      </c>
    </row>
    <row r="18" customFormat="false" ht="15" hidden="false" customHeight="false" outlineLevel="0" collapsed="false">
      <c r="A18" s="0" t="s">
        <v>111</v>
      </c>
      <c r="C18" s="3" t="n">
        <v>3</v>
      </c>
      <c r="D18" s="3" t="n">
        <v>3</v>
      </c>
      <c r="E18" s="3" t="n">
        <v>3</v>
      </c>
      <c r="F18" s="3" t="n">
        <v>3</v>
      </c>
      <c r="G18" s="3" t="n">
        <v>3</v>
      </c>
      <c r="H18" s="3" t="n">
        <v>3</v>
      </c>
      <c r="I18" s="3" t="n">
        <v>3</v>
      </c>
      <c r="J18" s="3" t="n">
        <v>3</v>
      </c>
      <c r="K18" s="3" t="n">
        <v>3</v>
      </c>
      <c r="L18" s="3" t="n">
        <v>3</v>
      </c>
    </row>
    <row r="19" customFormat="false" ht="15" hidden="false" customHeight="false" outlineLevel="0" collapsed="false">
      <c r="A19" s="0" t="s">
        <v>112</v>
      </c>
      <c r="C19" s="3" t="n">
        <v>19</v>
      </c>
      <c r="D19" s="3" t="n">
        <v>19</v>
      </c>
      <c r="E19" s="3" t="n">
        <v>20</v>
      </c>
      <c r="F19" s="3" t="n">
        <v>20</v>
      </c>
      <c r="G19" s="3" t="n">
        <v>21</v>
      </c>
      <c r="H19" s="3" t="n">
        <v>21</v>
      </c>
      <c r="I19" s="3" t="n">
        <v>22</v>
      </c>
      <c r="J19" s="3" t="n">
        <v>22</v>
      </c>
      <c r="K19" s="3" t="n">
        <v>22</v>
      </c>
      <c r="L19" s="3" t="n">
        <v>22</v>
      </c>
    </row>
    <row r="20" customFormat="false" ht="15" hidden="false" customHeight="false" outlineLevel="0" collapsed="false">
      <c r="A20" s="0" t="s">
        <v>113</v>
      </c>
      <c r="B20" s="3" t="n">
        <v>7.5</v>
      </c>
    </row>
    <row r="21" customFormat="false" ht="15" hidden="false" customHeight="false" outlineLevel="0" collapsed="false">
      <c r="A21" s="0" t="s">
        <v>114</v>
      </c>
      <c r="B21" s="3" t="n">
        <v>2</v>
      </c>
    </row>
    <row r="22" customFormat="false" ht="15" hidden="false" customHeight="false" outlineLevel="0" collapsed="false">
      <c r="A22" s="0" t="s">
        <v>115</v>
      </c>
      <c r="B22" s="3" t="n">
        <v>13</v>
      </c>
    </row>
    <row r="23" customFormat="false" ht="15" hidden="false" customHeight="false" outlineLevel="0" collapsed="false">
      <c r="A23" s="0" t="s">
        <v>116</v>
      </c>
      <c r="B23" s="3" t="n">
        <v>-5</v>
      </c>
    </row>
    <row r="24" customFormat="false" ht="15" hidden="false" customHeight="false" outlineLevel="0" collapsed="false">
      <c r="A24" s="0" t="s">
        <v>117</v>
      </c>
      <c r="B24" s="3" t="n">
        <v>0.25</v>
      </c>
    </row>
    <row r="26" customFormat="false" ht="15" hidden="false" customHeight="false" outlineLevel="0" collapsed="false">
      <c r="A26" s="2" t="s">
        <v>118</v>
      </c>
      <c r="C26" s="2" t="s">
        <v>96</v>
      </c>
      <c r="D26" s="2" t="s">
        <v>97</v>
      </c>
      <c r="E26" s="2" t="s">
        <v>98</v>
      </c>
      <c r="F26" s="2" t="s">
        <v>99</v>
      </c>
      <c r="G26" s="2" t="s">
        <v>100</v>
      </c>
      <c r="H26" s="2" t="s">
        <v>101</v>
      </c>
      <c r="I26" s="2" t="s">
        <v>102</v>
      </c>
      <c r="J26" s="2" t="s">
        <v>103</v>
      </c>
      <c r="K26" s="2" t="s">
        <v>104</v>
      </c>
      <c r="L26" s="2" t="s">
        <v>105</v>
      </c>
    </row>
    <row r="27" customFormat="false" ht="15" hidden="false" customHeight="false" outlineLevel="0" collapsed="false">
      <c r="A27" s="0" t="s">
        <v>106</v>
      </c>
      <c r="C27" s="3" t="n">
        <v>4.5</v>
      </c>
      <c r="D27" s="3" t="n">
        <v>3.5</v>
      </c>
      <c r="E27" s="3" t="n">
        <v>3.5</v>
      </c>
      <c r="F27" s="3" t="n">
        <v>3</v>
      </c>
      <c r="G27" s="3" t="n">
        <v>3</v>
      </c>
      <c r="H27" s="3" t="n">
        <v>3</v>
      </c>
      <c r="I27" s="3" t="n">
        <v>2.5</v>
      </c>
      <c r="J27" s="3" t="n">
        <v>2.5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107</v>
      </c>
      <c r="C28" s="3" t="n">
        <v>27.5</v>
      </c>
      <c r="D28" s="3" t="n">
        <v>27.8</v>
      </c>
      <c r="E28" s="3" t="n">
        <v>28</v>
      </c>
      <c r="F28" s="3" t="n">
        <v>28.2</v>
      </c>
      <c r="G28" s="3" t="n">
        <v>28.4</v>
      </c>
      <c r="H28" s="3" t="n">
        <v>28.5</v>
      </c>
      <c r="I28" s="3" t="n">
        <v>28.5</v>
      </c>
      <c r="J28" s="3" t="n">
        <v>28.5</v>
      </c>
      <c r="K28" s="3" t="n">
        <v>28.5</v>
      </c>
      <c r="L28" s="3" t="n">
        <v>28.5</v>
      </c>
    </row>
    <row r="29" customFormat="false" ht="15" hidden="false" customHeight="false" outlineLevel="0" collapsed="false">
      <c r="A29" s="0" t="s">
        <v>108</v>
      </c>
      <c r="C29" s="3" t="n">
        <v>4.2</v>
      </c>
      <c r="D29" s="3" t="n">
        <v>4.1</v>
      </c>
      <c r="E29" s="3" t="n">
        <v>4</v>
      </c>
      <c r="F29" s="3" t="n">
        <v>3.9</v>
      </c>
      <c r="G29" s="3" t="n">
        <v>3.8</v>
      </c>
      <c r="H29" s="3" t="n">
        <v>3.7</v>
      </c>
      <c r="I29" s="3" t="n">
        <v>3.6</v>
      </c>
      <c r="J29" s="3" t="n">
        <v>3.5</v>
      </c>
      <c r="K29" s="3" t="n">
        <v>3.5</v>
      </c>
      <c r="L29" s="3" t="n">
        <v>3.5</v>
      </c>
    </row>
    <row r="30" customFormat="false" ht="15" hidden="false" customHeight="false" outlineLevel="0" collapsed="false">
      <c r="A30" s="0" t="s">
        <v>109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110</v>
      </c>
      <c r="C31" s="3" t="n">
        <v>7.8</v>
      </c>
      <c r="D31" s="3" t="n">
        <v>7.6</v>
      </c>
      <c r="E31" s="3" t="n">
        <v>7.4</v>
      </c>
      <c r="F31" s="3" t="n">
        <v>7.2</v>
      </c>
      <c r="G31" s="3" t="n">
        <v>7</v>
      </c>
      <c r="H31" s="3" t="n">
        <v>6.8</v>
      </c>
      <c r="I31" s="3" t="n">
        <v>6.6</v>
      </c>
      <c r="J31" s="3" t="n">
        <v>6.5</v>
      </c>
      <c r="K31" s="3" t="n">
        <v>6.5</v>
      </c>
      <c r="L31" s="3" t="n">
        <v>6.5</v>
      </c>
    </row>
    <row r="32" customFormat="false" ht="15" hidden="false" customHeight="false" outlineLevel="0" collapsed="false">
      <c r="A32" s="0" t="s">
        <v>111</v>
      </c>
      <c r="C32" s="3" t="n">
        <v>2.9</v>
      </c>
      <c r="D32" s="3" t="n">
        <v>2.9</v>
      </c>
      <c r="E32" s="3" t="n">
        <v>2.9</v>
      </c>
      <c r="F32" s="3" t="n">
        <v>2.9</v>
      </c>
      <c r="G32" s="3" t="n">
        <v>2.9</v>
      </c>
      <c r="H32" s="3" t="n">
        <v>2.9</v>
      </c>
      <c r="I32" s="3" t="n">
        <v>2.9</v>
      </c>
      <c r="J32" s="3" t="n">
        <v>2.9</v>
      </c>
      <c r="K32" s="3" t="n">
        <v>2.9</v>
      </c>
      <c r="L32" s="3" t="n">
        <v>2.9</v>
      </c>
    </row>
    <row r="33" customFormat="false" ht="15" hidden="false" customHeight="false" outlineLevel="0" collapsed="false">
      <c r="A33" s="0" t="s">
        <v>112</v>
      </c>
      <c r="C33" s="3" t="n">
        <v>18</v>
      </c>
      <c r="D33" s="3" t="n">
        <v>18</v>
      </c>
      <c r="E33" s="3" t="n">
        <v>19</v>
      </c>
      <c r="F33" s="3" t="n">
        <v>19</v>
      </c>
      <c r="G33" s="3" t="n">
        <v>20</v>
      </c>
      <c r="H33" s="3" t="n">
        <v>20</v>
      </c>
      <c r="I33" s="3" t="n">
        <v>20</v>
      </c>
      <c r="J33" s="3" t="n">
        <v>20</v>
      </c>
      <c r="K33" s="3" t="n">
        <v>20</v>
      </c>
      <c r="L33" s="3" t="n">
        <v>20</v>
      </c>
    </row>
    <row r="34" customFormat="false" ht="15" hidden="false" customHeight="false" outlineLevel="0" collapsed="false">
      <c r="A34" s="0" t="s">
        <v>113</v>
      </c>
      <c r="B34" s="3" t="n">
        <v>7.5</v>
      </c>
    </row>
    <row r="35" customFormat="false" ht="15" hidden="false" customHeight="false" outlineLevel="0" collapsed="false">
      <c r="A35" s="0" t="s">
        <v>114</v>
      </c>
      <c r="B35" s="3" t="n">
        <v>2.5</v>
      </c>
    </row>
    <row r="36" customFormat="false" ht="15" hidden="false" customHeight="false" outlineLevel="0" collapsed="false">
      <c r="A36" s="0" t="s">
        <v>115</v>
      </c>
      <c r="B36" s="3" t="n">
        <v>15</v>
      </c>
    </row>
    <row r="37" customFormat="false" ht="15" hidden="false" customHeight="false" outlineLevel="0" collapsed="false">
      <c r="A37" s="0" t="s">
        <v>116</v>
      </c>
      <c r="B37" s="3" t="n">
        <v>0</v>
      </c>
    </row>
    <row r="38" customFormat="false" ht="15" hidden="false" customHeight="false" outlineLevel="0" collapsed="false">
      <c r="A38" s="0" t="s">
        <v>117</v>
      </c>
      <c r="B38" s="3" t="n">
        <v>0.5</v>
      </c>
    </row>
    <row r="40" customFormat="false" ht="15" hidden="false" customHeight="false" outlineLevel="0" collapsed="false">
      <c r="A40" s="2" t="s">
        <v>119</v>
      </c>
      <c r="C40" s="2" t="s">
        <v>96</v>
      </c>
      <c r="D40" s="2" t="s">
        <v>97</v>
      </c>
      <c r="E40" s="2" t="s">
        <v>98</v>
      </c>
      <c r="F40" s="2" t="s">
        <v>99</v>
      </c>
      <c r="G40" s="2" t="s">
        <v>100</v>
      </c>
      <c r="H40" s="2" t="s">
        <v>101</v>
      </c>
      <c r="I40" s="2" t="s">
        <v>102</v>
      </c>
      <c r="J40" s="2" t="s">
        <v>103</v>
      </c>
      <c r="K40" s="2" t="s">
        <v>104</v>
      </c>
      <c r="L40" s="2" t="s">
        <v>105</v>
      </c>
    </row>
    <row r="41" customFormat="false" ht="15" hidden="false" customHeight="false" outlineLevel="0" collapsed="false">
      <c r="A41" s="0" t="s">
        <v>106</v>
      </c>
      <c r="C41" s="3" t="n">
        <v>5.5</v>
      </c>
      <c r="D41" s="3" t="n">
        <v>5</v>
      </c>
      <c r="E41" s="3" t="n">
        <v>5</v>
      </c>
      <c r="F41" s="3" t="n">
        <v>4.5</v>
      </c>
      <c r="G41" s="3" t="n">
        <v>4</v>
      </c>
      <c r="H41" s="3" t="n">
        <v>4</v>
      </c>
      <c r="I41" s="3" t="n">
        <v>3.5</v>
      </c>
      <c r="J41" s="3" t="n">
        <v>3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107</v>
      </c>
      <c r="C42" s="3" t="n">
        <v>27.8</v>
      </c>
      <c r="D42" s="3" t="n">
        <v>28.3</v>
      </c>
      <c r="E42" s="3" t="n">
        <v>28.8</v>
      </c>
      <c r="F42" s="3" t="n">
        <v>29.3</v>
      </c>
      <c r="G42" s="3" t="n">
        <v>29.8</v>
      </c>
      <c r="H42" s="3" t="n">
        <v>30.2</v>
      </c>
      <c r="I42" s="3" t="n">
        <v>30.5</v>
      </c>
      <c r="J42" s="3" t="n">
        <v>30.5</v>
      </c>
      <c r="K42" s="3" t="n">
        <v>30.5</v>
      </c>
      <c r="L42" s="3" t="n">
        <v>30.5</v>
      </c>
    </row>
    <row r="43" customFormat="false" ht="15" hidden="false" customHeight="false" outlineLevel="0" collapsed="false">
      <c r="A43" s="0" t="s">
        <v>108</v>
      </c>
      <c r="C43" s="3" t="n">
        <v>4.1</v>
      </c>
      <c r="D43" s="3" t="n">
        <v>4</v>
      </c>
      <c r="E43" s="3" t="n">
        <v>3.8</v>
      </c>
      <c r="F43" s="3" t="n">
        <v>3.6</v>
      </c>
      <c r="G43" s="3" t="n">
        <v>3.5</v>
      </c>
      <c r="H43" s="3" t="n">
        <v>3.4</v>
      </c>
      <c r="I43" s="3" t="n">
        <v>3.3</v>
      </c>
      <c r="J43" s="3" t="n">
        <v>3.2</v>
      </c>
      <c r="K43" s="3" t="n">
        <v>3.2</v>
      </c>
      <c r="L43" s="3" t="n">
        <v>3.2</v>
      </c>
    </row>
    <row r="44" customFormat="false" ht="15" hidden="false" customHeight="false" outlineLevel="0" collapsed="false">
      <c r="A44" s="0" t="s">
        <v>109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110</v>
      </c>
      <c r="C45" s="3" t="n">
        <v>7.8</v>
      </c>
      <c r="D45" s="3" t="n">
        <v>7.5</v>
      </c>
      <c r="E45" s="3" t="n">
        <v>7.2</v>
      </c>
      <c r="F45" s="3" t="n">
        <v>7</v>
      </c>
      <c r="G45" s="3" t="n">
        <v>6.8</v>
      </c>
      <c r="H45" s="3" t="n">
        <v>6.6</v>
      </c>
      <c r="I45" s="3" t="n">
        <v>6.4</v>
      </c>
      <c r="J45" s="3" t="n">
        <v>6.2</v>
      </c>
      <c r="K45" s="3" t="n">
        <v>6.2</v>
      </c>
      <c r="L45" s="3" t="n">
        <v>6.2</v>
      </c>
    </row>
    <row r="46" customFormat="false" ht="15" hidden="false" customHeight="false" outlineLevel="0" collapsed="false">
      <c r="A46" s="0" t="s">
        <v>111</v>
      </c>
      <c r="C46" s="3" t="n">
        <v>2.9</v>
      </c>
      <c r="D46" s="3" t="n">
        <v>2.9</v>
      </c>
      <c r="E46" s="3" t="n">
        <v>2.9</v>
      </c>
      <c r="F46" s="3" t="n">
        <v>2.9</v>
      </c>
      <c r="G46" s="3" t="n">
        <v>2.9</v>
      </c>
      <c r="H46" s="3" t="n">
        <v>2.9</v>
      </c>
      <c r="I46" s="3" t="n">
        <v>2.9</v>
      </c>
      <c r="J46" s="3" t="n">
        <v>2.9</v>
      </c>
      <c r="K46" s="3" t="n">
        <v>2.9</v>
      </c>
      <c r="L46" s="3" t="n">
        <v>2.9</v>
      </c>
    </row>
    <row r="47" customFormat="false" ht="15" hidden="false" customHeight="false" outlineLevel="0" collapsed="false">
      <c r="A47" s="0" t="s">
        <v>112</v>
      </c>
      <c r="C47" s="3" t="n">
        <v>17</v>
      </c>
      <c r="D47" s="3" t="n">
        <v>17</v>
      </c>
      <c r="E47" s="3" t="n">
        <v>18</v>
      </c>
      <c r="F47" s="3" t="n">
        <v>18</v>
      </c>
      <c r="G47" s="3" t="n">
        <v>19</v>
      </c>
      <c r="H47" s="3" t="n">
        <v>19</v>
      </c>
      <c r="I47" s="3" t="n">
        <v>19</v>
      </c>
      <c r="J47" s="3" t="n">
        <v>19</v>
      </c>
      <c r="K47" s="3" t="n">
        <v>19</v>
      </c>
      <c r="L47" s="3" t="n">
        <v>19</v>
      </c>
    </row>
    <row r="48" customFormat="false" ht="15" hidden="false" customHeight="false" outlineLevel="0" collapsed="false">
      <c r="A48" s="0" t="s">
        <v>113</v>
      </c>
      <c r="B48" s="3" t="n">
        <v>7.5</v>
      </c>
    </row>
    <row r="49" customFormat="false" ht="15" hidden="false" customHeight="false" outlineLevel="0" collapsed="false">
      <c r="A49" s="0" t="s">
        <v>114</v>
      </c>
      <c r="B49" s="3" t="n">
        <v>3</v>
      </c>
    </row>
    <row r="50" customFormat="false" ht="15" hidden="false" customHeight="false" outlineLevel="0" collapsed="false">
      <c r="A50" s="0" t="s">
        <v>115</v>
      </c>
      <c r="B50" s="3" t="n">
        <v>16</v>
      </c>
    </row>
    <row r="51" customFormat="false" ht="15" hidden="false" customHeight="false" outlineLevel="0" collapsed="false">
      <c r="A51" s="0" t="s">
        <v>116</v>
      </c>
      <c r="B51" s="3" t="n">
        <v>5</v>
      </c>
    </row>
    <row r="52" customFormat="false" ht="15" hidden="false" customHeight="false" outlineLevel="0" collapsed="false">
      <c r="A52" s="0" t="s">
        <v>117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120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Assumptions!C13</f>
        <v>3.5</v>
      </c>
      <c r="D5" s="4" t="n">
        <f aca="false">Assumptions!D13</f>
        <v>1.5</v>
      </c>
      <c r="E5" s="4" t="n">
        <f aca="false">Assumptions!E13</f>
        <v>1</v>
      </c>
      <c r="F5" s="4" t="n">
        <f aca="false">Assumptions!F13</f>
        <v>1.5</v>
      </c>
      <c r="G5" s="4" t="n">
        <f aca="false">Assumptions!G13</f>
        <v>2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67535</v>
      </c>
      <c r="C6" s="0" t="n">
        <f aca="false">B6*(1+C5/100)</f>
        <v>69898.725</v>
      </c>
      <c r="D6" s="0" t="n">
        <f aca="false">C6*(1+D5/100)</f>
        <v>70947.205875</v>
      </c>
      <c r="E6" s="0" t="n">
        <f aca="false">D6*(1+E5/100)</f>
        <v>71656.67793375</v>
      </c>
      <c r="F6" s="0" t="n">
        <f aca="false">E6*(1+F5/100)</f>
        <v>72731.5281027562</v>
      </c>
      <c r="G6" s="0" t="n">
        <f aca="false">F6*(1+G5/100)</f>
        <v>74186.1586648114</v>
      </c>
      <c r="H6" s="0" t="n">
        <f aca="false">G6*(1+H5/100)</f>
        <v>75669.8818381076</v>
      </c>
      <c r="I6" s="0" t="n">
        <f aca="false">H6*(1+I5/100)</f>
        <v>77183.2794748697</v>
      </c>
      <c r="J6" s="0" t="n">
        <f aca="false">I6*(1+J5/100)</f>
        <v>78726.9450643671</v>
      </c>
      <c r="K6" s="0" t="n">
        <f aca="false">J6*(1+K5/100)</f>
        <v>80301.4839656545</v>
      </c>
      <c r="L6" s="0" t="n">
        <f aca="false">K6*(1+L5/100)</f>
        <v>81907.5136449676</v>
      </c>
    </row>
    <row r="7" customFormat="false" ht="15" hidden="false" customHeight="false" outlineLevel="0" collapsed="false">
      <c r="A7" s="0" t="s">
        <v>107</v>
      </c>
      <c r="C7" s="4" t="n">
        <f aca="false">Assumptions!C14</f>
        <v>27</v>
      </c>
      <c r="D7" s="4" t="n">
        <f aca="false">Assumptions!D14</f>
        <v>26.8</v>
      </c>
      <c r="E7" s="4" t="n">
        <f aca="false">Assumptions!E14</f>
        <v>26.5</v>
      </c>
      <c r="F7" s="4" t="n">
        <f aca="false">Assumptions!F14</f>
        <v>26.3</v>
      </c>
      <c r="G7" s="4" t="n">
        <f aca="false">Assumptions!G14</f>
        <v>26</v>
      </c>
      <c r="H7" s="4" t="n">
        <f aca="false">Assumptions!H14</f>
        <v>26</v>
      </c>
      <c r="I7" s="4" t="n">
        <f aca="false">Assumptions!I14</f>
        <v>26</v>
      </c>
      <c r="J7" s="4" t="n">
        <f aca="false">Assumptions!J14</f>
        <v>26</v>
      </c>
      <c r="K7" s="4" t="n">
        <f aca="false">Assumptions!K14</f>
        <v>26</v>
      </c>
      <c r="L7" s="4" t="n">
        <f aca="false">Assumptions!L14</f>
        <v>26</v>
      </c>
    </row>
    <row r="8" customFormat="false" ht="15" hidden="false" customHeight="false" outlineLevel="0" collapsed="false">
      <c r="A8" s="0" t="s">
        <v>43</v>
      </c>
      <c r="C8" s="0" t="n">
        <f aca="false">C6*C7/100</f>
        <v>18872.65575</v>
      </c>
      <c r="D8" s="0" t="n">
        <f aca="false">D6*D7/100</f>
        <v>19013.8511745</v>
      </c>
      <c r="E8" s="0" t="n">
        <f aca="false">E6*E7/100</f>
        <v>18989.0196524438</v>
      </c>
      <c r="F8" s="0" t="n">
        <f aca="false">F6*F7/100</f>
        <v>19128.3918910249</v>
      </c>
      <c r="G8" s="0" t="n">
        <f aca="false">G6*G7/100</f>
        <v>19288.401252851</v>
      </c>
      <c r="H8" s="0" t="n">
        <f aca="false">H6*H7/100</f>
        <v>19674.169277908</v>
      </c>
      <c r="I8" s="0" t="n">
        <f aca="false">I6*I7/100</f>
        <v>20067.6526634661</v>
      </c>
      <c r="J8" s="0" t="n">
        <f aca="false">J6*J7/100</f>
        <v>20469.0057167355</v>
      </c>
      <c r="K8" s="0" t="n">
        <f aca="false">K6*K7/100</f>
        <v>20878.3858310702</v>
      </c>
      <c r="L8" s="0" t="n">
        <f aca="false">L6*L7/100</f>
        <v>21295.9535476916</v>
      </c>
    </row>
    <row r="9" customFormat="false" ht="15" hidden="false" customHeight="false" outlineLevel="0" collapsed="false">
      <c r="A9" s="0" t="s">
        <v>108</v>
      </c>
      <c r="C9" s="4" t="n">
        <f aca="false">Assumptions!C15</f>
        <v>4.3</v>
      </c>
      <c r="D9" s="4" t="n">
        <f aca="false">Assumptions!D15</f>
        <v>4.3</v>
      </c>
      <c r="E9" s="4" t="n">
        <f aca="false">Assumptions!E15</f>
        <v>4.2</v>
      </c>
      <c r="F9" s="4" t="n">
        <f aca="false">Assumptions!F15</f>
        <v>4.1</v>
      </c>
      <c r="G9" s="4" t="n">
        <f aca="false">Assumptions!G15</f>
        <v>4</v>
      </c>
      <c r="H9" s="4" t="n">
        <f aca="false">Assumptions!H15</f>
        <v>4</v>
      </c>
      <c r="I9" s="4" t="n">
        <f aca="false">Assumptions!I15</f>
        <v>3.9</v>
      </c>
      <c r="J9" s="4" t="n">
        <f aca="false">Assumptions!J15</f>
        <v>3.8</v>
      </c>
      <c r="K9" s="4" t="n">
        <f aca="false">Assumptions!K15</f>
        <v>3.8</v>
      </c>
      <c r="L9" s="4" t="n">
        <f aca="false">Assumptions!L15</f>
        <v>3.8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-3005.645175</v>
      </c>
      <c r="D10" s="0" t="n">
        <f aca="false">-D6*D9/100</f>
        <v>-3050.729852625</v>
      </c>
      <c r="E10" s="0" t="n">
        <f aca="false">-E6*E9/100</f>
        <v>-3009.5804732175</v>
      </c>
      <c r="F10" s="0" t="n">
        <f aca="false">-F6*F9/100</f>
        <v>-2981.99265221301</v>
      </c>
      <c r="G10" s="0" t="n">
        <f aca="false">-G6*G9/100</f>
        <v>-2967.44634659245</v>
      </c>
      <c r="H10" s="0" t="n">
        <f aca="false">-H6*H9/100</f>
        <v>-3026.7952735243</v>
      </c>
      <c r="I10" s="0" t="n">
        <f aca="false">-I6*I9/100</f>
        <v>-3010.14789951992</v>
      </c>
      <c r="J10" s="0" t="n">
        <f aca="false">-J6*J9/100</f>
        <v>-2991.62391244595</v>
      </c>
      <c r="K10" s="0" t="n">
        <f aca="false">-K6*K9/100</f>
        <v>-3051.45639069487</v>
      </c>
      <c r="L10" s="0" t="n">
        <f aca="false">-L6*L9/100</f>
        <v>-3112.48551850877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15867.010575</v>
      </c>
      <c r="D11" s="0" t="n">
        <f aca="false">D8+D10+D24</f>
        <v>15963.121321875</v>
      </c>
      <c r="E11" s="0" t="n">
        <f aca="false">E8+E10+E24</f>
        <v>15979.4391792262</v>
      </c>
      <c r="F11" s="0" t="n">
        <f aca="false">F8+F10+F24</f>
        <v>16146.3992388119</v>
      </c>
      <c r="G11" s="0" t="n">
        <f aca="false">G8+G10+G24</f>
        <v>16320.9549062585</v>
      </c>
      <c r="H11" s="0" t="n">
        <f aca="false">H8+H10+H24</f>
        <v>16647.3740043837</v>
      </c>
      <c r="I11" s="0" t="n">
        <f aca="false">I8+I10+I24</f>
        <v>17057.5047639462</v>
      </c>
      <c r="J11" s="0" t="n">
        <f aca="false">J8+J10+J24</f>
        <v>17477.3818042895</v>
      </c>
      <c r="K11" s="0" t="n">
        <f aca="false">K8+K10+K24</f>
        <v>17826.9294403753</v>
      </c>
      <c r="L11" s="0" t="n">
        <f aca="false">L8+L10+L24</f>
        <v>18183.4680291828</v>
      </c>
    </row>
    <row r="12" customFormat="false" ht="15" hidden="false" customHeight="false" outlineLevel="0" collapsed="false">
      <c r="A12" s="0" t="s">
        <v>125</v>
      </c>
      <c r="C12" s="4" t="n">
        <f aca="false">-C6*Assumptions!C17/100</f>
        <v>-5452.10055</v>
      </c>
      <c r="D12" s="4" t="n">
        <f aca="false">-D6*Assumptions!D17/100</f>
        <v>-5391.9876465</v>
      </c>
      <c r="E12" s="4" t="n">
        <f aca="false">-E6*Assumptions!E17/100</f>
        <v>-5302.5941670975</v>
      </c>
      <c r="F12" s="4" t="n">
        <f aca="false">-F6*Assumptions!F17/100</f>
        <v>-5236.67002339845</v>
      </c>
      <c r="G12" s="4" t="n">
        <f aca="false">-G6*Assumptions!G17/100</f>
        <v>-5193.0311065368</v>
      </c>
      <c r="H12" s="4" t="n">
        <f aca="false">-H6*Assumptions!H17/100</f>
        <v>-5145.55196499132</v>
      </c>
      <c r="I12" s="4" t="n">
        <f aca="false">-I6*Assumptions!I17/100</f>
        <v>-5094.0964453414</v>
      </c>
      <c r="J12" s="4" t="n">
        <f aca="false">-J6*Assumptions!J17/100</f>
        <v>-5117.25142918386</v>
      </c>
      <c r="K12" s="4" t="n">
        <f aca="false">-K6*Assumptions!K17/100</f>
        <v>-5219.59645776754</v>
      </c>
      <c r="L12" s="4" t="n">
        <f aca="false">-L6*Assumptions!L17/100</f>
        <v>-5323.98838692289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10414.910025</v>
      </c>
      <c r="D13" s="0" t="n">
        <f aca="false">D11+D12</f>
        <v>10571.133675375</v>
      </c>
      <c r="E13" s="0" t="n">
        <f aca="false">E11+E12</f>
        <v>10676.8450121288</v>
      </c>
      <c r="F13" s="0" t="n">
        <f aca="false">F11+F12</f>
        <v>10909.7292154134</v>
      </c>
      <c r="G13" s="0" t="n">
        <f aca="false">G11+G12</f>
        <v>11127.9237997217</v>
      </c>
      <c r="H13" s="0" t="n">
        <f aca="false">H11+H12</f>
        <v>11501.8220393924</v>
      </c>
      <c r="I13" s="0" t="n">
        <f aca="false">I11+I12</f>
        <v>11963.4083186048</v>
      </c>
      <c r="J13" s="0" t="n">
        <f aca="false">J11+J12</f>
        <v>12360.1303751056</v>
      </c>
      <c r="K13" s="0" t="n">
        <f aca="false">K11+K12</f>
        <v>12607.3329826078</v>
      </c>
      <c r="L13" s="0" t="n">
        <f aca="false">L11+L12</f>
        <v>12859.4796422599</v>
      </c>
    </row>
    <row r="14" customFormat="false" ht="15" hidden="false" customHeight="false" outlineLevel="0" collapsed="false">
      <c r="A14" s="0" t="s">
        <v>112</v>
      </c>
      <c r="C14" s="4" t="n">
        <f aca="false">Assumptions!C19</f>
        <v>19</v>
      </c>
      <c r="D14" s="4" t="n">
        <f aca="false">Assumptions!D19</f>
        <v>19</v>
      </c>
      <c r="E14" s="4" t="n">
        <f aca="false">Assumptions!E19</f>
        <v>20</v>
      </c>
      <c r="F14" s="4" t="n">
        <f aca="false">Assumptions!F19</f>
        <v>20</v>
      </c>
      <c r="G14" s="4" t="n">
        <f aca="false">Assumptions!G19</f>
        <v>21</v>
      </c>
      <c r="H14" s="4" t="n">
        <f aca="false">Assumptions!H19</f>
        <v>21</v>
      </c>
      <c r="I14" s="4" t="n">
        <f aca="false">Assumptions!I19</f>
        <v>22</v>
      </c>
      <c r="J14" s="4" t="n">
        <f aca="false">Assumptions!J19</f>
        <v>22</v>
      </c>
      <c r="K14" s="4" t="n">
        <f aca="false">Assumptions!K19</f>
        <v>22</v>
      </c>
      <c r="L14" s="4" t="n">
        <f aca="false">Assumptions!L19</f>
        <v>22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8436.07712025</v>
      </c>
      <c r="D15" s="0" t="n">
        <f aca="false">D13-MAX(0,D13)*D14/100</f>
        <v>8562.61827705375</v>
      </c>
      <c r="E15" s="0" t="n">
        <f aca="false">E13-MAX(0,E13)*E14/100</f>
        <v>8541.476009703</v>
      </c>
      <c r="F15" s="0" t="n">
        <f aca="false">F13-MAX(0,F13)*F14/100</f>
        <v>8727.78337233075</v>
      </c>
      <c r="G15" s="0" t="n">
        <f aca="false">G13-MAX(0,G13)*G14/100</f>
        <v>8791.05980178015</v>
      </c>
      <c r="H15" s="0" t="n">
        <f aca="false">H13-MAX(0,H13)*H14/100</f>
        <v>9086.43941111996</v>
      </c>
      <c r="I15" s="0" t="n">
        <f aca="false">I13-MAX(0,I13)*I14/100</f>
        <v>9331.45848851175</v>
      </c>
      <c r="J15" s="0" t="n">
        <f aca="false">J13-MAX(0,J13)*J14/100</f>
        <v>9640.9016925824</v>
      </c>
      <c r="K15" s="0" t="n">
        <f aca="false">K13-MAX(0,K13)*K14/100</f>
        <v>9833.71972643405</v>
      </c>
      <c r="L15" s="0" t="n">
        <f aca="false">L13-MAX(0,L13)*L14/100</f>
        <v>10030.3941209627</v>
      </c>
    </row>
    <row r="16" customFormat="false" ht="15" hidden="false" customHeight="false" outlineLevel="0" collapsed="false">
      <c r="A16" s="0" t="s">
        <v>128</v>
      </c>
      <c r="C16" s="0" t="n">
        <f aca="false">-C12</f>
        <v>5452.10055</v>
      </c>
      <c r="D16" s="0" t="n">
        <f aca="false">-D12</f>
        <v>5391.9876465</v>
      </c>
      <c r="E16" s="0" t="n">
        <f aca="false">-E12</f>
        <v>5302.5941670975</v>
      </c>
      <c r="F16" s="0" t="n">
        <f aca="false">-F12</f>
        <v>5236.67002339845</v>
      </c>
      <c r="G16" s="0" t="n">
        <f aca="false">-G12</f>
        <v>5193.0311065368</v>
      </c>
      <c r="H16" s="0" t="n">
        <f aca="false">-H12</f>
        <v>5145.55196499132</v>
      </c>
      <c r="I16" s="0" t="n">
        <f aca="false">-I12</f>
        <v>5094.0964453414</v>
      </c>
      <c r="J16" s="0" t="n">
        <f aca="false">-J12</f>
        <v>5117.25142918386</v>
      </c>
      <c r="K16" s="0" t="n">
        <f aca="false">-K12</f>
        <v>5219.59645776754</v>
      </c>
      <c r="L16" s="0" t="n">
        <f aca="false">-L12</f>
        <v>5323.98838692289</v>
      </c>
    </row>
    <row r="17" customFormat="false" ht="15" hidden="false" customHeight="false" outlineLevel="0" collapsed="false">
      <c r="A17" s="0" t="s">
        <v>129</v>
      </c>
      <c r="C17" s="4" t="n">
        <f aca="false">-C6*Assumptions!C18/100</f>
        <v>-2096.96175</v>
      </c>
      <c r="D17" s="4" t="n">
        <f aca="false">-D6*Assumptions!D18/100</f>
        <v>-2128.41617625</v>
      </c>
      <c r="E17" s="4" t="n">
        <f aca="false">-E6*Assumptions!E18/100</f>
        <v>-2149.7003380125</v>
      </c>
      <c r="F17" s="4" t="n">
        <f aca="false">-F6*Assumptions!F18/100</f>
        <v>-2181.94584308269</v>
      </c>
      <c r="G17" s="4" t="n">
        <f aca="false">-G6*Assumptions!G18/100</f>
        <v>-2225.58475994434</v>
      </c>
      <c r="H17" s="4" t="n">
        <f aca="false">-H6*Assumptions!H18/100</f>
        <v>-2270.09645514323</v>
      </c>
      <c r="I17" s="4" t="n">
        <f aca="false">-I6*Assumptions!I18/100</f>
        <v>-2315.49838424609</v>
      </c>
      <c r="J17" s="4" t="n">
        <f aca="false">-J6*Assumptions!J18/100</f>
        <v>-2361.80835193101</v>
      </c>
      <c r="K17" s="4" t="n">
        <f aca="false">-K6*Assumptions!K18/100</f>
        <v>-2409.04451896963</v>
      </c>
      <c r="L17" s="4" t="n">
        <f aca="false">-L6*Assumptions!L18/100</f>
        <v>-2457.22540934903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(C6-B6)*Assumptions!$B$23/100</f>
        <v>-118.18625</v>
      </c>
      <c r="D18" s="4" t="n">
        <f aca="false">(D6-C6)*Assumptions!$B$23/100</f>
        <v>-52.4240437499997</v>
      </c>
      <c r="E18" s="4" t="n">
        <f aca="false">(E6-D6)*Assumptions!$B$23/100</f>
        <v>-35.4736029375003</v>
      </c>
      <c r="F18" s="4" t="n">
        <f aca="false">(F6-E6)*Assumptions!$B$23/100</f>
        <v>-53.742508450312</v>
      </c>
      <c r="G18" s="4" t="n">
        <f aca="false">(G6-F6)*Assumptions!$B$23/100</f>
        <v>-72.7315281027564</v>
      </c>
      <c r="H18" s="4" t="n">
        <f aca="false">(H6-G6)*Assumptions!$B$23/100</f>
        <v>-74.1861586648112</v>
      </c>
      <c r="I18" s="4" t="n">
        <f aca="false">(I6-H6)*Assumptions!$B$23/100</f>
        <v>-75.6698818381075</v>
      </c>
      <c r="J18" s="4" t="n">
        <f aca="false">(J6-I6)*Assumptions!$B$23/100</f>
        <v>-77.1832794748698</v>
      </c>
      <c r="K18" s="4" t="n">
        <f aca="false">(K6-J6)*Assumptions!$B$23/100</f>
        <v>-78.7269450643675</v>
      </c>
      <c r="L18" s="4" t="n">
        <f aca="false">(L6-K6)*Assumptions!$B$23/100</f>
        <v>-80.3014839656542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11673.02967025</v>
      </c>
      <c r="D19" s="0" t="n">
        <f aca="false">D15+D16+D17+D18</f>
        <v>11773.7657035537</v>
      </c>
      <c r="E19" s="0" t="n">
        <f aca="false">E15+E16+E17+E18</f>
        <v>11658.8962358505</v>
      </c>
      <c r="F19" s="0" t="n">
        <f aca="false">F15+F16+F17+F18</f>
        <v>11728.7650441962</v>
      </c>
      <c r="G19" s="0" t="n">
        <f aca="false">G15+G16+G17+G18</f>
        <v>11685.7746202698</v>
      </c>
      <c r="H19" s="0" t="n">
        <f aca="false">H15+H16+H17+H18</f>
        <v>11887.7087623032</v>
      </c>
      <c r="I19" s="0" t="n">
        <f aca="false">I15+I16+I17+I18</f>
        <v>12034.386667769</v>
      </c>
      <c r="J19" s="0" t="n">
        <f aca="false">J15+J16+J17+J18</f>
        <v>12319.1614903604</v>
      </c>
      <c r="K19" s="0" t="n">
        <f aca="false">K15+K16+K17+K18</f>
        <v>12565.5447201676</v>
      </c>
      <c r="L19" s="0" t="n">
        <f aca="false">L15+L16+L17+L18</f>
        <v>12816.8556145709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10858.6322513954</v>
      </c>
      <c r="D21" s="0" t="n">
        <f aca="false">D19*D20</f>
        <v>10188.2234319557</v>
      </c>
      <c r="E21" s="0" t="n">
        <f aca="false">E19*E20</f>
        <v>9384.95175386359</v>
      </c>
      <c r="F21" s="0" t="n">
        <f aca="false">F19*F20</f>
        <v>8782.50547871674</v>
      </c>
      <c r="G21" s="0" t="n">
        <f aca="false">G19*G20</f>
        <v>8139.82718744686</v>
      </c>
      <c r="H21" s="0" t="n">
        <f aca="false">H19*H20</f>
        <v>7702.77782069436</v>
      </c>
      <c r="I21" s="0" t="n">
        <f aca="false">I19*I20</f>
        <v>7253.78554329788</v>
      </c>
      <c r="J21" s="0" t="n">
        <f aca="false">J19*J20</f>
        <v>6907.38136117878</v>
      </c>
      <c r="K21" s="0" t="n">
        <f aca="false">K19*K20</f>
        <v>6553.98045432778</v>
      </c>
      <c r="L21" s="0" t="n">
        <f aca="false">L19*L20</f>
        <v>6218.66052410635</v>
      </c>
    </row>
    <row r="23" customFormat="false" ht="15" hidden="false" customHeight="false" outlineLevel="0" collapsed="false">
      <c r="A23" s="0" t="s">
        <v>109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Assumptions!$B$20</f>
        <v>7.5</v>
      </c>
    </row>
    <row r="28" customFormat="false" ht="15" hidden="false" customHeight="false" outlineLevel="0" collapsed="false">
      <c r="A28" s="0" t="s">
        <v>114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115</v>
      </c>
      <c r="B29" s="4" t="n">
        <f aca="false">Assumptions!$B$22</f>
        <v>13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81990.7258069833</v>
      </c>
    </row>
    <row r="31" customFormat="false" ht="15" hidden="false" customHeight="false" outlineLevel="0" collapsed="false">
      <c r="A31" s="0" t="s">
        <v>137</v>
      </c>
      <c r="B31" s="0" t="n">
        <f aca="false">L19</f>
        <v>12816.8556145709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237694.413215679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166619.122989422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166619.122989422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80842.5868133826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162833.312620366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108021.312620366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113.313031176299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-0.486504594297824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20713.1434575879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28006.586491215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164.419429947728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100563.020975864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31.1667709679374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Assumptions!C27</f>
        <v>4.5</v>
      </c>
      <c r="D5" s="4" t="n">
        <f aca="false">Assumptions!D27</f>
        <v>3.5</v>
      </c>
      <c r="E5" s="4" t="n">
        <f aca="false">Assumptions!E27</f>
        <v>3.5</v>
      </c>
      <c r="F5" s="4" t="n">
        <f aca="false">Assumptions!F27</f>
        <v>3</v>
      </c>
      <c r="G5" s="4" t="n">
        <f aca="false">Assumptions!G27</f>
        <v>3</v>
      </c>
      <c r="H5" s="4" t="n">
        <f aca="false">Assumptions!H27</f>
        <v>3</v>
      </c>
      <c r="I5" s="4" t="n">
        <f aca="false">Assumptions!I27</f>
        <v>2.5</v>
      </c>
      <c r="J5" s="4" t="n">
        <f aca="false">Assumptions!J27</f>
        <v>2.5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67535</v>
      </c>
      <c r="C6" s="0" t="n">
        <f aca="false">B6*(1+C5/100)</f>
        <v>70574.075</v>
      </c>
      <c r="D6" s="0" t="n">
        <f aca="false">C6*(1+D5/100)</f>
        <v>73044.167625</v>
      </c>
      <c r="E6" s="0" t="n">
        <f aca="false">D6*(1+E5/100)</f>
        <v>75600.713491875</v>
      </c>
      <c r="F6" s="0" t="n">
        <f aca="false">E6*(1+F5/100)</f>
        <v>77868.7348966312</v>
      </c>
      <c r="G6" s="0" t="n">
        <f aca="false">F6*(1+G5/100)</f>
        <v>80204.7969435302</v>
      </c>
      <c r="H6" s="0" t="n">
        <f aca="false">G6*(1+H5/100)</f>
        <v>82610.9408518361</v>
      </c>
      <c r="I6" s="0" t="n">
        <f aca="false">H6*(1+I5/100)</f>
        <v>84676.214373132</v>
      </c>
      <c r="J6" s="0" t="n">
        <f aca="false">I6*(1+J5/100)</f>
        <v>86793.1197324603</v>
      </c>
      <c r="K6" s="0" t="n">
        <f aca="false">J6*(1+K5/100)</f>
        <v>88962.9477257718</v>
      </c>
      <c r="L6" s="0" t="n">
        <f aca="false">K6*(1+L5/100)</f>
        <v>91187.021418916</v>
      </c>
    </row>
    <row r="7" customFormat="false" ht="15" hidden="false" customHeight="false" outlineLevel="0" collapsed="false">
      <c r="A7" s="0" t="s">
        <v>107</v>
      </c>
      <c r="C7" s="4" t="n">
        <f aca="false">Assumptions!C28</f>
        <v>27.5</v>
      </c>
      <c r="D7" s="4" t="n">
        <f aca="false">Assumptions!D28</f>
        <v>27.8</v>
      </c>
      <c r="E7" s="4" t="n">
        <f aca="false">Assumptions!E28</f>
        <v>28</v>
      </c>
      <c r="F7" s="4" t="n">
        <f aca="false">Assumptions!F28</f>
        <v>28.2</v>
      </c>
      <c r="G7" s="4" t="n">
        <f aca="false">Assumptions!G28</f>
        <v>28.4</v>
      </c>
      <c r="H7" s="4" t="n">
        <f aca="false">Assumptions!H28</f>
        <v>28.5</v>
      </c>
      <c r="I7" s="4" t="n">
        <f aca="false">Assumptions!I28</f>
        <v>28.5</v>
      </c>
      <c r="J7" s="4" t="n">
        <f aca="false">Assumptions!J28</f>
        <v>28.5</v>
      </c>
      <c r="K7" s="4" t="n">
        <f aca="false">Assumptions!K28</f>
        <v>28.5</v>
      </c>
      <c r="L7" s="4" t="n">
        <f aca="false">Assumptions!L28</f>
        <v>28.5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19407.870625</v>
      </c>
      <c r="D8" s="0" t="n">
        <f aca="false">D6*D7/100</f>
        <v>20306.27859975</v>
      </c>
      <c r="E8" s="0" t="n">
        <f aca="false">E6*E7/100</f>
        <v>21168.199777725</v>
      </c>
      <c r="F8" s="0" t="n">
        <f aca="false">F6*F7/100</f>
        <v>21958.98324085</v>
      </c>
      <c r="G8" s="0" t="n">
        <f aca="false">G6*G7/100</f>
        <v>22778.1623319626</v>
      </c>
      <c r="H8" s="0" t="n">
        <f aca="false">H6*H7/100</f>
        <v>23544.1181427733</v>
      </c>
      <c r="I8" s="0" t="n">
        <f aca="false">I6*I7/100</f>
        <v>24132.7210963426</v>
      </c>
      <c r="J8" s="0" t="n">
        <f aca="false">J6*J7/100</f>
        <v>24736.0391237512</v>
      </c>
      <c r="K8" s="0" t="n">
        <f aca="false">K6*K7/100</f>
        <v>25354.4401018449</v>
      </c>
      <c r="L8" s="0" t="n">
        <f aca="false">L6*L7/100</f>
        <v>25988.3011043911</v>
      </c>
    </row>
    <row r="9" customFormat="false" ht="15" hidden="false" customHeight="false" outlineLevel="0" collapsed="false">
      <c r="A9" s="0" t="s">
        <v>108</v>
      </c>
      <c r="C9" s="4" t="n">
        <f aca="false">Assumptions!C29</f>
        <v>4.2</v>
      </c>
      <c r="D9" s="4" t="n">
        <f aca="false">Assumptions!D29</f>
        <v>4.1</v>
      </c>
      <c r="E9" s="4" t="n">
        <f aca="false">Assumptions!E29</f>
        <v>4</v>
      </c>
      <c r="F9" s="4" t="n">
        <f aca="false">Assumptions!F29</f>
        <v>3.9</v>
      </c>
      <c r="G9" s="4" t="n">
        <f aca="false">Assumptions!G29</f>
        <v>3.8</v>
      </c>
      <c r="H9" s="4" t="n">
        <f aca="false">Assumptions!H29</f>
        <v>3.7</v>
      </c>
      <c r="I9" s="4" t="n">
        <f aca="false">Assumptions!I29</f>
        <v>3.6</v>
      </c>
      <c r="J9" s="4" t="n">
        <f aca="false">Assumptions!J29</f>
        <v>3.5</v>
      </c>
      <c r="K9" s="4" t="n">
        <f aca="false">Assumptions!K29</f>
        <v>3.5</v>
      </c>
      <c r="L9" s="4" t="n">
        <f aca="false">Assumptions!L29</f>
        <v>3.5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-2964.11115</v>
      </c>
      <c r="D10" s="0" t="n">
        <f aca="false">-D6*D9/100</f>
        <v>-2994.810872625</v>
      </c>
      <c r="E10" s="0" t="n">
        <f aca="false">-E6*E9/100</f>
        <v>-3024.028539675</v>
      </c>
      <c r="F10" s="0" t="n">
        <f aca="false">-F6*F9/100</f>
        <v>-3036.88066096862</v>
      </c>
      <c r="G10" s="0" t="n">
        <f aca="false">-G6*G9/100</f>
        <v>-3047.78228385415</v>
      </c>
      <c r="H10" s="0" t="n">
        <f aca="false">-H6*H9/100</f>
        <v>-3056.60481151794</v>
      </c>
      <c r="I10" s="0" t="n">
        <f aca="false">-I6*I9/100</f>
        <v>-3048.34371743275</v>
      </c>
      <c r="J10" s="0" t="n">
        <f aca="false">-J6*J9/100</f>
        <v>-3037.75919063611</v>
      </c>
      <c r="K10" s="0" t="n">
        <f aca="false">-K6*K9/100</f>
        <v>-3113.70317040201</v>
      </c>
      <c r="L10" s="0" t="n">
        <f aca="false">-L6*L9/100</f>
        <v>-3191.54574966206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16443.759475</v>
      </c>
      <c r="D11" s="0" t="n">
        <f aca="false">D8+D10+D24</f>
        <v>17311.467727125</v>
      </c>
      <c r="E11" s="0" t="n">
        <f aca="false">E8+E10+E24</f>
        <v>18144.17123805</v>
      </c>
      <c r="F11" s="0" t="n">
        <f aca="false">F8+F10+F24</f>
        <v>18922.1025798814</v>
      </c>
      <c r="G11" s="0" t="n">
        <f aca="false">G8+G10+G24</f>
        <v>19730.3800481084</v>
      </c>
      <c r="H11" s="0" t="n">
        <f aca="false">H8+H10+H24</f>
        <v>20487.5133312553</v>
      </c>
      <c r="I11" s="0" t="n">
        <f aca="false">I8+I10+I24</f>
        <v>21084.3773789099</v>
      </c>
      <c r="J11" s="0" t="n">
        <f aca="false">J8+J10+J24</f>
        <v>21698.2799331151</v>
      </c>
      <c r="K11" s="0" t="n">
        <f aca="false">K8+K10+K24</f>
        <v>22240.7369314429</v>
      </c>
      <c r="L11" s="0" t="n">
        <f aca="false">L8+L10+L24</f>
        <v>22796.755354729</v>
      </c>
    </row>
    <row r="12" customFormat="false" ht="15" hidden="false" customHeight="false" outlineLevel="0" collapsed="false">
      <c r="A12" s="0" t="s">
        <v>125</v>
      </c>
      <c r="C12" s="4" t="n">
        <f aca="false">-C6*Assumptions!C31/100</f>
        <v>-5504.77785</v>
      </c>
      <c r="D12" s="4" t="n">
        <f aca="false">-D6*Assumptions!D31/100</f>
        <v>-5551.3567395</v>
      </c>
      <c r="E12" s="4" t="n">
        <f aca="false">-E6*Assumptions!E31/100</f>
        <v>-5594.45279839875</v>
      </c>
      <c r="F12" s="4" t="n">
        <f aca="false">-F6*Assumptions!F31/100</f>
        <v>-5606.54891255745</v>
      </c>
      <c r="G12" s="4" t="n">
        <f aca="false">-G6*Assumptions!G31/100</f>
        <v>-5614.33578604711</v>
      </c>
      <c r="H12" s="4" t="n">
        <f aca="false">-H6*Assumptions!H31/100</f>
        <v>-5617.54397792485</v>
      </c>
      <c r="I12" s="4" t="n">
        <f aca="false">-I6*Assumptions!I31/100</f>
        <v>-5588.63014862671</v>
      </c>
      <c r="J12" s="4" t="n">
        <f aca="false">-J6*Assumptions!J31/100</f>
        <v>-5641.55278260992</v>
      </c>
      <c r="K12" s="4" t="n">
        <f aca="false">-K6*Assumptions!K31/100</f>
        <v>-5782.59160217516</v>
      </c>
      <c r="L12" s="4" t="n">
        <f aca="false">-L6*Assumptions!L31/100</f>
        <v>-5927.15639222954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10938.981625</v>
      </c>
      <c r="D13" s="0" t="n">
        <f aca="false">D11+D12</f>
        <v>11760.110987625</v>
      </c>
      <c r="E13" s="0" t="n">
        <f aca="false">E11+E12</f>
        <v>12549.7184396512</v>
      </c>
      <c r="F13" s="0" t="n">
        <f aca="false">F11+F12</f>
        <v>13315.5536673239</v>
      </c>
      <c r="G13" s="0" t="n">
        <f aca="false">G11+G12</f>
        <v>14116.0442620613</v>
      </c>
      <c r="H13" s="0" t="n">
        <f aca="false">H11+H12</f>
        <v>14869.9693533305</v>
      </c>
      <c r="I13" s="0" t="n">
        <f aca="false">I11+I12</f>
        <v>15495.7472302832</v>
      </c>
      <c r="J13" s="0" t="n">
        <f aca="false">J11+J12</f>
        <v>16056.7271505051</v>
      </c>
      <c r="K13" s="0" t="n">
        <f aca="false">K11+K12</f>
        <v>16458.1453292678</v>
      </c>
      <c r="L13" s="0" t="n">
        <f aca="false">L11+L12</f>
        <v>16869.5989624995</v>
      </c>
    </row>
    <row r="14" customFormat="false" ht="15" hidden="false" customHeight="false" outlineLevel="0" collapsed="false">
      <c r="A14" s="0" t="s">
        <v>112</v>
      </c>
      <c r="C14" s="4" t="n">
        <f aca="false">Assumptions!C33</f>
        <v>18</v>
      </c>
      <c r="D14" s="4" t="n">
        <f aca="false">Assumptions!D33</f>
        <v>18</v>
      </c>
      <c r="E14" s="4" t="n">
        <f aca="false">Assumptions!E33</f>
        <v>19</v>
      </c>
      <c r="F14" s="4" t="n">
        <f aca="false">Assumptions!F33</f>
        <v>19</v>
      </c>
      <c r="G14" s="4" t="n">
        <f aca="false">Assumptions!G33</f>
        <v>20</v>
      </c>
      <c r="H14" s="4" t="n">
        <f aca="false">Assumptions!H33</f>
        <v>20</v>
      </c>
      <c r="I14" s="4" t="n">
        <f aca="false">Assumptions!I33</f>
        <v>20</v>
      </c>
      <c r="J14" s="4" t="n">
        <f aca="false">Assumptions!J33</f>
        <v>20</v>
      </c>
      <c r="K14" s="4" t="n">
        <f aca="false">Assumptions!K33</f>
        <v>20</v>
      </c>
      <c r="L14" s="4" t="n">
        <f aca="false">Assumptions!L33</f>
        <v>20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8969.9649325</v>
      </c>
      <c r="D15" s="0" t="n">
        <f aca="false">D13-MAX(0,D13)*D14/100</f>
        <v>9643.2910098525</v>
      </c>
      <c r="E15" s="0" t="n">
        <f aca="false">E13-MAX(0,E13)*E14/100</f>
        <v>10165.2719361175</v>
      </c>
      <c r="F15" s="0" t="n">
        <f aca="false">F13-MAX(0,F13)*F14/100</f>
        <v>10785.5984705324</v>
      </c>
      <c r="G15" s="0" t="n">
        <f aca="false">G13-MAX(0,G13)*G14/100</f>
        <v>11292.835409649</v>
      </c>
      <c r="H15" s="0" t="n">
        <f aca="false">H13-MAX(0,H13)*H14/100</f>
        <v>11895.9754826644</v>
      </c>
      <c r="I15" s="0" t="n">
        <f aca="false">I13-MAX(0,I13)*I14/100</f>
        <v>12396.5977842265</v>
      </c>
      <c r="J15" s="0" t="n">
        <f aca="false">J13-MAX(0,J13)*J14/100</f>
        <v>12845.3817204041</v>
      </c>
      <c r="K15" s="0" t="n">
        <f aca="false">K13-MAX(0,K13)*K14/100</f>
        <v>13166.5162634142</v>
      </c>
      <c r="L15" s="0" t="n">
        <f aca="false">L13-MAX(0,L13)*L14/100</f>
        <v>13495.6791699996</v>
      </c>
    </row>
    <row r="16" customFormat="false" ht="15" hidden="false" customHeight="false" outlineLevel="0" collapsed="false">
      <c r="A16" s="0" t="s">
        <v>128</v>
      </c>
      <c r="C16" s="0" t="n">
        <f aca="false">-C12</f>
        <v>5504.77785</v>
      </c>
      <c r="D16" s="0" t="n">
        <f aca="false">-D12</f>
        <v>5551.3567395</v>
      </c>
      <c r="E16" s="0" t="n">
        <f aca="false">-E12</f>
        <v>5594.45279839875</v>
      </c>
      <c r="F16" s="0" t="n">
        <f aca="false">-F12</f>
        <v>5606.54891255745</v>
      </c>
      <c r="G16" s="0" t="n">
        <f aca="false">-G12</f>
        <v>5614.33578604711</v>
      </c>
      <c r="H16" s="0" t="n">
        <f aca="false">-H12</f>
        <v>5617.54397792485</v>
      </c>
      <c r="I16" s="0" t="n">
        <f aca="false">-I12</f>
        <v>5588.63014862671</v>
      </c>
      <c r="J16" s="0" t="n">
        <f aca="false">-J12</f>
        <v>5641.55278260992</v>
      </c>
      <c r="K16" s="0" t="n">
        <f aca="false">-K12</f>
        <v>5782.59160217516</v>
      </c>
      <c r="L16" s="0" t="n">
        <f aca="false">-L12</f>
        <v>5927.15639222954</v>
      </c>
    </row>
    <row r="17" customFormat="false" ht="15" hidden="false" customHeight="false" outlineLevel="0" collapsed="false">
      <c r="A17" s="0" t="s">
        <v>129</v>
      </c>
      <c r="C17" s="4" t="n">
        <f aca="false">-C6*Assumptions!C32/100</f>
        <v>-2046.648175</v>
      </c>
      <c r="D17" s="4" t="n">
        <f aca="false">-D6*Assumptions!D32/100</f>
        <v>-2118.280861125</v>
      </c>
      <c r="E17" s="4" t="n">
        <f aca="false">-E6*Assumptions!E32/100</f>
        <v>-2192.42069126437</v>
      </c>
      <c r="F17" s="4" t="n">
        <f aca="false">-F6*Assumptions!F32/100</f>
        <v>-2258.19331200231</v>
      </c>
      <c r="G17" s="4" t="n">
        <f aca="false">-G6*Assumptions!G32/100</f>
        <v>-2325.93911136237</v>
      </c>
      <c r="H17" s="4" t="n">
        <f aca="false">-H6*Assumptions!H32/100</f>
        <v>-2395.71728470325</v>
      </c>
      <c r="I17" s="4" t="n">
        <f aca="false">-I6*Assumptions!I32/100</f>
        <v>-2455.61021682083</v>
      </c>
      <c r="J17" s="4" t="n">
        <f aca="false">-J6*Assumptions!J32/100</f>
        <v>-2517.00047224135</v>
      </c>
      <c r="K17" s="4" t="n">
        <f aca="false">-K6*Assumptions!K32/100</f>
        <v>-2579.92548404738</v>
      </c>
      <c r="L17" s="4" t="n">
        <f aca="false">-L6*Assumptions!L32/100</f>
        <v>-2644.42362114857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12428.0946075</v>
      </c>
      <c r="D19" s="0" t="n">
        <f aca="false">D15+D16+D17+D18</f>
        <v>13076.3668882275</v>
      </c>
      <c r="E19" s="0" t="n">
        <f aca="false">E15+E16+E17+E18</f>
        <v>13567.3040432519</v>
      </c>
      <c r="F19" s="0" t="n">
        <f aca="false">F15+F16+F17+F18</f>
        <v>14133.9540710875</v>
      </c>
      <c r="G19" s="0" t="n">
        <f aca="false">G15+G16+G17+G18</f>
        <v>14581.2320843338</v>
      </c>
      <c r="H19" s="0" t="n">
        <f aca="false">H15+H16+H17+H18</f>
        <v>15117.802175886</v>
      </c>
      <c r="I19" s="0" t="n">
        <f aca="false">I15+I16+I17+I18</f>
        <v>15529.6177160324</v>
      </c>
      <c r="J19" s="0" t="n">
        <f aca="false">J15+J16+J17+J18</f>
        <v>15969.9340307727</v>
      </c>
      <c r="K19" s="0" t="n">
        <f aca="false">K15+K16+K17+K18</f>
        <v>16369.182381542</v>
      </c>
      <c r="L19" s="0" t="n">
        <f aca="false">L15+L16+L17+L18</f>
        <v>16778.4119410805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11561.0182395349</v>
      </c>
      <c r="D21" s="0" t="n">
        <f aca="false">D19*D20</f>
        <v>11315.4067177739</v>
      </c>
      <c r="E21" s="0" t="n">
        <f aca="false">E19*E20</f>
        <v>10921.144789366</v>
      </c>
      <c r="F21" s="0" t="n">
        <f aca="false">F19*F20</f>
        <v>10583.5122962653</v>
      </c>
      <c r="G21" s="0" t="n">
        <f aca="false">G19*G20</f>
        <v>10156.6830786432</v>
      </c>
      <c r="H21" s="0" t="n">
        <f aca="false">H19*H20</f>
        <v>9795.75405374397</v>
      </c>
      <c r="I21" s="0" t="n">
        <f aca="false">I19*I20</f>
        <v>9360.55318740912</v>
      </c>
      <c r="J21" s="0" t="n">
        <f aca="false">J19*J20</f>
        <v>8954.37767819918</v>
      </c>
      <c r="K21" s="0" t="n">
        <f aca="false">K19*K20</f>
        <v>8537.89499549225</v>
      </c>
      <c r="L21" s="0" t="n">
        <f aca="false">L19*L20</f>
        <v>8140.78360035307</v>
      </c>
    </row>
    <row r="23" customFormat="false" ht="15" hidden="false" customHeight="false" outlineLevel="0" collapsed="false">
      <c r="A23" s="0" t="s">
        <v>109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Assumptions!$B$34</f>
        <v>7.5</v>
      </c>
    </row>
    <row r="28" customFormat="false" ht="15" hidden="false" customHeight="false" outlineLevel="0" collapsed="false">
      <c r="A28" s="0" t="s">
        <v>114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115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99327.1286367809</v>
      </c>
    </row>
    <row r="31" customFormat="false" ht="15" hidden="false" customHeight="false" outlineLevel="0" collapsed="false">
      <c r="A31" s="0" t="s">
        <v>137</v>
      </c>
      <c r="B31" s="0" t="n">
        <f aca="false">L19</f>
        <v>16778.4119410805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343957.444792151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251676.179116208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251676.179116208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122111.754005296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221438.882642077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166626.882642077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174.789554853747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-0.207914284434917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20873.8403617791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31744.6317024637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229.9856862544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137582.977916861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53.0131924085282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Assumptions!C41</f>
        <v>5.5</v>
      </c>
      <c r="D5" s="4" t="n">
        <f aca="false">Assumptions!D41</f>
        <v>5</v>
      </c>
      <c r="E5" s="4" t="n">
        <f aca="false">Assumptions!E41</f>
        <v>5</v>
      </c>
      <c r="F5" s="4" t="n">
        <f aca="false">Assumptions!F41</f>
        <v>4.5</v>
      </c>
      <c r="G5" s="4" t="n">
        <f aca="false">Assumptions!G41</f>
        <v>4</v>
      </c>
      <c r="H5" s="4" t="n">
        <f aca="false">Assumptions!H41</f>
        <v>4</v>
      </c>
      <c r="I5" s="4" t="n">
        <f aca="false">Assumptions!I41</f>
        <v>3.5</v>
      </c>
      <c r="J5" s="4" t="n">
        <f aca="false">Assumptions!J41</f>
        <v>3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67535</v>
      </c>
      <c r="C6" s="0" t="n">
        <f aca="false">B6*(1+C5/100)</f>
        <v>71249.425</v>
      </c>
      <c r="D6" s="0" t="n">
        <f aca="false">C6*(1+D5/100)</f>
        <v>74811.89625</v>
      </c>
      <c r="E6" s="0" t="n">
        <f aca="false">D6*(1+E5/100)</f>
        <v>78552.4910625</v>
      </c>
      <c r="F6" s="0" t="n">
        <f aca="false">E6*(1+F5/100)</f>
        <v>82087.3531603125</v>
      </c>
      <c r="G6" s="0" t="n">
        <f aca="false">F6*(1+G5/100)</f>
        <v>85370.847286725</v>
      </c>
      <c r="H6" s="0" t="n">
        <f aca="false">G6*(1+H5/100)</f>
        <v>88785.681178194</v>
      </c>
      <c r="I6" s="0" t="n">
        <f aca="false">H6*(1+I5/100)</f>
        <v>91893.1800194308</v>
      </c>
      <c r="J6" s="0" t="n">
        <f aca="false">I6*(1+J5/100)</f>
        <v>94649.9754200137</v>
      </c>
      <c r="K6" s="0" t="n">
        <f aca="false">J6*(1+K5/100)</f>
        <v>97489.4746826141</v>
      </c>
      <c r="L6" s="0" t="n">
        <f aca="false">K6*(1+L5/100)</f>
        <v>100414.158923093</v>
      </c>
    </row>
    <row r="7" customFormat="false" ht="15" hidden="false" customHeight="false" outlineLevel="0" collapsed="false">
      <c r="A7" s="0" t="s">
        <v>107</v>
      </c>
      <c r="C7" s="4" t="n">
        <f aca="false">Assumptions!C42</f>
        <v>27.8</v>
      </c>
      <c r="D7" s="4" t="n">
        <f aca="false">Assumptions!D42</f>
        <v>28.3</v>
      </c>
      <c r="E7" s="4" t="n">
        <f aca="false">Assumptions!E42</f>
        <v>28.8</v>
      </c>
      <c r="F7" s="4" t="n">
        <f aca="false">Assumptions!F42</f>
        <v>29.3</v>
      </c>
      <c r="G7" s="4" t="n">
        <f aca="false">Assumptions!G42</f>
        <v>29.8</v>
      </c>
      <c r="H7" s="4" t="n">
        <f aca="false">Assumptions!H42</f>
        <v>30.2</v>
      </c>
      <c r="I7" s="4" t="n">
        <f aca="false">Assumptions!I42</f>
        <v>30.5</v>
      </c>
      <c r="J7" s="4" t="n">
        <f aca="false">Assumptions!J42</f>
        <v>30.5</v>
      </c>
      <c r="K7" s="4" t="n">
        <f aca="false">Assumptions!K42</f>
        <v>30.5</v>
      </c>
      <c r="L7" s="4" t="n">
        <f aca="false">Assumptions!L42</f>
        <v>30.5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19807.34015</v>
      </c>
      <c r="D8" s="0" t="n">
        <f aca="false">D6*D7/100</f>
        <v>21171.76663875</v>
      </c>
      <c r="E8" s="0" t="n">
        <f aca="false">E6*E7/100</f>
        <v>22623.117426</v>
      </c>
      <c r="F8" s="0" t="n">
        <f aca="false">F6*F7/100</f>
        <v>24051.5944759716</v>
      </c>
      <c r="G8" s="0" t="n">
        <f aca="false">G6*G7/100</f>
        <v>25440.5124914441</v>
      </c>
      <c r="H8" s="0" t="n">
        <f aca="false">H6*H7/100</f>
        <v>26813.2757158146</v>
      </c>
      <c r="I8" s="0" t="n">
        <f aca="false">I6*I7/100</f>
        <v>28027.4199059264</v>
      </c>
      <c r="J8" s="0" t="n">
        <f aca="false">J6*J7/100</f>
        <v>28868.2425031042</v>
      </c>
      <c r="K8" s="0" t="n">
        <f aca="false">K6*K7/100</f>
        <v>29734.2897781973</v>
      </c>
      <c r="L8" s="0" t="n">
        <f aca="false">L6*L7/100</f>
        <v>30626.3184715432</v>
      </c>
    </row>
    <row r="9" customFormat="false" ht="15" hidden="false" customHeight="false" outlineLevel="0" collapsed="false">
      <c r="A9" s="0" t="s">
        <v>108</v>
      </c>
      <c r="C9" s="4" t="n">
        <f aca="false">Assumptions!C43</f>
        <v>4.1</v>
      </c>
      <c r="D9" s="4" t="n">
        <f aca="false">Assumptions!D43</f>
        <v>4</v>
      </c>
      <c r="E9" s="4" t="n">
        <f aca="false">Assumptions!E43</f>
        <v>3.8</v>
      </c>
      <c r="F9" s="4" t="n">
        <f aca="false">Assumptions!F43</f>
        <v>3.6</v>
      </c>
      <c r="G9" s="4" t="n">
        <f aca="false">Assumptions!G43</f>
        <v>3.5</v>
      </c>
      <c r="H9" s="4" t="n">
        <f aca="false">Assumptions!H43</f>
        <v>3.4</v>
      </c>
      <c r="I9" s="4" t="n">
        <f aca="false">Assumptions!I43</f>
        <v>3.3</v>
      </c>
      <c r="J9" s="4" t="n">
        <f aca="false">Assumptions!J43</f>
        <v>3.2</v>
      </c>
      <c r="K9" s="4" t="n">
        <f aca="false">Assumptions!K43</f>
        <v>3.2</v>
      </c>
      <c r="L9" s="4" t="n">
        <f aca="false">Assumptions!L43</f>
        <v>3.2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-2921.226425</v>
      </c>
      <c r="D10" s="0" t="n">
        <f aca="false">-D6*D9/100</f>
        <v>-2992.47585</v>
      </c>
      <c r="E10" s="0" t="n">
        <f aca="false">-E6*E9/100</f>
        <v>-2984.994660375</v>
      </c>
      <c r="F10" s="0" t="n">
        <f aca="false">-F6*F9/100</f>
        <v>-2955.14471377125</v>
      </c>
      <c r="G10" s="0" t="n">
        <f aca="false">-G6*G9/100</f>
        <v>-2987.97965503538</v>
      </c>
      <c r="H10" s="0" t="n">
        <f aca="false">-H6*H9/100</f>
        <v>-3018.7131600586</v>
      </c>
      <c r="I10" s="0" t="n">
        <f aca="false">-I6*I9/100</f>
        <v>-3032.47494064122</v>
      </c>
      <c r="J10" s="0" t="n">
        <f aca="false">-J6*J9/100</f>
        <v>-3028.79921344044</v>
      </c>
      <c r="K10" s="0" t="n">
        <f aca="false">-K6*K9/100</f>
        <v>-3119.66318984365</v>
      </c>
      <c r="L10" s="0" t="n">
        <f aca="false">-L6*L9/100</f>
        <v>-3213.25308553896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16886.113725</v>
      </c>
      <c r="D11" s="0" t="n">
        <f aca="false">D8+D10+D24</f>
        <v>18179.29078875</v>
      </c>
      <c r="E11" s="0" t="n">
        <f aca="false">E8+E10+E24</f>
        <v>19638.122765625</v>
      </c>
      <c r="F11" s="0" t="n">
        <f aca="false">F8+F10+F24</f>
        <v>21096.4497622003</v>
      </c>
      <c r="G11" s="0" t="n">
        <f aca="false">G8+G10+G24</f>
        <v>22452.5328364087</v>
      </c>
      <c r="H11" s="0" t="n">
        <f aca="false">H8+H10+H24</f>
        <v>23794.562555756</v>
      </c>
      <c r="I11" s="0" t="n">
        <f aca="false">I8+I10+I24</f>
        <v>24994.9449652852</v>
      </c>
      <c r="J11" s="0" t="n">
        <f aca="false">J8+J10+J24</f>
        <v>25839.4432896637</v>
      </c>
      <c r="K11" s="0" t="n">
        <f aca="false">K8+K10+K24</f>
        <v>26614.6265883537</v>
      </c>
      <c r="L11" s="0" t="n">
        <f aca="false">L8+L10+L24</f>
        <v>27413.0653860043</v>
      </c>
    </row>
    <row r="12" customFormat="false" ht="15" hidden="false" customHeight="false" outlineLevel="0" collapsed="false">
      <c r="A12" s="0" t="s">
        <v>125</v>
      </c>
      <c r="C12" s="4" t="n">
        <f aca="false">-C6*Assumptions!C45/100</f>
        <v>-5557.45515</v>
      </c>
      <c r="D12" s="4" t="n">
        <f aca="false">-D6*Assumptions!D45/100</f>
        <v>-5610.89221875</v>
      </c>
      <c r="E12" s="4" t="n">
        <f aca="false">-E6*Assumptions!E45/100</f>
        <v>-5655.7793565</v>
      </c>
      <c r="F12" s="4" t="n">
        <f aca="false">-F6*Assumptions!F45/100</f>
        <v>-5746.11472122188</v>
      </c>
      <c r="G12" s="4" t="n">
        <f aca="false">-G6*Assumptions!G45/100</f>
        <v>-5805.2176154973</v>
      </c>
      <c r="H12" s="4" t="n">
        <f aca="false">-H6*Assumptions!H45/100</f>
        <v>-5859.85495776081</v>
      </c>
      <c r="I12" s="4" t="n">
        <f aca="false">-I6*Assumptions!I45/100</f>
        <v>-5881.16352124357</v>
      </c>
      <c r="J12" s="4" t="n">
        <f aca="false">-J6*Assumptions!J45/100</f>
        <v>-5868.29847604085</v>
      </c>
      <c r="K12" s="4" t="n">
        <f aca="false">-K6*Assumptions!K45/100</f>
        <v>-6044.34743032208</v>
      </c>
      <c r="L12" s="4" t="n">
        <f aca="false">-L6*Assumptions!L45/100</f>
        <v>-6225.67785323174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11328.658575</v>
      </c>
      <c r="D13" s="0" t="n">
        <f aca="false">D11+D12</f>
        <v>12568.39857</v>
      </c>
      <c r="E13" s="0" t="n">
        <f aca="false">E11+E12</f>
        <v>13982.343409125</v>
      </c>
      <c r="F13" s="0" t="n">
        <f aca="false">F11+F12</f>
        <v>15350.3350409784</v>
      </c>
      <c r="G13" s="0" t="n">
        <f aca="false">G11+G12</f>
        <v>16647.3152209114</v>
      </c>
      <c r="H13" s="0" t="n">
        <f aca="false">H11+H12</f>
        <v>17934.7075979952</v>
      </c>
      <c r="I13" s="0" t="n">
        <f aca="false">I11+I12</f>
        <v>19113.7814440416</v>
      </c>
      <c r="J13" s="0" t="n">
        <f aca="false">J11+J12</f>
        <v>19971.1448136229</v>
      </c>
      <c r="K13" s="0" t="n">
        <f aca="false">K11+K12</f>
        <v>20570.2791580316</v>
      </c>
      <c r="L13" s="0" t="n">
        <f aca="false">L11+L12</f>
        <v>21187.3875327725</v>
      </c>
    </row>
    <row r="14" customFormat="false" ht="15" hidden="false" customHeight="false" outlineLevel="0" collapsed="false">
      <c r="A14" s="0" t="s">
        <v>112</v>
      </c>
      <c r="C14" s="4" t="n">
        <f aca="false">Assumptions!C47</f>
        <v>17</v>
      </c>
      <c r="D14" s="4" t="n">
        <f aca="false">Assumptions!D47</f>
        <v>17</v>
      </c>
      <c r="E14" s="4" t="n">
        <f aca="false">Assumptions!E47</f>
        <v>18</v>
      </c>
      <c r="F14" s="4" t="n">
        <f aca="false">Assumptions!F47</f>
        <v>18</v>
      </c>
      <c r="G14" s="4" t="n">
        <f aca="false">Assumptions!G47</f>
        <v>19</v>
      </c>
      <c r="H14" s="4" t="n">
        <f aca="false">Assumptions!H47</f>
        <v>19</v>
      </c>
      <c r="I14" s="4" t="n">
        <f aca="false">Assumptions!I47</f>
        <v>19</v>
      </c>
      <c r="J14" s="4" t="n">
        <f aca="false">Assumptions!J47</f>
        <v>19</v>
      </c>
      <c r="K14" s="4" t="n">
        <f aca="false">Assumptions!K47</f>
        <v>19</v>
      </c>
      <c r="L14" s="4" t="n">
        <f aca="false">Assumptions!L47</f>
        <v>19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9402.78661725</v>
      </c>
      <c r="D15" s="0" t="n">
        <f aca="false">D13-MAX(0,D13)*D14/100</f>
        <v>10431.7708131</v>
      </c>
      <c r="E15" s="0" t="n">
        <f aca="false">E13-MAX(0,E13)*E14/100</f>
        <v>11465.5215954825</v>
      </c>
      <c r="F15" s="0" t="n">
        <f aca="false">F13-MAX(0,F13)*F14/100</f>
        <v>12587.2747336023</v>
      </c>
      <c r="G15" s="0" t="n">
        <f aca="false">G13-MAX(0,G13)*G14/100</f>
        <v>13484.3253289382</v>
      </c>
      <c r="H15" s="0" t="n">
        <f aca="false">H13-MAX(0,H13)*H14/100</f>
        <v>14527.1131543761</v>
      </c>
      <c r="I15" s="0" t="n">
        <f aca="false">I13-MAX(0,I13)*I14/100</f>
        <v>15482.1629696737</v>
      </c>
      <c r="J15" s="0" t="n">
        <f aca="false">J13-MAX(0,J13)*J14/100</f>
        <v>16176.6272990345</v>
      </c>
      <c r="K15" s="0" t="n">
        <f aca="false">K13-MAX(0,K13)*K14/100</f>
        <v>16661.9261180056</v>
      </c>
      <c r="L15" s="0" t="n">
        <f aca="false">L13-MAX(0,L13)*L14/100</f>
        <v>17161.7839015457</v>
      </c>
    </row>
    <row r="16" customFormat="false" ht="15" hidden="false" customHeight="false" outlineLevel="0" collapsed="false">
      <c r="A16" s="0" t="s">
        <v>128</v>
      </c>
      <c r="C16" s="0" t="n">
        <f aca="false">-C12</f>
        <v>5557.45515</v>
      </c>
      <c r="D16" s="0" t="n">
        <f aca="false">-D12</f>
        <v>5610.89221875</v>
      </c>
      <c r="E16" s="0" t="n">
        <f aca="false">-E12</f>
        <v>5655.7793565</v>
      </c>
      <c r="F16" s="0" t="n">
        <f aca="false">-F12</f>
        <v>5746.11472122188</v>
      </c>
      <c r="G16" s="0" t="n">
        <f aca="false">-G12</f>
        <v>5805.2176154973</v>
      </c>
      <c r="H16" s="0" t="n">
        <f aca="false">-H12</f>
        <v>5859.85495776081</v>
      </c>
      <c r="I16" s="0" t="n">
        <f aca="false">-I12</f>
        <v>5881.16352124357</v>
      </c>
      <c r="J16" s="0" t="n">
        <f aca="false">-J12</f>
        <v>5868.29847604085</v>
      </c>
      <c r="K16" s="0" t="n">
        <f aca="false">-K12</f>
        <v>6044.34743032208</v>
      </c>
      <c r="L16" s="0" t="n">
        <f aca="false">-L12</f>
        <v>6225.67785323174</v>
      </c>
    </row>
    <row r="17" customFormat="false" ht="15" hidden="false" customHeight="false" outlineLevel="0" collapsed="false">
      <c r="A17" s="0" t="s">
        <v>129</v>
      </c>
      <c r="C17" s="4" t="n">
        <f aca="false">-C6*Assumptions!C46/100</f>
        <v>-2066.233325</v>
      </c>
      <c r="D17" s="4" t="n">
        <f aca="false">-D6*Assumptions!D46/100</f>
        <v>-2169.54499125</v>
      </c>
      <c r="E17" s="4" t="n">
        <f aca="false">-E6*Assumptions!E46/100</f>
        <v>-2278.0222408125</v>
      </c>
      <c r="F17" s="4" t="n">
        <f aca="false">-F6*Assumptions!F46/100</f>
        <v>-2380.53324164906</v>
      </c>
      <c r="G17" s="4" t="n">
        <f aca="false">-G6*Assumptions!G46/100</f>
        <v>-2475.75457131503</v>
      </c>
      <c r="H17" s="4" t="n">
        <f aca="false">-H6*Assumptions!H46/100</f>
        <v>-2574.78475416763</v>
      </c>
      <c r="I17" s="4" t="n">
        <f aca="false">-I6*Assumptions!I46/100</f>
        <v>-2664.90222056349</v>
      </c>
      <c r="J17" s="4" t="n">
        <f aca="false">-J6*Assumptions!J46/100</f>
        <v>-2744.8492871804</v>
      </c>
      <c r="K17" s="4" t="n">
        <f aca="false">-K6*Assumptions!K46/100</f>
        <v>-2827.19476579581</v>
      </c>
      <c r="L17" s="4" t="n">
        <f aca="false">-L6*Assumptions!L46/100</f>
        <v>-2912.01060876968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(C6-B6)*Assumptions!$B$51/100</f>
        <v>185.72125</v>
      </c>
      <c r="D18" s="4" t="n">
        <f aca="false">(D6-C6)*Assumptions!$B$51/100</f>
        <v>178.1235625</v>
      </c>
      <c r="E18" s="4" t="n">
        <f aca="false">(E6-D6)*Assumptions!$B$51/100</f>
        <v>187.029740625</v>
      </c>
      <c r="F18" s="4" t="n">
        <f aca="false">(F6-E6)*Assumptions!$B$51/100</f>
        <v>176.743104890625</v>
      </c>
      <c r="G18" s="4" t="n">
        <f aca="false">(G6-F6)*Assumptions!$B$51/100</f>
        <v>164.174706320625</v>
      </c>
      <c r="H18" s="4" t="n">
        <f aca="false">(H6-G6)*Assumptions!$B$51/100</f>
        <v>170.741694573451</v>
      </c>
      <c r="I18" s="4" t="n">
        <f aca="false">(I6-H6)*Assumptions!$B$51/100</f>
        <v>155.374942061839</v>
      </c>
      <c r="J18" s="4" t="n">
        <f aca="false">(J6-I6)*Assumptions!$B$51/100</f>
        <v>137.839770029146</v>
      </c>
      <c r="K18" s="4" t="n">
        <f aca="false">(K6-J6)*Assumptions!$B$51/100</f>
        <v>141.97496313002</v>
      </c>
      <c r="L18" s="4" t="n">
        <f aca="false">(L6-K6)*Assumptions!$B$51/100</f>
        <v>146.234212023921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13079.72969225</v>
      </c>
      <c r="D19" s="0" t="n">
        <f aca="false">D15+D16+D17+D18</f>
        <v>14051.2416031</v>
      </c>
      <c r="E19" s="0" t="n">
        <f aca="false">E15+E16+E17+E18</f>
        <v>15030.308451795</v>
      </c>
      <c r="F19" s="0" t="n">
        <f aca="false">F15+F16+F17+F18</f>
        <v>16129.5993180658</v>
      </c>
      <c r="G19" s="0" t="n">
        <f aca="false">G15+G16+G17+G18</f>
        <v>16977.9630794411</v>
      </c>
      <c r="H19" s="0" t="n">
        <f aca="false">H15+H16+H17+H18</f>
        <v>17982.9250525427</v>
      </c>
      <c r="I19" s="0" t="n">
        <f aca="false">I15+I16+I17+I18</f>
        <v>18853.7992124156</v>
      </c>
      <c r="J19" s="0" t="n">
        <f aca="false">J15+J16+J17+J18</f>
        <v>19437.9162579241</v>
      </c>
      <c r="K19" s="0" t="n">
        <f aca="false">K15+K16+K17+K18</f>
        <v>20021.0537456619</v>
      </c>
      <c r="L19" s="0" t="n">
        <f aca="false">L15+L16+L17+L18</f>
        <v>20621.6853580317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12167.1904113954</v>
      </c>
      <c r="D21" s="0" t="n">
        <f aca="false">D19*D20</f>
        <v>12158.9976013845</v>
      </c>
      <c r="E21" s="0" t="n">
        <f aca="false">E19*E20</f>
        <v>12098.8056512619</v>
      </c>
      <c r="F21" s="0" t="n">
        <f aca="false">F19*F20</f>
        <v>12077.8525144483</v>
      </c>
      <c r="G21" s="0" t="n">
        <f aca="false">G19*G20</f>
        <v>11826.1467427063</v>
      </c>
      <c r="H21" s="0" t="n">
        <f aca="false">H19*H20</f>
        <v>11652.2434234919</v>
      </c>
      <c r="I21" s="0" t="n">
        <f aca="false">I19*I20</f>
        <v>11364.2198758282</v>
      </c>
      <c r="J21" s="0" t="n">
        <f aca="false">J19*J20</f>
        <v>10898.8830583316</v>
      </c>
      <c r="K21" s="0" t="n">
        <f aca="false">K19*K20</f>
        <v>10442.6507442619</v>
      </c>
      <c r="L21" s="0" t="n">
        <f aca="false">L19*L20</f>
        <v>10005.5165270602</v>
      </c>
    </row>
    <row r="23" customFormat="false" ht="15" hidden="false" customHeight="false" outlineLevel="0" collapsed="false">
      <c r="A23" s="0" t="s">
        <v>109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Assumptions!$B$48</f>
        <v>7.5</v>
      </c>
    </row>
    <row r="28" customFormat="false" ht="15" hidden="false" customHeight="false" outlineLevel="0" collapsed="false">
      <c r="A28" s="0" t="s">
        <v>114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115</v>
      </c>
      <c r="B29" s="4" t="n">
        <f aca="false">Assumptions!$B$50</f>
        <v>16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114692.50655017</v>
      </c>
    </row>
    <row r="31" customFormat="false" ht="15" hidden="false" customHeight="false" outlineLevel="0" collapsed="false">
      <c r="A31" s="0" t="s">
        <v>137</v>
      </c>
      <c r="B31" s="0" t="n">
        <f aca="false">L19</f>
        <v>20621.6853580317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472007.464861615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329946.965728508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329946.965728508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160088.264432963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274780.770983133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219968.770983133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230.744541050177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0.045654330222398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20672.1460524762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35684.9425292319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289.862435293026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177002.799323106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73.9430765505498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2" t="s">
        <v>154</v>
      </c>
      <c r="B3" s="2" t="s">
        <v>155</v>
      </c>
      <c r="C3" s="2" t="s">
        <v>145</v>
      </c>
      <c r="D3" s="2" t="s">
        <v>156</v>
      </c>
      <c r="E3" s="2" t="s">
        <v>148</v>
      </c>
      <c r="F3" s="2" t="s">
        <v>157</v>
      </c>
    </row>
    <row r="4" customFormat="false" ht="15" hidden="false" customHeight="false" outlineLevel="0" collapsed="false">
      <c r="A4" s="0" t="s">
        <v>158</v>
      </c>
      <c r="B4" s="4" t="n">
        <f aca="false">DCF_Bear!$B$38</f>
        <v>113.313031176299</v>
      </c>
      <c r="C4" s="0" t="n">
        <f aca="false">B4/Assumptions!$B$2-1</f>
        <v>-0.486504594297824</v>
      </c>
      <c r="D4" s="4" t="n">
        <f aca="false">Assumptions!$B$24</f>
        <v>0.25</v>
      </c>
      <c r="E4" s="4" t="n">
        <f aca="false">DCF_Bear!$B$43</f>
        <v>164.419429947728</v>
      </c>
      <c r="F4" s="4" t="n">
        <f aca="false">DCF_Bear!$B$47</f>
        <v>31.1667709679374</v>
      </c>
    </row>
    <row r="5" customFormat="false" ht="15" hidden="false" customHeight="false" outlineLevel="0" collapsed="false">
      <c r="A5" s="0" t="s">
        <v>159</v>
      </c>
      <c r="B5" s="4" t="n">
        <f aca="false">DCF_Base!$B$38</f>
        <v>174.789554853747</v>
      </c>
      <c r="C5" s="0" t="n">
        <f aca="false">B5/Assumptions!$B$2-1</f>
        <v>-0.207914284434917</v>
      </c>
      <c r="D5" s="4" t="n">
        <f aca="false">Assumptions!$B$38</f>
        <v>0.5</v>
      </c>
      <c r="E5" s="4" t="n">
        <f aca="false">DCF_Base!$B$43</f>
        <v>229.9856862544</v>
      </c>
      <c r="F5" s="4" t="n">
        <f aca="false">DCF_Base!$B$47</f>
        <v>53.0131924085282</v>
      </c>
    </row>
    <row r="6" customFormat="false" ht="15" hidden="false" customHeight="false" outlineLevel="0" collapsed="false">
      <c r="A6" s="0" t="s">
        <v>160</v>
      </c>
      <c r="B6" s="4" t="n">
        <f aca="false">DCF_Bull!$B$38</f>
        <v>230.744541050177</v>
      </c>
      <c r="C6" s="0" t="n">
        <f aca="false">B6/Assumptions!$B$2-1</f>
        <v>0.045654330222398</v>
      </c>
      <c r="D6" s="4" t="n">
        <f aca="false">Assumptions!$B$52</f>
        <v>0.25</v>
      </c>
      <c r="E6" s="4" t="n">
        <f aca="false">DCF_Bull!$B$43</f>
        <v>289.862435293026</v>
      </c>
      <c r="F6" s="4" t="n">
        <f aca="false">DCF_Bull!$B$47</f>
        <v>73.9430765505498</v>
      </c>
    </row>
    <row r="8" customFormat="false" ht="15" hidden="false" customHeight="false" outlineLevel="0" collapsed="false">
      <c r="A8" s="0" t="s">
        <v>161</v>
      </c>
      <c r="B8" s="0" t="n">
        <f aca="false">SUMPRODUCT(B4:B6,D4:D6)</f>
        <v>173.409170483492</v>
      </c>
    </row>
    <row r="9" customFormat="false" ht="15" hidden="false" customHeight="false" outlineLevel="0" collapsed="false">
      <c r="A9" s="0" t="s">
        <v>162</v>
      </c>
      <c r="B9" s="0" t="n">
        <f aca="false">SUMPRODUCT(E4:E6,D4:D6)</f>
        <v>228.563309437388</v>
      </c>
    </row>
    <row r="10" customFormat="false" ht="15" hidden="false" customHeight="false" outlineLevel="0" collapsed="false">
      <c r="A10" s="0" t="s">
        <v>163</v>
      </c>
      <c r="B10" s="0" t="n">
        <f aca="false">1-Assumptions!$B$2/B8</f>
        <v>-0.272539389841592</v>
      </c>
    </row>
    <row r="11" customFormat="false" ht="15" hidden="false" customHeight="false" outlineLevel="0" collapsed="false">
      <c r="A11" s="0" t="s">
        <v>164</v>
      </c>
      <c r="B11" s="0" t="n">
        <f aca="false">IF(ABS(B9-B8)&gt;0.01*ABS(B8),(Assumptions!$B$2-B8)/(B9-B8)*100,"n/a")</f>
        <v>85.6886362708218</v>
      </c>
    </row>
    <row r="12" customFormat="false" ht="15" hidden="false" customHeight="false" outlineLevel="0" collapsed="false">
      <c r="A12" s="0" t="s">
        <v>165</v>
      </c>
      <c r="B12" s="0" t="n">
        <f aca="false">SUMPRODUCT(F4:F6,D4:D6)</f>
        <v>52.7840580838859</v>
      </c>
    </row>
    <row r="14" customFormat="false" ht="15" hidden="false" customHeight="false" outlineLevel="0" collapsed="false">
      <c r="A14" s="2" t="s">
        <v>166</v>
      </c>
      <c r="C14" s="0" t="s">
        <v>167</v>
      </c>
    </row>
    <row r="15" customFormat="false" ht="15" hidden="false" customHeight="false" outlineLevel="0" collapsed="false">
      <c r="A15" s="0" t="s">
        <v>168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174.789554853747</v>
      </c>
      <c r="C15" s="3" t="n">
        <v>7.5</v>
      </c>
    </row>
    <row r="16" customFormat="false" ht="15" hidden="false" customHeight="false" outlineLevel="0" collapsed="false">
      <c r="A16" s="0" t="s">
        <v>169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151.07661614654</v>
      </c>
      <c r="C16" s="3" t="n">
        <v>9</v>
      </c>
    </row>
    <row r="17" customFormat="false" ht="15" hidden="false" customHeight="false" outlineLevel="0" collapsed="false">
      <c r="A17" s="0" t="s">
        <v>170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127.939525391501</v>
      </c>
      <c r="C17" s="3" t="n">
        <v>10</v>
      </c>
    </row>
    <row r="18" customFormat="false" ht="15" hidden="false" customHeight="false" outlineLevel="0" collapsed="false">
      <c r="A18" s="0" t="s">
        <v>171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105.883648507185</v>
      </c>
      <c r="C18" s="3" t="n">
        <v>11</v>
      </c>
    </row>
    <row r="19" customFormat="false" ht="15" hidden="false" customHeight="false" outlineLevel="0" collapsed="false">
      <c r="A19" s="0" t="s">
        <v>172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88.4799611106582</v>
      </c>
      <c r="C19" s="3" t="n">
        <v>12</v>
      </c>
    </row>
    <row r="20" customFormat="false" ht="15" hidden="false" customHeight="false" outlineLevel="0" collapsed="false">
      <c r="A20" s="0" t="s">
        <v>173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53.0131924085282</v>
      </c>
      <c r="C20" s="3" t="n">
        <v>15</v>
      </c>
    </row>
    <row r="22" customFormat="false" ht="15" hidden="false" customHeight="false" outlineLevel="0" collapsed="false">
      <c r="A22" s="2" t="s">
        <v>174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5.5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212.056963204297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212.056963204297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212.056963204297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212.056963204297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212.056963204297</v>
      </c>
    </row>
    <row r="25" customFormat="false" ht="15" hidden="false" customHeight="false" outlineLevel="0" collapsed="false">
      <c r="A25" s="3" t="n">
        <v>6.5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192.54264716771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192.54264716771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192.54264716771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192.54264716771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192.54264716771</v>
      </c>
    </row>
    <row r="26" customFormat="false" ht="15" hidden="false" customHeight="false" outlineLevel="0" collapsed="false">
      <c r="A26" s="3" t="n">
        <v>7.5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174.789554853747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174.789554853747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174.789554853747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174.789554853747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174.789554853747</v>
      </c>
    </row>
    <row r="27" customFormat="false" ht="15" hidden="false" customHeight="false" outlineLevel="0" collapsed="false">
      <c r="A27" s="3" t="n">
        <v>8.5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154.726717774601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158.618906429285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158.618906429285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158.618906429285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158.618906429285</v>
      </c>
    </row>
    <row r="28" customFormat="false" ht="15" hidden="false" customHeight="false" outlineLevel="0" collapsed="false">
      <c r="A28" s="3" t="n">
        <v>9.5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127.448388903762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133.92895495315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141.335316152449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143.871741220703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143.871741220703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2026-09-28T21:43:49Z</dcterms:created>
  <dc:creator>openpyxl</dc:creator>
  <dc:description/>
  <dc:language>en-NZ</dc:language>
  <cp:lastModifiedBy/>
  <dcterms:modified xsi:type="dcterms:W3CDTF">2026-09-28T21:43:49Z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