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<sst xmlns="http://schemas.openxmlformats.org/spreadsheetml/2006/main" count="387" uniqueCount="174">
  <si>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</si>
  <si>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ACN</t>
  </si>
  <si>
    <t xml:space="preserve">Company</t>
  </si>
  <si>
    <t xml:space="preserve">Accenture plc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</si>
  <si>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</si>
  <si>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</si>
  <si>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</si>
  <si>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</si>
  <si>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2026-09-24T20:00:03Z regular close</t>
  </si>
  <si>
    <t xml:space="preserve">Balance sheet date</t>
  </si>
  <si>
    <t xml:space="preserve">2026-02-28 (Q2 FY2026 10-Q)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</si>
  <si>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</si>
  <si>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</si>
  <si>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</si>
  <si>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</si>
  <si>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</si>
  <si>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</si>
  <si>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</si>
  <si>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</si>
  <si>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</si>
  <si>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</si>
  <si>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2026-09-25T06:50:56Z</t>
  </si>
  <si>
    <t xml:space="preserve">Drivers file</t>
  </si>
  <si>
    <t xml:space="preserve">ACN_Drivers.json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</si>
  <si>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</si>
  <si>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</si>
  <si>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</si>
  <si>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Accenture is a scale-leading, balance-sheet-pristine professional-services compounder now facing its first genuine test of whether agentic AI structurally compresses the billable-hours economics underlying half its revenue. The Q3 FY2026 crash (shares -18-20% in a day, -50%+ YTD at the low) repriced the stock from a historical ~20x+ owner-FCF multiple to ~12x -- a re-rating this model treats as a real, evidenced finding rather than noise to average away. The base case takes FY2026 guidance at face value rather than assuming a swift reversion to the pre-disruption ~9% historical CAGR, and the probability weights lean more bearish than the house default because management itself validated the concern by cutting guidance mid-year. If the AI-disruption fear proves overstated (bull case), the stock is meaningfully undervalued at the current price; if it is the leading edge of a structural reset (bear case), today's price is still not obviously cheap given a shrinking, margin-compressed exit multiple.
key_risks_to_valuation: Agentic AI could compress consulting/managed-services labor hours faster or more permanently than any scenario here models, particularly if large clients begin insourcing AI-augmented delivery; Bookings-to-revenue conversion lags by several quarters, so the FY2027-2028 revenue impact of the Q3 FY2026 bookings deterioration is not yet visible in trailing financials and could be worse than the base case assumes; The accelerated $9B FY2026 acquisition program materially increases integration and capital-allocation risk against a backdrop of decelerating organic growth; US federal spending policy (DOGE-driven contract terminations) is a concrete, ongoing drag on the historically stable public-sector book (~8% of revenue); A structurally lower exit multiple (bear case caps terminal value at 12x FCF) versus the ~20x+ multiple the market granted pre-crash is itself an unresolved judgment call this valuation must make without a long track record of the market's post-AI-disruption re-rating settling point</t>
  </si>
  <si>
    <t xml:space="preserve">Data sources</t>
  </si>
  <si>
    <t xml:space="preserve">price: Yahoo Finance chart API at inputs.price_as_of; 52-week range 118.15-291.09
financials: research/ACN/Reports/ACN_Metrics.csv (SEC XBRL, no PDF filings extracted for this ticker -- ACN/Extracted is empty), FY2007-Q3 FY2026
qualitative: research/ACN/Reports/ACN_Analysis.json, analysis_date 2026-09-25, covering Q3 FY2026 earnings (2026-06-18) and subsequent developments through Q1 FY2026 earnings</t>
  </si>
  <si>
    <t xml:space="preserve">Scenario narrative: bear</t>
  </si>
  <si>
    <t xml:space="preserve">The Q3 FY2026 bookings collapse is the leading edge of a genuine structural contraction in the billable-hours model: Managed Services and Consulting hours get automated away over several years, restructuring becomes recurring rather than one-time, and the market caps the exit multiple at 12x for a business facing secular volume and margin pressure.</t>
  </si>
  <si>
    <t xml:space="preserve">Scenario narrative: base</t>
  </si>
  <si>
    <t xml:space="preserve">FY2026 guidance (3-4% local-currency growth, adjusted EPS $13.78-13.90) is the anchor, not a floor to grow past quickly: growth recovers gradually toward ~5% as GenAI/agentic bookings partially offset Managed Services softness and federal drag, then settles at a 4% terminal rate for a maturer, AI-disrupted professional-services market. Margins hold flat near FY2025 levels as restructuring savings largely fund AI reskilling rather than drop through.</t>
  </si>
  <si>
    <t xml:space="preserve">Scenario narrative: bull</t>
  </si>
  <si>
    <t xml:space="preserve">AI transformation spend is a durable tailwind, not a threat -- Accenture wins as the systems integrator of choice for agentic AI rollouts, bookings reaccelerate as FY2027-deferred large deals land, and cost-out savings expand margin toward 18.5%+ while the post-crash multiple (~12x owner FCF) re-rates.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</si>
  <si>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</si>
  <si>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</si>
  <si>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</si>
  <si>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</si>
  <si>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</si>
  <si>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</si>
  <si>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</si>
  <si>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</si>
  <si>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</si>
  <si>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</si>
  <si>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</si>
  <si>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</si>
  <si>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</si>
  <si>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</si>
  <si>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</si>
  <si>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</si>
  <si>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</si>
  <si>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</si>
  <si>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</si>
  <si>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</si>
  <si>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</si>
  <si>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</si>
  <si>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</si>
  <si>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</si>
  <si>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</si>
  <si>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</si>
  <si>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</si>
  <si>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</si>
  <si>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</si>
  <si>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</si>
  <si>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</si>
  <si>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</si>
  <si>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</si>
  <si>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</si>
  <si>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</si>
  <si>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</si>
  <si>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</si>
  <si>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</si>
  <si>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</si>
  <si>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</si>
  <si>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</si>
  <si>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</si>
  <si>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</si>
  <si>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</si>
  <si>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</si>
  <si>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</si>
  <si>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</si>
  <si>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</si>
  <si>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</si>
  <si>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</si>
  <si>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</si>
  <si>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</si>
  <si>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</si>
  <si>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</si>
  <si>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</si>
  <si>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</si>
  <si>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</si>
  <si>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</si>
  <si>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</si>
  <si>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</si>
  <si>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</si>
  <si>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</si>
  <si>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</si>
  <si>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</si>
  <si>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</si>
  <si>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</si>
  <si>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</si>
  <si>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</si>
  <si>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</si>
  <si>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</si>
  <si>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</si>
  <si>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</si>
  <si>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</si>
  <si>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</si>
  <si>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</si>
  <si>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</si>
  <si>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</si>
  <si>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</si>
  <si>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</si>
  <si>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</si>
  <si>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</si>
  <si>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</si>
  <si>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</si>
  <si>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ACN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</si>
  <si>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</si>
  <si>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</si>
  <si>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</si>
  <si>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</si>
  <si>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</si>
  <si>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</si>
  <si>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</si>
  <si>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</si>
  <si>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</si>
  <si>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</si>
  <si>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</si>
  <si>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</si>
  <si>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</si>
  <si>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</si>
  <si>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</si>
  <si>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</si>
  <si>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</si>
  <si>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</si>
  <si>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</si>
  <si>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</si>
  <si>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</si>
  <si>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</si>
  <si>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</si>
  <si>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</si>
  <si>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</si>
  <si>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</si>
  <si>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</si>
  <si>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</si>
  <si>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</si>
  <si>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</si>
  <si>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ACN owner-FCF component DCF: base case (millions, USD)</t>
  </si>
  <si>
    <t xml:space="preserve">ACN owner-FCF component DCF: bull case (millions, USD)</t>
  </si>
  <si>
    <t xml:space="preserve">ACN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</si>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</sst>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177.41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2638.183</v>
      </c>
      <c r="S2" s="0" t="n">
        <v>3314.396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25313.826</v>
      </c>
      <c r="C3" s="0" t="n">
        <v>18128.241</v>
      </c>
      <c r="F3" s="0" t="n">
        <v>3011.582</v>
      </c>
      <c r="G3" s="0" t="n">
        <v>11.8969846754892</v>
      </c>
      <c r="H3" s="0" t="n">
        <v>3503.003</v>
      </c>
      <c r="I3" s="0" t="n">
        <v>1691.751</v>
      </c>
      <c r="J3" s="0" t="n">
        <v>6.683110644752</v>
      </c>
      <c r="K3" s="0" t="n">
        <v>2.64</v>
      </c>
      <c r="L3" s="0" t="n">
        <v>2803.248</v>
      </c>
      <c r="M3" s="0" t="n">
        <v>320.368</v>
      </c>
      <c r="N3" s="0" t="n">
        <v>2482.88</v>
      </c>
      <c r="O3" s="0" t="n">
        <v>3019.305</v>
      </c>
      <c r="S3" s="0" t="n">
        <v>3602.76</v>
      </c>
      <c r="T3" s="0" t="n">
        <v>824.01272</v>
      </c>
      <c r="U3" s="0" t="n">
        <v>377.365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23170.968</v>
      </c>
      <c r="C4" s="0" t="n">
        <v>16329.854</v>
      </c>
      <c r="F4" s="0" t="n">
        <v>2643.865</v>
      </c>
      <c r="G4" s="0" t="n">
        <v>11.4102483763302</v>
      </c>
      <c r="H4" s="0" t="n">
        <v>3142.456</v>
      </c>
      <c r="I4" s="0" t="n">
        <v>1589.963</v>
      </c>
      <c r="J4" s="0" t="n">
        <v>6.86187560226228</v>
      </c>
      <c r="K4" s="0" t="n">
        <v>2.44</v>
      </c>
      <c r="L4" s="0" t="n">
        <v>3160.202</v>
      </c>
      <c r="M4" s="0" t="n">
        <v>243.455</v>
      </c>
      <c r="N4" s="0" t="n">
        <v>2916.747</v>
      </c>
      <c r="O4" s="0" t="n">
        <v>3386.206</v>
      </c>
      <c r="P4" s="0" t="n">
        <v>12255.734</v>
      </c>
      <c r="R4" s="0" t="n">
        <v>0.955</v>
      </c>
      <c r="S4" s="0" t="n">
        <v>4541.662</v>
      </c>
      <c r="T4" s="0" t="n">
        <v>786.891344</v>
      </c>
      <c r="U4" s="0" t="n">
        <v>452.823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23094.078</v>
      </c>
      <c r="C5" s="0" t="n">
        <v>15843.331</v>
      </c>
      <c r="F5" s="0" t="n">
        <v>2914.845</v>
      </c>
      <c r="G5" s="0" t="n">
        <v>12.6216123458144</v>
      </c>
      <c r="H5" s="0" t="n">
        <v>3389.533</v>
      </c>
      <c r="I5" s="0" t="n">
        <v>1780.656</v>
      </c>
      <c r="J5" s="0" t="n">
        <v>7.71044420998318</v>
      </c>
      <c r="K5" s="0" t="n">
        <v>2.66</v>
      </c>
      <c r="L5" s="0" t="n">
        <v>3091.62</v>
      </c>
      <c r="M5" s="0" t="n">
        <v>238.215</v>
      </c>
      <c r="N5" s="0" t="n">
        <v>2853.405</v>
      </c>
      <c r="O5" s="0" t="n">
        <v>3274.723</v>
      </c>
      <c r="P5" s="0" t="n">
        <v>12835.253</v>
      </c>
      <c r="R5" s="0" t="n">
        <v>1.588</v>
      </c>
      <c r="S5" s="0" t="n">
        <v>4838.292</v>
      </c>
      <c r="T5" s="0" t="n">
        <v>767.013385</v>
      </c>
      <c r="U5" s="0" t="n">
        <v>425.822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27352.914</v>
      </c>
      <c r="C6" s="0" t="n">
        <v>18966.195</v>
      </c>
      <c r="F6" s="0" t="n">
        <v>3470.457</v>
      </c>
      <c r="G6" s="0" t="n">
        <v>12.6877048639132</v>
      </c>
      <c r="H6" s="0" t="n">
        <v>3983.713</v>
      </c>
      <c r="I6" s="0" t="n">
        <v>2277.677</v>
      </c>
      <c r="J6" s="0" t="n">
        <v>8.32699945607258</v>
      </c>
      <c r="K6" s="0" t="n">
        <v>3.39</v>
      </c>
      <c r="L6" s="0" t="n">
        <v>3441.739</v>
      </c>
      <c r="M6" s="0" t="n">
        <v>403.714</v>
      </c>
      <c r="N6" s="0" t="n">
        <v>3038.025</v>
      </c>
      <c r="O6" s="0" t="n">
        <v>4350.872</v>
      </c>
      <c r="P6" s="0" t="n">
        <v>15731.51</v>
      </c>
      <c r="R6" s="0" t="n">
        <v>4.419</v>
      </c>
      <c r="S6" s="0" t="n">
        <v>5701.078</v>
      </c>
      <c r="T6" s="0" t="n">
        <v>743.211312</v>
      </c>
      <c r="U6" s="0" t="n">
        <v>450.137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29777.985</v>
      </c>
      <c r="C7" s="0" t="n">
        <v>20790.284</v>
      </c>
      <c r="F7" s="0" t="n">
        <v>3871.548</v>
      </c>
      <c r="G7" s="0" t="n">
        <v>13.0013766881809</v>
      </c>
      <c r="H7" s="0" t="n">
        <v>4465.093</v>
      </c>
      <c r="I7" s="0" t="n">
        <v>2553.51</v>
      </c>
      <c r="J7" s="0" t="n">
        <v>8.57516047509595</v>
      </c>
      <c r="K7" s="0" t="n">
        <v>3.84</v>
      </c>
      <c r="L7" s="0" t="n">
        <v>4256.852</v>
      </c>
      <c r="M7" s="0" t="n">
        <v>371.974</v>
      </c>
      <c r="N7" s="0" t="n">
        <v>3884.878</v>
      </c>
      <c r="O7" s="0" t="n">
        <v>4624.428</v>
      </c>
      <c r="P7" s="0" t="n">
        <v>16665.415</v>
      </c>
      <c r="R7" s="0" t="n">
        <v>0.033</v>
      </c>
      <c r="S7" s="0" t="n">
        <v>6640.526</v>
      </c>
      <c r="T7" s="0" t="n">
        <v>727.386654</v>
      </c>
      <c r="U7" s="0" t="n">
        <v>538.086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30394.285</v>
      </c>
      <c r="C8" s="0" t="n">
        <v>21010.11</v>
      </c>
      <c r="F8" s="0" t="n">
        <v>4338.68</v>
      </c>
      <c r="G8" s="0" t="n">
        <v>14.2746572258568</v>
      </c>
      <c r="H8" s="0" t="n">
        <v>4931.708</v>
      </c>
      <c r="I8" s="0" t="n">
        <v>3281.878</v>
      </c>
      <c r="J8" s="0" t="n">
        <v>10.7976812088194</v>
      </c>
      <c r="K8" s="0" t="n">
        <v>4.93</v>
      </c>
      <c r="L8" s="0" t="n">
        <v>3303.128</v>
      </c>
      <c r="M8" s="0" t="n">
        <v>369.593</v>
      </c>
      <c r="N8" s="0" t="n">
        <v>2933.535</v>
      </c>
      <c r="O8" s="0" t="n">
        <v>5427.829</v>
      </c>
      <c r="P8" s="0" t="n">
        <v>16867.049</v>
      </c>
      <c r="R8" s="0" t="n">
        <v>25.6</v>
      </c>
      <c r="S8" s="0" t="n">
        <v>5631.885</v>
      </c>
      <c r="T8" s="0" t="n">
        <v>713.34047</v>
      </c>
      <c r="U8" s="0" t="n">
        <v>615.878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31874.678</v>
      </c>
      <c r="C9" s="0" t="n">
        <v>22190.212</v>
      </c>
      <c r="F9" s="0" t="n">
        <v>4300.512</v>
      </c>
      <c r="G9" s="0" t="n">
        <v>13.4919386479763</v>
      </c>
      <c r="H9" s="0" t="n">
        <v>4921.255</v>
      </c>
      <c r="I9" s="0" t="n">
        <v>2941.498</v>
      </c>
      <c r="J9" s="0" t="n">
        <v>9.22832224375726</v>
      </c>
      <c r="K9" s="0" t="n">
        <v>4.52</v>
      </c>
      <c r="L9" s="0" t="n">
        <v>3486.085</v>
      </c>
      <c r="M9" s="0" t="n">
        <v>321.87</v>
      </c>
      <c r="N9" s="0" t="n">
        <v>3164.215</v>
      </c>
      <c r="O9" s="0" t="n">
        <v>6285.337</v>
      </c>
      <c r="P9" s="0" t="n">
        <v>17930.452</v>
      </c>
      <c r="R9" s="0" t="n">
        <v>26.733</v>
      </c>
      <c r="S9" s="0" t="n">
        <v>4921.305</v>
      </c>
      <c r="T9" s="0" t="n">
        <v>692.389966</v>
      </c>
      <c r="U9" s="0" t="n">
        <v>671.301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32914.424</v>
      </c>
      <c r="C10" s="0" t="n">
        <v>23105.185</v>
      </c>
      <c r="F10" s="0" t="n">
        <v>4435.869</v>
      </c>
      <c r="G10" s="0" t="n">
        <v>13.4769759300664</v>
      </c>
      <c r="H10" s="0" t="n">
        <v>5081.792</v>
      </c>
      <c r="I10" s="0" t="n">
        <v>3053.581</v>
      </c>
      <c r="J10" s="0" t="n">
        <v>9.27733385217375</v>
      </c>
      <c r="K10" s="0" t="n">
        <v>4.76</v>
      </c>
      <c r="L10" s="0" t="n">
        <v>4176.163</v>
      </c>
      <c r="M10" s="0" t="n">
        <v>395.017</v>
      </c>
      <c r="N10" s="0" t="n">
        <v>3781.146</v>
      </c>
      <c r="O10" s="0" t="n">
        <v>6647.571</v>
      </c>
      <c r="P10" s="0" t="n">
        <v>18202.647</v>
      </c>
      <c r="R10" s="0" t="n">
        <v>27.435</v>
      </c>
      <c r="S10" s="0" t="n">
        <v>4360.766</v>
      </c>
      <c r="T10" s="0" t="n">
        <v>678.75707</v>
      </c>
      <c r="U10" s="0" t="n">
        <v>680.329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34797.661</v>
      </c>
      <c r="C11" s="0" t="n">
        <v>24520.234</v>
      </c>
      <c r="F11" s="0" t="n">
        <v>4810.445</v>
      </c>
      <c r="G11" s="0" t="n">
        <v>13.8240469668349</v>
      </c>
      <c r="H11" s="0" t="n">
        <v>5539.497</v>
      </c>
      <c r="I11" s="0" t="n">
        <v>4111.892</v>
      </c>
      <c r="J11" s="0" t="n">
        <v>11.8165758324963</v>
      </c>
      <c r="K11" s="0" t="n">
        <v>6.45</v>
      </c>
      <c r="L11" s="0" t="n">
        <v>4667.4</v>
      </c>
      <c r="M11" s="0" t="n">
        <v>496.566</v>
      </c>
      <c r="N11" s="0" t="n">
        <v>4170.834</v>
      </c>
      <c r="O11" s="0" t="n">
        <v>8189.376</v>
      </c>
      <c r="P11" s="0" t="n">
        <v>20609.004</v>
      </c>
      <c r="R11" s="0" t="n">
        <v>27.23</v>
      </c>
      <c r="S11" s="0" t="n">
        <v>4905.609</v>
      </c>
      <c r="T11" s="0" t="n">
        <v>667.770274</v>
      </c>
      <c r="U11" s="0" t="n">
        <v>758.176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36176.841</v>
      </c>
      <c r="C12" s="0" t="n">
        <v>25105.349</v>
      </c>
      <c r="F12" s="0" t="n">
        <v>5191.402</v>
      </c>
      <c r="G12" s="0" t="n">
        <v>14.3500699798526</v>
      </c>
      <c r="H12" s="0" t="n">
        <v>5993.191</v>
      </c>
      <c r="I12" s="0" t="n">
        <v>3445.149</v>
      </c>
      <c r="J12" s="0" t="n">
        <v>9.52307859052702</v>
      </c>
      <c r="K12" s="0" t="n">
        <v>5.44</v>
      </c>
      <c r="L12" s="0" t="n">
        <v>4973.039</v>
      </c>
      <c r="M12" s="0" t="n">
        <v>515.919</v>
      </c>
      <c r="N12" s="0" t="n">
        <v>4457.12</v>
      </c>
      <c r="O12" s="0" t="n">
        <v>9710.2</v>
      </c>
      <c r="P12" s="0" t="n">
        <v>22689.89</v>
      </c>
      <c r="R12" s="0" t="n">
        <v>25.07</v>
      </c>
      <c r="S12" s="0" t="n">
        <v>4126.86</v>
      </c>
      <c r="T12" s="0" t="n">
        <v>660.463227</v>
      </c>
      <c r="U12" s="0" t="n">
        <v>795.235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40992.534</v>
      </c>
      <c r="C13" s="0" t="n">
        <v>28499.17</v>
      </c>
      <c r="F13" s="0" t="n">
        <v>5898.779</v>
      </c>
      <c r="G13" s="0" t="n">
        <v>14.3898862168413</v>
      </c>
      <c r="H13" s="0" t="n">
        <v>6825.555</v>
      </c>
      <c r="I13" s="0" t="n">
        <v>4059.907</v>
      </c>
      <c r="J13" s="0" t="n">
        <v>9.90401569222337</v>
      </c>
      <c r="K13" s="0" t="n">
        <v>6.34</v>
      </c>
      <c r="L13" s="0" t="n">
        <v>6026.691</v>
      </c>
      <c r="M13" s="0" t="n">
        <v>619.187</v>
      </c>
      <c r="N13" s="0" t="n">
        <v>5407.504</v>
      </c>
      <c r="O13" s="0" t="n">
        <v>10724.588</v>
      </c>
      <c r="P13" s="0" t="n">
        <v>24449.083</v>
      </c>
      <c r="R13" s="0" t="n">
        <v>25.013</v>
      </c>
      <c r="S13" s="0" t="n">
        <v>5061.36</v>
      </c>
      <c r="T13" s="0" t="n">
        <v>655.29615</v>
      </c>
      <c r="U13" s="0" t="n">
        <v>976.908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43215.013</v>
      </c>
      <c r="C14" s="0" t="n">
        <v>29900.325</v>
      </c>
      <c r="F14" s="0" t="n">
        <v>6305.074</v>
      </c>
      <c r="G14" s="0" t="n">
        <v>14.5900083380746</v>
      </c>
      <c r="H14" s="0" t="n">
        <v>7197.834</v>
      </c>
      <c r="I14" s="0" t="n">
        <v>4779.112</v>
      </c>
      <c r="J14" s="0" t="n">
        <v>11.0589160299454</v>
      </c>
      <c r="K14" s="0" t="n">
        <v>7.36</v>
      </c>
      <c r="L14" s="0" t="n">
        <v>6626.953</v>
      </c>
      <c r="M14" s="0" t="n">
        <v>599.009</v>
      </c>
      <c r="N14" s="0" t="n">
        <v>6027.944</v>
      </c>
      <c r="O14" s="0" t="n">
        <v>14827.691</v>
      </c>
      <c r="P14" s="0" t="n">
        <v>29789.88</v>
      </c>
      <c r="R14" s="0" t="n">
        <v>22.658</v>
      </c>
      <c r="S14" s="0" t="n">
        <v>6126.853</v>
      </c>
      <c r="T14" s="0" t="n">
        <v>650.204873</v>
      </c>
      <c r="U14" s="0" t="n">
        <v>1093.253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44327.039</v>
      </c>
      <c r="C15" s="0" t="n">
        <v>30350.881</v>
      </c>
      <c r="F15" s="0" t="n">
        <v>6513.644</v>
      </c>
      <c r="G15" s="0" t="n">
        <v>14.6945163650566</v>
      </c>
      <c r="H15" s="0" t="n">
        <v>7536.043</v>
      </c>
      <c r="I15" s="0" t="n">
        <v>5107.839</v>
      </c>
      <c r="J15" s="0" t="n">
        <v>11.523077370451</v>
      </c>
      <c r="K15" s="0" t="n">
        <v>7.89</v>
      </c>
      <c r="L15" s="0" t="n">
        <v>8215.152</v>
      </c>
      <c r="M15" s="0" t="n">
        <v>599.132</v>
      </c>
      <c r="N15" s="0" t="n">
        <v>7616.02</v>
      </c>
      <c r="O15" s="0" t="n">
        <v>17499.173</v>
      </c>
      <c r="P15" s="0" t="n">
        <v>37078.593</v>
      </c>
      <c r="R15" s="0" t="n">
        <v>61.872</v>
      </c>
      <c r="S15" s="0" t="n">
        <v>8415.33</v>
      </c>
      <c r="T15" s="0" t="n">
        <v>647.797003</v>
      </c>
      <c r="U15" s="0" t="n">
        <v>1197.806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50533.389</v>
      </c>
      <c r="C16" s="0" t="n">
        <v>34169.261</v>
      </c>
      <c r="F16" s="0" t="n">
        <v>7621.529</v>
      </c>
      <c r="G16" s="0" t="n">
        <v>15.0821647841589</v>
      </c>
      <c r="H16" s="0" t="n">
        <v>8749.092</v>
      </c>
      <c r="I16" s="0" t="n">
        <v>5906.809</v>
      </c>
      <c r="J16" s="0" t="n">
        <v>11.6889231395108</v>
      </c>
      <c r="K16" s="0" t="n">
        <v>9.16</v>
      </c>
      <c r="L16" s="0" t="n">
        <v>8975.148</v>
      </c>
      <c r="M16" s="0" t="n">
        <v>580.132</v>
      </c>
      <c r="N16" s="0" t="n">
        <v>8395.016</v>
      </c>
      <c r="O16" s="0" t="n">
        <v>20097.114</v>
      </c>
      <c r="P16" s="0" t="n">
        <v>43175.843</v>
      </c>
      <c r="R16" s="0" t="n">
        <v>65.553</v>
      </c>
      <c r="S16" s="0" t="n">
        <v>8168.174</v>
      </c>
      <c r="T16" s="0" t="n">
        <v>645.909042</v>
      </c>
      <c r="U16" s="0" t="n">
        <v>1342.951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61594.305</v>
      </c>
      <c r="C17" s="0" t="n">
        <v>41892.766</v>
      </c>
      <c r="F17" s="0" t="n">
        <v>9367.181</v>
      </c>
      <c r="G17" s="0" t="n">
        <v>15.2078686495448</v>
      </c>
      <c r="H17" s="0" t="n">
        <v>10686.367</v>
      </c>
      <c r="I17" s="0" t="n">
        <v>6877.169</v>
      </c>
      <c r="J17" s="0" t="n">
        <v>11.1652676331034</v>
      </c>
      <c r="K17" s="0" t="n">
        <v>10.71</v>
      </c>
      <c r="L17" s="0" t="n">
        <v>9541.129</v>
      </c>
      <c r="M17" s="0" t="n">
        <v>717.998</v>
      </c>
      <c r="N17" s="0" t="n">
        <v>8823.131</v>
      </c>
      <c r="O17" s="0" t="n">
        <v>22747.088</v>
      </c>
      <c r="P17" s="0" t="n">
        <v>47263.39</v>
      </c>
      <c r="R17" s="0" t="n">
        <v>55.068</v>
      </c>
      <c r="S17" s="0" t="n">
        <v>7889.833</v>
      </c>
      <c r="T17" s="0" t="n">
        <v>642.839181</v>
      </c>
      <c r="U17" s="0" t="n">
        <v>1679.789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64111.745</v>
      </c>
      <c r="C18" s="0" t="n">
        <v>43380.138</v>
      </c>
      <c r="F18" s="0" t="n">
        <v>8809.889</v>
      </c>
      <c r="G18" s="0" t="n">
        <v>13.7414587607934</v>
      </c>
      <c r="H18" s="0" t="n">
        <v>10221.962</v>
      </c>
      <c r="I18" s="0" t="n">
        <v>6871.557</v>
      </c>
      <c r="J18" s="0" t="n">
        <v>10.7180938531622</v>
      </c>
      <c r="K18" s="0" t="n">
        <v>10.77</v>
      </c>
      <c r="L18" s="0" t="n">
        <v>9524.268</v>
      </c>
      <c r="M18" s="0" t="n">
        <v>528.172</v>
      </c>
      <c r="N18" s="0" t="n">
        <v>8996.096</v>
      </c>
      <c r="O18" s="0" t="n">
        <v>26458.593</v>
      </c>
      <c r="P18" s="0" t="n">
        <v>51245.305</v>
      </c>
      <c r="R18" s="0" t="n">
        <v>147.903</v>
      </c>
      <c r="S18" s="0" t="n">
        <v>9045.032</v>
      </c>
      <c r="T18" s="0" t="n">
        <v>638.591616</v>
      </c>
      <c r="U18" s="0" t="n">
        <v>1913.051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64896.464</v>
      </c>
      <c r="C19" s="0" t="n">
        <v>43734.147</v>
      </c>
      <c r="F19" s="0" t="n">
        <v>9595.847</v>
      </c>
      <c r="G19" s="0" t="n">
        <v>14.7863942171025</v>
      </c>
      <c r="H19" s="0" t="n">
        <v>11039.072</v>
      </c>
      <c r="I19" s="0" t="n">
        <v>7264.787</v>
      </c>
      <c r="J19" s="0" t="n">
        <v>11.1944265561218</v>
      </c>
      <c r="K19" s="0" t="n">
        <v>11.44</v>
      </c>
      <c r="L19" s="0" t="n">
        <v>9131.027</v>
      </c>
      <c r="M19" s="0" t="n">
        <v>516.509</v>
      </c>
      <c r="N19" s="0" t="n">
        <v>8614.518</v>
      </c>
      <c r="O19" s="0" t="n">
        <v>28288.646</v>
      </c>
      <c r="P19" s="0" t="n">
        <v>55932.363</v>
      </c>
      <c r="R19" s="0" t="n">
        <v>1024.857</v>
      </c>
      <c r="S19" s="0" t="n">
        <v>5004.469</v>
      </c>
      <c r="T19" s="0" t="n">
        <v>635.940044</v>
      </c>
      <c r="U19" s="0" t="n">
        <v>1941.59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69672.977</v>
      </c>
      <c r="C20" s="0" t="n">
        <v>47437.576</v>
      </c>
      <c r="F20" s="0" t="n">
        <v>10225.664</v>
      </c>
      <c r="G20" s="0" t="n">
        <v>14.6766572067101</v>
      </c>
      <c r="I20" s="0" t="n">
        <v>7678.433</v>
      </c>
      <c r="J20" s="0" t="n">
        <v>11.0206759214552</v>
      </c>
      <c r="K20" s="0" t="n">
        <v>12.15</v>
      </c>
      <c r="L20" s="0" t="n">
        <v>11474.399</v>
      </c>
      <c r="M20" s="0" t="n">
        <v>600.039</v>
      </c>
      <c r="N20" s="0" t="n">
        <v>10874.36</v>
      </c>
      <c r="O20" s="0" t="n">
        <v>31195.446</v>
      </c>
      <c r="P20" s="0" t="n">
        <v>65394.897</v>
      </c>
      <c r="R20" s="0" t="n">
        <v>5148.653</v>
      </c>
      <c r="S20" s="0" t="n">
        <v>11478.729</v>
      </c>
      <c r="T20" s="0" t="n">
        <v>632.435108</v>
      </c>
      <c r="U20" s="0" t="n">
        <v>2093.878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177.41</v>
      </c>
    </row>
    <row r="3" customFormat="false" ht="15" hidden="false" customHeight="false" outlineLevel="0" collapsed="false">
      <c r="A3" s="0" t="s">
        <v>85</v>
      </c>
      <c r="B3" s="3" t="n">
        <v>615.593</v>
      </c>
    </row>
    <row r="4" customFormat="false" ht="15" hidden="false" customHeight="false" outlineLevel="0" collapsed="false">
      <c r="A4" s="0" t="s">
        <v>86</v>
      </c>
      <c r="B4" s="3" t="n">
        <v>-5022.98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69672.977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1</v>
      </c>
      <c r="D13" s="3" t="n">
        <v>0.5</v>
      </c>
      <c r="E13" s="3" t="n">
        <v>0.5</v>
      </c>
      <c r="F13" s="3" t="n">
        <v>1</v>
      </c>
      <c r="G13" s="3" t="n">
        <v>1.5</v>
      </c>
      <c r="H13" s="3" t="n">
        <v>1.5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16</v>
      </c>
      <c r="D14" s="3" t="n">
        <v>15.5</v>
      </c>
      <c r="E14" s="3" t="n">
        <v>15.3</v>
      </c>
      <c r="F14" s="3" t="n">
        <v>15.3</v>
      </c>
      <c r="G14" s="3" t="n">
        <v>15.4</v>
      </c>
      <c r="H14" s="3" t="n">
        <v>15.5</v>
      </c>
      <c r="I14" s="3" t="n">
        <v>15.6</v>
      </c>
      <c r="J14" s="3" t="n">
        <v>15.7</v>
      </c>
      <c r="K14" s="3" t="n">
        <v>15.8</v>
      </c>
      <c r="L14" s="3" t="n">
        <v>15.8</v>
      </c>
    </row>
    <row r="15" customFormat="false" ht="15" hidden="false" customHeight="false" outlineLevel="0" collapsed="false">
      <c r="A15" s="0" t="s">
        <v>107</v>
      </c>
      <c r="C15" s="3" t="n">
        <v>3.1</v>
      </c>
      <c r="D15" s="3" t="n">
        <v>3.2</v>
      </c>
      <c r="E15" s="3" t="n">
        <v>3.2</v>
      </c>
      <c r="F15" s="3" t="n">
        <v>3.1</v>
      </c>
      <c r="G15" s="3" t="n">
        <v>3.1</v>
      </c>
      <c r="H15" s="3" t="n">
        <v>3</v>
      </c>
      <c r="I15" s="3" t="n">
        <v>3</v>
      </c>
      <c r="J15" s="3" t="n">
        <v>3</v>
      </c>
      <c r="K15" s="3" t="n">
        <v>2.9</v>
      </c>
      <c r="L15" s="3" t="n">
        <v>2.9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2.3</v>
      </c>
      <c r="D17" s="3" t="n">
        <v>2.3</v>
      </c>
      <c r="E17" s="3" t="n">
        <v>2.3</v>
      </c>
      <c r="F17" s="3" t="n">
        <v>2.3</v>
      </c>
      <c r="G17" s="3" t="n">
        <v>2.3</v>
      </c>
      <c r="H17" s="3" t="n">
        <v>2.3</v>
      </c>
      <c r="I17" s="3" t="n">
        <v>2.3</v>
      </c>
      <c r="J17" s="3" t="n">
        <v>2.3</v>
      </c>
      <c r="K17" s="3" t="n">
        <v>2.3</v>
      </c>
      <c r="L17" s="3" t="n">
        <v>2.3</v>
      </c>
    </row>
    <row r="18" customFormat="false" ht="15" hidden="false" customHeight="false" outlineLevel="0" collapsed="false">
      <c r="A18" s="0" t="s">
        <v>110</v>
      </c>
      <c r="C18" s="3" t="n">
        <v>0.9</v>
      </c>
      <c r="D18" s="3" t="n">
        <v>0.9</v>
      </c>
      <c r="E18" s="3" t="n">
        <v>0.9</v>
      </c>
      <c r="F18" s="3" t="n">
        <v>0.9</v>
      </c>
      <c r="G18" s="3" t="n">
        <v>0.9</v>
      </c>
      <c r="H18" s="3" t="n">
        <v>0.9</v>
      </c>
      <c r="I18" s="3" t="n">
        <v>0.9</v>
      </c>
      <c r="J18" s="3" t="n">
        <v>0.9</v>
      </c>
      <c r="K18" s="3" t="n">
        <v>0.9</v>
      </c>
      <c r="L18" s="3" t="n">
        <v>0.9</v>
      </c>
    </row>
    <row r="19" customFormat="false" ht="15" hidden="false" customHeight="false" outlineLevel="0" collapsed="false">
      <c r="A19" s="0" t="s">
        <v>111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112</v>
      </c>
      <c r="B20" s="3" t="n">
        <v>9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12</v>
      </c>
    </row>
    <row r="23" customFormat="false" ht="15" hidden="false" customHeight="false" outlineLevel="0" collapsed="false">
      <c r="A23" s="0" t="s">
        <v>115</v>
      </c>
      <c r="B23" s="3" t="n">
        <v>4</v>
      </c>
    </row>
    <row r="24" customFormat="false" ht="15" hidden="false" customHeight="false" outlineLevel="0" collapsed="false">
      <c r="A24" s="0" t="s">
        <v>116</v>
      </c>
      <c r="B24" s="3" t="n">
        <v>0.3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3.5</v>
      </c>
      <c r="D27" s="3" t="n">
        <v>4</v>
      </c>
      <c r="E27" s="3" t="n">
        <v>4.5</v>
      </c>
      <c r="F27" s="3" t="n">
        <v>5</v>
      </c>
      <c r="G27" s="3" t="n">
        <v>5</v>
      </c>
      <c r="H27" s="3" t="n">
        <v>5</v>
      </c>
      <c r="I27" s="3" t="n">
        <v>4.5</v>
      </c>
      <c r="J27" s="3" t="n">
        <v>4.5</v>
      </c>
      <c r="K27" s="3" t="n">
        <v>4</v>
      </c>
      <c r="L27" s="3" t="n">
        <v>4</v>
      </c>
    </row>
    <row r="28" customFormat="false" ht="15" hidden="false" customHeight="false" outlineLevel="0" collapsed="false">
      <c r="A28" s="0" t="s">
        <v>106</v>
      </c>
      <c r="C28" s="3" t="n">
        <v>16.9</v>
      </c>
      <c r="D28" s="3" t="n">
        <v>17</v>
      </c>
      <c r="E28" s="3" t="n">
        <v>17.1</v>
      </c>
      <c r="F28" s="3" t="n">
        <v>17.2</v>
      </c>
      <c r="G28" s="3" t="n">
        <v>17.3</v>
      </c>
      <c r="H28" s="3" t="n">
        <v>17.3</v>
      </c>
      <c r="I28" s="3" t="n">
        <v>17.3</v>
      </c>
      <c r="J28" s="3" t="n">
        <v>17.3</v>
      </c>
      <c r="K28" s="3" t="n">
        <v>17.3</v>
      </c>
      <c r="L28" s="3" t="n">
        <v>17.3</v>
      </c>
    </row>
    <row r="29" customFormat="false" ht="15" hidden="false" customHeight="false" outlineLevel="0" collapsed="false">
      <c r="A29" s="0" t="s">
        <v>107</v>
      </c>
      <c r="C29" s="3" t="n">
        <v>3</v>
      </c>
      <c r="D29" s="3" t="n">
        <v>3</v>
      </c>
      <c r="E29" s="3" t="n">
        <v>2.9</v>
      </c>
      <c r="F29" s="3" t="n">
        <v>2.9</v>
      </c>
      <c r="G29" s="3" t="n">
        <v>2.8</v>
      </c>
      <c r="H29" s="3" t="n">
        <v>2.8</v>
      </c>
      <c r="I29" s="3" t="n">
        <v>2.7</v>
      </c>
      <c r="J29" s="3" t="n">
        <v>2.7</v>
      </c>
      <c r="K29" s="3" t="n">
        <v>2.6</v>
      </c>
      <c r="L29" s="3" t="n">
        <v>2.6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2.2</v>
      </c>
      <c r="D31" s="3" t="n">
        <v>2.2</v>
      </c>
      <c r="E31" s="3" t="n">
        <v>2.2</v>
      </c>
      <c r="F31" s="3" t="n">
        <v>2.2</v>
      </c>
      <c r="G31" s="3" t="n">
        <v>2.2</v>
      </c>
      <c r="H31" s="3" t="n">
        <v>2.2</v>
      </c>
      <c r="I31" s="3" t="n">
        <v>2.2</v>
      </c>
      <c r="J31" s="3" t="n">
        <v>2.2</v>
      </c>
      <c r="K31" s="3" t="n">
        <v>2.2</v>
      </c>
      <c r="L31" s="3" t="n">
        <v>2.2</v>
      </c>
    </row>
    <row r="32" customFormat="false" ht="15" hidden="false" customHeight="false" outlineLevel="0" collapsed="false">
      <c r="A32" s="0" t="s">
        <v>110</v>
      </c>
      <c r="C32" s="3" t="n">
        <v>0.9</v>
      </c>
      <c r="D32" s="3" t="n">
        <v>0.9</v>
      </c>
      <c r="E32" s="3" t="n">
        <v>0.9</v>
      </c>
      <c r="F32" s="3" t="n">
        <v>0.9</v>
      </c>
      <c r="G32" s="3" t="n">
        <v>0.9</v>
      </c>
      <c r="H32" s="3" t="n">
        <v>0.9</v>
      </c>
      <c r="I32" s="3" t="n">
        <v>0.9</v>
      </c>
      <c r="J32" s="3" t="n">
        <v>0.9</v>
      </c>
      <c r="K32" s="3" t="n">
        <v>0.9</v>
      </c>
      <c r="L32" s="3" t="n">
        <v>0.9</v>
      </c>
    </row>
    <row r="33" customFormat="false" ht="15" hidden="false" customHeight="false" outlineLevel="0" collapsed="false">
      <c r="A33" s="0" t="s">
        <v>111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112</v>
      </c>
      <c r="B34" s="3" t="n">
        <v>8.5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16</v>
      </c>
    </row>
    <row r="37" customFormat="false" ht="15" hidden="false" customHeight="false" outlineLevel="0" collapsed="false">
      <c r="A37" s="0" t="s">
        <v>115</v>
      </c>
      <c r="B37" s="3" t="n">
        <v>8</v>
      </c>
    </row>
    <row r="38" customFormat="false" ht="15" hidden="false" customHeight="false" outlineLevel="0" collapsed="false">
      <c r="A38" s="0" t="s">
        <v>116</v>
      </c>
      <c r="B38" s="3" t="n">
        <v>0.45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5</v>
      </c>
      <c r="D41" s="3" t="n">
        <v>6.5</v>
      </c>
      <c r="E41" s="3" t="n">
        <v>7.5</v>
      </c>
      <c r="F41" s="3" t="n">
        <v>8</v>
      </c>
      <c r="G41" s="3" t="n">
        <v>8</v>
      </c>
      <c r="H41" s="3" t="n">
        <v>7.5</v>
      </c>
      <c r="I41" s="3" t="n">
        <v>7</v>
      </c>
      <c r="J41" s="3" t="n">
        <v>6.5</v>
      </c>
      <c r="K41" s="3" t="n">
        <v>6</v>
      </c>
      <c r="L41" s="3" t="n">
        <v>6</v>
      </c>
    </row>
    <row r="42" customFormat="false" ht="15" hidden="false" customHeight="false" outlineLevel="0" collapsed="false">
      <c r="A42" s="0" t="s">
        <v>106</v>
      </c>
      <c r="C42" s="3" t="n">
        <v>17.2</v>
      </c>
      <c r="D42" s="3" t="n">
        <v>17.6</v>
      </c>
      <c r="E42" s="3" t="n">
        <v>18</v>
      </c>
      <c r="F42" s="3" t="n">
        <v>18.3</v>
      </c>
      <c r="G42" s="3" t="n">
        <v>18.5</v>
      </c>
      <c r="H42" s="3" t="n">
        <v>18.6</v>
      </c>
      <c r="I42" s="3" t="n">
        <v>18.6</v>
      </c>
      <c r="J42" s="3" t="n">
        <v>18.6</v>
      </c>
      <c r="K42" s="3" t="n">
        <v>18.6</v>
      </c>
      <c r="L42" s="3" t="n">
        <v>18.6</v>
      </c>
    </row>
    <row r="43" customFormat="false" ht="15" hidden="false" customHeight="false" outlineLevel="0" collapsed="false">
      <c r="A43" s="0" t="s">
        <v>107</v>
      </c>
      <c r="C43" s="3" t="n">
        <v>3</v>
      </c>
      <c r="D43" s="3" t="n">
        <v>2.9</v>
      </c>
      <c r="E43" s="3" t="n">
        <v>2.8</v>
      </c>
      <c r="F43" s="3" t="n">
        <v>2.7</v>
      </c>
      <c r="G43" s="3" t="n">
        <v>2.6</v>
      </c>
      <c r="H43" s="3" t="n">
        <v>2.5</v>
      </c>
      <c r="I43" s="3" t="n">
        <v>2.5</v>
      </c>
      <c r="J43" s="3" t="n">
        <v>2.4</v>
      </c>
      <c r="K43" s="3" t="n">
        <v>2.4</v>
      </c>
      <c r="L43" s="3" t="n">
        <v>2.3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2.2</v>
      </c>
      <c r="D45" s="3" t="n">
        <v>2.2</v>
      </c>
      <c r="E45" s="3" t="n">
        <v>2.1</v>
      </c>
      <c r="F45" s="3" t="n">
        <v>2.1</v>
      </c>
      <c r="G45" s="3" t="n">
        <v>2.1</v>
      </c>
      <c r="H45" s="3" t="n">
        <v>2.1</v>
      </c>
      <c r="I45" s="3" t="n">
        <v>2.1</v>
      </c>
      <c r="J45" s="3" t="n">
        <v>2.1</v>
      </c>
      <c r="K45" s="3" t="n">
        <v>2.1</v>
      </c>
      <c r="L45" s="3" t="n">
        <v>2.1</v>
      </c>
    </row>
    <row r="46" customFormat="false" ht="15" hidden="false" customHeight="false" outlineLevel="0" collapsed="false">
      <c r="A46" s="0" t="s">
        <v>110</v>
      </c>
      <c r="C46" s="3" t="n">
        <v>0.9</v>
      </c>
      <c r="D46" s="3" t="n">
        <v>0.9</v>
      </c>
      <c r="E46" s="3" t="n">
        <v>0.9</v>
      </c>
      <c r="F46" s="3" t="n">
        <v>0.9</v>
      </c>
      <c r="G46" s="3" t="n">
        <v>0.9</v>
      </c>
      <c r="H46" s="3" t="n">
        <v>0.9</v>
      </c>
      <c r="I46" s="3" t="n">
        <v>0.9</v>
      </c>
      <c r="J46" s="3" t="n">
        <v>0.9</v>
      </c>
      <c r="K46" s="3" t="n">
        <v>0.9</v>
      </c>
      <c r="L46" s="3" t="n">
        <v>0.9</v>
      </c>
    </row>
    <row r="47" customFormat="false" ht="15" hidden="false" customHeight="false" outlineLevel="0" collapsed="false">
      <c r="A47" s="0" t="s">
        <v>111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112</v>
      </c>
      <c r="B48" s="3" t="n">
        <v>8</v>
      </c>
    </row>
    <row r="49" customFormat="false" ht="15" hidden="false" customHeight="false" outlineLevel="0" collapsed="false">
      <c r="A49" s="0" t="s">
        <v>113</v>
      </c>
      <c r="B49" s="3" t="n">
        <v>3.5</v>
      </c>
    </row>
    <row r="50" customFormat="false" ht="15" hidden="false" customHeight="false" outlineLevel="0" collapsed="false">
      <c r="A50" s="0" t="s">
        <v>114</v>
      </c>
      <c r="B50" s="3" t="n">
        <v>18</v>
      </c>
    </row>
    <row r="51" customFormat="false" ht="15" hidden="false" customHeight="false" outlineLevel="0" collapsed="false">
      <c r="A51" s="0" t="s">
        <v>115</v>
      </c>
      <c r="B51" s="3" t="n">
        <v>12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1</v>
      </c>
      <c r="D5" s="4" t="n">
        <f aca="false">Assumptions!D13</f>
        <v>0.5</v>
      </c>
      <c r="E5" s="4" t="n">
        <f aca="false">Assumptions!E13</f>
        <v>0.5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69672.977</v>
      </c>
      <c r="C6" s="0" t="n">
        <f aca="false">B6*(1+C5/100)</f>
        <v>70369.70677</v>
      </c>
      <c r="D6" s="0" t="n">
        <f aca="false">C6*(1+D5/100)</f>
        <v>70721.55530385</v>
      </c>
      <c r="E6" s="0" t="n">
        <f aca="false">D6*(1+E5/100)</f>
        <v>71075.1630803692</v>
      </c>
      <c r="F6" s="0" t="n">
        <f aca="false">E6*(1+F5/100)</f>
        <v>71785.9147111729</v>
      </c>
      <c r="G6" s="0" t="n">
        <f aca="false">F6*(1+G5/100)</f>
        <v>72862.7034318405</v>
      </c>
      <c r="H6" s="0" t="n">
        <f aca="false">G6*(1+H5/100)</f>
        <v>73955.6439833181</v>
      </c>
      <c r="I6" s="0" t="n">
        <f aca="false">H6*(1+I5/100)</f>
        <v>75434.7568629845</v>
      </c>
      <c r="J6" s="0" t="n">
        <f aca="false">I6*(1+J5/100)</f>
        <v>76943.4520002442</v>
      </c>
      <c r="K6" s="0" t="n">
        <f aca="false">J6*(1+K5/100)</f>
        <v>78482.3210402491</v>
      </c>
      <c r="L6" s="0" t="n">
        <f aca="false">K6*(1+L5/100)</f>
        <v>80051.967461054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16</v>
      </c>
      <c r="D7" s="4" t="n">
        <f aca="false">Assumptions!D14</f>
        <v>15.5</v>
      </c>
      <c r="E7" s="4" t="n">
        <f aca="false">Assumptions!E14</f>
        <v>15.3</v>
      </c>
      <c r="F7" s="4" t="n">
        <f aca="false">Assumptions!F14</f>
        <v>15.3</v>
      </c>
      <c r="G7" s="4" t="n">
        <f aca="false">Assumptions!G14</f>
        <v>15.4</v>
      </c>
      <c r="H7" s="4" t="n">
        <f aca="false">Assumptions!H14</f>
        <v>15.5</v>
      </c>
      <c r="I7" s="4" t="n">
        <f aca="false">Assumptions!I14</f>
        <v>15.6</v>
      </c>
      <c r="J7" s="4" t="n">
        <f aca="false">Assumptions!J14</f>
        <v>15.7</v>
      </c>
      <c r="K7" s="4" t="n">
        <f aca="false">Assumptions!K14</f>
        <v>15.8</v>
      </c>
      <c r="L7" s="4" t="n">
        <f aca="false">Assumptions!L14</f>
        <v>15.8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11259.1530832</v>
      </c>
      <c r="D8" s="0" t="n">
        <f aca="false">D6*D7/100</f>
        <v>10961.8410720967</v>
      </c>
      <c r="E8" s="0" t="n">
        <f aca="false">E6*E7/100</f>
        <v>10874.4999512965</v>
      </c>
      <c r="F8" s="0" t="n">
        <f aca="false">F6*F7/100</f>
        <v>10983.2449508095</v>
      </c>
      <c r="G8" s="0" t="n">
        <f aca="false">G6*G7/100</f>
        <v>11220.8563285034</v>
      </c>
      <c r="H8" s="0" t="n">
        <f aca="false">H6*H7/100</f>
        <v>11463.1248174143</v>
      </c>
      <c r="I8" s="0" t="n">
        <f aca="false">I6*I7/100</f>
        <v>11767.8220706256</v>
      </c>
      <c r="J8" s="0" t="n">
        <f aca="false">J6*J7/100</f>
        <v>12080.1219640383</v>
      </c>
      <c r="K8" s="0" t="n">
        <f aca="false">K6*K7/100</f>
        <v>12400.2067243594</v>
      </c>
      <c r="L8" s="0" t="n">
        <f aca="false">L6*L7/100</f>
        <v>12648.2108588465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3.1</v>
      </c>
      <c r="D9" s="4" t="n">
        <f aca="false">Assumptions!D15</f>
        <v>3.2</v>
      </c>
      <c r="E9" s="4" t="n">
        <f aca="false">Assumptions!E15</f>
        <v>3.2</v>
      </c>
      <c r="F9" s="4" t="n">
        <f aca="false">Assumptions!F15</f>
        <v>3.1</v>
      </c>
      <c r="G9" s="4" t="n">
        <f aca="false">Assumptions!G15</f>
        <v>3.1</v>
      </c>
      <c r="H9" s="4" t="n">
        <f aca="false">Assumptions!H15</f>
        <v>3</v>
      </c>
      <c r="I9" s="4" t="n">
        <f aca="false">Assumptions!I15</f>
        <v>3</v>
      </c>
      <c r="J9" s="4" t="n">
        <f aca="false">Assumptions!J15</f>
        <v>3</v>
      </c>
      <c r="K9" s="4" t="n">
        <f aca="false">Assumptions!K15</f>
        <v>2.9</v>
      </c>
      <c r="L9" s="4" t="n">
        <f aca="false">Assumptions!L15</f>
        <v>2.9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-2181.46090987</v>
      </c>
      <c r="D10" s="0" t="n">
        <f aca="false">-D6*D9/100</f>
        <v>-2263.0897697232</v>
      </c>
      <c r="E10" s="0" t="n">
        <f aca="false">-E6*E9/100</f>
        <v>-2274.40521857182</v>
      </c>
      <c r="F10" s="0" t="n">
        <f aca="false">-F6*F9/100</f>
        <v>-2225.36335604636</v>
      </c>
      <c r="G10" s="0" t="n">
        <f aca="false">-G6*G9/100</f>
        <v>-2258.74380638706</v>
      </c>
      <c r="H10" s="0" t="n">
        <f aca="false">-H6*H9/100</f>
        <v>-2218.66931949954</v>
      </c>
      <c r="I10" s="0" t="n">
        <f aca="false">-I6*I9/100</f>
        <v>-2263.04270588953</v>
      </c>
      <c r="J10" s="0" t="n">
        <f aca="false">-J6*J9/100</f>
        <v>-2308.30356000733</v>
      </c>
      <c r="K10" s="0" t="n">
        <f aca="false">-K6*K9/100</f>
        <v>-2275.98731016722</v>
      </c>
      <c r="L10" s="0" t="n">
        <f aca="false">-L6*L9/100</f>
        <v>-2321.50705637057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9077.69217333</v>
      </c>
      <c r="D11" s="0" t="n">
        <f aca="false">D8+D10+D24</f>
        <v>8698.75130237355</v>
      </c>
      <c r="E11" s="0" t="n">
        <f aca="false">E8+E10+E24</f>
        <v>8600.09473272468</v>
      </c>
      <c r="F11" s="0" t="n">
        <f aca="false">F8+F10+F24</f>
        <v>8757.8815947631</v>
      </c>
      <c r="G11" s="0" t="n">
        <f aca="false">G8+G10+G24</f>
        <v>8962.11252211638</v>
      </c>
      <c r="H11" s="0" t="n">
        <f aca="false">H8+H10+H24</f>
        <v>9244.45549791477</v>
      </c>
      <c r="I11" s="0" t="n">
        <f aca="false">I8+I10+I24</f>
        <v>9504.77936473604</v>
      </c>
      <c r="J11" s="0" t="n">
        <f aca="false">J8+J10+J24</f>
        <v>9771.81840403101</v>
      </c>
      <c r="K11" s="0" t="n">
        <f aca="false">K8+K10+K24</f>
        <v>10124.2194141921</v>
      </c>
      <c r="L11" s="0" t="n">
        <f aca="false">L8+L10+L24</f>
        <v>10326.703802476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-1618.50325571</v>
      </c>
      <c r="D12" s="4" t="n">
        <f aca="false">-D6*Assumptions!D17/100</f>
        <v>-1626.59577198855</v>
      </c>
      <c r="E12" s="4" t="n">
        <f aca="false">-E6*Assumptions!E17/100</f>
        <v>-1634.72875084849</v>
      </c>
      <c r="F12" s="4" t="n">
        <f aca="false">-F6*Assumptions!F17/100</f>
        <v>-1651.07603835698</v>
      </c>
      <c r="G12" s="4" t="n">
        <f aca="false">-G6*Assumptions!G17/100</f>
        <v>-1675.84217893233</v>
      </c>
      <c r="H12" s="4" t="n">
        <f aca="false">-H6*Assumptions!H17/100</f>
        <v>-1700.97981161632</v>
      </c>
      <c r="I12" s="4" t="n">
        <f aca="false">-I6*Assumptions!I17/100</f>
        <v>-1734.99940784864</v>
      </c>
      <c r="J12" s="4" t="n">
        <f aca="false">-J6*Assumptions!J17/100</f>
        <v>-1769.69939600562</v>
      </c>
      <c r="K12" s="4" t="n">
        <f aca="false">-K6*Assumptions!K17/100</f>
        <v>-1805.09338392573</v>
      </c>
      <c r="L12" s="4" t="n">
        <f aca="false">-L6*Assumptions!L17/100</f>
        <v>-1841.19525160424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7459.18891762</v>
      </c>
      <c r="D13" s="0" t="n">
        <f aca="false">D11+D12</f>
        <v>7072.155530385</v>
      </c>
      <c r="E13" s="0" t="n">
        <f aca="false">E11+E12</f>
        <v>6965.36598187619</v>
      </c>
      <c r="F13" s="0" t="n">
        <f aca="false">F11+F12</f>
        <v>7106.80555640612</v>
      </c>
      <c r="G13" s="0" t="n">
        <f aca="false">G11+G12</f>
        <v>7286.27034318405</v>
      </c>
      <c r="H13" s="0" t="n">
        <f aca="false">H11+H12</f>
        <v>7543.47568629845</v>
      </c>
      <c r="I13" s="0" t="n">
        <f aca="false">I11+I12</f>
        <v>7769.7799568874</v>
      </c>
      <c r="J13" s="0" t="n">
        <f aca="false">J11+J12</f>
        <v>8002.11900802539</v>
      </c>
      <c r="K13" s="0" t="n">
        <f aca="false">K11+K12</f>
        <v>8319.1260302664</v>
      </c>
      <c r="L13" s="0" t="n">
        <f aca="false">L11+L12</f>
        <v>8485.50855087173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5668.9835773912</v>
      </c>
      <c r="D15" s="0" t="n">
        <f aca="false">D13-MAX(0,D13)*D14/100</f>
        <v>5374.8382030926</v>
      </c>
      <c r="E15" s="0" t="n">
        <f aca="false">E13-MAX(0,E13)*E14/100</f>
        <v>5293.6781462259</v>
      </c>
      <c r="F15" s="0" t="n">
        <f aca="false">F13-MAX(0,F13)*F14/100</f>
        <v>5401.17222286865</v>
      </c>
      <c r="G15" s="0" t="n">
        <f aca="false">G13-MAX(0,G13)*G14/100</f>
        <v>5537.56546081988</v>
      </c>
      <c r="H15" s="0" t="n">
        <f aca="false">H13-MAX(0,H13)*H14/100</f>
        <v>5733.04152158682</v>
      </c>
      <c r="I15" s="0" t="n">
        <f aca="false">I13-MAX(0,I13)*I14/100</f>
        <v>5905.03276723443</v>
      </c>
      <c r="J15" s="0" t="n">
        <f aca="false">J13-MAX(0,J13)*J14/100</f>
        <v>6081.6104460993</v>
      </c>
      <c r="K15" s="0" t="n">
        <f aca="false">K13-MAX(0,K13)*K14/100</f>
        <v>6322.53578300247</v>
      </c>
      <c r="L15" s="0" t="n">
        <f aca="false">L13-MAX(0,L13)*L14/100</f>
        <v>6448.98649866252</v>
      </c>
    </row>
    <row r="16" customFormat="false" ht="15" hidden="false" customHeight="false" outlineLevel="0" collapsed="false">
      <c r="A16" s="0" t="s">
        <v>127</v>
      </c>
      <c r="C16" s="0" t="n">
        <f aca="false">-C12</f>
        <v>1618.50325571</v>
      </c>
      <c r="D16" s="0" t="n">
        <f aca="false">-D12</f>
        <v>1626.59577198855</v>
      </c>
      <c r="E16" s="0" t="n">
        <f aca="false">-E12</f>
        <v>1634.72875084849</v>
      </c>
      <c r="F16" s="0" t="n">
        <f aca="false">-F12</f>
        <v>1651.07603835698</v>
      </c>
      <c r="G16" s="0" t="n">
        <f aca="false">-G12</f>
        <v>1675.84217893233</v>
      </c>
      <c r="H16" s="0" t="n">
        <f aca="false">-H12</f>
        <v>1700.97981161632</v>
      </c>
      <c r="I16" s="0" t="n">
        <f aca="false">-I12</f>
        <v>1734.99940784864</v>
      </c>
      <c r="J16" s="0" t="n">
        <f aca="false">-J12</f>
        <v>1769.69939600562</v>
      </c>
      <c r="K16" s="0" t="n">
        <f aca="false">-K12</f>
        <v>1805.09338392573</v>
      </c>
      <c r="L16" s="0" t="n">
        <f aca="false">-L12</f>
        <v>1841.19525160424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-633.32736093</v>
      </c>
      <c r="D17" s="4" t="n">
        <f aca="false">-D6*Assumptions!D18/100</f>
        <v>-636.49399773465</v>
      </c>
      <c r="E17" s="4" t="n">
        <f aca="false">-E6*Assumptions!E18/100</f>
        <v>-639.676467723323</v>
      </c>
      <c r="F17" s="4" t="n">
        <f aca="false">-F6*Assumptions!F18/100</f>
        <v>-646.073232400556</v>
      </c>
      <c r="G17" s="4" t="n">
        <f aca="false">-G6*Assumptions!G18/100</f>
        <v>-655.764330886565</v>
      </c>
      <c r="H17" s="4" t="n">
        <f aca="false">-H6*Assumptions!H18/100</f>
        <v>-665.600795849863</v>
      </c>
      <c r="I17" s="4" t="n">
        <f aca="false">-I6*Assumptions!I18/100</f>
        <v>-678.91281176686</v>
      </c>
      <c r="J17" s="4" t="n">
        <f aca="false">-J6*Assumptions!J18/100</f>
        <v>-692.491068002198</v>
      </c>
      <c r="K17" s="4" t="n">
        <f aca="false">-K6*Assumptions!K18/100</f>
        <v>-706.340889362242</v>
      </c>
      <c r="L17" s="4" t="n">
        <f aca="false">-L6*Assumptions!L18/100</f>
        <v>-720.467707149486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27.8691908000002</v>
      </c>
      <c r="D18" s="4" t="n">
        <f aca="false">(D6-C6)*Assumptions!$B$23/100</f>
        <v>14.0739413539995</v>
      </c>
      <c r="E18" s="4" t="n">
        <f aca="false">(E6-D6)*Assumptions!$B$23/100</f>
        <v>14.1443110607698</v>
      </c>
      <c r="F18" s="4" t="n">
        <f aca="false">(F6-E6)*Assumptions!$B$23/100</f>
        <v>28.4300652321475</v>
      </c>
      <c r="G18" s="4" t="n">
        <f aca="false">(G6-F6)*Assumptions!$B$23/100</f>
        <v>43.0715488267032</v>
      </c>
      <c r="H18" s="4" t="n">
        <f aca="false">(H6-G6)*Assumptions!$B$23/100</f>
        <v>43.717622059104</v>
      </c>
      <c r="I18" s="4" t="n">
        <f aca="false">(I6-H6)*Assumptions!$B$23/100</f>
        <v>59.1645151866548</v>
      </c>
      <c r="J18" s="4" t="n">
        <f aca="false">(J6-I6)*Assumptions!$B$23/100</f>
        <v>60.3478054903878</v>
      </c>
      <c r="K18" s="4" t="n">
        <f aca="false">(K6-J6)*Assumptions!$B$23/100</f>
        <v>61.5547616001952</v>
      </c>
      <c r="L18" s="4" t="n">
        <f aca="false">(L6-K6)*Assumptions!$B$23/100</f>
        <v>62.7858568321995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6682.0286629712</v>
      </c>
      <c r="D19" s="0" t="n">
        <f aca="false">D15+D16+D17+D18</f>
        <v>6379.0139187005</v>
      </c>
      <c r="E19" s="0" t="n">
        <f aca="false">E15+E16+E17+E18</f>
        <v>6302.87474041184</v>
      </c>
      <c r="F19" s="0" t="n">
        <f aca="false">F15+F16+F17+F18</f>
        <v>6434.60509405722</v>
      </c>
      <c r="G19" s="0" t="n">
        <f aca="false">G15+G16+G17+G18</f>
        <v>6600.71485769235</v>
      </c>
      <c r="H19" s="0" t="n">
        <f aca="false">H15+H16+H17+H18</f>
        <v>6812.13815941238</v>
      </c>
      <c r="I19" s="0" t="n">
        <f aca="false">I15+I16+I17+I18</f>
        <v>7020.28387850286</v>
      </c>
      <c r="J19" s="0" t="n">
        <f aca="false">J15+J16+J17+J18</f>
        <v>7219.16657959311</v>
      </c>
      <c r="K19" s="0" t="n">
        <f aca="false">K15+K16+K17+K18</f>
        <v>7482.84303916615</v>
      </c>
      <c r="L19" s="0" t="n">
        <f aca="false">L15+L16+L17+L18</f>
        <v>7632.49989994947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6130.30152566165</v>
      </c>
      <c r="D21" s="0" t="n">
        <f aca="false">D19*D20</f>
        <v>5369.08839213913</v>
      </c>
      <c r="E21" s="0" t="n">
        <f aca="false">E19*E20</f>
        <v>4866.97575144019</v>
      </c>
      <c r="F21" s="0" t="n">
        <f aca="false">F19*F20</f>
        <v>4558.43647187867</v>
      </c>
      <c r="G21" s="0" t="n">
        <f aca="false">G19*G20</f>
        <v>4290.01175802007</v>
      </c>
      <c r="H21" s="0" t="n">
        <f aca="false">H19*H20</f>
        <v>4061.85541064472</v>
      </c>
      <c r="I21" s="0" t="n">
        <f aca="false">I19*I20</f>
        <v>3840.33569006253</v>
      </c>
      <c r="J21" s="0" t="n">
        <f aca="false">J19*J20</f>
        <v>3623.05627363837</v>
      </c>
      <c r="K21" s="0" t="n">
        <f aca="false">K19*K20</f>
        <v>3445.30880499228</v>
      </c>
      <c r="L21" s="0" t="n">
        <f aca="false">L19*L20</f>
        <v>3224.05044136892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43409.4205198465</v>
      </c>
    </row>
    <row r="31" customFormat="false" ht="15" hidden="false" customHeight="false" outlineLevel="0" collapsed="false">
      <c r="A31" s="0" t="s">
        <v>136</v>
      </c>
      <c r="B31" s="0" t="n">
        <f aca="false">L19</f>
        <v>7632.49989994947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111216.427113549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91589.9987993937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91589.9987993937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38688.6052964271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82098.0258162736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87121.0058162736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141.523710984812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-0.202278840060806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14454.8268561251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14289.1751753348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188.216902803855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59885.7684457574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86.9448711941861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3.5</v>
      </c>
      <c r="D5" s="4" t="n">
        <f aca="false">Assumptions!D27</f>
        <v>4</v>
      </c>
      <c r="E5" s="4" t="n">
        <f aca="false">Assumptions!E27</f>
        <v>4.5</v>
      </c>
      <c r="F5" s="4" t="n">
        <f aca="false">Assumptions!F27</f>
        <v>5</v>
      </c>
      <c r="G5" s="4" t="n">
        <f aca="false">Assumptions!G27</f>
        <v>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37</v>
      </c>
      <c r="B6" s="3" t="n">
        <v>69672.977</v>
      </c>
      <c r="C6" s="0" t="n">
        <f aca="false">B6*(1+C5/100)</f>
        <v>72111.531195</v>
      </c>
      <c r="D6" s="0" t="n">
        <f aca="false">C6*(1+D5/100)</f>
        <v>74995.9924428</v>
      </c>
      <c r="E6" s="0" t="n">
        <f aca="false">D6*(1+E5/100)</f>
        <v>78370.812102726</v>
      </c>
      <c r="F6" s="0" t="n">
        <f aca="false">E6*(1+F5/100)</f>
        <v>82289.3527078623</v>
      </c>
      <c r="G6" s="0" t="n">
        <f aca="false">F6*(1+G5/100)</f>
        <v>86403.8203432554</v>
      </c>
      <c r="H6" s="0" t="n">
        <f aca="false">G6*(1+H5/100)</f>
        <v>90724.0113604182</v>
      </c>
      <c r="I6" s="0" t="n">
        <f aca="false">H6*(1+I5/100)</f>
        <v>94806.591871637</v>
      </c>
      <c r="J6" s="0" t="n">
        <f aca="false">I6*(1+J5/100)</f>
        <v>99072.8885058607</v>
      </c>
      <c r="K6" s="0" t="n">
        <f aca="false">J6*(1+K5/100)</f>
        <v>103035.804046095</v>
      </c>
      <c r="L6" s="0" t="n">
        <f aca="false">K6*(1+L5/100)</f>
        <v>107157.236207939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16.9</v>
      </c>
      <c r="D7" s="4" t="n">
        <f aca="false">Assumptions!D28</f>
        <v>17</v>
      </c>
      <c r="E7" s="4" t="n">
        <f aca="false">Assumptions!E28</f>
        <v>17.1</v>
      </c>
      <c r="F7" s="4" t="n">
        <f aca="false">Assumptions!F28</f>
        <v>17.2</v>
      </c>
      <c r="G7" s="4" t="n">
        <f aca="false">Assumptions!G28</f>
        <v>17.3</v>
      </c>
      <c r="H7" s="4" t="n">
        <f aca="false">Assumptions!H28</f>
        <v>17.3</v>
      </c>
      <c r="I7" s="4" t="n">
        <f aca="false">Assumptions!I28</f>
        <v>17.3</v>
      </c>
      <c r="J7" s="4" t="n">
        <f aca="false">Assumptions!J28</f>
        <v>17.3</v>
      </c>
      <c r="K7" s="4" t="n">
        <f aca="false">Assumptions!K28</f>
        <v>17.3</v>
      </c>
      <c r="L7" s="4" t="n">
        <f aca="false">Assumptions!L28</f>
        <v>17.3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12186.848771955</v>
      </c>
      <c r="D8" s="0" t="n">
        <f aca="false">D6*D7/100</f>
        <v>12749.318715276</v>
      </c>
      <c r="E8" s="0" t="n">
        <f aca="false">E6*E7/100</f>
        <v>13401.4088695661</v>
      </c>
      <c r="F8" s="0" t="n">
        <f aca="false">F6*F7/100</f>
        <v>14153.7686657523</v>
      </c>
      <c r="G8" s="0" t="n">
        <f aca="false">G6*G7/100</f>
        <v>14947.8609193832</v>
      </c>
      <c r="H8" s="0" t="n">
        <f aca="false">H6*H7/100</f>
        <v>15695.2539653523</v>
      </c>
      <c r="I8" s="0" t="n">
        <f aca="false">I6*I7/100</f>
        <v>16401.5403937932</v>
      </c>
      <c r="J8" s="0" t="n">
        <f aca="false">J6*J7/100</f>
        <v>17139.6097115139</v>
      </c>
      <c r="K8" s="0" t="n">
        <f aca="false">K6*K7/100</f>
        <v>17825.1940999745</v>
      </c>
      <c r="L8" s="0" t="n">
        <f aca="false">L6*L7/100</f>
        <v>18538.2018639734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3</v>
      </c>
      <c r="D9" s="4" t="n">
        <f aca="false">Assumptions!D29</f>
        <v>3</v>
      </c>
      <c r="E9" s="4" t="n">
        <f aca="false">Assumptions!E29</f>
        <v>2.9</v>
      </c>
      <c r="F9" s="4" t="n">
        <f aca="false">Assumptions!F29</f>
        <v>2.9</v>
      </c>
      <c r="G9" s="4" t="n">
        <f aca="false">Assumptions!G29</f>
        <v>2.8</v>
      </c>
      <c r="H9" s="4" t="n">
        <f aca="false">Assumptions!H29</f>
        <v>2.8</v>
      </c>
      <c r="I9" s="4" t="n">
        <f aca="false">Assumptions!I29</f>
        <v>2.7</v>
      </c>
      <c r="J9" s="4" t="n">
        <f aca="false">Assumptions!J29</f>
        <v>2.7</v>
      </c>
      <c r="K9" s="4" t="n">
        <f aca="false">Assumptions!K29</f>
        <v>2.6</v>
      </c>
      <c r="L9" s="4" t="n">
        <f aca="false">Assumptions!L29</f>
        <v>2.6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-2163.34593585</v>
      </c>
      <c r="D10" s="0" t="n">
        <f aca="false">-D6*D9/100</f>
        <v>-2249.879773284</v>
      </c>
      <c r="E10" s="0" t="n">
        <f aca="false">-E6*E9/100</f>
        <v>-2272.75355097905</v>
      </c>
      <c r="F10" s="0" t="n">
        <f aca="false">-F6*F9/100</f>
        <v>-2386.39122852801</v>
      </c>
      <c r="G10" s="0" t="n">
        <f aca="false">-G6*G9/100</f>
        <v>-2419.30696961115</v>
      </c>
      <c r="H10" s="0" t="n">
        <f aca="false">-H6*H9/100</f>
        <v>-2540.27231809171</v>
      </c>
      <c r="I10" s="0" t="n">
        <f aca="false">-I6*I9/100</f>
        <v>-2559.7779805342</v>
      </c>
      <c r="J10" s="0" t="n">
        <f aca="false">-J6*J9/100</f>
        <v>-2674.96798965824</v>
      </c>
      <c r="K10" s="0" t="n">
        <f aca="false">-K6*K9/100</f>
        <v>-2678.93090519847</v>
      </c>
      <c r="L10" s="0" t="n">
        <f aca="false">-L6*L9/100</f>
        <v>-2786.08814140641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10023.502836105</v>
      </c>
      <c r="D11" s="0" t="n">
        <f aca="false">D8+D10+D24</f>
        <v>10499.438941992</v>
      </c>
      <c r="E11" s="0" t="n">
        <f aca="false">E8+E10+E24</f>
        <v>11128.6553185871</v>
      </c>
      <c r="F11" s="0" t="n">
        <f aca="false">F8+F10+F24</f>
        <v>11767.3774372243</v>
      </c>
      <c r="G11" s="0" t="n">
        <f aca="false">G8+G10+G24</f>
        <v>12528.553949772</v>
      </c>
      <c r="H11" s="0" t="n">
        <f aca="false">H8+H10+H24</f>
        <v>13154.9816472606</v>
      </c>
      <c r="I11" s="0" t="n">
        <f aca="false">I8+I10+I24</f>
        <v>13841.762413259</v>
      </c>
      <c r="J11" s="0" t="n">
        <f aca="false">J8+J10+J24</f>
        <v>14464.6417218557</v>
      </c>
      <c r="K11" s="0" t="n">
        <f aca="false">K8+K10+K24</f>
        <v>15146.263194776</v>
      </c>
      <c r="L11" s="0" t="n">
        <f aca="false">L8+L10+L24</f>
        <v>15752.113722567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-1586.45368629</v>
      </c>
      <c r="D12" s="4" t="n">
        <f aca="false">-D6*Assumptions!D31/100</f>
        <v>-1649.9118337416</v>
      </c>
      <c r="E12" s="4" t="n">
        <f aca="false">-E6*Assumptions!E31/100</f>
        <v>-1724.15786625997</v>
      </c>
      <c r="F12" s="4" t="n">
        <f aca="false">-F6*Assumptions!F31/100</f>
        <v>-1810.36575957297</v>
      </c>
      <c r="G12" s="4" t="n">
        <f aca="false">-G6*Assumptions!G31/100</f>
        <v>-1900.88404755162</v>
      </c>
      <c r="H12" s="4" t="n">
        <f aca="false">-H6*Assumptions!H31/100</f>
        <v>-1995.9282499292</v>
      </c>
      <c r="I12" s="4" t="n">
        <f aca="false">-I6*Assumptions!I31/100</f>
        <v>-2085.74502117601</v>
      </c>
      <c r="J12" s="4" t="n">
        <f aca="false">-J6*Assumptions!J31/100</f>
        <v>-2179.60354712893</v>
      </c>
      <c r="K12" s="4" t="n">
        <f aca="false">-K6*Assumptions!K31/100</f>
        <v>-2266.78768901409</v>
      </c>
      <c r="L12" s="4" t="n">
        <f aca="false">-L6*Assumptions!L31/100</f>
        <v>-2357.45919657466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8437.049149815</v>
      </c>
      <c r="D13" s="0" t="n">
        <f aca="false">D11+D12</f>
        <v>8849.5271082504</v>
      </c>
      <c r="E13" s="0" t="n">
        <f aca="false">E11+E12</f>
        <v>9404.49745232712</v>
      </c>
      <c r="F13" s="0" t="n">
        <f aca="false">F11+F12</f>
        <v>9957.01167765134</v>
      </c>
      <c r="G13" s="0" t="n">
        <f aca="false">G11+G12</f>
        <v>10627.6699022204</v>
      </c>
      <c r="H13" s="0" t="n">
        <f aca="false">H11+H12</f>
        <v>11159.0533973314</v>
      </c>
      <c r="I13" s="0" t="n">
        <f aca="false">I11+I12</f>
        <v>11756.017392083</v>
      </c>
      <c r="J13" s="0" t="n">
        <f aca="false">J11+J12</f>
        <v>12285.0381747267</v>
      </c>
      <c r="K13" s="0" t="n">
        <f aca="false">K11+K12</f>
        <v>12879.4755057619</v>
      </c>
      <c r="L13" s="0" t="n">
        <f aca="false">L11+L12</f>
        <v>13394.6545259924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6412.1573538594</v>
      </c>
      <c r="D15" s="0" t="n">
        <f aca="false">D13-MAX(0,D13)*D14/100</f>
        <v>6725.6406022703</v>
      </c>
      <c r="E15" s="0" t="n">
        <f aca="false">E13-MAX(0,E13)*E14/100</f>
        <v>7147.41806376861</v>
      </c>
      <c r="F15" s="0" t="n">
        <f aca="false">F13-MAX(0,F13)*F14/100</f>
        <v>7567.32887501502</v>
      </c>
      <c r="G15" s="0" t="n">
        <f aca="false">G13-MAX(0,G13)*G14/100</f>
        <v>8077.02912568752</v>
      </c>
      <c r="H15" s="0" t="n">
        <f aca="false">H13-MAX(0,H13)*H14/100</f>
        <v>8480.88058197189</v>
      </c>
      <c r="I15" s="0" t="n">
        <f aca="false">I13-MAX(0,I13)*I14/100</f>
        <v>8934.57321798307</v>
      </c>
      <c r="J15" s="0" t="n">
        <f aca="false">J13-MAX(0,J13)*J14/100</f>
        <v>9336.62901279231</v>
      </c>
      <c r="K15" s="0" t="n">
        <f aca="false">K13-MAX(0,K13)*K14/100</f>
        <v>9788.40138437903</v>
      </c>
      <c r="L15" s="0" t="n">
        <f aca="false">L13-MAX(0,L13)*L14/100</f>
        <v>10179.9374397542</v>
      </c>
    </row>
    <row r="16" customFormat="false" ht="15" hidden="false" customHeight="false" outlineLevel="0" collapsed="false">
      <c r="A16" s="0" t="s">
        <v>127</v>
      </c>
      <c r="C16" s="0" t="n">
        <f aca="false">-C12</f>
        <v>1586.45368629</v>
      </c>
      <c r="D16" s="0" t="n">
        <f aca="false">-D12</f>
        <v>1649.9118337416</v>
      </c>
      <c r="E16" s="0" t="n">
        <f aca="false">-E12</f>
        <v>1724.15786625997</v>
      </c>
      <c r="F16" s="0" t="n">
        <f aca="false">-F12</f>
        <v>1810.36575957297</v>
      </c>
      <c r="G16" s="0" t="n">
        <f aca="false">-G12</f>
        <v>1900.88404755162</v>
      </c>
      <c r="H16" s="0" t="n">
        <f aca="false">-H12</f>
        <v>1995.9282499292</v>
      </c>
      <c r="I16" s="0" t="n">
        <f aca="false">-I12</f>
        <v>2085.74502117601</v>
      </c>
      <c r="J16" s="0" t="n">
        <f aca="false">-J12</f>
        <v>2179.60354712893</v>
      </c>
      <c r="K16" s="0" t="n">
        <f aca="false">-K12</f>
        <v>2266.78768901409</v>
      </c>
      <c r="L16" s="0" t="n">
        <f aca="false">-L12</f>
        <v>2357.45919657466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-649.003780755</v>
      </c>
      <c r="D17" s="4" t="n">
        <f aca="false">-D6*Assumptions!D32/100</f>
        <v>-674.9639319852</v>
      </c>
      <c r="E17" s="4" t="n">
        <f aca="false">-E6*Assumptions!E32/100</f>
        <v>-705.337308924534</v>
      </c>
      <c r="F17" s="4" t="n">
        <f aca="false">-F6*Assumptions!F32/100</f>
        <v>-740.604174370761</v>
      </c>
      <c r="G17" s="4" t="n">
        <f aca="false">-G6*Assumptions!G32/100</f>
        <v>-777.634383089299</v>
      </c>
      <c r="H17" s="4" t="n">
        <f aca="false">-H6*Assumptions!H32/100</f>
        <v>-816.516102243764</v>
      </c>
      <c r="I17" s="4" t="n">
        <f aca="false">-I6*Assumptions!I32/100</f>
        <v>-853.259326844733</v>
      </c>
      <c r="J17" s="4" t="n">
        <f aca="false">-J6*Assumptions!J32/100</f>
        <v>-891.655996552746</v>
      </c>
      <c r="K17" s="4" t="n">
        <f aca="false">-K6*Assumptions!K32/100</f>
        <v>-927.322236414856</v>
      </c>
      <c r="L17" s="4" t="n">
        <f aca="false">-L6*Assumptions!L32/100</f>
        <v>-964.41512587145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195.084335599999</v>
      </c>
      <c r="D18" s="4" t="n">
        <f aca="false">(D6-C6)*Assumptions!$B$37/100</f>
        <v>230.756899824</v>
      </c>
      <c r="E18" s="4" t="n">
        <f aca="false">(E6-D6)*Assumptions!$B$37/100</f>
        <v>269.98557279408</v>
      </c>
      <c r="F18" s="4" t="n">
        <f aca="false">(F6-E6)*Assumptions!$B$37/100</f>
        <v>313.483248410905</v>
      </c>
      <c r="G18" s="4" t="n">
        <f aca="false">(G6-F6)*Assumptions!$B$37/100</f>
        <v>329.157410831449</v>
      </c>
      <c r="H18" s="4" t="n">
        <f aca="false">(H6-G6)*Assumptions!$B$37/100</f>
        <v>345.615281373021</v>
      </c>
      <c r="I18" s="4" t="n">
        <f aca="false">(I6-H6)*Assumptions!$B$37/100</f>
        <v>326.606440897505</v>
      </c>
      <c r="J18" s="4" t="n">
        <f aca="false">(J6-I6)*Assumptions!$B$37/100</f>
        <v>341.303730737893</v>
      </c>
      <c r="K18" s="4" t="n">
        <f aca="false">(K6-J6)*Assumptions!$B$37/100</f>
        <v>317.033243218755</v>
      </c>
      <c r="L18" s="4" t="n">
        <f aca="false">(L6-K6)*Assumptions!$B$37/100</f>
        <v>329.714572947505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7544.6915949944</v>
      </c>
      <c r="D19" s="0" t="n">
        <f aca="false">D15+D16+D17+D18</f>
        <v>7931.3454038507</v>
      </c>
      <c r="E19" s="0" t="n">
        <f aca="false">E15+E16+E17+E18</f>
        <v>8436.22419389813</v>
      </c>
      <c r="F19" s="0" t="n">
        <f aca="false">F15+F16+F17+F18</f>
        <v>8950.57370862813</v>
      </c>
      <c r="G19" s="0" t="n">
        <f aca="false">G15+G16+G17+G18</f>
        <v>9529.43620098129</v>
      </c>
      <c r="H19" s="0" t="n">
        <f aca="false">H15+H16+H17+H18</f>
        <v>10005.9080110304</v>
      </c>
      <c r="I19" s="0" t="n">
        <f aca="false">I15+I16+I17+I18</f>
        <v>10493.6653532119</v>
      </c>
      <c r="J19" s="0" t="n">
        <f aca="false">J15+J16+J17+J18</f>
        <v>10965.8802941064</v>
      </c>
      <c r="K19" s="0" t="n">
        <f aca="false">K15+K16+K17+K18</f>
        <v>11444.900080197</v>
      </c>
      <c r="L19" s="0" t="n">
        <f aca="false">L15+L16+L17+L18</f>
        <v>11902.6960834049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6953.63280644645</v>
      </c>
      <c r="D21" s="0" t="n">
        <f aca="false">D19*D20</f>
        <v>6737.32328471677</v>
      </c>
      <c r="E21" s="0" t="n">
        <f aca="false">E19*E20</f>
        <v>6604.7882415801</v>
      </c>
      <c r="F21" s="0" t="n">
        <f aca="false">F19*F20</f>
        <v>6458.50381759091</v>
      </c>
      <c r="G21" s="0" t="n">
        <f aca="false">G19*G20</f>
        <v>6337.50793198175</v>
      </c>
      <c r="H21" s="0" t="n">
        <f aca="false">H19*H20</f>
        <v>6133.0721922404</v>
      </c>
      <c r="I21" s="0" t="n">
        <f aca="false">I19*I20</f>
        <v>5928.14807422029</v>
      </c>
      <c r="J21" s="0" t="n">
        <f aca="false">J19*J20</f>
        <v>5709.59883646101</v>
      </c>
      <c r="K21" s="0" t="n">
        <f aca="false">K19*K20</f>
        <v>5492.17493449793</v>
      </c>
      <c r="L21" s="0" t="n">
        <f aca="false">L19*L20</f>
        <v>5264.38887730677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61619.1389970424</v>
      </c>
    </row>
    <row r="31" customFormat="false" ht="15" hidden="false" customHeight="false" outlineLevel="0" collapsed="false">
      <c r="A31" s="0" t="s">
        <v>136</v>
      </c>
      <c r="B31" s="0" t="n">
        <f aca="false">L19</f>
        <v>11902.6960834049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222905.035743765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190443.137334478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190443.137334478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84230.2220369083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145849.361033951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150872.341033951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245.08456242022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0.381458556001467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15929.0224494613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23076.6097172699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308.447258498199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102164.808049225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123.925640217024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5</v>
      </c>
      <c r="D5" s="4" t="n">
        <f aca="false">Assumptions!D41</f>
        <v>6.5</v>
      </c>
      <c r="E5" s="4" t="n">
        <f aca="false">Assumptions!E41</f>
        <v>7.5</v>
      </c>
      <c r="F5" s="4" t="n">
        <f aca="false">Assumptions!F41</f>
        <v>8</v>
      </c>
      <c r="G5" s="4" t="n">
        <f aca="false">Assumptions!G41</f>
        <v>8</v>
      </c>
      <c r="H5" s="4" t="n">
        <f aca="false">Assumptions!H41</f>
        <v>7.5</v>
      </c>
      <c r="I5" s="4" t="n">
        <f aca="false">Assumptions!I41</f>
        <v>7</v>
      </c>
      <c r="J5" s="4" t="n">
        <f aca="false">Assumptions!J41</f>
        <v>6.5</v>
      </c>
      <c r="K5" s="4" t="n">
        <f aca="false">Assumptions!K41</f>
        <v>6</v>
      </c>
      <c r="L5" s="4" t="n">
        <f aca="false">Assumptions!L41</f>
        <v>6</v>
      </c>
    </row>
    <row r="6" customFormat="false" ht="15" hidden="false" customHeight="false" outlineLevel="0" collapsed="false">
      <c r="A6" s="0" t="s">
        <v>37</v>
      </c>
      <c r="B6" s="3" t="n">
        <v>69672.977</v>
      </c>
      <c r="C6" s="0" t="n">
        <f aca="false">B6*(1+C5/100)</f>
        <v>73156.62585</v>
      </c>
      <c r="D6" s="0" t="n">
        <f aca="false">C6*(1+D5/100)</f>
        <v>77911.80653025</v>
      </c>
      <c r="E6" s="0" t="n">
        <f aca="false">D6*(1+E5/100)</f>
        <v>83755.1920200187</v>
      </c>
      <c r="F6" s="0" t="n">
        <f aca="false">E6*(1+F5/100)</f>
        <v>90455.6073816202</v>
      </c>
      <c r="G6" s="0" t="n">
        <f aca="false">F6*(1+G5/100)</f>
        <v>97692.0559721499</v>
      </c>
      <c r="H6" s="0" t="n">
        <f aca="false">G6*(1+H5/100)</f>
        <v>105018.960170061</v>
      </c>
      <c r="I6" s="0" t="n">
        <f aca="false">H6*(1+I5/100)</f>
        <v>112370.287381965</v>
      </c>
      <c r="J6" s="0" t="n">
        <f aca="false">I6*(1+J5/100)</f>
        <v>119674.356061793</v>
      </c>
      <c r="K6" s="0" t="n">
        <f aca="false">J6*(1+K5/100)</f>
        <v>126854.817425501</v>
      </c>
      <c r="L6" s="0" t="n">
        <f aca="false">K6*(1+L5/100)</f>
        <v>134466.106471031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17.2</v>
      </c>
      <c r="D7" s="4" t="n">
        <f aca="false">Assumptions!D42</f>
        <v>17.6</v>
      </c>
      <c r="E7" s="4" t="n">
        <f aca="false">Assumptions!E42</f>
        <v>18</v>
      </c>
      <c r="F7" s="4" t="n">
        <f aca="false">Assumptions!F42</f>
        <v>18.3</v>
      </c>
      <c r="G7" s="4" t="n">
        <f aca="false">Assumptions!G42</f>
        <v>18.5</v>
      </c>
      <c r="H7" s="4" t="n">
        <f aca="false">Assumptions!H42</f>
        <v>18.6</v>
      </c>
      <c r="I7" s="4" t="n">
        <f aca="false">Assumptions!I42</f>
        <v>18.6</v>
      </c>
      <c r="J7" s="4" t="n">
        <f aca="false">Assumptions!J42</f>
        <v>18.6</v>
      </c>
      <c r="K7" s="4" t="n">
        <f aca="false">Assumptions!K42</f>
        <v>18.6</v>
      </c>
      <c r="L7" s="4" t="n">
        <f aca="false">Assumptions!L42</f>
        <v>18.6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12582.9396462</v>
      </c>
      <c r="D8" s="0" t="n">
        <f aca="false">D6*D7/100</f>
        <v>13712.477949324</v>
      </c>
      <c r="E8" s="0" t="n">
        <f aca="false">E6*E7/100</f>
        <v>15075.9345636034</v>
      </c>
      <c r="F8" s="0" t="n">
        <f aca="false">F6*F7/100</f>
        <v>16553.3761508365</v>
      </c>
      <c r="G8" s="0" t="n">
        <f aca="false">G6*G7/100</f>
        <v>18073.0303548477</v>
      </c>
      <c r="H8" s="0" t="n">
        <f aca="false">H6*H7/100</f>
        <v>19533.5265916314</v>
      </c>
      <c r="I8" s="0" t="n">
        <f aca="false">I6*I7/100</f>
        <v>20900.8734530456</v>
      </c>
      <c r="J8" s="0" t="n">
        <f aca="false">J6*J7/100</f>
        <v>22259.4302274935</v>
      </c>
      <c r="K8" s="0" t="n">
        <f aca="false">K6*K7/100</f>
        <v>23594.9960411431</v>
      </c>
      <c r="L8" s="0" t="n">
        <f aca="false">L6*L7/100</f>
        <v>25010.6958036117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3</v>
      </c>
      <c r="D9" s="4" t="n">
        <f aca="false">Assumptions!D43</f>
        <v>2.9</v>
      </c>
      <c r="E9" s="4" t="n">
        <f aca="false">Assumptions!E43</f>
        <v>2.8</v>
      </c>
      <c r="F9" s="4" t="n">
        <f aca="false">Assumptions!F43</f>
        <v>2.7</v>
      </c>
      <c r="G9" s="4" t="n">
        <f aca="false">Assumptions!G43</f>
        <v>2.6</v>
      </c>
      <c r="H9" s="4" t="n">
        <f aca="false">Assumptions!H43</f>
        <v>2.5</v>
      </c>
      <c r="I9" s="4" t="n">
        <f aca="false">Assumptions!I43</f>
        <v>2.5</v>
      </c>
      <c r="J9" s="4" t="n">
        <f aca="false">Assumptions!J43</f>
        <v>2.4</v>
      </c>
      <c r="K9" s="4" t="n">
        <f aca="false">Assumptions!K43</f>
        <v>2.4</v>
      </c>
      <c r="L9" s="4" t="n">
        <f aca="false">Assumptions!L43</f>
        <v>2.3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-2194.6987755</v>
      </c>
      <c r="D10" s="0" t="n">
        <f aca="false">-D6*D9/100</f>
        <v>-2259.44238937725</v>
      </c>
      <c r="E10" s="0" t="n">
        <f aca="false">-E6*E9/100</f>
        <v>-2345.14537656052</v>
      </c>
      <c r="F10" s="0" t="n">
        <f aca="false">-F6*F9/100</f>
        <v>-2442.30139930375</v>
      </c>
      <c r="G10" s="0" t="n">
        <f aca="false">-G6*G9/100</f>
        <v>-2539.9934552759</v>
      </c>
      <c r="H10" s="0" t="n">
        <f aca="false">-H6*H9/100</f>
        <v>-2625.47400425153</v>
      </c>
      <c r="I10" s="0" t="n">
        <f aca="false">-I6*I9/100</f>
        <v>-2809.25718454913</v>
      </c>
      <c r="J10" s="0" t="n">
        <f aca="false">-J6*J9/100</f>
        <v>-2872.18454548304</v>
      </c>
      <c r="K10" s="0" t="n">
        <f aca="false">-K6*K9/100</f>
        <v>-3044.51561821202</v>
      </c>
      <c r="L10" s="0" t="n">
        <f aca="false">-L6*L9/100</f>
        <v>-3092.72044883371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10388.2408707</v>
      </c>
      <c r="D11" s="0" t="n">
        <f aca="false">D8+D10+D24</f>
        <v>11453.0355599468</v>
      </c>
      <c r="E11" s="0" t="n">
        <f aca="false">E8+E10+E24</f>
        <v>12730.7891870428</v>
      </c>
      <c r="F11" s="0" t="n">
        <f aca="false">F8+F10+F24</f>
        <v>14111.0747515328</v>
      </c>
      <c r="G11" s="0" t="n">
        <f aca="false">G8+G10+G24</f>
        <v>15533.0368995718</v>
      </c>
      <c r="H11" s="0" t="n">
        <f aca="false">H8+H10+H24</f>
        <v>16908.0525873798</v>
      </c>
      <c r="I11" s="0" t="n">
        <f aca="false">I8+I10+I24</f>
        <v>18091.6162684964</v>
      </c>
      <c r="J11" s="0" t="n">
        <f aca="false">J8+J10+J24</f>
        <v>19387.2456820105</v>
      </c>
      <c r="K11" s="0" t="n">
        <f aca="false">K8+K10+K24</f>
        <v>20550.4804229311</v>
      </c>
      <c r="L11" s="0" t="n">
        <f aca="false">L8+L10+L24</f>
        <v>21917.975354778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-1609.4457687</v>
      </c>
      <c r="D12" s="4" t="n">
        <f aca="false">-D6*Assumptions!D45/100</f>
        <v>-1714.0597436655</v>
      </c>
      <c r="E12" s="4" t="n">
        <f aca="false">-E6*Assumptions!E45/100</f>
        <v>-1758.85903242039</v>
      </c>
      <c r="F12" s="4" t="n">
        <f aca="false">-F6*Assumptions!F45/100</f>
        <v>-1899.56775501403</v>
      </c>
      <c r="G12" s="4" t="n">
        <f aca="false">-G6*Assumptions!G45/100</f>
        <v>-2051.53317541515</v>
      </c>
      <c r="H12" s="4" t="n">
        <f aca="false">-H6*Assumptions!H45/100</f>
        <v>-2205.39816357128</v>
      </c>
      <c r="I12" s="4" t="n">
        <f aca="false">-I6*Assumptions!I45/100</f>
        <v>-2359.77603502127</v>
      </c>
      <c r="J12" s="4" t="n">
        <f aca="false">-J6*Assumptions!J45/100</f>
        <v>-2513.16147729766</v>
      </c>
      <c r="K12" s="4" t="n">
        <f aca="false">-K6*Assumptions!K45/100</f>
        <v>-2663.95116593552</v>
      </c>
      <c r="L12" s="4" t="n">
        <f aca="false">-L6*Assumptions!L45/100</f>
        <v>-2823.78823589165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8778.795102</v>
      </c>
      <c r="D13" s="0" t="n">
        <f aca="false">D11+D12</f>
        <v>9738.97581628125</v>
      </c>
      <c r="E13" s="0" t="n">
        <f aca="false">E11+E12</f>
        <v>10971.9301546225</v>
      </c>
      <c r="F13" s="0" t="n">
        <f aca="false">F11+F12</f>
        <v>12211.5069965187</v>
      </c>
      <c r="G13" s="0" t="n">
        <f aca="false">G11+G12</f>
        <v>13481.5037241567</v>
      </c>
      <c r="H13" s="0" t="n">
        <f aca="false">H11+H12</f>
        <v>14702.6544238086</v>
      </c>
      <c r="I13" s="0" t="n">
        <f aca="false">I11+I12</f>
        <v>15731.8402334752</v>
      </c>
      <c r="J13" s="0" t="n">
        <f aca="false">J11+J12</f>
        <v>16874.0842047128</v>
      </c>
      <c r="K13" s="0" t="n">
        <f aca="false">K11+K12</f>
        <v>17886.5292569956</v>
      </c>
      <c r="L13" s="0" t="n">
        <f aca="false">L11+L12</f>
        <v>19094.1871188864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6671.88427752</v>
      </c>
      <c r="D15" s="0" t="n">
        <f aca="false">D13-MAX(0,D13)*D14/100</f>
        <v>7401.62162037375</v>
      </c>
      <c r="E15" s="0" t="n">
        <f aca="false">E13-MAX(0,E13)*E14/100</f>
        <v>8338.66691751306</v>
      </c>
      <c r="F15" s="0" t="n">
        <f aca="false">F13-MAX(0,F13)*F14/100</f>
        <v>9280.74531735424</v>
      </c>
      <c r="G15" s="0" t="n">
        <f aca="false">G13-MAX(0,G13)*G14/100</f>
        <v>10245.9428303591</v>
      </c>
      <c r="H15" s="0" t="n">
        <f aca="false">H13-MAX(0,H13)*H14/100</f>
        <v>11174.0173620945</v>
      </c>
      <c r="I15" s="0" t="n">
        <f aca="false">I13-MAX(0,I13)*I14/100</f>
        <v>11956.1985774411</v>
      </c>
      <c r="J15" s="0" t="n">
        <f aca="false">J13-MAX(0,J13)*J14/100</f>
        <v>12824.3039955818</v>
      </c>
      <c r="K15" s="0" t="n">
        <f aca="false">K13-MAX(0,K13)*K14/100</f>
        <v>13593.7622353167</v>
      </c>
      <c r="L15" s="0" t="n">
        <f aca="false">L13-MAX(0,L13)*L14/100</f>
        <v>14511.5822103536</v>
      </c>
    </row>
    <row r="16" customFormat="false" ht="15" hidden="false" customHeight="false" outlineLevel="0" collapsed="false">
      <c r="A16" s="0" t="s">
        <v>127</v>
      </c>
      <c r="C16" s="0" t="n">
        <f aca="false">-C12</f>
        <v>1609.4457687</v>
      </c>
      <c r="D16" s="0" t="n">
        <f aca="false">-D12</f>
        <v>1714.0597436655</v>
      </c>
      <c r="E16" s="0" t="n">
        <f aca="false">-E12</f>
        <v>1758.85903242039</v>
      </c>
      <c r="F16" s="0" t="n">
        <f aca="false">-F12</f>
        <v>1899.56775501403</v>
      </c>
      <c r="G16" s="0" t="n">
        <f aca="false">-G12</f>
        <v>2051.53317541515</v>
      </c>
      <c r="H16" s="0" t="n">
        <f aca="false">-H12</f>
        <v>2205.39816357128</v>
      </c>
      <c r="I16" s="0" t="n">
        <f aca="false">-I12</f>
        <v>2359.77603502127</v>
      </c>
      <c r="J16" s="0" t="n">
        <f aca="false">-J12</f>
        <v>2513.16147729766</v>
      </c>
      <c r="K16" s="0" t="n">
        <f aca="false">-K12</f>
        <v>2663.95116593552</v>
      </c>
      <c r="L16" s="0" t="n">
        <f aca="false">-L12</f>
        <v>2823.78823589165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-658.40963265</v>
      </c>
      <c r="D17" s="4" t="n">
        <f aca="false">-D6*Assumptions!D46/100</f>
        <v>-701.20625877225</v>
      </c>
      <c r="E17" s="4" t="n">
        <f aca="false">-E6*Assumptions!E46/100</f>
        <v>-753.796728180169</v>
      </c>
      <c r="F17" s="4" t="n">
        <f aca="false">-F6*Assumptions!F46/100</f>
        <v>-814.100466434582</v>
      </c>
      <c r="G17" s="4" t="n">
        <f aca="false">-G6*Assumptions!G46/100</f>
        <v>-879.228503749349</v>
      </c>
      <c r="H17" s="4" t="n">
        <f aca="false">-H6*Assumptions!H46/100</f>
        <v>-945.17064153055</v>
      </c>
      <c r="I17" s="4" t="n">
        <f aca="false">-I6*Assumptions!I46/100</f>
        <v>-1011.33258643769</v>
      </c>
      <c r="J17" s="4" t="n">
        <f aca="false">-J6*Assumptions!J46/100</f>
        <v>-1077.06920455614</v>
      </c>
      <c r="K17" s="4" t="n">
        <f aca="false">-K6*Assumptions!K46/100</f>
        <v>-1141.69335682951</v>
      </c>
      <c r="L17" s="4" t="n">
        <f aca="false">-L6*Assumptions!L46/100</f>
        <v>-1210.19495823928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418.037862</v>
      </c>
      <c r="D18" s="4" t="n">
        <f aca="false">(D6-C6)*Assumptions!$B$51/100</f>
        <v>570.621681629999</v>
      </c>
      <c r="E18" s="4" t="n">
        <f aca="false">(E6-D6)*Assumptions!$B$51/100</f>
        <v>701.206258772249</v>
      </c>
      <c r="F18" s="4" t="n">
        <f aca="false">(F6-E6)*Assumptions!$B$51/100</f>
        <v>804.049843392181</v>
      </c>
      <c r="G18" s="4" t="n">
        <f aca="false">(G6-F6)*Assumptions!$B$51/100</f>
        <v>868.373830863556</v>
      </c>
      <c r="H18" s="4" t="n">
        <f aca="false">(H6-G6)*Assumptions!$B$51/100</f>
        <v>879.228503749348</v>
      </c>
      <c r="I18" s="4" t="n">
        <f aca="false">(I6-H6)*Assumptions!$B$51/100</f>
        <v>882.159265428514</v>
      </c>
      <c r="J18" s="4" t="n">
        <f aca="false">(J6-I6)*Assumptions!$B$51/100</f>
        <v>876.48824157933</v>
      </c>
      <c r="K18" s="4" t="n">
        <f aca="false">(K6-J6)*Assumptions!$B$51/100</f>
        <v>861.655363644912</v>
      </c>
      <c r="L18" s="4" t="n">
        <f aca="false">(L6-K6)*Assumptions!$B$51/100</f>
        <v>913.354685463604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8040.95827557</v>
      </c>
      <c r="D19" s="0" t="n">
        <f aca="false">D15+D16+D17+D18</f>
        <v>8985.096786897</v>
      </c>
      <c r="E19" s="0" t="n">
        <f aca="false">E15+E16+E17+E18</f>
        <v>10044.9354805255</v>
      </c>
      <c r="F19" s="0" t="n">
        <f aca="false">F15+F16+F17+F18</f>
        <v>11170.2624493259</v>
      </c>
      <c r="G19" s="0" t="n">
        <f aca="false">G15+G16+G17+G18</f>
        <v>12286.6213328884</v>
      </c>
      <c r="H19" s="0" t="n">
        <f aca="false">H15+H16+H17+H18</f>
        <v>13313.4733878846</v>
      </c>
      <c r="I19" s="0" t="n">
        <f aca="false">I15+I16+I17+I18</f>
        <v>14186.8012914532</v>
      </c>
      <c r="J19" s="0" t="n">
        <f aca="false">J15+J16+J17+J18</f>
        <v>15136.8845099026</v>
      </c>
      <c r="K19" s="0" t="n">
        <f aca="false">K15+K16+K17+K18</f>
        <v>15977.6754080676</v>
      </c>
      <c r="L19" s="0" t="n">
        <f aca="false">L15+L16+L17+L18</f>
        <v>17038.5301734696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7445.33173663889</v>
      </c>
      <c r="D21" s="0" t="n">
        <f aca="false">D19*D20</f>
        <v>7703.27227957562</v>
      </c>
      <c r="E21" s="0" t="n">
        <f aca="false">E19*E20</f>
        <v>7973.9936434086</v>
      </c>
      <c r="F21" s="0" t="n">
        <f aca="false">F19*F20</f>
        <v>8210.47636382574</v>
      </c>
      <c r="G21" s="0" t="n">
        <f aca="false">G19*G20</f>
        <v>8362.06802748032</v>
      </c>
      <c r="H21" s="0" t="n">
        <f aca="false">H19*H20</f>
        <v>8389.74655736137</v>
      </c>
      <c r="I21" s="0" t="n">
        <f aca="false">I19*I20</f>
        <v>8277.86229305539</v>
      </c>
      <c r="J21" s="0" t="n">
        <f aca="false">J19*J20</f>
        <v>8177.98770900031</v>
      </c>
      <c r="K21" s="0" t="n">
        <f aca="false">K19*K20</f>
        <v>7992.81562004752</v>
      </c>
      <c r="L21" s="0" t="n">
        <f aca="false">L19*L20</f>
        <v>7892.13622288553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80425.6904532793</v>
      </c>
    </row>
    <row r="31" customFormat="false" ht="15" hidden="false" customHeight="false" outlineLevel="0" collapsed="false">
      <c r="A31" s="0" t="s">
        <v>136</v>
      </c>
      <c r="B31" s="0" t="n">
        <f aca="false">L19</f>
        <v>17038.5301734696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391886.193989801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306693.543122453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306693.543122453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142058.45201194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222484.142465219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227507.122465219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369.573927034938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1.08316288278529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17155.6937474465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32948.1433644206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450.965101255352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153346.771561227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163.427783617733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141.523710984812</v>
      </c>
      <c r="C4" s="0" t="n">
        <f aca="false">B4/Assumptions!$B$2-1</f>
        <v>-0.202278840060806</v>
      </c>
      <c r="D4" s="4" t="n">
        <f aca="false">Assumptions!$B$24</f>
        <v>0.3</v>
      </c>
      <c r="E4" s="4" t="n">
        <f aca="false">DCF_Bear!$B$43</f>
        <v>188.216902803855</v>
      </c>
      <c r="F4" s="4" t="n">
        <f aca="false">DCF_Bear!$B$47</f>
        <v>86.9448711941861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245.08456242022</v>
      </c>
      <c r="C5" s="0" t="n">
        <f aca="false">B5/Assumptions!$B$2-1</f>
        <v>0.381458556001467</v>
      </c>
      <c r="D5" s="4" t="n">
        <f aca="false">Assumptions!$B$38</f>
        <v>0.45</v>
      </c>
      <c r="E5" s="4" t="n">
        <f aca="false">DCF_Base!$B$43</f>
        <v>308.447258498199</v>
      </c>
      <c r="F5" s="4" t="n">
        <f aca="false">DCF_Base!$B$47</f>
        <v>123.925640217024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369.573927034938</v>
      </c>
      <c r="C6" s="0" t="n">
        <f aca="false">B6/Assumptions!$B$2-1</f>
        <v>1.08316288278529</v>
      </c>
      <c r="D6" s="4" t="n">
        <f aca="false">Assumptions!$B$52</f>
        <v>0.25</v>
      </c>
      <c r="E6" s="4" t="n">
        <f aca="false">DCF_Bull!$B$43</f>
        <v>450.965101255352</v>
      </c>
      <c r="F6" s="4" t="n">
        <f aca="false">DCF_Bull!$B$47</f>
        <v>163.427783617733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245.138648143277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308.007612479184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0.276287107954074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-107.729861400938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122.70694536035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245.08456242022</v>
      </c>
      <c r="C15" s="3" t="n">
        <v>8.5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236.554976142619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211.049518347945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184.82450731138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164.469100417335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123.925640217024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283.50054877434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283.50054877434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283.50054877434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283.50054877434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283.50054877434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263.386634474863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263.386634474863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263.386634474863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263.386634474863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263.386634474863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242.453259006685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245.08456242022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245.08456242022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245.08456242022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245.08456242022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209.686378915441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217.822835291591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227.211054187149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228.411374411238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228.411374411238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184.707934790659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190.496251176852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197.056343081205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204.553590971894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213.204261614997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2026-09-25T06:50:56Z</dcterms:created>
  <dc:creator>openpyxl</dc:creator>
  <dc:description/>
  <dc:language>en-NZ</dc:language>
  <cp:lastModifiedBy/>
  <dcterms:modified xsi:type="dcterms:W3CDTF">2026-09-25T06:50:56Z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