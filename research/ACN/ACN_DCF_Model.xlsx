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DCF" sheetId="2" state="visible" r:id="rId4"/>
    <sheet name="Sensitivity" sheetId="3" state="visible" r:id="rId5"/>
    <sheet name="Historical" sheetId="4" state="visible" r:id="rId6"/>
    <sheet name="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<sst xmlns="http://schemas.openxmlformats.org/spreadsheetml/2006/main" count="162" uniqueCount="153">
  <si>
    <t xml:space="preserve">ACCENTURE PLC (NYSE: ACN) - DCF VALUATION MODEL</t>
  </si>
  <si>
    <t xml:space="preserve">As of December 8, 2025</t>
  </si>
  <si>
    <t xml:space="preserve">COMPANY OVERVIEW</t>
  </si>
  <si>
    <t xml:space="preserve">Sector:</t>
  </si>
  <si>
    <t xml:space="preserve">Information Technology Services</t>
  </si>
  <si>
    <t xml:space="preserve">Industry:</t>
  </si>
  <si>
    <t xml:space="preserve">IT Consulting &amp; Professional Services</t>
  </si>
  <si>
    <t xml:space="preserve">Headquarters:</t>
  </si>
  <si>
    <t xml:space="preserve">Dublin, Ireland</t>
  </si>
  <si>
    <t xml:space="preserve">Employees:</t>
  </si>
  <si>
    <t xml:space="preserve">~800,000</t>
  </si>
  <si>
    <t xml:space="preserve">Fiscal Year End:</t>
  </si>
  <si>
    <t xml:space="preserve">August 31</t>
  </si>
  <si>
    <t xml:space="preserve">KEY FINANCIAL METRICS (FY2025)</t>
  </si>
  <si>
    <t xml:space="preserve">Revenue ($B):</t>
  </si>
  <si>
    <t xml:space="preserve">Net Income ($B):</t>
  </si>
  <si>
    <t xml:space="preserve">Free Cash Flow ($B):</t>
  </si>
  <si>
    <t xml:space="preserve">Operating Margin (Adj):</t>
  </si>
  <si>
    <t xml:space="preserve">Net Margin:</t>
  </si>
  <si>
    <t xml:space="preserve">MARKET DATA</t>
  </si>
  <si>
    <t xml:space="preserve">Current Stock Price:</t>
  </si>
  <si>
    <t xml:space="preserve">Shares Outstanding (M):</t>
  </si>
  <si>
    <t xml:space="preserve">Market Cap ($B):</t>
  </si>
  <si>
    <t xml:space="preserve">52-Week Range:</t>
  </si>
  <si>
    <t xml:space="preserve">$229.40 - $398.35</t>
  </si>
  <si>
    <t xml:space="preserve">Dividend Yield:</t>
  </si>
  <si>
    <t xml:space="preserve">VALUATION SUMMARY</t>
  </si>
  <si>
    <t xml:space="preserve">DCF Fair Value (per share):</t>
  </si>
  <si>
    <t xml:space="preserve">Current Price:</t>
  </si>
  <si>
    <t xml:space="preserve">Upside/(Downside):</t>
  </si>
  <si>
    <t xml:space="preserve">TRADING MULTIPLES</t>
  </si>
  <si>
    <t xml:space="preserve">P/E (TTM):</t>
  </si>
  <si>
    <t xml:space="preserve">P/FCF:</t>
  </si>
  <si>
    <t xml:space="preserve">EV/EBITDA (Est.):</t>
  </si>
  <si>
    <t xml:space="preserve">DCF VALUATION - ACCENTURE PLC (ACN)</t>
  </si>
  <si>
    <t xml:space="preserve">KEY ASSUMPTIONS</t>
  </si>
  <si>
    <t xml:space="preserve">Risk-Free Rate</t>
  </si>
  <si>
    <t xml:space="preserve">10-Year US Treasury</t>
  </si>
  <si>
    <t xml:space="preserve">Market Risk Premium</t>
  </si>
  <si>
    <t xml:space="preserve">Historical equity premium</t>
  </si>
  <si>
    <t xml:space="preserve">Beta (Levered)</t>
  </si>
  <si>
    <t xml:space="preserve">5-year monthly regression</t>
  </si>
  <si>
    <t xml:space="preserve">Cost of Equity</t>
  </si>
  <si>
    <t xml:space="preserve">CAPM formula</t>
  </si>
  <si>
    <t xml:space="preserve">Cost of Debt (Pre-tax)</t>
  </si>
  <si>
    <t xml:space="preserve">Corporate bond yield</t>
  </si>
  <si>
    <t xml:space="preserve">Tax Rate</t>
  </si>
  <si>
    <t xml:space="preserve">FY2025 effective rate</t>
  </si>
  <si>
    <t xml:space="preserve">After-Tax Cost of Debt</t>
  </si>
  <si>
    <t xml:space="preserve">Weight of Equity</t>
  </si>
  <si>
    <t xml:space="preserve">Market value weights</t>
  </si>
  <si>
    <t xml:space="preserve">Weight of Debt</t>
  </si>
  <si>
    <t xml:space="preserve">WACC</t>
  </si>
  <si>
    <t xml:space="preserve">Weighted Average</t>
  </si>
  <si>
    <t xml:space="preserve">GROWTH ASSUMPTIONS</t>
  </si>
  <si>
    <t xml:space="preserve">Base Year FCF ($B)</t>
  </si>
  <si>
    <t xml:space="preserve">FY2025 Actual</t>
  </si>
  <si>
    <t xml:space="preserve">Year 1-2 Growth Rate</t>
  </si>
  <si>
    <t xml:space="preserve">Historical FCF growth ~11%</t>
  </si>
  <si>
    <t xml:space="preserve">Year 3-5 Growth Rate</t>
  </si>
  <si>
    <t xml:space="preserve">Revenue growth trend ~8.5%</t>
  </si>
  <si>
    <t xml:space="preserve">Year 6-10 Growth Rate</t>
  </si>
  <si>
    <t xml:space="preserve">Maturing but strong</t>
  </si>
  <si>
    <t xml:space="preserve">Terminal Growth Rate</t>
  </si>
  <si>
    <t xml:space="preserve">Premium to GDP</t>
  </si>
  <si>
    <t xml:space="preserve">FREE CASH FLOW PROJECTIONS ($B)</t>
  </si>
  <si>
    <t xml:space="preserve">FY2025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</si>
  <si>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</si>
  <si>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</si>
  <si>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</si>
  <si>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</si>
  <si>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</si>
  <si>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</si>
  <si>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</si>
  <si>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</si>
  <si>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</si>
  <si>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</si>
  <si>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Terminal</t>
  </si>
  <si>
    <t xml:space="preserve">Year</t>
  </si>
  <si>
    <t xml:space="preserve">Growth Rate</t>
  </si>
  <si>
    <t xml:space="preserve">-</t>
  </si>
  <si>
    <t xml:space="preserve">Free Cash Flow</t>
  </si>
  <si>
    <t xml:space="preserve">Discount Factor</t>
  </si>
  <si>
    <t xml:space="preserve">PV of FCF</t>
  </si>
  <si>
    <t xml:space="preserve">TERMINAL VALUE CALCULATION</t>
  </si>
  <si>
    <t xml:space="preserve">Terminal Year FCF ($B)</t>
  </si>
  <si>
    <t xml:space="preserve">Terminal Value ($B)</t>
  </si>
  <si>
    <t xml:space="preserve">Gordon Growth Model</t>
  </si>
  <si>
    <t xml:space="preserve">PV of Terminal Value ($B)</t>
  </si>
  <si>
    <t xml:space="preserve">Sum of PV of FCFs ($B)</t>
  </si>
  <si>
    <t xml:space="preserve">Enterprise Value ($B)</t>
  </si>
  <si>
    <t xml:space="preserve">Less: Net Debt ($B)</t>
  </si>
  <si>
    <t xml:space="preserve">Net cash position (Cash - Debt)</t>
  </si>
  <si>
    <t xml:space="preserve">Equity Value ($B)</t>
  </si>
  <si>
    <t xml:space="preserve">Fair Value per Share</t>
  </si>
  <si>
    <t xml:space="preserve">Current Price</t>
  </si>
  <si>
    <t xml:space="preserve">Upside/(Downside)</t>
  </si>
  <si>
    <t xml:space="preserve">SENSITIVITY ANALYSIS - FAIR VALUE PER SHARE</t>
  </si>
  <si>
    <t xml:space="preserve">WACC vs Terminal Growth Rate</t>
  </si>
  <si>
    <t xml:space="preserve">Yellow = Base Case</t>
  </si>
  <si>
    <t xml:space="preserve">HISTORICAL FINANCIAL SUMMARY - ACCENTURE (ACN)</t>
  </si>
  <si>
    <t xml:space="preserve">Metric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</si>
  <si>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</si>
  <si>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</si>
  <si>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</si>
  <si>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</si>
  <si>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</si>
  <si>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Revenue ($B)</t>
  </si>
  <si>
    <t xml:space="preserve">Revenue Growth</t>
  </si>
  <si>
    <t xml:space="preserve">Operating Income ($B)</t>
  </si>
  <si>
    <t xml:space="preserve">Operating Margin</t>
  </si>
  <si>
    <t xml:space="preserve">Net Income ($B)</t>
  </si>
  <si>
    <t xml:space="preserve">Net Margin</t>
  </si>
  <si>
    <t xml:space="preserve">EPS (Diluted)</t>
  </si>
  <si>
    <t xml:space="preserve">Free Cash Flow ($B)</t>
  </si>
  <si>
    <t xml:space="preserve">FCF Margin</t>
  </si>
  <si>
    <t xml:space="preserve">Dividends per Share</t>
  </si>
  <si>
    <t xml:space="preserve">Shares Outstanding (M)</t>
  </si>
  <si>
    <t xml:space="preserve">KEY RATIOS &amp; METRICS</t>
  </si>
  <si>
    <t xml:space="preserve">5-Year Revenue CAGR</t>
  </si>
  <si>
    <t xml:space="preserve">5-Year EPS CAGR</t>
  </si>
  <si>
    <t xml:space="preserve">5-Year FCF CAGR</t>
  </si>
  <si>
    <t xml:space="preserve">Avg Operating Margin</t>
  </si>
  <si>
    <t xml:space="preserve">Avg FCF Margin</t>
  </si>
  <si>
    <t xml:space="preserve">MODEL NOTES &amp; DATA SOURCES</t>
  </si>
  <si>
    <t xml:space="preserve">DATA SOURCES</t>
  </si>
  <si>
    <t xml:space="preserve">1. Financial data: Accenture Q4 FY2025 Earnings Release (September 25, 2025)</t>
  </si>
  <si>
    <t xml:space="preserve">2. Stock price data: NYSE as of December 5, 2025</t>
  </si>
  <si>
    <t xml:space="preserve">3. Analyst estimates: Bloomberg, FactSet consensus</t>
  </si>
  <si>
    <t xml:space="preserve">4. Beta: 5-year monthly regression vs S&amp;P 500</t>
  </si>
  <si>
    <t xml:space="preserve">5. Risk-free rate: 10-Year US Treasury yield</t>
  </si>
  <si>
    <t xml:space="preserve">6. Market risk premium: Damodaran historical equity premium</t>
  </si>
  <si>
    <t xml:space="preserve">• Historical growth rates: EPS 10.8%, Equity 18.2%, FCF 11.2%, Revenue 8.5%</t>
  </si>
  <si>
    <t xml:space="preserve">• Near-term FCF growth assumes 10% (slightly below historical 11.2%)</t>
  </si>
  <si>
    <t xml:space="preserve">• Mid-term growth of 8% reflects strong revenue growth track record</t>
  </si>
  <si>
    <t xml:space="preserve">• Long-term growth of 6% assumes gradual maturation</t>
  </si>
  <si>
    <t xml:space="preserve">• Terminal growth rate of 3% reflects premium-to-GDP sustainable growth</t>
  </si>
  <si>
    <t xml:space="preserve">• Net debt position reflects Accenture's cash-rich balance sheet ($11.5B cash vs $5.1B debt)</t>
  </si>
  <si>
    <t xml:space="preserve">RISKS TO VALUATION</t>
  </si>
  <si>
    <t xml:space="preserve">• Economic slowdown reducing IT consulting demand</t>
  </si>
  <si>
    <t xml:space="preserve">• AI disruption to traditional consulting business model</t>
  </si>
  <si>
    <t xml:space="preserve">• Margin pressure from wage inflation in key markets</t>
  </si>
  <si>
    <t xml:space="preserve">• Currency headwinds from strong US dollar</t>
  </si>
  <si>
    <t xml:space="preserve">• Federal government contract uncertainties</t>
  </si>
  <si>
    <t xml:space="preserve">• Competition from Big 4 and tech companies</t>
  </si>
  <si>
    <t xml:space="preserve">MODEL METHODOLOGY</t>
  </si>
  <si>
    <t xml:space="preserve">This DCF model uses a 10-year explicit forecast period with a terminal value</t>
  </si>
  <si>
    <t xml:space="preserve">calculated using the Gordon Growth Model. Free cash flow is projected based</t>
  </si>
  <si>
    <t xml:space="preserve">on historical FCF margins and management guidance for near-term growth.</t>
  </si>
  <si>
    <t xml:space="preserve">The WACC is calculated using the Capital Asset Pricing Model (CAPM) for the</t>
  </si>
  <si>
    <t xml:space="preserve">cost of equity, with market value weights for debt and equity.</t>
  </si>
  <si>
    <t xml:space="preserve">Sensitivity analysis shows fair value across a range of WACC and terminal</t>
  </si>
  <si>
    <t xml:space="preserve">growth assumptions to account for estimation uncertainty.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</si>
</sst>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0"/>
    <numFmt numFmtId="166" formatCode="\$#,##0.000"/>
    <numFmt numFmtId="167" formatCode="\$#,##0.0"/>
    <numFmt numFmtId="168" formatCode="0.0%"/>
    <numFmt numFmtId="169" formatCode="#,##0.0"/>
    <numFmt numFmtId="170" formatCode="0.00%"/>
    <numFmt numFmtId="171" formatCode="0.0\x"/>
    <numFmt numFmtId="172" formatCode="0.00"/>
    <numFmt numFmtId="173" formatCode="0.0000"/>
    <numFmt numFmtId="174" formatCode="\$#,##0"/>
    <numFmt numFmtId="17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4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8E4BC"/>
        <bgColor rgb="FFDBEEF3"/>
      </patternFill>
    </fill>
    <fill>
      <patternFill patternType="solid">
        <fgColor rgb="FFFFFF00"/>
        <bgColor rgb="FFFFFF00"/>
      </patternFill>
    </fill>
    <fill>
      <patternFill patternType="solid">
        <fgColor rgb="FFDBEEF3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4B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3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  <c r="B5" s="0" t="s">
        <v>4</v>
      </c>
    </row>
    <row r="6" customFormat="false" ht="15" hidden="false" customHeight="false" outlineLevel="0" collapsed="false">
      <c r="A6" s="0" t="s">
        <v>5</v>
      </c>
      <c r="B6" s="0" t="s">
        <v>6</v>
      </c>
    </row>
    <row r="7" customFormat="false" ht="15" hidden="false" customHeight="false" outlineLevel="0" collapsed="false">
      <c r="A7" s="0" t="s">
        <v>7</v>
      </c>
      <c r="B7" s="0" t="s">
        <v>8</v>
      </c>
    </row>
    <row r="8" customFormat="false" ht="15" hidden="false" customHeight="false" outlineLevel="0" collapsed="false">
      <c r="A8" s="0" t="s">
        <v>9</v>
      </c>
      <c r="B8" s="0" t="s">
        <v>10</v>
      </c>
    </row>
    <row r="9" customFormat="false" ht="15" hidden="false" customHeight="false" outlineLevel="0" collapsed="false">
      <c r="A9" s="0" t="s">
        <v>11</v>
      </c>
      <c r="B9" s="0" t="s">
        <v>12</v>
      </c>
    </row>
    <row r="11" customFormat="false" ht="17.35" hidden="false" customHeight="false" outlineLevel="0" collapsed="false">
      <c r="A11" s="3" t="s">
        <v>13</v>
      </c>
    </row>
    <row r="12" customFormat="false" ht="15" hidden="false" customHeight="false" outlineLevel="0" collapsed="false">
      <c r="A12" s="0" t="s">
        <v>14</v>
      </c>
      <c r="B12" s="4" t="n">
        <v>69.67</v>
      </c>
    </row>
    <row r="13" customFormat="false" ht="15" hidden="false" customHeight="false" outlineLevel="0" collapsed="false">
      <c r="A13" s="0" t="s">
        <v>15</v>
      </c>
      <c r="B13" s="5" t="n">
        <v>7.678</v>
      </c>
    </row>
    <row r="14" customFormat="false" ht="15" hidden="false" customHeight="false" outlineLevel="0" collapsed="false">
      <c r="A14" s="0" t="s">
        <v>16</v>
      </c>
      <c r="B14" s="6" t="n">
        <v>9.5</v>
      </c>
    </row>
    <row r="15" customFormat="false" ht="15" hidden="false" customHeight="false" outlineLevel="0" collapsed="false">
      <c r="A15" s="0" t="s">
        <v>17</v>
      </c>
      <c r="B15" s="7" t="n">
        <v>0.156</v>
      </c>
    </row>
    <row r="16" customFormat="false" ht="15" hidden="false" customHeight="false" outlineLevel="0" collapsed="false">
      <c r="A16" s="0" t="s">
        <v>18</v>
      </c>
      <c r="B16" s="8" t="n">
        <f aca="false">B13/B12</f>
        <v>0.110205253337161</v>
      </c>
    </row>
    <row r="18" customFormat="false" ht="17.35" hidden="false" customHeight="false" outlineLevel="0" collapsed="false">
      <c r="A18" s="3" t="s">
        <v>19</v>
      </c>
    </row>
    <row r="19" customFormat="false" ht="15" hidden="false" customHeight="false" outlineLevel="0" collapsed="false">
      <c r="A19" s="0" t="s">
        <v>20</v>
      </c>
      <c r="B19" s="4" t="n">
        <v>266.59</v>
      </c>
    </row>
    <row r="20" customFormat="false" ht="15" hidden="false" customHeight="false" outlineLevel="0" collapsed="false">
      <c r="A20" s="0" t="s">
        <v>21</v>
      </c>
      <c r="B20" s="9" t="n">
        <v>622.6</v>
      </c>
    </row>
    <row r="21" customFormat="false" ht="15" hidden="false" customHeight="false" outlineLevel="0" collapsed="false">
      <c r="A21" s="0" t="s">
        <v>22</v>
      </c>
      <c r="B21" s="10" t="n">
        <f aca="false">B19*B20/1000</f>
        <v>165.978934</v>
      </c>
    </row>
    <row r="22" customFormat="false" ht="15" hidden="false" customHeight="false" outlineLevel="0" collapsed="false">
      <c r="A22" s="0" t="s">
        <v>23</v>
      </c>
      <c r="B22" s="0" t="s">
        <v>24</v>
      </c>
    </row>
    <row r="23" customFormat="false" ht="15" hidden="false" customHeight="false" outlineLevel="0" collapsed="false">
      <c r="A23" s="0" t="s">
        <v>25</v>
      </c>
      <c r="B23" s="11" t="n">
        <v>0.0245</v>
      </c>
    </row>
    <row r="25" customFormat="false" ht="17.35" hidden="false" customHeight="false" outlineLevel="0" collapsed="false">
      <c r="A25" s="12" t="s">
        <v>26</v>
      </c>
      <c r="B25" s="13"/>
    </row>
    <row r="26" customFormat="false" ht="15" hidden="false" customHeight="false" outlineLevel="0" collapsed="false">
      <c r="A26" s="0" t="s">
        <v>27</v>
      </c>
      <c r="B26" s="14" t="n">
        <f aca="false">DCF!B45</f>
        <v>337.143889622941</v>
      </c>
    </row>
    <row r="27" customFormat="false" ht="15" hidden="false" customHeight="false" outlineLevel="0" collapsed="false">
      <c r="A27" s="0" t="s">
        <v>28</v>
      </c>
      <c r="B27" s="15" t="n">
        <f aca="false">B19</f>
        <v>266.59</v>
      </c>
    </row>
    <row r="28" customFormat="false" ht="15" hidden="false" customHeight="false" outlineLevel="0" collapsed="false">
      <c r="A28" s="0" t="s">
        <v>29</v>
      </c>
      <c r="B28" s="8" t="n">
        <f aca="false">(B26-B27)/B27</f>
        <v>0.264653173873517</v>
      </c>
    </row>
    <row r="30" customFormat="false" ht="17.35" hidden="false" customHeight="false" outlineLevel="0" collapsed="false">
      <c r="A30" s="3" t="s">
        <v>30</v>
      </c>
    </row>
    <row r="31" customFormat="false" ht="15" hidden="false" customHeight="false" outlineLevel="0" collapsed="false">
      <c r="A31" s="0" t="s">
        <v>31</v>
      </c>
      <c r="B31" s="16" t="n">
        <f aca="false">B19/(B13*1000/B20)</f>
        <v>21.6174699140401</v>
      </c>
    </row>
    <row r="32" customFormat="false" ht="15" hidden="false" customHeight="false" outlineLevel="0" collapsed="false">
      <c r="A32" s="0" t="s">
        <v>32</v>
      </c>
      <c r="B32" s="16" t="n">
        <f aca="false">B21/B14</f>
        <v>17.4714667368421</v>
      </c>
    </row>
    <row r="33" customFormat="false" ht="15" hidden="false" customHeight="false" outlineLevel="0" collapsed="false">
      <c r="A33" s="0" t="s">
        <v>33</v>
      </c>
      <c r="B33" s="17" t="n">
        <v>13.3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14" min="4" style="0" width="12"/>
  </cols>
  <sheetData>
    <row r="1" customFormat="false" ht="17.35" hidden="false" customHeight="false" outlineLevel="0" collapsed="false">
      <c r="A1" s="3" t="s">
        <v>34</v>
      </c>
    </row>
    <row r="3" customFormat="false" ht="15" hidden="false" customHeight="false" outlineLevel="0" collapsed="false">
      <c r="A3" s="18" t="s">
        <v>35</v>
      </c>
    </row>
    <row r="4" customFormat="false" ht="15" hidden="false" customHeight="false" outlineLevel="0" collapsed="false">
      <c r="A4" s="0" t="s">
        <v>36</v>
      </c>
      <c r="B4" s="11" t="n">
        <v>0.042</v>
      </c>
      <c r="C4" s="19" t="s">
        <v>37</v>
      </c>
    </row>
    <row r="5" customFormat="false" ht="15" hidden="false" customHeight="false" outlineLevel="0" collapsed="false">
      <c r="A5" s="0" t="s">
        <v>38</v>
      </c>
      <c r="B5" s="11" t="n">
        <v>0.055</v>
      </c>
      <c r="C5" s="19" t="s">
        <v>39</v>
      </c>
    </row>
    <row r="6" customFormat="false" ht="15" hidden="false" customHeight="false" outlineLevel="0" collapsed="false">
      <c r="A6" s="0" t="s">
        <v>40</v>
      </c>
      <c r="B6" s="20" t="n">
        <v>1.05</v>
      </c>
      <c r="C6" s="19" t="s">
        <v>41</v>
      </c>
    </row>
    <row r="7" customFormat="false" ht="15" hidden="false" customHeight="false" outlineLevel="0" collapsed="false">
      <c r="A7" s="0" t="s">
        <v>42</v>
      </c>
      <c r="B7" s="21" t="n">
        <f aca="false">B4+B5*B6</f>
        <v>0.09975</v>
      </c>
      <c r="C7" s="19" t="s">
        <v>43</v>
      </c>
    </row>
    <row r="8" customFormat="false" ht="15" hidden="false" customHeight="false" outlineLevel="0" collapsed="false">
      <c r="A8" s="0" t="s">
        <v>44</v>
      </c>
      <c r="B8" s="11" t="n">
        <v>0.045</v>
      </c>
      <c r="C8" s="19" t="s">
        <v>45</v>
      </c>
    </row>
    <row r="9" customFormat="false" ht="15" hidden="false" customHeight="false" outlineLevel="0" collapsed="false">
      <c r="A9" s="0" t="s">
        <v>46</v>
      </c>
      <c r="B9" s="11" t="n">
        <v>0.235</v>
      </c>
      <c r="C9" s="19" t="s">
        <v>47</v>
      </c>
    </row>
    <row r="10" customFormat="false" ht="15" hidden="false" customHeight="false" outlineLevel="0" collapsed="false">
      <c r="A10" s="0" t="s">
        <v>48</v>
      </c>
      <c r="B10" s="21" t="n">
        <f aca="false">B8*(1-B9)</f>
        <v>0.034425</v>
      </c>
    </row>
    <row r="11" customFormat="false" ht="15" hidden="false" customHeight="false" outlineLevel="0" collapsed="false">
      <c r="A11" s="0" t="s">
        <v>49</v>
      </c>
      <c r="B11" s="11" t="n">
        <v>0.97</v>
      </c>
      <c r="C11" s="19" t="s">
        <v>50</v>
      </c>
    </row>
    <row r="12" customFormat="false" ht="15" hidden="false" customHeight="false" outlineLevel="0" collapsed="false">
      <c r="A12" s="0" t="s">
        <v>51</v>
      </c>
      <c r="B12" s="11" t="n">
        <v>0.03</v>
      </c>
      <c r="C12" s="19" t="s">
        <v>50</v>
      </c>
    </row>
    <row r="13" customFormat="false" ht="15" hidden="false" customHeight="false" outlineLevel="0" collapsed="false">
      <c r="A13" s="0" t="s">
        <v>52</v>
      </c>
      <c r="B13" s="21" t="n">
        <f aca="false">B7*B11+B10*B12</f>
        <v>0.09779025</v>
      </c>
      <c r="C13" s="19" t="s">
        <v>53</v>
      </c>
    </row>
    <row r="16" customFormat="false" ht="15" hidden="false" customHeight="false" outlineLevel="0" collapsed="false">
      <c r="A16" s="18" t="s">
        <v>54</v>
      </c>
    </row>
    <row r="17" customFormat="false" ht="15" hidden="false" customHeight="false" outlineLevel="0" collapsed="false">
      <c r="A17" s="0" t="s">
        <v>55</v>
      </c>
      <c r="B17" s="6" t="n">
        <v>9.5</v>
      </c>
      <c r="C17" s="19" t="s">
        <v>56</v>
      </c>
    </row>
    <row r="18" customFormat="false" ht="15" hidden="false" customHeight="false" outlineLevel="0" collapsed="false">
      <c r="A18" s="0" t="s">
        <v>57</v>
      </c>
      <c r="B18" s="7" t="n">
        <v>0.1</v>
      </c>
      <c r="C18" s="19" t="s">
        <v>58</v>
      </c>
    </row>
    <row r="19" customFormat="false" ht="15" hidden="false" customHeight="false" outlineLevel="0" collapsed="false">
      <c r="A19" s="0" t="s">
        <v>59</v>
      </c>
      <c r="B19" s="7" t="n">
        <v>0.08</v>
      </c>
      <c r="C19" s="19" t="s">
        <v>60</v>
      </c>
    </row>
    <row r="20" customFormat="false" ht="15" hidden="false" customHeight="false" outlineLevel="0" collapsed="false">
      <c r="A20" s="0" t="s">
        <v>61</v>
      </c>
      <c r="B20" s="7" t="n">
        <v>0.06</v>
      </c>
      <c r="C20" s="19" t="s">
        <v>62</v>
      </c>
    </row>
    <row r="21" customFormat="false" ht="15" hidden="false" customHeight="false" outlineLevel="0" collapsed="false">
      <c r="A21" s="0" t="s">
        <v>63</v>
      </c>
      <c r="B21" s="7" t="n">
        <v>0.03</v>
      </c>
      <c r="C21" s="19" t="s">
        <v>64</v>
      </c>
    </row>
    <row r="24" customFormat="false" ht="15" hidden="false" customHeight="false" outlineLevel="0" collapsed="false">
      <c r="A24" s="18" t="s">
        <v>65</v>
      </c>
    </row>
    <row r="25" customFormat="false" ht="15" hidden="false" customHeight="false" outlineLevel="0" collapsed="false">
      <c r="A25" s="22"/>
      <c r="B25" s="22" t="s">
        <v>66</v>
      </c>
      <c r="C25" s="22" t="s">
        <v>67</v>
      </c>
      <c r="D25" s="22" t="s">
        <v>68</v>
      </c>
      <c r="E25" s="22" t="s">
        <v>69</v>
      </c>
      <c r="F25" s="22" t="s">
        <v>70</v>
      </c>
      <c r="G25" s="22" t="s">
        <v>71</v>
      </c>
      <c r="H25" s="22" t="s">
        <v>72</v>
      </c>
      <c r="I25" s="22" t="s">
        <v>73</v>
      </c>
      <c r="J25" s="22" t="s">
        <v>74</v>
      </c>
      <c r="K25" s="22" t="s">
        <v>75</v>
      </c>
      <c r="L25" s="22" t="s">
        <v>76</v>
      </c>
      <c r="M25" s="22" t="s">
        <v>77</v>
      </c>
    </row>
    <row r="26" customFormat="false" ht="15" hidden="false" customHeight="false" outlineLevel="0" collapsed="false">
      <c r="A26" s="0" t="s">
        <v>78</v>
      </c>
      <c r="B26" s="23" t="n">
        <v>0</v>
      </c>
      <c r="C26" s="23" t="n">
        <v>1</v>
      </c>
      <c r="D26" s="23" t="n">
        <v>2</v>
      </c>
      <c r="E26" s="23" t="n">
        <v>3</v>
      </c>
      <c r="F26" s="23" t="n">
        <v>4</v>
      </c>
      <c r="G26" s="23" t="n">
        <v>5</v>
      </c>
      <c r="H26" s="23" t="n">
        <v>6</v>
      </c>
      <c r="I26" s="23" t="n">
        <v>7</v>
      </c>
      <c r="J26" s="23" t="n">
        <v>8</v>
      </c>
      <c r="K26" s="23" t="n">
        <v>9</v>
      </c>
      <c r="L26" s="23" t="n">
        <v>10</v>
      </c>
      <c r="M26" s="23" t="n">
        <v>11</v>
      </c>
    </row>
    <row r="27" customFormat="false" ht="15" hidden="false" customHeight="false" outlineLevel="0" collapsed="false">
      <c r="A27" s="0" t="s">
        <v>79</v>
      </c>
      <c r="B27" s="0" t="s">
        <v>80</v>
      </c>
      <c r="C27" s="8" t="n">
        <f aca="false">$B$18</f>
        <v>0.1</v>
      </c>
      <c r="D27" s="8" t="n">
        <f aca="false">$B$18</f>
        <v>0.1</v>
      </c>
      <c r="E27" s="8" t="n">
        <f aca="false">$B$19</f>
        <v>0.08</v>
      </c>
      <c r="F27" s="8" t="n">
        <f aca="false">$B$19</f>
        <v>0.08</v>
      </c>
      <c r="G27" s="8" t="n">
        <f aca="false">$B$19</f>
        <v>0.08</v>
      </c>
      <c r="H27" s="8" t="n">
        <f aca="false">$B$20</f>
        <v>0.06</v>
      </c>
      <c r="I27" s="8" t="n">
        <f aca="false">$B$20</f>
        <v>0.06</v>
      </c>
      <c r="J27" s="8" t="n">
        <f aca="false">$B$20</f>
        <v>0.06</v>
      </c>
      <c r="K27" s="8" t="n">
        <f aca="false">$B$20</f>
        <v>0.06</v>
      </c>
      <c r="L27" s="8" t="n">
        <f aca="false">$B$20</f>
        <v>0.06</v>
      </c>
      <c r="M27" s="8" t="n">
        <f aca="false">$B$21</f>
        <v>0.03</v>
      </c>
    </row>
    <row r="28" customFormat="false" ht="15" hidden="false" customHeight="false" outlineLevel="0" collapsed="false">
      <c r="A28" s="0" t="s">
        <v>81</v>
      </c>
      <c r="B28" s="15" t="n">
        <f aca="false">$B$17</f>
        <v>9.5</v>
      </c>
      <c r="C28" s="15" t="n">
        <f aca="false">B28*(1+C27)</f>
        <v>10.45</v>
      </c>
      <c r="D28" s="15" t="n">
        <f aca="false">C28*(1+D27)</f>
        <v>11.495</v>
      </c>
      <c r="E28" s="15" t="n">
        <f aca="false">D28*(1+E27)</f>
        <v>12.4146</v>
      </c>
      <c r="F28" s="15" t="n">
        <f aca="false">E28*(1+F27)</f>
        <v>13.407768</v>
      </c>
      <c r="G28" s="15" t="n">
        <f aca="false">F28*(1+G27)</f>
        <v>14.48038944</v>
      </c>
      <c r="H28" s="15" t="n">
        <f aca="false">G28*(1+H27)</f>
        <v>15.3492128064</v>
      </c>
      <c r="I28" s="15" t="n">
        <f aca="false">H28*(1+I27)</f>
        <v>16.270165574784</v>
      </c>
      <c r="J28" s="15" t="n">
        <f aca="false">I28*(1+J27)</f>
        <v>17.246375509271</v>
      </c>
      <c r="K28" s="15" t="n">
        <f aca="false">J28*(1+K27)</f>
        <v>18.2811580398273</v>
      </c>
      <c r="L28" s="15" t="n">
        <f aca="false">K28*(1+L27)</f>
        <v>19.378027522217</v>
      </c>
    </row>
    <row r="29" customFormat="false" ht="15" hidden="false" customHeight="false" outlineLevel="0" collapsed="false">
      <c r="A29" s="0" t="s">
        <v>82</v>
      </c>
      <c r="B29" s="24" t="n">
        <v>1</v>
      </c>
      <c r="C29" s="24" t="n">
        <f aca="false">1/(1+$B$13)^C26</f>
        <v>0.910920824811479</v>
      </c>
      <c r="D29" s="24" t="n">
        <f aca="false">1/(1+$B$13)^D26</f>
        <v>0.829776749075226</v>
      </c>
      <c r="E29" s="24" t="n">
        <f aca="false">1/(1+$B$13)^E26</f>
        <v>0.755860920676992</v>
      </c>
      <c r="F29" s="24" t="n">
        <f aca="false">1/(1+$B$13)^F26</f>
        <v>0.68852945330585</v>
      </c>
      <c r="G29" s="24" t="n">
        <f aca="false">1/(1+$B$13)^G26</f>
        <v>0.627195817512362</v>
      </c>
      <c r="H29" s="24" t="n">
        <f aca="false">1/(1+$B$13)^H26</f>
        <v>0.57132573140667</v>
      </c>
      <c r="I29" s="24" t="n">
        <f aca="false">1/(1+$B$13)^I26</f>
        <v>0.520432506488986</v>
      </c>
      <c r="J29" s="24" t="n">
        <f aca="false">1/(1+$B$13)^J26</f>
        <v>0.474072808069652</v>
      </c>
      <c r="K29" s="24" t="n">
        <f aca="false">1/(1+$B$13)^K26</f>
        <v>0.431842793347502</v>
      </c>
      <c r="L29" s="24" t="n">
        <f aca="false">1/(1+$B$13)^L26</f>
        <v>0.393374593505</v>
      </c>
    </row>
    <row r="30" customFormat="false" ht="15" hidden="false" customHeight="false" outlineLevel="0" collapsed="false">
      <c r="A30" s="0" t="s">
        <v>83</v>
      </c>
      <c r="B30" s="0" t="s">
        <v>80</v>
      </c>
      <c r="C30" s="15" t="n">
        <f aca="false">C28*C29</f>
        <v>9.51912261927996</v>
      </c>
      <c r="D30" s="15" t="n">
        <f aca="false">D28*D29</f>
        <v>9.53828373061972</v>
      </c>
      <c r="E30" s="15" t="n">
        <f aca="false">E28*E29</f>
        <v>9.38371098583659</v>
      </c>
      <c r="F30" s="15" t="n">
        <f aca="false">F28*F29</f>
        <v>9.23164317109167</v>
      </c>
      <c r="G30" s="15" t="n">
        <f aca="false">G28*G29</f>
        <v>9.08203969271817</v>
      </c>
      <c r="H30" s="15" t="n">
        <f aca="false">H28*H29</f>
        <v>8.76940023313311</v>
      </c>
      <c r="I30" s="15" t="n">
        <f aca="false">I28*I29</f>
        <v>8.46752305107565</v>
      </c>
      <c r="J30" s="15" t="n">
        <f aca="false">J28*J29</f>
        <v>8.17603766670381</v>
      </c>
      <c r="K30" s="15" t="n">
        <f aca="false">K28*K29</f>
        <v>7.89458635354617</v>
      </c>
      <c r="L30" s="15" t="n">
        <f aca="false">L28*L29</f>
        <v>7.62282369948079</v>
      </c>
    </row>
    <row r="33" customFormat="false" ht="15" hidden="false" customHeight="false" outlineLevel="0" collapsed="false">
      <c r="A33" s="18" t="s">
        <v>84</v>
      </c>
    </row>
    <row r="34" customFormat="false" ht="15" hidden="false" customHeight="false" outlineLevel="0" collapsed="false">
      <c r="A34" s="0" t="s">
        <v>85</v>
      </c>
      <c r="B34" s="15" t="n">
        <f aca="false">L28*(1+$B$21)</f>
        <v>19.9593683478835</v>
      </c>
    </row>
    <row r="35" customFormat="false" ht="15" hidden="false" customHeight="false" outlineLevel="0" collapsed="false">
      <c r="A35" s="0" t="s">
        <v>86</v>
      </c>
      <c r="B35" s="15" t="n">
        <f aca="false">B34/($B$13-$B$21)</f>
        <v>294.428304186568</v>
      </c>
      <c r="C35" s="19" t="s">
        <v>87</v>
      </c>
    </row>
    <row r="36" customFormat="false" ht="15" hidden="false" customHeight="false" outlineLevel="0" collapsed="false">
      <c r="A36" s="0" t="s">
        <v>88</v>
      </c>
      <c r="B36" s="15" t="n">
        <f aca="false">B35*L29</f>
        <v>115.820614475757</v>
      </c>
    </row>
    <row r="39" customFormat="false" ht="15" hidden="false" customHeight="false" outlineLevel="0" collapsed="false">
      <c r="A39" s="25" t="s">
        <v>26</v>
      </c>
    </row>
    <row r="40" customFormat="false" ht="15" hidden="false" customHeight="false" outlineLevel="0" collapsed="false">
      <c r="A40" s="0" t="s">
        <v>89</v>
      </c>
      <c r="B40" s="15" t="n">
        <f aca="false">SUM(C30:L30)</f>
        <v>87.6851712034856</v>
      </c>
    </row>
    <row r="41" customFormat="false" ht="15" hidden="false" customHeight="false" outlineLevel="0" collapsed="false">
      <c r="A41" s="0" t="s">
        <v>88</v>
      </c>
      <c r="B41" s="15" t="n">
        <f aca="false">B36</f>
        <v>115.820614475757</v>
      </c>
    </row>
    <row r="42" customFormat="false" ht="15" hidden="false" customHeight="false" outlineLevel="0" collapsed="false">
      <c r="A42" s="0" t="s">
        <v>90</v>
      </c>
      <c r="B42" s="26" t="n">
        <f aca="false">B40+B41</f>
        <v>203.505785679243</v>
      </c>
    </row>
    <row r="43" customFormat="false" ht="15" hidden="false" customHeight="false" outlineLevel="0" collapsed="false">
      <c r="A43" s="0" t="s">
        <v>91</v>
      </c>
      <c r="B43" s="6" t="n">
        <v>-6.4</v>
      </c>
      <c r="C43" s="19" t="s">
        <v>92</v>
      </c>
    </row>
    <row r="44" customFormat="false" ht="15" hidden="false" customHeight="false" outlineLevel="0" collapsed="false">
      <c r="A44" s="0" t="s">
        <v>93</v>
      </c>
      <c r="B44" s="26" t="n">
        <f aca="false">B42-B43</f>
        <v>209.905785679243</v>
      </c>
    </row>
    <row r="45" customFormat="false" ht="15" hidden="false" customHeight="false" outlineLevel="0" collapsed="false">
      <c r="A45" s="0" t="s">
        <v>94</v>
      </c>
      <c r="B45" s="14" t="n">
        <f aca="false">B44*1000/'Executive Summary'!B20</f>
        <v>337.143889622941</v>
      </c>
    </row>
    <row r="47" customFormat="false" ht="15" hidden="false" customHeight="false" outlineLevel="0" collapsed="false">
      <c r="A47" s="0" t="s">
        <v>95</v>
      </c>
      <c r="B47" s="15" t="n">
        <f aca="false">'Executive Summary'!B19</f>
        <v>266.59</v>
      </c>
    </row>
    <row r="48" customFormat="false" ht="15" hidden="false" customHeight="false" outlineLevel="0" collapsed="false">
      <c r="A48" s="0" t="s">
        <v>96</v>
      </c>
      <c r="B48" s="27" t="n">
        <f aca="false">(B45-B47)/B47</f>
        <v>0.264653173873517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9" min="2" style="0" width="12"/>
  </cols>
  <sheetData>
    <row r="1" customFormat="false" ht="17.35" hidden="false" customHeight="false" outlineLevel="0" collapsed="false">
      <c r="A1" s="3" t="s">
        <v>97</v>
      </c>
    </row>
    <row r="3" customFormat="false" ht="15" hidden="false" customHeight="false" outlineLevel="0" collapsed="false">
      <c r="A3" s="18" t="s">
        <v>98</v>
      </c>
    </row>
    <row r="4" customFormat="false" ht="15" hidden="false" customHeight="false" outlineLevel="0" collapsed="false">
      <c r="B4" s="28" t="s">
        <v>63</v>
      </c>
      <c r="C4" s="28"/>
      <c r="D4" s="28"/>
      <c r="E4" s="28"/>
      <c r="F4" s="28"/>
      <c r="G4" s="28"/>
      <c r="H4" s="28"/>
    </row>
    <row r="5" customFormat="false" ht="15" hidden="false" customHeight="false" outlineLevel="0" collapsed="false">
      <c r="A5" s="29" t="s">
        <v>52</v>
      </c>
      <c r="C5" s="30" t="n">
        <v>0.02</v>
      </c>
      <c r="D5" s="30" t="n">
        <v>0.025</v>
      </c>
      <c r="E5" s="30" t="n">
        <v>0.03</v>
      </c>
      <c r="F5" s="30" t="n">
        <v>0.035</v>
      </c>
      <c r="G5" s="30" t="n">
        <v>0.04</v>
      </c>
    </row>
    <row r="6" customFormat="false" ht="15" hidden="false" customHeight="false" outlineLevel="0" collapsed="false">
      <c r="B6" s="27" t="n">
        <v>0.07</v>
      </c>
      <c r="C6" s="31" t="n">
        <f aca="false">((DCF!$B$17*(1+DCF!$B$18)/(1+0.07)^1)+(DCF!$B$17*(1+DCF!$B$18)^2/(1+0.07)^2)+(DCF!$B$17*(1+DCF!$B$18)^2*(1+DCF!$B$19)/(1+0.07)^3)+(DCF!$B$17*(1+DCF!$B$18)^2*(1+DCF!$B$19)^2/(1+0.07)^4)+(DCF!$B$17*(1+DCF!$B$18)^2*(1+DCF!$B$19)^3/(1+0.07)^5)+(DCF!$B$17*(1+DCF!$B$18)^2*(1+DCF!$B$19)^3*(1+DCF!$B$20)/(1+0.07)^6)+(DCF!$B$17*(1+DCF!$B$18)^2*(1+DCF!$B$19)^3*(1+DCF!$B$20)^2/(1+0.07)^7)+(DCF!$B$17*(1+DCF!$B$18)^2*(1+DCF!$B$19)^3*(1+DCF!$B$20)^3/(1+0.07)^8)+(DCF!$B$17*(1+DCF!$B$18)^2*(1+DCF!$B$19)^3*(1+DCF!$B$20)^4/(1+0.07)^9)+(DCF!$B$17*(1+DCF!$B$18)^2*(1+DCF!$B$19)^3*(1+DCF!$B$20)^5/(1+0.07)^10)+((DCF!$B$17*(1+DCF!$B$18)^2*(1+DCF!$B$19)^3*(1+DCF!$B$20)^5*(1+0.02)/(0.07-0.02))/(1+0.07)^10)-DCF!$B$43)*1000/'Executive Summary'!$B$20</f>
        <v>494.767429275439</v>
      </c>
      <c r="D6" s="31" t="n">
        <f aca="false">((DCF!$B$17*(1+DCF!$B$18)/(1+0.07)^1)+(DCF!$B$17*(1+DCF!$B$18)^2/(1+0.07)^2)+(DCF!$B$17*(1+DCF!$B$18)^2*(1+DCF!$B$19)/(1+0.07)^3)+(DCF!$B$17*(1+DCF!$B$18)^2*(1+DCF!$B$19)^2/(1+0.07)^4)+(DCF!$B$17*(1+DCF!$B$18)^2*(1+DCF!$B$19)^3/(1+0.07)^5)+(DCF!$B$17*(1+DCF!$B$18)^2*(1+DCF!$B$19)^3*(1+DCF!$B$20)/(1+0.07)^6)+(DCF!$B$17*(1+DCF!$B$18)^2*(1+DCF!$B$19)^3*(1+DCF!$B$20)^2/(1+0.07)^7)+(DCF!$B$17*(1+DCF!$B$18)^2*(1+DCF!$B$19)^3*(1+DCF!$B$20)^3/(1+0.07)^8)+(DCF!$B$17*(1+DCF!$B$18)^2*(1+DCF!$B$19)^3*(1+DCF!$B$20)^4/(1+0.07)^9)+(DCF!$B$17*(1+DCF!$B$18)^2*(1+DCF!$B$19)^3*(1+DCF!$B$20)^5/(1+0.07)^10)+((DCF!$B$17*(1+DCF!$B$18)^2*(1+DCF!$B$19)^3*(1+DCF!$B$20)^5*(1+0.025)/(0.07-0.025))/(1+0.07)^10)-DCF!$B$43)*1000/'Executive Summary'!$B$20</f>
        <v>532.388741457536</v>
      </c>
      <c r="E6" s="31" t="n">
        <f aca="false">((DCF!$B$17*(1+DCF!$B$18)/(1+0.07)^1)+(DCF!$B$17*(1+DCF!$B$18)^2/(1+0.07)^2)+(DCF!$B$17*(1+DCF!$B$18)^2*(1+DCF!$B$19)/(1+0.07)^3)+(DCF!$B$17*(1+DCF!$B$18)^2*(1+DCF!$B$19)^2/(1+0.07)^4)+(DCF!$B$17*(1+DCF!$B$18)^2*(1+DCF!$B$19)^3/(1+0.07)^5)+(DCF!$B$17*(1+DCF!$B$18)^2*(1+DCF!$B$19)^3*(1+DCF!$B$20)/(1+0.07)^6)+(DCF!$B$17*(1+DCF!$B$18)^2*(1+DCF!$B$19)^3*(1+DCF!$B$20)^2/(1+0.07)^7)+(DCF!$B$17*(1+DCF!$B$18)^2*(1+DCF!$B$19)^3*(1+DCF!$B$20)^3/(1+0.07)^8)+(DCF!$B$17*(1+DCF!$B$18)^2*(1+DCF!$B$19)^3*(1+DCF!$B$20)^4/(1+0.07)^9)+(DCF!$B$17*(1+DCF!$B$18)^2*(1+DCF!$B$19)^3*(1+DCF!$B$20)^5/(1+0.07)^10)+((DCF!$B$17*(1+DCF!$B$18)^2*(1+DCF!$B$19)^3*(1+DCF!$B$20)^5*(1+0.03)/(0.07-0.03))/(1+0.07)^10)-DCF!$B$43)*1000/'Executive Summary'!$B$20</f>
        <v>579.415381685157</v>
      </c>
      <c r="F6" s="31" t="n">
        <f aca="false">((DCF!$B$17*(1+DCF!$B$18)/(1+0.07)^1)+(DCF!$B$17*(1+DCF!$B$18)^2/(1+0.07)^2)+(DCF!$B$17*(1+DCF!$B$18)^2*(1+DCF!$B$19)/(1+0.07)^3)+(DCF!$B$17*(1+DCF!$B$18)^2*(1+DCF!$B$19)^2/(1+0.07)^4)+(DCF!$B$17*(1+DCF!$B$18)^2*(1+DCF!$B$19)^3/(1+0.07)^5)+(DCF!$B$17*(1+DCF!$B$18)^2*(1+DCF!$B$19)^3*(1+DCF!$B$20)/(1+0.07)^6)+(DCF!$B$17*(1+DCF!$B$18)^2*(1+DCF!$B$19)^3*(1+DCF!$B$20)^2/(1+0.07)^7)+(DCF!$B$17*(1+DCF!$B$18)^2*(1+DCF!$B$19)^3*(1+DCF!$B$20)^3/(1+0.07)^8)+(DCF!$B$17*(1+DCF!$B$18)^2*(1+DCF!$B$19)^3*(1+DCF!$B$20)^4/(1+0.07)^9)+(DCF!$B$17*(1+DCF!$B$18)^2*(1+DCF!$B$19)^3*(1+DCF!$B$20)^5/(1+0.07)^10)+((DCF!$B$17*(1+DCF!$B$18)^2*(1+DCF!$B$19)^3*(1+DCF!$B$20)^5*(1+0.035)/(0.07-0.035))/(1+0.07)^10)-DCF!$B$43)*1000/'Executive Summary'!$B$20</f>
        <v>639.878204834955</v>
      </c>
      <c r="G6" s="31" t="n">
        <f aca="false">((DCF!$B$17*(1+DCF!$B$18)/(1+0.07)^1)+(DCF!$B$17*(1+DCF!$B$18)^2/(1+0.07)^2)+(DCF!$B$17*(1+DCF!$B$18)^2*(1+DCF!$B$19)/(1+0.07)^3)+(DCF!$B$17*(1+DCF!$B$18)^2*(1+DCF!$B$19)^2/(1+0.07)^4)+(DCF!$B$17*(1+DCF!$B$18)^2*(1+DCF!$B$19)^3/(1+0.07)^5)+(DCF!$B$17*(1+DCF!$B$18)^2*(1+DCF!$B$19)^3*(1+DCF!$B$20)/(1+0.07)^6)+(DCF!$B$17*(1+DCF!$B$18)^2*(1+DCF!$B$19)^3*(1+DCF!$B$20)^2/(1+0.07)^7)+(DCF!$B$17*(1+DCF!$B$18)^2*(1+DCF!$B$19)^3*(1+DCF!$B$20)^3/(1+0.07)^8)+(DCF!$B$17*(1+DCF!$B$18)^2*(1+DCF!$B$19)^3*(1+DCF!$B$20)^4/(1+0.07)^9)+(DCF!$B$17*(1+DCF!$B$18)^2*(1+DCF!$B$19)^3*(1+DCF!$B$20)^5/(1+0.07)^10)+((DCF!$B$17*(1+DCF!$B$18)^2*(1+DCF!$B$19)^3*(1+DCF!$B$20)^5*(1+0.04)/(0.07-0.04))/(1+0.07)^10)-DCF!$B$43)*1000/'Executive Summary'!$B$20</f>
        <v>720.49530236802</v>
      </c>
    </row>
    <row r="7" customFormat="false" ht="15" hidden="false" customHeight="false" outlineLevel="0" collapsed="false">
      <c r="B7" s="27" t="n">
        <v>0.075</v>
      </c>
      <c r="C7" s="31" t="n">
        <f aca="false">((DCF!$B$17*(1+DCF!$B$18)/(1+0.075)^1)+(DCF!$B$17*(1+DCF!$B$18)^2/(1+0.075)^2)+(DCF!$B$17*(1+DCF!$B$18)^2*(1+DCF!$B$19)/(1+0.075)^3)+(DCF!$B$17*(1+DCF!$B$18)^2*(1+DCF!$B$19)^2/(1+0.075)^4)+(DCF!$B$17*(1+DCF!$B$18)^2*(1+DCF!$B$19)^3/(1+0.075)^5)+(DCF!$B$17*(1+DCF!$B$18)^2*(1+DCF!$B$19)^3*(1+DCF!$B$20)/(1+0.075)^6)+(DCF!$B$17*(1+DCF!$B$18)^2*(1+DCF!$B$19)^3*(1+DCF!$B$20)^2/(1+0.075)^7)+(DCF!$B$17*(1+DCF!$B$18)^2*(1+DCF!$B$19)^3*(1+DCF!$B$20)^3/(1+0.075)^8)+(DCF!$B$17*(1+DCF!$B$18)^2*(1+DCF!$B$19)^3*(1+DCF!$B$20)^4/(1+0.075)^9)+(DCF!$B$17*(1+DCF!$B$18)^2*(1+DCF!$B$19)^3*(1+DCF!$B$20)^5/(1+0.075)^10)+((DCF!$B$17*(1+DCF!$B$18)^2*(1+DCF!$B$19)^3*(1+DCF!$B$20)^5*(1+0.02)/(0.075-0.02))/(1+0.075)^10)-DCF!$B$43)*1000/'Executive Summary'!$B$20</f>
        <v>447.981966111146</v>
      </c>
      <c r="D7" s="31" t="n">
        <f aca="false">((DCF!$B$17*(1+DCF!$B$18)/(1+0.075)^1)+(DCF!$B$17*(1+DCF!$B$18)^2/(1+0.075)^2)+(DCF!$B$17*(1+DCF!$B$18)^2*(1+DCF!$B$19)/(1+0.075)^3)+(DCF!$B$17*(1+DCF!$B$18)^2*(1+DCF!$B$19)^2/(1+0.075)^4)+(DCF!$B$17*(1+DCF!$B$18)^2*(1+DCF!$B$19)^3/(1+0.075)^5)+(DCF!$B$17*(1+DCF!$B$18)^2*(1+DCF!$B$19)^3*(1+DCF!$B$20)/(1+0.075)^6)+(DCF!$B$17*(1+DCF!$B$18)^2*(1+DCF!$B$19)^3*(1+DCF!$B$20)^2/(1+0.075)^7)+(DCF!$B$17*(1+DCF!$B$18)^2*(1+DCF!$B$19)^3*(1+DCF!$B$20)^3/(1+0.075)^8)+(DCF!$B$17*(1+DCF!$B$18)^2*(1+DCF!$B$19)^3*(1+DCF!$B$20)^4/(1+0.075)^9)+(DCF!$B$17*(1+DCF!$B$18)^2*(1+DCF!$B$19)^3*(1+DCF!$B$20)^5/(1+0.075)^10)+((DCF!$B$17*(1+DCF!$B$18)^2*(1+DCF!$B$19)^3*(1+DCF!$B$20)^5*(1+0.025)/(0.075-0.025))/(1+0.075)^10)-DCF!$B$43)*1000/'Executive Summary'!$B$20</f>
        <v>477.498243579405</v>
      </c>
      <c r="E7" s="31" t="n">
        <f aca="false">((DCF!$B$17*(1+DCF!$B$18)/(1+0.075)^1)+(DCF!$B$17*(1+DCF!$B$18)^2/(1+0.075)^2)+(DCF!$B$17*(1+DCF!$B$18)^2*(1+DCF!$B$19)/(1+0.075)^3)+(DCF!$B$17*(1+DCF!$B$18)^2*(1+DCF!$B$19)^2/(1+0.075)^4)+(DCF!$B$17*(1+DCF!$B$18)^2*(1+DCF!$B$19)^3/(1+0.075)^5)+(DCF!$B$17*(1+DCF!$B$18)^2*(1+DCF!$B$19)^3*(1+DCF!$B$20)/(1+0.075)^6)+(DCF!$B$17*(1+DCF!$B$18)^2*(1+DCF!$B$19)^3*(1+DCF!$B$20)^2/(1+0.075)^7)+(DCF!$B$17*(1+DCF!$B$18)^2*(1+DCF!$B$19)^3*(1+DCF!$B$20)^3/(1+0.075)^8)+(DCF!$B$17*(1+DCF!$B$18)^2*(1+DCF!$B$19)^3*(1+DCF!$B$20)^4/(1+0.075)^9)+(DCF!$B$17*(1+DCF!$B$18)^2*(1+DCF!$B$19)^3*(1+DCF!$B$20)^5/(1+0.075)^10)+((DCF!$B$17*(1+DCF!$B$18)^2*(1+DCF!$B$19)^3*(1+DCF!$B$20)^5*(1+0.03)/(0.075-0.03))/(1+0.075)^10)-DCF!$B$43)*1000/'Executive Summary'!$B$20</f>
        <v>513.57369381839</v>
      </c>
      <c r="F7" s="31" t="n">
        <f aca="false">((DCF!$B$17*(1+DCF!$B$18)/(1+0.075)^1)+(DCF!$B$17*(1+DCF!$B$18)^2/(1+0.075)^2)+(DCF!$B$17*(1+DCF!$B$18)^2*(1+DCF!$B$19)/(1+0.075)^3)+(DCF!$B$17*(1+DCF!$B$18)^2*(1+DCF!$B$19)^2/(1+0.075)^4)+(DCF!$B$17*(1+DCF!$B$18)^2*(1+DCF!$B$19)^3/(1+0.075)^5)+(DCF!$B$17*(1+DCF!$B$18)^2*(1+DCF!$B$19)^3*(1+DCF!$B$20)/(1+0.075)^6)+(DCF!$B$17*(1+DCF!$B$18)^2*(1+DCF!$B$19)^3*(1+DCF!$B$20)^2/(1+0.075)^7)+(DCF!$B$17*(1+DCF!$B$18)^2*(1+DCF!$B$19)^3*(1+DCF!$B$20)^3/(1+0.075)^8)+(DCF!$B$17*(1+DCF!$B$18)^2*(1+DCF!$B$19)^3*(1+DCF!$B$20)^4/(1+0.075)^9)+(DCF!$B$17*(1+DCF!$B$18)^2*(1+DCF!$B$19)^3*(1+DCF!$B$20)^5/(1+0.075)^10)+((DCF!$B$17*(1+DCF!$B$18)^2*(1+DCF!$B$19)^3*(1+DCF!$B$20)^5*(1+0.035)/(0.075-0.035))/(1+0.075)^10)-DCF!$B$43)*1000/'Executive Summary'!$B$20</f>
        <v>558.66800661712</v>
      </c>
      <c r="G7" s="31" t="n">
        <f aca="false">((DCF!$B$17*(1+DCF!$B$18)/(1+0.075)^1)+(DCF!$B$17*(1+DCF!$B$18)^2/(1+0.075)^2)+(DCF!$B$17*(1+DCF!$B$18)^2*(1+DCF!$B$19)/(1+0.075)^3)+(DCF!$B$17*(1+DCF!$B$18)^2*(1+DCF!$B$19)^2/(1+0.075)^4)+(DCF!$B$17*(1+DCF!$B$18)^2*(1+DCF!$B$19)^3/(1+0.075)^5)+(DCF!$B$17*(1+DCF!$B$18)^2*(1+DCF!$B$19)^3*(1+DCF!$B$20)/(1+0.075)^6)+(DCF!$B$17*(1+DCF!$B$18)^2*(1+DCF!$B$19)^3*(1+DCF!$B$20)^2/(1+0.075)^7)+(DCF!$B$17*(1+DCF!$B$18)^2*(1+DCF!$B$19)^3*(1+DCF!$B$20)^3/(1+0.075)^8)+(DCF!$B$17*(1+DCF!$B$18)^2*(1+DCF!$B$19)^3*(1+DCF!$B$20)^4/(1+0.075)^9)+(DCF!$B$17*(1+DCF!$B$18)^2*(1+DCF!$B$19)^3*(1+DCF!$B$20)^5/(1+0.075)^10)+((DCF!$B$17*(1+DCF!$B$18)^2*(1+DCF!$B$19)^3*(1+DCF!$B$20)^5*(1+0.04)/(0.075-0.04))/(1+0.075)^10)-DCF!$B$43)*1000/'Executive Summary'!$B$20</f>
        <v>616.646408786916</v>
      </c>
    </row>
    <row r="8" customFormat="false" ht="15" hidden="false" customHeight="false" outlineLevel="0" collapsed="false">
      <c r="B8" s="27" t="n">
        <v>0.08</v>
      </c>
      <c r="C8" s="31" t="n">
        <f aca="false">((DCF!$B$17*(1+DCF!$B$18)/(1+0.08)^1)+(DCF!$B$17*(1+DCF!$B$18)^2/(1+0.08)^2)+(DCF!$B$17*(1+DCF!$B$18)^2*(1+DCF!$B$19)/(1+0.08)^3)+(DCF!$B$17*(1+DCF!$B$18)^2*(1+DCF!$B$19)^2/(1+0.08)^4)+(DCF!$B$17*(1+DCF!$B$18)^2*(1+DCF!$B$19)^3/(1+0.08)^5)+(DCF!$B$17*(1+DCF!$B$18)^2*(1+DCF!$B$19)^3*(1+DCF!$B$20)/(1+0.08)^6)+(DCF!$B$17*(1+DCF!$B$18)^2*(1+DCF!$B$19)^3*(1+DCF!$B$20)^2/(1+0.08)^7)+(DCF!$B$17*(1+DCF!$B$18)^2*(1+DCF!$B$19)^3*(1+DCF!$B$20)^3/(1+0.08)^8)+(DCF!$B$17*(1+DCF!$B$18)^2*(1+DCF!$B$19)^3*(1+DCF!$B$20)^4/(1+0.08)^9)+(DCF!$B$17*(1+DCF!$B$18)^2*(1+DCF!$B$19)^3*(1+DCF!$B$20)^5/(1+0.08)^10)+((DCF!$B$17*(1+DCF!$B$18)^2*(1+DCF!$B$19)^3*(1+DCF!$B$20)^5*(1+0.02)/(0.08-0.02))/(1+0.08)^10)-DCF!$B$43)*1000/'Executive Summary'!$B$20</f>
        <v>409.07362560578</v>
      </c>
      <c r="D8" s="32" t="n">
        <f aca="false">((DCF!$B$17*(1+DCF!$B$18)/(1+0.08)^1)+(DCF!$B$17*(1+DCF!$B$18)^2/(1+0.08)^2)+(DCF!$B$17*(1+DCF!$B$18)^2*(1+DCF!$B$19)/(1+0.08)^3)+(DCF!$B$17*(1+DCF!$B$18)^2*(1+DCF!$B$19)^2/(1+0.08)^4)+(DCF!$B$17*(1+DCF!$B$18)^2*(1+DCF!$B$19)^3/(1+0.08)^5)+(DCF!$B$17*(1+DCF!$B$18)^2*(1+DCF!$B$19)^3*(1+DCF!$B$20)/(1+0.08)^6)+(DCF!$B$17*(1+DCF!$B$18)^2*(1+DCF!$B$19)^3*(1+DCF!$B$20)^2/(1+0.08)^7)+(DCF!$B$17*(1+DCF!$B$18)^2*(1+DCF!$B$19)^3*(1+DCF!$B$20)^3/(1+0.08)^8)+(DCF!$B$17*(1+DCF!$B$18)^2*(1+DCF!$B$19)^3*(1+DCF!$B$20)^4/(1+0.08)^9)+(DCF!$B$17*(1+DCF!$B$18)^2*(1+DCF!$B$19)^3*(1+DCF!$B$20)^5/(1+0.08)^10)+((DCF!$B$17*(1+DCF!$B$18)^2*(1+DCF!$B$19)^3*(1+DCF!$B$20)^5*(1+0.025)/(0.08-0.025))/(1+0.08)^10)-DCF!$B$43)*1000/'Executive Summary'!$B$20</f>
        <v>432.664428234623</v>
      </c>
      <c r="E8" s="31" t="n">
        <f aca="false">((DCF!$B$17*(1+DCF!$B$18)/(1+0.08)^1)+(DCF!$B$17*(1+DCF!$B$18)^2/(1+0.08)^2)+(DCF!$B$17*(1+DCF!$B$18)^2*(1+DCF!$B$19)/(1+0.08)^3)+(DCF!$B$17*(1+DCF!$B$18)^2*(1+DCF!$B$19)^2/(1+0.08)^4)+(DCF!$B$17*(1+DCF!$B$18)^2*(1+DCF!$B$19)^3/(1+0.08)^5)+(DCF!$B$17*(1+DCF!$B$18)^2*(1+DCF!$B$19)^3*(1+DCF!$B$20)/(1+0.08)^6)+(DCF!$B$17*(1+DCF!$B$18)^2*(1+DCF!$B$19)^3*(1+DCF!$B$20)^2/(1+0.08)^7)+(DCF!$B$17*(1+DCF!$B$18)^2*(1+DCF!$B$19)^3*(1+DCF!$B$20)^3/(1+0.08)^8)+(DCF!$B$17*(1+DCF!$B$18)^2*(1+DCF!$B$19)^3*(1+DCF!$B$20)^4/(1+0.08)^9)+(DCF!$B$17*(1+DCF!$B$18)^2*(1+DCF!$B$19)^3*(1+DCF!$B$20)^5/(1+0.08)^10)+((DCF!$B$17*(1+DCF!$B$18)^2*(1+DCF!$B$19)^3*(1+DCF!$B$20)^5*(1+0.03)/(0.08-0.03))/(1+0.08)^10)-DCF!$B$43)*1000/'Executive Summary'!$B$20</f>
        <v>460.973391389236</v>
      </c>
      <c r="F8" s="31" t="n">
        <f aca="false">((DCF!$B$17*(1+DCF!$B$18)/(1+0.08)^1)+(DCF!$B$17*(1+DCF!$B$18)^2/(1+0.08)^2)+(DCF!$B$17*(1+DCF!$B$18)^2*(1+DCF!$B$19)/(1+0.08)^3)+(DCF!$B$17*(1+DCF!$B$18)^2*(1+DCF!$B$19)^2/(1+0.08)^4)+(DCF!$B$17*(1+DCF!$B$18)^2*(1+DCF!$B$19)^3/(1+0.08)^5)+(DCF!$B$17*(1+DCF!$B$18)^2*(1+DCF!$B$19)^3*(1+DCF!$B$20)/(1+0.08)^6)+(DCF!$B$17*(1+DCF!$B$18)^2*(1+DCF!$B$19)^3*(1+DCF!$B$20)^2/(1+0.08)^7)+(DCF!$B$17*(1+DCF!$B$18)^2*(1+DCF!$B$19)^3*(1+DCF!$B$20)^3/(1+0.08)^8)+(DCF!$B$17*(1+DCF!$B$18)^2*(1+DCF!$B$19)^3*(1+DCF!$B$20)^4/(1+0.08)^9)+(DCF!$B$17*(1+DCF!$B$18)^2*(1+DCF!$B$19)^3*(1+DCF!$B$20)^5/(1+0.08)^10)+((DCF!$B$17*(1+DCF!$B$18)^2*(1+DCF!$B$19)^3*(1+DCF!$B$20)^5*(1+0.035)/(0.08-0.035))/(1+0.08)^10)-DCF!$B$43)*1000/'Executive Summary'!$B$20</f>
        <v>495.573235244874</v>
      </c>
      <c r="G8" s="31" t="n">
        <f aca="false">((DCF!$B$17*(1+DCF!$B$18)/(1+0.08)^1)+(DCF!$B$17*(1+DCF!$B$18)^2/(1+0.08)^2)+(DCF!$B$17*(1+DCF!$B$18)^2*(1+DCF!$B$19)/(1+0.08)^3)+(DCF!$B$17*(1+DCF!$B$18)^2*(1+DCF!$B$19)^2/(1+0.08)^4)+(DCF!$B$17*(1+DCF!$B$18)^2*(1+DCF!$B$19)^3/(1+0.08)^5)+(DCF!$B$17*(1+DCF!$B$18)^2*(1+DCF!$B$19)^3*(1+DCF!$B$20)/(1+0.08)^6)+(DCF!$B$17*(1+DCF!$B$18)^2*(1+DCF!$B$19)^3*(1+DCF!$B$20)^2/(1+0.08)^7)+(DCF!$B$17*(1+DCF!$B$18)^2*(1+DCF!$B$19)^3*(1+DCF!$B$20)^3/(1+0.08)^8)+(DCF!$B$17*(1+DCF!$B$18)^2*(1+DCF!$B$19)^3*(1+DCF!$B$20)^4/(1+0.08)^9)+(DCF!$B$17*(1+DCF!$B$18)^2*(1+DCF!$B$19)^3*(1+DCF!$B$20)^5/(1+0.08)^10)+((DCF!$B$17*(1+DCF!$B$18)^2*(1+DCF!$B$19)^3*(1+DCF!$B$20)^5*(1+0.04)/(0.08-0.04))/(1+0.08)^10)-DCF!$B$43)*1000/'Executive Summary'!$B$20</f>
        <v>538.823040064421</v>
      </c>
    </row>
    <row r="9" customFormat="false" ht="15" hidden="false" customHeight="false" outlineLevel="0" collapsed="false">
      <c r="B9" s="27" t="n">
        <v>0.085</v>
      </c>
      <c r="C9" s="31" t="n">
        <f aca="false">((DCF!$B$17*(1+DCF!$B$18)/(1+0.085)^1)+(DCF!$B$17*(1+DCF!$B$18)^2/(1+0.085)^2)+(DCF!$B$17*(1+DCF!$B$18)^2*(1+DCF!$B$19)/(1+0.085)^3)+(DCF!$B$17*(1+DCF!$B$18)^2*(1+DCF!$B$19)^2/(1+0.085)^4)+(DCF!$B$17*(1+DCF!$B$18)^2*(1+DCF!$B$19)^3/(1+0.085)^5)+(DCF!$B$17*(1+DCF!$B$18)^2*(1+DCF!$B$19)^3*(1+DCF!$B$20)/(1+0.085)^6)+(DCF!$B$17*(1+DCF!$B$18)^2*(1+DCF!$B$19)^3*(1+DCF!$B$20)^2/(1+0.085)^7)+(DCF!$B$17*(1+DCF!$B$18)^2*(1+DCF!$B$19)^3*(1+DCF!$B$20)^3/(1+0.085)^8)+(DCF!$B$17*(1+DCF!$B$18)^2*(1+DCF!$B$19)^3*(1+DCF!$B$20)^4/(1+0.085)^9)+(DCF!$B$17*(1+DCF!$B$18)^2*(1+DCF!$B$19)^3*(1+DCF!$B$20)^5/(1+0.085)^10)+((DCF!$B$17*(1+DCF!$B$18)^2*(1+DCF!$B$19)^3*(1+DCF!$B$20)^5*(1+0.02)/(0.085-0.02))/(1+0.085)^10)-DCF!$B$43)*1000/'Executive Summary'!$B$20</f>
        <v>376.221697030772</v>
      </c>
      <c r="D9" s="31" t="n">
        <f aca="false">((DCF!$B$17*(1+DCF!$B$18)/(1+0.085)^1)+(DCF!$B$17*(1+DCF!$B$18)^2/(1+0.085)^2)+(DCF!$B$17*(1+DCF!$B$18)^2*(1+DCF!$B$19)/(1+0.085)^3)+(DCF!$B$17*(1+DCF!$B$18)^2*(1+DCF!$B$19)^2/(1+0.085)^4)+(DCF!$B$17*(1+DCF!$B$18)^2*(1+DCF!$B$19)^3/(1+0.085)^5)+(DCF!$B$17*(1+DCF!$B$18)^2*(1+DCF!$B$19)^3*(1+DCF!$B$20)/(1+0.085)^6)+(DCF!$B$17*(1+DCF!$B$18)^2*(1+DCF!$B$19)^3*(1+DCF!$B$20)^2/(1+0.085)^7)+(DCF!$B$17*(1+DCF!$B$18)^2*(1+DCF!$B$19)^3*(1+DCF!$B$20)^3/(1+0.085)^8)+(DCF!$B$17*(1+DCF!$B$18)^2*(1+DCF!$B$19)^3*(1+DCF!$B$20)^4/(1+0.085)^9)+(DCF!$B$17*(1+DCF!$B$18)^2*(1+DCF!$B$19)^3*(1+DCF!$B$20)^5/(1+0.085)^10)+((DCF!$B$17*(1+DCF!$B$18)^2*(1+DCF!$B$19)^3*(1+DCF!$B$20)^5*(1+0.025)/(0.085-0.025))/(1+0.085)^10)-DCF!$B$43)*1000/'Executive Summary'!$B$20</f>
        <v>395.370348994018</v>
      </c>
      <c r="E9" s="31" t="n">
        <f aca="false">((DCF!$B$17*(1+DCF!$B$18)/(1+0.085)^1)+(DCF!$B$17*(1+DCF!$B$18)^2/(1+0.085)^2)+(DCF!$B$17*(1+DCF!$B$18)^2*(1+DCF!$B$19)/(1+0.085)^3)+(DCF!$B$17*(1+DCF!$B$18)^2*(1+DCF!$B$19)^2/(1+0.085)^4)+(DCF!$B$17*(1+DCF!$B$18)^2*(1+DCF!$B$19)^3/(1+0.085)^5)+(DCF!$B$17*(1+DCF!$B$18)^2*(1+DCF!$B$19)^3*(1+DCF!$B$20)/(1+0.085)^6)+(DCF!$B$17*(1+DCF!$B$18)^2*(1+DCF!$B$19)^3*(1+DCF!$B$20)^2/(1+0.085)^7)+(DCF!$B$17*(1+DCF!$B$18)^2*(1+DCF!$B$19)^3*(1+DCF!$B$20)^3/(1+0.085)^8)+(DCF!$B$17*(1+DCF!$B$18)^2*(1+DCF!$B$19)^3*(1+DCF!$B$20)^4/(1+0.085)^9)+(DCF!$B$17*(1+DCF!$B$18)^2*(1+DCF!$B$19)^3*(1+DCF!$B$20)^5/(1+0.085)^10)+((DCF!$B$17*(1+DCF!$B$18)^2*(1+DCF!$B$19)^3*(1+DCF!$B$20)^5*(1+0.03)/(0.085-0.03))/(1+0.085)^10)-DCF!$B$43)*1000/'Executive Summary'!$B$20</f>
        <v>418.00057404149</v>
      </c>
      <c r="F9" s="31" t="n">
        <f aca="false">((DCF!$B$17*(1+DCF!$B$18)/(1+0.085)^1)+(DCF!$B$17*(1+DCF!$B$18)^2/(1+0.085)^2)+(DCF!$B$17*(1+DCF!$B$18)^2*(1+DCF!$B$19)/(1+0.085)^3)+(DCF!$B$17*(1+DCF!$B$18)^2*(1+DCF!$B$19)^2/(1+0.085)^4)+(DCF!$B$17*(1+DCF!$B$18)^2*(1+DCF!$B$19)^3/(1+0.085)^5)+(DCF!$B$17*(1+DCF!$B$18)^2*(1+DCF!$B$19)^3*(1+DCF!$B$20)/(1+0.085)^6)+(DCF!$B$17*(1+DCF!$B$18)^2*(1+DCF!$B$19)^3*(1+DCF!$B$20)^2/(1+0.085)^7)+(DCF!$B$17*(1+DCF!$B$18)^2*(1+DCF!$B$19)^3*(1+DCF!$B$20)^3/(1+0.085)^8)+(DCF!$B$17*(1+DCF!$B$18)^2*(1+DCF!$B$19)^3*(1+DCF!$B$20)^4/(1+0.085)^9)+(DCF!$B$17*(1+DCF!$B$18)^2*(1+DCF!$B$19)^3*(1+DCF!$B$20)^5/(1+0.085)^10)+((DCF!$B$17*(1+DCF!$B$18)^2*(1+DCF!$B$19)^3*(1+DCF!$B$20)^5*(1+0.035)/(0.085-0.035))/(1+0.085)^10)-DCF!$B$43)*1000/'Executive Summary'!$B$20</f>
        <v>445.156844098457</v>
      </c>
      <c r="G9" s="31" t="n">
        <f aca="false">((DCF!$B$17*(1+DCF!$B$18)/(1+0.085)^1)+(DCF!$B$17*(1+DCF!$B$18)^2/(1+0.085)^2)+(DCF!$B$17*(1+DCF!$B$18)^2*(1+DCF!$B$19)/(1+0.085)^3)+(DCF!$B$17*(1+DCF!$B$18)^2*(1+DCF!$B$19)^2/(1+0.085)^4)+(DCF!$B$17*(1+DCF!$B$18)^2*(1+DCF!$B$19)^3/(1+0.085)^5)+(DCF!$B$17*(1+DCF!$B$18)^2*(1+DCF!$B$19)^3*(1+DCF!$B$20)/(1+0.085)^6)+(DCF!$B$17*(1+DCF!$B$18)^2*(1+DCF!$B$19)^3*(1+DCF!$B$20)^2/(1+0.085)^7)+(DCF!$B$17*(1+DCF!$B$18)^2*(1+DCF!$B$19)^3*(1+DCF!$B$20)^3/(1+0.085)^8)+(DCF!$B$17*(1+DCF!$B$18)^2*(1+DCF!$B$19)^3*(1+DCF!$B$20)^4/(1+0.085)^9)+(DCF!$B$17*(1+DCF!$B$18)^2*(1+DCF!$B$19)^3*(1+DCF!$B$20)^5/(1+0.085)^10)+((DCF!$B$17*(1+DCF!$B$18)^2*(1+DCF!$B$19)^3*(1+DCF!$B$20)^5*(1+0.04)/(0.085-0.04))/(1+0.085)^10)-DCF!$B$43)*1000/'Executive Summary'!$B$20</f>
        <v>478.34784083475</v>
      </c>
    </row>
    <row r="10" customFormat="false" ht="15" hidden="false" customHeight="false" outlineLevel="0" collapsed="false">
      <c r="B10" s="27" t="n">
        <v>0.09</v>
      </c>
      <c r="C10" s="31" t="n">
        <f aca="false">((DCF!$B$17*(1+DCF!$B$18)/(1+0.09)^1)+(DCF!$B$17*(1+DCF!$B$18)^2/(1+0.09)^2)+(DCF!$B$17*(1+DCF!$B$18)^2*(1+DCF!$B$19)/(1+0.09)^3)+(DCF!$B$17*(1+DCF!$B$18)^2*(1+DCF!$B$19)^2/(1+0.09)^4)+(DCF!$B$17*(1+DCF!$B$18)^2*(1+DCF!$B$19)^3/(1+0.09)^5)+(DCF!$B$17*(1+DCF!$B$18)^2*(1+DCF!$B$19)^3*(1+DCF!$B$20)/(1+0.09)^6)+(DCF!$B$17*(1+DCF!$B$18)^2*(1+DCF!$B$19)^3*(1+DCF!$B$20)^2/(1+0.09)^7)+(DCF!$B$17*(1+DCF!$B$18)^2*(1+DCF!$B$19)^3*(1+DCF!$B$20)^3/(1+0.09)^8)+(DCF!$B$17*(1+DCF!$B$18)^2*(1+DCF!$B$19)^3*(1+DCF!$B$20)^4/(1+0.09)^9)+(DCF!$B$17*(1+DCF!$B$18)^2*(1+DCF!$B$19)^3*(1+DCF!$B$20)^5/(1+0.09)^10)+((DCF!$B$17*(1+DCF!$B$18)^2*(1+DCF!$B$19)^3*(1+DCF!$B$20)^5*(1+0.02)/(0.09-0.02))/(1+0.09)^10)-DCF!$B$43)*1000/'Executive Summary'!$B$20</f>
        <v>348.125797622958</v>
      </c>
      <c r="D10" s="31" t="n">
        <f aca="false">((DCF!$B$17*(1+DCF!$B$18)/(1+0.09)^1)+(DCF!$B$17*(1+DCF!$B$18)^2/(1+0.09)^2)+(DCF!$B$17*(1+DCF!$B$18)^2*(1+DCF!$B$19)/(1+0.09)^3)+(DCF!$B$17*(1+DCF!$B$18)^2*(1+DCF!$B$19)^2/(1+0.09)^4)+(DCF!$B$17*(1+DCF!$B$18)^2*(1+DCF!$B$19)^3/(1+0.09)^5)+(DCF!$B$17*(1+DCF!$B$18)^2*(1+DCF!$B$19)^3*(1+DCF!$B$20)/(1+0.09)^6)+(DCF!$B$17*(1+DCF!$B$18)^2*(1+DCF!$B$19)^3*(1+DCF!$B$20)^2/(1+0.09)^7)+(DCF!$B$17*(1+DCF!$B$18)^2*(1+DCF!$B$19)^3*(1+DCF!$B$20)^3/(1+0.09)^8)+(DCF!$B$17*(1+DCF!$B$18)^2*(1+DCF!$B$19)^3*(1+DCF!$B$20)^4/(1+0.09)^9)+(DCF!$B$17*(1+DCF!$B$18)^2*(1+DCF!$B$19)^3*(1+DCF!$B$20)^5/(1+0.09)^10)+((DCF!$B$17*(1+DCF!$B$18)^2*(1+DCF!$B$19)^3*(1+DCF!$B$20)^5*(1+0.025)/(0.09-0.025))/(1+0.09)^10)-DCF!$B$43)*1000/'Executive Summary'!$B$20</f>
        <v>363.873622560318</v>
      </c>
      <c r="E10" s="31" t="n">
        <f aca="false">((DCF!$B$17*(1+DCF!$B$18)/(1+0.09)^1)+(DCF!$B$17*(1+DCF!$B$18)^2/(1+0.09)^2)+(DCF!$B$17*(1+DCF!$B$18)^2*(1+DCF!$B$19)/(1+0.09)^3)+(DCF!$B$17*(1+DCF!$B$18)^2*(1+DCF!$B$19)^2/(1+0.09)^4)+(DCF!$B$17*(1+DCF!$B$18)^2*(1+DCF!$B$19)^3/(1+0.09)^5)+(DCF!$B$17*(1+DCF!$B$18)^2*(1+DCF!$B$19)^3*(1+DCF!$B$20)/(1+0.09)^6)+(DCF!$B$17*(1+DCF!$B$18)^2*(1+DCF!$B$19)^3*(1+DCF!$B$20)^2/(1+0.09)^7)+(DCF!$B$17*(1+DCF!$B$18)^2*(1+DCF!$B$19)^3*(1+DCF!$B$20)^3/(1+0.09)^8)+(DCF!$B$17*(1+DCF!$B$18)^2*(1+DCF!$B$19)^3*(1+DCF!$B$20)^4/(1+0.09)^9)+(DCF!$B$17*(1+DCF!$B$18)^2*(1+DCF!$B$19)^3*(1+DCF!$B$20)^5/(1+0.09)^10)+((DCF!$B$17*(1+DCF!$B$18)^2*(1+DCF!$B$19)^3*(1+DCF!$B$20)^5*(1+0.03)/(0.09-0.03))/(1+0.09)^10)-DCF!$B$43)*1000/'Executive Summary'!$B$20</f>
        <v>382.246084987237</v>
      </c>
      <c r="F10" s="31" t="n">
        <f aca="false">((DCF!$B$17*(1+DCF!$B$18)/(1+0.09)^1)+(DCF!$B$17*(1+DCF!$B$18)^2/(1+0.09)^2)+(DCF!$B$17*(1+DCF!$B$18)^2*(1+DCF!$B$19)/(1+0.09)^3)+(DCF!$B$17*(1+DCF!$B$18)^2*(1+DCF!$B$19)^2/(1+0.09)^4)+(DCF!$B$17*(1+DCF!$B$18)^2*(1+DCF!$B$19)^3/(1+0.09)^5)+(DCF!$B$17*(1+DCF!$B$18)^2*(1+DCF!$B$19)^3*(1+DCF!$B$20)/(1+0.09)^6)+(DCF!$B$17*(1+DCF!$B$18)^2*(1+DCF!$B$19)^3*(1+DCF!$B$20)^2/(1+0.09)^7)+(DCF!$B$17*(1+DCF!$B$18)^2*(1+DCF!$B$19)^3*(1+DCF!$B$20)^3/(1+0.09)^8)+(DCF!$B$17*(1+DCF!$B$18)^2*(1+DCF!$B$19)^3*(1+DCF!$B$20)^4/(1+0.09)^9)+(DCF!$B$17*(1+DCF!$B$18)^2*(1+DCF!$B$19)^3*(1+DCF!$B$20)^5/(1+0.09)^10)+((DCF!$B$17*(1+DCF!$B$18)^2*(1+DCF!$B$19)^3*(1+DCF!$B$20)^5*(1+0.035)/(0.09-0.035))/(1+0.09)^10)-DCF!$B$43)*1000/'Executive Summary'!$B$20</f>
        <v>403.958995128142</v>
      </c>
      <c r="G10" s="31" t="n">
        <f aca="false">((DCF!$B$17*(1+DCF!$B$18)/(1+0.09)^1)+(DCF!$B$17*(1+DCF!$B$18)^2/(1+0.09)^2)+(DCF!$B$17*(1+DCF!$B$18)^2*(1+DCF!$B$19)/(1+0.09)^3)+(DCF!$B$17*(1+DCF!$B$18)^2*(1+DCF!$B$19)^2/(1+0.09)^4)+(DCF!$B$17*(1+DCF!$B$18)^2*(1+DCF!$B$19)^3/(1+0.09)^5)+(DCF!$B$17*(1+DCF!$B$18)^2*(1+DCF!$B$19)^3*(1+DCF!$B$20)/(1+0.09)^6)+(DCF!$B$17*(1+DCF!$B$18)^2*(1+DCF!$B$19)^3*(1+DCF!$B$20)^2/(1+0.09)^7)+(DCF!$B$17*(1+DCF!$B$18)^2*(1+DCF!$B$19)^3*(1+DCF!$B$20)^3/(1+0.09)^8)+(DCF!$B$17*(1+DCF!$B$18)^2*(1+DCF!$B$19)^3*(1+DCF!$B$20)^4/(1+0.09)^9)+(DCF!$B$17*(1+DCF!$B$18)^2*(1+DCF!$B$19)^3*(1+DCF!$B$20)^5/(1+0.09)^10)+((DCF!$B$17*(1+DCF!$B$18)^2*(1+DCF!$B$19)^3*(1+DCF!$B$20)^5*(1+0.04)/(0.09-0.04))/(1+0.09)^10)-DCF!$B$43)*1000/'Executive Summary'!$B$20</f>
        <v>430.014487297228</v>
      </c>
    </row>
    <row r="11" customFormat="false" ht="15" hidden="false" customHeight="false" outlineLevel="0" collapsed="false">
      <c r="B11" s="27" t="n">
        <v>0.095</v>
      </c>
      <c r="C11" s="31" t="n">
        <f aca="false">((DCF!$B$17*(1+DCF!$B$18)/(1+0.095)^1)+(DCF!$B$17*(1+DCF!$B$18)^2/(1+0.095)^2)+(DCF!$B$17*(1+DCF!$B$18)^2*(1+DCF!$B$19)/(1+0.095)^3)+(DCF!$B$17*(1+DCF!$B$18)^2*(1+DCF!$B$19)^2/(1+0.095)^4)+(DCF!$B$17*(1+DCF!$B$18)^2*(1+DCF!$B$19)^3/(1+0.095)^5)+(DCF!$B$17*(1+DCF!$B$18)^2*(1+DCF!$B$19)^3*(1+DCF!$B$20)/(1+0.095)^6)+(DCF!$B$17*(1+DCF!$B$18)^2*(1+DCF!$B$19)^3*(1+DCF!$B$20)^2/(1+0.095)^7)+(DCF!$B$17*(1+DCF!$B$18)^2*(1+DCF!$B$19)^3*(1+DCF!$B$20)^3/(1+0.095)^8)+(DCF!$B$17*(1+DCF!$B$18)^2*(1+DCF!$B$19)^3*(1+DCF!$B$20)^4/(1+0.095)^9)+(DCF!$B$17*(1+DCF!$B$18)^2*(1+DCF!$B$19)^3*(1+DCF!$B$20)^5/(1+0.095)^10)+((DCF!$B$17*(1+DCF!$B$18)^2*(1+DCF!$B$19)^3*(1+DCF!$B$20)^5*(1+0.02)/(0.095-0.02))/(1+0.095)^10)-DCF!$B$43)*1000/'Executive Summary'!$B$20</f>
        <v>323.832423883272</v>
      </c>
      <c r="D11" s="31" t="n">
        <f aca="false">((DCF!$B$17*(1+DCF!$B$18)/(1+0.095)^1)+(DCF!$B$17*(1+DCF!$B$18)^2/(1+0.095)^2)+(DCF!$B$17*(1+DCF!$B$18)^2*(1+DCF!$B$19)/(1+0.095)^3)+(DCF!$B$17*(1+DCF!$B$18)^2*(1+DCF!$B$19)^2/(1+0.095)^4)+(DCF!$B$17*(1+DCF!$B$18)^2*(1+DCF!$B$19)^3/(1+0.095)^5)+(DCF!$B$17*(1+DCF!$B$18)^2*(1+DCF!$B$19)^3*(1+DCF!$B$20)/(1+0.095)^6)+(DCF!$B$17*(1+DCF!$B$18)^2*(1+DCF!$B$19)^3*(1+DCF!$B$20)^2/(1+0.095)^7)+(DCF!$B$17*(1+DCF!$B$18)^2*(1+DCF!$B$19)^3*(1+DCF!$B$20)^3/(1+0.095)^8)+(DCF!$B$17*(1+DCF!$B$18)^2*(1+DCF!$B$19)^3*(1+DCF!$B$20)^4/(1+0.095)^9)+(DCF!$B$17*(1+DCF!$B$18)^2*(1+DCF!$B$19)^3*(1+DCF!$B$20)^5/(1+0.095)^10)+((DCF!$B$17*(1+DCF!$B$18)^2*(1+DCF!$B$19)^3*(1+DCF!$B$20)^5*(1+0.025)/(0.095-0.025))/(1+0.095)^10)-DCF!$B$43)*1000/'Executive Summary'!$B$20</f>
        <v>336.92979339788</v>
      </c>
      <c r="E11" s="31" t="n">
        <f aca="false">((DCF!$B$17*(1+DCF!$B$18)/(1+0.095)^1)+(DCF!$B$17*(1+DCF!$B$18)^2/(1+0.095)^2)+(DCF!$B$17*(1+DCF!$B$18)^2*(1+DCF!$B$19)/(1+0.095)^3)+(DCF!$B$17*(1+DCF!$B$18)^2*(1+DCF!$B$19)^2/(1+0.095)^4)+(DCF!$B$17*(1+DCF!$B$18)^2*(1+DCF!$B$19)^3/(1+0.095)^5)+(DCF!$B$17*(1+DCF!$B$18)^2*(1+DCF!$B$19)^3*(1+DCF!$B$20)/(1+0.095)^6)+(DCF!$B$17*(1+DCF!$B$18)^2*(1+DCF!$B$19)^3*(1+DCF!$B$20)^2/(1+0.095)^7)+(DCF!$B$17*(1+DCF!$B$18)^2*(1+DCF!$B$19)^3*(1+DCF!$B$20)^3/(1+0.095)^8)+(DCF!$B$17*(1+DCF!$B$18)^2*(1+DCF!$B$19)^3*(1+DCF!$B$20)^4/(1+0.095)^9)+(DCF!$B$17*(1+DCF!$B$18)^2*(1+DCF!$B$19)^3*(1+DCF!$B$20)^5/(1+0.095)^10)+((DCF!$B$17*(1+DCF!$B$18)^2*(1+DCF!$B$19)^3*(1+DCF!$B$20)^5*(1+0.03)/(0.095-0.03))/(1+0.095)^10)-DCF!$B$43)*1000/'Executive Summary'!$B$20</f>
        <v>352.042142837813</v>
      </c>
      <c r="F11" s="31" t="n">
        <f aca="false">((DCF!$B$17*(1+DCF!$B$18)/(1+0.095)^1)+(DCF!$B$17*(1+DCF!$B$18)^2/(1+0.095)^2)+(DCF!$B$17*(1+DCF!$B$18)^2*(1+DCF!$B$19)/(1+0.095)^3)+(DCF!$B$17*(1+DCF!$B$18)^2*(1+DCF!$B$19)^2/(1+0.095)^4)+(DCF!$B$17*(1+DCF!$B$18)^2*(1+DCF!$B$19)^3/(1+0.095)^5)+(DCF!$B$17*(1+DCF!$B$18)^2*(1+DCF!$B$19)^3*(1+DCF!$B$20)/(1+0.095)^6)+(DCF!$B$17*(1+DCF!$B$18)^2*(1+DCF!$B$19)^3*(1+DCF!$B$20)^2/(1+0.095)^7)+(DCF!$B$17*(1+DCF!$B$18)^2*(1+DCF!$B$19)^3*(1+DCF!$B$20)^3/(1+0.095)^8)+(DCF!$B$17*(1+DCF!$B$18)^2*(1+DCF!$B$19)^3*(1+DCF!$B$20)^4/(1+0.095)^9)+(DCF!$B$17*(1+DCF!$B$18)^2*(1+DCF!$B$19)^3*(1+DCF!$B$20)^5/(1+0.095)^10)+((DCF!$B$17*(1+DCF!$B$18)^2*(1+DCF!$B$19)^3*(1+DCF!$B$20)^5*(1+0.035)/(0.095-0.035))/(1+0.095)^10)-DCF!$B$43)*1000/'Executive Summary'!$B$20</f>
        <v>369.673217184401</v>
      </c>
      <c r="G11" s="31" t="n">
        <f aca="false">((DCF!$B$17*(1+DCF!$B$18)/(1+0.095)^1)+(DCF!$B$17*(1+DCF!$B$18)^2/(1+0.095)^2)+(DCF!$B$17*(1+DCF!$B$18)^2*(1+DCF!$B$19)/(1+0.095)^3)+(DCF!$B$17*(1+DCF!$B$18)^2*(1+DCF!$B$19)^2/(1+0.095)^4)+(DCF!$B$17*(1+DCF!$B$18)^2*(1+DCF!$B$19)^3/(1+0.095)^5)+(DCF!$B$17*(1+DCF!$B$18)^2*(1+DCF!$B$19)^3*(1+DCF!$B$20)/(1+0.095)^6)+(DCF!$B$17*(1+DCF!$B$18)^2*(1+DCF!$B$19)^3*(1+DCF!$B$20)^2/(1+0.095)^7)+(DCF!$B$17*(1+DCF!$B$18)^2*(1+DCF!$B$19)^3*(1+DCF!$B$20)^3/(1+0.095)^8)+(DCF!$B$17*(1+DCF!$B$18)^2*(1+DCF!$B$19)^3*(1+DCF!$B$20)^4/(1+0.095)^9)+(DCF!$B$17*(1+DCF!$B$18)^2*(1+DCF!$B$19)^3*(1+DCF!$B$20)^5/(1+0.095)^10)+((DCF!$B$17*(1+DCF!$B$18)^2*(1+DCF!$B$19)^3*(1+DCF!$B$20)^5*(1+0.04)/(0.095-0.04))/(1+0.095)^10)-DCF!$B$43)*1000/'Executive Summary'!$B$20</f>
        <v>390.509941412187</v>
      </c>
    </row>
    <row r="12" customFormat="false" ht="15" hidden="false" customHeight="false" outlineLevel="0" collapsed="false">
      <c r="B12" s="27" t="n">
        <v>0.1</v>
      </c>
      <c r="C12" s="31" t="n">
        <f aca="false">((DCF!$B$17*(1+DCF!$B$18)/(1+0.1)^1)+(DCF!$B$17*(1+DCF!$B$18)^2/(1+0.1)^2)+(DCF!$B$17*(1+DCF!$B$18)^2*(1+DCF!$B$19)/(1+0.1)^3)+(DCF!$B$17*(1+DCF!$B$18)^2*(1+DCF!$B$19)^2/(1+0.1)^4)+(DCF!$B$17*(1+DCF!$B$18)^2*(1+DCF!$B$19)^3/(1+0.1)^5)+(DCF!$B$17*(1+DCF!$B$18)^2*(1+DCF!$B$19)^3*(1+DCF!$B$20)/(1+0.1)^6)+(DCF!$B$17*(1+DCF!$B$18)^2*(1+DCF!$B$19)^3*(1+DCF!$B$20)^2/(1+0.1)^7)+(DCF!$B$17*(1+DCF!$B$18)^2*(1+DCF!$B$19)^3*(1+DCF!$B$20)^3/(1+0.1)^8)+(DCF!$B$17*(1+DCF!$B$18)^2*(1+DCF!$B$19)^3*(1+DCF!$B$20)^4/(1+0.1)^9)+(DCF!$B$17*(1+DCF!$B$18)^2*(1+DCF!$B$19)^3*(1+DCF!$B$20)^5/(1+0.1)^10)+((DCF!$B$17*(1+DCF!$B$18)^2*(1+DCF!$B$19)^3*(1+DCF!$B$20)^5*(1+0.02)/(0.1-0.02))/(1+0.1)^10)-DCF!$B$43)*1000/'Executive Summary'!$B$20</f>
        <v>302.626546461989</v>
      </c>
      <c r="D12" s="31" t="n">
        <f aca="false">((DCF!$B$17*(1+DCF!$B$18)/(1+0.1)^1)+(DCF!$B$17*(1+DCF!$B$18)^2/(1+0.1)^2)+(DCF!$B$17*(1+DCF!$B$18)^2*(1+DCF!$B$19)/(1+0.1)^3)+(DCF!$B$17*(1+DCF!$B$18)^2*(1+DCF!$B$19)^2/(1+0.1)^4)+(DCF!$B$17*(1+DCF!$B$18)^2*(1+DCF!$B$19)^3/(1+0.1)^5)+(DCF!$B$17*(1+DCF!$B$18)^2*(1+DCF!$B$19)^3*(1+DCF!$B$20)/(1+0.1)^6)+(DCF!$B$17*(1+DCF!$B$18)^2*(1+DCF!$B$19)^3*(1+DCF!$B$20)^2/(1+0.1)^7)+(DCF!$B$17*(1+DCF!$B$18)^2*(1+DCF!$B$19)^3*(1+DCF!$B$20)^3/(1+0.1)^8)+(DCF!$B$17*(1+DCF!$B$18)^2*(1+DCF!$B$19)^3*(1+DCF!$B$20)^4/(1+0.1)^9)+(DCF!$B$17*(1+DCF!$B$18)^2*(1+DCF!$B$19)^3*(1+DCF!$B$20)^5/(1+0.1)^10)+((DCF!$B$17*(1+DCF!$B$18)^2*(1+DCF!$B$19)^3*(1+DCF!$B$20)^5*(1+0.025)/(0.1-0.025))/(1+0.1)^10)-DCF!$B$43)*1000/'Executive Summary'!$B$20</f>
        <v>313.626352812949</v>
      </c>
      <c r="E12" s="31" t="n">
        <f aca="false">((DCF!$B$17*(1+DCF!$B$18)/(1+0.1)^1)+(DCF!$B$17*(1+DCF!$B$18)^2/(1+0.1)^2)+(DCF!$B$17*(1+DCF!$B$18)^2*(1+DCF!$B$19)/(1+0.1)^3)+(DCF!$B$17*(1+DCF!$B$18)^2*(1+DCF!$B$19)^2/(1+0.1)^4)+(DCF!$B$17*(1+DCF!$B$18)^2*(1+DCF!$B$19)^3/(1+0.1)^5)+(DCF!$B$17*(1+DCF!$B$18)^2*(1+DCF!$B$19)^3*(1+DCF!$B$20)/(1+0.1)^6)+(DCF!$B$17*(1+DCF!$B$18)^2*(1+DCF!$B$19)^3*(1+DCF!$B$20)^2/(1+0.1)^7)+(DCF!$B$17*(1+DCF!$B$18)^2*(1+DCF!$B$19)^3*(1+DCF!$B$20)^3/(1+0.1)^8)+(DCF!$B$17*(1+DCF!$B$18)^2*(1+DCF!$B$19)^3*(1+DCF!$B$20)^4/(1+0.1)^9)+(DCF!$B$17*(1+DCF!$B$18)^2*(1+DCF!$B$19)^3*(1+DCF!$B$20)^5/(1+0.1)^10)+((DCF!$B$17*(1+DCF!$B$18)^2*(1+DCF!$B$19)^3*(1+DCF!$B$20)^5*(1+0.03)/(0.1-0.03))/(1+0.1)^10)-DCF!$B$43)*1000/'Executive Summary'!$B$20</f>
        <v>326.197560071188</v>
      </c>
      <c r="F12" s="31" t="n">
        <f aca="false">((DCF!$B$17*(1+DCF!$B$18)/(1+0.1)^1)+(DCF!$B$17*(1+DCF!$B$18)^2/(1+0.1)^2)+(DCF!$B$17*(1+DCF!$B$18)^2*(1+DCF!$B$19)/(1+0.1)^3)+(DCF!$B$17*(1+DCF!$B$18)^2*(1+DCF!$B$19)^2/(1+0.1)^4)+(DCF!$B$17*(1+DCF!$B$18)^2*(1+DCF!$B$19)^3/(1+0.1)^5)+(DCF!$B$17*(1+DCF!$B$18)^2*(1+DCF!$B$19)^3*(1+DCF!$B$20)/(1+0.1)^6)+(DCF!$B$17*(1+DCF!$B$18)^2*(1+DCF!$B$19)^3*(1+DCF!$B$20)^2/(1+0.1)^7)+(DCF!$B$17*(1+DCF!$B$18)^2*(1+DCF!$B$19)^3*(1+DCF!$B$20)^3/(1+0.1)^8)+(DCF!$B$17*(1+DCF!$B$18)^2*(1+DCF!$B$19)^3*(1+DCF!$B$20)^4/(1+0.1)^9)+(DCF!$B$17*(1+DCF!$B$18)^2*(1+DCF!$B$19)^3*(1+DCF!$B$20)^5/(1+0.1)^10)+((DCF!$B$17*(1+DCF!$B$18)^2*(1+DCF!$B$19)^3*(1+DCF!$B$20)^5*(1+0.035)/(0.1-0.035))/(1+0.1)^10)-DCF!$B$43)*1000/'Executive Summary'!$B$20</f>
        <v>340.70279921531</v>
      </c>
      <c r="G12" s="31" t="n">
        <f aca="false">((DCF!$B$17*(1+DCF!$B$18)/(1+0.1)^1)+(DCF!$B$17*(1+DCF!$B$18)^2/(1+0.1)^2)+(DCF!$B$17*(1+DCF!$B$18)^2*(1+DCF!$B$19)/(1+0.1)^3)+(DCF!$B$17*(1+DCF!$B$18)^2*(1+DCF!$B$19)^2/(1+0.1)^4)+(DCF!$B$17*(1+DCF!$B$18)^2*(1+DCF!$B$19)^3/(1+0.1)^5)+(DCF!$B$17*(1+DCF!$B$18)^2*(1+DCF!$B$19)^3*(1+DCF!$B$20)/(1+0.1)^6)+(DCF!$B$17*(1+DCF!$B$18)^2*(1+DCF!$B$19)^3*(1+DCF!$B$20)^2/(1+0.1)^7)+(DCF!$B$17*(1+DCF!$B$18)^2*(1+DCF!$B$19)^3*(1+DCF!$B$20)^3/(1+0.1)^8)+(DCF!$B$17*(1+DCF!$B$18)^2*(1+DCF!$B$19)^3*(1+DCF!$B$20)^4/(1+0.1)^9)+(DCF!$B$17*(1+DCF!$B$18)^2*(1+DCF!$B$19)^3*(1+DCF!$B$20)^5/(1+0.1)^10)+((DCF!$B$17*(1+DCF!$B$18)^2*(1+DCF!$B$19)^3*(1+DCF!$B$20)^5*(1+0.04)/(0.1-0.04))/(1+0.1)^10)-DCF!$B$43)*1000/'Executive Summary'!$B$20</f>
        <v>357.625578216786</v>
      </c>
    </row>
    <row r="15" customFormat="false" ht="15" hidden="false" customHeight="false" outlineLevel="0" collapsed="false">
      <c r="A15" s="33" t="s">
        <v>99</v>
      </c>
    </row>
  </sheetData>
  <mergeCells count="1">
    <mergeCell ref="B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3" t="s">
        <v>100</v>
      </c>
    </row>
    <row r="3" customFormat="false" ht="15" hidden="false" customHeight="false" outlineLevel="0" collapsed="false">
      <c r="A3" s="18" t="s">
        <v>101</v>
      </c>
      <c r="B3" s="18" t="s">
        <v>102</v>
      </c>
      <c r="C3" s="18" t="s">
        <v>103</v>
      </c>
      <c r="D3" s="18" t="s">
        <v>104</v>
      </c>
      <c r="E3" s="18" t="s">
        <v>105</v>
      </c>
      <c r="F3" s="18" t="s">
        <v>106</v>
      </c>
      <c r="G3" s="18" t="s">
        <v>66</v>
      </c>
    </row>
    <row r="4" customFormat="false" ht="15" hidden="false" customHeight="false" outlineLevel="0" collapsed="false">
      <c r="A4" s="0" t="s">
        <v>107</v>
      </c>
      <c r="B4" s="6" t="n">
        <v>43.2</v>
      </c>
      <c r="C4" s="6" t="n">
        <v>50.5</v>
      </c>
      <c r="D4" s="6" t="n">
        <v>61.6</v>
      </c>
      <c r="E4" s="6" t="n">
        <v>64.1</v>
      </c>
      <c r="F4" s="6" t="n">
        <v>64.9</v>
      </c>
      <c r="G4" s="6" t="n">
        <v>69.67</v>
      </c>
    </row>
    <row r="5" customFormat="false" ht="15" hidden="false" customHeight="false" outlineLevel="0" collapsed="false">
      <c r="A5" s="0" t="s">
        <v>108</v>
      </c>
      <c r="B5" s="8" t="s">
        <v>80</v>
      </c>
      <c r="C5" s="8" t="n">
        <f aca="false">C4/B4-1</f>
        <v>0.168981481481481</v>
      </c>
      <c r="D5" s="8" t="n">
        <f aca="false">D4/C4-1</f>
        <v>0.21980198019802</v>
      </c>
      <c r="E5" s="8" t="n">
        <f aca="false">E4/D4-1</f>
        <v>0.0405844155844155</v>
      </c>
      <c r="F5" s="8" t="n">
        <f aca="false">F4/E4-1</f>
        <v>0.012480499219969</v>
      </c>
      <c r="G5" s="8" t="n">
        <f aca="false">G4/F4-1</f>
        <v>0.0734976887519261</v>
      </c>
    </row>
    <row r="6" customFormat="false" ht="15" hidden="false" customHeight="false" outlineLevel="0" collapsed="false">
      <c r="A6" s="0" t="s">
        <v>109</v>
      </c>
      <c r="B6" s="6" t="n">
        <v>6.1</v>
      </c>
      <c r="C6" s="6" t="n">
        <v>7.6</v>
      </c>
      <c r="D6" s="6" t="n">
        <v>9.1</v>
      </c>
      <c r="E6" s="6" t="n">
        <v>9.1</v>
      </c>
      <c r="F6" s="6" t="n">
        <v>9.8</v>
      </c>
      <c r="G6" s="6" t="n">
        <v>10.6</v>
      </c>
    </row>
    <row r="7" customFormat="false" ht="15" hidden="false" customHeight="false" outlineLevel="0" collapsed="false">
      <c r="A7" s="0" t="s">
        <v>110</v>
      </c>
      <c r="B7" s="8" t="n">
        <f aca="false">B6/B4</f>
        <v>0.141203703703704</v>
      </c>
      <c r="C7" s="8" t="n">
        <f aca="false">C6/C4</f>
        <v>0.150495049504951</v>
      </c>
      <c r="D7" s="8" t="n">
        <f aca="false">D6/D4</f>
        <v>0.147727272727273</v>
      </c>
      <c r="E7" s="8" t="n">
        <f aca="false">E6/E4</f>
        <v>0.141965678627145</v>
      </c>
      <c r="F7" s="8" t="n">
        <f aca="false">F6/F4</f>
        <v>0.151001540832049</v>
      </c>
      <c r="G7" s="8" t="n">
        <f aca="false">G6/G4</f>
        <v>0.152145830343046</v>
      </c>
    </row>
    <row r="8" customFormat="false" ht="15" hidden="false" customHeight="false" outlineLevel="0" collapsed="false">
      <c r="A8" s="0" t="s">
        <v>111</v>
      </c>
      <c r="B8" s="6" t="n">
        <v>5.1</v>
      </c>
      <c r="C8" s="6" t="n">
        <v>5.9</v>
      </c>
      <c r="D8" s="6" t="n">
        <v>6.9</v>
      </c>
      <c r="E8" s="6" t="n">
        <v>6.9</v>
      </c>
      <c r="F8" s="6" t="n">
        <v>7.3</v>
      </c>
      <c r="G8" s="6" t="n">
        <v>7.7</v>
      </c>
    </row>
    <row r="9" customFormat="false" ht="15" hidden="false" customHeight="false" outlineLevel="0" collapsed="false">
      <c r="A9" s="0" t="s">
        <v>112</v>
      </c>
      <c r="B9" s="8" t="n">
        <f aca="false">B8/B4</f>
        <v>0.118055555555556</v>
      </c>
      <c r="C9" s="8" t="n">
        <f aca="false">C8/C4</f>
        <v>0.116831683168317</v>
      </c>
      <c r="D9" s="8" t="n">
        <f aca="false">D8/D4</f>
        <v>0.112012987012987</v>
      </c>
      <c r="E9" s="8" t="n">
        <f aca="false">E8/E4</f>
        <v>0.107644305772231</v>
      </c>
      <c r="F9" s="8" t="n">
        <f aca="false">F8/F4</f>
        <v>0.112480739599384</v>
      </c>
      <c r="G9" s="8" t="n">
        <f aca="false">G8/G4</f>
        <v>0.110521027702024</v>
      </c>
    </row>
    <row r="10" customFormat="false" ht="15" hidden="false" customHeight="false" outlineLevel="0" collapsed="false">
      <c r="A10" s="0" t="s">
        <v>113</v>
      </c>
      <c r="B10" s="4" t="n">
        <v>7.89</v>
      </c>
      <c r="C10" s="4" t="n">
        <v>9.16</v>
      </c>
      <c r="D10" s="4" t="n">
        <v>10.71</v>
      </c>
      <c r="E10" s="4" t="n">
        <v>10.77</v>
      </c>
      <c r="F10" s="4" t="n">
        <v>11.44</v>
      </c>
      <c r="G10" s="4" t="n">
        <v>12.29</v>
      </c>
    </row>
    <row r="11" customFormat="false" ht="15" hidden="false" customHeight="false" outlineLevel="0" collapsed="false">
      <c r="A11" s="0" t="s">
        <v>114</v>
      </c>
      <c r="B11" s="6" t="n">
        <v>7.1</v>
      </c>
      <c r="C11" s="6" t="n">
        <v>8.4</v>
      </c>
      <c r="D11" s="6" t="n">
        <v>8.8</v>
      </c>
      <c r="E11" s="6" t="n">
        <v>9</v>
      </c>
      <c r="F11" s="6" t="n">
        <v>8.6</v>
      </c>
      <c r="G11" s="6" t="n">
        <v>9.5</v>
      </c>
    </row>
    <row r="12" customFormat="false" ht="15" hidden="false" customHeight="false" outlineLevel="0" collapsed="false">
      <c r="A12" s="0" t="s">
        <v>115</v>
      </c>
      <c r="B12" s="8" t="n">
        <f aca="false">B11/B4</f>
        <v>0.164351851851852</v>
      </c>
      <c r="C12" s="8" t="n">
        <f aca="false">C11/C4</f>
        <v>0.166336633663366</v>
      </c>
      <c r="D12" s="8" t="n">
        <f aca="false">D11/D4</f>
        <v>0.142857142857143</v>
      </c>
      <c r="E12" s="8" t="n">
        <f aca="false">E11/E4</f>
        <v>0.140405616224649</v>
      </c>
      <c r="F12" s="8" t="n">
        <f aca="false">F11/F4</f>
        <v>0.13251155624037</v>
      </c>
      <c r="G12" s="8" t="n">
        <f aca="false">G11/G4</f>
        <v>0.1363571120999</v>
      </c>
    </row>
    <row r="13" customFormat="false" ht="15" hidden="false" customHeight="false" outlineLevel="0" collapsed="false">
      <c r="A13" s="0" t="s">
        <v>116</v>
      </c>
      <c r="B13" s="4" t="n">
        <v>3.2</v>
      </c>
      <c r="C13" s="4" t="n">
        <v>3.52</v>
      </c>
      <c r="D13" s="4" t="n">
        <v>3.88</v>
      </c>
      <c r="E13" s="4" t="n">
        <v>4.48</v>
      </c>
      <c r="F13" s="4" t="n">
        <v>5</v>
      </c>
      <c r="G13" s="4" t="n">
        <v>5.92</v>
      </c>
    </row>
    <row r="14" customFormat="false" ht="15" hidden="false" customHeight="false" outlineLevel="0" collapsed="false">
      <c r="A14" s="0" t="s">
        <v>117</v>
      </c>
      <c r="B14" s="34" t="n">
        <v>643</v>
      </c>
      <c r="C14" s="34" t="n">
        <v>639</v>
      </c>
      <c r="D14" s="34" t="n">
        <v>635</v>
      </c>
      <c r="E14" s="34" t="n">
        <v>632</v>
      </c>
      <c r="F14" s="34" t="n">
        <v>629</v>
      </c>
      <c r="G14" s="34" t="n">
        <v>623</v>
      </c>
    </row>
    <row r="17" customFormat="false" ht="15" hidden="false" customHeight="false" outlineLevel="0" collapsed="false">
      <c r="A17" s="25" t="s">
        <v>118</v>
      </c>
    </row>
    <row r="18" customFormat="false" ht="15" hidden="false" customHeight="false" outlineLevel="0" collapsed="false">
      <c r="A18" s="0" t="s">
        <v>119</v>
      </c>
      <c r="B18" s="8" t="n">
        <f aca="false">((G4/B4)^(1/5))-1</f>
        <v>0.100303293053916</v>
      </c>
    </row>
    <row r="19" customFormat="false" ht="15" hidden="false" customHeight="false" outlineLevel="0" collapsed="false">
      <c r="A19" s="0" t="s">
        <v>120</v>
      </c>
      <c r="B19" s="8" t="n">
        <f aca="false">((G10/B10)^(1/5))-1</f>
        <v>0.0926849865684667</v>
      </c>
    </row>
    <row r="20" customFormat="false" ht="15" hidden="false" customHeight="false" outlineLevel="0" collapsed="false">
      <c r="A20" s="0" t="s">
        <v>121</v>
      </c>
      <c r="B20" s="8" t="n">
        <f aca="false">((G11/B11)^(1/5))-1</f>
        <v>0.0599687249365324</v>
      </c>
    </row>
    <row r="21" customFormat="false" ht="15" hidden="false" customHeight="false" outlineLevel="0" collapsed="false">
      <c r="A21" s="0" t="s">
        <v>122</v>
      </c>
      <c r="B21" s="8" t="n">
        <f aca="false">AVERAGE(B7:G7)</f>
        <v>0.147423179289695</v>
      </c>
    </row>
    <row r="22" customFormat="false" ht="15" hidden="false" customHeight="false" outlineLevel="0" collapsed="false">
      <c r="A22" s="0" t="s">
        <v>123</v>
      </c>
      <c r="B22" s="8" t="n">
        <f aca="false">AVERAGE(B12:G12)</f>
        <v>0.147136652156213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3" t="s">
        <v>124</v>
      </c>
    </row>
    <row r="3" customFormat="false" ht="15" hidden="false" customHeight="false" outlineLevel="0" collapsed="false">
      <c r="A3" s="29" t="s">
        <v>125</v>
      </c>
    </row>
    <row r="4" customFormat="false" ht="15" hidden="false" customHeight="false" outlineLevel="0" collapsed="false">
      <c r="A4" s="0" t="s">
        <v>126</v>
      </c>
    </row>
    <row r="5" customFormat="false" ht="15" hidden="false" customHeight="false" outlineLevel="0" collapsed="false">
      <c r="A5" s="0" t="s">
        <v>127</v>
      </c>
    </row>
    <row r="6" customFormat="false" ht="15" hidden="false" customHeight="false" outlineLevel="0" collapsed="false">
      <c r="A6" s="0" t="s">
        <v>128</v>
      </c>
    </row>
    <row r="7" customFormat="false" ht="15" hidden="false" customHeight="false" outlineLevel="0" collapsed="false">
      <c r="A7" s="0" t="s">
        <v>129</v>
      </c>
    </row>
    <row r="8" customFormat="false" ht="15" hidden="false" customHeight="false" outlineLevel="0" collapsed="false">
      <c r="A8" s="0" t="s">
        <v>130</v>
      </c>
    </row>
    <row r="9" customFormat="false" ht="15" hidden="false" customHeight="false" outlineLevel="0" collapsed="false">
      <c r="A9" s="0" t="s">
        <v>131</v>
      </c>
    </row>
    <row r="12" customFormat="false" ht="15" hidden="false" customHeight="false" outlineLevel="0" collapsed="false">
      <c r="A12" s="29" t="s">
        <v>35</v>
      </c>
    </row>
    <row r="13" customFormat="false" ht="15" hidden="false" customHeight="false" outlineLevel="0" collapsed="false">
      <c r="A13" s="0" t="s">
        <v>132</v>
      </c>
    </row>
    <row r="14" customFormat="false" ht="15" hidden="false" customHeight="false" outlineLevel="0" collapsed="false">
      <c r="A14" s="0" t="s">
        <v>133</v>
      </c>
    </row>
    <row r="15" customFormat="false" ht="15" hidden="false" customHeight="false" outlineLevel="0" collapsed="false">
      <c r="A15" s="0" t="s">
        <v>134</v>
      </c>
    </row>
    <row r="16" customFormat="false" ht="15" hidden="false" customHeight="false" outlineLevel="0" collapsed="false">
      <c r="A16" s="0" t="s">
        <v>135</v>
      </c>
    </row>
    <row r="17" customFormat="false" ht="15" hidden="false" customHeight="false" outlineLevel="0" collapsed="false">
      <c r="A17" s="0" t="s">
        <v>136</v>
      </c>
    </row>
    <row r="18" customFormat="false" ht="15" hidden="false" customHeight="false" outlineLevel="0" collapsed="false">
      <c r="A18" s="0" t="s">
        <v>137</v>
      </c>
    </row>
    <row r="21" customFormat="false" ht="15" hidden="false" customHeight="false" outlineLevel="0" collapsed="false">
      <c r="A21" s="29" t="s">
        <v>138</v>
      </c>
    </row>
    <row r="22" customFormat="false" ht="15" hidden="false" customHeight="false" outlineLevel="0" collapsed="false">
      <c r="A22" s="0" t="s">
        <v>139</v>
      </c>
    </row>
    <row r="23" customFormat="false" ht="15" hidden="false" customHeight="false" outlineLevel="0" collapsed="false">
      <c r="A23" s="0" t="s">
        <v>140</v>
      </c>
    </row>
    <row r="24" customFormat="false" ht="15" hidden="false" customHeight="false" outlineLevel="0" collapsed="false">
      <c r="A24" s="0" t="s">
        <v>141</v>
      </c>
    </row>
    <row r="25" customFormat="false" ht="15" hidden="false" customHeight="false" outlineLevel="0" collapsed="false">
      <c r="A25" s="0" t="s">
        <v>142</v>
      </c>
    </row>
    <row r="26" customFormat="false" ht="15" hidden="false" customHeight="false" outlineLevel="0" collapsed="false">
      <c r="A26" s="0" t="s">
        <v>143</v>
      </c>
    </row>
    <row r="27" customFormat="false" ht="15" hidden="false" customHeight="false" outlineLevel="0" collapsed="false">
      <c r="A27" s="0" t="s">
        <v>144</v>
      </c>
    </row>
    <row r="30" customFormat="false" ht="15" hidden="false" customHeight="false" outlineLevel="0" collapsed="false">
      <c r="A30" s="29" t="s">
        <v>145</v>
      </c>
    </row>
    <row r="31" customFormat="false" ht="15" hidden="false" customHeight="false" outlineLevel="0" collapsed="false">
      <c r="A31" s="0" t="s">
        <v>146</v>
      </c>
    </row>
    <row r="32" customFormat="false" ht="15" hidden="false" customHeight="false" outlineLevel="0" collapsed="false">
      <c r="A32" s="0" t="s">
        <v>147</v>
      </c>
    </row>
    <row r="33" customFormat="false" ht="15" hidden="false" customHeight="false" outlineLevel="0" collapsed="false">
      <c r="A33" s="0" t="s">
        <v>148</v>
      </c>
    </row>
    <row r="35" customFormat="false" ht="15" hidden="false" customHeight="false" outlineLevel="0" collapsed="false">
      <c r="A35" s="0" t="s">
        <v>149</v>
      </c>
    </row>
    <row r="36" customFormat="false" ht="15" hidden="false" customHeight="false" outlineLevel="0" collapsed="false">
      <c r="A36" s="0" t="s">
        <v>150</v>
      </c>
    </row>
    <row r="38" customFormat="false" ht="15" hidden="false" customHeight="false" outlineLevel="0" collapsed="false">
      <c r="A38" s="0" t="s">
        <v>151</v>
      </c>
    </row>
    <row r="39" customFormat="false" ht="15" hidden="false" customHeight="false" outlineLevel="0" collapsed="false">
      <c r="A39" s="0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2025-12-08T00:00:22Z</dcterms:created>
  <dc:creator>openpyxl</dc:creator>
  <dc:description/>
  <dc:language>en-US</dc:language>
  <cp:lastModifiedBy/>
  <dcterms:modified xsi:type="dcterms:W3CDTF">2025-12-08T00:00:22Z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