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<sst xmlns="http://schemas.openxmlformats.org/spreadsheetml/2006/main" count="363" uniqueCount="166">
  <si>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</si>
  <si>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STE</t>
  </si>
  <si>
    <t xml:space="preserve">Company</t>
  </si>
  <si>
    <t xml:space="preserve">STERIS plc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</si>
  <si>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</si>
  <si>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</si>
  <si>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</si>
  <si>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</si>
  <si>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</si>
  <si>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</si>
  <si>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</si>
  <si>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</si>
  <si>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</si>
  <si>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</si>
  <si>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</si>
  <si>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</si>
  <si>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</si>
  <si>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</si>
  <si>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</si>
  <si>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</si>
  <si>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</si>
  <si>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2026-10-02T08:54:49Z</t>
  </si>
  <si>
    <t xml:space="preserve">Drivers file</t>
  </si>
  <si>
    <t xml:space="preserve">STE_Drivers.json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</si>
  <si>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</si>
  <si>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</si>
  <si>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</si>
  <si>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view of a mature infection-prevention compounder: SBC and equity-award taxes expensed, share count flat (funded by buybacks), EBITA-based tax so book amortization of Cantel intangibles creates no phantom shield, and a terminal cap of 18x base so the value does not lean on a Gordon multiple the market need not grant.
key_risks_to_valuation: Ethylene-oxide regulation and litigation in Applied Sterilization Technologies; Hospital capital-equipment budget cycle and US healthcare funding changes; Tariffs on imported components/consumables compressing margin; Single-use endoscope substitution eroding the Cantel reprocessing franchise; Terminal value ~60% of EV; value is sensitive to the 8.5% WACC and 18x cap</t>
  </si>
  <si>
    <t xml:space="preserve">Data sources</t>
  </si>
  <si>
    <t xml:space="preserve">price: Yahoo Finance chart API at inputs.price_as_of; 52-week range 195.14-269.44
financials: STE_Metrics.csv (SEC XBRL, FY2016-Q1 FY2027); Q1 FY2027 balance sheet (cash, long-term debt, short-term borrowings), diluted shares, depreciation, amortization of intangibles and income taxes paid from SEC companyfacts API (CIK 1757898)
qualitative: Company business profile (info.json); STE_Analysis.json not yet available at build time</t>
  </si>
  <si>
    <t xml:space="preserve">Scenario narrative: bear</t>
  </si>
  <si>
    <t xml:space="preserve">The axes turn against it at once: EPA EtO rules and Willowbrook-style litigation raise AST cost, US hospital capex budgets are cut as Medicaid funding tightens, tariffs squeeze consumable margins, and single-use endoscopes erode the Cantel reprocessing franchise. Growth slips to 2.5-4% and margin falls to 27%.</t>
  </si>
  <si>
    <t xml:space="preserve">Scenario narrative: base</t>
  </si>
  <si>
    <t xml:space="preserve">STERIS keeps compounding as a recurring-revenue infection-prevention franchise (consumables + service ~70% of revenue): surgical procedure volumes drive Healthcare consumables and service, AST contract sterilization grows with med-device volumes, Life Sciences recovers from the post-COVID bioprocessing destock. Organic growth fades from ~7% to 3%; margins expand ~2pp from pricing and mix; capex normalises after the AST capacity programme.</t>
  </si>
  <si>
    <t xml:space="preserve">Scenario narrative: bull</t>
  </si>
  <si>
    <t xml:space="preserve">The radiation-modality shift away from ethylene oxide and med-device outsourcing make AST a high-single-digit grower with pricing power, bioprocessing restocking lifts Life Sciences, and the hospital capital-equipment replacement backlog persists. Growth stays 6-8% for five years and adjusted EBITDA margin reaches ~31.5%.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</si>
  <si>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</si>
  <si>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</si>
  <si>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</si>
  <si>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</si>
  <si>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</si>
  <si>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</si>
  <si>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</si>
  <si>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</si>
  <si>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</si>
  <si>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</si>
  <si>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</si>
  <si>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</si>
  <si>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</si>
  <si>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</si>
  <si>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</si>
  <si>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</si>
  <si>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</si>
  <si>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</si>
  <si>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</si>
  <si>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</si>
  <si>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</si>
  <si>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</si>
  <si>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</si>
  <si>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</si>
  <si>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</si>
  <si>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</si>
  <si>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</si>
  <si>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</si>
  <si>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</si>
  <si>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</si>
  <si>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</si>
  <si>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</si>
  <si>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</si>
  <si>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</si>
  <si>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</si>
  <si>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</si>
  <si>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</si>
  <si>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</si>
  <si>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</si>
  <si>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</si>
  <si>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</si>
  <si>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</si>
  <si>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</si>
  <si>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</si>
  <si>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</si>
  <si>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</si>
  <si>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</si>
  <si>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</si>
  <si>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</si>
  <si>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</si>
  <si>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</si>
  <si>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</si>
  <si>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</si>
  <si>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</si>
  <si>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</si>
  <si>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</si>
  <si>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</si>
  <si>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</si>
  <si>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</si>
  <si>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</si>
  <si>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</si>
  <si>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</si>
  <si>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</si>
  <si>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</si>
  <si>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</si>
  <si>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</si>
  <si>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</si>
  <si>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</si>
  <si>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</si>
  <si>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</si>
  <si>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</si>
  <si>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</si>
  <si>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</si>
  <si>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</si>
  <si>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</si>
  <si>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STE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</si>
  <si>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</si>
  <si>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</si>
  <si>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</si>
  <si>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</si>
  <si>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</si>
  <si>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</si>
  <si>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</si>
  <si>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</si>
  <si>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</si>
  <si>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</si>
  <si>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</si>
  <si>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</si>
  <si>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</si>
  <si>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</si>
  <si>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</si>
  <si>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</si>
  <si>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</si>
  <si>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</si>
  <si>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</si>
  <si>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</si>
  <si>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</si>
  <si>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</si>
  <si>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</si>
  <si>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</si>
  <si>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</si>
  <si>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</si>
  <si>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</si>
  <si>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</si>
  <si>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</si>
  <si>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</si>
  <si>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STE owner-FCF component DCF: base case (millions, USD)</t>
  </si>
  <si>
    <t xml:space="preserve">STE owner-FCF component DCF: bull case (millions, USD)</t>
  </si>
  <si>
    <t xml:space="preserve">STE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</si>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</sst>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209.34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3038.892</v>
      </c>
      <c r="S2" s="0" t="n">
        <v>248.841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2612.756</v>
      </c>
      <c r="C3" s="0" t="n">
        <v>1586.543</v>
      </c>
      <c r="D3" s="0" t="n">
        <v>1026.213</v>
      </c>
      <c r="E3" s="0" t="n">
        <v>39.2770316095342</v>
      </c>
      <c r="F3" s="0" t="n">
        <v>226.206</v>
      </c>
      <c r="G3" s="0" t="n">
        <v>8.65775449372234</v>
      </c>
      <c r="H3" s="0" t="n">
        <v>414.348</v>
      </c>
      <c r="I3" s="0" t="n">
        <v>110.631</v>
      </c>
      <c r="J3" s="0" t="n">
        <v>4.23426450843477</v>
      </c>
      <c r="K3" s="0" t="n">
        <v>1.29</v>
      </c>
      <c r="L3" s="0" t="n">
        <v>424.086</v>
      </c>
      <c r="M3" s="0" t="n">
        <v>172.901</v>
      </c>
      <c r="N3" s="0" t="n">
        <v>251.185</v>
      </c>
      <c r="O3" s="0" t="n">
        <v>2810.033</v>
      </c>
      <c r="S3" s="0" t="n">
        <v>282.918</v>
      </c>
      <c r="T3" s="0" t="n">
        <v>86.094</v>
      </c>
      <c r="U3" s="0" t="n">
        <v>18.794</v>
      </c>
      <c r="V3" s="0" t="n">
        <v>1.09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2619.996</v>
      </c>
      <c r="C4" s="0" t="n">
        <v>1527.25</v>
      </c>
      <c r="D4" s="0" t="n">
        <v>1092.746</v>
      </c>
      <c r="E4" s="0" t="n">
        <v>41.7079262716432</v>
      </c>
      <c r="F4" s="0" t="n">
        <v>399.883</v>
      </c>
      <c r="G4" s="0" t="n">
        <v>15.2627332255469</v>
      </c>
      <c r="H4" s="0" t="n">
        <v>578.215</v>
      </c>
      <c r="I4" s="0" t="n">
        <v>291.622</v>
      </c>
      <c r="J4" s="0" t="n">
        <v>11.1306276803476</v>
      </c>
      <c r="K4" s="0" t="n">
        <v>3.42</v>
      </c>
      <c r="L4" s="0" t="n">
        <v>457.632</v>
      </c>
      <c r="M4" s="0" t="n">
        <v>165.457</v>
      </c>
      <c r="N4" s="0" t="n">
        <v>292.175</v>
      </c>
      <c r="O4" s="0" t="n">
        <v>3217.3</v>
      </c>
      <c r="P4" s="0" t="n">
        <v>5200.334</v>
      </c>
      <c r="Q4" s="0" t="n">
        <v>1983.034</v>
      </c>
      <c r="R4" s="0" t="n">
        <v>1316.001</v>
      </c>
      <c r="S4" s="0" t="n">
        <v>201.534</v>
      </c>
      <c r="T4" s="0" t="n">
        <v>85.713</v>
      </c>
      <c r="U4" s="0" t="n">
        <v>22.187</v>
      </c>
      <c r="V4" s="0" t="n">
        <v>1.21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2782.17</v>
      </c>
      <c r="C5" s="0" t="n">
        <v>1607.184</v>
      </c>
      <c r="D5" s="0" t="n">
        <v>1174.986</v>
      </c>
      <c r="E5" s="0" t="n">
        <v>42.2327176268884</v>
      </c>
      <c r="F5" s="0" t="n">
        <v>411.024</v>
      </c>
      <c r="G5" s="0" t="n">
        <v>14.7735041352613</v>
      </c>
      <c r="H5" s="0" t="n">
        <v>636.945</v>
      </c>
      <c r="I5" s="0" t="n">
        <v>304.746</v>
      </c>
      <c r="J5" s="0" t="n">
        <v>10.9535362684523</v>
      </c>
      <c r="K5" s="0" t="n">
        <v>3.59</v>
      </c>
      <c r="L5" s="0" t="n">
        <v>539.505</v>
      </c>
      <c r="M5" s="0" t="n">
        <v>189.715</v>
      </c>
      <c r="N5" s="0" t="n">
        <v>349.79</v>
      </c>
      <c r="O5" s="0" t="n">
        <v>3197.23</v>
      </c>
      <c r="P5" s="0" t="n">
        <v>5073.071</v>
      </c>
      <c r="Q5" s="0" t="n">
        <v>1887.273</v>
      </c>
      <c r="R5" s="0" t="n">
        <v>1183.227</v>
      </c>
      <c r="S5" s="0" t="n">
        <v>220.633</v>
      </c>
      <c r="T5" s="0" t="n">
        <v>85.468</v>
      </c>
      <c r="U5" s="0" t="n">
        <v>23.965</v>
      </c>
      <c r="V5" s="0" t="n">
        <v>1.33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3030.895</v>
      </c>
      <c r="C6" s="0" t="n">
        <v>1710.899</v>
      </c>
      <c r="D6" s="0" t="n">
        <v>1319.996</v>
      </c>
      <c r="E6" s="0" t="n">
        <v>43.5513602417768</v>
      </c>
      <c r="F6" s="0" t="n">
        <v>537.046</v>
      </c>
      <c r="G6" s="0" t="n">
        <v>17.7190565822967</v>
      </c>
      <c r="H6" s="0" t="n">
        <v>734.281</v>
      </c>
      <c r="I6" s="0" t="n">
        <v>407.859</v>
      </c>
      <c r="J6" s="0" t="n">
        <v>13.4567182300938</v>
      </c>
      <c r="K6" s="0" t="n">
        <v>4.81</v>
      </c>
      <c r="L6" s="0" t="n">
        <v>590.559</v>
      </c>
      <c r="M6" s="0" t="n">
        <v>214.516</v>
      </c>
      <c r="N6" s="0" t="n">
        <v>376.043</v>
      </c>
      <c r="O6" s="0" t="n">
        <v>3418.21</v>
      </c>
      <c r="P6" s="0" t="n">
        <v>5440.867</v>
      </c>
      <c r="Q6" s="0" t="n">
        <v>2022.657</v>
      </c>
      <c r="R6" s="0" t="n">
        <v>1150.521</v>
      </c>
      <c r="S6" s="0" t="n">
        <v>319.581</v>
      </c>
      <c r="T6" s="0" t="n">
        <v>85.641</v>
      </c>
      <c r="U6" s="0" t="n">
        <v>23.811</v>
      </c>
      <c r="V6" s="0" t="n">
        <v>1.45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3107.519</v>
      </c>
      <c r="C7" s="0" t="n">
        <v>1764.419</v>
      </c>
      <c r="D7" s="0" t="n">
        <v>1343.1</v>
      </c>
      <c r="E7" s="0" t="n">
        <v>43.220974674652</v>
      </c>
      <c r="F7" s="0" t="n">
        <v>548.368</v>
      </c>
      <c r="G7" s="0" t="n">
        <v>17.6464890480155</v>
      </c>
      <c r="H7" s="0" t="n">
        <v>767.605</v>
      </c>
      <c r="I7" s="0" t="n">
        <v>397.4</v>
      </c>
      <c r="J7" s="0" t="n">
        <v>12.7883369337404</v>
      </c>
      <c r="K7" s="0" t="n">
        <v>4.66</v>
      </c>
      <c r="L7" s="0" t="n">
        <v>689.64</v>
      </c>
      <c r="M7" s="0" t="n">
        <v>239.262</v>
      </c>
      <c r="N7" s="0" t="n">
        <v>450.378</v>
      </c>
      <c r="O7" s="0" t="n">
        <v>3891.468</v>
      </c>
      <c r="P7" s="0" t="n">
        <v>6574.471</v>
      </c>
      <c r="Q7" s="0" t="n">
        <v>2683.003</v>
      </c>
      <c r="R7" s="0" t="n">
        <v>1650.54</v>
      </c>
      <c r="S7" s="0" t="n">
        <v>220.531</v>
      </c>
      <c r="T7" s="0" t="n">
        <v>85.898</v>
      </c>
      <c r="U7" s="0" t="n">
        <v>25.966</v>
      </c>
      <c r="V7" s="0" t="n">
        <v>1.57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4223.403</v>
      </c>
      <c r="C8" s="0" t="n">
        <v>2340.396</v>
      </c>
      <c r="D8" s="0" t="n">
        <v>1883.007</v>
      </c>
      <c r="E8" s="0" t="n">
        <v>44.5850656449314</v>
      </c>
      <c r="F8" s="0" t="n">
        <v>477.815</v>
      </c>
      <c r="G8" s="0" t="n">
        <v>11.3135071410424</v>
      </c>
      <c r="H8" s="0" t="n">
        <v>1030.919</v>
      </c>
      <c r="I8" s="0" t="n">
        <v>243.888</v>
      </c>
      <c r="J8" s="0" t="n">
        <v>5.77467980204589</v>
      </c>
      <c r="K8" s="0" t="n">
        <v>2.5</v>
      </c>
      <c r="L8" s="0" t="n">
        <v>684.811</v>
      </c>
      <c r="M8" s="0" t="n">
        <v>287.563</v>
      </c>
      <c r="N8" s="0" t="n">
        <v>397.248</v>
      </c>
      <c r="O8" s="0" t="n">
        <v>6544.637</v>
      </c>
      <c r="P8" s="0" t="n">
        <v>11423.594</v>
      </c>
      <c r="Q8" s="0" t="n">
        <v>4878.957</v>
      </c>
      <c r="R8" s="0" t="n">
        <v>2945.481</v>
      </c>
      <c r="S8" s="0" t="n">
        <v>348.32</v>
      </c>
      <c r="T8" s="0" t="n">
        <v>100.067</v>
      </c>
      <c r="U8" s="0" t="n">
        <v>57.66</v>
      </c>
      <c r="V8" s="0" t="n">
        <v>1.69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4536.266</v>
      </c>
      <c r="C9" s="0" t="n">
        <v>2555.54</v>
      </c>
      <c r="D9" s="0" t="n">
        <v>1980.726</v>
      </c>
      <c r="E9" s="0" t="n">
        <v>43.6642383846097</v>
      </c>
      <c r="F9" s="0" t="n">
        <v>791.101</v>
      </c>
      <c r="G9" s="0" t="n">
        <v>17.4394755510369</v>
      </c>
      <c r="H9" s="0" t="n">
        <v>1343.998</v>
      </c>
      <c r="I9" s="0" t="n">
        <v>107.03</v>
      </c>
      <c r="J9" s="0" t="n">
        <v>2.35942953962576</v>
      </c>
      <c r="K9" s="0" t="n">
        <v>1.07</v>
      </c>
      <c r="L9" s="0" t="n">
        <v>756.947</v>
      </c>
      <c r="M9" s="0" t="n">
        <v>361.969</v>
      </c>
      <c r="N9" s="0" t="n">
        <v>394.978</v>
      </c>
      <c r="O9" s="0" t="n">
        <v>6087.2</v>
      </c>
      <c r="P9" s="0" t="n">
        <v>10821.839</v>
      </c>
      <c r="Q9" s="0" t="n">
        <v>4734.667</v>
      </c>
      <c r="R9" s="0" t="n">
        <v>3018.655</v>
      </c>
      <c r="S9" s="0" t="n">
        <v>208.357</v>
      </c>
      <c r="T9" s="0" t="n">
        <v>100.246</v>
      </c>
      <c r="U9" s="0" t="n">
        <v>38.951</v>
      </c>
      <c r="V9" s="0" t="n">
        <v>1.84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5138.7</v>
      </c>
      <c r="C10" s="0" t="n">
        <v>2920.5</v>
      </c>
      <c r="D10" s="0" t="n">
        <v>2218.2</v>
      </c>
      <c r="E10" s="0" t="n">
        <v>43.1665596357055</v>
      </c>
      <c r="F10" s="0" t="n">
        <v>836.1</v>
      </c>
      <c r="G10" s="0" t="n">
        <v>16.270652110456</v>
      </c>
      <c r="H10" s="0" t="n">
        <v>1401.3</v>
      </c>
      <c r="I10" s="0" t="n">
        <v>380.1</v>
      </c>
      <c r="J10" s="0" t="n">
        <v>7.39681242337556</v>
      </c>
      <c r="K10" s="0" t="n">
        <v>3.83</v>
      </c>
      <c r="L10" s="0" t="n">
        <v>973.3</v>
      </c>
      <c r="M10" s="0" t="n">
        <v>360.3</v>
      </c>
      <c r="N10" s="0" t="n">
        <v>613</v>
      </c>
      <c r="O10" s="0" t="n">
        <v>6315.3</v>
      </c>
      <c r="P10" s="0" t="n">
        <v>11063.697</v>
      </c>
      <c r="Q10" s="0" t="n">
        <v>4748.351</v>
      </c>
      <c r="R10" s="0" t="n">
        <v>3120.162</v>
      </c>
      <c r="S10" s="0" t="n">
        <v>207.02</v>
      </c>
      <c r="T10" s="0" t="n">
        <v>99.4</v>
      </c>
      <c r="U10" s="0" t="n">
        <v>56.5</v>
      </c>
      <c r="V10" s="0" t="n">
        <v>2.03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5459.5</v>
      </c>
      <c r="C11" s="0" t="n">
        <v>3056.8</v>
      </c>
      <c r="D11" s="0" t="n">
        <v>2402.8</v>
      </c>
      <c r="E11" s="0" t="n">
        <v>44.0113563513142</v>
      </c>
      <c r="F11" s="0" t="n">
        <v>866.6</v>
      </c>
      <c r="G11" s="0" t="n">
        <v>15.8732484659767</v>
      </c>
      <c r="H11" s="0" t="n">
        <v>1342.8</v>
      </c>
      <c r="I11" s="0" t="n">
        <v>616.1</v>
      </c>
      <c r="J11" s="0" t="n">
        <v>11.2849162011173</v>
      </c>
      <c r="K11" s="0" t="n">
        <v>6.24</v>
      </c>
      <c r="L11" s="0" t="n">
        <v>1148.1</v>
      </c>
      <c r="M11" s="0" t="n">
        <v>370.1</v>
      </c>
      <c r="N11" s="0" t="n">
        <v>778</v>
      </c>
      <c r="O11" s="0" t="n">
        <v>6615.8</v>
      </c>
      <c r="P11" s="0" t="n">
        <v>10146.8</v>
      </c>
      <c r="Q11" s="0" t="n">
        <v>3531.1</v>
      </c>
      <c r="R11" s="0" t="n">
        <v>1918.7</v>
      </c>
      <c r="S11" s="0" t="n">
        <v>171.7</v>
      </c>
      <c r="T11" s="0" t="n">
        <v>99.1</v>
      </c>
      <c r="U11" s="0" t="n">
        <v>57.4</v>
      </c>
      <c r="V11" s="0" t="n">
        <v>2.23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5935.9</v>
      </c>
      <c r="C12" s="0" t="n">
        <v>3309.4</v>
      </c>
      <c r="D12" s="0" t="n">
        <v>2626.5</v>
      </c>
      <c r="E12" s="0" t="n">
        <v>44.2477130679425</v>
      </c>
      <c r="F12" s="0" t="n">
        <v>1101.8</v>
      </c>
      <c r="G12" s="0" t="n">
        <v>18.5616334506983</v>
      </c>
      <c r="H12" s="0" t="n">
        <v>1588.3</v>
      </c>
      <c r="I12" s="0" t="n">
        <v>785.1</v>
      </c>
      <c r="J12" s="0" t="n">
        <v>13.2263009821594</v>
      </c>
      <c r="K12" s="0" t="n">
        <v>7.97</v>
      </c>
      <c r="L12" s="0" t="n">
        <v>1341.4</v>
      </c>
      <c r="M12" s="0" t="n">
        <v>369</v>
      </c>
      <c r="N12" s="0" t="n">
        <v>972.4</v>
      </c>
      <c r="O12" s="0" t="n">
        <v>7197.2</v>
      </c>
      <c r="P12" s="0" t="n">
        <v>10737.2</v>
      </c>
      <c r="Q12" s="0" t="n">
        <v>3540</v>
      </c>
      <c r="R12" s="0" t="n">
        <v>1812.8</v>
      </c>
      <c r="S12" s="0" t="n">
        <v>439.6</v>
      </c>
      <c r="T12" s="0" t="n">
        <v>98.7</v>
      </c>
      <c r="U12" s="0" t="n">
        <v>61.7</v>
      </c>
      <c r="V12" s="0" t="n">
        <v>2.46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209.34</v>
      </c>
    </row>
    <row r="3" customFormat="false" ht="15" hidden="false" customHeight="false" outlineLevel="0" collapsed="false">
      <c r="A3" s="0" t="s">
        <v>77</v>
      </c>
      <c r="B3" s="3" t="n">
        <v>97.9</v>
      </c>
    </row>
    <row r="4" customFormat="false" ht="15" hidden="false" customHeight="false" outlineLevel="0" collapsed="false">
      <c r="A4" s="0" t="s">
        <v>78</v>
      </c>
      <c r="B4" s="3" t="n">
        <v>1411.3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5935.9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5</v>
      </c>
      <c r="D13" s="3" t="n">
        <v>4</v>
      </c>
      <c r="E13" s="3" t="n">
        <v>3.5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98</v>
      </c>
      <c r="C14" s="3" t="n">
        <v>27.8</v>
      </c>
      <c r="D14" s="3" t="n">
        <v>27.6</v>
      </c>
      <c r="E14" s="3" t="n">
        <v>27.4</v>
      </c>
      <c r="F14" s="3" t="n">
        <v>27.2</v>
      </c>
      <c r="G14" s="3" t="n">
        <v>27</v>
      </c>
      <c r="H14" s="3" t="n">
        <v>27</v>
      </c>
      <c r="I14" s="3" t="n">
        <v>27</v>
      </c>
      <c r="J14" s="3" t="n">
        <v>27</v>
      </c>
      <c r="K14" s="3" t="n">
        <v>27</v>
      </c>
      <c r="L14" s="3" t="n">
        <v>27</v>
      </c>
    </row>
    <row r="15" customFormat="false" ht="15" hidden="false" customHeight="false" outlineLevel="0" collapsed="false">
      <c r="A15" s="0" t="s">
        <v>99</v>
      </c>
      <c r="C15" s="3" t="n">
        <v>1.25</v>
      </c>
      <c r="D15" s="3" t="n">
        <v>1.25</v>
      </c>
      <c r="E15" s="3" t="n">
        <v>1.25</v>
      </c>
      <c r="F15" s="3" t="n">
        <v>1.25</v>
      </c>
      <c r="G15" s="3" t="n">
        <v>1.25</v>
      </c>
      <c r="H15" s="3" t="n">
        <v>1.25</v>
      </c>
      <c r="I15" s="3" t="n">
        <v>1.25</v>
      </c>
      <c r="J15" s="3" t="n">
        <v>1.25</v>
      </c>
      <c r="K15" s="3" t="n">
        <v>1.25</v>
      </c>
      <c r="L15" s="3" t="n">
        <v>1.25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3.7</v>
      </c>
      <c r="D17" s="3" t="n">
        <v>3.8</v>
      </c>
      <c r="E17" s="3" t="n">
        <v>3.9</v>
      </c>
      <c r="F17" s="3" t="n">
        <v>4</v>
      </c>
      <c r="G17" s="3" t="n">
        <v>4.1</v>
      </c>
      <c r="H17" s="3" t="n">
        <v>4.2</v>
      </c>
      <c r="I17" s="3" t="n">
        <v>4.2</v>
      </c>
      <c r="J17" s="3" t="n">
        <v>4.2</v>
      </c>
      <c r="K17" s="3" t="n">
        <v>4.2</v>
      </c>
      <c r="L17" s="3" t="n">
        <v>4.2</v>
      </c>
    </row>
    <row r="18" customFormat="false" ht="15" hidden="false" customHeight="false" outlineLevel="0" collapsed="false">
      <c r="A18" s="0" t="s">
        <v>102</v>
      </c>
      <c r="C18" s="3" t="n">
        <v>6.5</v>
      </c>
      <c r="D18" s="3" t="n">
        <v>6.5</v>
      </c>
      <c r="E18" s="3" t="n">
        <v>6.5</v>
      </c>
      <c r="F18" s="3" t="n">
        <v>6.4</v>
      </c>
      <c r="G18" s="3" t="n">
        <v>6.3</v>
      </c>
      <c r="H18" s="3" t="n">
        <v>6.2</v>
      </c>
      <c r="I18" s="3" t="n">
        <v>6.2</v>
      </c>
      <c r="J18" s="3" t="n">
        <v>6.2</v>
      </c>
      <c r="K18" s="3" t="n">
        <v>6.2</v>
      </c>
      <c r="L18" s="3" t="n">
        <v>6.2</v>
      </c>
    </row>
    <row r="19" customFormat="false" ht="15" hidden="false" customHeight="false" outlineLevel="0" collapsed="false">
      <c r="A19" s="0" t="s">
        <v>103</v>
      </c>
      <c r="C19" s="3" t="n">
        <v>22</v>
      </c>
      <c r="D19" s="3" t="n">
        <v>22.5</v>
      </c>
      <c r="E19" s="3" t="n">
        <v>23</v>
      </c>
      <c r="F19" s="3" t="n">
        <v>23.5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104</v>
      </c>
      <c r="B20" s="3" t="n">
        <v>8.5</v>
      </c>
    </row>
    <row r="21" customFormat="false" ht="15" hidden="false" customHeight="false" outlineLevel="0" collapsed="false">
      <c r="A21" s="0" t="s">
        <v>105</v>
      </c>
      <c r="B21" s="3" t="n">
        <v>2.5</v>
      </c>
    </row>
    <row r="22" customFormat="false" ht="15" hidden="false" customHeight="false" outlineLevel="0" collapsed="false">
      <c r="A22" s="0" t="s">
        <v>106</v>
      </c>
      <c r="B22" s="3" t="n">
        <v>15</v>
      </c>
    </row>
    <row r="23" customFormat="false" ht="15" hidden="false" customHeight="false" outlineLevel="0" collapsed="false">
      <c r="A23" s="0" t="s">
        <v>107</v>
      </c>
      <c r="B23" s="3" t="n">
        <v>-8</v>
      </c>
    </row>
    <row r="24" customFormat="false" ht="15" hidden="false" customHeight="false" outlineLevel="0" collapsed="false">
      <c r="A24" s="0" t="s">
        <v>108</v>
      </c>
      <c r="B24" s="3" t="n">
        <v>0.2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7</v>
      </c>
      <c r="D27" s="3" t="n">
        <v>6.5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28.6</v>
      </c>
      <c r="D28" s="3" t="n">
        <v>29</v>
      </c>
      <c r="E28" s="3" t="n">
        <v>29.3</v>
      </c>
      <c r="F28" s="3" t="n">
        <v>29.6</v>
      </c>
      <c r="G28" s="3" t="n">
        <v>29.8</v>
      </c>
      <c r="H28" s="3" t="n">
        <v>30</v>
      </c>
      <c r="I28" s="3" t="n">
        <v>30</v>
      </c>
      <c r="J28" s="3" t="n">
        <v>30</v>
      </c>
      <c r="K28" s="3" t="n">
        <v>30</v>
      </c>
      <c r="L28" s="3" t="n">
        <v>30</v>
      </c>
    </row>
    <row r="29" customFormat="false" ht="15" hidden="false" customHeight="false" outlineLevel="0" collapsed="false">
      <c r="A29" s="0" t="s">
        <v>99</v>
      </c>
      <c r="C29" s="3" t="n">
        <v>1.25</v>
      </c>
      <c r="D29" s="3" t="n">
        <v>1.25</v>
      </c>
      <c r="E29" s="3" t="n">
        <v>1.2</v>
      </c>
      <c r="F29" s="3" t="n">
        <v>1.2</v>
      </c>
      <c r="G29" s="3" t="n">
        <v>1.2</v>
      </c>
      <c r="H29" s="3" t="n">
        <v>1.2</v>
      </c>
      <c r="I29" s="3" t="n">
        <v>1.2</v>
      </c>
      <c r="J29" s="3" t="n">
        <v>1.2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3.7</v>
      </c>
      <c r="D31" s="3" t="n">
        <v>3.75</v>
      </c>
      <c r="E31" s="3" t="n">
        <v>3.8</v>
      </c>
      <c r="F31" s="3" t="n">
        <v>3.85</v>
      </c>
      <c r="G31" s="3" t="n">
        <v>3.9</v>
      </c>
      <c r="H31" s="3" t="n">
        <v>3.95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102</v>
      </c>
      <c r="C32" s="3" t="n">
        <v>6.2</v>
      </c>
      <c r="D32" s="3" t="n">
        <v>6.1</v>
      </c>
      <c r="E32" s="3" t="n">
        <v>6</v>
      </c>
      <c r="F32" s="3" t="n">
        <v>6</v>
      </c>
      <c r="G32" s="3" t="n">
        <v>5.9</v>
      </c>
      <c r="H32" s="3" t="n">
        <v>5.8</v>
      </c>
      <c r="I32" s="3" t="n">
        <v>5.8</v>
      </c>
      <c r="J32" s="3" t="n">
        <v>5.8</v>
      </c>
      <c r="K32" s="3" t="n">
        <v>5.8</v>
      </c>
      <c r="L32" s="3" t="n">
        <v>5.8</v>
      </c>
    </row>
    <row r="33" customFormat="false" ht="15" hidden="false" customHeight="false" outlineLevel="0" collapsed="false">
      <c r="A33" s="0" t="s">
        <v>103</v>
      </c>
      <c r="C33" s="3" t="n">
        <v>22</v>
      </c>
      <c r="D33" s="3" t="n">
        <v>22</v>
      </c>
      <c r="E33" s="3" t="n">
        <v>22.5</v>
      </c>
      <c r="F33" s="3" t="n">
        <v>22.5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104</v>
      </c>
      <c r="B34" s="3" t="n">
        <v>8.5</v>
      </c>
    </row>
    <row r="35" customFormat="false" ht="15" hidden="false" customHeight="false" outlineLevel="0" collapsed="false">
      <c r="A35" s="0" t="s">
        <v>105</v>
      </c>
      <c r="B35" s="3" t="n">
        <v>3</v>
      </c>
    </row>
    <row r="36" customFormat="false" ht="15" hidden="false" customHeight="false" outlineLevel="0" collapsed="false">
      <c r="A36" s="0" t="s">
        <v>106</v>
      </c>
      <c r="B36" s="3" t="n">
        <v>18</v>
      </c>
    </row>
    <row r="37" customFormat="false" ht="15" hidden="false" customHeight="false" outlineLevel="0" collapsed="false">
      <c r="A37" s="0" t="s">
        <v>107</v>
      </c>
      <c r="B37" s="3" t="n">
        <v>-8</v>
      </c>
    </row>
    <row r="38" customFormat="false" ht="15" hidden="false" customHeight="false" outlineLevel="0" collapsed="false">
      <c r="A38" s="0" t="s">
        <v>108</v>
      </c>
      <c r="B38" s="3" t="n">
        <v>0.55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8.5</v>
      </c>
      <c r="D41" s="3" t="n">
        <v>8</v>
      </c>
      <c r="E41" s="3" t="n">
        <v>7.5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98</v>
      </c>
      <c r="C42" s="3" t="n">
        <v>29</v>
      </c>
      <c r="D42" s="3" t="n">
        <v>29.6</v>
      </c>
      <c r="E42" s="3" t="n">
        <v>30.2</v>
      </c>
      <c r="F42" s="3" t="n">
        <v>30.7</v>
      </c>
      <c r="G42" s="3" t="n">
        <v>31.1</v>
      </c>
      <c r="H42" s="3" t="n">
        <v>31.4</v>
      </c>
      <c r="I42" s="3" t="n">
        <v>31.5</v>
      </c>
      <c r="J42" s="3" t="n">
        <v>31.5</v>
      </c>
      <c r="K42" s="3" t="n">
        <v>31.5</v>
      </c>
      <c r="L42" s="3" t="n">
        <v>31.5</v>
      </c>
    </row>
    <row r="43" customFormat="false" ht="15" hidden="false" customHeight="false" outlineLevel="0" collapsed="false">
      <c r="A43" s="0" t="s">
        <v>99</v>
      </c>
      <c r="C43" s="3" t="n">
        <v>1.25</v>
      </c>
      <c r="D43" s="3" t="n">
        <v>1.25</v>
      </c>
      <c r="E43" s="3" t="n">
        <v>1.2</v>
      </c>
      <c r="F43" s="3" t="n">
        <v>1.2</v>
      </c>
      <c r="G43" s="3" t="n">
        <v>1.2</v>
      </c>
      <c r="H43" s="3" t="n">
        <v>1.2</v>
      </c>
      <c r="I43" s="3" t="n">
        <v>1.2</v>
      </c>
      <c r="J43" s="3" t="n">
        <v>1.2</v>
      </c>
      <c r="K43" s="3" t="n">
        <v>1.2</v>
      </c>
      <c r="L43" s="3" t="n">
        <v>1.2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3.7</v>
      </c>
      <c r="D45" s="3" t="n">
        <v>3.75</v>
      </c>
      <c r="E45" s="3" t="n">
        <v>3.8</v>
      </c>
      <c r="F45" s="3" t="n">
        <v>3.85</v>
      </c>
      <c r="G45" s="3" t="n">
        <v>3.9</v>
      </c>
      <c r="H45" s="3" t="n">
        <v>3.95</v>
      </c>
      <c r="I45" s="3" t="n">
        <v>4</v>
      </c>
      <c r="J45" s="3" t="n">
        <v>4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102</v>
      </c>
      <c r="C46" s="3" t="n">
        <v>6.1</v>
      </c>
      <c r="D46" s="3" t="n">
        <v>6</v>
      </c>
      <c r="E46" s="3" t="n">
        <v>5.9</v>
      </c>
      <c r="F46" s="3" t="n">
        <v>5.8</v>
      </c>
      <c r="G46" s="3" t="n">
        <v>5.7</v>
      </c>
      <c r="H46" s="3" t="n">
        <v>5.6</v>
      </c>
      <c r="I46" s="3" t="n">
        <v>5.6</v>
      </c>
      <c r="J46" s="3" t="n">
        <v>5.6</v>
      </c>
      <c r="K46" s="3" t="n">
        <v>5.6</v>
      </c>
      <c r="L46" s="3" t="n">
        <v>5.6</v>
      </c>
    </row>
    <row r="47" customFormat="false" ht="15" hidden="false" customHeight="false" outlineLevel="0" collapsed="false">
      <c r="A47" s="0" t="s">
        <v>103</v>
      </c>
      <c r="C47" s="3" t="n">
        <v>22</v>
      </c>
      <c r="D47" s="3" t="n">
        <v>22</v>
      </c>
      <c r="E47" s="3" t="n">
        <v>22.5</v>
      </c>
      <c r="F47" s="3" t="n">
        <v>22.5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104</v>
      </c>
      <c r="B48" s="3" t="n">
        <v>8.5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20</v>
      </c>
    </row>
    <row r="51" customFormat="false" ht="15" hidden="false" customHeight="false" outlineLevel="0" collapsed="false">
      <c r="A51" s="0" t="s">
        <v>107</v>
      </c>
      <c r="B51" s="3" t="n">
        <v>-8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5</v>
      </c>
      <c r="D5" s="4" t="n">
        <f aca="false">Assumptions!D13</f>
        <v>4</v>
      </c>
      <c r="E5" s="4" t="n">
        <f aca="false">Assumptions!E13</f>
        <v>3.5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5935.9</v>
      </c>
      <c r="C6" s="0" t="n">
        <f aca="false">B6*(1+C5/100)</f>
        <v>6232.695</v>
      </c>
      <c r="D6" s="0" t="n">
        <f aca="false">C6*(1+D5/100)</f>
        <v>6482.0028</v>
      </c>
      <c r="E6" s="0" t="n">
        <f aca="false">D6*(1+E5/100)</f>
        <v>6708.872898</v>
      </c>
      <c r="F6" s="0" t="n">
        <f aca="false">E6*(1+F5/100)</f>
        <v>6910.13908494</v>
      </c>
      <c r="G6" s="0" t="n">
        <f aca="false">F6*(1+G5/100)</f>
        <v>7117.4432574882</v>
      </c>
      <c r="H6" s="0" t="n">
        <f aca="false">G6*(1+H5/100)</f>
        <v>7330.96655521285</v>
      </c>
      <c r="I6" s="0" t="n">
        <f aca="false">H6*(1+I5/100)</f>
        <v>7514.24071909317</v>
      </c>
      <c r="J6" s="0" t="n">
        <f aca="false">I6*(1+J5/100)</f>
        <v>7702.0967370705</v>
      </c>
      <c r="K6" s="0" t="n">
        <f aca="false">J6*(1+K5/100)</f>
        <v>7894.64915549726</v>
      </c>
      <c r="L6" s="0" t="n">
        <f aca="false">K6*(1+L5/100)</f>
        <v>8092.01538438469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27.8</v>
      </c>
      <c r="D7" s="4" t="n">
        <f aca="false">Assumptions!D14</f>
        <v>27.6</v>
      </c>
      <c r="E7" s="4" t="n">
        <f aca="false">Assumptions!E14</f>
        <v>27.4</v>
      </c>
      <c r="F7" s="4" t="n">
        <f aca="false">Assumptions!F14</f>
        <v>27.2</v>
      </c>
      <c r="G7" s="4" t="n">
        <f aca="false">Assumptions!G14</f>
        <v>27</v>
      </c>
      <c r="H7" s="4" t="n">
        <f aca="false">Assumptions!H14</f>
        <v>27</v>
      </c>
      <c r="I7" s="4" t="n">
        <f aca="false">Assumptions!I14</f>
        <v>27</v>
      </c>
      <c r="J7" s="4" t="n">
        <f aca="false">Assumptions!J14</f>
        <v>27</v>
      </c>
      <c r="K7" s="4" t="n">
        <f aca="false">Assumptions!K14</f>
        <v>27</v>
      </c>
      <c r="L7" s="4" t="n">
        <f aca="false">Assumptions!L14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1732.68921</v>
      </c>
      <c r="D8" s="0" t="n">
        <f aca="false">D6*D7/100</f>
        <v>1789.0327728</v>
      </c>
      <c r="E8" s="0" t="n">
        <f aca="false">E6*E7/100</f>
        <v>1838.231174052</v>
      </c>
      <c r="F8" s="0" t="n">
        <f aca="false">F6*F7/100</f>
        <v>1879.55783110368</v>
      </c>
      <c r="G8" s="0" t="n">
        <f aca="false">G6*G7/100</f>
        <v>1921.70967952181</v>
      </c>
      <c r="H8" s="0" t="n">
        <f aca="false">H6*H7/100</f>
        <v>1979.36096990747</v>
      </c>
      <c r="I8" s="0" t="n">
        <f aca="false">I6*I7/100</f>
        <v>2028.84499415515</v>
      </c>
      <c r="J8" s="0" t="n">
        <f aca="false">J6*J7/100</f>
        <v>2079.56611900903</v>
      </c>
      <c r="K8" s="0" t="n">
        <f aca="false">K6*K7/100</f>
        <v>2131.55527198426</v>
      </c>
      <c r="L8" s="0" t="n">
        <f aca="false">L6*L7/100</f>
        <v>2184.84415378387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1.25</v>
      </c>
      <c r="D9" s="4" t="n">
        <f aca="false">Assumptions!D15</f>
        <v>1.25</v>
      </c>
      <c r="E9" s="4" t="n">
        <f aca="false">Assumptions!E15</f>
        <v>1.25</v>
      </c>
      <c r="F9" s="4" t="n">
        <f aca="false">Assumptions!F15</f>
        <v>1.25</v>
      </c>
      <c r="G9" s="4" t="n">
        <f aca="false">Assumptions!G15</f>
        <v>1.25</v>
      </c>
      <c r="H9" s="4" t="n">
        <f aca="false">Assumptions!H15</f>
        <v>1.25</v>
      </c>
      <c r="I9" s="4" t="n">
        <f aca="false">Assumptions!I15</f>
        <v>1.25</v>
      </c>
      <c r="J9" s="4" t="n">
        <f aca="false">Assumptions!J15</f>
        <v>1.25</v>
      </c>
      <c r="K9" s="4" t="n">
        <f aca="false">Assumptions!K15</f>
        <v>1.25</v>
      </c>
      <c r="L9" s="4" t="n">
        <f aca="false">Assumptions!L15</f>
        <v>1.25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-77.9086875</v>
      </c>
      <c r="D10" s="0" t="n">
        <f aca="false">-D6*D9/100</f>
        <v>-81.025035</v>
      </c>
      <c r="E10" s="0" t="n">
        <f aca="false">-E6*E9/100</f>
        <v>-83.860911225</v>
      </c>
      <c r="F10" s="0" t="n">
        <f aca="false">-F6*F9/100</f>
        <v>-86.37673856175</v>
      </c>
      <c r="G10" s="0" t="n">
        <f aca="false">-G6*G9/100</f>
        <v>-88.9680407186025</v>
      </c>
      <c r="H10" s="0" t="n">
        <f aca="false">-H6*H9/100</f>
        <v>-91.6370819401606</v>
      </c>
      <c r="I10" s="0" t="n">
        <f aca="false">-I6*I9/100</f>
        <v>-93.9280089886646</v>
      </c>
      <c r="J10" s="0" t="n">
        <f aca="false">-J6*J9/100</f>
        <v>-96.2762092133812</v>
      </c>
      <c r="K10" s="0" t="n">
        <f aca="false">-K6*K9/100</f>
        <v>-98.6831144437157</v>
      </c>
      <c r="L10" s="0" t="n">
        <f aca="false">-L6*L9/100</f>
        <v>-101.150192304809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1654.7805225</v>
      </c>
      <c r="D11" s="0" t="n">
        <f aca="false">D8+D10+D24</f>
        <v>1708.0077378</v>
      </c>
      <c r="E11" s="0" t="n">
        <f aca="false">E8+E10+E24</f>
        <v>1754.370262827</v>
      </c>
      <c r="F11" s="0" t="n">
        <f aca="false">F8+F10+F24</f>
        <v>1793.18109254193</v>
      </c>
      <c r="G11" s="0" t="n">
        <f aca="false">G8+G10+G24</f>
        <v>1832.74163880321</v>
      </c>
      <c r="H11" s="0" t="n">
        <f aca="false">H8+H10+H24</f>
        <v>1887.72388796731</v>
      </c>
      <c r="I11" s="0" t="n">
        <f aca="false">I8+I10+I24</f>
        <v>1934.91698516649</v>
      </c>
      <c r="J11" s="0" t="n">
        <f aca="false">J8+J10+J24</f>
        <v>1983.28990979565</v>
      </c>
      <c r="K11" s="0" t="n">
        <f aca="false">K8+K10+K24</f>
        <v>2032.87215754054</v>
      </c>
      <c r="L11" s="0" t="n">
        <f aca="false">L8+L10+L24</f>
        <v>2083.69396147906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-230.609715</v>
      </c>
      <c r="D12" s="4" t="n">
        <f aca="false">-D6*Assumptions!D17/100</f>
        <v>-246.3161064</v>
      </c>
      <c r="E12" s="4" t="n">
        <f aca="false">-E6*Assumptions!E17/100</f>
        <v>-261.646043022</v>
      </c>
      <c r="F12" s="4" t="n">
        <f aca="false">-F6*Assumptions!F17/100</f>
        <v>-276.4055633976</v>
      </c>
      <c r="G12" s="4" t="n">
        <f aca="false">-G6*Assumptions!G17/100</f>
        <v>-291.815173557016</v>
      </c>
      <c r="H12" s="4" t="n">
        <f aca="false">-H6*Assumptions!H17/100</f>
        <v>-307.90059531894</v>
      </c>
      <c r="I12" s="4" t="n">
        <f aca="false">-I6*Assumptions!I17/100</f>
        <v>-315.598110201913</v>
      </c>
      <c r="J12" s="4" t="n">
        <f aca="false">-J6*Assumptions!J17/100</f>
        <v>-323.488062956961</v>
      </c>
      <c r="K12" s="4" t="n">
        <f aca="false">-K6*Assumptions!K17/100</f>
        <v>-331.575264530885</v>
      </c>
      <c r="L12" s="4" t="n">
        <f aca="false">-L6*Assumptions!L17/100</f>
        <v>-339.864646144157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1424.1708075</v>
      </c>
      <c r="D13" s="0" t="n">
        <f aca="false">D11+D12</f>
        <v>1461.6916314</v>
      </c>
      <c r="E13" s="0" t="n">
        <f aca="false">E11+E12</f>
        <v>1492.724219805</v>
      </c>
      <c r="F13" s="0" t="n">
        <f aca="false">F11+F12</f>
        <v>1516.77552914433</v>
      </c>
      <c r="G13" s="0" t="n">
        <f aca="false">G11+G12</f>
        <v>1540.9264652462</v>
      </c>
      <c r="H13" s="0" t="n">
        <f aca="false">H11+H12</f>
        <v>1579.82329264837</v>
      </c>
      <c r="I13" s="0" t="n">
        <f aca="false">I11+I12</f>
        <v>1619.31887496458</v>
      </c>
      <c r="J13" s="0" t="n">
        <f aca="false">J11+J12</f>
        <v>1659.80184683869</v>
      </c>
      <c r="K13" s="0" t="n">
        <f aca="false">K11+K12</f>
        <v>1701.29689300966</v>
      </c>
      <c r="L13" s="0" t="n">
        <f aca="false">L11+L12</f>
        <v>1743.8293153349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22</v>
      </c>
      <c r="D14" s="4" t="n">
        <f aca="false">Assumptions!D19</f>
        <v>22.5</v>
      </c>
      <c r="E14" s="4" t="n">
        <f aca="false">Assumptions!E19</f>
        <v>23</v>
      </c>
      <c r="F14" s="4" t="n">
        <f aca="false">Assumptions!F19</f>
        <v>23.5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1110.85322985</v>
      </c>
      <c r="D15" s="0" t="n">
        <f aca="false">D13-MAX(0,D13)*D14/100</f>
        <v>1132.811014335</v>
      </c>
      <c r="E15" s="0" t="n">
        <f aca="false">E13-MAX(0,E13)*E14/100</f>
        <v>1149.39764924985</v>
      </c>
      <c r="F15" s="0" t="n">
        <f aca="false">F13-MAX(0,F13)*F14/100</f>
        <v>1160.33327979541</v>
      </c>
      <c r="G15" s="0" t="n">
        <f aca="false">G13-MAX(0,G13)*G14/100</f>
        <v>1171.10411358711</v>
      </c>
      <c r="H15" s="0" t="n">
        <f aca="false">H13-MAX(0,H13)*H14/100</f>
        <v>1200.66570241276</v>
      </c>
      <c r="I15" s="0" t="n">
        <f aca="false">I13-MAX(0,I13)*I14/100</f>
        <v>1230.68234497308</v>
      </c>
      <c r="J15" s="0" t="n">
        <f aca="false">J13-MAX(0,J13)*J14/100</f>
        <v>1261.44940359741</v>
      </c>
      <c r="K15" s="0" t="n">
        <f aca="false">K13-MAX(0,K13)*K14/100</f>
        <v>1292.98563868734</v>
      </c>
      <c r="L15" s="0" t="n">
        <f aca="false">L13-MAX(0,L13)*L14/100</f>
        <v>1325.31027965452</v>
      </c>
    </row>
    <row r="16" customFormat="false" ht="15" hidden="false" customHeight="false" outlineLevel="0" collapsed="false">
      <c r="A16" s="0" t="s">
        <v>119</v>
      </c>
      <c r="C16" s="0" t="n">
        <f aca="false">-C12</f>
        <v>230.609715</v>
      </c>
      <c r="D16" s="0" t="n">
        <f aca="false">-D12</f>
        <v>246.3161064</v>
      </c>
      <c r="E16" s="0" t="n">
        <f aca="false">-E12</f>
        <v>261.646043022</v>
      </c>
      <c r="F16" s="0" t="n">
        <f aca="false">-F12</f>
        <v>276.4055633976</v>
      </c>
      <c r="G16" s="0" t="n">
        <f aca="false">-G12</f>
        <v>291.815173557016</v>
      </c>
      <c r="H16" s="0" t="n">
        <f aca="false">-H12</f>
        <v>307.90059531894</v>
      </c>
      <c r="I16" s="0" t="n">
        <f aca="false">-I12</f>
        <v>315.598110201913</v>
      </c>
      <c r="J16" s="0" t="n">
        <f aca="false">-J12</f>
        <v>323.488062956961</v>
      </c>
      <c r="K16" s="0" t="n">
        <f aca="false">-K12</f>
        <v>331.575264530885</v>
      </c>
      <c r="L16" s="0" t="n">
        <f aca="false">-L12</f>
        <v>339.864646144157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-405.125175</v>
      </c>
      <c r="D17" s="4" t="n">
        <f aca="false">-D6*Assumptions!D18/100</f>
        <v>-421.330182</v>
      </c>
      <c r="E17" s="4" t="n">
        <f aca="false">-E6*Assumptions!E18/100</f>
        <v>-436.07673837</v>
      </c>
      <c r="F17" s="4" t="n">
        <f aca="false">-F6*Assumptions!F18/100</f>
        <v>-442.24890143616</v>
      </c>
      <c r="G17" s="4" t="n">
        <f aca="false">-G6*Assumptions!G18/100</f>
        <v>-448.398925221757</v>
      </c>
      <c r="H17" s="4" t="n">
        <f aca="false">-H6*Assumptions!H18/100</f>
        <v>-454.519926423196</v>
      </c>
      <c r="I17" s="4" t="n">
        <f aca="false">-I6*Assumptions!I18/100</f>
        <v>-465.882924583776</v>
      </c>
      <c r="J17" s="4" t="n">
        <f aca="false">-J6*Assumptions!J18/100</f>
        <v>-477.529997698371</v>
      </c>
      <c r="K17" s="4" t="n">
        <f aca="false">-K6*Assumptions!K18/100</f>
        <v>-489.46824764083</v>
      </c>
      <c r="L17" s="4" t="n">
        <f aca="false">-L6*Assumptions!L18/100</f>
        <v>-501.704953831851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-23.7436</v>
      </c>
      <c r="D18" s="4" t="n">
        <f aca="false">(D6-C6)*Assumptions!$B$23/100</f>
        <v>-19.944624</v>
      </c>
      <c r="E18" s="4" t="n">
        <f aca="false">(E6-D6)*Assumptions!$B$23/100</f>
        <v>-18.14960784</v>
      </c>
      <c r="F18" s="4" t="n">
        <f aca="false">(F6-E6)*Assumptions!$B$23/100</f>
        <v>-16.1012949552</v>
      </c>
      <c r="G18" s="4" t="n">
        <f aca="false">(G6-F6)*Assumptions!$B$23/100</f>
        <v>-16.584333803856</v>
      </c>
      <c r="H18" s="4" t="n">
        <f aca="false">(H6-G6)*Assumptions!$B$23/100</f>
        <v>-17.0818638179717</v>
      </c>
      <c r="I18" s="4" t="n">
        <f aca="false">(I6-H6)*Assumptions!$B$23/100</f>
        <v>-14.6619331104257</v>
      </c>
      <c r="J18" s="4" t="n">
        <f aca="false">(J6-I6)*Assumptions!$B$23/100</f>
        <v>-15.0284814381863</v>
      </c>
      <c r="K18" s="4" t="n">
        <f aca="false">(K6-J6)*Assumptions!$B$23/100</f>
        <v>-15.4041934741409</v>
      </c>
      <c r="L18" s="4" t="n">
        <f aca="false">(L6-K6)*Assumptions!$B$23/100</f>
        <v>-15.7892983109945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912.59416985</v>
      </c>
      <c r="D19" s="0" t="n">
        <f aca="false">D15+D16+D17+D18</f>
        <v>937.852314735</v>
      </c>
      <c r="E19" s="0" t="n">
        <f aca="false">E15+E16+E17+E18</f>
        <v>956.81734606185</v>
      </c>
      <c r="F19" s="0" t="n">
        <f aca="false">F15+F16+F17+F18</f>
        <v>978.388646801652</v>
      </c>
      <c r="G19" s="0" t="n">
        <f aca="false">G15+G16+G17+G18</f>
        <v>997.936028118512</v>
      </c>
      <c r="H19" s="0" t="n">
        <f aca="false">H15+H16+H17+H18</f>
        <v>1036.96450749053</v>
      </c>
      <c r="I19" s="0" t="n">
        <f aca="false">I15+I16+I17+I18</f>
        <v>1065.73559748079</v>
      </c>
      <c r="J19" s="0" t="n">
        <f aca="false">J15+J16+J17+J18</f>
        <v>1092.37898741781</v>
      </c>
      <c r="K19" s="0" t="n">
        <f aca="false">K15+K16+K17+K18</f>
        <v>1119.68846210326</v>
      </c>
      <c r="L19" s="0" t="n">
        <f aca="false">L15+L16+L17+L18</f>
        <v>1147.68067365584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841.100617373272</v>
      </c>
      <c r="D21" s="0" t="n">
        <f aca="false">D19*D20</f>
        <v>796.66360698677</v>
      </c>
      <c r="E21" s="0" t="n">
        <f aca="false">E19*E20</f>
        <v>749.10004895082</v>
      </c>
      <c r="F21" s="0" t="n">
        <f aca="false">F19*F20</f>
        <v>705.980087551794</v>
      </c>
      <c r="G21" s="0" t="n">
        <f aca="false">G19*G20</f>
        <v>663.672788234856</v>
      </c>
      <c r="H21" s="0" t="n">
        <f aca="false">H19*H20</f>
        <v>635.60230398076</v>
      </c>
      <c r="I21" s="0" t="n">
        <f aca="false">I19*I20</f>
        <v>602.062121973426</v>
      </c>
      <c r="J21" s="0" t="n">
        <f aca="false">J19*J20</f>
        <v>568.768364076278</v>
      </c>
      <c r="K21" s="0" t="n">
        <f aca="false">K19*K20</f>
        <v>537.315735648097</v>
      </c>
      <c r="L21" s="0" t="n">
        <f aca="false">L19*L20</f>
        <v>507.602423077695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6607.86809785377</v>
      </c>
    </row>
    <row r="31" customFormat="false" ht="15" hidden="false" customHeight="false" outlineLevel="0" collapsed="false">
      <c r="A31" s="0" t="s">
        <v>128</v>
      </c>
      <c r="B31" s="0" t="n">
        <f aca="false">L19</f>
        <v>1147.68067365584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19606.2115082872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17215.2101048375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17215.2101048375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7614.03634616543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14221.9044440192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12810.6044440192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130.853977977724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-0.374921286052717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579.235057649652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764.261435903482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144.577129086541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9410.98152397786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60.3714532795294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7</v>
      </c>
      <c r="D5" s="4" t="n">
        <f aca="false">Assumptions!D27</f>
        <v>6.5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5935.9</v>
      </c>
      <c r="C6" s="0" t="n">
        <f aca="false">B6*(1+C5/100)</f>
        <v>6351.413</v>
      </c>
      <c r="D6" s="0" t="n">
        <f aca="false">C6*(1+D5/100)</f>
        <v>6764.254845</v>
      </c>
      <c r="E6" s="0" t="n">
        <f aca="false">D6*(1+E5/100)</f>
        <v>7170.1101357</v>
      </c>
      <c r="F6" s="0" t="n">
        <f aca="false">E6*(1+F5/100)</f>
        <v>7564.4661931635</v>
      </c>
      <c r="G6" s="0" t="n">
        <f aca="false">F6*(1+G5/100)</f>
        <v>7942.68950282167</v>
      </c>
      <c r="H6" s="0" t="n">
        <f aca="false">G6*(1+H5/100)</f>
        <v>8300.11053044865</v>
      </c>
      <c r="I6" s="0" t="n">
        <f aca="false">H6*(1+I5/100)</f>
        <v>8632.11495166659</v>
      </c>
      <c r="J6" s="0" t="n">
        <f aca="false">I6*(1+J5/100)</f>
        <v>8934.23897497492</v>
      </c>
      <c r="K6" s="0" t="n">
        <f aca="false">J6*(1+K5/100)</f>
        <v>9202.26614422417</v>
      </c>
      <c r="L6" s="0" t="n">
        <f aca="false">K6*(1+L5/100)</f>
        <v>9478.3341285509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28.6</v>
      </c>
      <c r="D7" s="4" t="n">
        <f aca="false">Assumptions!D28</f>
        <v>29</v>
      </c>
      <c r="E7" s="4" t="n">
        <f aca="false">Assumptions!E28</f>
        <v>29.3</v>
      </c>
      <c r="F7" s="4" t="n">
        <f aca="false">Assumptions!F28</f>
        <v>29.6</v>
      </c>
      <c r="G7" s="4" t="n">
        <f aca="false">Assumptions!G28</f>
        <v>29.8</v>
      </c>
      <c r="H7" s="4" t="n">
        <f aca="false">Assumptions!H28</f>
        <v>30</v>
      </c>
      <c r="I7" s="4" t="n">
        <f aca="false">Assumptions!I28</f>
        <v>30</v>
      </c>
      <c r="J7" s="4" t="n">
        <f aca="false">Assumptions!J28</f>
        <v>30</v>
      </c>
      <c r="K7" s="4" t="n">
        <f aca="false">Assumptions!K28</f>
        <v>30</v>
      </c>
      <c r="L7" s="4" t="n">
        <f aca="false">Assumptions!L28</f>
        <v>30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1816.504118</v>
      </c>
      <c r="D8" s="0" t="n">
        <f aca="false">D6*D7/100</f>
        <v>1961.63390505</v>
      </c>
      <c r="E8" s="0" t="n">
        <f aca="false">E6*E7/100</f>
        <v>2100.8422697601</v>
      </c>
      <c r="F8" s="0" t="n">
        <f aca="false">F6*F7/100</f>
        <v>2239.0819931764</v>
      </c>
      <c r="G8" s="0" t="n">
        <f aca="false">G6*G7/100</f>
        <v>2366.92147184086</v>
      </c>
      <c r="H8" s="0" t="n">
        <f aca="false">H6*H7/100</f>
        <v>2490.0331591346</v>
      </c>
      <c r="I8" s="0" t="n">
        <f aca="false">I6*I7/100</f>
        <v>2589.63448549998</v>
      </c>
      <c r="J8" s="0" t="n">
        <f aca="false">J6*J7/100</f>
        <v>2680.27169249248</v>
      </c>
      <c r="K8" s="0" t="n">
        <f aca="false">K6*K7/100</f>
        <v>2760.67984326725</v>
      </c>
      <c r="L8" s="0" t="n">
        <f aca="false">L6*L7/100</f>
        <v>2843.50023856527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1.25</v>
      </c>
      <c r="D9" s="4" t="n">
        <f aca="false">Assumptions!D29</f>
        <v>1.25</v>
      </c>
      <c r="E9" s="4" t="n">
        <f aca="false">Assumptions!E29</f>
        <v>1.2</v>
      </c>
      <c r="F9" s="4" t="n">
        <f aca="false">Assumptions!F29</f>
        <v>1.2</v>
      </c>
      <c r="G9" s="4" t="n">
        <f aca="false">Assumptions!G29</f>
        <v>1.2</v>
      </c>
      <c r="H9" s="4" t="n">
        <f aca="false">Assumptions!H29</f>
        <v>1.2</v>
      </c>
      <c r="I9" s="4" t="n">
        <f aca="false">Assumptions!I29</f>
        <v>1.2</v>
      </c>
      <c r="J9" s="4" t="n">
        <f aca="false">Assumptions!J29</f>
        <v>1.2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-79.3926625</v>
      </c>
      <c r="D10" s="0" t="n">
        <f aca="false">-D6*D9/100</f>
        <v>-84.5531855625</v>
      </c>
      <c r="E10" s="0" t="n">
        <f aca="false">-E6*E9/100</f>
        <v>-86.0413216284</v>
      </c>
      <c r="F10" s="0" t="n">
        <f aca="false">-F6*F9/100</f>
        <v>-90.773594317962</v>
      </c>
      <c r="G10" s="0" t="n">
        <f aca="false">-G6*G9/100</f>
        <v>-95.3122740338601</v>
      </c>
      <c r="H10" s="0" t="n">
        <f aca="false">-H6*H9/100</f>
        <v>-99.6013263653838</v>
      </c>
      <c r="I10" s="0" t="n">
        <f aca="false">-I6*I9/100</f>
        <v>-103.585379419999</v>
      </c>
      <c r="J10" s="0" t="n">
        <f aca="false">-J6*J9/100</f>
        <v>-107.210867699699</v>
      </c>
      <c r="K10" s="0" t="n">
        <f aca="false">-K6*K9/100</f>
        <v>-110.42719373069</v>
      </c>
      <c r="L10" s="0" t="n">
        <f aca="false">-L6*L9/100</f>
        <v>-113.740009542611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1737.1114555</v>
      </c>
      <c r="D11" s="0" t="n">
        <f aca="false">D8+D10+D24</f>
        <v>1877.0807194875</v>
      </c>
      <c r="E11" s="0" t="n">
        <f aca="false">E8+E10+E24</f>
        <v>2014.8009481317</v>
      </c>
      <c r="F11" s="0" t="n">
        <f aca="false">F8+F10+F24</f>
        <v>2148.30839885843</v>
      </c>
      <c r="G11" s="0" t="n">
        <f aca="false">G8+G10+G24</f>
        <v>2271.609197807</v>
      </c>
      <c r="H11" s="0" t="n">
        <f aca="false">H8+H10+H24</f>
        <v>2390.43183276921</v>
      </c>
      <c r="I11" s="0" t="n">
        <f aca="false">I8+I10+I24</f>
        <v>2486.04910607998</v>
      </c>
      <c r="J11" s="0" t="n">
        <f aca="false">J8+J10+J24</f>
        <v>2573.06082479278</v>
      </c>
      <c r="K11" s="0" t="n">
        <f aca="false">K8+K10+K24</f>
        <v>2650.25264953656</v>
      </c>
      <c r="L11" s="0" t="n">
        <f aca="false">L8+L10+L24</f>
        <v>2729.76022902266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-235.002281</v>
      </c>
      <c r="D12" s="4" t="n">
        <f aca="false">-D6*Assumptions!D31/100</f>
        <v>-253.6595566875</v>
      </c>
      <c r="E12" s="4" t="n">
        <f aca="false">-E6*Assumptions!E31/100</f>
        <v>-272.4641851566</v>
      </c>
      <c r="F12" s="4" t="n">
        <f aca="false">-F6*Assumptions!F31/100</f>
        <v>-291.231948436795</v>
      </c>
      <c r="G12" s="4" t="n">
        <f aca="false">-G6*Assumptions!G31/100</f>
        <v>-309.764890610045</v>
      </c>
      <c r="H12" s="4" t="n">
        <f aca="false">-H6*Assumptions!H31/100</f>
        <v>-327.854365952722</v>
      </c>
      <c r="I12" s="4" t="n">
        <f aca="false">-I6*Assumptions!I31/100</f>
        <v>-345.284598066664</v>
      </c>
      <c r="J12" s="4" t="n">
        <f aca="false">-J6*Assumptions!J31/100</f>
        <v>-357.369558998997</v>
      </c>
      <c r="K12" s="4" t="n">
        <f aca="false">-K6*Assumptions!K31/100</f>
        <v>-368.090645768967</v>
      </c>
      <c r="L12" s="4" t="n">
        <f aca="false">-L6*Assumptions!L31/100</f>
        <v>-379.133365142036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1502.1091745</v>
      </c>
      <c r="D13" s="0" t="n">
        <f aca="false">D11+D12</f>
        <v>1623.4211628</v>
      </c>
      <c r="E13" s="0" t="n">
        <f aca="false">E11+E12</f>
        <v>1742.3367629751</v>
      </c>
      <c r="F13" s="0" t="n">
        <f aca="false">F11+F12</f>
        <v>1857.07645042164</v>
      </c>
      <c r="G13" s="0" t="n">
        <f aca="false">G11+G12</f>
        <v>1961.84430719695</v>
      </c>
      <c r="H13" s="0" t="n">
        <f aca="false">H11+H12</f>
        <v>2062.57746681649</v>
      </c>
      <c r="I13" s="0" t="n">
        <f aca="false">I11+I12</f>
        <v>2140.76450801332</v>
      </c>
      <c r="J13" s="0" t="n">
        <f aca="false">J11+J12</f>
        <v>2215.69126579378</v>
      </c>
      <c r="K13" s="0" t="n">
        <f aca="false">K11+K12</f>
        <v>2282.1620037676</v>
      </c>
      <c r="L13" s="0" t="n">
        <f aca="false">L11+L12</f>
        <v>2350.62686388062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22.5</v>
      </c>
      <c r="F14" s="4" t="n">
        <f aca="false">Assumptions!F33</f>
        <v>22.5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1171.64515611</v>
      </c>
      <c r="D15" s="0" t="n">
        <f aca="false">D13-MAX(0,D13)*D14/100</f>
        <v>1266.268506984</v>
      </c>
      <c r="E15" s="0" t="n">
        <f aca="false">E13-MAX(0,E13)*E14/100</f>
        <v>1350.3109913057</v>
      </c>
      <c r="F15" s="0" t="n">
        <f aca="false">F13-MAX(0,F13)*F14/100</f>
        <v>1439.23424907677</v>
      </c>
      <c r="G15" s="0" t="n">
        <f aca="false">G13-MAX(0,G13)*G14/100</f>
        <v>1510.62011654165</v>
      </c>
      <c r="H15" s="0" t="n">
        <f aca="false">H13-MAX(0,H13)*H14/100</f>
        <v>1588.1846494487</v>
      </c>
      <c r="I15" s="0" t="n">
        <f aca="false">I13-MAX(0,I13)*I14/100</f>
        <v>1648.38867117025</v>
      </c>
      <c r="J15" s="0" t="n">
        <f aca="false">J13-MAX(0,J13)*J14/100</f>
        <v>1706.08227466121</v>
      </c>
      <c r="K15" s="0" t="n">
        <f aca="false">K13-MAX(0,K13)*K14/100</f>
        <v>1757.26474290105</v>
      </c>
      <c r="L15" s="0" t="n">
        <f aca="false">L13-MAX(0,L13)*L14/100</f>
        <v>1809.98268518808</v>
      </c>
    </row>
    <row r="16" customFormat="false" ht="15" hidden="false" customHeight="false" outlineLevel="0" collapsed="false">
      <c r="A16" s="0" t="s">
        <v>119</v>
      </c>
      <c r="C16" s="0" t="n">
        <f aca="false">-C12</f>
        <v>235.002281</v>
      </c>
      <c r="D16" s="0" t="n">
        <f aca="false">-D12</f>
        <v>253.6595566875</v>
      </c>
      <c r="E16" s="0" t="n">
        <f aca="false">-E12</f>
        <v>272.4641851566</v>
      </c>
      <c r="F16" s="0" t="n">
        <f aca="false">-F12</f>
        <v>291.231948436795</v>
      </c>
      <c r="G16" s="0" t="n">
        <f aca="false">-G12</f>
        <v>309.764890610045</v>
      </c>
      <c r="H16" s="0" t="n">
        <f aca="false">-H12</f>
        <v>327.854365952722</v>
      </c>
      <c r="I16" s="0" t="n">
        <f aca="false">-I12</f>
        <v>345.284598066664</v>
      </c>
      <c r="J16" s="0" t="n">
        <f aca="false">-J12</f>
        <v>357.369558998997</v>
      </c>
      <c r="K16" s="0" t="n">
        <f aca="false">-K12</f>
        <v>368.090645768967</v>
      </c>
      <c r="L16" s="0" t="n">
        <f aca="false">-L12</f>
        <v>379.133365142036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-393.787606</v>
      </c>
      <c r="D17" s="4" t="n">
        <f aca="false">-D6*Assumptions!D32/100</f>
        <v>-412.619545545</v>
      </c>
      <c r="E17" s="4" t="n">
        <f aca="false">-E6*Assumptions!E32/100</f>
        <v>-430.206608142</v>
      </c>
      <c r="F17" s="4" t="n">
        <f aca="false">-F6*Assumptions!F32/100</f>
        <v>-453.86797158981</v>
      </c>
      <c r="G17" s="4" t="n">
        <f aca="false">-G6*Assumptions!G32/100</f>
        <v>-468.618680666479</v>
      </c>
      <c r="H17" s="4" t="n">
        <f aca="false">-H6*Assumptions!H32/100</f>
        <v>-481.406410766022</v>
      </c>
      <c r="I17" s="4" t="n">
        <f aca="false">-I6*Assumptions!I32/100</f>
        <v>-500.662667196662</v>
      </c>
      <c r="J17" s="4" t="n">
        <f aca="false">-J6*Assumptions!J32/100</f>
        <v>-518.185860548546</v>
      </c>
      <c r="K17" s="4" t="n">
        <f aca="false">-K6*Assumptions!K32/100</f>
        <v>-533.731436365002</v>
      </c>
      <c r="L17" s="4" t="n">
        <f aca="false">-L6*Assumptions!L32/100</f>
        <v>-549.743379455952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-33.24104</v>
      </c>
      <c r="D18" s="4" t="n">
        <f aca="false">(D6-C6)*Assumptions!$B$37/100</f>
        <v>-33.0273476</v>
      </c>
      <c r="E18" s="4" t="n">
        <f aca="false">(E6-D6)*Assumptions!$B$37/100</f>
        <v>-32.468423256</v>
      </c>
      <c r="F18" s="4" t="n">
        <f aca="false">(F6-E6)*Assumptions!$B$37/100</f>
        <v>-31.54848459708</v>
      </c>
      <c r="G18" s="4" t="n">
        <f aca="false">(G6-F6)*Assumptions!$B$37/100</f>
        <v>-30.257864772654</v>
      </c>
      <c r="H18" s="4" t="n">
        <f aca="false">(H6-G6)*Assumptions!$B$37/100</f>
        <v>-28.5936822101579</v>
      </c>
      <c r="I18" s="4" t="n">
        <f aca="false">(I6-H6)*Assumptions!$B$37/100</f>
        <v>-26.5603536974356</v>
      </c>
      <c r="J18" s="4" t="n">
        <f aca="false">(J6-I6)*Assumptions!$B$37/100</f>
        <v>-24.1699218646664</v>
      </c>
      <c r="K18" s="4" t="n">
        <f aca="false">(K6-J6)*Assumptions!$B$37/100</f>
        <v>-21.4421735399398</v>
      </c>
      <c r="L18" s="4" t="n">
        <f aca="false">(L6-K6)*Assumptions!$B$37/100</f>
        <v>-22.0854387461381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979.61879111</v>
      </c>
      <c r="D19" s="0" t="n">
        <f aca="false">D15+D16+D17+D18</f>
        <v>1074.2811705265</v>
      </c>
      <c r="E19" s="0" t="n">
        <f aca="false">E15+E16+E17+E18</f>
        <v>1160.1001450643</v>
      </c>
      <c r="F19" s="0" t="n">
        <f aca="false">F15+F16+F17+F18</f>
        <v>1245.04974132668</v>
      </c>
      <c r="G19" s="0" t="n">
        <f aca="false">G15+G16+G17+G18</f>
        <v>1321.50846171257</v>
      </c>
      <c r="H19" s="0" t="n">
        <f aca="false">H15+H16+H17+H18</f>
        <v>1406.03892242524</v>
      </c>
      <c r="I19" s="0" t="n">
        <f aca="false">I15+I16+I17+I18</f>
        <v>1466.45024834282</v>
      </c>
      <c r="J19" s="0" t="n">
        <f aca="false">J15+J16+J17+J18</f>
        <v>1521.096051247</v>
      </c>
      <c r="K19" s="0" t="n">
        <f aca="false">K15+K16+K17+K18</f>
        <v>1570.18177876507</v>
      </c>
      <c r="L19" s="0" t="n">
        <f aca="false">L15+L16+L17+L18</f>
        <v>1617.28723212803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902.874461852535</v>
      </c>
      <c r="D21" s="0" t="n">
        <f aca="false">D19*D20</f>
        <v>912.553819810571</v>
      </c>
      <c r="E21" s="0" t="n">
        <f aca="false">E19*E20</f>
        <v>908.251798561506</v>
      </c>
      <c r="F21" s="0" t="n">
        <f aca="false">F19*F20</f>
        <v>898.395875975796</v>
      </c>
      <c r="G21" s="0" t="n">
        <f aca="false">G19*G20</f>
        <v>878.863154298884</v>
      </c>
      <c r="H21" s="0" t="n">
        <f aca="false">H19*H20</f>
        <v>861.824654676783</v>
      </c>
      <c r="I21" s="0" t="n">
        <f aca="false">I19*I20</f>
        <v>828.436387386084</v>
      </c>
      <c r="J21" s="0" t="n">
        <f aca="false">J19*J20</f>
        <v>791.988240926993</v>
      </c>
      <c r="K21" s="0" t="n">
        <f aca="false">K19*K20</f>
        <v>753.498322179362</v>
      </c>
      <c r="L21" s="0" t="n">
        <f aca="false">L19*L20</f>
        <v>715.302554695615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8451.98927036413</v>
      </c>
    </row>
    <row r="31" customFormat="false" ht="15" hidden="false" customHeight="false" outlineLevel="0" collapsed="false">
      <c r="A31" s="0" t="s">
        <v>128</v>
      </c>
      <c r="B31" s="0" t="n">
        <f aca="false">L19</f>
        <v>1617.28723212803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30287.3790743976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29111.1701783045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29111.1701783045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12875.4459845211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21327.4352548852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19916.1352548852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203.43345510608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-0.028215080223179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619.933432679154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942.085704484721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219.388706762503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13881.7154090989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84.9682733776988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8.5</v>
      </c>
      <c r="D5" s="4" t="n">
        <f aca="false">Assumptions!D41</f>
        <v>8</v>
      </c>
      <c r="E5" s="4" t="n">
        <f aca="false">Assumptions!E41</f>
        <v>7.5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5935.9</v>
      </c>
      <c r="C6" s="0" t="n">
        <f aca="false">B6*(1+C5/100)</f>
        <v>6440.4515</v>
      </c>
      <c r="D6" s="0" t="n">
        <f aca="false">C6*(1+D5/100)</f>
        <v>6955.68762</v>
      </c>
      <c r="E6" s="0" t="n">
        <f aca="false">D6*(1+E5/100)</f>
        <v>7477.3641915</v>
      </c>
      <c r="F6" s="0" t="n">
        <f aca="false">E6*(1+F5/100)</f>
        <v>8000.779684905</v>
      </c>
      <c r="G6" s="0" t="n">
        <f aca="false">F6*(1+G5/100)</f>
        <v>8520.83036442382</v>
      </c>
      <c r="H6" s="0" t="n">
        <f aca="false">G6*(1+H5/100)</f>
        <v>9032.08018628925</v>
      </c>
      <c r="I6" s="0" t="n">
        <f aca="false">H6*(1+I5/100)</f>
        <v>9483.68419560372</v>
      </c>
      <c r="J6" s="0" t="n">
        <f aca="false">I6*(1+J5/100)</f>
        <v>9910.44998440588</v>
      </c>
      <c r="K6" s="0" t="n">
        <f aca="false">J6*(1+K5/100)</f>
        <v>10306.8679837821</v>
      </c>
      <c r="L6" s="0" t="n">
        <f aca="false">K6*(1+L5/100)</f>
        <v>10667.6083632145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29</v>
      </c>
      <c r="D7" s="4" t="n">
        <f aca="false">Assumptions!D42</f>
        <v>29.6</v>
      </c>
      <c r="E7" s="4" t="n">
        <f aca="false">Assumptions!E42</f>
        <v>30.2</v>
      </c>
      <c r="F7" s="4" t="n">
        <f aca="false">Assumptions!F42</f>
        <v>30.7</v>
      </c>
      <c r="G7" s="4" t="n">
        <f aca="false">Assumptions!G42</f>
        <v>31.1</v>
      </c>
      <c r="H7" s="4" t="n">
        <f aca="false">Assumptions!H42</f>
        <v>31.4</v>
      </c>
      <c r="I7" s="4" t="n">
        <f aca="false">Assumptions!I42</f>
        <v>31.5</v>
      </c>
      <c r="J7" s="4" t="n">
        <f aca="false">Assumptions!J42</f>
        <v>31.5</v>
      </c>
      <c r="K7" s="4" t="n">
        <f aca="false">Assumptions!K42</f>
        <v>31.5</v>
      </c>
      <c r="L7" s="4" t="n">
        <f aca="false">Assumptions!L42</f>
        <v>31.5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1867.730935</v>
      </c>
      <c r="D8" s="0" t="n">
        <f aca="false">D6*D7/100</f>
        <v>2058.88353552</v>
      </c>
      <c r="E8" s="0" t="n">
        <f aca="false">E6*E7/100</f>
        <v>2258.163985833</v>
      </c>
      <c r="F8" s="0" t="n">
        <f aca="false">F6*F7/100</f>
        <v>2456.23936326583</v>
      </c>
      <c r="G8" s="0" t="n">
        <f aca="false">G6*G7/100</f>
        <v>2649.97824333581</v>
      </c>
      <c r="H8" s="0" t="n">
        <f aca="false">H6*H7/100</f>
        <v>2836.07317849483</v>
      </c>
      <c r="I8" s="0" t="n">
        <f aca="false">I6*I7/100</f>
        <v>2987.36052161517</v>
      </c>
      <c r="J8" s="0" t="n">
        <f aca="false">J6*J7/100</f>
        <v>3121.79174508785</v>
      </c>
      <c r="K8" s="0" t="n">
        <f aca="false">K6*K7/100</f>
        <v>3246.66341489137</v>
      </c>
      <c r="L8" s="0" t="n">
        <f aca="false">L6*L7/100</f>
        <v>3360.29663441256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1.25</v>
      </c>
      <c r="D9" s="4" t="n">
        <f aca="false">Assumptions!D43</f>
        <v>1.25</v>
      </c>
      <c r="E9" s="4" t="n">
        <f aca="false">Assumptions!E43</f>
        <v>1.2</v>
      </c>
      <c r="F9" s="4" t="n">
        <f aca="false">Assumptions!F43</f>
        <v>1.2</v>
      </c>
      <c r="G9" s="4" t="n">
        <f aca="false">Assumptions!G43</f>
        <v>1.2</v>
      </c>
      <c r="H9" s="4" t="n">
        <f aca="false">Assumptions!H43</f>
        <v>1.2</v>
      </c>
      <c r="I9" s="4" t="n">
        <f aca="false">Assumptions!I43</f>
        <v>1.2</v>
      </c>
      <c r="J9" s="4" t="n">
        <f aca="false">Assumptions!J43</f>
        <v>1.2</v>
      </c>
      <c r="K9" s="4" t="n">
        <f aca="false">Assumptions!K43</f>
        <v>1.2</v>
      </c>
      <c r="L9" s="4" t="n">
        <f aca="false">Assumptions!L43</f>
        <v>1.2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-80.50564375</v>
      </c>
      <c r="D10" s="0" t="n">
        <f aca="false">-D6*D9/100</f>
        <v>-86.94609525</v>
      </c>
      <c r="E10" s="0" t="n">
        <f aca="false">-E6*E9/100</f>
        <v>-89.728370298</v>
      </c>
      <c r="F10" s="0" t="n">
        <f aca="false">-F6*F9/100</f>
        <v>-96.00935621886</v>
      </c>
      <c r="G10" s="0" t="n">
        <f aca="false">-G6*G9/100</f>
        <v>-102.249964373086</v>
      </c>
      <c r="H10" s="0" t="n">
        <f aca="false">-H6*H9/100</f>
        <v>-108.384962235471</v>
      </c>
      <c r="I10" s="0" t="n">
        <f aca="false">-I6*I9/100</f>
        <v>-113.804210347245</v>
      </c>
      <c r="J10" s="0" t="n">
        <f aca="false">-J6*J9/100</f>
        <v>-118.925399812871</v>
      </c>
      <c r="K10" s="0" t="n">
        <f aca="false">-K6*K9/100</f>
        <v>-123.682415805385</v>
      </c>
      <c r="L10" s="0" t="n">
        <f aca="false">-L6*L9/100</f>
        <v>-128.011300358574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1787.22529125</v>
      </c>
      <c r="D11" s="0" t="n">
        <f aca="false">D8+D10+D24</f>
        <v>1971.93744027</v>
      </c>
      <c r="E11" s="0" t="n">
        <f aca="false">E8+E10+E24</f>
        <v>2168.435615535</v>
      </c>
      <c r="F11" s="0" t="n">
        <f aca="false">F8+F10+F24</f>
        <v>2360.23000704697</v>
      </c>
      <c r="G11" s="0" t="n">
        <f aca="false">G8+G10+G24</f>
        <v>2547.72827896272</v>
      </c>
      <c r="H11" s="0" t="n">
        <f aca="false">H8+H10+H24</f>
        <v>2727.68821625935</v>
      </c>
      <c r="I11" s="0" t="n">
        <f aca="false">I8+I10+I24</f>
        <v>2873.55631126793</v>
      </c>
      <c r="J11" s="0" t="n">
        <f aca="false">J8+J10+J24</f>
        <v>3002.86634527498</v>
      </c>
      <c r="K11" s="0" t="n">
        <f aca="false">K8+K10+K24</f>
        <v>3122.98099908598</v>
      </c>
      <c r="L11" s="0" t="n">
        <f aca="false">L8+L10+L24</f>
        <v>3232.28533405399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-238.2967055</v>
      </c>
      <c r="D12" s="4" t="n">
        <f aca="false">-D6*Assumptions!D45/100</f>
        <v>-260.83828575</v>
      </c>
      <c r="E12" s="4" t="n">
        <f aca="false">-E6*Assumptions!E45/100</f>
        <v>-284.139839277</v>
      </c>
      <c r="F12" s="4" t="n">
        <f aca="false">-F6*Assumptions!F45/100</f>
        <v>-308.030017868843</v>
      </c>
      <c r="G12" s="4" t="n">
        <f aca="false">-G6*Assumptions!G45/100</f>
        <v>-332.312384212529</v>
      </c>
      <c r="H12" s="4" t="n">
        <f aca="false">-H6*Assumptions!H45/100</f>
        <v>-356.767167358426</v>
      </c>
      <c r="I12" s="4" t="n">
        <f aca="false">-I6*Assumptions!I45/100</f>
        <v>-379.347367824149</v>
      </c>
      <c r="J12" s="4" t="n">
        <f aca="false">-J6*Assumptions!J45/100</f>
        <v>-396.417999376235</v>
      </c>
      <c r="K12" s="4" t="n">
        <f aca="false">-K6*Assumptions!K45/100</f>
        <v>-412.274719351285</v>
      </c>
      <c r="L12" s="4" t="n">
        <f aca="false">-L6*Assumptions!L45/100</f>
        <v>-426.70433452858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1548.92858575</v>
      </c>
      <c r="D13" s="0" t="n">
        <f aca="false">D11+D12</f>
        <v>1711.09915452</v>
      </c>
      <c r="E13" s="0" t="n">
        <f aca="false">E11+E12</f>
        <v>1884.295776258</v>
      </c>
      <c r="F13" s="0" t="n">
        <f aca="false">F11+F12</f>
        <v>2052.19998917813</v>
      </c>
      <c r="G13" s="0" t="n">
        <f aca="false">G11+G12</f>
        <v>2215.41589475019</v>
      </c>
      <c r="H13" s="0" t="n">
        <f aca="false">H11+H12</f>
        <v>2370.92104890093</v>
      </c>
      <c r="I13" s="0" t="n">
        <f aca="false">I11+I12</f>
        <v>2494.20894344378</v>
      </c>
      <c r="J13" s="0" t="n">
        <f aca="false">J11+J12</f>
        <v>2606.44834589875</v>
      </c>
      <c r="K13" s="0" t="n">
        <f aca="false">K11+K12</f>
        <v>2710.7062797347</v>
      </c>
      <c r="L13" s="0" t="n">
        <f aca="false">L11+L12</f>
        <v>2805.58099952541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22.5</v>
      </c>
      <c r="F14" s="4" t="n">
        <f aca="false">Assumptions!F47</f>
        <v>22.5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1208.164296885</v>
      </c>
      <c r="D15" s="0" t="n">
        <f aca="false">D13-MAX(0,D13)*D14/100</f>
        <v>1334.6573405256</v>
      </c>
      <c r="E15" s="0" t="n">
        <f aca="false">E13-MAX(0,E13)*E14/100</f>
        <v>1460.32922659995</v>
      </c>
      <c r="F15" s="0" t="n">
        <f aca="false">F13-MAX(0,F13)*F14/100</f>
        <v>1590.45499161305</v>
      </c>
      <c r="G15" s="0" t="n">
        <f aca="false">G13-MAX(0,G13)*G14/100</f>
        <v>1705.87023895765</v>
      </c>
      <c r="H15" s="0" t="n">
        <f aca="false">H13-MAX(0,H13)*H14/100</f>
        <v>1825.60920765372</v>
      </c>
      <c r="I15" s="0" t="n">
        <f aca="false">I13-MAX(0,I13)*I14/100</f>
        <v>1920.54088645171</v>
      </c>
      <c r="J15" s="0" t="n">
        <f aca="false">J13-MAX(0,J13)*J14/100</f>
        <v>2006.96522634204</v>
      </c>
      <c r="K15" s="0" t="n">
        <f aca="false">K13-MAX(0,K13)*K14/100</f>
        <v>2087.24383539572</v>
      </c>
      <c r="L15" s="0" t="n">
        <f aca="false">L13-MAX(0,L13)*L14/100</f>
        <v>2160.29736963457</v>
      </c>
    </row>
    <row r="16" customFormat="false" ht="15" hidden="false" customHeight="false" outlineLevel="0" collapsed="false">
      <c r="A16" s="0" t="s">
        <v>119</v>
      </c>
      <c r="C16" s="0" t="n">
        <f aca="false">-C12</f>
        <v>238.2967055</v>
      </c>
      <c r="D16" s="0" t="n">
        <f aca="false">-D12</f>
        <v>260.83828575</v>
      </c>
      <c r="E16" s="0" t="n">
        <f aca="false">-E12</f>
        <v>284.139839277</v>
      </c>
      <c r="F16" s="0" t="n">
        <f aca="false">-F12</f>
        <v>308.030017868843</v>
      </c>
      <c r="G16" s="0" t="n">
        <f aca="false">-G12</f>
        <v>332.312384212529</v>
      </c>
      <c r="H16" s="0" t="n">
        <f aca="false">-H12</f>
        <v>356.767167358426</v>
      </c>
      <c r="I16" s="0" t="n">
        <f aca="false">-I12</f>
        <v>379.347367824149</v>
      </c>
      <c r="J16" s="0" t="n">
        <f aca="false">-J12</f>
        <v>396.417999376235</v>
      </c>
      <c r="K16" s="0" t="n">
        <f aca="false">-K12</f>
        <v>412.274719351285</v>
      </c>
      <c r="L16" s="0" t="n">
        <f aca="false">-L12</f>
        <v>426.70433452858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-392.8675415</v>
      </c>
      <c r="D17" s="4" t="n">
        <f aca="false">-D6*Assumptions!D46/100</f>
        <v>-417.3412572</v>
      </c>
      <c r="E17" s="4" t="n">
        <f aca="false">-E6*Assumptions!E46/100</f>
        <v>-441.1644872985</v>
      </c>
      <c r="F17" s="4" t="n">
        <f aca="false">-F6*Assumptions!F46/100</f>
        <v>-464.04522172449</v>
      </c>
      <c r="G17" s="4" t="n">
        <f aca="false">-G6*Assumptions!G46/100</f>
        <v>-485.687330772158</v>
      </c>
      <c r="H17" s="4" t="n">
        <f aca="false">-H6*Assumptions!H46/100</f>
        <v>-505.796490432198</v>
      </c>
      <c r="I17" s="4" t="n">
        <f aca="false">-I6*Assumptions!I46/100</f>
        <v>-531.086314953808</v>
      </c>
      <c r="J17" s="4" t="n">
        <f aca="false">-J6*Assumptions!J46/100</f>
        <v>-554.985199126729</v>
      </c>
      <c r="K17" s="4" t="n">
        <f aca="false">-K6*Assumptions!K46/100</f>
        <v>-577.184607091799</v>
      </c>
      <c r="L17" s="4" t="n">
        <f aca="false">-L6*Assumptions!L46/100</f>
        <v>-597.386068340011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-40.36412</v>
      </c>
      <c r="D18" s="4" t="n">
        <f aca="false">(D6-C6)*Assumptions!$B$51/100</f>
        <v>-41.2188896</v>
      </c>
      <c r="E18" s="4" t="n">
        <f aca="false">(E6-D6)*Assumptions!$B$51/100</f>
        <v>-41.7341257199999</v>
      </c>
      <c r="F18" s="4" t="n">
        <f aca="false">(F6-E6)*Assumptions!$B$51/100</f>
        <v>-41.8732394724</v>
      </c>
      <c r="G18" s="4" t="n">
        <f aca="false">(G6-F6)*Assumptions!$B$51/100</f>
        <v>-41.604054361506</v>
      </c>
      <c r="H18" s="4" t="n">
        <f aca="false">(H6-G6)*Assumptions!$B$51/100</f>
        <v>-40.8999857492343</v>
      </c>
      <c r="I18" s="4" t="n">
        <f aca="false">(I6-H6)*Assumptions!$B$51/100</f>
        <v>-36.1283207451571</v>
      </c>
      <c r="J18" s="4" t="n">
        <f aca="false">(J6-I6)*Assumptions!$B$51/100</f>
        <v>-34.1412631041733</v>
      </c>
      <c r="K18" s="4" t="n">
        <f aca="false">(K6-J6)*Assumptions!$B$51/100</f>
        <v>-31.7134399500988</v>
      </c>
      <c r="L18" s="4" t="n">
        <f aca="false">(L6-K6)*Assumptions!$B$51/100</f>
        <v>-28.8592303545898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1013.229340885</v>
      </c>
      <c r="D19" s="0" t="n">
        <f aca="false">D15+D16+D17+D18</f>
        <v>1136.9354794756</v>
      </c>
      <c r="E19" s="0" t="n">
        <f aca="false">E15+E16+E17+E18</f>
        <v>1261.57045285845</v>
      </c>
      <c r="F19" s="0" t="n">
        <f aca="false">F15+F16+F17+F18</f>
        <v>1392.56654828501</v>
      </c>
      <c r="G19" s="0" t="n">
        <f aca="false">G15+G16+G17+G18</f>
        <v>1510.89123803651</v>
      </c>
      <c r="H19" s="0" t="n">
        <f aca="false">H15+H16+H17+H18</f>
        <v>1635.67989883071</v>
      </c>
      <c r="I19" s="0" t="n">
        <f aca="false">I15+I16+I17+I18</f>
        <v>1732.67361857689</v>
      </c>
      <c r="J19" s="0" t="n">
        <f aca="false">J15+J16+J17+J18</f>
        <v>1814.25676348737</v>
      </c>
      <c r="K19" s="0" t="n">
        <f aca="false">K15+K16+K17+K18</f>
        <v>1890.6205077051</v>
      </c>
      <c r="L19" s="0" t="n">
        <f aca="false">L15+L16+L17+L18</f>
        <v>1960.75640546854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933.851927082949</v>
      </c>
      <c r="D21" s="0" t="n">
        <f aca="false">D19*D20</f>
        <v>965.775853788019</v>
      </c>
      <c r="E21" s="0" t="n">
        <f aca="false">E19*E20</f>
        <v>987.693724283803</v>
      </c>
      <c r="F21" s="0" t="n">
        <f aca="false">F19*F20</f>
        <v>1004.84021037425</v>
      </c>
      <c r="G21" s="0" t="n">
        <f aca="false">G19*G20</f>
        <v>1004.81130294278</v>
      </c>
      <c r="H21" s="0" t="n">
        <f aca="false">H19*H20</f>
        <v>1002.58196376245</v>
      </c>
      <c r="I21" s="0" t="n">
        <f aca="false">I19*I20</f>
        <v>978.832984422838</v>
      </c>
      <c r="J21" s="0" t="n">
        <f aca="false">J19*J20</f>
        <v>944.628067061453</v>
      </c>
      <c r="K21" s="0" t="n">
        <f aca="false">K19*K20</f>
        <v>907.270355381465</v>
      </c>
      <c r="L21" s="0" t="n">
        <f aca="false">L19*L20</f>
        <v>867.213960578906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9597.50034967891</v>
      </c>
    </row>
    <row r="31" customFormat="false" ht="15" hidden="false" customHeight="false" outlineLevel="0" collapsed="false">
      <c r="A31" s="0" t="s">
        <v>128</v>
      </c>
      <c r="B31" s="0" t="n">
        <f aca="false">L19</f>
        <v>1960.75640546854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36719.6199569564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39215.1281093709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36719.6199569564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16240.5523526595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25838.0527023384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24426.7527023384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249.507177756266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0.191875311723827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664.199450013495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1060.29194621381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267.122003049701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16829.825813605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100.512047152524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130.853977977724</v>
      </c>
      <c r="C4" s="0" t="n">
        <f aca="false">B4/Assumptions!$B$2-1</f>
        <v>-0.374921286052717</v>
      </c>
      <c r="D4" s="4" t="n">
        <f aca="false">Assumptions!$B$24</f>
        <v>0.2</v>
      </c>
      <c r="E4" s="4" t="n">
        <f aca="false">DCF_Bear!$B$43</f>
        <v>144.577129086541</v>
      </c>
      <c r="F4" s="4" t="n">
        <f aca="false">DCF_Bear!$B$47</f>
        <v>60.3714532795294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203.43345510608</v>
      </c>
      <c r="C5" s="0" t="n">
        <f aca="false">B5/Assumptions!$B$2-1</f>
        <v>-0.028215080223179</v>
      </c>
      <c r="D5" s="4" t="n">
        <f aca="false">Assumptions!$B$38</f>
        <v>0.55</v>
      </c>
      <c r="E5" s="4" t="n">
        <f aca="false">DCF_Base!$B$43</f>
        <v>219.388706762503</v>
      </c>
      <c r="F5" s="4" t="n">
        <f aca="false">DCF_Base!$B$47</f>
        <v>84.9682733776988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249.507177756266</v>
      </c>
      <c r="C6" s="0" t="n">
        <f aca="false">B6/Assumptions!$B$2-1</f>
        <v>0.191875311723827</v>
      </c>
      <c r="D6" s="4" t="n">
        <f aca="false">Assumptions!$B$52</f>
        <v>0.25</v>
      </c>
      <c r="E6" s="4" t="n">
        <f aca="false">DCF_Bull!$B$43</f>
        <v>267.122003049701</v>
      </c>
      <c r="F6" s="4" t="n">
        <f aca="false">DCF_Bull!$B$47</f>
        <v>100.512047152524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200.435990342955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216.35971529911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-0.0444232078371238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55.9166255481141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83.9348528017713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203.43345510608</v>
      </c>
      <c r="C15" s="3" t="n">
        <v>8.5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189.642563255146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159.650034498257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137.187951289003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119.744510167429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84.9682733776988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239.381861549956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239.381861549956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239.381861549956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239.381861549956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239.381861549956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220.554787549042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220.554787549042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220.554787549042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220.554787549042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220.554787549042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186.572390722589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196.735865642638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203.43345510608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203.43345510608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203.43345510608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158.514827608411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165.466480750148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173.487618990614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182.845613604491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187.845090179028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137.115800950008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142.061242298332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147.666075826433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154.071599858549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161.462589126375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2026-10-02T08:54:49Z</dcterms:created>
  <dc:creator>openpyxl</dc:creator>
  <dc:description/>
  <dc:language>en-NZ</dc:language>
  <cp:lastModifiedBy/>
  <dcterms:modified xsi:type="dcterms:W3CDTF">2026-10-02T08:54:49Z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