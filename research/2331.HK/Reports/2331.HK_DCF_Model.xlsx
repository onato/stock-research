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<sst xmlns="http://schemas.openxmlformats.org/spreadsheetml/2006/main" count="354" uniqueCount="164">
  <si>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</si>
  <si>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2331.HK</t>
  </si>
  <si>
    <t xml:space="preserve">Company</t>
  </si>
  <si>
    <t xml:space="preserve">Li Ning Company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</si>
  <si>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</si>
  <si>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</si>
  <si>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</si>
  <si>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</si>
  <si>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(Friday HKEX session; 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</si>
  <si>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</si>
  <si>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</si>
  <si>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</si>
  <si>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</si>
  <si>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</si>
  <si>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</si>
  <si>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</si>
  <si>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</si>
  <si>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</si>
  <si>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</si>
  <si>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</si>
  <si>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</si>
  <si>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</si>
  <si>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2026-10-18T01:19:20Z</t>
  </si>
  <si>
    <t xml:space="preserve">Drivers file</t>
  </si>
  <si>
    <t xml:space="preserve">2331.HK_Drivers.json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</si>
  <si>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</si>
  <si>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</si>
  <si>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</si>
  <si>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Li Ning as a mature, ex-growth-but-cash-generative Chinese sportswear brand: owner FCF after leases and fully-expensed SBC, discounted at a CNY cost of equity, with the large net-cash and deposit pile credited separately (less an operating reserve). The question the price poses is whether the business is in structural decline; the base case says no, the bear case says slow erosion.
key_risks_to_valuation: Share loss to Anta's multi-brand portfolio and to a Nike/Adidas China recovery; Chinese discretionary consumption and property wealth effect; promotional intensity compressing gross margin; H1 FY2026 operating cash flow collapse (RMB954m vs 2,411m) proving structural rather than timing; Government grants (~1.4% of revenue) and favourable local tax treatment withdrawn; Capital allocation: the cash pile is credited to shareholders, but has not been bought back since FY2023; a large acquisition or Guangxi overrun would dissipate it; CNY/HKD rate: every RMB value is translated at a single dated rate</t>
  </si>
  <si>
    <t xml:space="preserve">Data sources</t>
  </si>
  <si>
    <t xml:space="preserve">price: Yahoo Finance chart API at inputs.price_as_of; 52-week range HK$12.04-23.42
fx: Yahoo Finance CNYHKD=X, 2026-10-16T22:01Z
financials: 2331.HK_Metrics.csv (core_metrics via financial-parser), FY2025 annual report (cash-flow reconciliation, notes 5/7), H1 FY2026 interim report (balance sheet, EPS note, cash-flow statement)
qualitative: 2331.HK_Analysis.json (2026-10-18)</t>
  </si>
  <si>
    <t xml:space="preserve">Scenario narrative: bear</t>
  </si>
  <si>
    <t xml:space="preserve">Scale wins: Anta (~2.7x Li Ning's revenue, multi-brand across Fila/Descente/Kolon) and recovering Nike/Adidas China squeeze the mid-premium middle where a single brand sits, while the 'strong supply, weak demand' consumer environment management flagged in H1 FY2026 persists. Revenue falls in FY2027-28 as franchisees destock, discounting deepens, the mix shifts further to lower-margin wholesale, and fixed store and marketing costs deleverage; margins settle about 3.5pp below FY2025. The net-cash balance sheet means this is an earnings and value problem, not a solvency one.</t>
  </si>
  <si>
    <t xml:space="preserve">Scenario narrative: base</t>
  </si>
  <si>
    <t xml:space="preserve">Li Ning grinds along as a mature, net-cash, single-brand domestic sportswear company: low-single-digit revenue growth in line with a China sportswear market that has slowed to low/mid-single digits for the large players, gross-margin gains from Super BOOM-led running and the Olympic-partner premium line roughly offset by Olympic-cycle and Curry Brand marketing and a promotional retail environment, store network flat (~7,600 POS) with direct retail rationalised and franchise/e-commerce growing. Owner FCF of ~RMB2.6bn/yr after leases, a ~50% payout continues, and the H1 FY2026 operating-cash-flow drop proves to be settlement and tax timing rather than a margin reset.</t>
  </si>
  <si>
    <t xml:space="preserve">Scenario narrative: bull</t>
  </si>
  <si>
    <t xml:space="preserve">The China sportswear demand inflection that the sell-side expects in 2026-27 arrives: Super BOOM Capsule and the marathon credibility translate into running share gains, the Curry partnership and Glory Gold Label rebuild basketball and premium pricing, outdoor/tennis/pickleball add incremental categories, and Loong Store formats lift same-store productivity. Revenue compounds 5-7% for several years and adjusted EBITDA margin recovers about 3pp toward the FY2021-22 China-chic peak, without reaching 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</si>
  <si>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</si>
  <si>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</si>
  <si>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</si>
  <si>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</si>
  <si>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</si>
  <si>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</si>
  <si>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</si>
  <si>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</si>
  <si>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</si>
  <si>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</si>
  <si>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</si>
  <si>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</si>
  <si>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</si>
  <si>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</si>
  <si>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</si>
  <si>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</si>
  <si>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</si>
  <si>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</si>
  <si>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</si>
  <si>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</si>
  <si>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</si>
  <si>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</si>
  <si>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</si>
  <si>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</si>
  <si>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</si>
  <si>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</si>
  <si>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</si>
  <si>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</si>
  <si>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</si>
  <si>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</si>
  <si>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</si>
  <si>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</si>
  <si>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</si>
  <si>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</si>
  <si>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</si>
  <si>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</si>
  <si>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</si>
  <si>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</si>
  <si>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</si>
  <si>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</si>
  <si>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</si>
  <si>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</si>
  <si>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</si>
  <si>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</si>
  <si>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</si>
  <si>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</si>
  <si>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</si>
  <si>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</si>
  <si>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</si>
  <si>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</si>
  <si>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</si>
  <si>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</si>
  <si>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</si>
  <si>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</si>
  <si>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</si>
  <si>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</si>
  <si>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</si>
  <si>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</si>
  <si>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</si>
  <si>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</si>
  <si>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</si>
  <si>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</si>
  <si>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</si>
  <si>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</si>
  <si>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</si>
  <si>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</si>
  <si>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</si>
  <si>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</si>
  <si>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</si>
  <si>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</si>
  <si>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</si>
  <si>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</si>
  <si>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2331.HK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</si>
  <si>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</si>
  <si>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</si>
  <si>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</si>
  <si>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</si>
  <si>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</si>
  <si>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</si>
  <si>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</si>
  <si>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</si>
  <si>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</si>
  <si>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</si>
  <si>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</si>
  <si>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</si>
  <si>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</si>
  <si>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</si>
  <si>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</si>
  <si>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</si>
  <si>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</si>
  <si>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</si>
  <si>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</si>
  <si>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</si>
  <si>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</si>
  <si>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</si>
  <si>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</si>
  <si>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</si>
  <si>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</si>
  <si>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</si>
  <si>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</si>
  <si>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</si>
  <si>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</si>
  <si>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</si>
  <si>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2331.HK owner-FCF component DCF: base case (millions, CNY)</t>
  </si>
  <si>
    <t xml:space="preserve">2331.HK owner-FCF component DCF: bull case (millions, CNY)</t>
  </si>
  <si>
    <t xml:space="preserve">2331.HK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</si>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</sst>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13.28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10510.898</v>
      </c>
      <c r="C2" s="0" t="n">
        <v>5458.124</v>
      </c>
      <c r="D2" s="0" t="n">
        <v>5052.774</v>
      </c>
      <c r="E2" s="0" t="n">
        <v>48.1</v>
      </c>
      <c r="F2" s="0" t="n">
        <v>777.177</v>
      </c>
      <c r="G2" s="0" t="n">
        <v>7.4</v>
      </c>
      <c r="H2" s="0" t="n">
        <v>1188.589</v>
      </c>
      <c r="I2" s="0" t="n">
        <v>715.263</v>
      </c>
      <c r="J2" s="0" t="n">
        <v>6.8</v>
      </c>
      <c r="K2" s="0" t="n">
        <v>0.2963</v>
      </c>
      <c r="L2" s="0" t="n">
        <v>1671.869</v>
      </c>
      <c r="M2" s="0" t="n">
        <v>600.949</v>
      </c>
      <c r="N2" s="0" t="n">
        <v>1070.92</v>
      </c>
      <c r="O2" s="0" t="n">
        <v>5817.04</v>
      </c>
      <c r="P2" s="0" t="n">
        <v>8727.305</v>
      </c>
      <c r="Q2" s="0" t="n">
        <v>2907.715</v>
      </c>
      <c r="R2" s="0" t="n">
        <v>0</v>
      </c>
      <c r="S2" s="0" t="n">
        <v>3671.542</v>
      </c>
      <c r="T2" s="0" t="n">
        <v>2450.4</v>
      </c>
      <c r="U2" s="0" t="n">
        <v>97.941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13869.63</v>
      </c>
      <c r="C3" s="0" t="n">
        <v>7064.168</v>
      </c>
      <c r="D3" s="0" t="n">
        <v>6805.462</v>
      </c>
      <c r="E3" s="0" t="n">
        <v>49.1</v>
      </c>
      <c r="F3" s="0" t="n">
        <v>1543.209</v>
      </c>
      <c r="G3" s="0" t="n">
        <v>11.1</v>
      </c>
      <c r="H3" s="0" t="n">
        <v>2364.18</v>
      </c>
      <c r="I3" s="0" t="n">
        <v>1499.139</v>
      </c>
      <c r="J3" s="0" t="n">
        <v>10.8</v>
      </c>
      <c r="K3" s="0" t="n">
        <v>0.6194</v>
      </c>
      <c r="L3" s="0" t="n">
        <v>3503.469</v>
      </c>
      <c r="M3" s="0" t="n">
        <v>685.805</v>
      </c>
      <c r="N3" s="0" t="n">
        <v>2817.664</v>
      </c>
      <c r="O3" s="0" t="n">
        <v>7121.639</v>
      </c>
      <c r="P3" s="0" t="n">
        <v>12547.474</v>
      </c>
      <c r="Q3" s="0" t="n">
        <v>5423.281</v>
      </c>
      <c r="R3" s="0" t="n">
        <v>894.321</v>
      </c>
      <c r="S3" s="0" t="n">
        <v>5961.445</v>
      </c>
      <c r="T3" s="0" t="n">
        <v>2493.2</v>
      </c>
      <c r="U3" s="0" t="n">
        <v>125.083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14456.971</v>
      </c>
      <c r="C4" s="0" t="n">
        <v>7362.627</v>
      </c>
      <c r="D4" s="0" t="n">
        <v>7094.344</v>
      </c>
      <c r="E4" s="0" t="n">
        <v>49.1</v>
      </c>
      <c r="F4" s="0" t="n">
        <v>2195.969</v>
      </c>
      <c r="G4" s="0" t="n">
        <v>15.2</v>
      </c>
      <c r="H4" s="0" t="n">
        <v>3208.785</v>
      </c>
      <c r="I4" s="0" t="n">
        <v>1698.484</v>
      </c>
      <c r="J4" s="0" t="n">
        <v>11.7</v>
      </c>
      <c r="K4" s="0" t="n">
        <v>0.6921</v>
      </c>
      <c r="L4" s="0" t="n">
        <v>2763.336</v>
      </c>
      <c r="M4" s="0" t="n">
        <v>745.634</v>
      </c>
      <c r="N4" s="0" t="n">
        <v>2017.702</v>
      </c>
      <c r="O4" s="0" t="n">
        <v>8686.863</v>
      </c>
      <c r="P4" s="0" t="n">
        <v>14593.865</v>
      </c>
      <c r="Q4" s="0" t="n">
        <v>5904.448</v>
      </c>
      <c r="R4" s="0" t="n">
        <v>1049.537</v>
      </c>
      <c r="S4" s="0" t="n">
        <v>7442.005</v>
      </c>
      <c r="T4" s="0" t="n">
        <v>2511.8</v>
      </c>
      <c r="U4" s="0" t="n">
        <v>80.388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22572.281</v>
      </c>
      <c r="C5" s="0" t="n">
        <v>10603.183</v>
      </c>
      <c r="D5" s="0" t="n">
        <v>11969.098</v>
      </c>
      <c r="E5" s="0" t="n">
        <v>53</v>
      </c>
      <c r="F5" s="0" t="n">
        <v>5136.376</v>
      </c>
      <c r="G5" s="0" t="n">
        <v>22.8</v>
      </c>
      <c r="H5" s="0" t="n">
        <v>6276.838</v>
      </c>
      <c r="I5" s="0" t="n">
        <v>4010.881</v>
      </c>
      <c r="J5" s="0" t="n">
        <v>17.8</v>
      </c>
      <c r="K5" s="0" t="n">
        <v>1.601</v>
      </c>
      <c r="L5" s="0" t="n">
        <v>6525.335</v>
      </c>
      <c r="M5" s="0" t="n">
        <v>1941.059</v>
      </c>
      <c r="N5" s="0" t="n">
        <v>4584.276</v>
      </c>
      <c r="O5" s="0" t="n">
        <v>21101.546</v>
      </c>
      <c r="P5" s="0" t="n">
        <v>30274.816</v>
      </c>
      <c r="Q5" s="0" t="n">
        <v>9170.709</v>
      </c>
      <c r="R5" s="0" t="n">
        <v>1323.443</v>
      </c>
      <c r="S5" s="0" t="n">
        <v>18481.086</v>
      </c>
      <c r="T5" s="0" t="n">
        <v>2539</v>
      </c>
      <c r="U5" s="0" t="n">
        <v>33.064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25803.383</v>
      </c>
      <c r="C6" s="0" t="n">
        <v>13318.59</v>
      </c>
      <c r="D6" s="0" t="n">
        <v>12484.793</v>
      </c>
      <c r="E6" s="0" t="n">
        <v>48.4</v>
      </c>
      <c r="F6" s="0" t="n">
        <v>4886.758</v>
      </c>
      <c r="G6" s="0" t="n">
        <v>18.9</v>
      </c>
      <c r="H6" s="0" t="n">
        <v>6340.552</v>
      </c>
      <c r="I6" s="0" t="n">
        <v>4063.834</v>
      </c>
      <c r="J6" s="0" t="n">
        <v>15.7</v>
      </c>
      <c r="K6" s="0" t="n">
        <v>1.5538</v>
      </c>
      <c r="L6" s="0" t="n">
        <v>3913.604</v>
      </c>
      <c r="M6" s="0" t="n">
        <v>2183.538</v>
      </c>
      <c r="N6" s="0" t="n">
        <v>1730.066</v>
      </c>
      <c r="O6" s="0" t="n">
        <v>24329.43</v>
      </c>
      <c r="P6" s="0" t="n">
        <v>33646.519</v>
      </c>
      <c r="Q6" s="0" t="n">
        <v>9314.591</v>
      </c>
      <c r="R6" s="0" t="n">
        <v>2141.667</v>
      </c>
      <c r="S6" s="0" t="n">
        <v>19048.838</v>
      </c>
      <c r="T6" s="0" t="n">
        <v>2633</v>
      </c>
      <c r="U6" s="0" t="n">
        <v>239.301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27598.491</v>
      </c>
      <c r="C7" s="0" t="n">
        <v>14246.436</v>
      </c>
      <c r="D7" s="0" t="n">
        <v>13352.055</v>
      </c>
      <c r="E7" s="0" t="n">
        <v>48.4</v>
      </c>
      <c r="F7" s="0" t="n">
        <v>3559.087</v>
      </c>
      <c r="G7" s="0" t="n">
        <v>12.9</v>
      </c>
      <c r="H7" s="0" t="n">
        <v>5455.745</v>
      </c>
      <c r="I7" s="0" t="n">
        <v>3186.91</v>
      </c>
      <c r="J7" s="0" t="n">
        <v>11.5</v>
      </c>
      <c r="K7" s="0" t="n">
        <v>1.2321</v>
      </c>
      <c r="L7" s="0" t="n">
        <v>4687.936</v>
      </c>
      <c r="M7" s="0" t="n">
        <v>1827.327</v>
      </c>
      <c r="N7" s="0" t="n">
        <v>2860.609</v>
      </c>
      <c r="O7" s="0" t="n">
        <v>24406.641</v>
      </c>
      <c r="P7" s="0" t="n">
        <v>34207.803</v>
      </c>
      <c r="Q7" s="0" t="n">
        <v>9801.162</v>
      </c>
      <c r="R7" s="0" t="n">
        <v>2541.953</v>
      </c>
      <c r="S7" s="0" t="n">
        <v>17974.712</v>
      </c>
      <c r="T7" s="0" t="n">
        <v>2598.2</v>
      </c>
      <c r="U7" s="0" t="n">
        <v>183.456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28675.643</v>
      </c>
      <c r="C8" s="0" t="n">
        <v>14519.54</v>
      </c>
      <c r="D8" s="0" t="n">
        <v>14156.103</v>
      </c>
      <c r="E8" s="0" t="n">
        <v>49.4</v>
      </c>
      <c r="F8" s="0" t="n">
        <v>3678.206</v>
      </c>
      <c r="G8" s="0" t="n">
        <v>12.8</v>
      </c>
      <c r="H8" s="0" t="n">
        <v>5535.773</v>
      </c>
      <c r="I8" s="0" t="n">
        <v>3012.918</v>
      </c>
      <c r="J8" s="0" t="n">
        <v>10.5</v>
      </c>
      <c r="K8" s="0" t="n">
        <v>1.1698</v>
      </c>
      <c r="L8" s="0" t="n">
        <v>5267.935</v>
      </c>
      <c r="M8" s="0" t="n">
        <v>1503.039</v>
      </c>
      <c r="N8" s="0" t="n">
        <v>3764.896</v>
      </c>
      <c r="O8" s="0" t="n">
        <v>26103.689</v>
      </c>
      <c r="P8" s="0" t="n">
        <v>35708.406</v>
      </c>
      <c r="Q8" s="0" t="n">
        <v>9604.717</v>
      </c>
      <c r="R8" s="0" t="n">
        <v>1936.137</v>
      </c>
      <c r="S8" s="0" t="n">
        <v>18140.927</v>
      </c>
      <c r="T8" s="0" t="n">
        <v>2585.8</v>
      </c>
      <c r="U8" s="0" t="n">
        <v>77.7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29598.417</v>
      </c>
      <c r="C9" s="0" t="n">
        <v>15109.58</v>
      </c>
      <c r="D9" s="0" t="n">
        <v>14488.837</v>
      </c>
      <c r="E9" s="0" t="n">
        <v>49</v>
      </c>
      <c r="F9" s="0" t="n">
        <v>3898.208</v>
      </c>
      <c r="G9" s="0" t="n">
        <v>13.2</v>
      </c>
      <c r="H9" s="0" t="n">
        <v>5274.29</v>
      </c>
      <c r="I9" s="0" t="n">
        <v>2935.743</v>
      </c>
      <c r="J9" s="0" t="n">
        <v>9.9</v>
      </c>
      <c r="K9" s="0" t="n">
        <v>1.1391</v>
      </c>
      <c r="L9" s="0" t="n">
        <v>4851.532</v>
      </c>
      <c r="M9" s="0" t="n">
        <v>1291.738</v>
      </c>
      <c r="N9" s="0" t="n">
        <v>3559.794</v>
      </c>
      <c r="O9" s="0" t="n">
        <v>27627.499</v>
      </c>
      <c r="P9" s="0" t="n">
        <v>37714.067</v>
      </c>
      <c r="Q9" s="0" t="n">
        <v>10086.568</v>
      </c>
      <c r="R9" s="0" t="n">
        <v>2055.154</v>
      </c>
      <c r="S9" s="0" t="n">
        <v>19973.44</v>
      </c>
      <c r="T9" s="0" t="n">
        <v>2585.9</v>
      </c>
      <c r="U9" s="0" t="n">
        <v>240.661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13.28</v>
      </c>
    </row>
    <row r="3" customFormat="false" ht="15" hidden="false" customHeight="false" outlineLevel="0" collapsed="false">
      <c r="A3" s="0" t="s">
        <v>75</v>
      </c>
      <c r="B3" s="3" t="n">
        <v>2586</v>
      </c>
    </row>
    <row r="4" customFormat="false" ht="15" hidden="false" customHeight="false" outlineLevel="0" collapsed="false">
      <c r="A4" s="0" t="s">
        <v>76</v>
      </c>
      <c r="B4" s="3" t="n">
        <v>-19388.5</v>
      </c>
    </row>
    <row r="5" customFormat="false" ht="15" hidden="false" customHeight="false" outlineLevel="0" collapsed="false">
      <c r="A5" s="0" t="s">
        <v>77</v>
      </c>
      <c r="B5" s="3" t="n">
        <v>51.4000000000001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29598.4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1.1724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1</v>
      </c>
      <c r="D13" s="3" t="n">
        <v>-3</v>
      </c>
      <c r="E13" s="3" t="n">
        <v>-2</v>
      </c>
      <c r="F13" s="3" t="n">
        <v>0</v>
      </c>
      <c r="G13" s="3" t="n">
        <v>1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19.5</v>
      </c>
      <c r="D14" s="3" t="n">
        <v>18</v>
      </c>
      <c r="E14" s="3" t="n">
        <v>17</v>
      </c>
      <c r="F14" s="3" t="n">
        <v>16.5</v>
      </c>
      <c r="G14" s="3" t="n">
        <v>16.5</v>
      </c>
      <c r="H14" s="3" t="n">
        <v>16.5</v>
      </c>
      <c r="I14" s="3" t="n">
        <v>16.5</v>
      </c>
      <c r="J14" s="3" t="n">
        <v>16.5</v>
      </c>
      <c r="K14" s="3" t="n">
        <v>16.5</v>
      </c>
      <c r="L14" s="3" t="n">
        <v>16.5</v>
      </c>
    </row>
    <row r="15" customFormat="false" ht="15" hidden="false" customHeight="false" outlineLevel="0" collapsed="false">
      <c r="A15" s="0" t="s">
        <v>97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98</v>
      </c>
      <c r="C16" s="3" t="n">
        <v>2.7</v>
      </c>
      <c r="D16" s="3" t="n">
        <v>2.8</v>
      </c>
      <c r="E16" s="3" t="n">
        <v>2.8</v>
      </c>
      <c r="F16" s="3" t="n">
        <v>2.8</v>
      </c>
      <c r="G16" s="3" t="n">
        <v>2.8</v>
      </c>
      <c r="H16" s="3" t="n">
        <v>2.8</v>
      </c>
      <c r="I16" s="3" t="n">
        <v>2.8</v>
      </c>
      <c r="J16" s="3" t="n">
        <v>2.8</v>
      </c>
      <c r="K16" s="3" t="n">
        <v>2.8</v>
      </c>
      <c r="L16" s="3" t="n">
        <v>2.8</v>
      </c>
    </row>
    <row r="17" customFormat="false" ht="15" hidden="false" customHeight="false" outlineLevel="0" collapsed="false">
      <c r="A17" s="0" t="s">
        <v>99</v>
      </c>
      <c r="C17" s="3" t="n">
        <v>3</v>
      </c>
      <c r="D17" s="3" t="n">
        <v>3.2</v>
      </c>
      <c r="E17" s="3" t="n">
        <v>3.3</v>
      </c>
      <c r="F17" s="3" t="n">
        <v>3.3</v>
      </c>
      <c r="G17" s="3" t="n">
        <v>3.3</v>
      </c>
      <c r="H17" s="3" t="n">
        <v>3.3</v>
      </c>
      <c r="I17" s="3" t="n">
        <v>3.3</v>
      </c>
      <c r="J17" s="3" t="n">
        <v>3.3</v>
      </c>
      <c r="K17" s="3" t="n">
        <v>3.3</v>
      </c>
      <c r="L17" s="3" t="n">
        <v>3.3</v>
      </c>
    </row>
    <row r="18" customFormat="false" ht="15" hidden="false" customHeight="false" outlineLevel="0" collapsed="false">
      <c r="A18" s="0" t="s">
        <v>100</v>
      </c>
      <c r="C18" s="3" t="n">
        <v>4.5</v>
      </c>
      <c r="D18" s="3" t="n">
        <v>4</v>
      </c>
      <c r="E18" s="3" t="n">
        <v>3.6</v>
      </c>
      <c r="F18" s="3" t="n">
        <v>3.5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101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</row>
    <row r="20" customFormat="false" ht="15" hidden="false" customHeight="false" outlineLevel="0" collapsed="false">
      <c r="A20" s="0" t="s">
        <v>102</v>
      </c>
      <c r="B20" s="3" t="n">
        <v>9.5</v>
      </c>
    </row>
    <row r="21" customFormat="false" ht="15" hidden="false" customHeight="false" outlineLevel="0" collapsed="false">
      <c r="A21" s="0" t="s">
        <v>103</v>
      </c>
      <c r="B21" s="3" t="n">
        <v>1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-5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2.5</v>
      </c>
      <c r="D27" s="3" t="n">
        <v>3</v>
      </c>
      <c r="E27" s="3" t="n">
        <v>3</v>
      </c>
      <c r="F27" s="3" t="n">
        <v>3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20</v>
      </c>
      <c r="D28" s="3" t="n">
        <v>20</v>
      </c>
      <c r="E28" s="3" t="n">
        <v>20</v>
      </c>
      <c r="F28" s="3" t="n">
        <v>20</v>
      </c>
      <c r="G28" s="3" t="n">
        <v>20</v>
      </c>
      <c r="H28" s="3" t="n">
        <v>20</v>
      </c>
      <c r="I28" s="3" t="n">
        <v>20</v>
      </c>
      <c r="J28" s="3" t="n">
        <v>20</v>
      </c>
      <c r="K28" s="3" t="n">
        <v>20</v>
      </c>
      <c r="L28" s="3" t="n">
        <v>20</v>
      </c>
    </row>
    <row r="29" customFormat="false" ht="15" hidden="false" customHeight="false" outlineLevel="0" collapsed="false">
      <c r="A29" s="0" t="s">
        <v>97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98</v>
      </c>
      <c r="C30" s="3" t="n">
        <v>2.6</v>
      </c>
      <c r="D30" s="3" t="n">
        <v>2.6</v>
      </c>
      <c r="E30" s="3" t="n">
        <v>2.6</v>
      </c>
      <c r="F30" s="3" t="n">
        <v>2.6</v>
      </c>
      <c r="G30" s="3" t="n">
        <v>2.6</v>
      </c>
      <c r="H30" s="3" t="n">
        <v>2.6</v>
      </c>
      <c r="I30" s="3" t="n">
        <v>2.6</v>
      </c>
      <c r="J30" s="3" t="n">
        <v>2.6</v>
      </c>
      <c r="K30" s="3" t="n">
        <v>2.6</v>
      </c>
      <c r="L30" s="3" t="n">
        <v>2.6</v>
      </c>
    </row>
    <row r="31" customFormat="false" ht="15" hidden="false" customHeight="false" outlineLevel="0" collapsed="false">
      <c r="A31" s="0" t="s">
        <v>99</v>
      </c>
      <c r="C31" s="3" t="n">
        <v>3</v>
      </c>
      <c r="D31" s="3" t="n">
        <v>3.1</v>
      </c>
      <c r="E31" s="3" t="n">
        <v>3.2</v>
      </c>
      <c r="F31" s="3" t="n">
        <v>3.2</v>
      </c>
      <c r="G31" s="3" t="n">
        <v>3.2</v>
      </c>
      <c r="H31" s="3" t="n">
        <v>3.2</v>
      </c>
      <c r="I31" s="3" t="n">
        <v>3.2</v>
      </c>
      <c r="J31" s="3" t="n">
        <v>3.2</v>
      </c>
      <c r="K31" s="3" t="n">
        <v>3.2</v>
      </c>
      <c r="L31" s="3" t="n">
        <v>3.2</v>
      </c>
    </row>
    <row r="32" customFormat="false" ht="15" hidden="false" customHeight="false" outlineLevel="0" collapsed="false">
      <c r="A32" s="0" t="s">
        <v>100</v>
      </c>
      <c r="C32" s="3" t="n">
        <v>4.5</v>
      </c>
      <c r="D32" s="3" t="n">
        <v>4.3</v>
      </c>
      <c r="E32" s="3" t="n">
        <v>4</v>
      </c>
      <c r="F32" s="3" t="n">
        <v>3.8</v>
      </c>
      <c r="G32" s="3" t="n">
        <v>3.6</v>
      </c>
      <c r="H32" s="3" t="n">
        <v>3.5</v>
      </c>
      <c r="I32" s="3" t="n">
        <v>3.5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101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</row>
    <row r="34" customFormat="false" ht="15" hidden="false" customHeight="false" outlineLevel="0" collapsed="false">
      <c r="A34" s="0" t="s">
        <v>102</v>
      </c>
      <c r="B34" s="3" t="n">
        <v>9.5</v>
      </c>
    </row>
    <row r="35" customFormat="false" ht="15" hidden="false" customHeight="false" outlineLevel="0" collapsed="false">
      <c r="A35" s="0" t="s">
        <v>103</v>
      </c>
      <c r="B35" s="3" t="n">
        <v>2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3.5</v>
      </c>
      <c r="D41" s="3" t="n">
        <v>6</v>
      </c>
      <c r="E41" s="3" t="n">
        <v>7</v>
      </c>
      <c r="F41" s="3" t="n">
        <v>7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20.5</v>
      </c>
      <c r="D42" s="3" t="n">
        <v>21</v>
      </c>
      <c r="E42" s="3" t="n">
        <v>21.5</v>
      </c>
      <c r="F42" s="3" t="n">
        <v>22</v>
      </c>
      <c r="G42" s="3" t="n">
        <v>22.5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97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98</v>
      </c>
      <c r="C44" s="3" t="n">
        <v>2.6</v>
      </c>
      <c r="D44" s="3" t="n">
        <v>2.5</v>
      </c>
      <c r="E44" s="3" t="n">
        <v>2.5</v>
      </c>
      <c r="F44" s="3" t="n">
        <v>2.4</v>
      </c>
      <c r="G44" s="3" t="n">
        <v>2.4</v>
      </c>
      <c r="H44" s="3" t="n">
        <v>2.4</v>
      </c>
      <c r="I44" s="3" t="n">
        <v>2.4</v>
      </c>
      <c r="J44" s="3" t="n">
        <v>2.4</v>
      </c>
      <c r="K44" s="3" t="n">
        <v>2.4</v>
      </c>
      <c r="L44" s="3" t="n">
        <v>2.4</v>
      </c>
    </row>
    <row r="45" customFormat="false" ht="15" hidden="false" customHeight="false" outlineLevel="0" collapsed="false">
      <c r="A45" s="0" t="s">
        <v>99</v>
      </c>
      <c r="C45" s="3" t="n">
        <v>3</v>
      </c>
      <c r="D45" s="3" t="n">
        <v>3.1</v>
      </c>
      <c r="E45" s="3" t="n">
        <v>3.2</v>
      </c>
      <c r="F45" s="3" t="n">
        <v>3.2</v>
      </c>
      <c r="G45" s="3" t="n">
        <v>3.2</v>
      </c>
      <c r="H45" s="3" t="n">
        <v>3.2</v>
      </c>
      <c r="I45" s="3" t="n">
        <v>3.2</v>
      </c>
      <c r="J45" s="3" t="n">
        <v>3.2</v>
      </c>
      <c r="K45" s="3" t="n">
        <v>3.2</v>
      </c>
      <c r="L45" s="3" t="n">
        <v>3.2</v>
      </c>
    </row>
    <row r="46" customFormat="false" ht="15" hidden="false" customHeight="false" outlineLevel="0" collapsed="false">
      <c r="A46" s="0" t="s">
        <v>100</v>
      </c>
      <c r="C46" s="3" t="n">
        <v>4.5</v>
      </c>
      <c r="D46" s="3" t="n">
        <v>4.5</v>
      </c>
      <c r="E46" s="3" t="n">
        <v>4.3</v>
      </c>
      <c r="F46" s="3" t="n">
        <v>4</v>
      </c>
      <c r="G46" s="3" t="n">
        <v>3.8</v>
      </c>
      <c r="H46" s="3" t="n">
        <v>3.6</v>
      </c>
      <c r="I46" s="3" t="n">
        <v>3.5</v>
      </c>
      <c r="J46" s="3" t="n">
        <v>3.5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101</v>
      </c>
      <c r="C47" s="3" t="n">
        <v>28</v>
      </c>
      <c r="D47" s="3" t="n">
        <v>27.5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102</v>
      </c>
      <c r="B48" s="3" t="n">
        <v>9.5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-5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1</v>
      </c>
      <c r="D5" s="4" t="n">
        <f aca="false">Assumptions!D13</f>
        <v>-3</v>
      </c>
      <c r="E5" s="4" t="n">
        <f aca="false">Assumptions!E13</f>
        <v>-2</v>
      </c>
      <c r="F5" s="4" t="n">
        <f aca="false">Assumptions!F13</f>
        <v>0</v>
      </c>
      <c r="G5" s="4" t="n">
        <f aca="false">Assumptions!G13</f>
        <v>1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29598.4</v>
      </c>
      <c r="C6" s="0" t="n">
        <f aca="false">B6*(1+C5/100)</f>
        <v>29894.384</v>
      </c>
      <c r="D6" s="0" t="n">
        <f aca="false">C6*(1+D5/100)</f>
        <v>28997.55248</v>
      </c>
      <c r="E6" s="0" t="n">
        <f aca="false">D6*(1+E5/100)</f>
        <v>28417.6014304</v>
      </c>
      <c r="F6" s="0" t="n">
        <f aca="false">E6*(1+F5/100)</f>
        <v>28417.6014304</v>
      </c>
      <c r="G6" s="0" t="n">
        <f aca="false">F6*(1+G5/100)</f>
        <v>28701.777444704</v>
      </c>
      <c r="H6" s="0" t="n">
        <f aca="false">G6*(1+H5/100)</f>
        <v>29132.3041063746</v>
      </c>
      <c r="I6" s="0" t="n">
        <f aca="false">H6*(1+I5/100)</f>
        <v>29569.2886679702</v>
      </c>
      <c r="J6" s="0" t="n">
        <f aca="false">I6*(1+J5/100)</f>
        <v>30012.8279979897</v>
      </c>
      <c r="K6" s="0" t="n">
        <f aca="false">J6*(1+K5/100)</f>
        <v>30463.0204179596</v>
      </c>
      <c r="L6" s="0" t="n">
        <f aca="false">K6*(1+L5/100)</f>
        <v>30919.965724229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19.5</v>
      </c>
      <c r="D7" s="4" t="n">
        <f aca="false">Assumptions!D14</f>
        <v>18</v>
      </c>
      <c r="E7" s="4" t="n">
        <f aca="false">Assumptions!E14</f>
        <v>17</v>
      </c>
      <c r="F7" s="4" t="n">
        <f aca="false">Assumptions!F14</f>
        <v>16.5</v>
      </c>
      <c r="G7" s="4" t="n">
        <f aca="false">Assumptions!G14</f>
        <v>16.5</v>
      </c>
      <c r="H7" s="4" t="n">
        <f aca="false">Assumptions!H14</f>
        <v>16.5</v>
      </c>
      <c r="I7" s="4" t="n">
        <f aca="false">Assumptions!I14</f>
        <v>16.5</v>
      </c>
      <c r="J7" s="4" t="n">
        <f aca="false">Assumptions!J14</f>
        <v>16.5</v>
      </c>
      <c r="K7" s="4" t="n">
        <f aca="false">Assumptions!K14</f>
        <v>16.5</v>
      </c>
      <c r="L7" s="4" t="n">
        <f aca="false">Assumptions!L14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5829.40488</v>
      </c>
      <c r="D8" s="0" t="n">
        <f aca="false">D6*D7/100</f>
        <v>5219.5594464</v>
      </c>
      <c r="E8" s="0" t="n">
        <f aca="false">E6*E7/100</f>
        <v>4830.992243168</v>
      </c>
      <c r="F8" s="0" t="n">
        <f aca="false">F6*F7/100</f>
        <v>4688.904236016</v>
      </c>
      <c r="G8" s="0" t="n">
        <f aca="false">G6*G7/100</f>
        <v>4735.79327837616</v>
      </c>
      <c r="H8" s="0" t="n">
        <f aca="false">H6*H7/100</f>
        <v>4806.8301775518</v>
      </c>
      <c r="I8" s="0" t="n">
        <f aca="false">I6*I7/100</f>
        <v>4878.93263021508</v>
      </c>
      <c r="J8" s="0" t="n">
        <f aca="false">J6*J7/100</f>
        <v>4952.1166196683</v>
      </c>
      <c r="K8" s="0" t="n">
        <f aca="false">K6*K7/100</f>
        <v>5026.39836896333</v>
      </c>
      <c r="L8" s="0" t="n">
        <f aca="false">L6*L7/100</f>
        <v>5101.79434449778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-149.47192</v>
      </c>
      <c r="D10" s="0" t="n">
        <f aca="false">-D6*D9/100</f>
        <v>-144.9877624</v>
      </c>
      <c r="E10" s="0" t="n">
        <f aca="false">-E6*E9/100</f>
        <v>-142.088007152</v>
      </c>
      <c r="F10" s="0" t="n">
        <f aca="false">-F6*F9/100</f>
        <v>-142.088007152</v>
      </c>
      <c r="G10" s="0" t="n">
        <f aca="false">-G6*G9/100</f>
        <v>-143.50888722352</v>
      </c>
      <c r="H10" s="0" t="n">
        <f aca="false">-H6*H9/100</f>
        <v>-145.661520531873</v>
      </c>
      <c r="I10" s="0" t="n">
        <f aca="false">-I6*I9/100</f>
        <v>-147.846443339851</v>
      </c>
      <c r="J10" s="0" t="n">
        <f aca="false">-J6*J9/100</f>
        <v>-150.064139989949</v>
      </c>
      <c r="K10" s="0" t="n">
        <f aca="false">-K6*K9/100</f>
        <v>-152.315102089798</v>
      </c>
      <c r="L10" s="0" t="n">
        <f aca="false">-L6*L9/100</f>
        <v>-154.599828621145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4872.784592</v>
      </c>
      <c r="D11" s="0" t="n">
        <f aca="false">D8+D10+D24</f>
        <v>4262.64021456</v>
      </c>
      <c r="E11" s="0" t="n">
        <f aca="false">E8+E10+E24</f>
        <v>3893.2113959648</v>
      </c>
      <c r="F11" s="0" t="n">
        <f aca="false">F8+F10+F24</f>
        <v>3751.1233888128</v>
      </c>
      <c r="G11" s="0" t="n">
        <f aca="false">G8+G10+G24</f>
        <v>3788.63462270093</v>
      </c>
      <c r="H11" s="0" t="n">
        <f aca="false">H8+H10+H24</f>
        <v>3845.46414204144</v>
      </c>
      <c r="I11" s="0" t="n">
        <f aca="false">I8+I10+I24</f>
        <v>3903.14610417206</v>
      </c>
      <c r="J11" s="0" t="n">
        <f aca="false">J8+J10+J24</f>
        <v>3961.69329573464</v>
      </c>
      <c r="K11" s="0" t="n">
        <f aca="false">K8+K10+K24</f>
        <v>4021.11869517066</v>
      </c>
      <c r="L11" s="0" t="n">
        <f aca="false">L8+L10+L24</f>
        <v>4081.43547559822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-896.83152</v>
      </c>
      <c r="D12" s="4" t="n">
        <f aca="false">-D6*Assumptions!D17/100</f>
        <v>-927.92167936</v>
      </c>
      <c r="E12" s="4" t="n">
        <f aca="false">-E6*Assumptions!E17/100</f>
        <v>-937.7808472032</v>
      </c>
      <c r="F12" s="4" t="n">
        <f aca="false">-F6*Assumptions!F17/100</f>
        <v>-937.7808472032</v>
      </c>
      <c r="G12" s="4" t="n">
        <f aca="false">-G6*Assumptions!G17/100</f>
        <v>-947.158655675232</v>
      </c>
      <c r="H12" s="4" t="n">
        <f aca="false">-H6*Assumptions!H17/100</f>
        <v>-961.36603551036</v>
      </c>
      <c r="I12" s="4" t="n">
        <f aca="false">-I6*Assumptions!I17/100</f>
        <v>-975.786526043016</v>
      </c>
      <c r="J12" s="4" t="n">
        <f aca="false">-J6*Assumptions!J17/100</f>
        <v>-990.423323933661</v>
      </c>
      <c r="K12" s="4" t="n">
        <f aca="false">-K6*Assumptions!K17/100</f>
        <v>-1005.27967379267</v>
      </c>
      <c r="L12" s="4" t="n">
        <f aca="false">-L6*Assumptions!L17/100</f>
        <v>-1020.35886889956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3975.953072</v>
      </c>
      <c r="D13" s="0" t="n">
        <f aca="false">D11+D12</f>
        <v>3334.7185352</v>
      </c>
      <c r="E13" s="0" t="n">
        <f aca="false">E11+E12</f>
        <v>2955.4305487616</v>
      </c>
      <c r="F13" s="0" t="n">
        <f aca="false">F11+F12</f>
        <v>2813.3425416096</v>
      </c>
      <c r="G13" s="0" t="n">
        <f aca="false">G11+G12</f>
        <v>2841.4759670257</v>
      </c>
      <c r="H13" s="0" t="n">
        <f aca="false">H11+H12</f>
        <v>2884.09810653108</v>
      </c>
      <c r="I13" s="0" t="n">
        <f aca="false">I11+I12</f>
        <v>2927.35957812905</v>
      </c>
      <c r="J13" s="0" t="n">
        <f aca="false">J11+J12</f>
        <v>2971.26997180098</v>
      </c>
      <c r="K13" s="0" t="n">
        <f aca="false">K11+K12</f>
        <v>3015.839021378</v>
      </c>
      <c r="L13" s="0" t="n">
        <f aca="false">L11+L12</f>
        <v>3061.07660669867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28</v>
      </c>
      <c r="D14" s="4" t="n">
        <f aca="false">Assumptions!D19</f>
        <v>28</v>
      </c>
      <c r="E14" s="4" t="n">
        <f aca="false">Assumptions!E19</f>
        <v>28</v>
      </c>
      <c r="F14" s="4" t="n">
        <f aca="false">Assumptions!F19</f>
        <v>28</v>
      </c>
      <c r="G14" s="4" t="n">
        <f aca="false">Assumptions!G19</f>
        <v>28</v>
      </c>
      <c r="H14" s="4" t="n">
        <f aca="false">Assumptions!H19</f>
        <v>28</v>
      </c>
      <c r="I14" s="4" t="n">
        <f aca="false">Assumptions!I19</f>
        <v>28</v>
      </c>
      <c r="J14" s="4" t="n">
        <f aca="false">Assumptions!J19</f>
        <v>28</v>
      </c>
      <c r="K14" s="4" t="n">
        <f aca="false">Assumptions!K19</f>
        <v>28</v>
      </c>
      <c r="L14" s="4" t="n">
        <f aca="false">Assumptions!L19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2862.68621184</v>
      </c>
      <c r="D15" s="0" t="n">
        <f aca="false">D13-MAX(0,D13)*D14/100</f>
        <v>2400.997345344</v>
      </c>
      <c r="E15" s="0" t="n">
        <f aca="false">E13-MAX(0,E13)*E14/100</f>
        <v>2127.90999510835</v>
      </c>
      <c r="F15" s="0" t="n">
        <f aca="false">F13-MAX(0,F13)*F14/100</f>
        <v>2025.60662995891</v>
      </c>
      <c r="G15" s="0" t="n">
        <f aca="false">G13-MAX(0,G13)*G14/100</f>
        <v>2045.8626962585</v>
      </c>
      <c r="H15" s="0" t="n">
        <f aca="false">H13-MAX(0,H13)*H14/100</f>
        <v>2076.55063670238</v>
      </c>
      <c r="I15" s="0" t="n">
        <f aca="false">I13-MAX(0,I13)*I14/100</f>
        <v>2107.69889625291</v>
      </c>
      <c r="J15" s="0" t="n">
        <f aca="false">J13-MAX(0,J13)*J14/100</f>
        <v>2139.31437969671</v>
      </c>
      <c r="K15" s="0" t="n">
        <f aca="false">K13-MAX(0,K13)*K14/100</f>
        <v>2171.40409539216</v>
      </c>
      <c r="L15" s="0" t="n">
        <f aca="false">L13-MAX(0,L13)*L14/100</f>
        <v>2203.97515682304</v>
      </c>
    </row>
    <row r="16" customFormat="false" ht="15" hidden="false" customHeight="false" outlineLevel="0" collapsed="false">
      <c r="A16" s="0" t="s">
        <v>117</v>
      </c>
      <c r="C16" s="0" t="n">
        <f aca="false">-C12</f>
        <v>896.83152</v>
      </c>
      <c r="D16" s="0" t="n">
        <f aca="false">-D12</f>
        <v>927.92167936</v>
      </c>
      <c r="E16" s="0" t="n">
        <f aca="false">-E12</f>
        <v>937.7808472032</v>
      </c>
      <c r="F16" s="0" t="n">
        <f aca="false">-F12</f>
        <v>937.7808472032</v>
      </c>
      <c r="G16" s="0" t="n">
        <f aca="false">-G12</f>
        <v>947.158655675232</v>
      </c>
      <c r="H16" s="0" t="n">
        <f aca="false">-H12</f>
        <v>961.36603551036</v>
      </c>
      <c r="I16" s="0" t="n">
        <f aca="false">-I12</f>
        <v>975.786526043016</v>
      </c>
      <c r="J16" s="0" t="n">
        <f aca="false">-J12</f>
        <v>990.423323933661</v>
      </c>
      <c r="K16" s="0" t="n">
        <f aca="false">-K12</f>
        <v>1005.27967379267</v>
      </c>
      <c r="L16" s="0" t="n">
        <f aca="false">-L12</f>
        <v>1020.35886889956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-1345.24728</v>
      </c>
      <c r="D17" s="4" t="n">
        <f aca="false">-D6*Assumptions!D18/100</f>
        <v>-1159.9020992</v>
      </c>
      <c r="E17" s="4" t="n">
        <f aca="false">-E6*Assumptions!E18/100</f>
        <v>-1023.0336514944</v>
      </c>
      <c r="F17" s="4" t="n">
        <f aca="false">-F6*Assumptions!F18/100</f>
        <v>-994.616050064</v>
      </c>
      <c r="G17" s="4" t="n">
        <f aca="false">-G6*Assumptions!G18/100</f>
        <v>-1004.56221056464</v>
      </c>
      <c r="H17" s="4" t="n">
        <f aca="false">-H6*Assumptions!H18/100</f>
        <v>-1019.63064372311</v>
      </c>
      <c r="I17" s="4" t="n">
        <f aca="false">-I6*Assumptions!I18/100</f>
        <v>-1034.92510337896</v>
      </c>
      <c r="J17" s="4" t="n">
        <f aca="false">-J6*Assumptions!J18/100</f>
        <v>-1050.44897992964</v>
      </c>
      <c r="K17" s="4" t="n">
        <f aca="false">-K6*Assumptions!K18/100</f>
        <v>-1066.20571462859</v>
      </c>
      <c r="L17" s="4" t="n">
        <f aca="false">-L6*Assumptions!L18/100</f>
        <v>-1082.19880034801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-14.7992</v>
      </c>
      <c r="D18" s="4" t="n">
        <f aca="false">(D6-C6)*Assumptions!$B$23/100</f>
        <v>44.841576</v>
      </c>
      <c r="E18" s="4" t="n">
        <f aca="false">(E6-D6)*Assumptions!$B$23/100</f>
        <v>28.99755248</v>
      </c>
      <c r="F18" s="4" t="n">
        <f aca="false">(F6-E6)*Assumptions!$B$23/100</f>
        <v>-0</v>
      </c>
      <c r="G18" s="4" t="n">
        <f aca="false">(G6-F6)*Assumptions!$B$23/100</f>
        <v>-14.2088007152001</v>
      </c>
      <c r="H18" s="4" t="n">
        <f aca="false">(H6-G6)*Assumptions!$B$23/100</f>
        <v>-21.5263330835278</v>
      </c>
      <c r="I18" s="4" t="n">
        <f aca="false">(I6-H6)*Assumptions!$B$23/100</f>
        <v>-21.8492280797807</v>
      </c>
      <c r="J18" s="4" t="n">
        <f aca="false">(J6-I6)*Assumptions!$B$23/100</f>
        <v>-22.1769665009775</v>
      </c>
      <c r="K18" s="4" t="n">
        <f aca="false">(K6-J6)*Assumptions!$B$23/100</f>
        <v>-22.5096209984922</v>
      </c>
      <c r="L18" s="4" t="n">
        <f aca="false">(L6-K6)*Assumptions!$B$23/100</f>
        <v>-22.8472653134695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2399.47125184</v>
      </c>
      <c r="D19" s="0" t="n">
        <f aca="false">D15+D16+D17+D18</f>
        <v>2213.858501504</v>
      </c>
      <c r="E19" s="0" t="n">
        <f aca="false">E15+E16+E17+E18</f>
        <v>2071.65474329715</v>
      </c>
      <c r="F19" s="0" t="n">
        <f aca="false">F15+F16+F17+F18</f>
        <v>1968.77142709811</v>
      </c>
      <c r="G19" s="0" t="n">
        <f aca="false">G15+G16+G17+G18</f>
        <v>1974.25034065389</v>
      </c>
      <c r="H19" s="0" t="n">
        <f aca="false">H15+H16+H17+H18</f>
        <v>1996.7596954061</v>
      </c>
      <c r="I19" s="0" t="n">
        <f aca="false">I15+I16+I17+I18</f>
        <v>2026.71109083719</v>
      </c>
      <c r="J19" s="0" t="n">
        <f aca="false">J15+J16+J17+J18</f>
        <v>2057.11175719975</v>
      </c>
      <c r="K19" s="0" t="n">
        <f aca="false">K15+K16+K17+K18</f>
        <v>2087.96843355775</v>
      </c>
      <c r="L19" s="0" t="n">
        <f aca="false">L15+L16+L17+L18</f>
        <v>2119.28796006111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2191.29794688585</v>
      </c>
      <c r="D21" s="0" t="n">
        <f aca="false">D19*D20</f>
        <v>1846.38227018119</v>
      </c>
      <c r="E21" s="0" t="n">
        <f aca="false">E19*E20</f>
        <v>1577.88381392998</v>
      </c>
      <c r="F21" s="0" t="n">
        <f aca="false">F19*F20</f>
        <v>1369.42679443454</v>
      </c>
      <c r="G21" s="0" t="n">
        <f aca="false">G19*G20</f>
        <v>1254.09843457549</v>
      </c>
      <c r="H21" s="0" t="n">
        <f aca="false">H19*H20</f>
        <v>1158.35342414771</v>
      </c>
      <c r="I21" s="0" t="n">
        <f aca="false">I19*I20</f>
        <v>1073.72486347938</v>
      </c>
      <c r="J21" s="0" t="n">
        <f aca="false">J19*J20</f>
        <v>995.279211353033</v>
      </c>
      <c r="K21" s="0" t="n">
        <f aca="false">K19*K20</f>
        <v>922.564748423131</v>
      </c>
      <c r="L21" s="0" t="n">
        <f aca="false">L19*L20</f>
        <v>855.162757670756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2.7</v>
      </c>
      <c r="D23" s="4" t="n">
        <f aca="false">Assumptions!D16</f>
        <v>2.8</v>
      </c>
      <c r="E23" s="4" t="n">
        <f aca="false">Assumptions!E16</f>
        <v>2.8</v>
      </c>
      <c r="F23" s="4" t="n">
        <f aca="false">Assumptions!F16</f>
        <v>2.8</v>
      </c>
      <c r="G23" s="4" t="n">
        <f aca="false">Assumptions!G16</f>
        <v>2.8</v>
      </c>
      <c r="H23" s="4" t="n">
        <f aca="false">Assumptions!H16</f>
        <v>2.8</v>
      </c>
      <c r="I23" s="4" t="n">
        <f aca="false">Assumptions!I16</f>
        <v>2.8</v>
      </c>
      <c r="J23" s="4" t="n">
        <f aca="false">Assumptions!J16</f>
        <v>2.8</v>
      </c>
      <c r="K23" s="4" t="n">
        <f aca="false">Assumptions!K16</f>
        <v>2.8</v>
      </c>
      <c r="L23" s="4" t="n">
        <f aca="false">Assumptions!L16</f>
        <v>2.8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-807.148368</v>
      </c>
      <c r="D24" s="0" t="n">
        <f aca="false">-D6*D23/100</f>
        <v>-811.93146944</v>
      </c>
      <c r="E24" s="0" t="n">
        <f aca="false">-E6*E23/100</f>
        <v>-795.6928400512</v>
      </c>
      <c r="F24" s="0" t="n">
        <f aca="false">-F6*F23/100</f>
        <v>-795.6928400512</v>
      </c>
      <c r="G24" s="0" t="n">
        <f aca="false">-G6*G23/100</f>
        <v>-803.649768451712</v>
      </c>
      <c r="H24" s="0" t="n">
        <f aca="false">-H6*H23/100</f>
        <v>-815.704514978488</v>
      </c>
      <c r="I24" s="0" t="n">
        <f aca="false">-I6*I23/100</f>
        <v>-827.940082703165</v>
      </c>
      <c r="J24" s="0" t="n">
        <f aca="false">-J6*J23/100</f>
        <v>-840.359183943712</v>
      </c>
      <c r="K24" s="0" t="n">
        <f aca="false">-K6*K23/100</f>
        <v>-852.964571702868</v>
      </c>
      <c r="L24" s="0" t="n">
        <f aca="false">-L6*L23/100</f>
        <v>-865.759040278411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13244.1742650811</v>
      </c>
    </row>
    <row r="31" customFormat="false" ht="15" hidden="false" customHeight="false" outlineLevel="0" collapsed="false">
      <c r="A31" s="0" t="s">
        <v>126</v>
      </c>
      <c r="B31" s="0" t="n">
        <f aca="false">L19</f>
        <v>2119.28796006111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25182.127525432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25431.4555207333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25182.127525432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10161.3457087937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23405.5199738748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42845.4199738748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19.4245825125177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0.462694466304044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920.756568070551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741.259486556235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20.1780812064251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15289.1488547266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15.3527344522303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2.5</v>
      </c>
      <c r="D5" s="4" t="n">
        <f aca="false">Assumptions!D27</f>
        <v>3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29598.4</v>
      </c>
      <c r="C6" s="0" t="n">
        <f aca="false">B6*(1+C5/100)</f>
        <v>30338.36</v>
      </c>
      <c r="D6" s="0" t="n">
        <f aca="false">C6*(1+D5/100)</f>
        <v>31248.5108</v>
      </c>
      <c r="E6" s="0" t="n">
        <f aca="false">D6*(1+E5/100)</f>
        <v>32185.966124</v>
      </c>
      <c r="F6" s="0" t="n">
        <f aca="false">E6*(1+F5/100)</f>
        <v>33151.54510772</v>
      </c>
      <c r="G6" s="0" t="n">
        <f aca="false">F6*(1+G5/100)</f>
        <v>34146.0914609516</v>
      </c>
      <c r="H6" s="0" t="n">
        <f aca="false">G6*(1+H5/100)</f>
        <v>35170.4742047802</v>
      </c>
      <c r="I6" s="0" t="n">
        <f aca="false">H6*(1+I5/100)</f>
        <v>36049.7360598997</v>
      </c>
      <c r="J6" s="0" t="n">
        <f aca="false">I6*(1+J5/100)</f>
        <v>36950.9794613971</v>
      </c>
      <c r="K6" s="0" t="n">
        <f aca="false">J6*(1+K5/100)</f>
        <v>37874.7539479321</v>
      </c>
      <c r="L6" s="0" t="n">
        <f aca="false">K6*(1+L5/100)</f>
        <v>38821.6227966304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20</v>
      </c>
      <c r="D7" s="4" t="n">
        <f aca="false">Assumptions!D28</f>
        <v>20</v>
      </c>
      <c r="E7" s="4" t="n">
        <f aca="false">Assumptions!E28</f>
        <v>20</v>
      </c>
      <c r="F7" s="4" t="n">
        <f aca="false">Assumptions!F28</f>
        <v>20</v>
      </c>
      <c r="G7" s="4" t="n">
        <f aca="false">Assumptions!G28</f>
        <v>20</v>
      </c>
      <c r="H7" s="4" t="n">
        <f aca="false">Assumptions!H28</f>
        <v>20</v>
      </c>
      <c r="I7" s="4" t="n">
        <f aca="false">Assumptions!I28</f>
        <v>20</v>
      </c>
      <c r="J7" s="4" t="n">
        <f aca="false">Assumptions!J28</f>
        <v>20</v>
      </c>
      <c r="K7" s="4" t="n">
        <f aca="false">Assumptions!K28</f>
        <v>20</v>
      </c>
      <c r="L7" s="4" t="n">
        <f aca="false">Assumptions!L28</f>
        <v>20</v>
      </c>
    </row>
    <row r="8" customFormat="false" ht="15" hidden="false" customHeight="false" outlineLevel="0" collapsed="false">
      <c r="A8" s="0" t="s">
        <v>44</v>
      </c>
      <c r="C8" s="0" t="n">
        <f aca="false">C6*C7/100</f>
        <v>6067.672</v>
      </c>
      <c r="D8" s="0" t="n">
        <f aca="false">D6*D7/100</f>
        <v>6249.70216</v>
      </c>
      <c r="E8" s="0" t="n">
        <f aca="false">E6*E7/100</f>
        <v>6437.1932248</v>
      </c>
      <c r="F8" s="0" t="n">
        <f aca="false">F6*F7/100</f>
        <v>6630.309021544</v>
      </c>
      <c r="G8" s="0" t="n">
        <f aca="false">G6*G7/100</f>
        <v>6829.21829219032</v>
      </c>
      <c r="H8" s="0" t="n">
        <f aca="false">H6*H7/100</f>
        <v>7034.09484095603</v>
      </c>
      <c r="I8" s="0" t="n">
        <f aca="false">I6*I7/100</f>
        <v>7209.94721197993</v>
      </c>
      <c r="J8" s="0" t="n">
        <f aca="false">J6*J7/100</f>
        <v>7390.19589227943</v>
      </c>
      <c r="K8" s="0" t="n">
        <f aca="false">K6*K7/100</f>
        <v>7574.95078958641</v>
      </c>
      <c r="L8" s="0" t="n">
        <f aca="false">L6*L7/100</f>
        <v>7764.32455932607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-151.6918</v>
      </c>
      <c r="D10" s="0" t="n">
        <f aca="false">-D6*D9/100</f>
        <v>-156.242554</v>
      </c>
      <c r="E10" s="0" t="n">
        <f aca="false">-E6*E9/100</f>
        <v>-160.92983062</v>
      </c>
      <c r="F10" s="0" t="n">
        <f aca="false">-F6*F9/100</f>
        <v>-165.7577255386</v>
      </c>
      <c r="G10" s="0" t="n">
        <f aca="false">-G6*G9/100</f>
        <v>-170.730457304758</v>
      </c>
      <c r="H10" s="0" t="n">
        <f aca="false">-H6*H9/100</f>
        <v>-175.852371023901</v>
      </c>
      <c r="I10" s="0" t="n">
        <f aca="false">-I6*I9/100</f>
        <v>-180.248680299498</v>
      </c>
      <c r="J10" s="0" t="n">
        <f aca="false">-J6*J9/100</f>
        <v>-184.754897306986</v>
      </c>
      <c r="K10" s="0" t="n">
        <f aca="false">-K6*K9/100</f>
        <v>-189.37376973966</v>
      </c>
      <c r="L10" s="0" t="n">
        <f aca="false">-L6*L9/100</f>
        <v>-194.108113983152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5127.18284</v>
      </c>
      <c r="D11" s="0" t="n">
        <f aca="false">D8+D10+D24</f>
        <v>5280.9983252</v>
      </c>
      <c r="E11" s="0" t="n">
        <f aca="false">E8+E10+E24</f>
        <v>5439.428274956</v>
      </c>
      <c r="F11" s="0" t="n">
        <f aca="false">F8+F10+F24</f>
        <v>5602.61112320468</v>
      </c>
      <c r="G11" s="0" t="n">
        <f aca="false">G8+G10+G24</f>
        <v>5770.68945690082</v>
      </c>
      <c r="H11" s="0" t="n">
        <f aca="false">H8+H10+H24</f>
        <v>5943.81014060785</v>
      </c>
      <c r="I11" s="0" t="n">
        <f aca="false">I8+I10+I24</f>
        <v>6092.40539412304</v>
      </c>
      <c r="J11" s="0" t="n">
        <f aca="false">J8+J10+J24</f>
        <v>6244.71552897612</v>
      </c>
      <c r="K11" s="0" t="n">
        <f aca="false">K8+K10+K24</f>
        <v>6400.83341720052</v>
      </c>
      <c r="L11" s="0" t="n">
        <f aca="false">L8+L10+L24</f>
        <v>6560.85425263053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-910.1508</v>
      </c>
      <c r="D12" s="4" t="n">
        <f aca="false">-D6*Assumptions!D31/100</f>
        <v>-968.7038348</v>
      </c>
      <c r="E12" s="4" t="n">
        <f aca="false">-E6*Assumptions!E31/100</f>
        <v>-1029.950915968</v>
      </c>
      <c r="F12" s="4" t="n">
        <f aca="false">-F6*Assumptions!F31/100</f>
        <v>-1060.84944344704</v>
      </c>
      <c r="G12" s="4" t="n">
        <f aca="false">-G6*Assumptions!G31/100</f>
        <v>-1092.67492675045</v>
      </c>
      <c r="H12" s="4" t="n">
        <f aca="false">-H6*Assumptions!H31/100</f>
        <v>-1125.45517455297</v>
      </c>
      <c r="I12" s="4" t="n">
        <f aca="false">-I6*Assumptions!I31/100</f>
        <v>-1153.59155391679</v>
      </c>
      <c r="J12" s="4" t="n">
        <f aca="false">-J6*Assumptions!J31/100</f>
        <v>-1182.43134276471</v>
      </c>
      <c r="K12" s="4" t="n">
        <f aca="false">-K6*Assumptions!K31/100</f>
        <v>-1211.99212633383</v>
      </c>
      <c r="L12" s="4" t="n">
        <f aca="false">-L6*Assumptions!L31/100</f>
        <v>-1242.29192949217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4217.03204</v>
      </c>
      <c r="D13" s="0" t="n">
        <f aca="false">D11+D12</f>
        <v>4312.2944904</v>
      </c>
      <c r="E13" s="0" t="n">
        <f aca="false">E11+E12</f>
        <v>4409.477358988</v>
      </c>
      <c r="F13" s="0" t="n">
        <f aca="false">F11+F12</f>
        <v>4541.76167975764</v>
      </c>
      <c r="G13" s="0" t="n">
        <f aca="false">G11+G12</f>
        <v>4678.01453015037</v>
      </c>
      <c r="H13" s="0" t="n">
        <f aca="false">H11+H12</f>
        <v>4818.35496605488</v>
      </c>
      <c r="I13" s="0" t="n">
        <f aca="false">I11+I12</f>
        <v>4938.81384020625</v>
      </c>
      <c r="J13" s="0" t="n">
        <f aca="false">J11+J12</f>
        <v>5062.28418621141</v>
      </c>
      <c r="K13" s="0" t="n">
        <f aca="false">K11+K12</f>
        <v>5188.84129086669</v>
      </c>
      <c r="L13" s="0" t="n">
        <f aca="false">L11+L12</f>
        <v>5318.56232313836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28</v>
      </c>
      <c r="D14" s="4" t="n">
        <f aca="false">Assumptions!D33</f>
        <v>28</v>
      </c>
      <c r="E14" s="4" t="n">
        <f aca="false">Assumptions!E33</f>
        <v>28</v>
      </c>
      <c r="F14" s="4" t="n">
        <f aca="false">Assumptions!F33</f>
        <v>28</v>
      </c>
      <c r="G14" s="4" t="n">
        <f aca="false">Assumptions!G33</f>
        <v>28</v>
      </c>
      <c r="H14" s="4" t="n">
        <f aca="false">Assumptions!H33</f>
        <v>28</v>
      </c>
      <c r="I14" s="4" t="n">
        <f aca="false">Assumptions!I33</f>
        <v>28</v>
      </c>
      <c r="J14" s="4" t="n">
        <f aca="false">Assumptions!J33</f>
        <v>28</v>
      </c>
      <c r="K14" s="4" t="n">
        <f aca="false">Assumptions!K33</f>
        <v>28</v>
      </c>
      <c r="L14" s="4" t="n">
        <f aca="false">Assumptions!L33</f>
        <v>28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3036.2630688</v>
      </c>
      <c r="D15" s="0" t="n">
        <f aca="false">D13-MAX(0,D13)*D14/100</f>
        <v>3104.852033088</v>
      </c>
      <c r="E15" s="0" t="n">
        <f aca="false">E13-MAX(0,E13)*E14/100</f>
        <v>3174.82369847136</v>
      </c>
      <c r="F15" s="0" t="n">
        <f aca="false">F13-MAX(0,F13)*F14/100</f>
        <v>3270.0684094255</v>
      </c>
      <c r="G15" s="0" t="n">
        <f aca="false">G13-MAX(0,G13)*G14/100</f>
        <v>3368.17046170827</v>
      </c>
      <c r="H15" s="0" t="n">
        <f aca="false">H13-MAX(0,H13)*H14/100</f>
        <v>3469.21557555952</v>
      </c>
      <c r="I15" s="0" t="n">
        <f aca="false">I13-MAX(0,I13)*I14/100</f>
        <v>3555.9459649485</v>
      </c>
      <c r="J15" s="0" t="n">
        <f aca="false">J13-MAX(0,J13)*J14/100</f>
        <v>3644.84461407221</v>
      </c>
      <c r="K15" s="0" t="n">
        <f aca="false">K13-MAX(0,K13)*K14/100</f>
        <v>3735.96572942402</v>
      </c>
      <c r="L15" s="0" t="n">
        <f aca="false">L13-MAX(0,L13)*L14/100</f>
        <v>3829.36487265962</v>
      </c>
    </row>
    <row r="16" customFormat="false" ht="15" hidden="false" customHeight="false" outlineLevel="0" collapsed="false">
      <c r="A16" s="0" t="s">
        <v>117</v>
      </c>
      <c r="C16" s="0" t="n">
        <f aca="false">-C12</f>
        <v>910.1508</v>
      </c>
      <c r="D16" s="0" t="n">
        <f aca="false">-D12</f>
        <v>968.7038348</v>
      </c>
      <c r="E16" s="0" t="n">
        <f aca="false">-E12</f>
        <v>1029.950915968</v>
      </c>
      <c r="F16" s="0" t="n">
        <f aca="false">-F12</f>
        <v>1060.84944344704</v>
      </c>
      <c r="G16" s="0" t="n">
        <f aca="false">-G12</f>
        <v>1092.67492675045</v>
      </c>
      <c r="H16" s="0" t="n">
        <f aca="false">-H12</f>
        <v>1125.45517455297</v>
      </c>
      <c r="I16" s="0" t="n">
        <f aca="false">-I12</f>
        <v>1153.59155391679</v>
      </c>
      <c r="J16" s="0" t="n">
        <f aca="false">-J12</f>
        <v>1182.43134276471</v>
      </c>
      <c r="K16" s="0" t="n">
        <f aca="false">-K12</f>
        <v>1211.99212633383</v>
      </c>
      <c r="L16" s="0" t="n">
        <f aca="false">-L12</f>
        <v>1242.29192949217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-1365.2262</v>
      </c>
      <c r="D17" s="4" t="n">
        <f aca="false">-D6*Assumptions!D32/100</f>
        <v>-1343.6859644</v>
      </c>
      <c r="E17" s="4" t="n">
        <f aca="false">-E6*Assumptions!E32/100</f>
        <v>-1287.43864496</v>
      </c>
      <c r="F17" s="4" t="n">
        <f aca="false">-F6*Assumptions!F32/100</f>
        <v>-1259.75871409336</v>
      </c>
      <c r="G17" s="4" t="n">
        <f aca="false">-G6*Assumptions!G32/100</f>
        <v>-1229.25929259426</v>
      </c>
      <c r="H17" s="4" t="n">
        <f aca="false">-H6*Assumptions!H32/100</f>
        <v>-1230.96659716731</v>
      </c>
      <c r="I17" s="4" t="n">
        <f aca="false">-I6*Assumptions!I32/100</f>
        <v>-1261.74076209649</v>
      </c>
      <c r="J17" s="4" t="n">
        <f aca="false">-J6*Assumptions!J32/100</f>
        <v>-1293.2842811489</v>
      </c>
      <c r="K17" s="4" t="n">
        <f aca="false">-K6*Assumptions!K32/100</f>
        <v>-1325.61638817762</v>
      </c>
      <c r="L17" s="4" t="n">
        <f aca="false">-L6*Assumptions!L32/100</f>
        <v>-1358.75679788206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-36.998</v>
      </c>
      <c r="D18" s="4" t="n">
        <f aca="false">(D6-C6)*Assumptions!$B$37/100</f>
        <v>-45.50754</v>
      </c>
      <c r="E18" s="4" t="n">
        <f aca="false">(E6-D6)*Assumptions!$B$37/100</f>
        <v>-46.8727662000001</v>
      </c>
      <c r="F18" s="4" t="n">
        <f aca="false">(F6-E6)*Assumptions!$B$37/100</f>
        <v>-48.2789491860001</v>
      </c>
      <c r="G18" s="4" t="n">
        <f aca="false">(G6-F6)*Assumptions!$B$37/100</f>
        <v>-49.7273176615799</v>
      </c>
      <c r="H18" s="4" t="n">
        <f aca="false">(H6-G6)*Assumptions!$B$37/100</f>
        <v>-51.2191371914276</v>
      </c>
      <c r="I18" s="4" t="n">
        <f aca="false">(I6-H6)*Assumptions!$B$37/100</f>
        <v>-43.9630927559749</v>
      </c>
      <c r="J18" s="4" t="n">
        <f aca="false">(J6-I6)*Assumptions!$B$37/100</f>
        <v>-45.0621700748743</v>
      </c>
      <c r="K18" s="4" t="n">
        <f aca="false">(K6-J6)*Assumptions!$B$37/100</f>
        <v>-46.1887243267462</v>
      </c>
      <c r="L18" s="4" t="n">
        <f aca="false">(L6-K6)*Assumptions!$B$37/100</f>
        <v>-47.3434424349151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2544.1896688</v>
      </c>
      <c r="D19" s="0" t="n">
        <f aca="false">D15+D16+D17+D18</f>
        <v>2684.362363488</v>
      </c>
      <c r="E19" s="0" t="n">
        <f aca="false">E15+E16+E17+E18</f>
        <v>2870.46320327936</v>
      </c>
      <c r="F19" s="0" t="n">
        <f aca="false">F15+F16+F17+F18</f>
        <v>3022.88018959318</v>
      </c>
      <c r="G19" s="0" t="n">
        <f aca="false">G15+G16+G17+G18</f>
        <v>3181.85877820288</v>
      </c>
      <c r="H19" s="0" t="n">
        <f aca="false">H15+H16+H17+H18</f>
        <v>3312.48501575375</v>
      </c>
      <c r="I19" s="0" t="n">
        <f aca="false">I15+I16+I17+I18</f>
        <v>3403.83366401283</v>
      </c>
      <c r="J19" s="0" t="n">
        <f aca="false">J15+J16+J17+J18</f>
        <v>3488.92950561315</v>
      </c>
      <c r="K19" s="0" t="n">
        <f aca="false">K15+K16+K17+K18</f>
        <v>3576.15274325348</v>
      </c>
      <c r="L19" s="0" t="n">
        <f aca="false">L15+L16+L17+L18</f>
        <v>3665.55656183481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2323.46088474886</v>
      </c>
      <c r="D21" s="0" t="n">
        <f aca="false">D19*D20</f>
        <v>2238.78765120661</v>
      </c>
      <c r="E21" s="0" t="n">
        <f aca="false">E19*E20</f>
        <v>2186.29935397805</v>
      </c>
      <c r="F21" s="0" t="n">
        <f aca="false">F19*F20</f>
        <v>2102.63775216196</v>
      </c>
      <c r="G21" s="0" t="n">
        <f aca="false">G19*G20</f>
        <v>2021.20472293441</v>
      </c>
      <c r="H21" s="0" t="n">
        <f aca="false">H19*H20</f>
        <v>1921.62750944146</v>
      </c>
      <c r="I21" s="0" t="n">
        <f aca="false">I19*I20</f>
        <v>1803.30627918406</v>
      </c>
      <c r="J21" s="0" t="n">
        <f aca="false">J19*J20</f>
        <v>1688.02642572024</v>
      </c>
      <c r="K21" s="0" t="n">
        <f aca="false">K19*K20</f>
        <v>1580.11606060571</v>
      </c>
      <c r="L21" s="0" t="n">
        <f aca="false">L19*L20</f>
        <v>1479.10407499621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2.6</v>
      </c>
      <c r="D23" s="4" t="n">
        <f aca="false">Assumptions!D30</f>
        <v>2.6</v>
      </c>
      <c r="E23" s="4" t="n">
        <f aca="false">Assumptions!E30</f>
        <v>2.6</v>
      </c>
      <c r="F23" s="4" t="n">
        <f aca="false">Assumptions!F30</f>
        <v>2.6</v>
      </c>
      <c r="G23" s="4" t="n">
        <f aca="false">Assumptions!G30</f>
        <v>2.6</v>
      </c>
      <c r="H23" s="4" t="n">
        <f aca="false">Assumptions!H30</f>
        <v>2.6</v>
      </c>
      <c r="I23" s="4" t="n">
        <f aca="false">Assumptions!I30</f>
        <v>2.6</v>
      </c>
      <c r="J23" s="4" t="n">
        <f aca="false">Assumptions!J30</f>
        <v>2.6</v>
      </c>
      <c r="K23" s="4" t="n">
        <f aca="false">Assumptions!K30</f>
        <v>2.6</v>
      </c>
      <c r="L23" s="4" t="n">
        <f aca="false">Assumptions!L30</f>
        <v>2.6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-788.79736</v>
      </c>
      <c r="D24" s="0" t="n">
        <f aca="false">-D6*D23/100</f>
        <v>-812.4612808</v>
      </c>
      <c r="E24" s="0" t="n">
        <f aca="false">-E6*E23/100</f>
        <v>-836.835119224</v>
      </c>
      <c r="F24" s="0" t="n">
        <f aca="false">-F6*F23/100</f>
        <v>-861.94017280072</v>
      </c>
      <c r="G24" s="0" t="n">
        <f aca="false">-G6*G23/100</f>
        <v>-887.798377984742</v>
      </c>
      <c r="H24" s="0" t="n">
        <f aca="false">-H6*H23/100</f>
        <v>-914.432329324284</v>
      </c>
      <c r="I24" s="0" t="n">
        <f aca="false">-I6*I23/100</f>
        <v>-937.293137557391</v>
      </c>
      <c r="J24" s="0" t="n">
        <f aca="false">-J6*J23/100</f>
        <v>-960.725465996326</v>
      </c>
      <c r="K24" s="0" t="n">
        <f aca="false">-K6*K23/100</f>
        <v>-984.743602646234</v>
      </c>
      <c r="L24" s="0" t="n">
        <f aca="false">-L6*L23/100</f>
        <v>-1009.36219271239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19344.5707149776</v>
      </c>
    </row>
    <row r="31" customFormat="false" ht="15" hidden="false" customHeight="false" outlineLevel="0" collapsed="false">
      <c r="A31" s="0" t="s">
        <v>126</v>
      </c>
      <c r="B31" s="0" t="n">
        <f aca="false">L19</f>
        <v>3665.55656183481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49851.5692409535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43986.6787420178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43986.6787420178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17749.2488999545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37093.8196149321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56533.7196149321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25.6303684750759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0.929997626135237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1064.05851687432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1065.22513744677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26.5957096028122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28760.5207159347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18.9341718573046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3.5</v>
      </c>
      <c r="D5" s="4" t="n">
        <f aca="false">Assumptions!D41</f>
        <v>6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29598.4</v>
      </c>
      <c r="C6" s="0" t="n">
        <f aca="false">B6*(1+C5/100)</f>
        <v>30634.344</v>
      </c>
      <c r="D6" s="0" t="n">
        <f aca="false">C6*(1+D5/100)</f>
        <v>32472.40464</v>
      </c>
      <c r="E6" s="0" t="n">
        <f aca="false">D6*(1+E5/100)</f>
        <v>34745.4729648</v>
      </c>
      <c r="F6" s="0" t="n">
        <f aca="false">E6*(1+F5/100)</f>
        <v>37177.656072336</v>
      </c>
      <c r="G6" s="0" t="n">
        <f aca="false">F6*(1+G5/100)</f>
        <v>39408.3154366762</v>
      </c>
      <c r="H6" s="0" t="n">
        <f aca="false">G6*(1+H5/100)</f>
        <v>41378.73120851</v>
      </c>
      <c r="I6" s="0" t="n">
        <f aca="false">H6*(1+I5/100)</f>
        <v>43033.8804568504</v>
      </c>
      <c r="J6" s="0" t="n">
        <f aca="false">I6*(1+J5/100)</f>
        <v>44540.0662728401</v>
      </c>
      <c r="K6" s="0" t="n">
        <f aca="false">J6*(1+K5/100)</f>
        <v>45876.2682610253</v>
      </c>
      <c r="L6" s="0" t="n">
        <f aca="false">K6*(1+L5/100)</f>
        <v>47252.5563088561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20.5</v>
      </c>
      <c r="D7" s="4" t="n">
        <f aca="false">Assumptions!D42</f>
        <v>21</v>
      </c>
      <c r="E7" s="4" t="n">
        <f aca="false">Assumptions!E42</f>
        <v>21.5</v>
      </c>
      <c r="F7" s="4" t="n">
        <f aca="false">Assumptions!F42</f>
        <v>22</v>
      </c>
      <c r="G7" s="4" t="n">
        <f aca="false">Assumptions!G42</f>
        <v>22.5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6280.04052</v>
      </c>
      <c r="D8" s="0" t="n">
        <f aca="false">D6*D7/100</f>
        <v>6819.2049744</v>
      </c>
      <c r="E8" s="0" t="n">
        <f aca="false">E6*E7/100</f>
        <v>7470.276687432</v>
      </c>
      <c r="F8" s="0" t="n">
        <f aca="false">F6*F7/100</f>
        <v>8179.08433591392</v>
      </c>
      <c r="G8" s="0" t="n">
        <f aca="false">G6*G7/100</f>
        <v>8866.87097325214</v>
      </c>
      <c r="H8" s="0" t="n">
        <f aca="false">H6*H7/100</f>
        <v>9517.10817795729</v>
      </c>
      <c r="I8" s="0" t="n">
        <f aca="false">I6*I7/100</f>
        <v>9897.79250507559</v>
      </c>
      <c r="J8" s="0" t="n">
        <f aca="false">J6*J7/100</f>
        <v>10244.2152427532</v>
      </c>
      <c r="K8" s="0" t="n">
        <f aca="false">K6*K7/100</f>
        <v>10551.5417000358</v>
      </c>
      <c r="L8" s="0" t="n">
        <f aca="false">L6*L7/100</f>
        <v>10868.0879510369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-153.17172</v>
      </c>
      <c r="D10" s="0" t="n">
        <f aca="false">-D6*D9/100</f>
        <v>-162.3620232</v>
      </c>
      <c r="E10" s="0" t="n">
        <f aca="false">-E6*E9/100</f>
        <v>-173.727364824</v>
      </c>
      <c r="F10" s="0" t="n">
        <f aca="false">-F6*F9/100</f>
        <v>-185.88828036168</v>
      </c>
      <c r="G10" s="0" t="n">
        <f aca="false">-G6*G9/100</f>
        <v>-197.041577183381</v>
      </c>
      <c r="H10" s="0" t="n">
        <f aca="false">-H6*H9/100</f>
        <v>-206.89365604255</v>
      </c>
      <c r="I10" s="0" t="n">
        <f aca="false">-I6*I9/100</f>
        <v>-215.169402284252</v>
      </c>
      <c r="J10" s="0" t="n">
        <f aca="false">-J6*J9/100</f>
        <v>-222.700331364201</v>
      </c>
      <c r="K10" s="0" t="n">
        <f aca="false">-K6*K9/100</f>
        <v>-229.381341305127</v>
      </c>
      <c r="L10" s="0" t="n">
        <f aca="false">-L6*L9/100</f>
        <v>-236.262781544281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5330.375856</v>
      </c>
      <c r="D11" s="0" t="n">
        <f aca="false">D8+D10+D24</f>
        <v>5845.0328352</v>
      </c>
      <c r="E11" s="0" t="n">
        <f aca="false">E8+E10+E24</f>
        <v>6427.912498488</v>
      </c>
      <c r="F11" s="0" t="n">
        <f aca="false">F8+F10+F24</f>
        <v>7100.93230981618</v>
      </c>
      <c r="G11" s="0" t="n">
        <f aca="false">G8+G10+G24</f>
        <v>7724.02982558853</v>
      </c>
      <c r="H11" s="0" t="n">
        <f aca="false">H8+H10+H24</f>
        <v>8317.1249729105</v>
      </c>
      <c r="I11" s="0" t="n">
        <f aca="false">I8+I10+I24</f>
        <v>8649.80997182693</v>
      </c>
      <c r="J11" s="0" t="n">
        <f aca="false">J8+J10+J24</f>
        <v>8952.55332084087</v>
      </c>
      <c r="K11" s="0" t="n">
        <f aca="false">K8+K10+K24</f>
        <v>9221.12992046609</v>
      </c>
      <c r="L11" s="0" t="n">
        <f aca="false">L8+L10+L24</f>
        <v>9497.76381808008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-919.03032</v>
      </c>
      <c r="D12" s="4" t="n">
        <f aca="false">-D6*Assumptions!D45/100</f>
        <v>-1006.64454384</v>
      </c>
      <c r="E12" s="4" t="n">
        <f aca="false">-E6*Assumptions!E45/100</f>
        <v>-1111.8551348736</v>
      </c>
      <c r="F12" s="4" t="n">
        <f aca="false">-F6*Assumptions!F45/100</f>
        <v>-1189.68499431475</v>
      </c>
      <c r="G12" s="4" t="n">
        <f aca="false">-G6*Assumptions!G45/100</f>
        <v>-1261.06609397364</v>
      </c>
      <c r="H12" s="4" t="n">
        <f aca="false">-H6*Assumptions!H45/100</f>
        <v>-1324.11939867232</v>
      </c>
      <c r="I12" s="4" t="n">
        <f aca="false">-I6*Assumptions!I45/100</f>
        <v>-1377.08417461921</v>
      </c>
      <c r="J12" s="4" t="n">
        <f aca="false">-J6*Assumptions!J45/100</f>
        <v>-1425.28212073088</v>
      </c>
      <c r="K12" s="4" t="n">
        <f aca="false">-K6*Assumptions!K45/100</f>
        <v>-1468.04058435281</v>
      </c>
      <c r="L12" s="4" t="n">
        <f aca="false">-L6*Assumptions!L45/100</f>
        <v>-1512.0818018834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4411.345536</v>
      </c>
      <c r="D13" s="0" t="n">
        <f aca="false">D11+D12</f>
        <v>4838.38829136</v>
      </c>
      <c r="E13" s="0" t="n">
        <f aca="false">E11+E12</f>
        <v>5316.0573636144</v>
      </c>
      <c r="F13" s="0" t="n">
        <f aca="false">F11+F12</f>
        <v>5911.24731550142</v>
      </c>
      <c r="G13" s="0" t="n">
        <f aca="false">G11+G12</f>
        <v>6462.96373161489</v>
      </c>
      <c r="H13" s="0" t="n">
        <f aca="false">H11+H12</f>
        <v>6993.00557423819</v>
      </c>
      <c r="I13" s="0" t="n">
        <f aca="false">I11+I12</f>
        <v>7272.72579720772</v>
      </c>
      <c r="J13" s="0" t="n">
        <f aca="false">J11+J12</f>
        <v>7527.27120010998</v>
      </c>
      <c r="K13" s="0" t="n">
        <f aca="false">K11+K12</f>
        <v>7753.08933611328</v>
      </c>
      <c r="L13" s="0" t="n">
        <f aca="false">L11+L12</f>
        <v>7985.68201619668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28</v>
      </c>
      <c r="D14" s="4" t="n">
        <f aca="false">Assumptions!D47</f>
        <v>27.5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3176.16878592</v>
      </c>
      <c r="D15" s="0" t="n">
        <f aca="false">D13-MAX(0,D13)*D14/100</f>
        <v>3507.831511236</v>
      </c>
      <c r="E15" s="0" t="n">
        <f aca="false">E13-MAX(0,E13)*E14/100</f>
        <v>3880.72187543851</v>
      </c>
      <c r="F15" s="0" t="n">
        <f aca="false">F13-MAX(0,F13)*F14/100</f>
        <v>4315.21054031604</v>
      </c>
      <c r="G15" s="0" t="n">
        <f aca="false">G13-MAX(0,G13)*G14/100</f>
        <v>4717.96352407887</v>
      </c>
      <c r="H15" s="0" t="n">
        <f aca="false">H13-MAX(0,H13)*H14/100</f>
        <v>5104.89406919388</v>
      </c>
      <c r="I15" s="0" t="n">
        <f aca="false">I13-MAX(0,I13)*I14/100</f>
        <v>5309.08983196163</v>
      </c>
      <c r="J15" s="0" t="n">
        <f aca="false">J13-MAX(0,J13)*J14/100</f>
        <v>5494.90797608029</v>
      </c>
      <c r="K15" s="0" t="n">
        <f aca="false">K13-MAX(0,K13)*K14/100</f>
        <v>5659.7552153627</v>
      </c>
      <c r="L15" s="0" t="n">
        <f aca="false">L13-MAX(0,L13)*L14/100</f>
        <v>5829.54787182358</v>
      </c>
    </row>
    <row r="16" customFormat="false" ht="15" hidden="false" customHeight="false" outlineLevel="0" collapsed="false">
      <c r="A16" s="0" t="s">
        <v>117</v>
      </c>
      <c r="C16" s="0" t="n">
        <f aca="false">-C12</f>
        <v>919.03032</v>
      </c>
      <c r="D16" s="0" t="n">
        <f aca="false">-D12</f>
        <v>1006.64454384</v>
      </c>
      <c r="E16" s="0" t="n">
        <f aca="false">-E12</f>
        <v>1111.8551348736</v>
      </c>
      <c r="F16" s="0" t="n">
        <f aca="false">-F12</f>
        <v>1189.68499431475</v>
      </c>
      <c r="G16" s="0" t="n">
        <f aca="false">-G12</f>
        <v>1261.06609397364</v>
      </c>
      <c r="H16" s="0" t="n">
        <f aca="false">-H12</f>
        <v>1324.11939867232</v>
      </c>
      <c r="I16" s="0" t="n">
        <f aca="false">-I12</f>
        <v>1377.08417461921</v>
      </c>
      <c r="J16" s="0" t="n">
        <f aca="false">-J12</f>
        <v>1425.28212073088</v>
      </c>
      <c r="K16" s="0" t="n">
        <f aca="false">-K12</f>
        <v>1468.04058435281</v>
      </c>
      <c r="L16" s="0" t="n">
        <f aca="false">-L12</f>
        <v>1512.0818018834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-1378.54548</v>
      </c>
      <c r="D17" s="4" t="n">
        <f aca="false">-D6*Assumptions!D46/100</f>
        <v>-1461.2582088</v>
      </c>
      <c r="E17" s="4" t="n">
        <f aca="false">-E6*Assumptions!E46/100</f>
        <v>-1494.0553374864</v>
      </c>
      <c r="F17" s="4" t="n">
        <f aca="false">-F6*Assumptions!F46/100</f>
        <v>-1487.10624289344</v>
      </c>
      <c r="G17" s="4" t="n">
        <f aca="false">-G6*Assumptions!G46/100</f>
        <v>-1497.51598659369</v>
      </c>
      <c r="H17" s="4" t="n">
        <f aca="false">-H6*Assumptions!H46/100</f>
        <v>-1489.63432350636</v>
      </c>
      <c r="I17" s="4" t="n">
        <f aca="false">-I6*Assumptions!I46/100</f>
        <v>-1506.18581598976</v>
      </c>
      <c r="J17" s="4" t="n">
        <f aca="false">-J6*Assumptions!J46/100</f>
        <v>-1558.9023195494</v>
      </c>
      <c r="K17" s="4" t="n">
        <f aca="false">-K6*Assumptions!K46/100</f>
        <v>-1605.66938913589</v>
      </c>
      <c r="L17" s="4" t="n">
        <f aca="false">-L6*Assumptions!L46/100</f>
        <v>-1653.83947080996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-51.7971999999998</v>
      </c>
      <c r="D18" s="4" t="n">
        <f aca="false">(D6-C6)*Assumptions!$B$51/100</f>
        <v>-91.903032</v>
      </c>
      <c r="E18" s="4" t="n">
        <f aca="false">(E6-D6)*Assumptions!$B$51/100</f>
        <v>-113.65341624</v>
      </c>
      <c r="F18" s="4" t="n">
        <f aca="false">(F6-E6)*Assumptions!$B$51/100</f>
        <v>-121.6091553768</v>
      </c>
      <c r="G18" s="4" t="n">
        <f aca="false">(G6-F6)*Assumptions!$B$51/100</f>
        <v>-111.532968217008</v>
      </c>
      <c r="H18" s="4" t="n">
        <f aca="false">(H6-G6)*Assumptions!$B$51/100</f>
        <v>-98.5207885916905</v>
      </c>
      <c r="I18" s="4" t="n">
        <f aca="false">(I6-H6)*Assumptions!$B$51/100</f>
        <v>-82.75746241702</v>
      </c>
      <c r="J18" s="4" t="n">
        <f aca="false">(J6-I6)*Assumptions!$B$51/100</f>
        <v>-75.309290799488</v>
      </c>
      <c r="K18" s="4" t="n">
        <f aca="false">(K6-J6)*Assumptions!$B$51/100</f>
        <v>-66.8100994092602</v>
      </c>
      <c r="L18" s="4" t="n">
        <f aca="false">(L6-K6)*Assumptions!$B$51/100</f>
        <v>-68.8144023915382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2664.85642592</v>
      </c>
      <c r="D19" s="0" t="n">
        <f aca="false">D15+D16+D17+D18</f>
        <v>2961.314814276</v>
      </c>
      <c r="E19" s="0" t="n">
        <f aca="false">E15+E16+E17+E18</f>
        <v>3384.86825658571</v>
      </c>
      <c r="F19" s="0" t="n">
        <f aca="false">F15+F16+F17+F18</f>
        <v>3896.18013636055</v>
      </c>
      <c r="G19" s="0" t="n">
        <f aca="false">G15+G16+G17+G18</f>
        <v>4369.98066324181</v>
      </c>
      <c r="H19" s="0" t="n">
        <f aca="false">H15+H16+H17+H18</f>
        <v>4840.85835576814</v>
      </c>
      <c r="I19" s="0" t="n">
        <f aca="false">I15+I16+I17+I18</f>
        <v>5097.23072817406</v>
      </c>
      <c r="J19" s="0" t="n">
        <f aca="false">J15+J16+J17+J18</f>
        <v>5285.97848646228</v>
      </c>
      <c r="K19" s="0" t="n">
        <f aca="false">K15+K16+K17+K18</f>
        <v>5455.31631117036</v>
      </c>
      <c r="L19" s="0" t="n">
        <f aca="false">L15+L16+L17+L18</f>
        <v>5618.97580050547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2433.65883645662</v>
      </c>
      <c r="D21" s="0" t="n">
        <f aca="false">D19*D20</f>
        <v>2469.76903256896</v>
      </c>
      <c r="E21" s="0" t="n">
        <f aca="false">E19*E20</f>
        <v>2578.09794399023</v>
      </c>
      <c r="F21" s="0" t="n">
        <f aca="false">F19*F20</f>
        <v>2710.08274563398</v>
      </c>
      <c r="G21" s="0" t="n">
        <f aca="false">G19*G20</f>
        <v>2775.93261403797</v>
      </c>
      <c r="H21" s="0" t="n">
        <f aca="false">H19*H20</f>
        <v>2808.26223862538</v>
      </c>
      <c r="I21" s="0" t="n">
        <f aca="false">I19*I20</f>
        <v>2700.44575789577</v>
      </c>
      <c r="J21" s="0" t="n">
        <f aca="false">J19*J20</f>
        <v>2557.4811289771</v>
      </c>
      <c r="K21" s="0" t="n">
        <f aca="false">K19*K20</f>
        <v>2410.42078955563</v>
      </c>
      <c r="L21" s="0" t="n">
        <f aca="false">L19*L20</f>
        <v>2267.33645044958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2.6</v>
      </c>
      <c r="D23" s="4" t="n">
        <f aca="false">Assumptions!D44</f>
        <v>2.5</v>
      </c>
      <c r="E23" s="4" t="n">
        <f aca="false">Assumptions!E44</f>
        <v>2.5</v>
      </c>
      <c r="F23" s="4" t="n">
        <f aca="false">Assumptions!F44</f>
        <v>2.4</v>
      </c>
      <c r="G23" s="4" t="n">
        <f aca="false">Assumptions!G44</f>
        <v>2.4</v>
      </c>
      <c r="H23" s="4" t="n">
        <f aca="false">Assumptions!H44</f>
        <v>2.4</v>
      </c>
      <c r="I23" s="4" t="n">
        <f aca="false">Assumptions!I44</f>
        <v>2.4</v>
      </c>
      <c r="J23" s="4" t="n">
        <f aca="false">Assumptions!J44</f>
        <v>2.4</v>
      </c>
      <c r="K23" s="4" t="n">
        <f aca="false">Assumptions!K44</f>
        <v>2.4</v>
      </c>
      <c r="L23" s="4" t="n">
        <f aca="false">Assumptions!L44</f>
        <v>2.4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-796.492944</v>
      </c>
      <c r="D24" s="0" t="n">
        <f aca="false">-D6*D23/100</f>
        <v>-811.810116</v>
      </c>
      <c r="E24" s="0" t="n">
        <f aca="false">-E6*E23/100</f>
        <v>-868.63682412</v>
      </c>
      <c r="F24" s="0" t="n">
        <f aca="false">-F6*F23/100</f>
        <v>-892.263745736064</v>
      </c>
      <c r="G24" s="0" t="n">
        <f aca="false">-G6*G23/100</f>
        <v>-945.799570480228</v>
      </c>
      <c r="H24" s="0" t="n">
        <f aca="false">-H6*H23/100</f>
        <v>-993.089549004239</v>
      </c>
      <c r="I24" s="0" t="n">
        <f aca="false">-I6*I23/100</f>
        <v>-1032.81313096441</v>
      </c>
      <c r="J24" s="0" t="n">
        <f aca="false">-J6*J23/100</f>
        <v>-1068.96159054816</v>
      </c>
      <c r="K24" s="0" t="n">
        <f aca="false">-K6*K23/100</f>
        <v>-1101.03043826461</v>
      </c>
      <c r="L24" s="0" t="n">
        <f aca="false">-L6*L23/100</f>
        <v>-1134.06135141255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25711.4875381912</v>
      </c>
    </row>
    <row r="31" customFormat="false" ht="15" hidden="false" customHeight="false" outlineLevel="0" collapsed="false">
      <c r="A31" s="0" t="s">
        <v>126</v>
      </c>
      <c r="B31" s="0" t="n">
        <f aca="false">L19</f>
        <v>5618.97580050547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82277.8599359729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67427.7096060656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67427.7096060656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27208.037405395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52919.5249435862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72359.4249435862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32.8051778050505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1.47026941303091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1200.53115833933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1395.98241079186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33.9823442816357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46075.6015641448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22.9802090450246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19.4245825125177</v>
      </c>
      <c r="C4" s="0" t="n">
        <f aca="false">B4/Assumptions!$B$2-1</f>
        <v>0.462694466304044</v>
      </c>
      <c r="D4" s="4" t="n">
        <f aca="false">Assumptions!$B$24</f>
        <v>0.25</v>
      </c>
      <c r="E4" s="4" t="n">
        <f aca="false">DCF_Bear!$B$43</f>
        <v>20.1780812064251</v>
      </c>
      <c r="F4" s="4" t="n">
        <f aca="false">DCF_Bear!$B$47</f>
        <v>15.3527344522303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25.6303684750759</v>
      </c>
      <c r="C5" s="0" t="n">
        <f aca="false">B5/Assumptions!$B$2-1</f>
        <v>0.929997626135237</v>
      </c>
      <c r="D5" s="4" t="n">
        <f aca="false">Assumptions!$B$38</f>
        <v>0.5</v>
      </c>
      <c r="E5" s="4" t="n">
        <f aca="false">DCF_Base!$B$43</f>
        <v>26.5957096028122</v>
      </c>
      <c r="F5" s="4" t="n">
        <f aca="false">DCF_Base!$B$47</f>
        <v>18.9341718573046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32.8051778050505</v>
      </c>
      <c r="C6" s="0" t="n">
        <f aca="false">B6/Assumptions!$B$2-1</f>
        <v>1.47026941303091</v>
      </c>
      <c r="D6" s="4" t="n">
        <f aca="false">Assumptions!$B$52</f>
        <v>0.25</v>
      </c>
      <c r="E6" s="4" t="n">
        <f aca="false">DCF_Bull!$B$43</f>
        <v>33.9823442816357</v>
      </c>
      <c r="F6" s="4" t="n">
        <f aca="false">DCF_Bull!$B$47</f>
        <v>22.9802090450246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25.87262431693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26.8379611734213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0.486716158464447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-1304.47980228377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19.0503218029661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26.2148310012076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25.6303684750759</v>
      </c>
      <c r="C16" s="3" t="n">
        <v>9.5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25.0715062304873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23.6353373632386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22.1043062214718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18.9341718573046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28.1358217955055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28.1358217955055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28.1358217955055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28.1358217955055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28.1358217955055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26.8262532048086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26.8262532048086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26.8262532048086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26.8262532048086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26.8262532048086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25.5514775412001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25.6303684750759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25.6303684750759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25.6303684750759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25.6303684750759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23.6990759166464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24.0947436198545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24.5369604646166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24.5369604646166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24.5369604646166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22.2037732596997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22.5008674186249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22.8292346469106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23.1940871227835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23.5360340620546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2026-10-18T01:19:20Z</dcterms:created>
  <dc:creator>openpyxl</dc:creator>
  <dc:description/>
  <dc:language>en-NZ</dc:language>
  <cp:lastModifiedBy/>
  <dcterms:modified xsi:type="dcterms:W3CDTF">2026-10-18T01:19:20Z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