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<sst xmlns="http://schemas.openxmlformats.org/spreadsheetml/2006/main" count="364" uniqueCount="168">
  <si>
    <t xml:space="preserve">Ticker</t>
  </si>
  <si>
    <t xml:space="preserve">PLS.AX</t>
  </si>
  <si>
    <t xml:space="preserve">Company</t>
  </si>
  <si>
    <t xml:space="preserve">PLS Group Limited (formerly Pilbara Minerals)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</si>
  <si>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</si>
  <si>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</si>
  <si>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</si>
  <si>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</si>
  <si>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2026-09-24T06:19:28Z (Yahoo Finance chart API, regular session; ex-dividend the 5c final was paid 24 Sep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</si>
  <si>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</si>
  <si>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</si>
  <si>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</si>
  <si>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</si>
  <si>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</si>
  <si>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</si>
  <si>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</si>
  <si>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</si>
  <si>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</si>
  <si>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</si>
  <si>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</si>
  <si>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</si>
  <si>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2026-09-24T09:25:32Z</t>
  </si>
  <si>
    <t xml:space="preserve">Drivers file</t>
  </si>
  <si>
    <t xml:space="preserve">PLS.AX_Drivers.json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</si>
  <si>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</si>
  <si>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</si>
  <si>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</si>
  <si>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commodity price-taker on mid-cycle volumes and prices, not on the latest year. FY26 (US$1,488/t, 59% margin, $962m owner FCF) is a recovery year that already sits at the upper half of the cycle; the H2 FY26 price spike has not held and the share price has retraced 42% from its high. Base case charges the FY27 cost step-up (Ngungaju), 30% cash tax on an EBIT that FY26's refund flattered, and excludes every un-sanctioned growth project, then adds the $1.06bn net cash once (interest income stripped from the flows). A 12x terminal cap and a single 11% AUD WACC keep the cyclicality charge in the flows and the scenario weights.
key_risks_to_valuation: Mid-cycle price assumption (A$1,800/t SC5.2) is the single largest driver: each +/-A$200/t moves FY27 EBITDA by ~+/-$200m before tax; AUD/USD: revenue is USD-linked, costs AUD; a stronger AUD compresses A$ margins at any USD price; P2000 FID near a cyclical price peak would repeat the FY24-FY25 overbuild; the base case gives P2000 no value and no capex beyond pre-FID spend; Grade decline (1.5% -&gt; 1.2% Li2O) and Ngungaju's higher unit cost push FOB costs up faster than assumed; China concentration: offtake, pricing benchmark and converter demand are all China-centred; policy or capacity moves reprice the whole curve; USD notes (US$600m, 6.875%, 2031) add FX and refinancing exposure a historically unlevered company did not carry</t>
  </si>
  <si>
    <t xml:space="preserve">Data sources</t>
  </si>
  <si>
    <t xml:space="preserve">price: Yahoo Finance chart API at inputs.price_as_of; 52-week range 2.32-6.81
financials: PLS.AX_Metrics.csv / core_metrics (FY2016-FY2026 annual, H1 halves), FY26 Annual Report (financial review table 1-2 for volumes, realised prices, unit costs; note 5.2 borrowings and leases; note 6.3 SBC and performance rights; EPS note for dilution)
qualitative: PLS.AX_Analysis.json (FY27 guidance: 1,030-1,100kt, FOB A$575-625/t; Ngungaju restart; P2000 $175m pre-FID; Colina feasibility Dec Q 2027; P-PLS idled)</t>
  </si>
  <si>
    <t xml:space="preserve">Scenario narrative: bear</t>
  </si>
  <si>
    <t xml:space="preserve">The 2024-25 pattern repeats: new African/South American supply and CATL-style Chinese restarts push spodumene back to cost-curve support (~US$900/t) for the decade; Ngungaju's higher-cost tonnes compress margins to ~30%; growth capital is deferred. PLS survives comfortably (net cash, no covenant pressure) but earns roughly its cost of capital.</t>
  </si>
  <si>
    <t xml:space="preserve">Scenario narrative: base</t>
  </si>
  <si>
    <t xml:space="preserve">Mid-cycle: Pilgangoora runs at ~1.05-1.1Mtpa (Pilgan P1000 + restarted Ngungaju) selling at A$1,800/t SC5.2, roughly the company's own reserve price and the long-run incentive price, 17% below FY26's average and well below the H2 FY26 spike. Margins are rebuilt from the FY27 cost guidance (FOB A$575-625/t) rather than carried from FY26's 59%. No P2000, no Colina production, P-PLS stake carried at zero. Value is ~$0.4bn/yr of owner FCF capitalised at 11% plus $1.06bn of net cash.</t>
  </si>
  <si>
    <t xml:space="preserve">Scenario narrative: bull</t>
  </si>
  <si>
    <t xml:space="preserve">Price recovery durable: Chinese supply discipline plus EV/storage demand hold spodumene near US$1,500/t SC5.2, P2000 is approved on the December-2026 feasibility study and funded from the cash pile and notes, taking volumes toward 2.0Mtpa by FY31. Requires BOTH a sustained price well above incentive levels AND a $1.6bn expansion delivered on time; the FY24-FY25 overbuild-then-idle cycle shows those can diverge.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</si>
  <si>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</si>
  <si>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</si>
  <si>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</si>
  <si>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</si>
  <si>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</si>
  <si>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</si>
  <si>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</si>
  <si>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</si>
  <si>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</si>
  <si>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</si>
  <si>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</si>
  <si>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</si>
  <si>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</si>
  <si>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</si>
  <si>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</si>
  <si>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</si>
  <si>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</si>
  <si>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</si>
  <si>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</si>
  <si>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</si>
  <si>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</si>
  <si>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</si>
  <si>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</si>
  <si>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</si>
  <si>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</si>
  <si>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</si>
  <si>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</si>
  <si>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RealisedPricePerDmt</t>
  </si>
  <si>
    <t xml:space="preserve">UnderlyingEBITDA</t>
  </si>
  <si>
    <t xml:space="preserve">FY2016</t>
  </si>
  <si>
    <t xml:space="preserve">thousands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</si>
  <si>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</si>
  <si>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</si>
  <si>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</si>
  <si>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</si>
  <si>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</si>
  <si>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</si>
  <si>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</si>
  <si>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</si>
  <si>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</si>
  <si>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</si>
  <si>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</si>
  <si>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</si>
  <si>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</si>
  <si>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</si>
  <si>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</si>
  <si>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</si>
  <si>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</si>
  <si>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</si>
  <si>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</si>
  <si>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</si>
  <si>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</si>
  <si>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</si>
  <si>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</si>
  <si>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</si>
  <si>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</si>
  <si>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</si>
  <si>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</si>
  <si>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</si>
  <si>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</si>
  <si>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</si>
  <si>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</si>
  <si>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</si>
  <si>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</si>
  <si>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</si>
  <si>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</si>
  <si>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</si>
  <si>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</si>
  <si>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</si>
  <si>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</si>
  <si>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</si>
  <si>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</si>
  <si>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</si>
  <si>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</si>
  <si>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</si>
  <si>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</si>
  <si>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</si>
  <si>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</si>
  <si>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PLS.AX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</si>
  <si>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</si>
  <si>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</si>
  <si>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</si>
  <si>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</si>
  <si>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</si>
  <si>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</si>
  <si>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</si>
  <si>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</si>
  <si>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</si>
  <si>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</si>
  <si>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</si>
  <si>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</si>
  <si>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</si>
  <si>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</si>
  <si>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</si>
  <si>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</si>
  <si>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</si>
  <si>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</si>
  <si>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</si>
  <si>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</si>
  <si>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</si>
  <si>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</si>
  <si>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</si>
  <si>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</si>
  <si>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</si>
  <si>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</si>
  <si>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</si>
  <si>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</si>
  <si>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</si>
  <si>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</si>
  <si>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PLS.AX owner-FCF component DCF: base case (millions, AUD)</t>
  </si>
  <si>
    <t xml:space="preserve">PLS.AX owner-FCF component DCF: bull case (millions, AUD)</t>
  </si>
  <si>
    <t xml:space="preserve">PLS.AX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</si>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</sst>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3.94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F2" s="0" t="n">
        <v>-53217</v>
      </c>
      <c r="H2" s="0" t="n">
        <v>-53166</v>
      </c>
      <c r="I2" s="0" t="n">
        <v>-55607</v>
      </c>
      <c r="K2" s="0" t="n">
        <v>-0.0676</v>
      </c>
      <c r="L2" s="0" t="n">
        <v>-14560</v>
      </c>
      <c r="M2" s="0" t="n">
        <v>4626</v>
      </c>
      <c r="N2" s="0" t="n">
        <v>-19186</v>
      </c>
      <c r="O2" s="0" t="n">
        <v>98431</v>
      </c>
      <c r="P2" s="0" t="n">
        <v>102733</v>
      </c>
      <c r="Q2" s="0" t="n">
        <v>4302</v>
      </c>
      <c r="R2" s="0" t="n">
        <v>346</v>
      </c>
      <c r="S2" s="0" t="n">
        <v>100040</v>
      </c>
      <c r="T2" s="0" t="n">
        <v>822982</v>
      </c>
      <c r="U2" s="0" t="n">
        <v>26562</v>
      </c>
      <c r="AA2" s="0" t="s">
        <v>66</v>
      </c>
      <c r="AB2" s="0" t="s">
        <v>14</v>
      </c>
    </row>
    <row r="3" customFormat="false" ht="15" hidden="false" customHeight="false" outlineLevel="0" collapsed="false">
      <c r="A3" s="0" t="s">
        <v>67</v>
      </c>
      <c r="F3" s="0" t="n">
        <v>-28027</v>
      </c>
      <c r="H3" s="0" t="n">
        <v>-27936</v>
      </c>
      <c r="I3" s="0" t="n">
        <v>-25954</v>
      </c>
      <c r="K3" s="0" t="n">
        <v>-0.0211</v>
      </c>
      <c r="L3" s="0" t="n">
        <v>-16284</v>
      </c>
      <c r="M3" s="0" t="n">
        <v>44926</v>
      </c>
      <c r="N3" s="0" t="n">
        <v>-61210</v>
      </c>
      <c r="O3" s="0" t="n">
        <v>200172</v>
      </c>
      <c r="P3" s="0" t="n">
        <v>336478</v>
      </c>
      <c r="Q3" s="0" t="n">
        <v>136306</v>
      </c>
      <c r="R3" s="0" t="n">
        <v>124428</v>
      </c>
      <c r="S3" s="0" t="n">
        <v>87248</v>
      </c>
      <c r="T3" s="0" t="n">
        <v>1229567</v>
      </c>
      <c r="U3" s="0" t="n">
        <v>12415</v>
      </c>
      <c r="AA3" s="0" t="s">
        <v>66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10188</v>
      </c>
      <c r="C4" s="0" t="n">
        <v>6213</v>
      </c>
      <c r="D4" s="0" t="n">
        <v>3975</v>
      </c>
      <c r="E4" s="0" t="n">
        <v>39</v>
      </c>
      <c r="F4" s="0" t="n">
        <v>-16905</v>
      </c>
      <c r="G4" s="0" t="n">
        <v>-165.9</v>
      </c>
      <c r="H4" s="0" t="n">
        <v>-16754</v>
      </c>
      <c r="I4" s="0" t="n">
        <v>-19415</v>
      </c>
      <c r="J4" s="0" t="n">
        <v>-190.6</v>
      </c>
      <c r="K4" s="0" t="n">
        <v>-0.0119</v>
      </c>
      <c r="L4" s="0" t="n">
        <v>-8998</v>
      </c>
      <c r="M4" s="0" t="n">
        <v>219043</v>
      </c>
      <c r="N4" s="0" t="n">
        <v>-228041</v>
      </c>
      <c r="O4" s="0" t="n">
        <v>343241</v>
      </c>
      <c r="P4" s="0" t="n">
        <v>531980</v>
      </c>
      <c r="Q4" s="0" t="n">
        <v>188739</v>
      </c>
      <c r="R4" s="0" t="n">
        <v>131142</v>
      </c>
      <c r="S4" s="0" t="n">
        <v>119978</v>
      </c>
      <c r="T4" s="0" t="n">
        <v>1628224</v>
      </c>
      <c r="U4" s="0" t="n">
        <v>4630</v>
      </c>
      <c r="AA4" s="0" t="s">
        <v>66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42785</v>
      </c>
      <c r="C5" s="0" t="n">
        <v>36581</v>
      </c>
      <c r="D5" s="0" t="n">
        <v>6204</v>
      </c>
      <c r="E5" s="0" t="n">
        <v>14.5</v>
      </c>
      <c r="F5" s="0" t="n">
        <v>-18540</v>
      </c>
      <c r="G5" s="0" t="n">
        <v>-43.3</v>
      </c>
      <c r="I5" s="0" t="n">
        <v>-28932</v>
      </c>
      <c r="J5" s="0" t="n">
        <v>-67.6</v>
      </c>
      <c r="K5" s="0" t="n">
        <v>-0.0163</v>
      </c>
      <c r="L5" s="0" t="n">
        <v>-10441</v>
      </c>
      <c r="M5" s="0" t="n">
        <v>178216</v>
      </c>
      <c r="N5" s="0" t="n">
        <v>-188657</v>
      </c>
      <c r="O5" s="0" t="n">
        <v>376650</v>
      </c>
      <c r="P5" s="0" t="n">
        <v>582271</v>
      </c>
      <c r="Q5" s="0" t="n">
        <v>205621</v>
      </c>
      <c r="R5" s="0" t="n">
        <v>138999</v>
      </c>
      <c r="S5" s="0" t="n">
        <v>63576</v>
      </c>
      <c r="T5" s="0" t="n">
        <v>1771835</v>
      </c>
      <c r="U5" s="0" t="n">
        <v>2229</v>
      </c>
      <c r="AA5" s="0" t="s">
        <v>66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84147</v>
      </c>
      <c r="C6" s="0" t="n">
        <v>112085</v>
      </c>
      <c r="D6" s="0" t="n">
        <v>-27938</v>
      </c>
      <c r="E6" s="0" t="n">
        <v>-33.2</v>
      </c>
      <c r="F6" s="0" t="n">
        <v>-71616</v>
      </c>
      <c r="G6" s="0" t="n">
        <v>-85.1</v>
      </c>
      <c r="H6" s="0" t="n">
        <v>-55205</v>
      </c>
      <c r="I6" s="0" t="n">
        <v>-99262</v>
      </c>
      <c r="J6" s="0" t="n">
        <v>-118</v>
      </c>
      <c r="K6" s="0" t="n">
        <v>-0.0467</v>
      </c>
      <c r="L6" s="0" t="n">
        <v>-18966</v>
      </c>
      <c r="M6" s="0" t="n">
        <v>22612</v>
      </c>
      <c r="N6" s="0" t="n">
        <v>-41578</v>
      </c>
      <c r="O6" s="0" t="n">
        <v>386974</v>
      </c>
      <c r="P6" s="0" t="n">
        <v>602464</v>
      </c>
      <c r="Q6" s="0" t="n">
        <v>215490</v>
      </c>
      <c r="R6" s="0" t="n">
        <v>176450</v>
      </c>
      <c r="S6" s="0" t="n">
        <v>86250</v>
      </c>
      <c r="T6" s="0" t="n">
        <v>2124345</v>
      </c>
      <c r="U6" s="0" t="n">
        <v>2341</v>
      </c>
      <c r="AA6" s="0" t="s">
        <v>66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175824</v>
      </c>
      <c r="C7" s="0" t="n">
        <v>155754</v>
      </c>
      <c r="D7" s="0" t="n">
        <v>20070</v>
      </c>
      <c r="E7" s="0" t="n">
        <v>11.4</v>
      </c>
      <c r="F7" s="0" t="n">
        <v>-22368</v>
      </c>
      <c r="G7" s="0" t="n">
        <v>-12.7</v>
      </c>
      <c r="H7" s="0" t="n">
        <v>4262</v>
      </c>
      <c r="I7" s="0" t="n">
        <v>-51448</v>
      </c>
      <c r="J7" s="0" t="n">
        <v>-29.3</v>
      </c>
      <c r="K7" s="0" t="n">
        <v>-0.02</v>
      </c>
      <c r="L7" s="0" t="n">
        <v>18776</v>
      </c>
      <c r="M7" s="0" t="n">
        <v>20488</v>
      </c>
      <c r="N7" s="0" t="n">
        <v>-1712</v>
      </c>
      <c r="O7" s="0" t="n">
        <v>574245</v>
      </c>
      <c r="P7" s="0" t="n">
        <v>949720</v>
      </c>
      <c r="Q7" s="0" t="n">
        <v>375475</v>
      </c>
      <c r="R7" s="0" t="n">
        <v>166965</v>
      </c>
      <c r="S7" s="0" t="n">
        <v>99712</v>
      </c>
      <c r="T7" s="0" t="n">
        <v>2571590</v>
      </c>
      <c r="U7" s="0" t="n">
        <v>4869</v>
      </c>
      <c r="AA7" s="0" t="s">
        <v>66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1189591</v>
      </c>
      <c r="C8" s="0" t="n">
        <v>380284</v>
      </c>
      <c r="D8" s="0" t="n">
        <v>809307</v>
      </c>
      <c r="E8" s="0" t="n">
        <v>68</v>
      </c>
      <c r="F8" s="0" t="n">
        <v>769072</v>
      </c>
      <c r="G8" s="0" t="n">
        <v>64.7</v>
      </c>
      <c r="H8" s="0" t="n">
        <v>813955</v>
      </c>
      <c r="I8" s="0" t="n">
        <v>561825</v>
      </c>
      <c r="J8" s="0" t="n">
        <v>47.2</v>
      </c>
      <c r="K8" s="0" t="n">
        <v>0.1847</v>
      </c>
      <c r="L8" s="0" t="n">
        <v>647607</v>
      </c>
      <c r="M8" s="0" t="n">
        <v>128327</v>
      </c>
      <c r="N8" s="0" t="n">
        <v>519280</v>
      </c>
      <c r="O8" s="0" t="n">
        <v>1292026</v>
      </c>
      <c r="P8" s="0" t="n">
        <v>1978388</v>
      </c>
      <c r="Q8" s="0" t="n">
        <v>686362</v>
      </c>
      <c r="R8" s="0" t="n">
        <v>291964</v>
      </c>
      <c r="S8" s="0" t="n">
        <v>591739</v>
      </c>
      <c r="T8" s="0" t="n">
        <v>3041824</v>
      </c>
      <c r="U8" s="0" t="n">
        <v>5178</v>
      </c>
      <c r="W8" s="0" t="n">
        <v>814500</v>
      </c>
      <c r="AA8" s="0" t="s">
        <v>66</v>
      </c>
      <c r="AB8" s="0" t="s">
        <v>14</v>
      </c>
      <c r="AD8" s="0" t="n">
        <v>814500</v>
      </c>
    </row>
    <row r="9" customFormat="false" ht="15" hidden="false" customHeight="false" outlineLevel="0" collapsed="false">
      <c r="A9" s="0" t="s">
        <v>73</v>
      </c>
      <c r="B9" s="0" t="n">
        <v>4064019</v>
      </c>
      <c r="C9" s="0" t="n">
        <v>776261</v>
      </c>
      <c r="D9" s="0" t="n">
        <v>3287758</v>
      </c>
      <c r="E9" s="0" t="n">
        <v>80.9</v>
      </c>
      <c r="F9" s="0" t="n">
        <v>3211923</v>
      </c>
      <c r="G9" s="0" t="n">
        <v>79</v>
      </c>
      <c r="H9" s="0" t="n">
        <v>3317762</v>
      </c>
      <c r="I9" s="0" t="n">
        <v>2391135</v>
      </c>
      <c r="J9" s="0" t="n">
        <v>58.8</v>
      </c>
      <c r="K9" s="0" t="n">
        <v>0.7893</v>
      </c>
      <c r="L9" s="0" t="n">
        <v>3456693</v>
      </c>
      <c r="M9" s="0" t="n">
        <v>385540</v>
      </c>
      <c r="N9" s="0" t="n">
        <v>3071153</v>
      </c>
      <c r="O9" s="0" t="n">
        <v>3390022</v>
      </c>
      <c r="P9" s="0" t="n">
        <v>5198835</v>
      </c>
      <c r="Q9" s="0" t="n">
        <v>1808813</v>
      </c>
      <c r="R9" s="0" t="n">
        <v>471949</v>
      </c>
      <c r="S9" s="0" t="n">
        <v>3338553</v>
      </c>
      <c r="T9" s="0" t="n">
        <v>3029437</v>
      </c>
      <c r="U9" s="0" t="n">
        <v>12808</v>
      </c>
      <c r="V9" s="0" t="n">
        <v>0.25</v>
      </c>
      <c r="W9" s="0" t="n">
        <v>3317156</v>
      </c>
      <c r="AA9" s="0" t="s">
        <v>66</v>
      </c>
      <c r="AB9" s="0" t="s">
        <v>14</v>
      </c>
      <c r="AC9" s="0" t="n">
        <v>4447</v>
      </c>
      <c r="AD9" s="0" t="n">
        <v>3317156</v>
      </c>
    </row>
    <row r="10" customFormat="false" ht="15" hidden="false" customHeight="false" outlineLevel="0" collapsed="false">
      <c r="A10" s="0" t="s">
        <v>74</v>
      </c>
      <c r="B10" s="0" t="n">
        <v>1254118</v>
      </c>
      <c r="C10" s="0" t="n">
        <v>725282</v>
      </c>
      <c r="D10" s="0" t="n">
        <v>528836</v>
      </c>
      <c r="E10" s="0" t="n">
        <v>42.2</v>
      </c>
      <c r="F10" s="0" t="n">
        <v>397719</v>
      </c>
      <c r="G10" s="0" t="n">
        <v>31.7</v>
      </c>
      <c r="H10" s="0" t="n">
        <v>548096</v>
      </c>
      <c r="I10" s="0" t="n">
        <v>256883</v>
      </c>
      <c r="J10" s="0" t="n">
        <v>20.5</v>
      </c>
      <c r="K10" s="0" t="n">
        <v>0.0845</v>
      </c>
      <c r="L10" s="0" t="n">
        <v>-440224</v>
      </c>
      <c r="M10" s="0" t="n">
        <v>810001</v>
      </c>
      <c r="N10" s="0" t="n">
        <v>-1250225</v>
      </c>
      <c r="O10" s="0" t="n">
        <v>3244169</v>
      </c>
      <c r="P10" s="0" t="n">
        <v>4309245</v>
      </c>
      <c r="Q10" s="0" t="n">
        <v>1065076</v>
      </c>
      <c r="R10" s="0" t="n">
        <v>555743</v>
      </c>
      <c r="S10" s="0" t="n">
        <v>1626476</v>
      </c>
      <c r="T10" s="0" t="n">
        <v>3040036</v>
      </c>
      <c r="U10" s="0" t="n">
        <v>15780</v>
      </c>
      <c r="W10" s="0" t="n">
        <v>537544</v>
      </c>
      <c r="AA10" s="0" t="s">
        <v>66</v>
      </c>
      <c r="AB10" s="0" t="s">
        <v>14</v>
      </c>
      <c r="AC10" s="0" t="n">
        <v>1176</v>
      </c>
      <c r="AD10" s="0" t="n">
        <v>537544</v>
      </c>
    </row>
    <row r="11" customFormat="false" ht="15" hidden="false" customHeight="false" outlineLevel="0" collapsed="false">
      <c r="A11" s="0" t="s">
        <v>75</v>
      </c>
      <c r="B11" s="0" t="n">
        <v>768850</v>
      </c>
      <c r="C11" s="0" t="n">
        <v>776950</v>
      </c>
      <c r="D11" s="0" t="n">
        <v>-8100</v>
      </c>
      <c r="E11" s="0" t="n">
        <v>-1.1</v>
      </c>
      <c r="F11" s="0" t="n">
        <v>-143779</v>
      </c>
      <c r="G11" s="0" t="n">
        <v>-18.7</v>
      </c>
      <c r="H11" s="0" t="n">
        <v>77510</v>
      </c>
      <c r="I11" s="0" t="n">
        <v>-195766</v>
      </c>
      <c r="J11" s="0" t="n">
        <v>-25.5</v>
      </c>
      <c r="K11" s="0" t="n">
        <v>-0.0633</v>
      </c>
      <c r="L11" s="0" t="n">
        <v>146215</v>
      </c>
      <c r="M11" s="0" t="n">
        <v>634720</v>
      </c>
      <c r="N11" s="0" t="n">
        <v>-488505</v>
      </c>
      <c r="O11" s="0" t="n">
        <v>3531404</v>
      </c>
      <c r="P11" s="0" t="n">
        <v>4667395</v>
      </c>
      <c r="Q11" s="0" t="n">
        <v>1135991</v>
      </c>
      <c r="R11" s="0" t="n">
        <v>682211</v>
      </c>
      <c r="S11" s="0" t="n">
        <v>974417</v>
      </c>
      <c r="T11" s="0" t="n">
        <v>3094022</v>
      </c>
      <c r="U11" s="0" t="n">
        <v>11212</v>
      </c>
      <c r="W11" s="0" t="n">
        <v>97391</v>
      </c>
      <c r="AA11" s="0" t="s">
        <v>66</v>
      </c>
      <c r="AB11" s="0" t="s">
        <v>14</v>
      </c>
      <c r="AD11" s="0" t="n">
        <v>97391</v>
      </c>
    </row>
    <row r="12" customFormat="false" ht="15" hidden="false" customHeight="false" outlineLevel="0" collapsed="false">
      <c r="A12" s="0" t="s">
        <v>76</v>
      </c>
      <c r="B12" s="0" t="n">
        <v>1934018</v>
      </c>
      <c r="C12" s="0" t="n">
        <v>930029</v>
      </c>
      <c r="D12" s="0" t="n">
        <v>1003989</v>
      </c>
      <c r="E12" s="0" t="n">
        <v>51.9</v>
      </c>
      <c r="F12" s="0" t="n">
        <v>840212</v>
      </c>
      <c r="G12" s="0" t="n">
        <v>43.4</v>
      </c>
      <c r="H12" s="0" t="n">
        <v>1114743</v>
      </c>
      <c r="I12" s="0" t="n">
        <v>525761</v>
      </c>
      <c r="J12" s="0" t="n">
        <v>27.2</v>
      </c>
      <c r="K12" s="0" t="n">
        <v>0.1614</v>
      </c>
      <c r="L12" s="0" t="n">
        <v>1364686</v>
      </c>
      <c r="M12" s="0" t="n">
        <v>329430</v>
      </c>
      <c r="N12" s="0" t="n">
        <v>1035256</v>
      </c>
      <c r="O12" s="0" t="n">
        <v>4081737</v>
      </c>
      <c r="P12" s="0" t="n">
        <v>6257957</v>
      </c>
      <c r="Q12" s="0" t="n">
        <v>2176220</v>
      </c>
      <c r="R12" s="0" t="n">
        <v>1232209</v>
      </c>
      <c r="S12" s="0" t="n">
        <v>2289977</v>
      </c>
      <c r="T12" s="0" t="n">
        <v>3257503</v>
      </c>
      <c r="U12" s="0" t="n">
        <v>22205</v>
      </c>
      <c r="W12" s="0" t="n">
        <v>1136993</v>
      </c>
      <c r="AA12" s="0" t="s">
        <v>66</v>
      </c>
      <c r="AB12" s="0" t="s">
        <v>14</v>
      </c>
      <c r="AD12" s="0" t="n">
        <v>1136993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3.94</v>
      </c>
    </row>
    <row r="3" customFormat="false" ht="15" hidden="false" customHeight="false" outlineLevel="0" collapsed="false">
      <c r="A3" s="0" t="s">
        <v>80</v>
      </c>
      <c r="B3" s="3" t="n">
        <v>3276.5</v>
      </c>
    </row>
    <row r="4" customFormat="false" ht="15" hidden="false" customHeight="false" outlineLevel="0" collapsed="false">
      <c r="A4" s="0" t="s">
        <v>81</v>
      </c>
      <c r="B4" s="3" t="n">
        <v>-1057.8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1934.018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-27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33</v>
      </c>
      <c r="D14" s="3" t="n">
        <v>32</v>
      </c>
      <c r="E14" s="3" t="n">
        <v>31</v>
      </c>
      <c r="F14" s="3" t="n">
        <v>30</v>
      </c>
      <c r="G14" s="3" t="n">
        <v>30</v>
      </c>
      <c r="H14" s="3" t="n">
        <v>30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102</v>
      </c>
      <c r="C15" s="3" t="n">
        <v>1.4</v>
      </c>
      <c r="D15" s="3" t="n">
        <v>1.4</v>
      </c>
      <c r="E15" s="3" t="n">
        <v>1.4</v>
      </c>
      <c r="F15" s="3" t="n">
        <v>1.4</v>
      </c>
      <c r="G15" s="3" t="n">
        <v>1.4</v>
      </c>
      <c r="H15" s="3" t="n">
        <v>1.4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20</v>
      </c>
      <c r="D17" s="3" t="n">
        <v>19.5</v>
      </c>
      <c r="E17" s="3" t="n">
        <v>19</v>
      </c>
      <c r="F17" s="3" t="n">
        <v>19</v>
      </c>
      <c r="G17" s="3" t="n">
        <v>19</v>
      </c>
      <c r="H17" s="3" t="n">
        <v>19</v>
      </c>
      <c r="I17" s="3" t="n">
        <v>19</v>
      </c>
      <c r="J17" s="3" t="n">
        <v>19</v>
      </c>
      <c r="K17" s="3" t="n">
        <v>19</v>
      </c>
      <c r="L17" s="3" t="n">
        <v>19</v>
      </c>
    </row>
    <row r="18" customFormat="false" ht="15" hidden="false" customHeight="false" outlineLevel="0" collapsed="false">
      <c r="A18" s="0" t="s">
        <v>105</v>
      </c>
      <c r="C18" s="3" t="n">
        <v>17</v>
      </c>
      <c r="D18" s="3" t="n">
        <v>16.5</v>
      </c>
      <c r="E18" s="3" t="n">
        <v>16</v>
      </c>
      <c r="F18" s="3" t="n">
        <v>16</v>
      </c>
      <c r="G18" s="3" t="n">
        <v>16</v>
      </c>
      <c r="H18" s="3" t="n">
        <v>16</v>
      </c>
      <c r="I18" s="3" t="n">
        <v>16</v>
      </c>
      <c r="J18" s="3" t="n">
        <v>16</v>
      </c>
      <c r="K18" s="3" t="n">
        <v>16</v>
      </c>
      <c r="L18" s="3" t="n">
        <v>16</v>
      </c>
    </row>
    <row r="19" customFormat="false" ht="15" hidden="false" customHeight="false" outlineLevel="0" collapsed="false">
      <c r="A19" s="0" t="s">
        <v>106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107</v>
      </c>
      <c r="B20" s="3" t="n">
        <v>11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-1.8</v>
      </c>
      <c r="D27" s="3" t="n">
        <v>5</v>
      </c>
      <c r="E27" s="3" t="n">
        <v>2.5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47</v>
      </c>
      <c r="D28" s="3" t="n">
        <v>46.5</v>
      </c>
      <c r="E28" s="3" t="n">
        <v>46</v>
      </c>
      <c r="F28" s="3" t="n">
        <v>45.5</v>
      </c>
      <c r="G28" s="3" t="n">
        <v>45</v>
      </c>
      <c r="H28" s="3" t="n">
        <v>45</v>
      </c>
      <c r="I28" s="3" t="n">
        <v>44.5</v>
      </c>
      <c r="J28" s="3" t="n">
        <v>44.5</v>
      </c>
      <c r="K28" s="3" t="n">
        <v>44</v>
      </c>
      <c r="L28" s="3" t="n">
        <v>44</v>
      </c>
    </row>
    <row r="29" customFormat="false" ht="15" hidden="false" customHeight="false" outlineLevel="0" collapsed="false">
      <c r="A29" s="0" t="s">
        <v>102</v>
      </c>
      <c r="C29" s="3" t="n">
        <v>1.2</v>
      </c>
      <c r="D29" s="3" t="n">
        <v>1.2</v>
      </c>
      <c r="E29" s="3" t="n">
        <v>1.2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15.5</v>
      </c>
      <c r="D31" s="3" t="n">
        <v>15</v>
      </c>
      <c r="E31" s="3" t="n">
        <v>14.5</v>
      </c>
      <c r="F31" s="3" t="n">
        <v>14.5</v>
      </c>
      <c r="G31" s="3" t="n">
        <v>14.5</v>
      </c>
      <c r="H31" s="3" t="n">
        <v>14</v>
      </c>
      <c r="I31" s="3" t="n">
        <v>14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105</v>
      </c>
      <c r="C32" s="3" t="n">
        <v>16</v>
      </c>
      <c r="D32" s="3" t="n">
        <v>14.5</v>
      </c>
      <c r="E32" s="3" t="n">
        <v>14</v>
      </c>
      <c r="F32" s="3" t="n">
        <v>14</v>
      </c>
      <c r="G32" s="3" t="n">
        <v>14</v>
      </c>
      <c r="H32" s="3" t="n">
        <v>14</v>
      </c>
      <c r="I32" s="3" t="n">
        <v>14</v>
      </c>
      <c r="J32" s="3" t="n">
        <v>14</v>
      </c>
      <c r="K32" s="3" t="n">
        <v>14</v>
      </c>
      <c r="L32" s="3" t="n">
        <v>14</v>
      </c>
    </row>
    <row r="33" customFormat="false" ht="15" hidden="false" customHeight="false" outlineLevel="0" collapsed="false">
      <c r="A33" s="0" t="s">
        <v>106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107</v>
      </c>
      <c r="B34" s="3" t="n">
        <v>11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27</v>
      </c>
      <c r="D41" s="3" t="n">
        <v>5</v>
      </c>
      <c r="E41" s="3" t="n">
        <v>12</v>
      </c>
      <c r="F41" s="3" t="n">
        <v>15</v>
      </c>
      <c r="G41" s="3" t="n">
        <v>15</v>
      </c>
      <c r="H41" s="3" t="n">
        <v>6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55</v>
      </c>
      <c r="D42" s="3" t="n">
        <v>54</v>
      </c>
      <c r="E42" s="3" t="n">
        <v>53</v>
      </c>
      <c r="F42" s="3" t="n">
        <v>53</v>
      </c>
      <c r="G42" s="3" t="n">
        <v>53</v>
      </c>
      <c r="H42" s="3" t="n">
        <v>52</v>
      </c>
      <c r="I42" s="3" t="n">
        <v>52</v>
      </c>
      <c r="J42" s="3" t="n">
        <v>52</v>
      </c>
      <c r="K42" s="3" t="n">
        <v>51</v>
      </c>
      <c r="L42" s="3" t="n">
        <v>51</v>
      </c>
    </row>
    <row r="43" customFormat="false" ht="15" hidden="false" customHeight="false" outlineLevel="0" collapsed="false">
      <c r="A43" s="0" t="s">
        <v>102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12</v>
      </c>
      <c r="D45" s="3" t="n">
        <v>12</v>
      </c>
      <c r="E45" s="3" t="n">
        <v>12.5</v>
      </c>
      <c r="F45" s="3" t="n">
        <v>13</v>
      </c>
      <c r="G45" s="3" t="n">
        <v>13.5</v>
      </c>
      <c r="H45" s="3" t="n">
        <v>14</v>
      </c>
      <c r="I45" s="3" t="n">
        <v>14</v>
      </c>
      <c r="J45" s="3" t="n">
        <v>14</v>
      </c>
      <c r="K45" s="3" t="n">
        <v>14</v>
      </c>
      <c r="L45" s="3" t="n">
        <v>14</v>
      </c>
    </row>
    <row r="46" customFormat="false" ht="15" hidden="false" customHeight="false" outlineLevel="0" collapsed="false">
      <c r="A46" s="0" t="s">
        <v>105</v>
      </c>
      <c r="C46" s="3" t="n">
        <v>14</v>
      </c>
      <c r="D46" s="3" t="n">
        <v>28</v>
      </c>
      <c r="E46" s="3" t="n">
        <v>32</v>
      </c>
      <c r="F46" s="3" t="n">
        <v>28</v>
      </c>
      <c r="G46" s="3" t="n">
        <v>22</v>
      </c>
      <c r="H46" s="3" t="n">
        <v>15</v>
      </c>
      <c r="I46" s="3" t="n">
        <v>13</v>
      </c>
      <c r="J46" s="3" t="n">
        <v>13</v>
      </c>
      <c r="K46" s="3" t="n">
        <v>13</v>
      </c>
      <c r="L46" s="3" t="n">
        <v>13</v>
      </c>
    </row>
    <row r="47" customFormat="false" ht="15" hidden="false" customHeight="false" outlineLevel="0" collapsed="false">
      <c r="A47" s="0" t="s">
        <v>106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12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-27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1934.018</v>
      </c>
      <c r="C6" s="0" t="n">
        <f aca="false">B6*(1+C5/100)</f>
        <v>1411.83314</v>
      </c>
      <c r="D6" s="0" t="n">
        <f aca="false">C6*(1+D5/100)</f>
        <v>1440.0698028</v>
      </c>
      <c r="E6" s="0" t="n">
        <f aca="false">D6*(1+E5/100)</f>
        <v>1468.871198856</v>
      </c>
      <c r="F6" s="0" t="n">
        <f aca="false">E6*(1+F5/100)</f>
        <v>1498.24862283312</v>
      </c>
      <c r="G6" s="0" t="n">
        <f aca="false">F6*(1+G5/100)</f>
        <v>1528.21359528978</v>
      </c>
      <c r="H6" s="0" t="n">
        <f aca="false">G6*(1+H5/100)</f>
        <v>1558.77786719558</v>
      </c>
      <c r="I6" s="0" t="n">
        <f aca="false">H6*(1+I5/100)</f>
        <v>1589.95342453949</v>
      </c>
      <c r="J6" s="0" t="n">
        <f aca="false">I6*(1+J5/100)</f>
        <v>1621.75249303028</v>
      </c>
      <c r="K6" s="0" t="n">
        <f aca="false">J6*(1+K5/100)</f>
        <v>1654.18754289089</v>
      </c>
      <c r="L6" s="0" t="n">
        <f aca="false">K6*(1+L5/100)</f>
        <v>1687.2712937487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33</v>
      </c>
      <c r="D7" s="4" t="n">
        <f aca="false">Assumptions!D14</f>
        <v>32</v>
      </c>
      <c r="E7" s="4" t="n">
        <f aca="false">Assumptions!E14</f>
        <v>31</v>
      </c>
      <c r="F7" s="4" t="n">
        <f aca="false">Assumptions!F14</f>
        <v>30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465.9049362</v>
      </c>
      <c r="D8" s="0" t="n">
        <f aca="false">D6*D7/100</f>
        <v>460.822336896</v>
      </c>
      <c r="E8" s="0" t="n">
        <f aca="false">E6*E7/100</f>
        <v>455.35007164536</v>
      </c>
      <c r="F8" s="0" t="n">
        <f aca="false">F6*F7/100</f>
        <v>449.474586849936</v>
      </c>
      <c r="G8" s="0" t="n">
        <f aca="false">G6*G7/100</f>
        <v>458.464078586935</v>
      </c>
      <c r="H8" s="0" t="n">
        <f aca="false">H6*H7/100</f>
        <v>467.633360158673</v>
      </c>
      <c r="I8" s="0" t="n">
        <f aca="false">I6*I7/100</f>
        <v>461.086493116452</v>
      </c>
      <c r="J8" s="0" t="n">
        <f aca="false">J6*J7/100</f>
        <v>470.308222978781</v>
      </c>
      <c r="K8" s="0" t="n">
        <f aca="false">K6*K7/100</f>
        <v>479.714387438357</v>
      </c>
      <c r="L8" s="0" t="n">
        <f aca="false">L6*L7/100</f>
        <v>489.308675187124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1.4</v>
      </c>
      <c r="D9" s="4" t="n">
        <f aca="false">Assumptions!D15</f>
        <v>1.4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1.4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-19.76566396</v>
      </c>
      <c r="D10" s="0" t="n">
        <f aca="false">-D6*D9/100</f>
        <v>-20.1609772392</v>
      </c>
      <c r="E10" s="0" t="n">
        <f aca="false">-E6*E9/100</f>
        <v>-20.564196783984</v>
      </c>
      <c r="F10" s="0" t="n">
        <f aca="false">-F6*F9/100</f>
        <v>-20.9754807196637</v>
      </c>
      <c r="G10" s="0" t="n">
        <f aca="false">-G6*G9/100</f>
        <v>-21.394990334057</v>
      </c>
      <c r="H10" s="0" t="n">
        <f aca="false">-H6*H9/100</f>
        <v>-21.8228901407381</v>
      </c>
      <c r="I10" s="0" t="n">
        <f aca="false">-I6*I9/100</f>
        <v>-22.2593479435529</v>
      </c>
      <c r="J10" s="0" t="n">
        <f aca="false">-J6*J9/100</f>
        <v>-22.7045349024239</v>
      </c>
      <c r="K10" s="0" t="n">
        <f aca="false">-K6*K9/100</f>
        <v>-23.1586256004724</v>
      </c>
      <c r="L10" s="0" t="n">
        <f aca="false">-L6*L9/100</f>
        <v>-23.6217981124818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446.13927224</v>
      </c>
      <c r="D11" s="0" t="n">
        <f aca="false">D8+D10+D24</f>
        <v>440.6613596568</v>
      </c>
      <c r="E11" s="0" t="n">
        <f aca="false">E8+E10+E24</f>
        <v>434.785874861376</v>
      </c>
      <c r="F11" s="0" t="n">
        <f aca="false">F8+F10+F24</f>
        <v>428.499106130272</v>
      </c>
      <c r="G11" s="0" t="n">
        <f aca="false">G8+G10+G24</f>
        <v>437.069088252878</v>
      </c>
      <c r="H11" s="0" t="n">
        <f aca="false">H8+H10+H24</f>
        <v>445.810470017935</v>
      </c>
      <c r="I11" s="0" t="n">
        <f aca="false">I8+I10+I24</f>
        <v>438.827145172899</v>
      </c>
      <c r="J11" s="0" t="n">
        <f aca="false">J8+J10+J24</f>
        <v>447.603688076357</v>
      </c>
      <c r="K11" s="0" t="n">
        <f aca="false">K8+K10+K24</f>
        <v>456.555761837884</v>
      </c>
      <c r="L11" s="0" t="n">
        <f aca="false">L8+L10+L24</f>
        <v>465.686877074642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-282.366628</v>
      </c>
      <c r="D12" s="4" t="n">
        <f aca="false">-D6*Assumptions!D17/100</f>
        <v>-280.813611546</v>
      </c>
      <c r="E12" s="4" t="n">
        <f aca="false">-E6*Assumptions!E17/100</f>
        <v>-279.08552778264</v>
      </c>
      <c r="F12" s="4" t="n">
        <f aca="false">-F6*Assumptions!F17/100</f>
        <v>-284.667238338293</v>
      </c>
      <c r="G12" s="4" t="n">
        <f aca="false">-G6*Assumptions!G17/100</f>
        <v>-290.360583105059</v>
      </c>
      <c r="H12" s="4" t="n">
        <f aca="false">-H6*Assumptions!H17/100</f>
        <v>-296.16779476716</v>
      </c>
      <c r="I12" s="4" t="n">
        <f aca="false">-I6*Assumptions!I17/100</f>
        <v>-302.091150662503</v>
      </c>
      <c r="J12" s="4" t="n">
        <f aca="false">-J6*Assumptions!J17/100</f>
        <v>-308.132973675753</v>
      </c>
      <c r="K12" s="4" t="n">
        <f aca="false">-K6*Assumptions!K17/100</f>
        <v>-314.295633149268</v>
      </c>
      <c r="L12" s="4" t="n">
        <f aca="false">-L6*Assumptions!L17/100</f>
        <v>-320.581545812254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163.77264424</v>
      </c>
      <c r="D13" s="0" t="n">
        <f aca="false">D11+D12</f>
        <v>159.8477481108</v>
      </c>
      <c r="E13" s="0" t="n">
        <f aca="false">E11+E12</f>
        <v>155.700347078736</v>
      </c>
      <c r="F13" s="0" t="n">
        <f aca="false">F11+F12</f>
        <v>143.83186779198</v>
      </c>
      <c r="G13" s="0" t="n">
        <f aca="false">G11+G12</f>
        <v>146.708505147819</v>
      </c>
      <c r="H13" s="0" t="n">
        <f aca="false">H11+H12</f>
        <v>149.642675250775</v>
      </c>
      <c r="I13" s="0" t="n">
        <f aca="false">I11+I12</f>
        <v>136.735994510396</v>
      </c>
      <c r="J13" s="0" t="n">
        <f aca="false">J11+J12</f>
        <v>139.470714400604</v>
      </c>
      <c r="K13" s="0" t="n">
        <f aca="false">K11+K12</f>
        <v>142.260128688616</v>
      </c>
      <c r="L13" s="0" t="n">
        <f aca="false">L11+L12</f>
        <v>145.105331262388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114.640850968</v>
      </c>
      <c r="D15" s="0" t="n">
        <f aca="false">D13-MAX(0,D13)*D14/100</f>
        <v>111.89342367756</v>
      </c>
      <c r="E15" s="0" t="n">
        <f aca="false">E13-MAX(0,E13)*E14/100</f>
        <v>108.990242955115</v>
      </c>
      <c r="F15" s="0" t="n">
        <f aca="false">F13-MAX(0,F13)*F14/100</f>
        <v>100.682307454386</v>
      </c>
      <c r="G15" s="0" t="n">
        <f aca="false">G13-MAX(0,G13)*G14/100</f>
        <v>102.695953603473</v>
      </c>
      <c r="H15" s="0" t="n">
        <f aca="false">H13-MAX(0,H13)*H14/100</f>
        <v>104.749872675543</v>
      </c>
      <c r="I15" s="0" t="n">
        <f aca="false">I13-MAX(0,I13)*I14/100</f>
        <v>95.7151961572773</v>
      </c>
      <c r="J15" s="0" t="n">
        <f aca="false">J13-MAX(0,J13)*J14/100</f>
        <v>97.6295000804228</v>
      </c>
      <c r="K15" s="0" t="n">
        <f aca="false">K13-MAX(0,K13)*K14/100</f>
        <v>99.5820900820313</v>
      </c>
      <c r="L15" s="0" t="n">
        <f aca="false">L13-MAX(0,L13)*L14/100</f>
        <v>101.573731883672</v>
      </c>
    </row>
    <row r="16" customFormat="false" ht="15" hidden="false" customHeight="false" outlineLevel="0" collapsed="false">
      <c r="A16" s="0" t="s">
        <v>122</v>
      </c>
      <c r="C16" s="0" t="n">
        <f aca="false">-C12</f>
        <v>282.366628</v>
      </c>
      <c r="D16" s="0" t="n">
        <f aca="false">-D12</f>
        <v>280.813611546</v>
      </c>
      <c r="E16" s="0" t="n">
        <f aca="false">-E12</f>
        <v>279.08552778264</v>
      </c>
      <c r="F16" s="0" t="n">
        <f aca="false">-F12</f>
        <v>284.667238338293</v>
      </c>
      <c r="G16" s="0" t="n">
        <f aca="false">-G12</f>
        <v>290.360583105059</v>
      </c>
      <c r="H16" s="0" t="n">
        <f aca="false">-H12</f>
        <v>296.16779476716</v>
      </c>
      <c r="I16" s="0" t="n">
        <f aca="false">-I12</f>
        <v>302.091150662503</v>
      </c>
      <c r="J16" s="0" t="n">
        <f aca="false">-J12</f>
        <v>308.132973675753</v>
      </c>
      <c r="K16" s="0" t="n">
        <f aca="false">-K12</f>
        <v>314.295633149268</v>
      </c>
      <c r="L16" s="0" t="n">
        <f aca="false">-L12</f>
        <v>320.581545812254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-240.0116338</v>
      </c>
      <c r="D17" s="4" t="n">
        <f aca="false">-D6*Assumptions!D18/100</f>
        <v>-237.611517462</v>
      </c>
      <c r="E17" s="4" t="n">
        <f aca="false">-E6*Assumptions!E18/100</f>
        <v>-235.01939181696</v>
      </c>
      <c r="F17" s="4" t="n">
        <f aca="false">-F6*Assumptions!F18/100</f>
        <v>-239.719779653299</v>
      </c>
      <c r="G17" s="4" t="n">
        <f aca="false">-G6*Assumptions!G18/100</f>
        <v>-244.514175246365</v>
      </c>
      <c r="H17" s="4" t="n">
        <f aca="false">-H6*Assumptions!H18/100</f>
        <v>-249.404458751293</v>
      </c>
      <c r="I17" s="4" t="n">
        <f aca="false">-I6*Assumptions!I18/100</f>
        <v>-254.392547926318</v>
      </c>
      <c r="J17" s="4" t="n">
        <f aca="false">-J6*Assumptions!J18/100</f>
        <v>-259.480398884845</v>
      </c>
      <c r="K17" s="4" t="n">
        <f aca="false">-K6*Assumptions!K18/100</f>
        <v>-264.670006862542</v>
      </c>
      <c r="L17" s="4" t="n">
        <f aca="false">-L6*Assumptions!L18/100</f>
        <v>-269.963406999793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26.109243</v>
      </c>
      <c r="D18" s="4" t="n">
        <f aca="false">(D6-C6)*Assumptions!$B$23/100</f>
        <v>-1.41183314</v>
      </c>
      <c r="E18" s="4" t="n">
        <f aca="false">(E6-D6)*Assumptions!$B$23/100</f>
        <v>-1.4400698028</v>
      </c>
      <c r="F18" s="4" t="n">
        <f aca="false">(F6-E6)*Assumptions!$B$23/100</f>
        <v>-1.468871198856</v>
      </c>
      <c r="G18" s="4" t="n">
        <f aca="false">(G6-F6)*Assumptions!$B$23/100</f>
        <v>-1.49824862283313</v>
      </c>
      <c r="H18" s="4" t="n">
        <f aca="false">(H6-G6)*Assumptions!$B$23/100</f>
        <v>-1.52821359528979</v>
      </c>
      <c r="I18" s="4" t="n">
        <f aca="false">(I6-H6)*Assumptions!$B$23/100</f>
        <v>-1.55877786719558</v>
      </c>
      <c r="J18" s="4" t="n">
        <f aca="false">(J6-I6)*Assumptions!$B$23/100</f>
        <v>-1.58995342453949</v>
      </c>
      <c r="K18" s="4" t="n">
        <f aca="false">(K6-J6)*Assumptions!$B$23/100</f>
        <v>-1.62175249303028</v>
      </c>
      <c r="L18" s="4" t="n">
        <f aca="false">(L6-K6)*Assumptions!$B$23/100</f>
        <v>-1.65418754289088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183.105088168</v>
      </c>
      <c r="D19" s="0" t="n">
        <f aca="false">D15+D16+D17+D18</f>
        <v>153.68368462156</v>
      </c>
      <c r="E19" s="0" t="n">
        <f aca="false">E15+E16+E17+E18</f>
        <v>151.616309117995</v>
      </c>
      <c r="F19" s="0" t="n">
        <f aca="false">F15+F16+F17+F18</f>
        <v>144.160894940523</v>
      </c>
      <c r="G19" s="0" t="n">
        <f aca="false">G15+G16+G17+G18</f>
        <v>147.044112839334</v>
      </c>
      <c r="H19" s="0" t="n">
        <f aca="false">H15+H16+H17+H18</f>
        <v>149.98499509612</v>
      </c>
      <c r="I19" s="0" t="n">
        <f aca="false">I15+I16+I17+I18</f>
        <v>141.855021026266</v>
      </c>
      <c r="J19" s="0" t="n">
        <f aca="false">J15+J16+J17+J18</f>
        <v>144.692121446792</v>
      </c>
      <c r="K19" s="0" t="n">
        <f aca="false">K15+K16+K17+K18</f>
        <v>147.585963875728</v>
      </c>
      <c r="L19" s="0" t="n">
        <f aca="false">L15+L16+L17+L18</f>
        <v>150.537683153242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164.95953889009</v>
      </c>
      <c r="D21" s="0" t="n">
        <f aca="false">D19*D20</f>
        <v>124.733126062462</v>
      </c>
      <c r="E21" s="0" t="n">
        <f aca="false">E19*E20</f>
        <v>110.860538491739</v>
      </c>
      <c r="F21" s="0" t="n">
        <f aca="false">F19*F20</f>
        <v>94.963246757786</v>
      </c>
      <c r="G21" s="0" t="n">
        <f aca="false">G19*G20</f>
        <v>87.2635240476952</v>
      </c>
      <c r="H21" s="0" t="n">
        <f aca="false">H19*H20</f>
        <v>80.1881031789631</v>
      </c>
      <c r="I21" s="0" t="n">
        <f aca="false">I19*I20</f>
        <v>68.3256640043929</v>
      </c>
      <c r="J21" s="0" t="n">
        <f aca="false">J19*J20</f>
        <v>62.7857453013341</v>
      </c>
      <c r="K21" s="0" t="n">
        <f aca="false">K19*K20</f>
        <v>57.6950091958205</v>
      </c>
      <c r="L21" s="0" t="n">
        <f aca="false">L19*L20</f>
        <v>53.0170354772404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904.791531407523</v>
      </c>
    </row>
    <row r="31" customFormat="false" ht="15" hidden="false" customHeight="false" outlineLevel="0" collapsed="false">
      <c r="A31" s="0" t="s">
        <v>131</v>
      </c>
      <c r="B31" s="0" t="n">
        <f aca="false">L19</f>
        <v>150.537683153242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1608.37629895306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1806.45219783891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1608.37629895306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566.44516851999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1471.23669992751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2529.03669992751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0.771871417649172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-0.804093548820007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125.333874343563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88.8844117452579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0.837251636202147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1131.82035852252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0.64485093073146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-1.8</v>
      </c>
      <c r="D5" s="4" t="n">
        <f aca="false">Assumptions!D27</f>
        <v>5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1934.018</v>
      </c>
      <c r="C6" s="0" t="n">
        <f aca="false">B6*(1+C5/100)</f>
        <v>1899.205676</v>
      </c>
      <c r="D6" s="0" t="n">
        <f aca="false">C6*(1+D5/100)</f>
        <v>1994.1659598</v>
      </c>
      <c r="E6" s="0" t="n">
        <f aca="false">D6*(1+E5/100)</f>
        <v>2044.020108795</v>
      </c>
      <c r="F6" s="0" t="n">
        <f aca="false">E6*(1+F5/100)</f>
        <v>2095.12061151488</v>
      </c>
      <c r="G6" s="0" t="n">
        <f aca="false">F6*(1+G5/100)</f>
        <v>2147.49862680275</v>
      </c>
      <c r="H6" s="0" t="n">
        <f aca="false">G6*(1+H5/100)</f>
        <v>2201.18609247282</v>
      </c>
      <c r="I6" s="0" t="n">
        <f aca="false">H6*(1+I5/100)</f>
        <v>2256.21574478464</v>
      </c>
      <c r="J6" s="0" t="n">
        <f aca="false">I6*(1+J5/100)</f>
        <v>2312.62113840425</v>
      </c>
      <c r="K6" s="0" t="n">
        <f aca="false">J6*(1+K5/100)</f>
        <v>2370.43666686436</v>
      </c>
      <c r="L6" s="0" t="n">
        <f aca="false">K6*(1+L5/100)</f>
        <v>2429.69758353597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47</v>
      </c>
      <c r="D7" s="4" t="n">
        <f aca="false">Assumptions!D28</f>
        <v>46.5</v>
      </c>
      <c r="E7" s="4" t="n">
        <f aca="false">Assumptions!E28</f>
        <v>46</v>
      </c>
      <c r="F7" s="4" t="n">
        <f aca="false">Assumptions!F28</f>
        <v>45.5</v>
      </c>
      <c r="G7" s="4" t="n">
        <f aca="false">Assumptions!G28</f>
        <v>45</v>
      </c>
      <c r="H7" s="4" t="n">
        <f aca="false">Assumptions!H28</f>
        <v>45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</v>
      </c>
      <c r="L7" s="4" t="n">
        <f aca="false">Assumptions!L28</f>
        <v>44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892.62666772</v>
      </c>
      <c r="D8" s="0" t="n">
        <f aca="false">D6*D7/100</f>
        <v>927.287171307</v>
      </c>
      <c r="E8" s="0" t="n">
        <f aca="false">E6*E7/100</f>
        <v>940.2492500457</v>
      </c>
      <c r="F8" s="0" t="n">
        <f aca="false">F6*F7/100</f>
        <v>953.279878239268</v>
      </c>
      <c r="G8" s="0" t="n">
        <f aca="false">G6*G7/100</f>
        <v>966.374382061236</v>
      </c>
      <c r="H8" s="0" t="n">
        <f aca="false">H6*H7/100</f>
        <v>990.533741612767</v>
      </c>
      <c r="I8" s="0" t="n">
        <f aca="false">I6*I7/100</f>
        <v>1004.01600642916</v>
      </c>
      <c r="J8" s="0" t="n">
        <f aca="false">J6*J7/100</f>
        <v>1029.11640658989</v>
      </c>
      <c r="K8" s="0" t="n">
        <f aca="false">K6*K7/100</f>
        <v>1042.99213342032</v>
      </c>
      <c r="L8" s="0" t="n">
        <f aca="false">L6*L7/100</f>
        <v>1069.06693675582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-22.790468112</v>
      </c>
      <c r="D10" s="0" t="n">
        <f aca="false">-D6*D9/100</f>
        <v>-23.9299915176</v>
      </c>
      <c r="E10" s="0" t="n">
        <f aca="false">-E6*E9/100</f>
        <v>-24.52824130554</v>
      </c>
      <c r="F10" s="0" t="n">
        <f aca="false">-F6*F9/100</f>
        <v>-25.1414473381785</v>
      </c>
      <c r="G10" s="0" t="n">
        <f aca="false">-G6*G9/100</f>
        <v>-25.769983521633</v>
      </c>
      <c r="H10" s="0" t="n">
        <f aca="false">-H6*H9/100</f>
        <v>-26.4142331096738</v>
      </c>
      <c r="I10" s="0" t="n">
        <f aca="false">-I6*I9/100</f>
        <v>-27.0745889374156</v>
      </c>
      <c r="J10" s="0" t="n">
        <f aca="false">-J6*J9/100</f>
        <v>-27.751453660851</v>
      </c>
      <c r="K10" s="0" t="n">
        <f aca="false">-K6*K9/100</f>
        <v>-28.4452400023723</v>
      </c>
      <c r="L10" s="0" t="n">
        <f aca="false">-L6*L9/100</f>
        <v>-29.1563710024316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869.836199608</v>
      </c>
      <c r="D11" s="0" t="n">
        <f aca="false">D8+D10+D24</f>
        <v>903.3571797894</v>
      </c>
      <c r="E11" s="0" t="n">
        <f aca="false">E8+E10+E24</f>
        <v>915.72100874016</v>
      </c>
      <c r="F11" s="0" t="n">
        <f aca="false">F8+F10+F24</f>
        <v>928.13843090109</v>
      </c>
      <c r="G11" s="0" t="n">
        <f aca="false">G8+G10+G24</f>
        <v>940.604398539603</v>
      </c>
      <c r="H11" s="0" t="n">
        <f aca="false">H8+H10+H24</f>
        <v>964.119508503093</v>
      </c>
      <c r="I11" s="0" t="n">
        <f aca="false">I8+I10+I24</f>
        <v>976.941417491747</v>
      </c>
      <c r="J11" s="0" t="n">
        <f aca="false">J8+J10+J24</f>
        <v>1001.36495292904</v>
      </c>
      <c r="K11" s="0" t="n">
        <f aca="false">K8+K10+K24</f>
        <v>1014.54689341794</v>
      </c>
      <c r="L11" s="0" t="n">
        <f aca="false">L8+L10+L24</f>
        <v>1039.91056575339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-294.37687978</v>
      </c>
      <c r="D12" s="4" t="n">
        <f aca="false">-D6*Assumptions!D31/100</f>
        <v>-299.12489397</v>
      </c>
      <c r="E12" s="4" t="n">
        <f aca="false">-E6*Assumptions!E31/100</f>
        <v>-296.382915775275</v>
      </c>
      <c r="F12" s="4" t="n">
        <f aca="false">-F6*Assumptions!F31/100</f>
        <v>-303.792488669657</v>
      </c>
      <c r="G12" s="4" t="n">
        <f aca="false">-G6*Assumptions!G31/100</f>
        <v>-311.387300886398</v>
      </c>
      <c r="H12" s="4" t="n">
        <f aca="false">-H6*Assumptions!H31/100</f>
        <v>-308.166052946194</v>
      </c>
      <c r="I12" s="4" t="n">
        <f aca="false">-I6*Assumptions!I31/100</f>
        <v>-315.870204269849</v>
      </c>
      <c r="J12" s="4" t="n">
        <f aca="false">-J6*Assumptions!J31/100</f>
        <v>-323.766959376595</v>
      </c>
      <c r="K12" s="4" t="n">
        <f aca="false">-K6*Assumptions!K31/100</f>
        <v>-331.86113336101</v>
      </c>
      <c r="L12" s="4" t="n">
        <f aca="false">-L6*Assumptions!L31/100</f>
        <v>-340.157661695035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575.459319828</v>
      </c>
      <c r="D13" s="0" t="n">
        <f aca="false">D11+D12</f>
        <v>604.2322858194</v>
      </c>
      <c r="E13" s="0" t="n">
        <f aca="false">E11+E12</f>
        <v>619.338092964885</v>
      </c>
      <c r="F13" s="0" t="n">
        <f aca="false">F11+F12</f>
        <v>624.345942231433</v>
      </c>
      <c r="G13" s="0" t="n">
        <f aca="false">G11+G12</f>
        <v>629.217097653205</v>
      </c>
      <c r="H13" s="0" t="n">
        <f aca="false">H11+H12</f>
        <v>655.953455556899</v>
      </c>
      <c r="I13" s="0" t="n">
        <f aca="false">I11+I12</f>
        <v>661.071213221898</v>
      </c>
      <c r="J13" s="0" t="n">
        <f aca="false">J11+J12</f>
        <v>677.597993552445</v>
      </c>
      <c r="K13" s="0" t="n">
        <f aca="false">K11+K12</f>
        <v>682.685760056935</v>
      </c>
      <c r="L13" s="0" t="n">
        <f aca="false">L11+L12</f>
        <v>699.752904058358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402.8215238796</v>
      </c>
      <c r="D15" s="0" t="n">
        <f aca="false">D13-MAX(0,D13)*D14/100</f>
        <v>422.96260007358</v>
      </c>
      <c r="E15" s="0" t="n">
        <f aca="false">E13-MAX(0,E13)*E14/100</f>
        <v>433.53666507542</v>
      </c>
      <c r="F15" s="0" t="n">
        <f aca="false">F13-MAX(0,F13)*F14/100</f>
        <v>437.042159562003</v>
      </c>
      <c r="G15" s="0" t="n">
        <f aca="false">G13-MAX(0,G13)*G14/100</f>
        <v>440.451968357243</v>
      </c>
      <c r="H15" s="0" t="n">
        <f aca="false">H13-MAX(0,H13)*H14/100</f>
        <v>459.167418889829</v>
      </c>
      <c r="I15" s="0" t="n">
        <f aca="false">I13-MAX(0,I13)*I14/100</f>
        <v>462.749849255329</v>
      </c>
      <c r="J15" s="0" t="n">
        <f aca="false">J13-MAX(0,J13)*J14/100</f>
        <v>474.318595486712</v>
      </c>
      <c r="K15" s="0" t="n">
        <f aca="false">K13-MAX(0,K13)*K14/100</f>
        <v>477.880032039854</v>
      </c>
      <c r="L15" s="0" t="n">
        <f aca="false">L13-MAX(0,L13)*L14/100</f>
        <v>489.827032840851</v>
      </c>
    </row>
    <row r="16" customFormat="false" ht="15" hidden="false" customHeight="false" outlineLevel="0" collapsed="false">
      <c r="A16" s="0" t="s">
        <v>122</v>
      </c>
      <c r="C16" s="0" t="n">
        <f aca="false">-C12</f>
        <v>294.37687978</v>
      </c>
      <c r="D16" s="0" t="n">
        <f aca="false">-D12</f>
        <v>299.12489397</v>
      </c>
      <c r="E16" s="0" t="n">
        <f aca="false">-E12</f>
        <v>296.382915775275</v>
      </c>
      <c r="F16" s="0" t="n">
        <f aca="false">-F12</f>
        <v>303.792488669657</v>
      </c>
      <c r="G16" s="0" t="n">
        <f aca="false">-G12</f>
        <v>311.387300886398</v>
      </c>
      <c r="H16" s="0" t="n">
        <f aca="false">-H12</f>
        <v>308.166052946194</v>
      </c>
      <c r="I16" s="0" t="n">
        <f aca="false">-I12</f>
        <v>315.870204269849</v>
      </c>
      <c r="J16" s="0" t="n">
        <f aca="false">-J12</f>
        <v>323.766959376595</v>
      </c>
      <c r="K16" s="0" t="n">
        <f aca="false">-K12</f>
        <v>331.86113336101</v>
      </c>
      <c r="L16" s="0" t="n">
        <f aca="false">-L12</f>
        <v>340.157661695035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-303.87290816</v>
      </c>
      <c r="D17" s="4" t="n">
        <f aca="false">-D6*Assumptions!D32/100</f>
        <v>-289.154064171</v>
      </c>
      <c r="E17" s="4" t="n">
        <f aca="false">-E6*Assumptions!E32/100</f>
        <v>-286.1628152313</v>
      </c>
      <c r="F17" s="4" t="n">
        <f aca="false">-F6*Assumptions!F32/100</f>
        <v>-293.316885612083</v>
      </c>
      <c r="G17" s="4" t="n">
        <f aca="false">-G6*Assumptions!G32/100</f>
        <v>-300.649807752385</v>
      </c>
      <c r="H17" s="4" t="n">
        <f aca="false">-H6*Assumptions!H32/100</f>
        <v>-308.166052946194</v>
      </c>
      <c r="I17" s="4" t="n">
        <f aca="false">-I6*Assumptions!I32/100</f>
        <v>-315.870204269849</v>
      </c>
      <c r="J17" s="4" t="n">
        <f aca="false">-J6*Assumptions!J32/100</f>
        <v>-323.766959376595</v>
      </c>
      <c r="K17" s="4" t="n">
        <f aca="false">-K6*Assumptions!K32/100</f>
        <v>-331.86113336101</v>
      </c>
      <c r="L17" s="4" t="n">
        <f aca="false">-L6*Assumptions!L32/100</f>
        <v>-340.157661695035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1.7406162</v>
      </c>
      <c r="D18" s="4" t="n">
        <f aca="false">(D6-C6)*Assumptions!$B$37/100</f>
        <v>-4.74801419</v>
      </c>
      <c r="E18" s="4" t="n">
        <f aca="false">(E6-D6)*Assumptions!$B$37/100</f>
        <v>-2.49270744974999</v>
      </c>
      <c r="F18" s="4" t="n">
        <f aca="false">(F6-E6)*Assumptions!$B$37/100</f>
        <v>-2.55502513599374</v>
      </c>
      <c r="G18" s="4" t="n">
        <f aca="false">(G6-F6)*Assumptions!$B$37/100</f>
        <v>-2.61890076439358</v>
      </c>
      <c r="H18" s="4" t="n">
        <f aca="false">(H6-G6)*Assumptions!$B$37/100</f>
        <v>-2.68437328350342</v>
      </c>
      <c r="I18" s="4" t="n">
        <f aca="false">(I6-H6)*Assumptions!$B$37/100</f>
        <v>-2.751482615591</v>
      </c>
      <c r="J18" s="4" t="n">
        <f aca="false">(J6-I6)*Assumptions!$B$37/100</f>
        <v>-2.82026968098078</v>
      </c>
      <c r="K18" s="4" t="n">
        <f aca="false">(K6-J6)*Assumptions!$B$37/100</f>
        <v>-2.89077642300531</v>
      </c>
      <c r="L18" s="4" t="n">
        <f aca="false">(L6-K6)*Assumptions!$B$37/100</f>
        <v>-2.96304583358044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395.0661116996</v>
      </c>
      <c r="D19" s="0" t="n">
        <f aca="false">D15+D16+D17+D18</f>
        <v>428.18541568258</v>
      </c>
      <c r="E19" s="0" t="n">
        <f aca="false">E15+E16+E17+E18</f>
        <v>441.264058169645</v>
      </c>
      <c r="F19" s="0" t="n">
        <f aca="false">F15+F16+F17+F18</f>
        <v>444.962737483583</v>
      </c>
      <c r="G19" s="0" t="n">
        <f aca="false">G15+G16+G17+G18</f>
        <v>448.570560726864</v>
      </c>
      <c r="H19" s="0" t="n">
        <f aca="false">H15+H16+H17+H18</f>
        <v>456.483045606326</v>
      </c>
      <c r="I19" s="0" t="n">
        <f aca="false">I15+I16+I17+I18</f>
        <v>459.998366639738</v>
      </c>
      <c r="J19" s="0" t="n">
        <f aca="false">J15+J16+J17+J18</f>
        <v>471.498325805731</v>
      </c>
      <c r="K19" s="0" t="n">
        <f aca="false">K15+K16+K17+K18</f>
        <v>474.989255616849</v>
      </c>
      <c r="L19" s="0" t="n">
        <f aca="false">L15+L16+L17+L18</f>
        <v>486.86398700727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355.915415945586</v>
      </c>
      <c r="D21" s="0" t="n">
        <f aca="false">D19*D20</f>
        <v>347.524888955913</v>
      </c>
      <c r="E21" s="0" t="n">
        <f aca="false">E19*E20</f>
        <v>322.648476211525</v>
      </c>
      <c r="F21" s="0" t="n">
        <f aca="false">F19*F20</f>
        <v>293.110737520787</v>
      </c>
      <c r="G21" s="0" t="n">
        <f aca="false">G19*G20</f>
        <v>266.20479499133</v>
      </c>
      <c r="H21" s="0" t="n">
        <f aca="false">H19*H20</f>
        <v>244.054477163324</v>
      </c>
      <c r="I21" s="0" t="n">
        <f aca="false">I19*I20</f>
        <v>221.562082288061</v>
      </c>
      <c r="J21" s="0" t="n">
        <f aca="false">J19*J20</f>
        <v>204.595616527263</v>
      </c>
      <c r="K21" s="0" t="n">
        <f aca="false">K19*K20</f>
        <v>185.68506618831</v>
      </c>
      <c r="L21" s="0" t="n">
        <f aca="false">L19*L20</f>
        <v>171.465939498214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2612.76749529031</v>
      </c>
    </row>
    <row r="31" customFormat="false" ht="15" hidden="false" customHeight="false" outlineLevel="0" collapsed="false">
      <c r="A31" s="0" t="s">
        <v>131</v>
      </c>
      <c r="B31" s="0" t="n">
        <f aca="false">L19</f>
        <v>486.86398700727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5517.79185274906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5842.36784408724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5517.79185274906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1943.28064764643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4556.04814293674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5613.84814293674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1.71336735630604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-0.565135188754812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150.33688336228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116.375441677059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1.7947689510075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3820.00974421089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1.28695273835513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27</v>
      </c>
      <c r="D5" s="4" t="n">
        <f aca="false">Assumptions!D41</f>
        <v>5</v>
      </c>
      <c r="E5" s="4" t="n">
        <f aca="false">Assumptions!E41</f>
        <v>12</v>
      </c>
      <c r="F5" s="4" t="n">
        <f aca="false">Assumptions!F41</f>
        <v>15</v>
      </c>
      <c r="G5" s="4" t="n">
        <f aca="false">Assumptions!G41</f>
        <v>15</v>
      </c>
      <c r="H5" s="4" t="n">
        <f aca="false">Assumptions!H41</f>
        <v>6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1934.018</v>
      </c>
      <c r="C6" s="0" t="n">
        <f aca="false">B6*(1+C5/100)</f>
        <v>2456.20286</v>
      </c>
      <c r="D6" s="0" t="n">
        <f aca="false">C6*(1+D5/100)</f>
        <v>2579.013003</v>
      </c>
      <c r="E6" s="0" t="n">
        <f aca="false">D6*(1+E5/100)</f>
        <v>2888.49456336</v>
      </c>
      <c r="F6" s="0" t="n">
        <f aca="false">E6*(1+F5/100)</f>
        <v>3321.768747864</v>
      </c>
      <c r="G6" s="0" t="n">
        <f aca="false">F6*(1+G5/100)</f>
        <v>3820.0340600436</v>
      </c>
      <c r="H6" s="0" t="n">
        <f aca="false">G6*(1+H5/100)</f>
        <v>4049.23610364622</v>
      </c>
      <c r="I6" s="0" t="n">
        <f aca="false">H6*(1+I5/100)</f>
        <v>4170.7131867556</v>
      </c>
      <c r="J6" s="0" t="n">
        <f aca="false">I6*(1+J5/100)</f>
        <v>4274.98101642449</v>
      </c>
      <c r="K6" s="0" t="n">
        <f aca="false">J6*(1+K5/100)</f>
        <v>4381.85554183511</v>
      </c>
      <c r="L6" s="0" t="n">
        <f aca="false">K6*(1+L5/100)</f>
        <v>4491.40193038098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55</v>
      </c>
      <c r="D7" s="4" t="n">
        <f aca="false">Assumptions!D42</f>
        <v>54</v>
      </c>
      <c r="E7" s="4" t="n">
        <f aca="false">Assumptions!E42</f>
        <v>53</v>
      </c>
      <c r="F7" s="4" t="n">
        <f aca="false">Assumptions!F42</f>
        <v>53</v>
      </c>
      <c r="G7" s="4" t="n">
        <f aca="false">Assumptions!G42</f>
        <v>53</v>
      </c>
      <c r="H7" s="4" t="n">
        <f aca="false">Assumptions!H42</f>
        <v>52</v>
      </c>
      <c r="I7" s="4" t="n">
        <f aca="false">Assumptions!I42</f>
        <v>52</v>
      </c>
      <c r="J7" s="4" t="n">
        <f aca="false">Assumptions!J42</f>
        <v>52</v>
      </c>
      <c r="K7" s="4" t="n">
        <f aca="false">Assumptions!K42</f>
        <v>51</v>
      </c>
      <c r="L7" s="4" t="n">
        <f aca="false">Assumptions!L42</f>
        <v>51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1350.911573</v>
      </c>
      <c r="D8" s="0" t="n">
        <f aca="false">D6*D7/100</f>
        <v>1392.66702162</v>
      </c>
      <c r="E8" s="0" t="n">
        <f aca="false">E6*E7/100</f>
        <v>1530.9021185808</v>
      </c>
      <c r="F8" s="0" t="n">
        <f aca="false">F6*F7/100</f>
        <v>1760.53743636792</v>
      </c>
      <c r="G8" s="0" t="n">
        <f aca="false">G6*G7/100</f>
        <v>2024.61805182311</v>
      </c>
      <c r="H8" s="0" t="n">
        <f aca="false">H6*H7/100</f>
        <v>2105.60277389603</v>
      </c>
      <c r="I8" s="0" t="n">
        <f aca="false">I6*I7/100</f>
        <v>2168.77085711291</v>
      </c>
      <c r="J8" s="0" t="n">
        <f aca="false">J6*J7/100</f>
        <v>2222.99012854074</v>
      </c>
      <c r="K8" s="0" t="n">
        <f aca="false">K6*K7/100</f>
        <v>2234.7463263359</v>
      </c>
      <c r="L8" s="0" t="n">
        <f aca="false">L6*L7/100</f>
        <v>2290.6149844943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-24.5620286</v>
      </c>
      <c r="D10" s="0" t="n">
        <f aca="false">-D6*D9/100</f>
        <v>-25.79013003</v>
      </c>
      <c r="E10" s="0" t="n">
        <f aca="false">-E6*E9/100</f>
        <v>-28.8849456336</v>
      </c>
      <c r="F10" s="0" t="n">
        <f aca="false">-F6*F9/100</f>
        <v>-33.21768747864</v>
      </c>
      <c r="G10" s="0" t="n">
        <f aca="false">-G6*G9/100</f>
        <v>-38.200340600436</v>
      </c>
      <c r="H10" s="0" t="n">
        <f aca="false">-H6*H9/100</f>
        <v>-40.4923610364622</v>
      </c>
      <c r="I10" s="0" t="n">
        <f aca="false">-I6*I9/100</f>
        <v>-41.707131867556</v>
      </c>
      <c r="J10" s="0" t="n">
        <f aca="false">-J6*J9/100</f>
        <v>-42.7498101642449</v>
      </c>
      <c r="K10" s="0" t="n">
        <f aca="false">-K6*K9/100</f>
        <v>-43.8185554183511</v>
      </c>
      <c r="L10" s="0" t="n">
        <f aca="false">-L6*L9/100</f>
        <v>-44.9140193038098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1326.3495444</v>
      </c>
      <c r="D11" s="0" t="n">
        <f aca="false">D8+D10+D24</f>
        <v>1366.87689159</v>
      </c>
      <c r="E11" s="0" t="n">
        <f aca="false">E8+E10+E24</f>
        <v>1502.0171729472</v>
      </c>
      <c r="F11" s="0" t="n">
        <f aca="false">F8+F10+F24</f>
        <v>1727.31974888928</v>
      </c>
      <c r="G11" s="0" t="n">
        <f aca="false">G8+G10+G24</f>
        <v>1986.41771122267</v>
      </c>
      <c r="H11" s="0" t="n">
        <f aca="false">H8+H10+H24</f>
        <v>2065.11041285957</v>
      </c>
      <c r="I11" s="0" t="n">
        <f aca="false">I8+I10+I24</f>
        <v>2127.06372524536</v>
      </c>
      <c r="J11" s="0" t="n">
        <f aca="false">J8+J10+J24</f>
        <v>2180.24031837649</v>
      </c>
      <c r="K11" s="0" t="n">
        <f aca="false">K8+K10+K24</f>
        <v>2190.92777091755</v>
      </c>
      <c r="L11" s="0" t="n">
        <f aca="false">L8+L10+L24</f>
        <v>2245.70096519049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-294.7443432</v>
      </c>
      <c r="D12" s="4" t="n">
        <f aca="false">-D6*Assumptions!D45/100</f>
        <v>-309.48156036</v>
      </c>
      <c r="E12" s="4" t="n">
        <f aca="false">-E6*Assumptions!E45/100</f>
        <v>-361.06182042</v>
      </c>
      <c r="F12" s="4" t="n">
        <f aca="false">-F6*Assumptions!F45/100</f>
        <v>-431.82993722232</v>
      </c>
      <c r="G12" s="4" t="n">
        <f aca="false">-G6*Assumptions!G45/100</f>
        <v>-515.704598105886</v>
      </c>
      <c r="H12" s="4" t="n">
        <f aca="false">-H6*Assumptions!H45/100</f>
        <v>-566.89305451047</v>
      </c>
      <c r="I12" s="4" t="n">
        <f aca="false">-I6*Assumptions!I45/100</f>
        <v>-583.899846145785</v>
      </c>
      <c r="J12" s="4" t="n">
        <f aca="false">-J6*Assumptions!J45/100</f>
        <v>-598.497342299429</v>
      </c>
      <c r="K12" s="4" t="n">
        <f aca="false">-K6*Assumptions!K45/100</f>
        <v>-613.459775856915</v>
      </c>
      <c r="L12" s="4" t="n">
        <f aca="false">-L6*Assumptions!L45/100</f>
        <v>-628.796270253338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1031.6052012</v>
      </c>
      <c r="D13" s="0" t="n">
        <f aca="false">D11+D12</f>
        <v>1057.39533123</v>
      </c>
      <c r="E13" s="0" t="n">
        <f aca="false">E11+E12</f>
        <v>1140.9553525272</v>
      </c>
      <c r="F13" s="0" t="n">
        <f aca="false">F11+F12</f>
        <v>1295.48981166696</v>
      </c>
      <c r="G13" s="0" t="n">
        <f aca="false">G11+G12</f>
        <v>1470.71311311679</v>
      </c>
      <c r="H13" s="0" t="n">
        <f aca="false">H11+H12</f>
        <v>1498.2173583491</v>
      </c>
      <c r="I13" s="0" t="n">
        <f aca="false">I11+I12</f>
        <v>1543.16387909957</v>
      </c>
      <c r="J13" s="0" t="n">
        <f aca="false">J11+J12</f>
        <v>1581.74297607706</v>
      </c>
      <c r="K13" s="0" t="n">
        <f aca="false">K11+K12</f>
        <v>1577.46799506064</v>
      </c>
      <c r="L13" s="0" t="n">
        <f aca="false">L11+L12</f>
        <v>1616.90469493715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722.12364084</v>
      </c>
      <c r="D15" s="0" t="n">
        <f aca="false">D13-MAX(0,D13)*D14/100</f>
        <v>740.176731861</v>
      </c>
      <c r="E15" s="0" t="n">
        <f aca="false">E13-MAX(0,E13)*E14/100</f>
        <v>798.66874676904</v>
      </c>
      <c r="F15" s="0" t="n">
        <f aca="false">F13-MAX(0,F13)*F14/100</f>
        <v>906.842868166872</v>
      </c>
      <c r="G15" s="0" t="n">
        <f aca="false">G13-MAX(0,G13)*G14/100</f>
        <v>1029.49917918175</v>
      </c>
      <c r="H15" s="0" t="n">
        <f aca="false">H13-MAX(0,H13)*H14/100</f>
        <v>1048.75215084437</v>
      </c>
      <c r="I15" s="0" t="n">
        <f aca="false">I13-MAX(0,I13)*I14/100</f>
        <v>1080.2147153697</v>
      </c>
      <c r="J15" s="0" t="n">
        <f aca="false">J13-MAX(0,J13)*J14/100</f>
        <v>1107.22008325394</v>
      </c>
      <c r="K15" s="0" t="n">
        <f aca="false">K13-MAX(0,K13)*K14/100</f>
        <v>1104.22759654245</v>
      </c>
      <c r="L15" s="0" t="n">
        <f aca="false">L13-MAX(0,L13)*L14/100</f>
        <v>1131.83328645601</v>
      </c>
    </row>
    <row r="16" customFormat="false" ht="15" hidden="false" customHeight="false" outlineLevel="0" collapsed="false">
      <c r="A16" s="0" t="s">
        <v>122</v>
      </c>
      <c r="C16" s="0" t="n">
        <f aca="false">-C12</f>
        <v>294.7443432</v>
      </c>
      <c r="D16" s="0" t="n">
        <f aca="false">-D12</f>
        <v>309.48156036</v>
      </c>
      <c r="E16" s="0" t="n">
        <f aca="false">-E12</f>
        <v>361.06182042</v>
      </c>
      <c r="F16" s="0" t="n">
        <f aca="false">-F12</f>
        <v>431.82993722232</v>
      </c>
      <c r="G16" s="0" t="n">
        <f aca="false">-G12</f>
        <v>515.704598105886</v>
      </c>
      <c r="H16" s="0" t="n">
        <f aca="false">-H12</f>
        <v>566.89305451047</v>
      </c>
      <c r="I16" s="0" t="n">
        <f aca="false">-I12</f>
        <v>583.899846145785</v>
      </c>
      <c r="J16" s="0" t="n">
        <f aca="false">-J12</f>
        <v>598.497342299429</v>
      </c>
      <c r="K16" s="0" t="n">
        <f aca="false">-K12</f>
        <v>613.459775856915</v>
      </c>
      <c r="L16" s="0" t="n">
        <f aca="false">-L12</f>
        <v>628.796270253338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-343.8684004</v>
      </c>
      <c r="D17" s="4" t="n">
        <f aca="false">-D6*Assumptions!D46/100</f>
        <v>-722.12364084</v>
      </c>
      <c r="E17" s="4" t="n">
        <f aca="false">-E6*Assumptions!E46/100</f>
        <v>-924.3182602752</v>
      </c>
      <c r="F17" s="4" t="n">
        <f aca="false">-F6*Assumptions!F46/100</f>
        <v>-930.09524940192</v>
      </c>
      <c r="G17" s="4" t="n">
        <f aca="false">-G6*Assumptions!G46/100</f>
        <v>-840.407493209592</v>
      </c>
      <c r="H17" s="4" t="n">
        <f aca="false">-H6*Assumptions!H46/100</f>
        <v>-607.385415546932</v>
      </c>
      <c r="I17" s="4" t="n">
        <f aca="false">-I6*Assumptions!I46/100</f>
        <v>-542.192714278228</v>
      </c>
      <c r="J17" s="4" t="n">
        <f aca="false">-J6*Assumptions!J46/100</f>
        <v>-555.747532135184</v>
      </c>
      <c r="K17" s="4" t="n">
        <f aca="false">-K6*Assumptions!K46/100</f>
        <v>-569.641220438564</v>
      </c>
      <c r="L17" s="4" t="n">
        <f aca="false">-L6*Assumptions!L46/100</f>
        <v>-583.882250949528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-26.109243</v>
      </c>
      <c r="D18" s="4" t="n">
        <f aca="false">(D6-C6)*Assumptions!$B$51/100</f>
        <v>-6.14050715000001</v>
      </c>
      <c r="E18" s="4" t="n">
        <f aca="false">(E6-D6)*Assumptions!$B$51/100</f>
        <v>-15.474078018</v>
      </c>
      <c r="F18" s="4" t="n">
        <f aca="false">(F6-E6)*Assumptions!$B$51/100</f>
        <v>-21.6637092252</v>
      </c>
      <c r="G18" s="4" t="n">
        <f aca="false">(G6-F6)*Assumptions!$B$51/100</f>
        <v>-24.91326560898</v>
      </c>
      <c r="H18" s="4" t="n">
        <f aca="false">(H6-G6)*Assumptions!$B$51/100</f>
        <v>-11.4601021801308</v>
      </c>
      <c r="I18" s="4" t="n">
        <f aca="false">(I6-H6)*Assumptions!$B$51/100</f>
        <v>-6.07385415546935</v>
      </c>
      <c r="J18" s="4" t="n">
        <f aca="false">(J6-I6)*Assumptions!$B$51/100</f>
        <v>-5.2133914834445</v>
      </c>
      <c r="K18" s="4" t="n">
        <f aca="false">(K6-J6)*Assumptions!$B$51/100</f>
        <v>-5.34372627053058</v>
      </c>
      <c r="L18" s="4" t="n">
        <f aca="false">(L6-K6)*Assumptions!$B$51/100</f>
        <v>-5.47731942729388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646.89034064</v>
      </c>
      <c r="D19" s="0" t="n">
        <f aca="false">D15+D16+D17+D18</f>
        <v>321.394144231</v>
      </c>
      <c r="E19" s="0" t="n">
        <f aca="false">E15+E16+E17+E18</f>
        <v>219.93822889584</v>
      </c>
      <c r="F19" s="0" t="n">
        <f aca="false">F15+F16+F17+F18</f>
        <v>386.913846762072</v>
      </c>
      <c r="G19" s="0" t="n">
        <f aca="false">G15+G16+G17+G18</f>
        <v>679.883018469065</v>
      </c>
      <c r="H19" s="0" t="n">
        <f aca="false">H15+H16+H17+H18</f>
        <v>996.799687627777</v>
      </c>
      <c r="I19" s="0" t="n">
        <f aca="false">I15+I16+I17+I18</f>
        <v>1115.84799308179</v>
      </c>
      <c r="J19" s="0" t="n">
        <f aca="false">J15+J16+J17+J18</f>
        <v>1144.75650193474</v>
      </c>
      <c r="K19" s="0" t="n">
        <f aca="false">K15+K16+K17+K18</f>
        <v>1142.70242569027</v>
      </c>
      <c r="L19" s="0" t="n">
        <f aca="false">L15+L16+L17+L18</f>
        <v>1171.26998633252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582.784090666666</v>
      </c>
      <c r="D21" s="0" t="n">
        <f aca="false">D19*D20</f>
        <v>260.850697371155</v>
      </c>
      <c r="E21" s="0" t="n">
        <f aca="false">E19*E20</f>
        <v>160.816937387234</v>
      </c>
      <c r="F21" s="0" t="n">
        <f aca="false">F19*F20</f>
        <v>254.872135187769</v>
      </c>
      <c r="G21" s="0" t="n">
        <f aca="false">G19*G20</f>
        <v>403.477480234928</v>
      </c>
      <c r="H21" s="0" t="n">
        <f aca="false">H19*H20</f>
        <v>532.929818406361</v>
      </c>
      <c r="I21" s="0" t="n">
        <f aca="false">I19*I20</f>
        <v>537.457571143466</v>
      </c>
      <c r="J21" s="0" t="n">
        <f aca="false">J19*J20</f>
        <v>496.740177998922</v>
      </c>
      <c r="K21" s="0" t="n">
        <f aca="false">K19*K20</f>
        <v>446.710684586511</v>
      </c>
      <c r="L21" s="0" t="n">
        <f aca="false">L19*L20</f>
        <v>412.503109640697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4089.14270262371</v>
      </c>
    </row>
    <row r="31" customFormat="false" ht="15" hidden="false" customHeight="false" outlineLevel="0" collapsed="false">
      <c r="A31" s="0" t="s">
        <v>131</v>
      </c>
      <c r="B31" s="0" t="n">
        <f aca="false">L19</f>
        <v>1171.26998633252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14124.1380704804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14055.2398359903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14055.2398359903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4950.03731568836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9039.18001831207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10096.9800183121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3.08163589754679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-0.217858909252083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201.967302771998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190.746717530977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3.20149367880819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9604.41388792669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2.06935902457503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0.771871417649172</v>
      </c>
      <c r="C4" s="0" t="n">
        <f aca="false">B4/Assumptions!$B$2-1</f>
        <v>-0.804093548820007</v>
      </c>
      <c r="D4" s="4" t="n">
        <f aca="false">Assumptions!$B$24</f>
        <v>0.3</v>
      </c>
      <c r="E4" s="4" t="n">
        <f aca="false">DCF_Bear!$B$43</f>
        <v>0.837251636202147</v>
      </c>
      <c r="F4" s="4" t="n">
        <f aca="false">DCF_Bear!$B$47</f>
        <v>0.64485093073146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1.71336735630604</v>
      </c>
      <c r="C5" s="0" t="n">
        <f aca="false">B5/Assumptions!$B$2-1</f>
        <v>-0.565135188754812</v>
      </c>
      <c r="D5" s="4" t="n">
        <f aca="false">Assumptions!$B$38</f>
        <v>0.5</v>
      </c>
      <c r="E5" s="4" t="n">
        <f aca="false">DCF_Base!$B$43</f>
        <v>1.7947689510075</v>
      </c>
      <c r="F5" s="4" t="n">
        <f aca="false">DCF_Base!$B$47</f>
        <v>1.28695273835513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3.08163589754679</v>
      </c>
      <c r="C6" s="0" t="n">
        <f aca="false">B6/Assumptions!$B$2-1</f>
        <v>-0.217858909252083</v>
      </c>
      <c r="D6" s="4" t="n">
        <f aca="false">Assumptions!$B$52</f>
        <v>0.2</v>
      </c>
      <c r="E6" s="4" t="n">
        <f aca="false">DCF_Bull!$B$43</f>
        <v>3.20149367880819</v>
      </c>
      <c r="F6" s="4" t="n">
        <f aca="false">DCF_Bull!$B$47</f>
        <v>2.06935902457503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1.70457228295713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1.78885870212603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-1.31143028629141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2652.18019591419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1.25080345331201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1.94745150730646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1.84346431600701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1.71336735630604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1.57485890269935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1.28695273835513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1.94745150730646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1.94745150730646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1.94745150730646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1.94745150730646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1.94745150730646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1.79890626790728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1.84009437959611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1.84346431600701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1.84346431600701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1.84346431600701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1.64882450304358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1.67939743353632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1.71336735630604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1.74825538509656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1.74825538509656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1.52614615919052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1.54934270371854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1.57485890269935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1.60306101736235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1.63439670032124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1.42401235846295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1.4419341906136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1.4614852802325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1.48289837838652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1.50645278635595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2026-09-24T09:25:32Z</dcterms:created>
  <dc:creator>openpyxl</dc:creator>
  <dc:description/>
  <dc:language>en-NZ</dc:language>
  <cp:lastModifiedBy/>
  <dcterms:modified xsi:type="dcterms:W3CDTF">2026-09-24T09:25:32Z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