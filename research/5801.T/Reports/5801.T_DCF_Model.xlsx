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<sst xmlns="http://schemas.openxmlformats.org/spreadsheetml/2006/main" count="367" uniqueCount="168">
  <si>
    <t xml:space="preserve">Ticker</t>
  </si>
  <si>
    <t xml:space="preserve">5801.T</t>
  </si>
  <si>
    <t xml:space="preserve">Company</t>
  </si>
  <si>
    <t xml:space="preserve">Furukawa Electric Co., Ltd.</t>
  </si>
  <si>
    <t xml:space="preserve">Valuation date</t>
  </si>
  <si>
    <t xml:space="preserve">2026-11-01</t>
  </si>
  <si>
    <t xml:space="preserve">Current price</t>
  </si>
  <si>
    <t xml:space="preserve">Price as of</t>
  </si>
  <si>
    <t xml:space="preserve">2026-10-30T06:30:00Z (TSE regular close 30 Oct 2026, 15:30 JST)</t>
  </si>
  <si>
    <t xml:space="preserve">Balance sheet date</t>
  </si>
  <si>
    <t xml:space="preserve">2026-06-30</t>
  </si>
  <si>
    <t xml:space="preserve">Model</t>
  </si>
  <si>
    <t xml:space="preserve">owner_fcf_dcf_component</t>
  </si>
  <si>
    <t xml:space="preserve">Currency (model)</t>
  </si>
  <si>
    <t xml:space="preserve">JPY</t>
  </si>
  <si>
    <t xml:space="preserve">Currency (quote)</t>
  </si>
  <si>
    <t xml:space="preserve">Units</t>
  </si>
  <si>
    <t xml:space="preserve">millions</t>
  </si>
  <si>
    <t xml:space="preserve">Engine</t>
  </si>
  <si>
    <t xml:space="preserve">dcf_engine v1</t>
  </si>
  <si>
    <t xml:space="preserve">Built at</t>
  </si>
  <si>
    <t xml:space="preserve">2026-10-31T11:46:10Z</t>
  </si>
  <si>
    <t xml:space="preserve">Drivers file</t>
  </si>
  <si>
    <t xml:space="preserve">5801.T_Drivers.json</t>
  </si>
  <si>
    <t xml:space="preserve">Convention</t>
  </si>
  <si>
    <t xml:space="preserve">Percents stored as percents; formulas divide by 100. Blue = input, green = link, black = formula.</t>
  </si>
  <si>
    <t xml:space="preserve">Methodology</t>
  </si>
  <si>
    <t xml:space="preserve">summary: Furukawa Electric is a cyclical cable and optical-fiber manufacturer whose profits have quadrupled on the AI data-center build-out and a 31% rise in copper prices. The house model values the owner free cash flow that survives the JPY 150bn capex programme and working-capital build, charges leases, NCI and a JPY-built 8.5% WACC once, and credits roughly half of management's Vision 2030 target in the base case. Because reported FCF has been negative in most of the last twelve years and the FY2027-FY2028 cash flows are consumed by capex, nearly all of the value is terminal, and the bear case -- a reversion to prior-cycle margins on an enlarged, debt-funded asset base -- leaves little equity value. The market price implies the bull case (Vision 2030 delivered) capitalised at a full multiple; the base case does not support it.
key_risks_to_valuation: Hyperscaler capex digestion in 2028-2030 removing the demand the FY2027 capex programme is built for (the 2001 OFS precedent); Mid-cycle margin judgment: terminal EBITDA of 10.5% is above anything the company earned before FY2025; if the data-center mix shift is not structural the base case is too high, and if Vision 2030 is delivered it is too low; Copper price (JPY 2,227/kg assumed) and USD/JPY 160 both embedded in guidance; a reversal cuts revenue and working-capital-driven cash flow together; Capex and working capital: FY2027 owner FCF is about -JPY 65bn and net D/E is 0.67 and rising; a second year at 150bn capex or a slower sell-through of new capacity pushes leverage up before the cash returns; Terminal-value dependence: &gt;70% of enterprise value is terminal in every scenario; the 14x FCF cap binds, so the value is sensitive to the terminal margin, not the terminal growth rate; Investment-securities bridge item (JPY 116bn after haircut) is estimated from presentation deltas, not an audited line; a 30% haircut instead of 20% is ~JPY 20/share; Middle East resin/transport cost impact explicitly excluded from company guidance; Automotive Systems margin erosion from Chinese competition and USMCA tariff changes</t>
  </si>
  <si>
    <t xml:space="preserve">Data sources</t>
  </si>
  <si>
    <t xml:space="preserve">price: Yahoo Finance chart API at inputs.price_as_of (TSE regular close); 52-week range 879.1-6241.0 on the post-split basis
financials: 5801.T_Metrics.csv (core_metrics, FY2015-FY2026 + Q1 FY2027, JPY millions, J-GAAP); FY2027 guidance, B/S summary, net interest-bearing debt, capex/D&amp;A guidance and segment forecasts from 5801.T_Presentation_Q1-FY2027.txt and 5801.T_Presentation_FY2026.txt; share counts from 5801.T_Quarterly_Q1-FY2027.txt; cash-flow components (interest income, taxes paid, lease repayments), investment securities and lease liabilities from the FY2024 Integrated Report financial statements (p.90-91); 11-year financial summary from the FY2025 Integrated Report p.53
qualitative: 5801.T_Analysis.json (2026-11-01): segment reorganisation, Vision 2030 OP 250bn / 10%+ target, UACJ and Furukawa Battery exits, risk register, bull/bear cases</t>
  </si>
  <si>
    <t xml:space="preserve">Scenario narrative: bear</t>
  </si>
  <si>
    <t xml:space="preserve">A hyperscaler capex digestion from FY2029 repeats the 2001 optical bust for a company that has just committed JPY 150bn of capex to the cycle: revenue falls 6% and 2% in years 3-4, copper retreats, Automotive Systems margins keep falling under Chinese competition and USMCA tariff changes, and EBITDA margin reverts to 8% -- above the 10-year average but, with D&amp;A now 4.2-4.6% of sales on the enlarged asset base, an operating margin of only ~3.5%. On that path owner FCF covers little more than interest and the JPY 292bn of net debt consumes the enterprise value: the equity is worth close to nothing on an owner-FCF basis, and the balance sheet (net D/E 0.67 and rising) rather than earnings becomes the constraint.</t>
  </si>
  <si>
    <t xml:space="preserve">Scenario narrative: base</t>
  </si>
  <si>
    <t xml:space="preserve">AI data-center demand for optical fiber/cable, MT ferrules, DFB lasers, copper foil and water-cooled thermal modules carries FY2027 to guidance (sales +17%, OP ~JPY 118-123bn) and two more years of 9%/7% growth while the JPY 150bn capex programme comes on stream; margins peak at 12% EBITDA in FY2029 and fade to a 10.5% mid-cycle (operating margin ~6%) as the hyperscaler cycle normalises and the new capacity depreciates. Energy Infrastructure (HVDC, submarine cable) and Metal Solutions grow with Japanese grid renewal; Automotive Systems stays a low-margin drag. Working capital and capex absorb nearly all cash until FY2029; free cash flow only turns meaningfully positive from year 3, so the value is terminal-heavy. Credits roughly half of the Vision 2030 OP 250bn target.</t>
  </si>
  <si>
    <t xml:space="preserve">Scenario narrative: bull</t>
  </si>
  <si>
    <t xml:space="preserve">Vision 2030 is delivered: data-center products (targeted at ~80% of incremental profit) take Optical Solutions and Digital Infrastructure Components to a combined OP well above JPY 150bn by FY2030, revenue compounds at 20/14/11/8/6% and EBITDA reaches 15% in FY2031 (OP ~JPY 245bn, 10.8%). Capacity added in FY2027-FY2029 is sold out as fiber and cooling-component supply stays tight; margins fade only to 13% as the mix stays data-center weighted. Portfolio exits (batteries, UACJ, copper subsidiary) are completed and the proceeds fund the build without further leverage.</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</si>
  <si>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</si>
  <si>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</si>
  <si>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</si>
  <si>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</si>
  <si>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</si>
  <si>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</si>
  <si>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</si>
  <si>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</si>
  <si>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</si>
  <si>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</si>
  <si>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</si>
  <si>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</si>
  <si>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</si>
  <si>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</si>
  <si>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</si>
  <si>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</si>
  <si>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</si>
  <si>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</si>
  <si>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</si>
  <si>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</si>
  <si>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</si>
  <si>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</si>
  <si>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</si>
  <si>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</si>
  <si>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</si>
  <si>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</si>
  <si>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</si>
  <si>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RnDExpense</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</si>
  <si>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</si>
  <si>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</si>
  <si>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</si>
  <si>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</si>
  <si>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</si>
  <si>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</si>
  <si>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</si>
  <si>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</si>
  <si>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</si>
  <si>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</si>
  <si>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</si>
  <si>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</si>
  <si>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</si>
  <si>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</si>
  <si>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</si>
  <si>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</si>
  <si>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</si>
  <si>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</si>
  <si>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</si>
  <si>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</si>
  <si>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</si>
  <si>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</si>
  <si>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JPY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</si>
  <si>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</si>
  <si>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</si>
  <si>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</si>
  <si>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</si>
  <si>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</si>
  <si>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</si>
  <si>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</si>
  <si>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</si>
  <si>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</si>
  <si>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</si>
  <si>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</si>
  <si>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</si>
  <si>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</si>
  <si>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</si>
  <si>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</si>
  <si>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</si>
  <si>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</si>
  <si>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</si>
  <si>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</si>
  <si>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</si>
  <si>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</si>
  <si>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</si>
  <si>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</si>
  <si>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</si>
  <si>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</si>
  <si>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</si>
  <si>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5801.T owner-FCF component DCF: bear case (millions, JPY)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</si>
  <si>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</si>
  <si>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</si>
  <si>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</si>
  <si>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</si>
  <si>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</si>
  <si>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</si>
  <si>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</si>
  <si>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</si>
  <si>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</si>
  <si>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</si>
  <si>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</si>
  <si>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</si>
  <si>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</si>
  <si>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</si>
  <si>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</si>
  <si>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</si>
  <si>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</si>
  <si>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</si>
  <si>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</si>
  <si>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</si>
  <si>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</si>
  <si>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</si>
  <si>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</si>
  <si>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</si>
  <si>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</si>
  <si>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</si>
  <si>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</si>
  <si>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</si>
  <si>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</si>
  <si>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</si>
  <si>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5801.T owner-FCF component DCF: base case (millions, JPY)</t>
  </si>
  <si>
    <t xml:space="preserve">5801.T owner-FCF component DCF: bull case (millions, JPY)</t>
  </si>
  <si>
    <t xml:space="preserve">5801.T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</si>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</sst>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2806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row>
    <row r="2" customFormat="false" ht="15" hidden="false" customHeight="false" outlineLevel="0" collapsed="false">
      <c r="A2" s="0" t="s">
        <v>64</v>
      </c>
      <c r="B2" s="0" t="n">
        <v>867817</v>
      </c>
      <c r="F2" s="0" t="n">
        <v>17873</v>
      </c>
      <c r="G2" s="0" t="n">
        <v>2.1</v>
      </c>
      <c r="H2" s="0" t="n">
        <v>40381</v>
      </c>
      <c r="I2" s="0" t="n">
        <v>7355</v>
      </c>
      <c r="J2" s="0" t="n">
        <v>0.8</v>
      </c>
      <c r="K2" s="0" t="n">
        <v>10.42</v>
      </c>
      <c r="L2" s="0" t="n">
        <v>41489</v>
      </c>
      <c r="M2" s="0" t="n">
        <v>30674</v>
      </c>
      <c r="N2" s="0" t="n">
        <v>10815</v>
      </c>
      <c r="O2" s="0" t="n">
        <v>190741</v>
      </c>
      <c r="P2" s="0" t="n">
        <v>734125</v>
      </c>
      <c r="Q2" s="0" t="n">
        <v>519382</v>
      </c>
      <c r="S2" s="0" t="n">
        <v>29488</v>
      </c>
      <c r="T2" s="0" t="n">
        <v>706.0589</v>
      </c>
      <c r="V2" s="0" t="n">
        <v>3</v>
      </c>
      <c r="AA2" s="0" t="s">
        <v>17</v>
      </c>
      <c r="AB2" s="0" t="s">
        <v>14</v>
      </c>
      <c r="AC2" s="0" t="n">
        <v>16599</v>
      </c>
    </row>
    <row r="3" customFormat="false" ht="15" hidden="false" customHeight="false" outlineLevel="0" collapsed="false">
      <c r="A3" s="0" t="s">
        <v>65</v>
      </c>
      <c r="B3" s="0" t="n">
        <v>874879</v>
      </c>
      <c r="F3" s="0" t="n">
        <v>27116</v>
      </c>
      <c r="G3" s="0" t="n">
        <v>3.1</v>
      </c>
      <c r="H3" s="0" t="n">
        <v>50351</v>
      </c>
      <c r="I3" s="0" t="n">
        <v>10007</v>
      </c>
      <c r="J3" s="0" t="n">
        <v>1.1</v>
      </c>
      <c r="K3" s="0" t="n">
        <v>14.17</v>
      </c>
      <c r="L3" s="0" t="n">
        <v>41569</v>
      </c>
      <c r="M3" s="0" t="n">
        <v>25687</v>
      </c>
      <c r="N3" s="0" t="n">
        <v>15882</v>
      </c>
      <c r="O3" s="0" t="n">
        <v>173163</v>
      </c>
      <c r="P3" s="0" t="n">
        <v>705725</v>
      </c>
      <c r="Q3" s="0" t="n">
        <v>507138</v>
      </c>
      <c r="R3" s="0" t="n">
        <v>257800</v>
      </c>
      <c r="S3" s="0" t="n">
        <v>51659</v>
      </c>
      <c r="T3" s="0" t="n">
        <v>706.0493</v>
      </c>
      <c r="V3" s="0" t="n">
        <v>4</v>
      </c>
      <c r="AA3" s="0" t="s">
        <v>17</v>
      </c>
      <c r="AB3" s="0" t="s">
        <v>14</v>
      </c>
      <c r="AC3" s="0" t="n">
        <v>16845</v>
      </c>
    </row>
    <row r="4" customFormat="false" ht="15" hidden="false" customHeight="false" outlineLevel="0" collapsed="false">
      <c r="A4" s="0" t="s">
        <v>66</v>
      </c>
      <c r="B4" s="0" t="n">
        <v>843344</v>
      </c>
      <c r="F4" s="0" t="n">
        <v>38623</v>
      </c>
      <c r="G4" s="0" t="n">
        <v>4.6</v>
      </c>
      <c r="H4" s="0" t="n">
        <v>61930</v>
      </c>
      <c r="I4" s="0" t="n">
        <v>17570</v>
      </c>
      <c r="J4" s="0" t="n">
        <v>2.1</v>
      </c>
      <c r="K4" s="0" t="n">
        <v>24.917</v>
      </c>
      <c r="L4" s="0" t="n">
        <v>40402</v>
      </c>
      <c r="M4" s="0" t="n">
        <v>31584</v>
      </c>
      <c r="N4" s="0" t="n">
        <v>8818</v>
      </c>
      <c r="O4" s="0" t="n">
        <v>206712</v>
      </c>
      <c r="P4" s="0" t="n">
        <v>750126</v>
      </c>
      <c r="Q4" s="0" t="n">
        <v>513075</v>
      </c>
      <c r="R4" s="0" t="n">
        <v>252500</v>
      </c>
      <c r="S4" s="0" t="n">
        <v>46147</v>
      </c>
      <c r="T4" s="0" t="n">
        <v>705.174</v>
      </c>
      <c r="V4" s="0" t="n">
        <v>5.5</v>
      </c>
      <c r="AA4" s="0" t="s">
        <v>17</v>
      </c>
      <c r="AB4" s="0" t="s">
        <v>14</v>
      </c>
      <c r="AC4" s="0" t="n">
        <v>17454</v>
      </c>
    </row>
    <row r="5" customFormat="false" ht="15" hidden="false" customHeight="false" outlineLevel="0" collapsed="false">
      <c r="A5" s="0" t="s">
        <v>67</v>
      </c>
      <c r="B5" s="0" t="n">
        <v>967333</v>
      </c>
      <c r="F5" s="0" t="n">
        <v>44804</v>
      </c>
      <c r="G5" s="0" t="n">
        <v>4.6</v>
      </c>
      <c r="H5" s="0" t="n">
        <v>69910</v>
      </c>
      <c r="I5" s="0" t="n">
        <v>28547</v>
      </c>
      <c r="J5" s="0" t="n">
        <v>3</v>
      </c>
      <c r="K5" s="0" t="n">
        <v>40.505</v>
      </c>
      <c r="L5" s="0" t="n">
        <v>38429</v>
      </c>
      <c r="M5" s="0" t="n">
        <v>38543</v>
      </c>
      <c r="N5" s="0" t="n">
        <v>-114</v>
      </c>
      <c r="O5" s="0" t="n">
        <v>236518</v>
      </c>
      <c r="P5" s="0" t="n">
        <v>808632</v>
      </c>
      <c r="Q5" s="0" t="n">
        <v>536561</v>
      </c>
      <c r="R5" s="0" t="n">
        <v>258500</v>
      </c>
      <c r="S5" s="0" t="n">
        <v>49758</v>
      </c>
      <c r="T5" s="0" t="n">
        <v>704.7919</v>
      </c>
      <c r="V5" s="0" t="n">
        <v>8</v>
      </c>
      <c r="AA5" s="0" t="s">
        <v>17</v>
      </c>
      <c r="AB5" s="0" t="s">
        <v>14</v>
      </c>
      <c r="AC5" s="0" t="n">
        <v>19533</v>
      </c>
    </row>
    <row r="6" customFormat="false" ht="15" hidden="false" customHeight="false" outlineLevel="0" collapsed="false">
      <c r="A6" s="0" t="s">
        <v>68</v>
      </c>
      <c r="B6" s="0" t="n">
        <v>991590</v>
      </c>
      <c r="F6" s="0" t="n">
        <v>40842</v>
      </c>
      <c r="G6" s="0" t="n">
        <v>4.1</v>
      </c>
      <c r="H6" s="0" t="n">
        <v>67113</v>
      </c>
      <c r="I6" s="0" t="n">
        <v>29108</v>
      </c>
      <c r="J6" s="0" t="n">
        <v>2.9</v>
      </c>
      <c r="K6" s="0" t="n">
        <v>41.298</v>
      </c>
      <c r="L6" s="0" t="n">
        <v>46460</v>
      </c>
      <c r="M6" s="0" t="n">
        <v>50036</v>
      </c>
      <c r="N6" s="0" t="n">
        <v>-3576</v>
      </c>
      <c r="O6" s="0" t="n">
        <v>247659</v>
      </c>
      <c r="P6" s="0" t="n">
        <v>818021</v>
      </c>
      <c r="Q6" s="0" t="n">
        <v>538110</v>
      </c>
      <c r="R6" s="0" t="n">
        <v>246000</v>
      </c>
      <c r="S6" s="0" t="n">
        <v>46838</v>
      </c>
      <c r="T6" s="0" t="n">
        <v>704.8517</v>
      </c>
      <c r="V6" s="0" t="n">
        <v>8.5</v>
      </c>
      <c r="AA6" s="0" t="s">
        <v>17</v>
      </c>
      <c r="AB6" s="0" t="s">
        <v>14</v>
      </c>
      <c r="AC6" s="0" t="n">
        <v>21141</v>
      </c>
    </row>
    <row r="7" customFormat="false" ht="15" hidden="false" customHeight="false" outlineLevel="0" collapsed="false">
      <c r="A7" s="0" t="s">
        <v>69</v>
      </c>
      <c r="B7" s="0" t="n">
        <v>914439</v>
      </c>
      <c r="F7" s="0" t="n">
        <v>23565</v>
      </c>
      <c r="G7" s="0" t="n">
        <v>2.6</v>
      </c>
      <c r="H7" s="0" t="n">
        <v>52988</v>
      </c>
      <c r="I7" s="0" t="n">
        <v>17639</v>
      </c>
      <c r="J7" s="0" t="n">
        <v>1.9</v>
      </c>
      <c r="K7" s="0" t="n">
        <v>25.025</v>
      </c>
      <c r="L7" s="0" t="n">
        <v>41942</v>
      </c>
      <c r="M7" s="0" t="n">
        <v>53144</v>
      </c>
      <c r="N7" s="0" t="n">
        <v>-11202</v>
      </c>
      <c r="O7" s="0" t="n">
        <v>240280</v>
      </c>
      <c r="P7" s="0" t="n">
        <v>794616</v>
      </c>
      <c r="Q7" s="0" t="n">
        <v>521586</v>
      </c>
      <c r="R7" s="0" t="n">
        <v>251100</v>
      </c>
      <c r="S7" s="0" t="n">
        <v>55055</v>
      </c>
      <c r="T7" s="0" t="n">
        <v>704.8709</v>
      </c>
      <c r="V7" s="0" t="n">
        <v>8.5</v>
      </c>
      <c r="AA7" s="0" t="s">
        <v>17</v>
      </c>
      <c r="AB7" s="0" t="s">
        <v>14</v>
      </c>
      <c r="AC7" s="0" t="n">
        <v>21650</v>
      </c>
    </row>
    <row r="8" customFormat="false" ht="15" hidden="false" customHeight="false" outlineLevel="0" collapsed="false">
      <c r="A8" s="0" t="s">
        <v>70</v>
      </c>
      <c r="B8" s="0" t="n">
        <v>811600</v>
      </c>
      <c r="F8" s="0" t="n">
        <v>8429</v>
      </c>
      <c r="G8" s="0" t="n">
        <v>1</v>
      </c>
      <c r="H8" s="0" t="n">
        <v>40592</v>
      </c>
      <c r="I8" s="0" t="n">
        <v>10001</v>
      </c>
      <c r="J8" s="0" t="n">
        <v>1.2</v>
      </c>
      <c r="K8" s="0" t="n">
        <v>14.188</v>
      </c>
      <c r="L8" s="0" t="n">
        <v>-479</v>
      </c>
      <c r="M8" s="0" t="n">
        <v>39963</v>
      </c>
      <c r="N8" s="0" t="n">
        <v>-40442</v>
      </c>
      <c r="O8" s="0" t="n">
        <v>260076</v>
      </c>
      <c r="P8" s="0" t="n">
        <v>832044</v>
      </c>
      <c r="Q8" s="0" t="n">
        <v>540220</v>
      </c>
      <c r="R8" s="0" t="n">
        <v>290600</v>
      </c>
      <c r="S8" s="0" t="n">
        <v>87189</v>
      </c>
      <c r="T8" s="0" t="n">
        <v>704.9322</v>
      </c>
      <c r="V8" s="0" t="n">
        <v>6</v>
      </c>
      <c r="AA8" s="0" t="s">
        <v>17</v>
      </c>
      <c r="AB8" s="0" t="s">
        <v>14</v>
      </c>
      <c r="AC8" s="0" t="n">
        <v>20217</v>
      </c>
    </row>
    <row r="9" customFormat="false" ht="15" hidden="false" customHeight="false" outlineLevel="0" collapsed="false">
      <c r="A9" s="0" t="s">
        <v>71</v>
      </c>
      <c r="B9" s="0" t="n">
        <v>930496</v>
      </c>
      <c r="F9" s="0" t="n">
        <v>11428</v>
      </c>
      <c r="G9" s="0" t="n">
        <v>1.2</v>
      </c>
      <c r="H9" s="0" t="n">
        <v>45149</v>
      </c>
      <c r="I9" s="0" t="n">
        <v>10093</v>
      </c>
      <c r="J9" s="0" t="n">
        <v>1.1</v>
      </c>
      <c r="K9" s="0" t="n">
        <v>14.34</v>
      </c>
      <c r="L9" s="0" t="n">
        <v>-13269</v>
      </c>
      <c r="M9" s="0" t="n">
        <v>38144</v>
      </c>
      <c r="N9" s="0" t="n">
        <v>-51413</v>
      </c>
      <c r="O9" s="0" t="n">
        <v>279426</v>
      </c>
      <c r="P9" s="0" t="n">
        <v>935876</v>
      </c>
      <c r="Q9" s="0" t="n">
        <v>621607</v>
      </c>
      <c r="R9" s="0" t="n">
        <v>342100</v>
      </c>
      <c r="S9" s="0" t="n">
        <v>67632</v>
      </c>
      <c r="T9" s="0" t="n">
        <v>703.9142</v>
      </c>
      <c r="V9" s="0" t="n">
        <v>6</v>
      </c>
      <c r="AA9" s="0" t="s">
        <v>17</v>
      </c>
      <c r="AB9" s="0" t="s">
        <v>14</v>
      </c>
      <c r="AC9" s="0" t="n">
        <v>20761</v>
      </c>
    </row>
    <row r="10" customFormat="false" ht="15" hidden="false" customHeight="false" outlineLevel="0" collapsed="false">
      <c r="A10" s="0" t="s">
        <v>72</v>
      </c>
      <c r="B10" s="0" t="n">
        <v>1066326</v>
      </c>
      <c r="F10" s="0" t="n">
        <v>15441</v>
      </c>
      <c r="G10" s="0" t="n">
        <v>1.4</v>
      </c>
      <c r="H10" s="0" t="n">
        <v>54539</v>
      </c>
      <c r="I10" s="0" t="n">
        <v>15894</v>
      </c>
      <c r="J10" s="0" t="n">
        <v>1.5</v>
      </c>
      <c r="K10" s="0" t="n">
        <v>22.58</v>
      </c>
      <c r="L10" s="0" t="n">
        <v>36516</v>
      </c>
      <c r="M10" s="0" t="n">
        <v>43792</v>
      </c>
      <c r="N10" s="0" t="n">
        <v>-7276</v>
      </c>
      <c r="O10" s="0" t="n">
        <v>301859</v>
      </c>
      <c r="P10" s="0" t="n">
        <v>933469</v>
      </c>
      <c r="Q10" s="0" t="n">
        <v>604167</v>
      </c>
      <c r="R10" s="0" t="n">
        <v>323800</v>
      </c>
      <c r="S10" s="0" t="n">
        <v>51950</v>
      </c>
      <c r="T10" s="0" t="n">
        <v>703.9248</v>
      </c>
      <c r="V10" s="0" t="n">
        <v>8</v>
      </c>
      <c r="AA10" s="0" t="s">
        <v>17</v>
      </c>
      <c r="AB10" s="0" t="s">
        <v>14</v>
      </c>
      <c r="AC10" s="0" t="n">
        <v>23324</v>
      </c>
    </row>
    <row r="11" customFormat="false" ht="15" hidden="false" customHeight="false" outlineLevel="0" collapsed="false">
      <c r="A11" s="0" t="s">
        <v>73</v>
      </c>
      <c r="B11" s="0" t="n">
        <v>1056528</v>
      </c>
      <c r="F11" s="0" t="n">
        <v>11171</v>
      </c>
      <c r="G11" s="0" t="n">
        <v>1.1</v>
      </c>
      <c r="H11" s="0" t="n">
        <v>50122</v>
      </c>
      <c r="I11" s="0" t="n">
        <v>6508</v>
      </c>
      <c r="J11" s="0" t="n">
        <v>0.6</v>
      </c>
      <c r="K11" s="0" t="n">
        <v>9.24</v>
      </c>
      <c r="L11" s="0" t="n">
        <v>31896</v>
      </c>
      <c r="M11" s="0" t="n">
        <v>38953</v>
      </c>
      <c r="N11" s="0" t="n">
        <v>-7057</v>
      </c>
      <c r="O11" s="0" t="n">
        <v>328328</v>
      </c>
      <c r="P11" s="0" t="n">
        <v>985007</v>
      </c>
      <c r="Q11" s="0" t="n">
        <v>626762</v>
      </c>
      <c r="R11" s="0" t="n">
        <v>333000</v>
      </c>
      <c r="S11" s="0" t="n">
        <v>53098</v>
      </c>
      <c r="T11" s="0" t="n">
        <v>704.4292</v>
      </c>
      <c r="V11" s="0" t="n">
        <v>6</v>
      </c>
      <c r="AA11" s="0" t="s">
        <v>17</v>
      </c>
      <c r="AB11" s="0" t="s">
        <v>14</v>
      </c>
      <c r="AC11" s="0" t="n">
        <v>24539</v>
      </c>
    </row>
    <row r="12" customFormat="false" ht="15" hidden="false" customHeight="false" outlineLevel="0" collapsed="false">
      <c r="A12" s="0" t="s">
        <v>74</v>
      </c>
      <c r="B12" s="0" t="n">
        <v>1201762</v>
      </c>
      <c r="F12" s="0" t="n">
        <v>47032</v>
      </c>
      <c r="G12" s="0" t="n">
        <v>3.9</v>
      </c>
      <c r="H12" s="0" t="n">
        <v>88283</v>
      </c>
      <c r="I12" s="0" t="n">
        <v>33357</v>
      </c>
      <c r="J12" s="0" t="n">
        <v>2.8</v>
      </c>
      <c r="K12" s="0" t="n">
        <v>47.336</v>
      </c>
      <c r="L12" s="0" t="n">
        <v>59833</v>
      </c>
      <c r="M12" s="0" t="n">
        <v>38600</v>
      </c>
      <c r="N12" s="0" t="n">
        <v>21233</v>
      </c>
      <c r="O12" s="0" t="n">
        <v>341430</v>
      </c>
      <c r="P12" s="0" t="n">
        <v>988052</v>
      </c>
      <c r="Q12" s="0" t="n">
        <v>614286</v>
      </c>
      <c r="R12" s="0" t="n">
        <v>312300</v>
      </c>
      <c r="S12" s="0" t="n">
        <v>66092</v>
      </c>
      <c r="T12" s="0" t="n">
        <v>704.6941</v>
      </c>
      <c r="V12" s="0" t="n">
        <v>12</v>
      </c>
      <c r="AA12" s="0" t="s">
        <v>17</v>
      </c>
      <c r="AB12" s="0" t="s">
        <v>14</v>
      </c>
      <c r="AC12" s="0" t="n">
        <v>25449</v>
      </c>
    </row>
    <row r="13" customFormat="false" ht="15" hidden="false" customHeight="false" outlineLevel="0" collapsed="false">
      <c r="A13" s="0" t="s">
        <v>75</v>
      </c>
      <c r="B13" s="0" t="n">
        <v>1307560</v>
      </c>
      <c r="F13" s="0" t="n">
        <v>63856</v>
      </c>
      <c r="G13" s="0" t="n">
        <v>4.9</v>
      </c>
      <c r="H13" s="0" t="n">
        <v>107056</v>
      </c>
      <c r="I13" s="0" t="n">
        <v>72514</v>
      </c>
      <c r="J13" s="0" t="n">
        <v>5.5</v>
      </c>
      <c r="K13" s="0" t="n">
        <v>103.017</v>
      </c>
      <c r="L13" s="0" t="n">
        <v>28116</v>
      </c>
      <c r="M13" s="0" t="n">
        <v>56700</v>
      </c>
      <c r="N13" s="0" t="n">
        <v>-28584</v>
      </c>
      <c r="O13" s="0" t="n">
        <v>417048</v>
      </c>
      <c r="P13" s="0" t="n">
        <v>1066372</v>
      </c>
      <c r="Q13" s="0" t="n">
        <v>631141</v>
      </c>
      <c r="R13" s="0" t="n">
        <v>318000</v>
      </c>
      <c r="S13" s="0" t="n">
        <v>70474</v>
      </c>
      <c r="T13" s="0" t="n">
        <v>703.9076</v>
      </c>
      <c r="V13" s="0" t="n">
        <v>21</v>
      </c>
      <c r="AA13" s="0" t="s">
        <v>17</v>
      </c>
      <c r="AB13" s="0" t="s">
        <v>14</v>
      </c>
      <c r="AC13" s="0" t="n">
        <v>28400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76</v>
      </c>
      <c r="B1" s="2" t="s">
        <v>77</v>
      </c>
    </row>
    <row r="2" customFormat="false" ht="15" hidden="false" customHeight="false" outlineLevel="0" collapsed="false">
      <c r="A2" s="0" t="s">
        <v>78</v>
      </c>
      <c r="B2" s="3" t="n">
        <v>2806</v>
      </c>
    </row>
    <row r="3" customFormat="false" ht="15" hidden="false" customHeight="false" outlineLevel="0" collapsed="false">
      <c r="A3" s="0" t="s">
        <v>79</v>
      </c>
      <c r="B3" s="3" t="n">
        <v>703.5</v>
      </c>
    </row>
    <row r="4" customFormat="false" ht="15" hidden="false" customHeight="false" outlineLevel="0" collapsed="false">
      <c r="A4" s="0" t="s">
        <v>80</v>
      </c>
      <c r="B4" s="3" t="n">
        <v>292100</v>
      </c>
    </row>
    <row r="5" customFormat="false" ht="15" hidden="false" customHeight="false" outlineLevel="0" collapsed="false">
      <c r="A5" s="0" t="s">
        <v>81</v>
      </c>
      <c r="B5" s="3" t="n">
        <v>98000</v>
      </c>
    </row>
    <row r="6" customFormat="false" ht="15" hidden="false" customHeight="false" outlineLevel="0" collapsed="false">
      <c r="A6" s="0" t="s">
        <v>82</v>
      </c>
      <c r="B6" s="3" t="n">
        <v>15</v>
      </c>
    </row>
    <row r="7" customFormat="false" ht="15" hidden="false" customHeight="false" outlineLevel="0" collapsed="false">
      <c r="A7" s="0" t="s">
        <v>83</v>
      </c>
      <c r="B7" s="3" t="n">
        <v>1307560</v>
      </c>
    </row>
    <row r="8" customFormat="false" ht="15" hidden="false" customHeight="false" outlineLevel="0" collapsed="false">
      <c r="A8" s="0" t="s">
        <v>84</v>
      </c>
      <c r="B8" s="3" t="s">
        <v>75</v>
      </c>
    </row>
    <row r="9" customFormat="false" ht="15" hidden="false" customHeight="false" outlineLevel="0" collapsed="false">
      <c r="A9" s="0" t="s">
        <v>85</v>
      </c>
      <c r="B9" s="3" t="s">
        <v>86</v>
      </c>
    </row>
    <row r="10" customFormat="false" ht="15" hidden="false" customHeight="false" outlineLevel="0" collapsed="false">
      <c r="A10" s="0" t="s">
        <v>87</v>
      </c>
      <c r="B10" s="3" t="n">
        <v>1</v>
      </c>
    </row>
    <row r="12" customFormat="false" ht="15" hidden="false" customHeight="false" outlineLevel="0" collapsed="false">
      <c r="A12" s="2" t="s">
        <v>88</v>
      </c>
      <c r="C12" s="2" t="s">
        <v>89</v>
      </c>
      <c r="D12" s="2" t="s">
        <v>90</v>
      </c>
      <c r="E12" s="2" t="s">
        <v>91</v>
      </c>
      <c r="F12" s="2" t="s">
        <v>92</v>
      </c>
      <c r="G12" s="2" t="s">
        <v>93</v>
      </c>
      <c r="H12" s="2" t="s">
        <v>94</v>
      </c>
      <c r="I12" s="2" t="s">
        <v>95</v>
      </c>
      <c r="J12" s="2" t="s">
        <v>96</v>
      </c>
      <c r="K12" s="2" t="s">
        <v>97</v>
      </c>
      <c r="L12" s="2" t="s">
        <v>98</v>
      </c>
    </row>
    <row r="13" customFormat="false" ht="15" hidden="false" customHeight="false" outlineLevel="0" collapsed="false">
      <c r="A13" s="0" t="s">
        <v>99</v>
      </c>
      <c r="C13" s="3" t="n">
        <v>13</v>
      </c>
      <c r="D13" s="3" t="n">
        <v>2</v>
      </c>
      <c r="E13" s="3" t="n">
        <v>-6</v>
      </c>
      <c r="F13" s="3" t="n">
        <v>-2</v>
      </c>
      <c r="G13" s="3" t="n">
        <v>2</v>
      </c>
      <c r="H13" s="3" t="n">
        <v>2.5</v>
      </c>
      <c r="I13" s="3" t="n">
        <v>2</v>
      </c>
      <c r="J13" s="3" t="n">
        <v>2</v>
      </c>
      <c r="K13" s="3" t="n">
        <v>2</v>
      </c>
      <c r="L13" s="3" t="n">
        <v>2</v>
      </c>
    </row>
    <row r="14" customFormat="false" ht="15" hidden="false" customHeight="false" outlineLevel="0" collapsed="false">
      <c r="A14" s="0" t="s">
        <v>100</v>
      </c>
      <c r="C14" s="3" t="n">
        <v>10</v>
      </c>
      <c r="D14" s="3" t="n">
        <v>8.5</v>
      </c>
      <c r="E14" s="3" t="n">
        <v>6.5</v>
      </c>
      <c r="F14" s="3" t="n">
        <v>6.5</v>
      </c>
      <c r="G14" s="3" t="n">
        <v>7</v>
      </c>
      <c r="H14" s="3" t="n">
        <v>7.5</v>
      </c>
      <c r="I14" s="3" t="n">
        <v>8</v>
      </c>
      <c r="J14" s="3" t="n">
        <v>8</v>
      </c>
      <c r="K14" s="3" t="n">
        <v>8</v>
      </c>
      <c r="L14" s="3" t="n">
        <v>8</v>
      </c>
    </row>
    <row r="15" customFormat="false" ht="15" hidden="false" customHeight="false" outlineLevel="0" collapsed="false">
      <c r="A15" s="0" t="s">
        <v>101</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102</v>
      </c>
      <c r="C16" s="3" t="n">
        <v>0.25</v>
      </c>
      <c r="D16" s="3" t="n">
        <v>0.25</v>
      </c>
      <c r="E16" s="3" t="n">
        <v>0.25</v>
      </c>
      <c r="F16" s="3" t="n">
        <v>0.25</v>
      </c>
      <c r="G16" s="3" t="n">
        <v>0.25</v>
      </c>
      <c r="H16" s="3" t="n">
        <v>0.25</v>
      </c>
      <c r="I16" s="3" t="n">
        <v>0.25</v>
      </c>
      <c r="J16" s="3" t="n">
        <v>0.25</v>
      </c>
      <c r="K16" s="3" t="n">
        <v>0.25</v>
      </c>
      <c r="L16" s="3" t="n">
        <v>0.25</v>
      </c>
    </row>
    <row r="17" customFormat="false" ht="15" hidden="false" customHeight="false" outlineLevel="0" collapsed="false">
      <c r="A17" s="0" t="s">
        <v>103</v>
      </c>
      <c r="C17" s="3" t="n">
        <v>3</v>
      </c>
      <c r="D17" s="3" t="n">
        <v>3.7</v>
      </c>
      <c r="E17" s="3" t="n">
        <v>4.4</v>
      </c>
      <c r="F17" s="3" t="n">
        <v>4.6</v>
      </c>
      <c r="G17" s="3" t="n">
        <v>4.6</v>
      </c>
      <c r="H17" s="3" t="n">
        <v>4.5</v>
      </c>
      <c r="I17" s="3" t="n">
        <v>4.4</v>
      </c>
      <c r="J17" s="3" t="n">
        <v>4.3</v>
      </c>
      <c r="K17" s="3" t="n">
        <v>4.2</v>
      </c>
      <c r="L17" s="3" t="n">
        <v>4.2</v>
      </c>
    </row>
    <row r="18" customFormat="false" ht="15" hidden="false" customHeight="false" outlineLevel="0" collapsed="false">
      <c r="A18" s="0" t="s">
        <v>104</v>
      </c>
      <c r="C18" s="3" t="n">
        <v>9.8</v>
      </c>
      <c r="D18" s="3" t="n">
        <v>6.5</v>
      </c>
      <c r="E18" s="3" t="n">
        <v>4.5</v>
      </c>
      <c r="F18" s="3" t="n">
        <v>4</v>
      </c>
      <c r="G18" s="3" t="n">
        <v>4</v>
      </c>
      <c r="H18" s="3" t="n">
        <v>4</v>
      </c>
      <c r="I18" s="3" t="n">
        <v>4.2</v>
      </c>
      <c r="J18" s="3" t="n">
        <v>4.2</v>
      </c>
      <c r="K18" s="3" t="n">
        <v>4.2</v>
      </c>
      <c r="L18" s="3" t="n">
        <v>4.2</v>
      </c>
    </row>
    <row r="19" customFormat="false" ht="15" hidden="false" customHeight="false" outlineLevel="0" collapsed="false">
      <c r="A19" s="0" t="s">
        <v>105</v>
      </c>
      <c r="C19" s="3" t="n">
        <v>30</v>
      </c>
      <c r="D19" s="3" t="n">
        <v>30</v>
      </c>
      <c r="E19" s="3" t="n">
        <v>30</v>
      </c>
      <c r="F19" s="3" t="n">
        <v>30</v>
      </c>
      <c r="G19" s="3" t="n">
        <v>30</v>
      </c>
      <c r="H19" s="3" t="n">
        <v>30</v>
      </c>
      <c r="I19" s="3" t="n">
        <v>30</v>
      </c>
      <c r="J19" s="3" t="n">
        <v>30</v>
      </c>
      <c r="K19" s="3" t="n">
        <v>30</v>
      </c>
      <c r="L19" s="3" t="n">
        <v>30</v>
      </c>
    </row>
    <row r="20" customFormat="false" ht="15" hidden="false" customHeight="false" outlineLevel="0" collapsed="false">
      <c r="A20" s="0" t="s">
        <v>106</v>
      </c>
      <c r="B20" s="3" t="n">
        <v>8.5</v>
      </c>
    </row>
    <row r="21" customFormat="false" ht="15" hidden="false" customHeight="false" outlineLevel="0" collapsed="false">
      <c r="A21" s="0" t="s">
        <v>107</v>
      </c>
      <c r="B21" s="3" t="n">
        <v>1.5</v>
      </c>
    </row>
    <row r="22" customFormat="false" ht="15" hidden="false" customHeight="false" outlineLevel="0" collapsed="false">
      <c r="A22" s="0" t="s">
        <v>108</v>
      </c>
      <c r="B22" s="3" t="n">
        <v>14</v>
      </c>
    </row>
    <row r="23" customFormat="false" ht="15" hidden="false" customHeight="false" outlineLevel="0" collapsed="false">
      <c r="A23" s="0" t="s">
        <v>109</v>
      </c>
      <c r="B23" s="3" t="n">
        <v>-20</v>
      </c>
    </row>
    <row r="24" customFormat="false" ht="15" hidden="false" customHeight="false" outlineLevel="0" collapsed="false">
      <c r="A24" s="0" t="s">
        <v>110</v>
      </c>
      <c r="B24" s="3" t="n">
        <v>0.25</v>
      </c>
    </row>
    <row r="26" customFormat="false" ht="15" hidden="false" customHeight="false" outlineLevel="0" collapsed="false">
      <c r="A26" s="2" t="s">
        <v>111</v>
      </c>
      <c r="C26" s="2" t="s">
        <v>89</v>
      </c>
      <c r="D26" s="2" t="s">
        <v>90</v>
      </c>
      <c r="E26" s="2" t="s">
        <v>91</v>
      </c>
      <c r="F26" s="2" t="s">
        <v>92</v>
      </c>
      <c r="G26" s="2" t="s">
        <v>93</v>
      </c>
      <c r="H26" s="2" t="s">
        <v>94</v>
      </c>
      <c r="I26" s="2" t="s">
        <v>95</v>
      </c>
      <c r="J26" s="2" t="s">
        <v>96</v>
      </c>
      <c r="K26" s="2" t="s">
        <v>97</v>
      </c>
      <c r="L26" s="2" t="s">
        <v>98</v>
      </c>
    </row>
    <row r="27" customFormat="false" ht="15" hidden="false" customHeight="false" outlineLevel="0" collapsed="false">
      <c r="A27" s="0" t="s">
        <v>99</v>
      </c>
      <c r="C27" s="3" t="n">
        <v>17</v>
      </c>
      <c r="D27" s="3" t="n">
        <v>9</v>
      </c>
      <c r="E27" s="3" t="n">
        <v>7</v>
      </c>
      <c r="F27" s="3" t="n">
        <v>5</v>
      </c>
      <c r="G27" s="3" t="n">
        <v>4</v>
      </c>
      <c r="H27" s="3" t="n">
        <v>3</v>
      </c>
      <c r="I27" s="3" t="n">
        <v>2.5</v>
      </c>
      <c r="J27" s="3" t="n">
        <v>2.5</v>
      </c>
      <c r="K27" s="3" t="n">
        <v>2.5</v>
      </c>
      <c r="L27" s="3" t="n">
        <v>2.5</v>
      </c>
    </row>
    <row r="28" customFormat="false" ht="15" hidden="false" customHeight="false" outlineLevel="0" collapsed="false">
      <c r="A28" s="0" t="s">
        <v>100</v>
      </c>
      <c r="C28" s="3" t="n">
        <v>11</v>
      </c>
      <c r="D28" s="3" t="n">
        <v>11.5</v>
      </c>
      <c r="E28" s="3" t="n">
        <v>12</v>
      </c>
      <c r="F28" s="3" t="n">
        <v>11.8</v>
      </c>
      <c r="G28" s="3" t="n">
        <v>11.5</v>
      </c>
      <c r="H28" s="3" t="n">
        <v>11</v>
      </c>
      <c r="I28" s="3" t="n">
        <v>10.75</v>
      </c>
      <c r="J28" s="3" t="n">
        <v>10.5</v>
      </c>
      <c r="K28" s="3" t="n">
        <v>10.5</v>
      </c>
      <c r="L28" s="3" t="n">
        <v>10.5</v>
      </c>
    </row>
    <row r="29" customFormat="false" ht="15" hidden="false" customHeight="false" outlineLevel="0" collapsed="false">
      <c r="A29" s="0" t="s">
        <v>101</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102</v>
      </c>
      <c r="C30" s="3" t="n">
        <v>0.25</v>
      </c>
      <c r="D30" s="3" t="n">
        <v>0.25</v>
      </c>
      <c r="E30" s="3" t="n">
        <v>0.25</v>
      </c>
      <c r="F30" s="3" t="n">
        <v>0.25</v>
      </c>
      <c r="G30" s="3" t="n">
        <v>0.25</v>
      </c>
      <c r="H30" s="3" t="n">
        <v>0.25</v>
      </c>
      <c r="I30" s="3" t="n">
        <v>0.25</v>
      </c>
      <c r="J30" s="3" t="n">
        <v>0.25</v>
      </c>
      <c r="K30" s="3" t="n">
        <v>0.25</v>
      </c>
      <c r="L30" s="3" t="n">
        <v>0.25</v>
      </c>
    </row>
    <row r="31" customFormat="false" ht="15" hidden="false" customHeight="false" outlineLevel="0" collapsed="false">
      <c r="A31" s="0" t="s">
        <v>103</v>
      </c>
      <c r="C31" s="3" t="n">
        <v>3</v>
      </c>
      <c r="D31" s="3" t="n">
        <v>3.5</v>
      </c>
      <c r="E31" s="3" t="n">
        <v>4</v>
      </c>
      <c r="F31" s="3" t="n">
        <v>4.3</v>
      </c>
      <c r="G31" s="3" t="n">
        <v>4.4</v>
      </c>
      <c r="H31" s="3" t="n">
        <v>4.4</v>
      </c>
      <c r="I31" s="3" t="n">
        <v>4.3</v>
      </c>
      <c r="J31" s="3" t="n">
        <v>4.3</v>
      </c>
      <c r="K31" s="3" t="n">
        <v>4.3</v>
      </c>
      <c r="L31" s="3" t="n">
        <v>4.3</v>
      </c>
    </row>
    <row r="32" customFormat="false" ht="15" hidden="false" customHeight="false" outlineLevel="0" collapsed="false">
      <c r="A32" s="0" t="s">
        <v>104</v>
      </c>
      <c r="C32" s="3" t="n">
        <v>9.8</v>
      </c>
      <c r="D32" s="3" t="n">
        <v>7.5</v>
      </c>
      <c r="E32" s="3" t="n">
        <v>6</v>
      </c>
      <c r="F32" s="3" t="n">
        <v>5</v>
      </c>
      <c r="G32" s="3" t="n">
        <v>4.5</v>
      </c>
      <c r="H32" s="3" t="n">
        <v>4.5</v>
      </c>
      <c r="I32" s="3" t="n">
        <v>4.5</v>
      </c>
      <c r="J32" s="3" t="n">
        <v>4.5</v>
      </c>
      <c r="K32" s="3" t="n">
        <v>4.5</v>
      </c>
      <c r="L32" s="3" t="n">
        <v>4.5</v>
      </c>
    </row>
    <row r="33" customFormat="false" ht="15" hidden="false" customHeight="false" outlineLevel="0" collapsed="false">
      <c r="A33" s="0" t="s">
        <v>105</v>
      </c>
      <c r="C33" s="3" t="n">
        <v>30</v>
      </c>
      <c r="D33" s="3" t="n">
        <v>30</v>
      </c>
      <c r="E33" s="3" t="n">
        <v>30</v>
      </c>
      <c r="F33" s="3" t="n">
        <v>30</v>
      </c>
      <c r="G33" s="3" t="n">
        <v>30</v>
      </c>
      <c r="H33" s="3" t="n">
        <v>30</v>
      </c>
      <c r="I33" s="3" t="n">
        <v>30</v>
      </c>
      <c r="J33" s="3" t="n">
        <v>30</v>
      </c>
      <c r="K33" s="3" t="n">
        <v>30</v>
      </c>
      <c r="L33" s="3" t="n">
        <v>30</v>
      </c>
    </row>
    <row r="34" customFormat="false" ht="15" hidden="false" customHeight="false" outlineLevel="0" collapsed="false">
      <c r="A34" s="0" t="s">
        <v>106</v>
      </c>
      <c r="B34" s="3" t="n">
        <v>8.5</v>
      </c>
    </row>
    <row r="35" customFormat="false" ht="15" hidden="false" customHeight="false" outlineLevel="0" collapsed="false">
      <c r="A35" s="0" t="s">
        <v>107</v>
      </c>
      <c r="B35" s="3" t="n">
        <v>2</v>
      </c>
    </row>
    <row r="36" customFormat="false" ht="15" hidden="false" customHeight="false" outlineLevel="0" collapsed="false">
      <c r="A36" s="0" t="s">
        <v>108</v>
      </c>
      <c r="B36" s="3" t="n">
        <v>14</v>
      </c>
    </row>
    <row r="37" customFormat="false" ht="15" hidden="false" customHeight="false" outlineLevel="0" collapsed="false">
      <c r="A37" s="0" t="s">
        <v>109</v>
      </c>
      <c r="B37" s="3" t="n">
        <v>-20</v>
      </c>
    </row>
    <row r="38" customFormat="false" ht="15" hidden="false" customHeight="false" outlineLevel="0" collapsed="false">
      <c r="A38" s="0" t="s">
        <v>110</v>
      </c>
      <c r="B38" s="3" t="n">
        <v>0.5</v>
      </c>
    </row>
    <row r="40" customFormat="false" ht="15" hidden="false" customHeight="false" outlineLevel="0" collapsed="false">
      <c r="A40" s="2" t="s">
        <v>112</v>
      </c>
      <c r="C40" s="2" t="s">
        <v>89</v>
      </c>
      <c r="D40" s="2" t="s">
        <v>90</v>
      </c>
      <c r="E40" s="2" t="s">
        <v>91</v>
      </c>
      <c r="F40" s="2" t="s">
        <v>92</v>
      </c>
      <c r="G40" s="2" t="s">
        <v>93</v>
      </c>
      <c r="H40" s="2" t="s">
        <v>94</v>
      </c>
      <c r="I40" s="2" t="s">
        <v>95</v>
      </c>
      <c r="J40" s="2" t="s">
        <v>96</v>
      </c>
      <c r="K40" s="2" t="s">
        <v>97</v>
      </c>
      <c r="L40" s="2" t="s">
        <v>98</v>
      </c>
    </row>
    <row r="41" customFormat="false" ht="15" hidden="false" customHeight="false" outlineLevel="0" collapsed="false">
      <c r="A41" s="0" t="s">
        <v>99</v>
      </c>
      <c r="C41" s="3" t="n">
        <v>20</v>
      </c>
      <c r="D41" s="3" t="n">
        <v>14</v>
      </c>
      <c r="E41" s="3" t="n">
        <v>11</v>
      </c>
      <c r="F41" s="3" t="n">
        <v>8</v>
      </c>
      <c r="G41" s="3" t="n">
        <v>6</v>
      </c>
      <c r="H41" s="3" t="n">
        <v>4</v>
      </c>
      <c r="I41" s="3" t="n">
        <v>3</v>
      </c>
      <c r="J41" s="3" t="n">
        <v>3</v>
      </c>
      <c r="K41" s="3" t="n">
        <v>2.5</v>
      </c>
      <c r="L41" s="3" t="n">
        <v>2.5</v>
      </c>
    </row>
    <row r="42" customFormat="false" ht="15" hidden="false" customHeight="false" outlineLevel="0" collapsed="false">
      <c r="A42" s="0" t="s">
        <v>100</v>
      </c>
      <c r="C42" s="3" t="n">
        <v>11.5</v>
      </c>
      <c r="D42" s="3" t="n">
        <v>13</v>
      </c>
      <c r="E42" s="3" t="n">
        <v>14</v>
      </c>
      <c r="F42" s="3" t="n">
        <v>14.5</v>
      </c>
      <c r="G42" s="3" t="n">
        <v>15</v>
      </c>
      <c r="H42" s="3" t="n">
        <v>14.5</v>
      </c>
      <c r="I42" s="3" t="n">
        <v>14</v>
      </c>
      <c r="J42" s="3" t="n">
        <v>13.5</v>
      </c>
      <c r="K42" s="3" t="n">
        <v>13</v>
      </c>
      <c r="L42" s="3" t="n">
        <v>13</v>
      </c>
    </row>
    <row r="43" customFormat="false" ht="15" hidden="false" customHeight="false" outlineLevel="0" collapsed="false">
      <c r="A43" s="0" t="s">
        <v>101</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102</v>
      </c>
      <c r="C44" s="3" t="n">
        <v>0.25</v>
      </c>
      <c r="D44" s="3" t="n">
        <v>0.25</v>
      </c>
      <c r="E44" s="3" t="n">
        <v>0.25</v>
      </c>
      <c r="F44" s="3" t="n">
        <v>0.25</v>
      </c>
      <c r="G44" s="3" t="n">
        <v>0.25</v>
      </c>
      <c r="H44" s="3" t="n">
        <v>0.25</v>
      </c>
      <c r="I44" s="3" t="n">
        <v>0.25</v>
      </c>
      <c r="J44" s="3" t="n">
        <v>0.25</v>
      </c>
      <c r="K44" s="3" t="n">
        <v>0.25</v>
      </c>
      <c r="L44" s="3" t="n">
        <v>0.25</v>
      </c>
    </row>
    <row r="45" customFormat="false" ht="15" hidden="false" customHeight="false" outlineLevel="0" collapsed="false">
      <c r="A45" s="0" t="s">
        <v>103</v>
      </c>
      <c r="C45" s="3" t="n">
        <v>3</v>
      </c>
      <c r="D45" s="3" t="n">
        <v>3.4</v>
      </c>
      <c r="E45" s="3" t="n">
        <v>3.8</v>
      </c>
      <c r="F45" s="3" t="n">
        <v>4.1</v>
      </c>
      <c r="G45" s="3" t="n">
        <v>4.3</v>
      </c>
      <c r="H45" s="3" t="n">
        <v>4.3</v>
      </c>
      <c r="I45" s="3" t="n">
        <v>4.3</v>
      </c>
      <c r="J45" s="3" t="n">
        <v>4.3</v>
      </c>
      <c r="K45" s="3" t="n">
        <v>4.3</v>
      </c>
      <c r="L45" s="3" t="n">
        <v>4.3</v>
      </c>
    </row>
    <row r="46" customFormat="false" ht="15" hidden="false" customHeight="false" outlineLevel="0" collapsed="false">
      <c r="A46" s="0" t="s">
        <v>104</v>
      </c>
      <c r="C46" s="3" t="n">
        <v>9.8</v>
      </c>
      <c r="D46" s="3" t="n">
        <v>8.5</v>
      </c>
      <c r="E46" s="3" t="n">
        <v>7</v>
      </c>
      <c r="F46" s="3" t="n">
        <v>6</v>
      </c>
      <c r="G46" s="3" t="n">
        <v>5</v>
      </c>
      <c r="H46" s="3" t="n">
        <v>4.8</v>
      </c>
      <c r="I46" s="3" t="n">
        <v>4.5</v>
      </c>
      <c r="J46" s="3" t="n">
        <v>4.5</v>
      </c>
      <c r="K46" s="3" t="n">
        <v>4.5</v>
      </c>
      <c r="L46" s="3" t="n">
        <v>4.5</v>
      </c>
    </row>
    <row r="47" customFormat="false" ht="15" hidden="false" customHeight="false" outlineLevel="0" collapsed="false">
      <c r="A47" s="0" t="s">
        <v>105</v>
      </c>
      <c r="C47" s="3" t="n">
        <v>30</v>
      </c>
      <c r="D47" s="3" t="n">
        <v>30</v>
      </c>
      <c r="E47" s="3" t="n">
        <v>30</v>
      </c>
      <c r="F47" s="3" t="n">
        <v>30</v>
      </c>
      <c r="G47" s="3" t="n">
        <v>30</v>
      </c>
      <c r="H47" s="3" t="n">
        <v>30</v>
      </c>
      <c r="I47" s="3" t="n">
        <v>30</v>
      </c>
      <c r="J47" s="3" t="n">
        <v>30</v>
      </c>
      <c r="K47" s="3" t="n">
        <v>30</v>
      </c>
      <c r="L47" s="3" t="n">
        <v>30</v>
      </c>
    </row>
    <row r="48" customFormat="false" ht="15" hidden="false" customHeight="false" outlineLevel="0" collapsed="false">
      <c r="A48" s="0" t="s">
        <v>106</v>
      </c>
      <c r="B48" s="3" t="n">
        <v>8.5</v>
      </c>
    </row>
    <row r="49" customFormat="false" ht="15" hidden="false" customHeight="false" outlineLevel="0" collapsed="false">
      <c r="A49" s="0" t="s">
        <v>107</v>
      </c>
      <c r="B49" s="3" t="n">
        <v>2.5</v>
      </c>
    </row>
    <row r="50" customFormat="false" ht="15" hidden="false" customHeight="false" outlineLevel="0" collapsed="false">
      <c r="A50" s="0" t="s">
        <v>108</v>
      </c>
      <c r="B50" s="3" t="n">
        <v>14</v>
      </c>
    </row>
    <row r="51" customFormat="false" ht="15" hidden="false" customHeight="false" outlineLevel="0" collapsed="false">
      <c r="A51" s="0" t="s">
        <v>109</v>
      </c>
      <c r="B51" s="3" t="n">
        <v>-20</v>
      </c>
    </row>
    <row r="52" customFormat="false" ht="15" hidden="false" customHeight="false" outlineLevel="0" collapsed="false">
      <c r="A52" s="0" t="s">
        <v>110</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113</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Assumptions!C13</f>
        <v>13</v>
      </c>
      <c r="D5" s="4" t="n">
        <f aca="false">Assumptions!D13</f>
        <v>2</v>
      </c>
      <c r="E5" s="4" t="n">
        <f aca="false">Assumptions!E13</f>
        <v>-6</v>
      </c>
      <c r="F5" s="4" t="n">
        <f aca="false">Assumptions!F13</f>
        <v>-2</v>
      </c>
      <c r="G5" s="4" t="n">
        <f aca="false">Assumptions!G13</f>
        <v>2</v>
      </c>
      <c r="H5" s="4" t="n">
        <f aca="false">Assumptions!H13</f>
        <v>2.5</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37</v>
      </c>
      <c r="B6" s="3" t="n">
        <v>1307560</v>
      </c>
      <c r="C6" s="0" t="n">
        <f aca="false">B6*(1+C5/100)</f>
        <v>1477542.8</v>
      </c>
      <c r="D6" s="0" t="n">
        <f aca="false">C6*(1+D5/100)</f>
        <v>1507093.656</v>
      </c>
      <c r="E6" s="0" t="n">
        <f aca="false">D6*(1+E5/100)</f>
        <v>1416668.03664</v>
      </c>
      <c r="F6" s="0" t="n">
        <f aca="false">E6*(1+F5/100)</f>
        <v>1388334.6759072</v>
      </c>
      <c r="G6" s="0" t="n">
        <f aca="false">F6*(1+G5/100)</f>
        <v>1416101.36942534</v>
      </c>
      <c r="H6" s="0" t="n">
        <f aca="false">G6*(1+H5/100)</f>
        <v>1451503.90366098</v>
      </c>
      <c r="I6" s="0" t="n">
        <f aca="false">H6*(1+I5/100)</f>
        <v>1480533.9817342</v>
      </c>
      <c r="J6" s="0" t="n">
        <f aca="false">I6*(1+J5/100)</f>
        <v>1510144.66136888</v>
      </c>
      <c r="K6" s="0" t="n">
        <f aca="false">J6*(1+K5/100)</f>
        <v>1540347.55459626</v>
      </c>
      <c r="L6" s="0" t="n">
        <f aca="false">K6*(1+L5/100)</f>
        <v>1571154.50568818</v>
      </c>
    </row>
    <row r="7" customFormat="false" ht="15" hidden="false" customHeight="false" outlineLevel="0" collapsed="false">
      <c r="A7" s="0" t="s">
        <v>100</v>
      </c>
      <c r="C7" s="4" t="n">
        <f aca="false">Assumptions!C14</f>
        <v>10</v>
      </c>
      <c r="D7" s="4" t="n">
        <f aca="false">Assumptions!D14</f>
        <v>8.5</v>
      </c>
      <c r="E7" s="4" t="n">
        <f aca="false">Assumptions!E14</f>
        <v>6.5</v>
      </c>
      <c r="F7" s="4" t="n">
        <f aca="false">Assumptions!F14</f>
        <v>6.5</v>
      </c>
      <c r="G7" s="4" t="n">
        <f aca="false">Assumptions!G14</f>
        <v>7</v>
      </c>
      <c r="H7" s="4" t="n">
        <f aca="false">Assumptions!H14</f>
        <v>7.5</v>
      </c>
      <c r="I7" s="4" t="n">
        <f aca="false">Assumptions!I14</f>
        <v>8</v>
      </c>
      <c r="J7" s="4" t="n">
        <f aca="false">Assumptions!J14</f>
        <v>8</v>
      </c>
      <c r="K7" s="4" t="n">
        <f aca="false">Assumptions!K14</f>
        <v>8</v>
      </c>
      <c r="L7" s="4" t="n">
        <f aca="false">Assumptions!L14</f>
        <v>8</v>
      </c>
    </row>
    <row r="8" customFormat="false" ht="15" hidden="false" customHeight="false" outlineLevel="0" collapsed="false">
      <c r="A8" s="0" t="s">
        <v>43</v>
      </c>
      <c r="C8" s="0" t="n">
        <f aca="false">C6*C7/100</f>
        <v>147754.28</v>
      </c>
      <c r="D8" s="0" t="n">
        <f aca="false">D6*D7/100</f>
        <v>128102.96076</v>
      </c>
      <c r="E8" s="0" t="n">
        <f aca="false">E6*E7/100</f>
        <v>92083.4223816</v>
      </c>
      <c r="F8" s="0" t="n">
        <f aca="false">F6*F7/100</f>
        <v>90241.753933968</v>
      </c>
      <c r="G8" s="0" t="n">
        <f aca="false">G6*G7/100</f>
        <v>99127.0958597741</v>
      </c>
      <c r="H8" s="0" t="n">
        <f aca="false">H6*H7/100</f>
        <v>108862.792774573</v>
      </c>
      <c r="I8" s="0" t="n">
        <f aca="false">I6*I7/100</f>
        <v>118442.718538736</v>
      </c>
      <c r="J8" s="0" t="n">
        <f aca="false">J6*J7/100</f>
        <v>120811.57290951</v>
      </c>
      <c r="K8" s="0" t="n">
        <f aca="false">K6*K7/100</f>
        <v>123227.804367701</v>
      </c>
      <c r="L8" s="0" t="n">
        <f aca="false">L6*L7/100</f>
        <v>125692.360455055</v>
      </c>
    </row>
    <row r="9" customFormat="false" ht="15" hidden="false" customHeight="false" outlineLevel="0" collapsed="false">
      <c r="A9" s="0" t="s">
        <v>101</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116</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117</v>
      </c>
      <c r="C11" s="0" t="n">
        <f aca="false">C8+C10+C24</f>
        <v>144060.423</v>
      </c>
      <c r="D11" s="0" t="n">
        <f aca="false">D8+D10+D24</f>
        <v>124335.22662</v>
      </c>
      <c r="E11" s="0" t="n">
        <f aca="false">E8+E10+E24</f>
        <v>88541.75229</v>
      </c>
      <c r="F11" s="0" t="n">
        <f aca="false">F8+F10+F24</f>
        <v>86770.9172442</v>
      </c>
      <c r="G11" s="0" t="n">
        <f aca="false">G8+G10+G24</f>
        <v>95586.8424362107</v>
      </c>
      <c r="H11" s="0" t="n">
        <f aca="false">H8+H10+H24</f>
        <v>105234.033015421</v>
      </c>
      <c r="I11" s="0" t="n">
        <f aca="false">I8+I10+I24</f>
        <v>114741.3835844</v>
      </c>
      <c r="J11" s="0" t="n">
        <f aca="false">J8+J10+J24</f>
        <v>117036.211256088</v>
      </c>
      <c r="K11" s="0" t="n">
        <f aca="false">K8+K10+K24</f>
        <v>119376.93548121</v>
      </c>
      <c r="L11" s="0" t="n">
        <f aca="false">L8+L10+L24</f>
        <v>121764.474190834</v>
      </c>
    </row>
    <row r="12" customFormat="false" ht="15" hidden="false" customHeight="false" outlineLevel="0" collapsed="false">
      <c r="A12" s="0" t="s">
        <v>118</v>
      </c>
      <c r="C12" s="4" t="n">
        <f aca="false">-C6*Assumptions!C17/100</f>
        <v>-44326.284</v>
      </c>
      <c r="D12" s="4" t="n">
        <f aca="false">-D6*Assumptions!D17/100</f>
        <v>-55762.465272</v>
      </c>
      <c r="E12" s="4" t="n">
        <f aca="false">-E6*Assumptions!E17/100</f>
        <v>-62333.39361216</v>
      </c>
      <c r="F12" s="4" t="n">
        <f aca="false">-F6*Assumptions!F17/100</f>
        <v>-63863.3950917312</v>
      </c>
      <c r="G12" s="4" t="n">
        <f aca="false">-G6*Assumptions!G17/100</f>
        <v>-65140.6629935658</v>
      </c>
      <c r="H12" s="4" t="n">
        <f aca="false">-H6*Assumptions!H17/100</f>
        <v>-65317.675664744</v>
      </c>
      <c r="I12" s="4" t="n">
        <f aca="false">-I6*Assumptions!I17/100</f>
        <v>-65143.4951963047</v>
      </c>
      <c r="J12" s="4" t="n">
        <f aca="false">-J6*Assumptions!J17/100</f>
        <v>-64936.2204388619</v>
      </c>
      <c r="K12" s="4" t="n">
        <f aca="false">-K6*Assumptions!K17/100</f>
        <v>-64694.5972930429</v>
      </c>
      <c r="L12" s="4" t="n">
        <f aca="false">-L6*Assumptions!L17/100</f>
        <v>-65988.4892389037</v>
      </c>
    </row>
    <row r="13" customFormat="false" ht="15" hidden="false" customHeight="false" outlineLevel="0" collapsed="false">
      <c r="A13" s="0" t="s">
        <v>119</v>
      </c>
      <c r="C13" s="0" t="n">
        <f aca="false">C11+C12</f>
        <v>99734.139</v>
      </c>
      <c r="D13" s="0" t="n">
        <f aca="false">D11+D12</f>
        <v>68572.761348</v>
      </c>
      <c r="E13" s="0" t="n">
        <f aca="false">E11+E12</f>
        <v>26208.35867784</v>
      </c>
      <c r="F13" s="0" t="n">
        <f aca="false">F11+F12</f>
        <v>22907.5221524688</v>
      </c>
      <c r="G13" s="0" t="n">
        <f aca="false">G11+G12</f>
        <v>30446.1794426449</v>
      </c>
      <c r="H13" s="0" t="n">
        <f aca="false">H11+H12</f>
        <v>39916.3573506769</v>
      </c>
      <c r="I13" s="0" t="n">
        <f aca="false">I11+I12</f>
        <v>49597.8883880956</v>
      </c>
      <c r="J13" s="0" t="n">
        <f aca="false">J11+J12</f>
        <v>52099.9908172264</v>
      </c>
      <c r="K13" s="0" t="n">
        <f aca="false">K11+K12</f>
        <v>54682.3381881672</v>
      </c>
      <c r="L13" s="0" t="n">
        <f aca="false">L11+L12</f>
        <v>55775.9849519305</v>
      </c>
    </row>
    <row r="14" customFormat="false" ht="15" hidden="false" customHeight="false" outlineLevel="0" collapsed="false">
      <c r="A14" s="0" t="s">
        <v>105</v>
      </c>
      <c r="C14" s="4" t="n">
        <f aca="false">Assumptions!C19</f>
        <v>30</v>
      </c>
      <c r="D14" s="4" t="n">
        <f aca="false">Assumptions!D19</f>
        <v>30</v>
      </c>
      <c r="E14" s="4" t="n">
        <f aca="false">Assumptions!E19</f>
        <v>30</v>
      </c>
      <c r="F14" s="4" t="n">
        <f aca="false">Assumptions!F19</f>
        <v>30</v>
      </c>
      <c r="G14" s="4" t="n">
        <f aca="false">Assumptions!G19</f>
        <v>30</v>
      </c>
      <c r="H14" s="4" t="n">
        <f aca="false">Assumptions!H19</f>
        <v>30</v>
      </c>
      <c r="I14" s="4" t="n">
        <f aca="false">Assumptions!I19</f>
        <v>30</v>
      </c>
      <c r="J14" s="4" t="n">
        <f aca="false">Assumptions!J19</f>
        <v>30</v>
      </c>
      <c r="K14" s="4" t="n">
        <f aca="false">Assumptions!K19</f>
        <v>30</v>
      </c>
      <c r="L14" s="4" t="n">
        <f aca="false">Assumptions!L19</f>
        <v>30</v>
      </c>
    </row>
    <row r="15" customFormat="false" ht="15" hidden="false" customHeight="false" outlineLevel="0" collapsed="false">
      <c r="A15" s="0" t="s">
        <v>120</v>
      </c>
      <c r="C15" s="0" t="n">
        <f aca="false">C13-MAX(0,C13)*C14/100</f>
        <v>69813.8973</v>
      </c>
      <c r="D15" s="0" t="n">
        <f aca="false">D13-MAX(0,D13)*D14/100</f>
        <v>48000.9329436</v>
      </c>
      <c r="E15" s="0" t="n">
        <f aca="false">E13-MAX(0,E13)*E14/100</f>
        <v>18345.851074488</v>
      </c>
      <c r="F15" s="0" t="n">
        <f aca="false">F13-MAX(0,F13)*F14/100</f>
        <v>16035.2655067282</v>
      </c>
      <c r="G15" s="0" t="n">
        <f aca="false">G13-MAX(0,G13)*G14/100</f>
        <v>21312.3256098514</v>
      </c>
      <c r="H15" s="0" t="n">
        <f aca="false">H13-MAX(0,H13)*H14/100</f>
        <v>27941.4501454738</v>
      </c>
      <c r="I15" s="0" t="n">
        <f aca="false">I13-MAX(0,I13)*I14/100</f>
        <v>34718.5218716669</v>
      </c>
      <c r="J15" s="0" t="n">
        <f aca="false">J13-MAX(0,J13)*J14/100</f>
        <v>36469.9935720585</v>
      </c>
      <c r="K15" s="0" t="n">
        <f aca="false">K13-MAX(0,K13)*K14/100</f>
        <v>38277.636731717</v>
      </c>
      <c r="L15" s="0" t="n">
        <f aca="false">L13-MAX(0,L13)*L14/100</f>
        <v>39043.1894663514</v>
      </c>
    </row>
    <row r="16" customFormat="false" ht="15" hidden="false" customHeight="false" outlineLevel="0" collapsed="false">
      <c r="A16" s="0" t="s">
        <v>121</v>
      </c>
      <c r="C16" s="0" t="n">
        <f aca="false">-C12</f>
        <v>44326.284</v>
      </c>
      <c r="D16" s="0" t="n">
        <f aca="false">-D12</f>
        <v>55762.465272</v>
      </c>
      <c r="E16" s="0" t="n">
        <f aca="false">-E12</f>
        <v>62333.39361216</v>
      </c>
      <c r="F16" s="0" t="n">
        <f aca="false">-F12</f>
        <v>63863.3950917312</v>
      </c>
      <c r="G16" s="0" t="n">
        <f aca="false">-G12</f>
        <v>65140.6629935658</v>
      </c>
      <c r="H16" s="0" t="n">
        <f aca="false">-H12</f>
        <v>65317.675664744</v>
      </c>
      <c r="I16" s="0" t="n">
        <f aca="false">-I12</f>
        <v>65143.4951963047</v>
      </c>
      <c r="J16" s="0" t="n">
        <f aca="false">-J12</f>
        <v>64936.2204388619</v>
      </c>
      <c r="K16" s="0" t="n">
        <f aca="false">-K12</f>
        <v>64694.5972930429</v>
      </c>
      <c r="L16" s="0" t="n">
        <f aca="false">-L12</f>
        <v>65988.4892389037</v>
      </c>
    </row>
    <row r="17" customFormat="false" ht="15" hidden="false" customHeight="false" outlineLevel="0" collapsed="false">
      <c r="A17" s="0" t="s">
        <v>122</v>
      </c>
      <c r="C17" s="4" t="n">
        <f aca="false">-C6*Assumptions!C18/100</f>
        <v>-144799.1944</v>
      </c>
      <c r="D17" s="4" t="n">
        <f aca="false">-D6*Assumptions!D18/100</f>
        <v>-97961.08764</v>
      </c>
      <c r="E17" s="4" t="n">
        <f aca="false">-E6*Assumptions!E18/100</f>
        <v>-63750.0616488</v>
      </c>
      <c r="F17" s="4" t="n">
        <f aca="false">-F6*Assumptions!F18/100</f>
        <v>-55533.387036288</v>
      </c>
      <c r="G17" s="4" t="n">
        <f aca="false">-G6*Assumptions!G18/100</f>
        <v>-56644.0547770137</v>
      </c>
      <c r="H17" s="4" t="n">
        <f aca="false">-H6*Assumptions!H18/100</f>
        <v>-58060.1561464391</v>
      </c>
      <c r="I17" s="4" t="n">
        <f aca="false">-I6*Assumptions!I18/100</f>
        <v>-62182.4272328363</v>
      </c>
      <c r="J17" s="4" t="n">
        <f aca="false">-J6*Assumptions!J18/100</f>
        <v>-63426.075777493</v>
      </c>
      <c r="K17" s="4" t="n">
        <f aca="false">-K6*Assumptions!K18/100</f>
        <v>-64694.5972930429</v>
      </c>
      <c r="L17" s="4" t="n">
        <f aca="false">-L6*Assumptions!L18/100</f>
        <v>-65988.4892389037</v>
      </c>
    </row>
    <row r="18" customFormat="false" ht="15" hidden="false" customHeight="false" outlineLevel="0" collapsed="false">
      <c r="A18" s="0" t="s">
        <v>123</v>
      </c>
      <c r="C18" s="4" t="n">
        <f aca="false">(C6-B6)*Assumptions!$B$23/100</f>
        <v>-33996.56</v>
      </c>
      <c r="D18" s="4" t="n">
        <f aca="false">(D6-C6)*Assumptions!$B$23/100</f>
        <v>-5910.17119999998</v>
      </c>
      <c r="E18" s="4" t="n">
        <f aca="false">(E6-D6)*Assumptions!$B$23/100</f>
        <v>18085.123872</v>
      </c>
      <c r="F18" s="4" t="n">
        <f aca="false">(F6-E6)*Assumptions!$B$23/100</f>
        <v>5666.67214656002</v>
      </c>
      <c r="G18" s="4" t="n">
        <f aca="false">(G6-F6)*Assumptions!$B$23/100</f>
        <v>-5553.33870362882</v>
      </c>
      <c r="H18" s="4" t="n">
        <f aca="false">(H6-G6)*Assumptions!$B$23/100</f>
        <v>-7080.50684712669</v>
      </c>
      <c r="I18" s="4" t="n">
        <f aca="false">(I6-H6)*Assumptions!$B$23/100</f>
        <v>-5806.01561464393</v>
      </c>
      <c r="J18" s="4" t="n">
        <f aca="false">(J6-I6)*Assumptions!$B$23/100</f>
        <v>-5922.1359269368</v>
      </c>
      <c r="K18" s="4" t="n">
        <f aca="false">(K6-J6)*Assumptions!$B$23/100</f>
        <v>-6040.57864547553</v>
      </c>
      <c r="L18" s="4" t="n">
        <f aca="false">(L6-K6)*Assumptions!$B$23/100</f>
        <v>-6161.39021838503</v>
      </c>
    </row>
    <row r="19" customFormat="false" ht="15" hidden="false" customHeight="false" outlineLevel="0" collapsed="false">
      <c r="A19" s="0" t="s">
        <v>124</v>
      </c>
      <c r="C19" s="0" t="n">
        <f aca="false">C15+C16+C17+C18</f>
        <v>-64655.5731</v>
      </c>
      <c r="D19" s="0" t="n">
        <f aca="false">D15+D16+D17+D18</f>
        <v>-107.860624399997</v>
      </c>
      <c r="E19" s="0" t="n">
        <f aca="false">E15+E16+E17+E18</f>
        <v>35014.306909848</v>
      </c>
      <c r="F19" s="0" t="n">
        <f aca="false">F15+F16+F17+F18</f>
        <v>30031.9457087314</v>
      </c>
      <c r="G19" s="0" t="n">
        <f aca="false">G15+G16+G17+G18</f>
        <v>24255.5951227747</v>
      </c>
      <c r="H19" s="0" t="n">
        <f aca="false">H15+H16+H17+H18</f>
        <v>28118.462816652</v>
      </c>
      <c r="I19" s="0" t="n">
        <f aca="false">I15+I16+I17+I18</f>
        <v>31873.5742204914</v>
      </c>
      <c r="J19" s="0" t="n">
        <f aca="false">J15+J16+J17+J18</f>
        <v>32058.0023064906</v>
      </c>
      <c r="K19" s="0" t="n">
        <f aca="false">K15+K16+K17+K18</f>
        <v>32237.0580862415</v>
      </c>
      <c r="L19" s="0" t="n">
        <f aca="false">L15+L16+L17+L18</f>
        <v>32881.7992479663</v>
      </c>
    </row>
    <row r="20" customFormat="false" ht="15" hidden="false" customHeight="false" outlineLevel="0" collapsed="false">
      <c r="A20" s="0" t="s">
        <v>125</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126</v>
      </c>
      <c r="C21" s="0" t="n">
        <f aca="false">C19*C20</f>
        <v>-59590.389953917</v>
      </c>
      <c r="D21" s="0" t="n">
        <f aca="false">D19*D20</f>
        <v>-91.6227776338394</v>
      </c>
      <c r="E21" s="0" t="n">
        <f aca="false">E19*E20</f>
        <v>27412.9844406591</v>
      </c>
      <c r="F21" s="0" t="n">
        <f aca="false">F19*F20</f>
        <v>21670.2797299519</v>
      </c>
      <c r="G21" s="0" t="n">
        <f aca="false">G19*G20</f>
        <v>16131.0725255386</v>
      </c>
      <c r="H21" s="0" t="n">
        <f aca="false">H19*H20</f>
        <v>17235.0737383599</v>
      </c>
      <c r="I21" s="0" t="n">
        <f aca="false">I19*I20</f>
        <v>18006.2219704662</v>
      </c>
      <c r="J21" s="0" t="n">
        <f aca="false">J19*J20</f>
        <v>16691.6223558246</v>
      </c>
      <c r="K21" s="0" t="n">
        <f aca="false">K19*K20</f>
        <v>15469.9089675374</v>
      </c>
      <c r="L21" s="0" t="n">
        <f aca="false">L19*L20</f>
        <v>14543.1402275467</v>
      </c>
    </row>
    <row r="23" customFormat="false" ht="15" hidden="false" customHeight="false" outlineLevel="0" collapsed="false">
      <c r="A23" s="0" t="s">
        <v>102</v>
      </c>
      <c r="C23" s="4" t="n">
        <f aca="false">Assumptions!C16</f>
        <v>0.25</v>
      </c>
      <c r="D23" s="4" t="n">
        <f aca="false">Assumptions!D16</f>
        <v>0.25</v>
      </c>
      <c r="E23" s="4" t="n">
        <f aca="false">Assumptions!E16</f>
        <v>0.25</v>
      </c>
      <c r="F23" s="4" t="n">
        <f aca="false">Assumptions!F16</f>
        <v>0.25</v>
      </c>
      <c r="G23" s="4" t="n">
        <f aca="false">Assumptions!G16</f>
        <v>0.25</v>
      </c>
      <c r="H23" s="4" t="n">
        <f aca="false">Assumptions!H16</f>
        <v>0.25</v>
      </c>
      <c r="I23" s="4" t="n">
        <f aca="false">Assumptions!I16</f>
        <v>0.25</v>
      </c>
      <c r="J23" s="4" t="n">
        <f aca="false">Assumptions!J16</f>
        <v>0.25</v>
      </c>
      <c r="K23" s="4" t="n">
        <f aca="false">Assumptions!K16</f>
        <v>0.25</v>
      </c>
      <c r="L23" s="4" t="n">
        <f aca="false">Assumptions!L16</f>
        <v>0.25</v>
      </c>
    </row>
    <row r="24" customFormat="false" ht="15" hidden="false" customHeight="false" outlineLevel="0" collapsed="false">
      <c r="A24" s="0" t="s">
        <v>127</v>
      </c>
      <c r="C24" s="0" t="n">
        <f aca="false">-C6*C23/100</f>
        <v>-3693.857</v>
      </c>
      <c r="D24" s="0" t="n">
        <f aca="false">-D6*D23/100</f>
        <v>-3767.73414</v>
      </c>
      <c r="E24" s="0" t="n">
        <f aca="false">-E6*E23/100</f>
        <v>-3541.6700916</v>
      </c>
      <c r="F24" s="0" t="n">
        <f aca="false">-F6*F23/100</f>
        <v>-3470.836689768</v>
      </c>
      <c r="G24" s="0" t="n">
        <f aca="false">-G6*G23/100</f>
        <v>-3540.25342356336</v>
      </c>
      <c r="H24" s="0" t="n">
        <f aca="false">-H6*H23/100</f>
        <v>-3628.75975915244</v>
      </c>
      <c r="I24" s="0" t="n">
        <f aca="false">-I6*I23/100</f>
        <v>-3701.33495433549</v>
      </c>
      <c r="J24" s="0" t="n">
        <f aca="false">-J6*J23/100</f>
        <v>-3775.3616534222</v>
      </c>
      <c r="K24" s="0" t="n">
        <f aca="false">-K6*K23/100</f>
        <v>-3850.86888649065</v>
      </c>
      <c r="L24" s="0" t="n">
        <f aca="false">-L6*L23/100</f>
        <v>-3927.88626422046</v>
      </c>
    </row>
    <row r="26" customFormat="false" ht="15" hidden="false" customHeight="false" outlineLevel="0" collapsed="false">
      <c r="A26" s="2" t="s">
        <v>128</v>
      </c>
    </row>
    <row r="27" customFormat="false" ht="15" hidden="false" customHeight="false" outlineLevel="0" collapsed="false">
      <c r="A27" s="0" t="s">
        <v>106</v>
      </c>
      <c r="B27" s="4" t="n">
        <f aca="false">Assumptions!$B$20</f>
        <v>8.5</v>
      </c>
    </row>
    <row r="28" customFormat="false" ht="15" hidden="false" customHeight="false" outlineLevel="0" collapsed="false">
      <c r="A28" s="0" t="s">
        <v>107</v>
      </c>
      <c r="B28" s="4" t="n">
        <f aca="false">Assumptions!$B$21</f>
        <v>1.5</v>
      </c>
    </row>
    <row r="29" customFormat="false" ht="15" hidden="false" customHeight="false" outlineLevel="0" collapsed="false">
      <c r="A29" s="0" t="s">
        <v>108</v>
      </c>
      <c r="B29" s="4" t="n">
        <f aca="false">Assumptions!$B$22</f>
        <v>14</v>
      </c>
    </row>
    <row r="30" customFormat="false" ht="15" hidden="false" customHeight="false" outlineLevel="0" collapsed="false">
      <c r="A30" s="0" t="s">
        <v>129</v>
      </c>
      <c r="B30" s="0" t="n">
        <f aca="false">SUM(C21:L21)</f>
        <v>87478.2912243334</v>
      </c>
    </row>
    <row r="31" customFormat="false" ht="15" hidden="false" customHeight="false" outlineLevel="0" collapsed="false">
      <c r="A31" s="0" t="s">
        <v>130</v>
      </c>
      <c r="B31" s="0" t="n">
        <f aca="false">L19</f>
        <v>32881.7992479663</v>
      </c>
    </row>
    <row r="32" customFormat="false" ht="15" hidden="false" customHeight="false" outlineLevel="0" collapsed="false">
      <c r="A32" s="0" t="s">
        <v>131</v>
      </c>
      <c r="B32" s="0" t="n">
        <f aca="false">IF(B27&gt;B28,B31*(1+B28/100)/((B27-B28)/100),B31*B29)</f>
        <v>476786.089095512</v>
      </c>
    </row>
    <row r="33" customFormat="false" ht="15" hidden="false" customHeight="false" outlineLevel="0" collapsed="false">
      <c r="A33" s="0" t="s">
        <v>132</v>
      </c>
      <c r="B33" s="0" t="n">
        <f aca="false">B31*B29</f>
        <v>460345.189471529</v>
      </c>
    </row>
    <row r="34" customFormat="false" ht="15" hidden="false" customHeight="false" outlineLevel="0" collapsed="false">
      <c r="A34" s="0" t="s">
        <v>133</v>
      </c>
      <c r="B34" s="0" t="n">
        <f aca="false">MAX(0,MIN(B32,B33))</f>
        <v>460345.189471529</v>
      </c>
    </row>
    <row r="35" customFormat="false" ht="15" hidden="false" customHeight="false" outlineLevel="0" collapsed="false">
      <c r="A35" s="0" t="s">
        <v>134</v>
      </c>
      <c r="B35" s="0" t="n">
        <f aca="false">B34/(1+B27/100)^L4</f>
        <v>203603.963185653</v>
      </c>
    </row>
    <row r="36" customFormat="false" ht="15" hidden="false" customHeight="false" outlineLevel="0" collapsed="false">
      <c r="A36" s="0" t="s">
        <v>135</v>
      </c>
      <c r="B36" s="0" t="n">
        <f aca="false">B30+B35</f>
        <v>291082.254409987</v>
      </c>
    </row>
    <row r="37" customFormat="false" ht="15" hidden="false" customHeight="false" outlineLevel="0" collapsed="false">
      <c r="A37" s="0" t="s">
        <v>136</v>
      </c>
      <c r="B37" s="0" t="n">
        <f aca="false">B36+Assumptions!$B$5-Assumptions!$B$4</f>
        <v>96982.2544099867</v>
      </c>
    </row>
    <row r="38" customFormat="false" ht="15" hidden="false" customHeight="false" outlineLevel="0" collapsed="false">
      <c r="A38" s="0" t="s">
        <v>137</v>
      </c>
      <c r="B38" s="0" t="n">
        <f aca="false">B37/Assumptions!$B$3*Assumptions!$B$10</f>
        <v>137.856793759754</v>
      </c>
    </row>
    <row r="39" customFormat="false" ht="15" hidden="false" customHeight="false" outlineLevel="0" collapsed="false">
      <c r="A39" s="0" t="s">
        <v>138</v>
      </c>
      <c r="B39" s="4" t="n">
        <f aca="false">B38/Assumptions!$B$2-1</f>
        <v>-0.950870707854685</v>
      </c>
    </row>
    <row r="41" customFormat="false" ht="15" hidden="false" customHeight="false" outlineLevel="0" collapsed="false">
      <c r="A41" s="0" t="s">
        <v>139</v>
      </c>
      <c r="B41" s="0" t="n">
        <f aca="false">SUMPRODUCT(-C10:L10/(1+$B$27/100)^C4:L4)</f>
        <v>0</v>
      </c>
    </row>
    <row r="42" customFormat="false" ht="15" hidden="false" customHeight="false" outlineLevel="0" collapsed="false">
      <c r="A42" s="0" t="s">
        <v>140</v>
      </c>
      <c r="B42" s="0" t="n">
        <f aca="false">IF(B27&gt;B28,-L10*(1+B28/100)/((B27-B28)/100),-L10*20)/(1+B27/100)^L4</f>
        <v>0</v>
      </c>
    </row>
    <row r="43" customFormat="false" ht="15" hidden="false" customHeight="false" outlineLevel="0" collapsed="false">
      <c r="A43" s="0" t="s">
        <v>141</v>
      </c>
      <c r="B43" s="0" t="n">
        <f aca="false">(B37+B41+B42)/Assumptions!$B$3*Assumptions!$B$10</f>
        <v>137.856793759754</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247222.416568043</v>
      </c>
    </row>
    <row r="47" customFormat="false" ht="15" hidden="false" customHeight="false" outlineLevel="0" collapsed="false">
      <c r="A47" s="0" t="s">
        <v>143</v>
      </c>
      <c r="B47" s="0" t="n">
        <f aca="false">(SUMPRODUCT(C19:L19/(1+B45/100)^C4:L4)+B46/(1+B45/100)^L4+Assumptions!$B$5-Assumptions!$B$4)/Assumptions!$B$3*Assumptions!$B$10</f>
        <v>-121.010967827142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Assumptions!C27</f>
        <v>17</v>
      </c>
      <c r="D5" s="4" t="n">
        <f aca="false">Assumptions!D27</f>
        <v>9</v>
      </c>
      <c r="E5" s="4" t="n">
        <f aca="false">Assumptions!E27</f>
        <v>7</v>
      </c>
      <c r="F5" s="4" t="n">
        <f aca="false">Assumptions!F27</f>
        <v>5</v>
      </c>
      <c r="G5" s="4" t="n">
        <f aca="false">Assumptions!G27</f>
        <v>4</v>
      </c>
      <c r="H5" s="4" t="n">
        <f aca="false">Assumptions!H27</f>
        <v>3</v>
      </c>
      <c r="I5" s="4" t="n">
        <f aca="false">Assumptions!I27</f>
        <v>2.5</v>
      </c>
      <c r="J5" s="4" t="n">
        <f aca="false">Assumptions!J27</f>
        <v>2.5</v>
      </c>
      <c r="K5" s="4" t="n">
        <f aca="false">Assumptions!K27</f>
        <v>2.5</v>
      </c>
      <c r="L5" s="4" t="n">
        <f aca="false">Assumptions!L27</f>
        <v>2.5</v>
      </c>
    </row>
    <row r="6" customFormat="false" ht="15" hidden="false" customHeight="false" outlineLevel="0" collapsed="false">
      <c r="A6" s="0" t="s">
        <v>37</v>
      </c>
      <c r="B6" s="3" t="n">
        <v>1307560</v>
      </c>
      <c r="C6" s="0" t="n">
        <f aca="false">B6*(1+C5/100)</f>
        <v>1529845.2</v>
      </c>
      <c r="D6" s="0" t="n">
        <f aca="false">C6*(1+D5/100)</f>
        <v>1667531.268</v>
      </c>
      <c r="E6" s="0" t="n">
        <f aca="false">D6*(1+E5/100)</f>
        <v>1784258.45676</v>
      </c>
      <c r="F6" s="0" t="n">
        <f aca="false">E6*(1+F5/100)</f>
        <v>1873471.379598</v>
      </c>
      <c r="G6" s="0" t="n">
        <f aca="false">F6*(1+G5/100)</f>
        <v>1948410.23478192</v>
      </c>
      <c r="H6" s="0" t="n">
        <f aca="false">G6*(1+H5/100)</f>
        <v>2006862.54182538</v>
      </c>
      <c r="I6" s="0" t="n">
        <f aca="false">H6*(1+I5/100)</f>
        <v>2057034.10537101</v>
      </c>
      <c r="J6" s="0" t="n">
        <f aca="false">I6*(1+J5/100)</f>
        <v>2108459.95800529</v>
      </c>
      <c r="K6" s="0" t="n">
        <f aca="false">J6*(1+K5/100)</f>
        <v>2161171.45695542</v>
      </c>
      <c r="L6" s="0" t="n">
        <f aca="false">K6*(1+L5/100)</f>
        <v>2215200.74337931</v>
      </c>
    </row>
    <row r="7" customFormat="false" ht="15" hidden="false" customHeight="false" outlineLevel="0" collapsed="false">
      <c r="A7" s="0" t="s">
        <v>100</v>
      </c>
      <c r="C7" s="4" t="n">
        <f aca="false">Assumptions!C28</f>
        <v>11</v>
      </c>
      <c r="D7" s="4" t="n">
        <f aca="false">Assumptions!D28</f>
        <v>11.5</v>
      </c>
      <c r="E7" s="4" t="n">
        <f aca="false">Assumptions!E28</f>
        <v>12</v>
      </c>
      <c r="F7" s="4" t="n">
        <f aca="false">Assumptions!F28</f>
        <v>11.8</v>
      </c>
      <c r="G7" s="4" t="n">
        <f aca="false">Assumptions!G28</f>
        <v>11.5</v>
      </c>
      <c r="H7" s="4" t="n">
        <f aca="false">Assumptions!H28</f>
        <v>11</v>
      </c>
      <c r="I7" s="4" t="n">
        <f aca="false">Assumptions!I28</f>
        <v>10.75</v>
      </c>
      <c r="J7" s="4" t="n">
        <f aca="false">Assumptions!J28</f>
        <v>10.5</v>
      </c>
      <c r="K7" s="4" t="n">
        <f aca="false">Assumptions!K28</f>
        <v>10.5</v>
      </c>
      <c r="L7" s="4" t="n">
        <f aca="false">Assumptions!L28</f>
        <v>10.5</v>
      </c>
    </row>
    <row r="8" customFormat="false" ht="15" hidden="false" customHeight="false" outlineLevel="0" collapsed="false">
      <c r="A8" s="0" t="s">
        <v>43</v>
      </c>
      <c r="C8" s="0" t="n">
        <f aca="false">C6*C7/100</f>
        <v>168282.972</v>
      </c>
      <c r="D8" s="0" t="n">
        <f aca="false">D6*D7/100</f>
        <v>191766.09582</v>
      </c>
      <c r="E8" s="0" t="n">
        <f aca="false">E6*E7/100</f>
        <v>214111.0148112</v>
      </c>
      <c r="F8" s="0" t="n">
        <f aca="false">F6*F7/100</f>
        <v>221069.622792564</v>
      </c>
      <c r="G8" s="0" t="n">
        <f aca="false">G6*G7/100</f>
        <v>224067.176999921</v>
      </c>
      <c r="H8" s="0" t="n">
        <f aca="false">H6*H7/100</f>
        <v>220754.879600792</v>
      </c>
      <c r="I8" s="0" t="n">
        <f aca="false">I6*I7/100</f>
        <v>221131.166327384</v>
      </c>
      <c r="J8" s="0" t="n">
        <f aca="false">J6*J7/100</f>
        <v>221388.295590555</v>
      </c>
      <c r="K8" s="0" t="n">
        <f aca="false">K6*K7/100</f>
        <v>226923.002980319</v>
      </c>
      <c r="L8" s="0" t="n">
        <f aca="false">L6*L7/100</f>
        <v>232596.078054827</v>
      </c>
    </row>
    <row r="9" customFormat="false" ht="15" hidden="false" customHeight="false" outlineLevel="0" collapsed="false">
      <c r="A9" s="0" t="s">
        <v>101</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116</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117</v>
      </c>
      <c r="C11" s="0" t="n">
        <f aca="false">C8+C10+C24</f>
        <v>164458.359</v>
      </c>
      <c r="D11" s="0" t="n">
        <f aca="false">D8+D10+D24</f>
        <v>187597.26765</v>
      </c>
      <c r="E11" s="0" t="n">
        <f aca="false">E8+E10+E24</f>
        <v>209650.3686693</v>
      </c>
      <c r="F11" s="0" t="n">
        <f aca="false">F8+F10+F24</f>
        <v>216385.944343569</v>
      </c>
      <c r="G11" s="0" t="n">
        <f aca="false">G8+G10+G24</f>
        <v>219196.151412966</v>
      </c>
      <c r="H11" s="0" t="n">
        <f aca="false">H8+H10+H24</f>
        <v>215737.723246228</v>
      </c>
      <c r="I11" s="0" t="n">
        <f aca="false">I8+I10+I24</f>
        <v>215988.581063956</v>
      </c>
      <c r="J11" s="0" t="n">
        <f aca="false">J8+J10+J24</f>
        <v>216117.145695542</v>
      </c>
      <c r="K11" s="0" t="n">
        <f aca="false">K8+K10+K24</f>
        <v>221520.074337931</v>
      </c>
      <c r="L11" s="0" t="n">
        <f aca="false">L8+L10+L24</f>
        <v>227058.076196379</v>
      </c>
    </row>
    <row r="12" customFormat="false" ht="15" hidden="false" customHeight="false" outlineLevel="0" collapsed="false">
      <c r="A12" s="0" t="s">
        <v>118</v>
      </c>
      <c r="C12" s="4" t="n">
        <f aca="false">-C6*Assumptions!C31/100</f>
        <v>-45895.356</v>
      </c>
      <c r="D12" s="4" t="n">
        <f aca="false">-D6*Assumptions!D31/100</f>
        <v>-58363.59438</v>
      </c>
      <c r="E12" s="4" t="n">
        <f aca="false">-E6*Assumptions!E31/100</f>
        <v>-71370.3382704</v>
      </c>
      <c r="F12" s="4" t="n">
        <f aca="false">-F6*Assumptions!F31/100</f>
        <v>-80559.269322714</v>
      </c>
      <c r="G12" s="4" t="n">
        <f aca="false">-G6*Assumptions!G31/100</f>
        <v>-85730.0503304045</v>
      </c>
      <c r="H12" s="4" t="n">
        <f aca="false">-H6*Assumptions!H31/100</f>
        <v>-88301.9518403166</v>
      </c>
      <c r="I12" s="4" t="n">
        <f aca="false">-I6*Assumptions!I31/100</f>
        <v>-88452.4665309535</v>
      </c>
      <c r="J12" s="4" t="n">
        <f aca="false">-J6*Assumptions!J31/100</f>
        <v>-90663.7781942274</v>
      </c>
      <c r="K12" s="4" t="n">
        <f aca="false">-K6*Assumptions!K31/100</f>
        <v>-92930.372649083</v>
      </c>
      <c r="L12" s="4" t="n">
        <f aca="false">-L6*Assumptions!L31/100</f>
        <v>-95253.6319653101</v>
      </c>
    </row>
    <row r="13" customFormat="false" ht="15" hidden="false" customHeight="false" outlineLevel="0" collapsed="false">
      <c r="A13" s="0" t="s">
        <v>119</v>
      </c>
      <c r="C13" s="0" t="n">
        <f aca="false">C11+C12</f>
        <v>118563.003</v>
      </c>
      <c r="D13" s="0" t="n">
        <f aca="false">D11+D12</f>
        <v>129233.67327</v>
      </c>
      <c r="E13" s="0" t="n">
        <f aca="false">E11+E12</f>
        <v>138280.0303989</v>
      </c>
      <c r="F13" s="0" t="n">
        <f aca="false">F11+F12</f>
        <v>135826.675020855</v>
      </c>
      <c r="G13" s="0" t="n">
        <f aca="false">G11+G12</f>
        <v>133466.101082562</v>
      </c>
      <c r="H13" s="0" t="n">
        <f aca="false">H11+H12</f>
        <v>127435.771405912</v>
      </c>
      <c r="I13" s="0" t="n">
        <f aca="false">I11+I12</f>
        <v>127536.114533003</v>
      </c>
      <c r="J13" s="0" t="n">
        <f aca="false">J11+J12</f>
        <v>125453.367501315</v>
      </c>
      <c r="K13" s="0" t="n">
        <f aca="false">K11+K12</f>
        <v>128589.701688847</v>
      </c>
      <c r="L13" s="0" t="n">
        <f aca="false">L11+L12</f>
        <v>131804.444231069</v>
      </c>
    </row>
    <row r="14" customFormat="false" ht="15" hidden="false" customHeight="false" outlineLevel="0" collapsed="false">
      <c r="A14" s="0" t="s">
        <v>105</v>
      </c>
      <c r="C14" s="4" t="n">
        <f aca="false">Assumptions!C33</f>
        <v>30</v>
      </c>
      <c r="D14" s="4" t="n">
        <f aca="false">Assumptions!D33</f>
        <v>30</v>
      </c>
      <c r="E14" s="4" t="n">
        <f aca="false">Assumptions!E33</f>
        <v>30</v>
      </c>
      <c r="F14" s="4" t="n">
        <f aca="false">Assumptions!F33</f>
        <v>30</v>
      </c>
      <c r="G14" s="4" t="n">
        <f aca="false">Assumptions!G33</f>
        <v>30</v>
      </c>
      <c r="H14" s="4" t="n">
        <f aca="false">Assumptions!H33</f>
        <v>30</v>
      </c>
      <c r="I14" s="4" t="n">
        <f aca="false">Assumptions!I33</f>
        <v>30</v>
      </c>
      <c r="J14" s="4" t="n">
        <f aca="false">Assumptions!J33</f>
        <v>30</v>
      </c>
      <c r="K14" s="4" t="n">
        <f aca="false">Assumptions!K33</f>
        <v>30</v>
      </c>
      <c r="L14" s="4" t="n">
        <f aca="false">Assumptions!L33</f>
        <v>30</v>
      </c>
    </row>
    <row r="15" customFormat="false" ht="15" hidden="false" customHeight="false" outlineLevel="0" collapsed="false">
      <c r="A15" s="0" t="s">
        <v>120</v>
      </c>
      <c r="C15" s="0" t="n">
        <f aca="false">C13-MAX(0,C13)*C14/100</f>
        <v>82994.1021</v>
      </c>
      <c r="D15" s="0" t="n">
        <f aca="false">D13-MAX(0,D13)*D14/100</f>
        <v>90463.571289</v>
      </c>
      <c r="E15" s="0" t="n">
        <f aca="false">E13-MAX(0,E13)*E14/100</f>
        <v>96796.02127923</v>
      </c>
      <c r="F15" s="0" t="n">
        <f aca="false">F13-MAX(0,F13)*F14/100</f>
        <v>95078.6725145985</v>
      </c>
      <c r="G15" s="0" t="n">
        <f aca="false">G13-MAX(0,G13)*G14/100</f>
        <v>93426.2707577931</v>
      </c>
      <c r="H15" s="0" t="n">
        <f aca="false">H13-MAX(0,H13)*H14/100</f>
        <v>89205.0399841381</v>
      </c>
      <c r="I15" s="0" t="n">
        <f aca="false">I13-MAX(0,I13)*I14/100</f>
        <v>89275.2801731019</v>
      </c>
      <c r="J15" s="0" t="n">
        <f aca="false">J13-MAX(0,J13)*J14/100</f>
        <v>87817.3572509202</v>
      </c>
      <c r="K15" s="0" t="n">
        <f aca="false">K13-MAX(0,K13)*K14/100</f>
        <v>90012.7911821932</v>
      </c>
      <c r="L15" s="0" t="n">
        <f aca="false">L13-MAX(0,L13)*L14/100</f>
        <v>92263.1109617481</v>
      </c>
    </row>
    <row r="16" customFormat="false" ht="15" hidden="false" customHeight="false" outlineLevel="0" collapsed="false">
      <c r="A16" s="0" t="s">
        <v>121</v>
      </c>
      <c r="C16" s="0" t="n">
        <f aca="false">-C12</f>
        <v>45895.356</v>
      </c>
      <c r="D16" s="0" t="n">
        <f aca="false">-D12</f>
        <v>58363.59438</v>
      </c>
      <c r="E16" s="0" t="n">
        <f aca="false">-E12</f>
        <v>71370.3382704</v>
      </c>
      <c r="F16" s="0" t="n">
        <f aca="false">-F12</f>
        <v>80559.269322714</v>
      </c>
      <c r="G16" s="0" t="n">
        <f aca="false">-G12</f>
        <v>85730.0503304045</v>
      </c>
      <c r="H16" s="0" t="n">
        <f aca="false">-H12</f>
        <v>88301.9518403166</v>
      </c>
      <c r="I16" s="0" t="n">
        <f aca="false">-I12</f>
        <v>88452.4665309535</v>
      </c>
      <c r="J16" s="0" t="n">
        <f aca="false">-J12</f>
        <v>90663.7781942274</v>
      </c>
      <c r="K16" s="0" t="n">
        <f aca="false">-K12</f>
        <v>92930.372649083</v>
      </c>
      <c r="L16" s="0" t="n">
        <f aca="false">-L12</f>
        <v>95253.6319653101</v>
      </c>
    </row>
    <row r="17" customFormat="false" ht="15" hidden="false" customHeight="false" outlineLevel="0" collapsed="false">
      <c r="A17" s="0" t="s">
        <v>122</v>
      </c>
      <c r="C17" s="4" t="n">
        <f aca="false">-C6*Assumptions!C32/100</f>
        <v>-149924.8296</v>
      </c>
      <c r="D17" s="4" t="n">
        <f aca="false">-D6*Assumptions!D32/100</f>
        <v>-125064.8451</v>
      </c>
      <c r="E17" s="4" t="n">
        <f aca="false">-E6*Assumptions!E32/100</f>
        <v>-107055.5074056</v>
      </c>
      <c r="F17" s="4" t="n">
        <f aca="false">-F6*Assumptions!F32/100</f>
        <v>-93673.5689799</v>
      </c>
      <c r="G17" s="4" t="n">
        <f aca="false">-G6*Assumptions!G32/100</f>
        <v>-87678.4605651864</v>
      </c>
      <c r="H17" s="4" t="n">
        <f aca="false">-H6*Assumptions!H32/100</f>
        <v>-90308.814382142</v>
      </c>
      <c r="I17" s="4" t="n">
        <f aca="false">-I6*Assumptions!I32/100</f>
        <v>-92566.5347416956</v>
      </c>
      <c r="J17" s="4" t="n">
        <f aca="false">-J6*Assumptions!J32/100</f>
        <v>-94880.6981102379</v>
      </c>
      <c r="K17" s="4" t="n">
        <f aca="false">-K6*Assumptions!K32/100</f>
        <v>-97252.7155629939</v>
      </c>
      <c r="L17" s="4" t="n">
        <f aca="false">-L6*Assumptions!L32/100</f>
        <v>-99684.0334520687</v>
      </c>
    </row>
    <row r="18" customFormat="false" ht="15" hidden="false" customHeight="false" outlineLevel="0" collapsed="false">
      <c r="A18" s="0" t="s">
        <v>123</v>
      </c>
      <c r="C18" s="4" t="n">
        <f aca="false">(C6-B6)*Assumptions!$B$37/100</f>
        <v>-44457.04</v>
      </c>
      <c r="D18" s="4" t="n">
        <f aca="false">(D6-C6)*Assumptions!$B$37/100</f>
        <v>-27537.2136</v>
      </c>
      <c r="E18" s="4" t="n">
        <f aca="false">(E6-D6)*Assumptions!$B$37/100</f>
        <v>-23345.437752</v>
      </c>
      <c r="F18" s="4" t="n">
        <f aca="false">(F6-E6)*Assumptions!$B$37/100</f>
        <v>-17842.5845676</v>
      </c>
      <c r="G18" s="4" t="n">
        <f aca="false">(G6-F6)*Assumptions!$B$37/100</f>
        <v>-14987.771036784</v>
      </c>
      <c r="H18" s="4" t="n">
        <f aca="false">(H6-G6)*Assumptions!$B$37/100</f>
        <v>-11690.4614086915</v>
      </c>
      <c r="I18" s="4" t="n">
        <f aca="false">(I6-H6)*Assumptions!$B$37/100</f>
        <v>-10034.3127091269</v>
      </c>
      <c r="J18" s="4" t="n">
        <f aca="false">(J6-I6)*Assumptions!$B$37/100</f>
        <v>-10285.1705268551</v>
      </c>
      <c r="K18" s="4" t="n">
        <f aca="false">(K6-J6)*Assumptions!$B$37/100</f>
        <v>-10542.2997900264</v>
      </c>
      <c r="L18" s="4" t="n">
        <f aca="false">(L6-K6)*Assumptions!$B$37/100</f>
        <v>-10805.8572847771</v>
      </c>
    </row>
    <row r="19" customFormat="false" ht="15" hidden="false" customHeight="false" outlineLevel="0" collapsed="false">
      <c r="A19" s="0" t="s">
        <v>124</v>
      </c>
      <c r="C19" s="0" t="n">
        <f aca="false">C15+C16+C17+C18</f>
        <v>-65492.4115</v>
      </c>
      <c r="D19" s="0" t="n">
        <f aca="false">D15+D16+D17+D18</f>
        <v>-3774.89303100005</v>
      </c>
      <c r="E19" s="0" t="n">
        <f aca="false">E15+E16+E17+E18</f>
        <v>37765.41439203</v>
      </c>
      <c r="F19" s="0" t="n">
        <f aca="false">F15+F16+F17+F18</f>
        <v>64121.7882898125</v>
      </c>
      <c r="G19" s="0" t="n">
        <f aca="false">G15+G16+G17+G18</f>
        <v>76490.0894862271</v>
      </c>
      <c r="H19" s="0" t="n">
        <f aca="false">H15+H16+H17+H18</f>
        <v>75507.7160336212</v>
      </c>
      <c r="I19" s="0" t="n">
        <f aca="false">I15+I16+I17+I18</f>
        <v>75126.899253233</v>
      </c>
      <c r="J19" s="0" t="n">
        <f aca="false">J15+J16+J17+J18</f>
        <v>73315.2668080546</v>
      </c>
      <c r="K19" s="0" t="n">
        <f aca="false">K15+K16+K17+K18</f>
        <v>75148.148478256</v>
      </c>
      <c r="L19" s="0" t="n">
        <f aca="false">L15+L16+L17+L18</f>
        <v>77026.8521902124</v>
      </c>
    </row>
    <row r="20" customFormat="false" ht="15" hidden="false" customHeight="false" outlineLevel="0" collapsed="false">
      <c r="A20" s="0" t="s">
        <v>125</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126</v>
      </c>
      <c r="C21" s="0" t="n">
        <f aca="false">C19*C20</f>
        <v>-60361.6695852535</v>
      </c>
      <c r="D21" s="0" t="n">
        <f aca="false">D19*D20</f>
        <v>-3206.60284227743</v>
      </c>
      <c r="E21" s="0" t="n">
        <f aca="false">E19*E20</f>
        <v>29566.8487681127</v>
      </c>
      <c r="F21" s="0" t="n">
        <f aca="false">F19*F20</f>
        <v>46268.6334912027</v>
      </c>
      <c r="G21" s="0" t="n">
        <f aca="false">G19*G20</f>
        <v>50869.3839397383</v>
      </c>
      <c r="H21" s="0" t="n">
        <f aca="false">H19*H20</f>
        <v>46282.0838443527</v>
      </c>
      <c r="I21" s="0" t="n">
        <f aca="false">I19*I20</f>
        <v>42441.1650400001</v>
      </c>
      <c r="J21" s="0" t="n">
        <f aca="false">J19*J20</f>
        <v>38173.0194781603</v>
      </c>
      <c r="K21" s="0" t="n">
        <f aca="false">K19*K20</f>
        <v>36062.0690922713</v>
      </c>
      <c r="L21" s="0" t="n">
        <f aca="false">L19*L20</f>
        <v>34067.8532899337</v>
      </c>
    </row>
    <row r="23" customFormat="false" ht="15" hidden="false" customHeight="false" outlineLevel="0" collapsed="false">
      <c r="A23" s="0" t="s">
        <v>102</v>
      </c>
      <c r="C23" s="4" t="n">
        <f aca="false">Assumptions!C30</f>
        <v>0.25</v>
      </c>
      <c r="D23" s="4" t="n">
        <f aca="false">Assumptions!D30</f>
        <v>0.25</v>
      </c>
      <c r="E23" s="4" t="n">
        <f aca="false">Assumptions!E30</f>
        <v>0.25</v>
      </c>
      <c r="F23" s="4" t="n">
        <f aca="false">Assumptions!F30</f>
        <v>0.25</v>
      </c>
      <c r="G23" s="4" t="n">
        <f aca="false">Assumptions!G30</f>
        <v>0.25</v>
      </c>
      <c r="H23" s="4" t="n">
        <f aca="false">Assumptions!H30</f>
        <v>0.25</v>
      </c>
      <c r="I23" s="4" t="n">
        <f aca="false">Assumptions!I30</f>
        <v>0.25</v>
      </c>
      <c r="J23" s="4" t="n">
        <f aca="false">Assumptions!J30</f>
        <v>0.25</v>
      </c>
      <c r="K23" s="4" t="n">
        <f aca="false">Assumptions!K30</f>
        <v>0.25</v>
      </c>
      <c r="L23" s="4" t="n">
        <f aca="false">Assumptions!L30</f>
        <v>0.25</v>
      </c>
    </row>
    <row r="24" customFormat="false" ht="15" hidden="false" customHeight="false" outlineLevel="0" collapsed="false">
      <c r="A24" s="0" t="s">
        <v>127</v>
      </c>
      <c r="C24" s="0" t="n">
        <f aca="false">-C6*C23/100</f>
        <v>-3824.613</v>
      </c>
      <c r="D24" s="0" t="n">
        <f aca="false">-D6*D23/100</f>
        <v>-4168.82817</v>
      </c>
      <c r="E24" s="0" t="n">
        <f aca="false">-E6*E23/100</f>
        <v>-4460.6461419</v>
      </c>
      <c r="F24" s="0" t="n">
        <f aca="false">-F6*F23/100</f>
        <v>-4683.678448995</v>
      </c>
      <c r="G24" s="0" t="n">
        <f aca="false">-G6*G23/100</f>
        <v>-4871.0255869548</v>
      </c>
      <c r="H24" s="0" t="n">
        <f aca="false">-H6*H23/100</f>
        <v>-5017.15635456345</v>
      </c>
      <c r="I24" s="0" t="n">
        <f aca="false">-I6*I23/100</f>
        <v>-5142.58526342753</v>
      </c>
      <c r="J24" s="0" t="n">
        <f aca="false">-J6*J23/100</f>
        <v>-5271.14989501322</v>
      </c>
      <c r="K24" s="0" t="n">
        <f aca="false">-K6*K23/100</f>
        <v>-5402.92864238855</v>
      </c>
      <c r="L24" s="0" t="n">
        <f aca="false">-L6*L23/100</f>
        <v>-5538.00185844826</v>
      </c>
    </row>
    <row r="26" customFormat="false" ht="15" hidden="false" customHeight="false" outlineLevel="0" collapsed="false">
      <c r="A26" s="2" t="s">
        <v>128</v>
      </c>
    </row>
    <row r="27" customFormat="false" ht="15" hidden="false" customHeight="false" outlineLevel="0" collapsed="false">
      <c r="A27" s="0" t="s">
        <v>106</v>
      </c>
      <c r="B27" s="4" t="n">
        <f aca="false">Assumptions!$B$34</f>
        <v>8.5</v>
      </c>
    </row>
    <row r="28" customFormat="false" ht="15" hidden="false" customHeight="false" outlineLevel="0" collapsed="false">
      <c r="A28" s="0" t="s">
        <v>107</v>
      </c>
      <c r="B28" s="4" t="n">
        <f aca="false">Assumptions!$B$35</f>
        <v>2</v>
      </c>
    </row>
    <row r="29" customFormat="false" ht="15" hidden="false" customHeight="false" outlineLevel="0" collapsed="false">
      <c r="A29" s="0" t="s">
        <v>108</v>
      </c>
      <c r="B29" s="4" t="n">
        <f aca="false">Assumptions!$B$36</f>
        <v>14</v>
      </c>
    </row>
    <row r="30" customFormat="false" ht="15" hidden="false" customHeight="false" outlineLevel="0" collapsed="false">
      <c r="A30" s="0" t="s">
        <v>129</v>
      </c>
      <c r="B30" s="0" t="n">
        <f aca="false">SUM(C21:L21)</f>
        <v>260162.784516241</v>
      </c>
    </row>
    <row r="31" customFormat="false" ht="15" hidden="false" customHeight="false" outlineLevel="0" collapsed="false">
      <c r="A31" s="0" t="s">
        <v>130</v>
      </c>
      <c r="B31" s="0" t="n">
        <f aca="false">L19</f>
        <v>77026.8521902124</v>
      </c>
    </row>
    <row r="32" customFormat="false" ht="15" hidden="false" customHeight="false" outlineLevel="0" collapsed="false">
      <c r="A32" s="0" t="s">
        <v>131</v>
      </c>
      <c r="B32" s="0" t="n">
        <f aca="false">IF(B27&gt;B28,B31*(1+B28/100)/((B27-B28)/100),B31*B29)</f>
        <v>1208729.06513872</v>
      </c>
    </row>
    <row r="33" customFormat="false" ht="15" hidden="false" customHeight="false" outlineLevel="0" collapsed="false">
      <c r="A33" s="0" t="s">
        <v>132</v>
      </c>
      <c r="B33" s="0" t="n">
        <f aca="false">B31*B29</f>
        <v>1078375.93066297</v>
      </c>
    </row>
    <row r="34" customFormat="false" ht="15" hidden="false" customHeight="false" outlineLevel="0" collapsed="false">
      <c r="A34" s="0" t="s">
        <v>133</v>
      </c>
      <c r="B34" s="0" t="n">
        <f aca="false">MAX(0,MIN(B32,B33))</f>
        <v>1078375.93066297</v>
      </c>
    </row>
    <row r="35" customFormat="false" ht="15" hidden="false" customHeight="false" outlineLevel="0" collapsed="false">
      <c r="A35" s="0" t="s">
        <v>134</v>
      </c>
      <c r="B35" s="0" t="n">
        <f aca="false">B34/(1+B27/100)^L4</f>
        <v>476949.946059072</v>
      </c>
    </row>
    <row r="36" customFormat="false" ht="15" hidden="false" customHeight="false" outlineLevel="0" collapsed="false">
      <c r="A36" s="0" t="s">
        <v>135</v>
      </c>
      <c r="B36" s="0" t="n">
        <f aca="false">B30+B35</f>
        <v>737112.730575312</v>
      </c>
    </row>
    <row r="37" customFormat="false" ht="15" hidden="false" customHeight="false" outlineLevel="0" collapsed="false">
      <c r="A37" s="0" t="s">
        <v>136</v>
      </c>
      <c r="B37" s="0" t="n">
        <f aca="false">B36+Assumptions!$B$5-Assumptions!$B$4</f>
        <v>543012.730575312</v>
      </c>
    </row>
    <row r="38" customFormat="false" ht="15" hidden="false" customHeight="false" outlineLevel="0" collapsed="false">
      <c r="A38" s="0" t="s">
        <v>137</v>
      </c>
      <c r="B38" s="0" t="n">
        <f aca="false">B37/Assumptions!$B$3*Assumptions!$B$10</f>
        <v>771.873106716862</v>
      </c>
    </row>
    <row r="39" customFormat="false" ht="15" hidden="false" customHeight="false" outlineLevel="0" collapsed="false">
      <c r="A39" s="0" t="s">
        <v>138</v>
      </c>
      <c r="B39" s="4" t="n">
        <f aca="false">B38/Assumptions!$B$2-1</f>
        <v>-0.724920489409529</v>
      </c>
    </row>
    <row r="41" customFormat="false" ht="15" hidden="false" customHeight="false" outlineLevel="0" collapsed="false">
      <c r="A41" s="0" t="s">
        <v>139</v>
      </c>
      <c r="B41" s="0" t="n">
        <f aca="false">SUMPRODUCT(-C10:L10/(1+$B$27/100)^C4:L4)</f>
        <v>0</v>
      </c>
    </row>
    <row r="42" customFormat="false" ht="15" hidden="false" customHeight="false" outlineLevel="0" collapsed="false">
      <c r="A42" s="0" t="s">
        <v>140</v>
      </c>
      <c r="B42" s="0" t="n">
        <f aca="false">IF(B27&gt;B28,-L10*(1+B28/100)/((B27-B28)/100),-L10*20)/(1+B27/100)^L4</f>
        <v>0</v>
      </c>
    </row>
    <row r="43" customFormat="false" ht="15" hidden="false" customHeight="false" outlineLevel="0" collapsed="false">
      <c r="A43" s="0" t="s">
        <v>141</v>
      </c>
      <c r="B43" s="0" t="n">
        <f aca="false">(B37+B41+B42)/Assumptions!$B$3*Assumptions!$B$10</f>
        <v>771.873106716862</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604364.532569359</v>
      </c>
    </row>
    <row r="47" customFormat="false" ht="15" hidden="false" customHeight="false" outlineLevel="0" collapsed="false">
      <c r="A47" s="0" t="s">
        <v>143</v>
      </c>
      <c r="B47" s="0" t="n">
        <f aca="false">(SUMPRODUCT(C19:L19/(1+B45/100)^C4:L4)+B46/(1+B45/100)^L4+Assumptions!$B$5-Assumptions!$B$4)/Assumptions!$B$3*Assumptions!$B$10</f>
        <v>170.94994940527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Assumptions!C41</f>
        <v>20</v>
      </c>
      <c r="D5" s="4" t="n">
        <f aca="false">Assumptions!D41</f>
        <v>14</v>
      </c>
      <c r="E5" s="4" t="n">
        <f aca="false">Assumptions!E41</f>
        <v>11</v>
      </c>
      <c r="F5" s="4" t="n">
        <f aca="false">Assumptions!F41</f>
        <v>8</v>
      </c>
      <c r="G5" s="4" t="n">
        <f aca="false">Assumptions!G41</f>
        <v>6</v>
      </c>
      <c r="H5" s="4" t="n">
        <f aca="false">Assumptions!H41</f>
        <v>4</v>
      </c>
      <c r="I5" s="4" t="n">
        <f aca="false">Assumptions!I41</f>
        <v>3</v>
      </c>
      <c r="J5" s="4" t="n">
        <f aca="false">Assumptions!J41</f>
        <v>3</v>
      </c>
      <c r="K5" s="4" t="n">
        <f aca="false">Assumptions!K41</f>
        <v>2.5</v>
      </c>
      <c r="L5" s="4" t="n">
        <f aca="false">Assumptions!L41</f>
        <v>2.5</v>
      </c>
    </row>
    <row r="6" customFormat="false" ht="15" hidden="false" customHeight="false" outlineLevel="0" collapsed="false">
      <c r="A6" s="0" t="s">
        <v>37</v>
      </c>
      <c r="B6" s="3" t="n">
        <v>1307560</v>
      </c>
      <c r="C6" s="0" t="n">
        <f aca="false">B6*(1+C5/100)</f>
        <v>1569072</v>
      </c>
      <c r="D6" s="0" t="n">
        <f aca="false">C6*(1+D5/100)</f>
        <v>1788742.08</v>
      </c>
      <c r="E6" s="0" t="n">
        <f aca="false">D6*(1+E5/100)</f>
        <v>1985503.7088</v>
      </c>
      <c r="F6" s="0" t="n">
        <f aca="false">E6*(1+F5/100)</f>
        <v>2144344.005504</v>
      </c>
      <c r="G6" s="0" t="n">
        <f aca="false">F6*(1+G5/100)</f>
        <v>2273004.64583424</v>
      </c>
      <c r="H6" s="0" t="n">
        <f aca="false">G6*(1+H5/100)</f>
        <v>2363924.83166761</v>
      </c>
      <c r="I6" s="0" t="n">
        <f aca="false">H6*(1+I5/100)</f>
        <v>2434842.57661764</v>
      </c>
      <c r="J6" s="0" t="n">
        <f aca="false">I6*(1+J5/100)</f>
        <v>2507887.85391617</v>
      </c>
      <c r="K6" s="0" t="n">
        <f aca="false">J6*(1+K5/100)</f>
        <v>2570585.05026407</v>
      </c>
      <c r="L6" s="0" t="n">
        <f aca="false">K6*(1+L5/100)</f>
        <v>2634849.67652067</v>
      </c>
    </row>
    <row r="7" customFormat="false" ht="15" hidden="false" customHeight="false" outlineLevel="0" collapsed="false">
      <c r="A7" s="0" t="s">
        <v>100</v>
      </c>
      <c r="C7" s="4" t="n">
        <f aca="false">Assumptions!C42</f>
        <v>11.5</v>
      </c>
      <c r="D7" s="4" t="n">
        <f aca="false">Assumptions!D42</f>
        <v>13</v>
      </c>
      <c r="E7" s="4" t="n">
        <f aca="false">Assumptions!E42</f>
        <v>14</v>
      </c>
      <c r="F7" s="4" t="n">
        <f aca="false">Assumptions!F42</f>
        <v>14.5</v>
      </c>
      <c r="G7" s="4" t="n">
        <f aca="false">Assumptions!G42</f>
        <v>15</v>
      </c>
      <c r="H7" s="4" t="n">
        <f aca="false">Assumptions!H42</f>
        <v>14.5</v>
      </c>
      <c r="I7" s="4" t="n">
        <f aca="false">Assumptions!I42</f>
        <v>14</v>
      </c>
      <c r="J7" s="4" t="n">
        <f aca="false">Assumptions!J42</f>
        <v>13.5</v>
      </c>
      <c r="K7" s="4" t="n">
        <f aca="false">Assumptions!K42</f>
        <v>13</v>
      </c>
      <c r="L7" s="4" t="n">
        <f aca="false">Assumptions!L42</f>
        <v>13</v>
      </c>
    </row>
    <row r="8" customFormat="false" ht="15" hidden="false" customHeight="false" outlineLevel="0" collapsed="false">
      <c r="A8" s="0" t="s">
        <v>43</v>
      </c>
      <c r="C8" s="0" t="n">
        <f aca="false">C6*C7/100</f>
        <v>180443.28</v>
      </c>
      <c r="D8" s="0" t="n">
        <f aca="false">D6*D7/100</f>
        <v>232536.4704</v>
      </c>
      <c r="E8" s="0" t="n">
        <f aca="false">E6*E7/100</f>
        <v>277970.519232</v>
      </c>
      <c r="F8" s="0" t="n">
        <f aca="false">F6*F7/100</f>
        <v>310929.88079808</v>
      </c>
      <c r="G8" s="0" t="n">
        <f aca="false">G6*G7/100</f>
        <v>340950.696875136</v>
      </c>
      <c r="H8" s="0" t="n">
        <f aca="false">H6*H7/100</f>
        <v>342769.100591804</v>
      </c>
      <c r="I8" s="0" t="n">
        <f aca="false">I6*I7/100</f>
        <v>340877.96072647</v>
      </c>
      <c r="J8" s="0" t="n">
        <f aca="false">J6*J7/100</f>
        <v>338564.860278683</v>
      </c>
      <c r="K8" s="0" t="n">
        <f aca="false">K6*K7/100</f>
        <v>334176.056534329</v>
      </c>
      <c r="L8" s="0" t="n">
        <f aca="false">L6*L7/100</f>
        <v>342530.457947688</v>
      </c>
    </row>
    <row r="9" customFormat="false" ht="15" hidden="false" customHeight="false" outlineLevel="0" collapsed="false">
      <c r="A9" s="0" t="s">
        <v>101</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116</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117</v>
      </c>
      <c r="C11" s="0" t="n">
        <f aca="false">C8+C10+C24</f>
        <v>176520.6</v>
      </c>
      <c r="D11" s="0" t="n">
        <f aca="false">D8+D10+D24</f>
        <v>228064.6152</v>
      </c>
      <c r="E11" s="0" t="n">
        <f aca="false">E8+E10+E24</f>
        <v>273006.75996</v>
      </c>
      <c r="F11" s="0" t="n">
        <f aca="false">F8+F10+F24</f>
        <v>305569.02078432</v>
      </c>
      <c r="G11" s="0" t="n">
        <f aca="false">G8+G10+G24</f>
        <v>335268.185260551</v>
      </c>
      <c r="H11" s="0" t="n">
        <f aca="false">H8+H10+H24</f>
        <v>336859.288512635</v>
      </c>
      <c r="I11" s="0" t="n">
        <f aca="false">I8+I10+I24</f>
        <v>334790.854284925</v>
      </c>
      <c r="J11" s="0" t="n">
        <f aca="false">J8+J10+J24</f>
        <v>332295.140643892</v>
      </c>
      <c r="K11" s="0" t="n">
        <f aca="false">K8+K10+K24</f>
        <v>327749.593908669</v>
      </c>
      <c r="L11" s="0" t="n">
        <f aca="false">L8+L10+L24</f>
        <v>335943.333756386</v>
      </c>
    </row>
    <row r="12" customFormat="false" ht="15" hidden="false" customHeight="false" outlineLevel="0" collapsed="false">
      <c r="A12" s="0" t="s">
        <v>118</v>
      </c>
      <c r="C12" s="4" t="n">
        <f aca="false">-C6*Assumptions!C45/100</f>
        <v>-47072.16</v>
      </c>
      <c r="D12" s="4" t="n">
        <f aca="false">-D6*Assumptions!D45/100</f>
        <v>-60817.23072</v>
      </c>
      <c r="E12" s="4" t="n">
        <f aca="false">-E6*Assumptions!E45/100</f>
        <v>-75449.1409344</v>
      </c>
      <c r="F12" s="4" t="n">
        <f aca="false">-F6*Assumptions!F45/100</f>
        <v>-87918.104225664</v>
      </c>
      <c r="G12" s="4" t="n">
        <f aca="false">-G6*Assumptions!G45/100</f>
        <v>-97739.1997708724</v>
      </c>
      <c r="H12" s="4" t="n">
        <f aca="false">-H6*Assumptions!H45/100</f>
        <v>-101648.767761707</v>
      </c>
      <c r="I12" s="4" t="n">
        <f aca="false">-I6*Assumptions!I45/100</f>
        <v>-104698.230794558</v>
      </c>
      <c r="J12" s="4" t="n">
        <f aca="false">-J6*Assumptions!J45/100</f>
        <v>-107839.177718395</v>
      </c>
      <c r="K12" s="4" t="n">
        <f aca="false">-K6*Assumptions!K45/100</f>
        <v>-110535.157161355</v>
      </c>
      <c r="L12" s="4" t="n">
        <f aca="false">-L6*Assumptions!L45/100</f>
        <v>-113298.536090389</v>
      </c>
    </row>
    <row r="13" customFormat="false" ht="15" hidden="false" customHeight="false" outlineLevel="0" collapsed="false">
      <c r="A13" s="0" t="s">
        <v>119</v>
      </c>
      <c r="C13" s="0" t="n">
        <f aca="false">C11+C12</f>
        <v>129448.44</v>
      </c>
      <c r="D13" s="0" t="n">
        <f aca="false">D11+D12</f>
        <v>167247.38448</v>
      </c>
      <c r="E13" s="0" t="n">
        <f aca="false">E11+E12</f>
        <v>197557.6190256</v>
      </c>
      <c r="F13" s="0" t="n">
        <f aca="false">F11+F12</f>
        <v>217650.916558656</v>
      </c>
      <c r="G13" s="0" t="n">
        <f aca="false">G11+G12</f>
        <v>237528.985489678</v>
      </c>
      <c r="H13" s="0" t="n">
        <f aca="false">H11+H12</f>
        <v>235210.520750927</v>
      </c>
      <c r="I13" s="0" t="n">
        <f aca="false">I11+I12</f>
        <v>230092.623490367</v>
      </c>
      <c r="J13" s="0" t="n">
        <f aca="false">J11+J12</f>
        <v>224455.962925497</v>
      </c>
      <c r="K13" s="0" t="n">
        <f aca="false">K11+K12</f>
        <v>217214.436747314</v>
      </c>
      <c r="L13" s="0" t="n">
        <f aca="false">L11+L12</f>
        <v>222644.797665997</v>
      </c>
    </row>
    <row r="14" customFormat="false" ht="15" hidden="false" customHeight="false" outlineLevel="0" collapsed="false">
      <c r="A14" s="0" t="s">
        <v>105</v>
      </c>
      <c r="C14" s="4" t="n">
        <f aca="false">Assumptions!C47</f>
        <v>30</v>
      </c>
      <c r="D14" s="4" t="n">
        <f aca="false">Assumptions!D47</f>
        <v>30</v>
      </c>
      <c r="E14" s="4" t="n">
        <f aca="false">Assumptions!E47</f>
        <v>30</v>
      </c>
      <c r="F14" s="4" t="n">
        <f aca="false">Assumptions!F47</f>
        <v>30</v>
      </c>
      <c r="G14" s="4" t="n">
        <f aca="false">Assumptions!G47</f>
        <v>30</v>
      </c>
      <c r="H14" s="4" t="n">
        <f aca="false">Assumptions!H47</f>
        <v>30</v>
      </c>
      <c r="I14" s="4" t="n">
        <f aca="false">Assumptions!I47</f>
        <v>30</v>
      </c>
      <c r="J14" s="4" t="n">
        <f aca="false">Assumptions!J47</f>
        <v>30</v>
      </c>
      <c r="K14" s="4" t="n">
        <f aca="false">Assumptions!K47</f>
        <v>30</v>
      </c>
      <c r="L14" s="4" t="n">
        <f aca="false">Assumptions!L47</f>
        <v>30</v>
      </c>
    </row>
    <row r="15" customFormat="false" ht="15" hidden="false" customHeight="false" outlineLevel="0" collapsed="false">
      <c r="A15" s="0" t="s">
        <v>120</v>
      </c>
      <c r="C15" s="0" t="n">
        <f aca="false">C13-MAX(0,C13)*C14/100</f>
        <v>90613.908</v>
      </c>
      <c r="D15" s="0" t="n">
        <f aca="false">D13-MAX(0,D13)*D14/100</f>
        <v>117073.169136</v>
      </c>
      <c r="E15" s="0" t="n">
        <f aca="false">E13-MAX(0,E13)*E14/100</f>
        <v>138290.33331792</v>
      </c>
      <c r="F15" s="0" t="n">
        <f aca="false">F13-MAX(0,F13)*F14/100</f>
        <v>152355.641591059</v>
      </c>
      <c r="G15" s="0" t="n">
        <f aca="false">G13-MAX(0,G13)*G14/100</f>
        <v>166270.289842775</v>
      </c>
      <c r="H15" s="0" t="n">
        <f aca="false">H13-MAX(0,H13)*H14/100</f>
        <v>164647.364525649</v>
      </c>
      <c r="I15" s="0" t="n">
        <f aca="false">I13-MAX(0,I13)*I14/100</f>
        <v>161064.836443257</v>
      </c>
      <c r="J15" s="0" t="n">
        <f aca="false">J13-MAX(0,J13)*J14/100</f>
        <v>157119.174047848</v>
      </c>
      <c r="K15" s="0" t="n">
        <f aca="false">K13-MAX(0,K13)*K14/100</f>
        <v>152050.10572312</v>
      </c>
      <c r="L15" s="0" t="n">
        <f aca="false">L13-MAX(0,L13)*L14/100</f>
        <v>155851.358366198</v>
      </c>
    </row>
    <row r="16" customFormat="false" ht="15" hidden="false" customHeight="false" outlineLevel="0" collapsed="false">
      <c r="A16" s="0" t="s">
        <v>121</v>
      </c>
      <c r="C16" s="0" t="n">
        <f aca="false">-C12</f>
        <v>47072.16</v>
      </c>
      <c r="D16" s="0" t="n">
        <f aca="false">-D12</f>
        <v>60817.23072</v>
      </c>
      <c r="E16" s="0" t="n">
        <f aca="false">-E12</f>
        <v>75449.1409344</v>
      </c>
      <c r="F16" s="0" t="n">
        <f aca="false">-F12</f>
        <v>87918.104225664</v>
      </c>
      <c r="G16" s="0" t="n">
        <f aca="false">-G12</f>
        <v>97739.1997708724</v>
      </c>
      <c r="H16" s="0" t="n">
        <f aca="false">-H12</f>
        <v>101648.767761707</v>
      </c>
      <c r="I16" s="0" t="n">
        <f aca="false">-I12</f>
        <v>104698.230794558</v>
      </c>
      <c r="J16" s="0" t="n">
        <f aca="false">-J12</f>
        <v>107839.177718395</v>
      </c>
      <c r="K16" s="0" t="n">
        <f aca="false">-K12</f>
        <v>110535.157161355</v>
      </c>
      <c r="L16" s="0" t="n">
        <f aca="false">-L12</f>
        <v>113298.536090389</v>
      </c>
    </row>
    <row r="17" customFormat="false" ht="15" hidden="false" customHeight="false" outlineLevel="0" collapsed="false">
      <c r="A17" s="0" t="s">
        <v>122</v>
      </c>
      <c r="C17" s="4" t="n">
        <f aca="false">-C6*Assumptions!C46/100</f>
        <v>-153769.056</v>
      </c>
      <c r="D17" s="4" t="n">
        <f aca="false">-D6*Assumptions!D46/100</f>
        <v>-152043.0768</v>
      </c>
      <c r="E17" s="4" t="n">
        <f aca="false">-E6*Assumptions!E46/100</f>
        <v>-138985.259616</v>
      </c>
      <c r="F17" s="4" t="n">
        <f aca="false">-F6*Assumptions!F46/100</f>
        <v>-128660.64033024</v>
      </c>
      <c r="G17" s="4" t="n">
        <f aca="false">-G6*Assumptions!G46/100</f>
        <v>-113650.232291712</v>
      </c>
      <c r="H17" s="4" t="n">
        <f aca="false">-H6*Assumptions!H46/100</f>
        <v>-113468.391920045</v>
      </c>
      <c r="I17" s="4" t="n">
        <f aca="false">-I6*Assumptions!I46/100</f>
        <v>-109567.915947794</v>
      </c>
      <c r="J17" s="4" t="n">
        <f aca="false">-J6*Assumptions!J46/100</f>
        <v>-112854.953426228</v>
      </c>
      <c r="K17" s="4" t="n">
        <f aca="false">-K6*Assumptions!K46/100</f>
        <v>-115676.327261883</v>
      </c>
      <c r="L17" s="4" t="n">
        <f aca="false">-L6*Assumptions!L46/100</f>
        <v>-118568.23544343</v>
      </c>
    </row>
    <row r="18" customFormat="false" ht="15" hidden="false" customHeight="false" outlineLevel="0" collapsed="false">
      <c r="A18" s="0" t="s">
        <v>123</v>
      </c>
      <c r="C18" s="4" t="n">
        <f aca="false">(C6-B6)*Assumptions!$B$51/100</f>
        <v>-52302.4</v>
      </c>
      <c r="D18" s="4" t="n">
        <f aca="false">(D6-C6)*Assumptions!$B$51/100</f>
        <v>-43934.0160000001</v>
      </c>
      <c r="E18" s="4" t="n">
        <f aca="false">(E6-D6)*Assumptions!$B$51/100</f>
        <v>-39352.3257600001</v>
      </c>
      <c r="F18" s="4" t="n">
        <f aca="false">(F6-E6)*Assumptions!$B$51/100</f>
        <v>-31768.0593408001</v>
      </c>
      <c r="G18" s="4" t="n">
        <f aca="false">(G6-F6)*Assumptions!$B$51/100</f>
        <v>-25732.128066048</v>
      </c>
      <c r="H18" s="4" t="n">
        <f aca="false">(H6-G6)*Assumptions!$B$51/100</f>
        <v>-18184.037166674</v>
      </c>
      <c r="I18" s="4" t="n">
        <f aca="false">(I6-H6)*Assumptions!$B$51/100</f>
        <v>-14183.5489900057</v>
      </c>
      <c r="J18" s="4" t="n">
        <f aca="false">(J6-I6)*Assumptions!$B$51/100</f>
        <v>-14609.0554597058</v>
      </c>
      <c r="K18" s="4" t="n">
        <f aca="false">(K6-J6)*Assumptions!$B$51/100</f>
        <v>-12539.4392695808</v>
      </c>
      <c r="L18" s="4" t="n">
        <f aca="false">(L6-K6)*Assumptions!$B$51/100</f>
        <v>-12852.9252513203</v>
      </c>
    </row>
    <row r="19" customFormat="false" ht="15" hidden="false" customHeight="false" outlineLevel="0" collapsed="false">
      <c r="A19" s="0" t="s">
        <v>124</v>
      </c>
      <c r="C19" s="0" t="n">
        <f aca="false">C15+C16+C17+C18</f>
        <v>-68385.388</v>
      </c>
      <c r="D19" s="0" t="n">
        <f aca="false">D15+D16+D17+D18</f>
        <v>-18086.6929440001</v>
      </c>
      <c r="E19" s="0" t="n">
        <f aca="false">E15+E16+E17+E18</f>
        <v>35401.8888763199</v>
      </c>
      <c r="F19" s="0" t="n">
        <f aca="false">F15+F16+F17+F18</f>
        <v>79845.0461456832</v>
      </c>
      <c r="G19" s="0" t="n">
        <f aca="false">G15+G16+G17+G18</f>
        <v>124627.129255887</v>
      </c>
      <c r="H19" s="0" t="n">
        <f aca="false">H15+H16+H17+H18</f>
        <v>134643.703200637</v>
      </c>
      <c r="I19" s="0" t="n">
        <f aca="false">I15+I16+I17+I18</f>
        <v>142011.602300016</v>
      </c>
      <c r="J19" s="0" t="n">
        <f aca="false">J15+J16+J17+J18</f>
        <v>137494.34288031</v>
      </c>
      <c r="K19" s="0" t="n">
        <f aca="false">K15+K16+K17+K18</f>
        <v>134369.496353011</v>
      </c>
      <c r="L19" s="0" t="n">
        <f aca="false">L15+L16+L17+L18</f>
        <v>137728.733761836</v>
      </c>
    </row>
    <row r="20" customFormat="false" ht="15" hidden="false" customHeight="false" outlineLevel="0" collapsed="false">
      <c r="A20" s="0" t="s">
        <v>125</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126</v>
      </c>
      <c r="C21" s="0" t="n">
        <f aca="false">C19*C20</f>
        <v>-63028.0073732719</v>
      </c>
      <c r="D21" s="0" t="n">
        <f aca="false">D19*D20</f>
        <v>-15363.836941961</v>
      </c>
      <c r="E21" s="0" t="n">
        <f aca="false">E19*E20</f>
        <v>27716.4255010156</v>
      </c>
      <c r="F21" s="0" t="n">
        <f aca="false">F19*F20</f>
        <v>57614.1320249131</v>
      </c>
      <c r="G21" s="0" t="n">
        <f aca="false">G19*G20</f>
        <v>82882.701929204</v>
      </c>
      <c r="H21" s="0" t="n">
        <f aca="false">H19*H20</f>
        <v>82529.1968554749</v>
      </c>
      <c r="I21" s="0" t="n">
        <f aca="false">I19*I20</f>
        <v>80226.0962547373</v>
      </c>
      <c r="J21" s="0" t="n">
        <f aca="false">J19*J20</f>
        <v>71589.1035716765</v>
      </c>
      <c r="K21" s="0" t="n">
        <f aca="false">K19*K20</f>
        <v>64481.1902821272</v>
      </c>
      <c r="L21" s="0" t="n">
        <f aca="false">L19*L20</f>
        <v>60915.4101743598</v>
      </c>
    </row>
    <row r="23" customFormat="false" ht="15" hidden="false" customHeight="false" outlineLevel="0" collapsed="false">
      <c r="A23" s="0" t="s">
        <v>102</v>
      </c>
      <c r="C23" s="4" t="n">
        <f aca="false">Assumptions!C44</f>
        <v>0.25</v>
      </c>
      <c r="D23" s="4" t="n">
        <f aca="false">Assumptions!D44</f>
        <v>0.25</v>
      </c>
      <c r="E23" s="4" t="n">
        <f aca="false">Assumptions!E44</f>
        <v>0.25</v>
      </c>
      <c r="F23" s="4" t="n">
        <f aca="false">Assumptions!F44</f>
        <v>0.25</v>
      </c>
      <c r="G23" s="4" t="n">
        <f aca="false">Assumptions!G44</f>
        <v>0.25</v>
      </c>
      <c r="H23" s="4" t="n">
        <f aca="false">Assumptions!H44</f>
        <v>0.25</v>
      </c>
      <c r="I23" s="4" t="n">
        <f aca="false">Assumptions!I44</f>
        <v>0.25</v>
      </c>
      <c r="J23" s="4" t="n">
        <f aca="false">Assumptions!J44</f>
        <v>0.25</v>
      </c>
      <c r="K23" s="4" t="n">
        <f aca="false">Assumptions!K44</f>
        <v>0.25</v>
      </c>
      <c r="L23" s="4" t="n">
        <f aca="false">Assumptions!L44</f>
        <v>0.25</v>
      </c>
    </row>
    <row r="24" customFormat="false" ht="15" hidden="false" customHeight="false" outlineLevel="0" collapsed="false">
      <c r="A24" s="0" t="s">
        <v>127</v>
      </c>
      <c r="C24" s="0" t="n">
        <f aca="false">-C6*C23/100</f>
        <v>-3922.68</v>
      </c>
      <c r="D24" s="0" t="n">
        <f aca="false">-D6*D23/100</f>
        <v>-4471.8552</v>
      </c>
      <c r="E24" s="0" t="n">
        <f aca="false">-E6*E23/100</f>
        <v>-4963.759272</v>
      </c>
      <c r="F24" s="0" t="n">
        <f aca="false">-F6*F23/100</f>
        <v>-5360.86001376</v>
      </c>
      <c r="G24" s="0" t="n">
        <f aca="false">-G6*G23/100</f>
        <v>-5682.5116145856</v>
      </c>
      <c r="H24" s="0" t="n">
        <f aca="false">-H6*H23/100</f>
        <v>-5909.81207916903</v>
      </c>
      <c r="I24" s="0" t="n">
        <f aca="false">-I6*I23/100</f>
        <v>-6087.1064415441</v>
      </c>
      <c r="J24" s="0" t="n">
        <f aca="false">-J6*J23/100</f>
        <v>-6269.71963479042</v>
      </c>
      <c r="K24" s="0" t="n">
        <f aca="false">-K6*K23/100</f>
        <v>-6426.46262566018</v>
      </c>
      <c r="L24" s="0" t="n">
        <f aca="false">-L6*L23/100</f>
        <v>-6587.12419130169</v>
      </c>
    </row>
    <row r="26" customFormat="false" ht="15" hidden="false" customHeight="false" outlineLevel="0" collapsed="false">
      <c r="A26" s="2" t="s">
        <v>128</v>
      </c>
    </row>
    <row r="27" customFormat="false" ht="15" hidden="false" customHeight="false" outlineLevel="0" collapsed="false">
      <c r="A27" s="0" t="s">
        <v>106</v>
      </c>
      <c r="B27" s="4" t="n">
        <f aca="false">Assumptions!$B$48</f>
        <v>8.5</v>
      </c>
    </row>
    <row r="28" customFormat="false" ht="15" hidden="false" customHeight="false" outlineLevel="0" collapsed="false">
      <c r="A28" s="0" t="s">
        <v>107</v>
      </c>
      <c r="B28" s="4" t="n">
        <f aca="false">Assumptions!$B$49</f>
        <v>2.5</v>
      </c>
    </row>
    <row r="29" customFormat="false" ht="15" hidden="false" customHeight="false" outlineLevel="0" collapsed="false">
      <c r="A29" s="0" t="s">
        <v>108</v>
      </c>
      <c r="B29" s="4" t="n">
        <f aca="false">Assumptions!$B$50</f>
        <v>14</v>
      </c>
    </row>
    <row r="30" customFormat="false" ht="15" hidden="false" customHeight="false" outlineLevel="0" collapsed="false">
      <c r="A30" s="0" t="s">
        <v>129</v>
      </c>
      <c r="B30" s="0" t="n">
        <f aca="false">SUM(C21:L21)</f>
        <v>449562.412278276</v>
      </c>
    </row>
    <row r="31" customFormat="false" ht="15" hidden="false" customHeight="false" outlineLevel="0" collapsed="false">
      <c r="A31" s="0" t="s">
        <v>130</v>
      </c>
      <c r="B31" s="0" t="n">
        <f aca="false">L19</f>
        <v>137728.733761836</v>
      </c>
    </row>
    <row r="32" customFormat="false" ht="15" hidden="false" customHeight="false" outlineLevel="0" collapsed="false">
      <c r="A32" s="0" t="s">
        <v>131</v>
      </c>
      <c r="B32" s="0" t="n">
        <f aca="false">IF(B27&gt;B28,B31*(1+B28/100)/((B27-B28)/100),B31*B29)</f>
        <v>2352865.86843137</v>
      </c>
    </row>
    <row r="33" customFormat="false" ht="15" hidden="false" customHeight="false" outlineLevel="0" collapsed="false">
      <c r="A33" s="0" t="s">
        <v>132</v>
      </c>
      <c r="B33" s="0" t="n">
        <f aca="false">B31*B29</f>
        <v>1928202.27266571</v>
      </c>
    </row>
    <row r="34" customFormat="false" ht="15" hidden="false" customHeight="false" outlineLevel="0" collapsed="false">
      <c r="A34" s="0" t="s">
        <v>133</v>
      </c>
      <c r="B34" s="0" t="n">
        <f aca="false">MAX(0,MIN(B32,B33))</f>
        <v>1928202.27266571</v>
      </c>
    </row>
    <row r="35" customFormat="false" ht="15" hidden="false" customHeight="false" outlineLevel="0" collapsed="false">
      <c r="A35" s="0" t="s">
        <v>134</v>
      </c>
      <c r="B35" s="0" t="n">
        <f aca="false">B34/(1+B27/100)^L4</f>
        <v>852815.742441037</v>
      </c>
    </row>
    <row r="36" customFormat="false" ht="15" hidden="false" customHeight="false" outlineLevel="0" collapsed="false">
      <c r="A36" s="0" t="s">
        <v>135</v>
      </c>
      <c r="B36" s="0" t="n">
        <f aca="false">B30+B35</f>
        <v>1302378.15471931</v>
      </c>
    </row>
    <row r="37" customFormat="false" ht="15" hidden="false" customHeight="false" outlineLevel="0" collapsed="false">
      <c r="A37" s="0" t="s">
        <v>136</v>
      </c>
      <c r="B37" s="0" t="n">
        <f aca="false">B36+Assumptions!$B$5-Assumptions!$B$4</f>
        <v>1108278.15471931</v>
      </c>
    </row>
    <row r="38" customFormat="false" ht="15" hidden="false" customHeight="false" outlineLevel="0" collapsed="false">
      <c r="A38" s="0" t="s">
        <v>137</v>
      </c>
      <c r="B38" s="0" t="n">
        <f aca="false">B37/Assumptions!$B$3*Assumptions!$B$10</f>
        <v>1575.37761864863</v>
      </c>
    </row>
    <row r="39" customFormat="false" ht="15" hidden="false" customHeight="false" outlineLevel="0" collapsed="false">
      <c r="A39" s="0" t="s">
        <v>138</v>
      </c>
      <c r="B39" s="4" t="n">
        <f aca="false">B38/Assumptions!$B$2-1</f>
        <v>-0.438568204330495</v>
      </c>
    </row>
    <row r="41" customFormat="false" ht="15" hidden="false" customHeight="false" outlineLevel="0" collapsed="false">
      <c r="A41" s="0" t="s">
        <v>139</v>
      </c>
      <c r="B41" s="0" t="n">
        <f aca="false">SUMPRODUCT(-C10:L10/(1+$B$27/100)^C4:L4)</f>
        <v>0</v>
      </c>
    </row>
    <row r="42" customFormat="false" ht="15" hidden="false" customHeight="false" outlineLevel="0" collapsed="false">
      <c r="A42" s="0" t="s">
        <v>140</v>
      </c>
      <c r="B42" s="0" t="n">
        <f aca="false">IF(B27&gt;B28,-L10*(1+B28/100)/((B27-B28)/100),-L10*20)/(1+B27/100)^L4</f>
        <v>0</v>
      </c>
    </row>
    <row r="43" customFormat="false" ht="15" hidden="false" customHeight="false" outlineLevel="0" collapsed="false">
      <c r="A43" s="0" t="s">
        <v>141</v>
      </c>
      <c r="B43" s="0" t="n">
        <f aca="false">(B37+B41+B42)/Assumptions!$B$3*Assumptions!$B$10</f>
        <v>1575.37761864863</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1129375.61684706</v>
      </c>
    </row>
    <row r="47" customFormat="false" ht="15" hidden="false" customHeight="false" outlineLevel="0" collapsed="false">
      <c r="A47" s="0" t="s">
        <v>143</v>
      </c>
      <c r="B47" s="0" t="n">
        <f aca="false">(SUMPRODUCT(C19:L19/(1+B45/100)^C4:L4)+B46/(1+B45/100)^L4+Assumptions!$B$5-Assumptions!$B$4)/Assumptions!$B$3*Assumptions!$B$10</f>
        <v>528.214307284736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146</v>
      </c>
    </row>
    <row r="3" customFormat="false" ht="15" hidden="false" customHeight="false" outlineLevel="0" collapsed="false">
      <c r="A3" s="2" t="s">
        <v>147</v>
      </c>
      <c r="B3" s="2" t="s">
        <v>148</v>
      </c>
      <c r="C3" s="2" t="s">
        <v>138</v>
      </c>
      <c r="D3" s="2" t="s">
        <v>149</v>
      </c>
      <c r="E3" s="2" t="s">
        <v>141</v>
      </c>
      <c r="F3" s="2" t="s">
        <v>150</v>
      </c>
    </row>
    <row r="4" customFormat="false" ht="15" hidden="false" customHeight="false" outlineLevel="0" collapsed="false">
      <c r="A4" s="0" t="s">
        <v>151</v>
      </c>
      <c r="B4" s="4" t="n">
        <f aca="false">DCF_Bear!$B$38</f>
        <v>137.856793759754</v>
      </c>
      <c r="C4" s="0" t="n">
        <f aca="false">B4/Assumptions!$B$2-1</f>
        <v>-0.950870707854685</v>
      </c>
      <c r="D4" s="4" t="n">
        <f aca="false">Assumptions!$B$24</f>
        <v>0.25</v>
      </c>
      <c r="E4" s="4" t="n">
        <f aca="false">DCF_Bear!$B$43</f>
        <v>137.856793759754</v>
      </c>
      <c r="F4" s="4" t="n">
        <f aca="false">DCF_Bear!$B$47</f>
        <v>-121.010967827142</v>
      </c>
    </row>
    <row r="5" customFormat="false" ht="15" hidden="false" customHeight="false" outlineLevel="0" collapsed="false">
      <c r="A5" s="0" t="s">
        <v>152</v>
      </c>
      <c r="B5" s="4" t="n">
        <f aca="false">DCF_Base!$B$38</f>
        <v>771.873106716862</v>
      </c>
      <c r="C5" s="0" t="n">
        <f aca="false">B5/Assumptions!$B$2-1</f>
        <v>-0.724920489409529</v>
      </c>
      <c r="D5" s="4" t="n">
        <f aca="false">Assumptions!$B$38</f>
        <v>0.5</v>
      </c>
      <c r="E5" s="4" t="n">
        <f aca="false">DCF_Base!$B$43</f>
        <v>771.873106716862</v>
      </c>
      <c r="F5" s="4" t="n">
        <f aca="false">DCF_Base!$B$47</f>
        <v>170.94994940527</v>
      </c>
    </row>
    <row r="6" customFormat="false" ht="15" hidden="false" customHeight="false" outlineLevel="0" collapsed="false">
      <c r="A6" s="0" t="s">
        <v>153</v>
      </c>
      <c r="B6" s="4" t="n">
        <f aca="false">DCF_Bull!$B$38</f>
        <v>1575.37761864863</v>
      </c>
      <c r="C6" s="0" t="n">
        <f aca="false">B6/Assumptions!$B$2-1</f>
        <v>-0.438568204330495</v>
      </c>
      <c r="D6" s="4" t="n">
        <f aca="false">Assumptions!$B$52</f>
        <v>0.25</v>
      </c>
      <c r="E6" s="4" t="n">
        <f aca="false">DCF_Bull!$B$43</f>
        <v>1575.37761864863</v>
      </c>
      <c r="F6" s="4" t="n">
        <f aca="false">DCF_Bull!$B$47</f>
        <v>528.214307284736</v>
      </c>
    </row>
    <row r="8" customFormat="false" ht="15" hidden="false" customHeight="false" outlineLevel="0" collapsed="false">
      <c r="A8" s="0" t="s">
        <v>154</v>
      </c>
      <c r="B8" s="0" t="n">
        <f aca="false">SUMPRODUCT(B4:B6,D4:D6)</f>
        <v>814.245156460527</v>
      </c>
    </row>
    <row r="9" customFormat="false" ht="15" hidden="false" customHeight="false" outlineLevel="0" collapsed="false">
      <c r="A9" s="0" t="s">
        <v>155</v>
      </c>
      <c r="B9" s="0" t="n">
        <f aca="false">SUMPRODUCT(E4:E6,D4:D6)</f>
        <v>814.245156460527</v>
      </c>
    </row>
    <row r="10" customFormat="false" ht="15" hidden="false" customHeight="false" outlineLevel="0" collapsed="false">
      <c r="A10" s="0" t="s">
        <v>156</v>
      </c>
      <c r="B10" s="0" t="n">
        <f aca="false">1-Assumptions!$B$2/B8</f>
        <v>-2.44613655695234</v>
      </c>
    </row>
    <row r="11" customFormat="false" ht="15" hidden="false" customHeight="false" outlineLevel="0" collapsed="false">
      <c r="A11" s="0" t="s">
        <v>157</v>
      </c>
      <c r="B11" s="0" t="str">
        <f aca="false">IF(ABS(B9-B8)&gt;0.01*ABS(B8),(Assumptions!$B$2-B8)/(B9-B8)*100,"n/a")</f>
        <v>n/a</v>
      </c>
    </row>
    <row r="12" customFormat="false" ht="15" hidden="false" customHeight="false" outlineLevel="0" collapsed="false">
      <c r="A12" s="0" t="s">
        <v>158</v>
      </c>
      <c r="B12" s="0" t="n">
        <f aca="false">SUMPRODUCT(F4:F6,D4:D6)</f>
        <v>187.275809567034</v>
      </c>
    </row>
    <row r="14" customFormat="false" ht="15" hidden="false" customHeight="false" outlineLevel="0" collapsed="false">
      <c r="A14" s="2" t="s">
        <v>159</v>
      </c>
      <c r="C14" s="0" t="s">
        <v>160</v>
      </c>
    </row>
    <row r="15" customFormat="false" ht="15" hidden="false" customHeight="false" outlineLevel="0" collapsed="false">
      <c r="A15" s="0" t="s">
        <v>161</v>
      </c>
      <c r="B15" s="0" t="n">
        <f aca="false">(SUMPRODUCT(DCF_Base!$C$19:$L$19/(1+$C$15/100)^DCF_Base!$C$4:$L$4)+MAX(0,MIN(IF($C$15&gt;DCF_Base!$B$28,DCF_Base!$L$19*(1+DCF_Base!$B$28/100)/(($C$15-DCF_Base!$B$28)/100),DCF_Base!$L$19*DCF_Base!$B$29),DCF_Base!$L$19*DCF_Base!$B$29))/(1+$C$15/100)^DCF_Base!$L$4+Assumptions!$B$5-Assumptions!$B$4)/Assumptions!$B$3*Assumptions!$B$10</f>
        <v>771.873106716862</v>
      </c>
      <c r="C15" s="3" t="n">
        <v>8.5</v>
      </c>
    </row>
    <row r="16" customFormat="false" ht="15" hidden="false" customHeight="false" outlineLevel="0" collapsed="false">
      <c r="A16" s="0" t="s">
        <v>162</v>
      </c>
      <c r="B16" s="0" t="n">
        <f aca="false">(SUMPRODUCT(DCF_Base!$C$19:$L$19/(1+$C$16/100)^DCF_Base!$C$4:$L$4)+MAX(0,MIN(IF($C$16&gt;DCF_Base!$B$28,DCF_Base!$L$19*(1+DCF_Base!$B$28/100)/(($C$16-DCF_Base!$B$28)/100),DCF_Base!$L$19*DCF_Base!$B$29),DCF_Base!$L$19*DCF_Base!$B$29))/(1+$C$16/100)^DCF_Base!$L$4+Assumptions!$B$5-Assumptions!$B$4)/Assumptions!$B$3*Assumptions!$B$10</f>
        <v>728.51136461467</v>
      </c>
      <c r="C16" s="3" t="n">
        <v>9</v>
      </c>
    </row>
    <row r="17" customFormat="false" ht="15" hidden="false" customHeight="false" outlineLevel="0" collapsed="false">
      <c r="A17" s="0" t="s">
        <v>163</v>
      </c>
      <c r="B17" s="0" t="n">
        <f aca="false">(SUMPRODUCT(DCF_Base!$C$19:$L$19/(1+$C$17/100)^DCF_Base!$C$4:$L$4)+MAX(0,MIN(IF($C$17&gt;DCF_Base!$B$28,DCF_Base!$L$19*(1+DCF_Base!$B$28/100)/(($C$17-DCF_Base!$B$28)/100),DCF_Base!$L$19*DCF_Base!$B$29),DCF_Base!$L$19*DCF_Base!$B$29))/(1+$C$17/100)^DCF_Base!$L$4+Assumptions!$B$5-Assumptions!$B$4)/Assumptions!$B$3*Assumptions!$B$10</f>
        <v>594.866340719714</v>
      </c>
      <c r="C17" s="3" t="n">
        <v>10</v>
      </c>
    </row>
    <row r="18" customFormat="false" ht="15" hidden="false" customHeight="false" outlineLevel="0" collapsed="false">
      <c r="A18" s="0" t="s">
        <v>164</v>
      </c>
      <c r="B18" s="0" t="n">
        <f aca="false">(SUMPRODUCT(DCF_Base!$C$19:$L$19/(1+$C$18/100)^DCF_Base!$C$4:$L$4)+MAX(0,MIN(IF($C$18&gt;DCF_Base!$B$28,DCF_Base!$L$19*(1+DCF_Base!$B$28/100)/(($C$18-DCF_Base!$B$28)/100),DCF_Base!$L$19*DCF_Base!$B$29),DCF_Base!$L$19*DCF_Base!$B$29))/(1+$C$18/100)^DCF_Base!$L$4+Assumptions!$B$5-Assumptions!$B$4)/Assumptions!$B$3*Assumptions!$B$10</f>
        <v>471.073425374786</v>
      </c>
      <c r="C18" s="3" t="n">
        <v>11</v>
      </c>
    </row>
    <row r="19" customFormat="false" ht="15" hidden="false" customHeight="false" outlineLevel="0" collapsed="false">
      <c r="A19" s="0" t="s">
        <v>165</v>
      </c>
      <c r="B19" s="0" t="n">
        <f aca="false">(SUMPRODUCT(DCF_Base!$C$19:$L$19/(1+$C$19/100)^DCF_Base!$C$4:$L$4)+MAX(0,MIN(IF($C$19&gt;DCF_Base!$B$28,DCF_Base!$L$19*(1+DCF_Base!$B$28/100)/(($C$19-DCF_Base!$B$28)/100),DCF_Base!$L$19*DCF_Base!$B$29),DCF_Base!$L$19*DCF_Base!$B$29))/(1+$C$19/100)^DCF_Base!$L$4+Assumptions!$B$5-Assumptions!$B$4)/Assumptions!$B$3*Assumptions!$B$10</f>
        <v>372.656374760184</v>
      </c>
      <c r="C19" s="3" t="n">
        <v>12</v>
      </c>
    </row>
    <row r="20" customFormat="false" ht="15" hidden="false" customHeight="false" outlineLevel="0" collapsed="false">
      <c r="A20" s="0" t="s">
        <v>166</v>
      </c>
      <c r="B20" s="0" t="n">
        <f aca="false">(SUMPRODUCT(DCF_Base!$C$19:$L$19/(1+$C$20/100)^DCF_Base!$C$4:$L$4)+MAX(0,MIN(IF($C$20&gt;DCF_Base!$B$28,DCF_Base!$L$19*(1+DCF_Base!$B$28/100)/(($C$20-DCF_Base!$B$28)/100),DCF_Base!$L$19*DCF_Base!$B$29),DCF_Base!$L$19*DCF_Base!$B$29))/(1+$C$20/100)^DCF_Base!$L$4+Assumptions!$B$5-Assumptions!$B$4)/Assumptions!$B$3*Assumptions!$B$10</f>
        <v>170.94994940527</v>
      </c>
      <c r="C20" s="3" t="n">
        <v>15</v>
      </c>
    </row>
    <row r="22" customFormat="false" ht="15" hidden="false" customHeight="false" outlineLevel="0" collapsed="false">
      <c r="A22" s="2" t="s">
        <v>167</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6.5</v>
      </c>
      <c r="B24" s="0" t="n">
        <f aca="false">(SUMPRODUCT(DCF_Base!$C$19:$L$19/(1+$A$24/100)^DCF_Base!$C$4:$L$4)+MAX(0,MIN(IF($A$24&gt;$B$23,DCF_Base!$L$19*(1+$B$23/100)/(($A$24-$B$23)/100),DCF_Base!$L$19*DCF_Base!$B$29),DCF_Base!$L$19*DCF_Base!$B$29))/(1+$A$24/100)^DCF_Base!$L$4+Assumptions!$B$5-Assumptions!$B$4)/Assumptions!$B$3*Assumptions!$B$10</f>
        <v>967.382188350876</v>
      </c>
      <c r="C24" s="0" t="n">
        <f aca="false">(SUMPRODUCT(DCF_Base!$C$19:$L$19/(1+$A$24/100)^DCF_Base!$C$4:$L$4)+MAX(0,MIN(IF($A$24&gt;$C$23,DCF_Base!$L$19*(1+$C$23/100)/(($A$24-$C$23)/100),DCF_Base!$L$19*DCF_Base!$B$29),DCF_Base!$L$19*DCF_Base!$B$29))/(1+$A$24/100)^DCF_Base!$L$4+Assumptions!$B$5-Assumptions!$B$4)/Assumptions!$B$3*Assumptions!$B$10</f>
        <v>967.382188350876</v>
      </c>
      <c r="D24" s="0" t="n">
        <f aca="false">(SUMPRODUCT(DCF_Base!$C$19:$L$19/(1+$A$24/100)^DCF_Base!$C$4:$L$4)+MAX(0,MIN(IF($A$24&gt;$D$23,DCF_Base!$L$19*(1+$D$23/100)/(($A$24-$D$23)/100),DCF_Base!$L$19*DCF_Base!$B$29),DCF_Base!$L$19*DCF_Base!$B$29))/(1+$A$24/100)^DCF_Base!$L$4+Assumptions!$B$5-Assumptions!$B$4)/Assumptions!$B$3*Assumptions!$B$10</f>
        <v>967.382188350876</v>
      </c>
      <c r="E24" s="0" t="n">
        <f aca="false">(SUMPRODUCT(DCF_Base!$C$19:$L$19/(1+$A$24/100)^DCF_Base!$C$4:$L$4)+MAX(0,MIN(IF($A$24&gt;$E$23,DCF_Base!$L$19*(1+$E$23/100)/(($A$24-$E$23)/100),DCF_Base!$L$19*DCF_Base!$B$29),DCF_Base!$L$19*DCF_Base!$B$29))/(1+$A$24/100)^DCF_Base!$L$4+Assumptions!$B$5-Assumptions!$B$4)/Assumptions!$B$3*Assumptions!$B$10</f>
        <v>967.382188350876</v>
      </c>
      <c r="F24" s="0" t="n">
        <f aca="false">(SUMPRODUCT(DCF_Base!$C$19:$L$19/(1+$A$24/100)^DCF_Base!$C$4:$L$4)+MAX(0,MIN(IF($A$24&gt;$F$23,DCF_Base!$L$19*(1+$F$23/100)/(($A$24-$F$23)/100),DCF_Base!$L$19*DCF_Base!$B$29),DCF_Base!$L$19*DCF_Base!$B$29))/(1+$A$24/100)^DCF_Base!$L$4+Assumptions!$B$5-Assumptions!$B$4)/Assumptions!$B$3*Assumptions!$B$10</f>
        <v>967.382188350876</v>
      </c>
    </row>
    <row r="25" customFormat="false" ht="15" hidden="false" customHeight="false" outlineLevel="0" collapsed="false">
      <c r="A25" s="3" t="n">
        <v>7.5</v>
      </c>
      <c r="B25" s="0" t="n">
        <f aca="false">(SUMPRODUCT(DCF_Base!$C$19:$L$19/(1+$A$25/100)^DCF_Base!$C$4:$L$4)+MAX(0,MIN(IF($A$25&gt;$B$23,DCF_Base!$L$19*(1+$B$23/100)/(($A$25-$B$23)/100),DCF_Base!$L$19*DCF_Base!$B$29),DCF_Base!$L$19*DCF_Base!$B$29))/(1+$A$25/100)^DCF_Base!$L$4+Assumptions!$B$5-Assumptions!$B$4)/Assumptions!$B$3*Assumptions!$B$10</f>
        <v>864.977826930826</v>
      </c>
      <c r="C25" s="0" t="n">
        <f aca="false">(SUMPRODUCT(DCF_Base!$C$19:$L$19/(1+$A$25/100)^DCF_Base!$C$4:$L$4)+MAX(0,MIN(IF($A$25&gt;$C$23,DCF_Base!$L$19*(1+$C$23/100)/(($A$25-$C$23)/100),DCF_Base!$L$19*DCF_Base!$B$29),DCF_Base!$L$19*DCF_Base!$B$29))/(1+$A$25/100)^DCF_Base!$L$4+Assumptions!$B$5-Assumptions!$B$4)/Assumptions!$B$3*Assumptions!$B$10</f>
        <v>864.977826930826</v>
      </c>
      <c r="D25" s="0" t="n">
        <f aca="false">(SUMPRODUCT(DCF_Base!$C$19:$L$19/(1+$A$25/100)^DCF_Base!$C$4:$L$4)+MAX(0,MIN(IF($A$25&gt;$D$23,DCF_Base!$L$19*(1+$D$23/100)/(($A$25-$D$23)/100),DCF_Base!$L$19*DCF_Base!$B$29),DCF_Base!$L$19*DCF_Base!$B$29))/(1+$A$25/100)^DCF_Base!$L$4+Assumptions!$B$5-Assumptions!$B$4)/Assumptions!$B$3*Assumptions!$B$10</f>
        <v>864.977826930826</v>
      </c>
      <c r="E25" s="0" t="n">
        <f aca="false">(SUMPRODUCT(DCF_Base!$C$19:$L$19/(1+$A$25/100)^DCF_Base!$C$4:$L$4)+MAX(0,MIN(IF($A$25&gt;$E$23,DCF_Base!$L$19*(1+$E$23/100)/(($A$25-$E$23)/100),DCF_Base!$L$19*DCF_Base!$B$29),DCF_Base!$L$19*DCF_Base!$B$29))/(1+$A$25/100)^DCF_Base!$L$4+Assumptions!$B$5-Assumptions!$B$4)/Assumptions!$B$3*Assumptions!$B$10</f>
        <v>864.977826930826</v>
      </c>
      <c r="F25" s="0" t="n">
        <f aca="false">(SUMPRODUCT(DCF_Base!$C$19:$L$19/(1+$A$25/100)^DCF_Base!$C$4:$L$4)+MAX(0,MIN(IF($A$25&gt;$F$23,DCF_Base!$L$19*(1+$F$23/100)/(($A$25-$F$23)/100),DCF_Base!$L$19*DCF_Base!$B$29),DCF_Base!$L$19*DCF_Base!$B$29))/(1+$A$25/100)^DCF_Base!$L$4+Assumptions!$B$5-Assumptions!$B$4)/Assumptions!$B$3*Assumptions!$B$10</f>
        <v>864.977826930826</v>
      </c>
    </row>
    <row r="26" customFormat="false" ht="15" hidden="false" customHeight="false" outlineLevel="0" collapsed="false">
      <c r="A26" s="3" t="n">
        <v>8.5</v>
      </c>
      <c r="B26" s="0" t="n">
        <f aca="false">(SUMPRODUCT(DCF_Base!$C$19:$L$19/(1+$A$26/100)^DCF_Base!$C$4:$L$4)+MAX(0,MIN(IF($A$26&gt;$B$23,DCF_Base!$L$19*(1+$B$23/100)/(($A$26-$B$23)/100),DCF_Base!$L$19*DCF_Base!$B$29),DCF_Base!$L$19*DCF_Base!$B$29))/(1+$A$26/100)^DCF_Base!$L$4+Assumptions!$B$5-Assumptions!$B$4)/Assumptions!$B$3*Assumptions!$B$10</f>
        <v>746.04578368256</v>
      </c>
      <c r="C26" s="0" t="n">
        <f aca="false">(SUMPRODUCT(DCF_Base!$C$19:$L$19/(1+$A$26/100)^DCF_Base!$C$4:$L$4)+MAX(0,MIN(IF($A$26&gt;$C$23,DCF_Base!$L$19*(1+$C$23/100)/(($A$26-$C$23)/100),DCF_Base!$L$19*DCF_Base!$B$29),DCF_Base!$L$19*DCF_Base!$B$29))/(1+$A$26/100)^DCF_Base!$L$4+Assumptions!$B$5-Assumptions!$B$4)/Assumptions!$B$3*Assumptions!$B$10</f>
        <v>771.873106716862</v>
      </c>
      <c r="D26" s="0" t="n">
        <f aca="false">(SUMPRODUCT(DCF_Base!$C$19:$L$19/(1+$A$26/100)^DCF_Base!$C$4:$L$4)+MAX(0,MIN(IF($A$26&gt;$D$23,DCF_Base!$L$19*(1+$D$23/100)/(($A$26-$D$23)/100),DCF_Base!$L$19*DCF_Base!$B$29),DCF_Base!$L$19*DCF_Base!$B$29))/(1+$A$26/100)^DCF_Base!$L$4+Assumptions!$B$5-Assumptions!$B$4)/Assumptions!$B$3*Assumptions!$B$10</f>
        <v>771.873106716862</v>
      </c>
      <c r="E26" s="0" t="n">
        <f aca="false">(SUMPRODUCT(DCF_Base!$C$19:$L$19/(1+$A$26/100)^DCF_Base!$C$4:$L$4)+MAX(0,MIN(IF($A$26&gt;$E$23,DCF_Base!$L$19*(1+$E$23/100)/(($A$26-$E$23)/100),DCF_Base!$L$19*DCF_Base!$B$29),DCF_Base!$L$19*DCF_Base!$B$29))/(1+$A$26/100)^DCF_Base!$L$4+Assumptions!$B$5-Assumptions!$B$4)/Assumptions!$B$3*Assumptions!$B$10</f>
        <v>771.873106716862</v>
      </c>
      <c r="F26" s="0" t="n">
        <f aca="false">(SUMPRODUCT(DCF_Base!$C$19:$L$19/(1+$A$26/100)^DCF_Base!$C$4:$L$4)+MAX(0,MIN(IF($A$26&gt;$F$23,DCF_Base!$L$19*(1+$F$23/100)/(($A$26-$F$23)/100),DCF_Base!$L$19*DCF_Base!$B$29),DCF_Base!$L$19*DCF_Base!$B$29))/(1+$A$26/100)^DCF_Base!$L$4+Assumptions!$B$5-Assumptions!$B$4)/Assumptions!$B$3*Assumptions!$B$10</f>
        <v>771.873106716862</v>
      </c>
    </row>
    <row r="27" customFormat="false" ht="15" hidden="false" customHeight="false" outlineLevel="0" collapsed="false">
      <c r="A27" s="3" t="n">
        <v>9.5</v>
      </c>
      <c r="B27" s="0" t="n">
        <f aca="false">(SUMPRODUCT(DCF_Base!$C$19:$L$19/(1+$A$27/100)^DCF_Base!$C$4:$L$4)+MAX(0,MIN(IF($A$27&gt;$B$23,DCF_Base!$L$19*(1+$B$23/100)/(($A$27-$B$23)/100),DCF_Base!$L$19*DCF_Base!$B$29),DCF_Base!$L$19*DCF_Base!$B$29))/(1+$A$27/100)^DCF_Base!$L$4+Assumptions!$B$5-Assumptions!$B$4)/Assumptions!$B$3*Assumptions!$B$10</f>
        <v>593.571709717577</v>
      </c>
      <c r="C27" s="0" t="n">
        <f aca="false">(SUMPRODUCT(DCF_Base!$C$19:$L$19/(1+$A$27/100)^DCF_Base!$C$4:$L$4)+MAX(0,MIN(IF($A$27&gt;$C$23,DCF_Base!$L$19*(1+$C$23/100)/(($A$27-$C$23)/100),DCF_Base!$L$19*DCF_Base!$B$29),DCF_Base!$L$19*DCF_Base!$B$29))/(1+$A$27/100)^DCF_Base!$L$4+Assumptions!$B$5-Assumptions!$B$4)/Assumptions!$B$3*Assumptions!$B$10</f>
        <v>629.144019641072</v>
      </c>
      <c r="D27" s="0" t="n">
        <f aca="false">(SUMPRODUCT(DCF_Base!$C$19:$L$19/(1+$A$27/100)^DCF_Base!$C$4:$L$4)+MAX(0,MIN(IF($A$27&gt;$D$23,DCF_Base!$L$19*(1+$D$23/100)/(($A$27-$D$23)/100),DCF_Base!$L$19*DCF_Base!$B$29),DCF_Base!$L$19*DCF_Base!$B$29))/(1+$A$27/100)^DCF_Base!$L$4+Assumptions!$B$5-Assumptions!$B$4)/Assumptions!$B$3*Assumptions!$B$10</f>
        <v>669.459304221033</v>
      </c>
      <c r="E27" s="0" t="n">
        <f aca="false">(SUMPRODUCT(DCF_Base!$C$19:$L$19/(1+$A$27/100)^DCF_Base!$C$4:$L$4)+MAX(0,MIN(IF($A$27&gt;$E$23,DCF_Base!$L$19*(1+$E$23/100)/(($A$27-$E$23)/100),DCF_Base!$L$19*DCF_Base!$B$29),DCF_Base!$L$19*DCF_Base!$B$29))/(1+$A$27/100)^DCF_Base!$L$4+Assumptions!$B$5-Assumptions!$B$4)/Assumptions!$B$3*Assumptions!$B$10</f>
        <v>687.131757735537</v>
      </c>
      <c r="F27" s="0" t="n">
        <f aca="false">(SUMPRODUCT(DCF_Base!$C$19:$L$19/(1+$A$27/100)^DCF_Base!$C$4:$L$4)+MAX(0,MIN(IF($A$27&gt;$F$23,DCF_Base!$L$19*(1+$F$23/100)/(($A$27-$F$23)/100),DCF_Base!$L$19*DCF_Base!$B$29),DCF_Base!$L$19*DCF_Base!$B$29))/(1+$A$27/100)^DCF_Base!$L$4+Assumptions!$B$5-Assumptions!$B$4)/Assumptions!$B$3*Assumptions!$B$10</f>
        <v>687.131757735537</v>
      </c>
    </row>
    <row r="28" customFormat="false" ht="15" hidden="false" customHeight="false" outlineLevel="0" collapsed="false">
      <c r="A28" s="3" t="n">
        <v>10.5</v>
      </c>
      <c r="B28" s="0" t="n">
        <f aca="false">(SUMPRODUCT(DCF_Base!$C$19:$L$19/(1+$A$28/100)^DCF_Base!$C$4:$L$4)+MAX(0,MIN(IF($A$28&gt;$B$23,DCF_Base!$L$19*(1+$B$23/100)/(($A$28-$B$23)/100),DCF_Base!$L$19*DCF_Base!$B$29),DCF_Base!$L$19*DCF_Base!$B$29))/(1+$A$28/100)^DCF_Base!$L$4+Assumptions!$B$5-Assumptions!$B$4)/Assumptions!$B$3*Assumptions!$B$10</f>
        <v>474.032070705233</v>
      </c>
      <c r="C28" s="0" t="n">
        <f aca="false">(SUMPRODUCT(DCF_Base!$C$19:$L$19/(1+$A$28/100)^DCF_Base!$C$4:$L$4)+MAX(0,MIN(IF($A$28&gt;$C$23,DCF_Base!$L$19*(1+$C$23/100)/(($A$28-$C$23)/100),DCF_Base!$L$19*DCF_Base!$B$29),DCF_Base!$L$19*DCF_Base!$B$29))/(1+$A$28/100)^DCF_Base!$L$4+Assumptions!$B$5-Assumptions!$B$4)/Assumptions!$B$3*Assumptions!$B$10</f>
        <v>500.100894454539</v>
      </c>
      <c r="D28" s="0" t="n">
        <f aca="false">(SUMPRODUCT(DCF_Base!$C$19:$L$19/(1+$A$28/100)^DCF_Base!$C$4:$L$4)+MAX(0,MIN(IF($A$28&gt;$D$23,DCF_Base!$L$19*(1+$D$23/100)/(($A$28-$D$23)/100),DCF_Base!$L$19*DCF_Base!$B$29),DCF_Base!$L$19*DCF_Base!$B$29))/(1+$A$28/100)^DCF_Base!$L$4+Assumptions!$B$5-Assumptions!$B$4)/Assumptions!$B$3*Assumptions!$B$10</f>
        <v>529.236638644941</v>
      </c>
      <c r="E28" s="0" t="n">
        <f aca="false">(SUMPRODUCT(DCF_Base!$C$19:$L$19/(1+$A$28/100)^DCF_Base!$C$4:$L$4)+MAX(0,MIN(IF($A$28&gt;$E$23,DCF_Base!$L$19*(1+$E$23/100)/(($A$28-$E$23)/100),DCF_Base!$L$19*DCF_Base!$B$29),DCF_Base!$L$19*DCF_Base!$B$29))/(1+$A$28/100)^DCF_Base!$L$4+Assumptions!$B$5-Assumptions!$B$4)/Assumptions!$B$3*Assumptions!$B$10</f>
        <v>562.014350859143</v>
      </c>
      <c r="F28" s="0" t="n">
        <f aca="false">(SUMPRODUCT(DCF_Base!$C$19:$L$19/(1+$A$28/100)^DCF_Base!$C$4:$L$4)+MAX(0,MIN(IF($A$28&gt;$F$23,DCF_Base!$L$19*(1+$F$23/100)/(($A$28-$F$23)/100),DCF_Base!$L$19*DCF_Base!$B$29),DCF_Base!$L$19*DCF_Base!$B$29))/(1+$A$28/100)^DCF_Base!$L$4+Assumptions!$B$5-Assumptions!$B$4)/Assumptions!$B$3*Assumptions!$B$10</f>
        <v>599.162424701905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2026-10-31T11:46:10Z</dcterms:created>
  <dc:creator>openpyxl</dc:creator>
  <dc:description/>
  <dc:language>en-NZ</dc:language>
  <cp:lastModifiedBy/>
  <dcterms:modified xsi:type="dcterms:W3CDTF">2026-10-31T11:46:10Z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