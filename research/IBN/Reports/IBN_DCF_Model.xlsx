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<sst xmlns="http://schemas.openxmlformats.org/spreadsheetml/2006/main" count="374" uniqueCount="176">
  <si>
    <t xml:space="preserve">Ticker</t>
  </si>
  <si>
    <t xml:space="preserve">IBN</t>
  </si>
  <si>
    <t xml:space="preserve">Company</t>
  </si>
  <si>
    <t xml:space="preserve">ICICI Bank Limited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</si>
  <si>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</si>
  <si>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</si>
  <si>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</si>
  <si>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</si>
  <si>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regular close (NYSE)</t>
  </si>
  <si>
    <t xml:space="preserve">Balance sheet date</t>
  </si>
  <si>
    <t xml:space="preserve">2026-03-31</t>
  </si>
  <si>
    <t xml:space="preserve">Model</t>
  </si>
  <si>
    <t xml:space="preserve">Bank FCFE at cost of equity (engine route), net debt zero, retention on tangible common equity</t>
  </si>
  <si>
    <t xml:space="preserve">Currency (model)</t>
  </si>
  <si>
    <t xml:space="preserve">INR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</si>
  <si>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</si>
  <si>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</si>
  <si>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</si>
  <si>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</si>
  <si>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</si>
  <si>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</si>
  <si>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</si>
  <si>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2026-10-03T22:59:58Z</t>
  </si>
  <si>
    <t xml:space="preserve">Drivers file</t>
  </si>
  <si>
    <t xml:space="preserve">IBN_Drivers.json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</si>
  <si>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</si>
  <si>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</si>
  <si>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</si>
  <si>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ICICI Bank is valued as a bank: free cash flow to equity (net profit to common less the tangible equity retained to fund balance-sheet growth at today's capital ratio) discounted at a 12.5% INR cost of equity, with deposits and borrowings treated as operating funding (net debt = 0). The judgment that matters is ROTE vs cost of equity vs growth: at ~15-16% ROTE and 13-14% growth, about 85% of earnings must be retained, so near-term FCFE is thin and value rests on the long growth runway and the terminal. At the current price the ADR trades at ~2.7x tangible book and ~17x FY26 EPS.
key_risks_to_valuation: Credit-cost normalisation: provisions are ~Rs 56bn on a Rs 16.4trn loan book (~0.35%); a return to 1% is ~4pp of margin, the bulk of the bear case.; NIM under the RBI easing cycle (125bp of repo cuts through FY26): yields reprice faster than term deposits.; Cost of equity and terminal growth in INR: long-duration value; see the sensitivity and required-return grids.; INR/USD: values converted at spot 96.30; continued rupee depreciation lowers the USD value of an ADS independent of operations.; Excess capital: CET1 16.35% vs ~11.9% required is held, not released; a capital return or faster deployment would add value not in base.; Regulatory: RBI group-structure directions (Apr-2026) and subsidiary ownership caps; legacy former-CEO legal inquiries.</t>
  </si>
  <si>
    <t xml:space="preserve">Data sources</t>
  </si>
  <si>
    <t xml:space="preserve">price: Yahoo Finance chart API for IBN at inputs.price_as_of; 52-week range 25.08-33.03. Local cross-check ICICIBANK.NS (52-week range Rs 1,187.6-1,480.0) and INR=X from the same API; see inputs.fx_note.
financials: ICICI Bank 20-F for fiscal 2026 (year to 2026-03-31): selected consolidated income statement, balance sheet, EPS note and book-value-per-share definition, read from research/IBN/Extracted/IBN_20F_FY2026.txt (INR millions, Indian GAAP consolidated). History FY2015-FY2026 and Q1 FY2027 from IBN_Metrics.csv / core_metrics.
qualitative: IBN_Analysis.json (2026-10-04): Q1 FY2027 results, FY27 loan-growth commentary, capital, asset quality, subsidiaries.</t>
  </si>
  <si>
    <t xml:space="preserve">Scenario narrative: bear</t>
  </si>
  <si>
    <t xml:space="preserve">The unsecured-retail cycle turns, credit costs rise to ~1% of loans, NIM compresses toward 3.9% under rate cuts and deposit competition; growth 8-10%, margin 29%, ROTE ~13.5%, barely above the cost of equity.</t>
  </si>
  <si>
    <t xml:space="preserve">Scenario narrative: base</t>
  </si>
  <si>
    <t xml:space="preserve">High-teens loan growth in FY27 becomes ~13-14% net-total-income growth as rate cuts compress yields; credit costs normalise gently from an unusually benign level, taking the pre-tax-to-common margin from 32.9% to 32.0% (ROTE ~15%). Growth fades to 7% by year 10 and 6.5% nominal INR thereafter, with CET1 held near 16.35% (no excess-capital release).</t>
  </si>
  <si>
    <t xml:space="preserve">Scenario narrative: bull</t>
  </si>
  <si>
    <t xml:space="preserve">16-17% loan growth for four years on India's credit runway and HDFC Bank's merger distraction, NIM held ~4.3%, fee and subsidiary income compounding and digital operating leverage lift the margin to 34.5% (ROTE ~17-18%); CET1 run down modestly toward 15%.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</si>
  <si>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</si>
  <si>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</si>
  <si>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</si>
  <si>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</si>
  <si>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</si>
  <si>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</si>
  <si>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</si>
  <si>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</si>
  <si>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</si>
  <si>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</si>
  <si>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</si>
  <si>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</si>
  <si>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</si>
  <si>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</si>
  <si>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</si>
  <si>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</si>
  <si>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</si>
  <si>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</si>
  <si>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</si>
  <si>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</si>
  <si>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</si>
  <si>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</si>
  <si>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</si>
  <si>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</si>
  <si>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</si>
  <si>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</si>
  <si>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</si>
  <si>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BaselRatio</t>
  </si>
  <si>
    <t xml:space="preserve">CET1Ratio</t>
  </si>
  <si>
    <t xml:space="preserve">NetInterestIncome</t>
  </si>
  <si>
    <t xml:space="preserve">NetInterestMargin</t>
  </si>
  <si>
    <t xml:space="preserve">NonControllingInterestProfit</t>
  </si>
  <si>
    <t xml:space="preserve">ProfitForPeriodTotal</t>
  </si>
  <si>
    <t xml:space="preserve">TotalEquityInclNCI</t>
  </si>
  <si>
    <t xml:space="preserve">TotalIncome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</si>
  <si>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</si>
  <si>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</si>
  <si>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</si>
  <si>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</si>
  <si>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</si>
  <si>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</si>
  <si>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</si>
  <si>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</si>
  <si>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</si>
  <si>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</si>
  <si>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</si>
  <si>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</si>
  <si>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</si>
  <si>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</si>
  <si>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</si>
  <si>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</si>
  <si>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</si>
  <si>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</si>
  <si>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</si>
  <si>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</si>
  <si>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</si>
  <si>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</si>
  <si>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INR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</si>
  <si>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</si>
  <si>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</si>
  <si>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</si>
  <si>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</si>
  <si>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</si>
  <si>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</si>
  <si>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</si>
  <si>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</si>
  <si>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</si>
  <si>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</si>
  <si>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</si>
  <si>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</si>
  <si>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</si>
  <si>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</si>
  <si>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</si>
  <si>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</si>
  <si>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</si>
  <si>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</si>
  <si>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</si>
  <si>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</si>
  <si>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</si>
  <si>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</si>
  <si>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</si>
  <si>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</si>
  <si>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</si>
  <si>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</si>
  <si>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IBN owner-FCF component DCF: bear case (millions, INR)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</si>
  <si>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</si>
  <si>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</si>
  <si>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</si>
  <si>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</si>
  <si>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</si>
  <si>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</si>
  <si>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</si>
  <si>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</si>
  <si>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</si>
  <si>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</si>
  <si>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</si>
  <si>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</si>
  <si>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</si>
  <si>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</si>
  <si>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</si>
  <si>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</si>
  <si>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</si>
  <si>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</si>
  <si>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</si>
  <si>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</si>
  <si>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</si>
  <si>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</si>
  <si>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</si>
  <si>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</si>
  <si>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</si>
  <si>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</si>
  <si>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</si>
  <si>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</si>
  <si>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</si>
  <si>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</si>
  <si>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IBN owner-FCF component DCF: base case (millions, INR)</t>
  </si>
  <si>
    <t xml:space="preserve">IBN owner-FCF component DCF: bull case (millions, INR)</t>
  </si>
  <si>
    <t xml:space="preserve">IBN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</si>
  <si>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</si>
  <si>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</si>
  <si>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</si>
  <si>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</si>
  <si>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</si>
  <si>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</si>
  <si>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</si>
  <si>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</si>
  <si>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</si>
  <si>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</si>
  <si>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</si>
  <si>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</si>
  <si>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</si>
  <si>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</si>
  <si>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</si>
  <si>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</si>
  <si>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</si>
  <si>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</si>
  <si>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12.5% (WACC)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</si>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</sst>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27.44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  <c r="AI1" s="2" t="s">
        <v>70</v>
      </c>
      <c r="AJ1" s="2" t="s">
        <v>71</v>
      </c>
    </row>
    <row r="2" customFormat="false" ht="15" hidden="false" customHeight="false" outlineLevel="0" collapsed="false">
      <c r="A2" s="0" t="s">
        <v>72</v>
      </c>
      <c r="B2" s="0" t="n">
        <v>902162.3</v>
      </c>
      <c r="I2" s="0" t="n">
        <v>122468.7</v>
      </c>
      <c r="J2" s="0" t="n">
        <v>13.6</v>
      </c>
      <c r="M2" s="0" t="n">
        <v>12446.3</v>
      </c>
      <c r="O2" s="0" t="n">
        <v>847045.4</v>
      </c>
      <c r="P2" s="0" t="n">
        <v>8260791.7</v>
      </c>
      <c r="Q2" s="0" t="n">
        <v>7388688.1</v>
      </c>
      <c r="R2" s="0" t="n">
        <v>2112520</v>
      </c>
      <c r="T2" s="0" t="n">
        <v>6376.97</v>
      </c>
      <c r="U2" s="0" t="n">
        <v>94.4</v>
      </c>
      <c r="AA2" s="0" t="s">
        <v>18</v>
      </c>
      <c r="AB2" s="0" t="s">
        <v>14</v>
      </c>
      <c r="AG2" s="0" t="n">
        <v>6954.333</v>
      </c>
      <c r="AH2" s="0" t="n">
        <v>129422.985</v>
      </c>
      <c r="AI2" s="0" t="n">
        <v>872103.589</v>
      </c>
      <c r="AJ2" s="0" t="n">
        <v>902162.318</v>
      </c>
    </row>
    <row r="3" customFormat="false" ht="15" hidden="false" customHeight="false" outlineLevel="0" collapsed="false">
      <c r="A3" s="0" t="s">
        <v>73</v>
      </c>
      <c r="B3" s="0" t="n">
        <v>1013958.5</v>
      </c>
      <c r="I3" s="0" t="n">
        <v>101799.6</v>
      </c>
      <c r="J3" s="0" t="n">
        <v>10</v>
      </c>
      <c r="K3" s="0" t="n">
        <v>15.93</v>
      </c>
      <c r="M3" s="0" t="n">
        <v>8483.9</v>
      </c>
      <c r="O3" s="0" t="n">
        <v>941107.1</v>
      </c>
      <c r="P3" s="0" t="n">
        <v>9187562</v>
      </c>
      <c r="Q3" s="0" t="n">
        <v>8212898.4</v>
      </c>
      <c r="R3" s="0" t="n">
        <v>2203776.6</v>
      </c>
      <c r="T3" s="0" t="n">
        <v>6396.25</v>
      </c>
      <c r="U3" s="0" t="n">
        <v>142.3</v>
      </c>
      <c r="AA3" s="0" t="s">
        <v>18</v>
      </c>
      <c r="AB3" s="0" t="s">
        <v>14</v>
      </c>
      <c r="AG3" s="0" t="n">
        <v>7469.331</v>
      </c>
      <c r="AH3" s="0" t="n">
        <v>109268.916</v>
      </c>
      <c r="AI3" s="0" t="n">
        <v>974663.574</v>
      </c>
      <c r="AJ3" s="0" t="n">
        <v>1013958.46</v>
      </c>
    </row>
    <row r="4" customFormat="false" ht="15" hidden="false" customHeight="false" outlineLevel="0" collapsed="false">
      <c r="A4" s="0" t="s">
        <v>74</v>
      </c>
      <c r="B4" s="0" t="n">
        <v>1133976.3</v>
      </c>
      <c r="I4" s="0" t="n">
        <v>101883.8</v>
      </c>
      <c r="J4" s="0" t="n">
        <v>9</v>
      </c>
      <c r="K4" s="0" t="n">
        <v>15.91</v>
      </c>
      <c r="M4" s="0" t="n">
        <v>13167.1</v>
      </c>
      <c r="O4" s="0" t="n">
        <v>1046320</v>
      </c>
      <c r="P4" s="0" t="n">
        <v>9860426.6</v>
      </c>
      <c r="Q4" s="0" t="n">
        <v>8765453.6</v>
      </c>
      <c r="R4" s="0" t="n">
        <v>1882867.6</v>
      </c>
      <c r="T4" s="0" t="n">
        <v>6406.92</v>
      </c>
      <c r="U4" s="0" t="n">
        <v>180.9</v>
      </c>
      <c r="AA4" s="0" t="s">
        <v>18</v>
      </c>
      <c r="AB4" s="0" t="s">
        <v>14</v>
      </c>
      <c r="AG4" s="0" t="n">
        <v>11519.45</v>
      </c>
      <c r="AH4" s="0" t="n">
        <v>113403.295</v>
      </c>
      <c r="AI4" s="0" t="n">
        <v>1094973.083</v>
      </c>
      <c r="AJ4" s="0" t="n">
        <v>1133976.307</v>
      </c>
    </row>
    <row r="5" customFormat="false" ht="15" hidden="false" customHeight="false" outlineLevel="0" collapsed="false">
      <c r="A5" s="0" t="s">
        <v>75</v>
      </c>
      <c r="B5" s="0" t="n">
        <v>1189691</v>
      </c>
      <c r="I5" s="0" t="n">
        <v>77121.9</v>
      </c>
      <c r="J5" s="0" t="n">
        <v>6.5</v>
      </c>
      <c r="K5" s="0" t="n">
        <v>12.02</v>
      </c>
      <c r="M5" s="0" t="n">
        <v>10421.4</v>
      </c>
      <c r="O5" s="0" t="n">
        <v>1106297</v>
      </c>
      <c r="P5" s="0" t="n">
        <v>11242810.4</v>
      </c>
      <c r="Q5" s="0" t="n">
        <v>10076431.6</v>
      </c>
      <c r="R5" s="0" t="n">
        <v>2294018.3</v>
      </c>
      <c r="T5" s="0" t="n">
        <v>6427.99</v>
      </c>
      <c r="U5" s="0" t="n">
        <v>131.1</v>
      </c>
      <c r="AA5" s="0" t="s">
        <v>18</v>
      </c>
      <c r="AB5" s="0" t="s">
        <v>14</v>
      </c>
      <c r="AG5" s="0" t="n">
        <v>13873.582</v>
      </c>
      <c r="AH5" s="0" t="n">
        <v>90995.447</v>
      </c>
      <c r="AI5" s="0" t="n">
        <v>1166378.831</v>
      </c>
      <c r="AJ5" s="0" t="n">
        <v>1189691.015</v>
      </c>
    </row>
    <row r="6" customFormat="false" ht="15" hidden="false" customHeight="false" outlineLevel="0" collapsed="false">
      <c r="A6" s="0" t="s">
        <v>76</v>
      </c>
      <c r="B6" s="0" t="n">
        <v>1313065</v>
      </c>
      <c r="I6" s="0" t="n">
        <v>42542.4</v>
      </c>
      <c r="J6" s="0" t="n">
        <v>3.2</v>
      </c>
      <c r="K6" s="0" t="n">
        <v>6.61</v>
      </c>
      <c r="M6" s="0" t="n">
        <v>11481.5</v>
      </c>
      <c r="O6" s="0" t="n">
        <v>1142534.1</v>
      </c>
      <c r="P6" s="0" t="n">
        <v>12387938.9</v>
      </c>
      <c r="Q6" s="0" t="n">
        <v>11179599.5</v>
      </c>
      <c r="R6" s="0" t="n">
        <v>2103241.2</v>
      </c>
      <c r="T6" s="0" t="n">
        <v>6446.24</v>
      </c>
      <c r="U6" s="0" t="n">
        <v>79.4</v>
      </c>
      <c r="AA6" s="0" t="s">
        <v>18</v>
      </c>
      <c r="AB6" s="0" t="s">
        <v>14</v>
      </c>
      <c r="AC6" s="0" t="n">
        <v>16.89</v>
      </c>
      <c r="AE6" s="0" t="n">
        <v>328041.1</v>
      </c>
      <c r="AG6" s="0" t="n">
        <v>14349.219</v>
      </c>
      <c r="AH6" s="0" t="n">
        <v>56891.606</v>
      </c>
      <c r="AI6" s="0" t="n">
        <v>1208339.426</v>
      </c>
      <c r="AJ6" s="0" t="n">
        <v>1313064.993</v>
      </c>
    </row>
    <row r="7" customFormat="false" ht="15" hidden="false" customHeight="false" outlineLevel="0" collapsed="false">
      <c r="A7" s="0" t="s">
        <v>77</v>
      </c>
      <c r="B7" s="0" t="n">
        <v>1497861</v>
      </c>
      <c r="I7" s="0" t="n">
        <v>95663.1</v>
      </c>
      <c r="J7" s="0" t="n">
        <v>6.4</v>
      </c>
      <c r="K7" s="0" t="n">
        <v>14.81</v>
      </c>
      <c r="M7" s="0" t="n">
        <v>18734.5</v>
      </c>
      <c r="O7" s="0" t="n">
        <v>1229600.6</v>
      </c>
      <c r="P7" s="0" t="n">
        <v>13772922.3</v>
      </c>
      <c r="Q7" s="0" t="n">
        <v>12475374.1</v>
      </c>
      <c r="R7" s="0" t="n">
        <v>2138517.8</v>
      </c>
      <c r="T7" s="0" t="n">
        <v>6472.77</v>
      </c>
      <c r="U7" s="0" t="n">
        <v>114.1</v>
      </c>
      <c r="AA7" s="0" t="s">
        <v>18</v>
      </c>
      <c r="AB7" s="0" t="s">
        <v>14</v>
      </c>
      <c r="AC7" s="0" t="n">
        <v>16.11</v>
      </c>
      <c r="AE7" s="0" t="n">
        <v>401702.5</v>
      </c>
      <c r="AG7" s="0" t="n">
        <v>16591.602</v>
      </c>
      <c r="AH7" s="0" t="n">
        <v>112254.68</v>
      </c>
      <c r="AI7" s="0" t="n">
        <v>1297548.268</v>
      </c>
      <c r="AJ7" s="0" t="n">
        <v>1497861.031</v>
      </c>
    </row>
    <row r="8" customFormat="false" ht="15" hidden="false" customHeight="false" outlineLevel="0" collapsed="false">
      <c r="A8" s="0" t="s">
        <v>78</v>
      </c>
      <c r="B8" s="0" t="n">
        <v>1613364.8</v>
      </c>
      <c r="I8" s="0" t="n">
        <v>183843.2</v>
      </c>
      <c r="J8" s="0" t="n">
        <v>11.4</v>
      </c>
      <c r="K8" s="0" t="n">
        <v>27.26</v>
      </c>
      <c r="M8" s="0" t="n">
        <v>16882.1</v>
      </c>
      <c r="O8" s="0" t="n">
        <v>1575875</v>
      </c>
      <c r="P8" s="0" t="n">
        <v>15738122.4</v>
      </c>
      <c r="Q8" s="0" t="n">
        <v>14066364</v>
      </c>
      <c r="R8" s="0" t="n">
        <v>1438999.4</v>
      </c>
      <c r="T8" s="0" t="n">
        <v>6915.99</v>
      </c>
      <c r="U8" s="0" t="n">
        <v>77.6</v>
      </c>
      <c r="AA8" s="0" t="s">
        <v>18</v>
      </c>
      <c r="AB8" s="0" t="s">
        <v>14</v>
      </c>
      <c r="AE8" s="0" t="n">
        <v>465035.7</v>
      </c>
      <c r="AG8" s="0" t="n">
        <v>19796.467</v>
      </c>
      <c r="AH8" s="0" t="n">
        <v>203639.652</v>
      </c>
      <c r="AI8" s="0" t="n">
        <v>1671758.398</v>
      </c>
      <c r="AJ8" s="0" t="n">
        <v>1613364.776</v>
      </c>
    </row>
    <row r="9" customFormat="false" ht="15" hidden="false" customHeight="false" outlineLevel="0" collapsed="false">
      <c r="A9" s="0" t="s">
        <v>79</v>
      </c>
      <c r="B9" s="0" t="n">
        <v>1575363.2</v>
      </c>
      <c r="I9" s="0" t="n">
        <v>251101</v>
      </c>
      <c r="J9" s="0" t="n">
        <v>15.9</v>
      </c>
      <c r="K9" s="0" t="n">
        <v>36.21</v>
      </c>
      <c r="M9" s="0" t="n">
        <v>18599.7</v>
      </c>
      <c r="O9" s="0" t="n">
        <v>1820524.9</v>
      </c>
      <c r="P9" s="0" t="n">
        <v>17526373.8</v>
      </c>
      <c r="Q9" s="0" t="n">
        <v>15646040</v>
      </c>
      <c r="R9" s="0" t="n">
        <v>1616026.8</v>
      </c>
      <c r="T9" s="0" t="n">
        <v>6948.77</v>
      </c>
      <c r="U9" s="0" t="n">
        <v>2669.3</v>
      </c>
      <c r="AA9" s="0" t="s">
        <v>18</v>
      </c>
      <c r="AB9" s="0" t="s">
        <v>14</v>
      </c>
      <c r="AC9" s="0" t="n">
        <v>19.16</v>
      </c>
      <c r="AE9" s="0" t="n">
        <v>542402</v>
      </c>
      <c r="AG9" s="0" t="n">
        <v>14281.645</v>
      </c>
      <c r="AH9" s="0" t="n">
        <v>265382.605</v>
      </c>
      <c r="AI9" s="0" t="n">
        <v>1880333.808</v>
      </c>
      <c r="AJ9" s="0" t="n">
        <v>1575363.168</v>
      </c>
    </row>
    <row r="10" customFormat="false" ht="15" hidden="false" customHeight="false" outlineLevel="0" collapsed="false">
      <c r="A10" s="0" t="s">
        <v>80</v>
      </c>
      <c r="B10" s="0" t="n">
        <v>1861788</v>
      </c>
      <c r="I10" s="0" t="n">
        <v>340366.4</v>
      </c>
      <c r="J10" s="0" t="n">
        <v>18.3</v>
      </c>
      <c r="K10" s="0" t="n">
        <v>48.86</v>
      </c>
      <c r="M10" s="0" t="n">
        <v>24676.8</v>
      </c>
      <c r="O10" s="0" t="n">
        <v>2144977.9</v>
      </c>
      <c r="P10" s="0" t="n">
        <v>19584905</v>
      </c>
      <c r="Q10" s="0" t="n">
        <v>17373059.6</v>
      </c>
      <c r="R10" s="0" t="n">
        <v>1890618.1</v>
      </c>
      <c r="T10" s="0" t="n">
        <v>6982.82</v>
      </c>
      <c r="U10" s="0" t="n">
        <v>5180.5</v>
      </c>
      <c r="AA10" s="0" t="s">
        <v>18</v>
      </c>
      <c r="AB10" s="0" t="s">
        <v>14</v>
      </c>
      <c r="AE10" s="0" t="n">
        <v>705234.2</v>
      </c>
      <c r="AG10" s="0" t="n">
        <v>14246.738</v>
      </c>
      <c r="AH10" s="0" t="n">
        <v>354613.146</v>
      </c>
      <c r="AI10" s="0" t="n">
        <v>2211845.419</v>
      </c>
      <c r="AJ10" s="0" t="n">
        <v>1861788.01</v>
      </c>
    </row>
    <row r="11" customFormat="false" ht="15" hidden="false" customHeight="false" outlineLevel="0" collapsed="false">
      <c r="A11" s="0" t="s">
        <v>81</v>
      </c>
      <c r="B11" s="0" t="n">
        <v>2360377.3</v>
      </c>
      <c r="I11" s="0" t="n">
        <v>442563.7</v>
      </c>
      <c r="J11" s="0" t="n">
        <v>18.7</v>
      </c>
      <c r="K11" s="0" t="n">
        <v>63.19</v>
      </c>
      <c r="M11" s="0" t="n">
        <v>36785.5</v>
      </c>
      <c r="O11" s="0" t="n">
        <v>2561438.3</v>
      </c>
      <c r="P11" s="0" t="n">
        <v>23640630.3</v>
      </c>
      <c r="Q11" s="0" t="n">
        <v>20940307.8</v>
      </c>
      <c r="R11" s="0" t="n">
        <v>2074280</v>
      </c>
      <c r="T11" s="0" t="n">
        <v>7022.34</v>
      </c>
      <c r="U11" s="0" t="n">
        <v>7029.1</v>
      </c>
      <c r="AA11" s="0" t="s">
        <v>18</v>
      </c>
      <c r="AB11" s="0" t="s">
        <v>14</v>
      </c>
      <c r="AC11" s="0" t="n">
        <v>16.33</v>
      </c>
      <c r="AD11" s="0" t="n">
        <v>15.6</v>
      </c>
      <c r="AE11" s="0" t="n">
        <v>854077.6</v>
      </c>
      <c r="AG11" s="0" t="n">
        <v>18241.392</v>
      </c>
      <c r="AH11" s="0" t="n">
        <v>460805.127</v>
      </c>
      <c r="AI11" s="0" t="n">
        <v>2700322.508</v>
      </c>
      <c r="AJ11" s="0" t="n">
        <v>2360377.272</v>
      </c>
    </row>
    <row r="12" customFormat="false" ht="15" hidden="false" customHeight="false" outlineLevel="0" collapsed="false">
      <c r="A12" s="0" t="s">
        <v>82</v>
      </c>
      <c r="B12" s="0" t="n">
        <v>2945869.3</v>
      </c>
      <c r="I12" s="0" t="n">
        <v>510292</v>
      </c>
      <c r="J12" s="0" t="n">
        <v>17.3</v>
      </c>
      <c r="K12" s="0" t="n">
        <v>72.41</v>
      </c>
      <c r="M12" s="0" t="n">
        <v>47700.1</v>
      </c>
      <c r="O12" s="0" t="n">
        <v>3139059.1</v>
      </c>
      <c r="P12" s="0" t="n">
        <v>26422414.1</v>
      </c>
      <c r="Q12" s="0" t="n">
        <v>23134987.7</v>
      </c>
      <c r="R12" s="0" t="n">
        <v>2188834.5</v>
      </c>
      <c r="T12" s="0" t="n">
        <v>7121.93</v>
      </c>
      <c r="U12" s="0" t="n">
        <v>7901.5</v>
      </c>
      <c r="AA12" s="0" t="s">
        <v>18</v>
      </c>
      <c r="AB12" s="0" t="s">
        <v>14</v>
      </c>
      <c r="AC12" s="0" t="n">
        <v>16.55</v>
      </c>
      <c r="AD12" s="0" t="n">
        <v>15.94</v>
      </c>
      <c r="AE12" s="0" t="n">
        <v>973038.2</v>
      </c>
      <c r="AG12" s="0" t="n">
        <v>35401.801</v>
      </c>
      <c r="AH12" s="0" t="n">
        <v>545693.756</v>
      </c>
      <c r="AI12" s="0" t="n">
        <v>3287426.422</v>
      </c>
      <c r="AJ12" s="0" t="n">
        <v>2945869.343</v>
      </c>
    </row>
    <row r="13" customFormat="false" ht="15" hidden="false" customHeight="false" outlineLevel="0" collapsed="false">
      <c r="A13" s="0" t="s">
        <v>83</v>
      </c>
      <c r="B13" s="0" t="n">
        <v>3121183.6</v>
      </c>
      <c r="I13" s="0" t="n">
        <v>542077</v>
      </c>
      <c r="J13" s="0" t="n">
        <v>17.4</v>
      </c>
      <c r="K13" s="0" t="n">
        <v>75.89</v>
      </c>
      <c r="M13" s="0" t="n">
        <v>37299.9</v>
      </c>
      <c r="O13" s="0" t="n">
        <v>3630604.2</v>
      </c>
      <c r="P13" s="0" t="n">
        <v>29144979.7</v>
      </c>
      <c r="Q13" s="0" t="n">
        <v>25349265.9</v>
      </c>
      <c r="R13" s="0" t="n">
        <v>2202642.8</v>
      </c>
      <c r="T13" s="0" t="n">
        <v>7160.11</v>
      </c>
      <c r="U13" s="0" t="n">
        <v>9687</v>
      </c>
      <c r="AA13" s="0" t="s">
        <v>18</v>
      </c>
      <c r="AB13" s="0" t="s">
        <v>14</v>
      </c>
      <c r="AC13" s="0" t="n">
        <v>17.18</v>
      </c>
      <c r="AD13" s="0" t="n">
        <v>16.35</v>
      </c>
      <c r="AE13" s="0" t="n">
        <v>1061898.8</v>
      </c>
      <c r="AG13" s="0" t="n">
        <v>37285.479</v>
      </c>
      <c r="AH13" s="0" t="n">
        <v>579362.507</v>
      </c>
      <c r="AI13" s="0" t="n">
        <v>3795713.776</v>
      </c>
      <c r="AJ13" s="0" t="n">
        <v>3121183.593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84</v>
      </c>
      <c r="B1" s="2" t="s">
        <v>85</v>
      </c>
    </row>
    <row r="2" customFormat="false" ht="15" hidden="false" customHeight="false" outlineLevel="0" collapsed="false">
      <c r="A2" s="0" t="s">
        <v>86</v>
      </c>
      <c r="B2" s="3" t="n">
        <v>27.44</v>
      </c>
    </row>
    <row r="3" customFormat="false" ht="15" hidden="false" customHeight="false" outlineLevel="0" collapsed="false">
      <c r="A3" s="0" t="s">
        <v>87</v>
      </c>
      <c r="B3" s="3" t="n">
        <v>3632.6</v>
      </c>
    </row>
    <row r="4" customFormat="false" ht="15" hidden="false" customHeight="false" outlineLevel="0" collapsed="false">
      <c r="A4" s="0" t="s">
        <v>88</v>
      </c>
      <c r="B4" s="3" t="n">
        <v>0</v>
      </c>
    </row>
    <row r="5" customFormat="false" ht="15" hidden="false" customHeight="false" outlineLevel="0" collapsed="false">
      <c r="A5" s="0" t="s">
        <v>89</v>
      </c>
      <c r="B5" s="3" t="n">
        <v>0</v>
      </c>
    </row>
    <row r="6" customFormat="false" ht="15" hidden="false" customHeight="false" outlineLevel="0" collapsed="false">
      <c r="A6" s="0" t="s">
        <v>90</v>
      </c>
      <c r="B6" s="3" t="n">
        <v>15</v>
      </c>
    </row>
    <row r="7" customFormat="false" ht="15" hidden="false" customHeight="false" outlineLevel="0" collapsed="false">
      <c r="A7" s="0" t="s">
        <v>91</v>
      </c>
      <c r="B7" s="3" t="n">
        <v>2230898</v>
      </c>
    </row>
    <row r="8" customFormat="false" ht="15" hidden="false" customHeight="false" outlineLevel="0" collapsed="false">
      <c r="A8" s="0" t="s">
        <v>92</v>
      </c>
      <c r="B8" s="3" t="s">
        <v>83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0.0103842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10</v>
      </c>
      <c r="D13" s="3" t="n">
        <v>9</v>
      </c>
      <c r="E13" s="3" t="n">
        <v>9</v>
      </c>
      <c r="F13" s="3" t="n">
        <v>8</v>
      </c>
      <c r="G13" s="3" t="n">
        <v>8</v>
      </c>
      <c r="H13" s="3" t="n">
        <v>8</v>
      </c>
      <c r="I13" s="3" t="n">
        <v>7</v>
      </c>
      <c r="J13" s="3" t="n">
        <v>7</v>
      </c>
      <c r="K13" s="3" t="n">
        <v>6</v>
      </c>
      <c r="L13" s="3" t="n">
        <v>6</v>
      </c>
    </row>
    <row r="14" customFormat="false" ht="15" hidden="false" customHeight="false" outlineLevel="0" collapsed="false">
      <c r="A14" s="0" t="s">
        <v>108</v>
      </c>
      <c r="C14" s="3" t="n">
        <v>32</v>
      </c>
      <c r="D14" s="3" t="n">
        <v>30.5</v>
      </c>
      <c r="E14" s="3" t="n">
        <v>29.5</v>
      </c>
      <c r="F14" s="3" t="n">
        <v>29</v>
      </c>
      <c r="G14" s="3" t="n">
        <v>29</v>
      </c>
      <c r="H14" s="3" t="n">
        <v>29</v>
      </c>
      <c r="I14" s="3" t="n">
        <v>29</v>
      </c>
      <c r="J14" s="3" t="n">
        <v>29</v>
      </c>
      <c r="K14" s="3" t="n">
        <v>29</v>
      </c>
      <c r="L14" s="3" t="n">
        <v>29</v>
      </c>
    </row>
    <row r="15" customFormat="false" ht="15" hidden="false" customHeight="false" outlineLevel="0" collapsed="false">
      <c r="A15" s="0" t="s">
        <v>109</v>
      </c>
      <c r="C15" s="3" t="n">
        <v>0.43</v>
      </c>
      <c r="D15" s="3" t="n">
        <v>0.43</v>
      </c>
      <c r="E15" s="3" t="n">
        <v>0.43</v>
      </c>
      <c r="F15" s="3" t="n">
        <v>0.43</v>
      </c>
      <c r="G15" s="3" t="n">
        <v>0.43</v>
      </c>
      <c r="H15" s="3" t="n">
        <v>0.43</v>
      </c>
      <c r="I15" s="3" t="n">
        <v>0.43</v>
      </c>
      <c r="J15" s="3" t="n">
        <v>0.43</v>
      </c>
      <c r="K15" s="3" t="n">
        <v>0.43</v>
      </c>
      <c r="L15" s="3" t="n">
        <v>0.43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112</v>
      </c>
      <c r="C18" s="3" t="n">
        <v>14.19</v>
      </c>
      <c r="D18" s="3" t="n">
        <v>12.89</v>
      </c>
      <c r="E18" s="3" t="n">
        <v>12.89</v>
      </c>
      <c r="F18" s="3" t="n">
        <v>11.56</v>
      </c>
      <c r="G18" s="3" t="n">
        <v>11.56</v>
      </c>
      <c r="H18" s="3" t="n">
        <v>11.56</v>
      </c>
      <c r="I18" s="3" t="n">
        <v>10.21</v>
      </c>
      <c r="J18" s="3" t="n">
        <v>10.21</v>
      </c>
      <c r="K18" s="3" t="n">
        <v>8.84</v>
      </c>
      <c r="L18" s="3" t="n">
        <v>8.84</v>
      </c>
    </row>
    <row r="19" customFormat="false" ht="15" hidden="false" customHeight="false" outlineLevel="0" collapsed="false">
      <c r="A19" s="0" t="s">
        <v>113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114</v>
      </c>
      <c r="B20" s="3" t="n">
        <v>12.5</v>
      </c>
    </row>
    <row r="21" customFormat="false" ht="15" hidden="false" customHeight="false" outlineLevel="0" collapsed="false">
      <c r="A21" s="0" t="s">
        <v>115</v>
      </c>
      <c r="B21" s="3" t="n">
        <v>5.5</v>
      </c>
    </row>
    <row r="22" customFormat="false" ht="15" hidden="false" customHeight="false" outlineLevel="0" collapsed="false">
      <c r="A22" s="0" t="s">
        <v>116</v>
      </c>
      <c r="B22" s="3" t="n">
        <v>15</v>
      </c>
    </row>
    <row r="23" customFormat="false" ht="15" hidden="false" customHeight="false" outlineLevel="0" collapsed="false">
      <c r="A23" s="0" t="s">
        <v>117</v>
      </c>
      <c r="B23" s="3" t="n">
        <v>0</v>
      </c>
    </row>
    <row r="24" customFormat="false" ht="15" hidden="false" customHeight="false" outlineLevel="0" collapsed="false">
      <c r="A24" s="0" t="s">
        <v>118</v>
      </c>
      <c r="B24" s="3" t="n">
        <v>0.2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13</v>
      </c>
      <c r="D27" s="3" t="n">
        <v>14</v>
      </c>
      <c r="E27" s="3" t="n">
        <v>14</v>
      </c>
      <c r="F27" s="3" t="n">
        <v>13</v>
      </c>
      <c r="G27" s="3" t="n">
        <v>12</v>
      </c>
      <c r="H27" s="3" t="n">
        <v>11</v>
      </c>
      <c r="I27" s="3" t="n">
        <v>10</v>
      </c>
      <c r="J27" s="3" t="n">
        <v>9</v>
      </c>
      <c r="K27" s="3" t="n">
        <v>8</v>
      </c>
      <c r="L27" s="3" t="n">
        <v>7</v>
      </c>
    </row>
    <row r="28" customFormat="false" ht="15" hidden="false" customHeight="false" outlineLevel="0" collapsed="false">
      <c r="A28" s="0" t="s">
        <v>108</v>
      </c>
      <c r="C28" s="3" t="n">
        <v>32.9</v>
      </c>
      <c r="D28" s="3" t="n">
        <v>32.6</v>
      </c>
      <c r="E28" s="3" t="n">
        <v>32.3</v>
      </c>
      <c r="F28" s="3" t="n">
        <v>32</v>
      </c>
      <c r="G28" s="3" t="n">
        <v>32</v>
      </c>
      <c r="H28" s="3" t="n">
        <v>32</v>
      </c>
      <c r="I28" s="3" t="n">
        <v>32</v>
      </c>
      <c r="J28" s="3" t="n">
        <v>32</v>
      </c>
      <c r="K28" s="3" t="n">
        <v>32</v>
      </c>
      <c r="L28" s="3" t="n">
        <v>32</v>
      </c>
    </row>
    <row r="29" customFormat="false" ht="15" hidden="false" customHeight="false" outlineLevel="0" collapsed="false">
      <c r="A29" s="0" t="s">
        <v>109</v>
      </c>
      <c r="C29" s="3" t="n">
        <v>0.43</v>
      </c>
      <c r="D29" s="3" t="n">
        <v>0.43</v>
      </c>
      <c r="E29" s="3" t="n">
        <v>0.43</v>
      </c>
      <c r="F29" s="3" t="n">
        <v>0.43</v>
      </c>
      <c r="G29" s="3" t="n">
        <v>0.43</v>
      </c>
      <c r="H29" s="3" t="n">
        <v>0.43</v>
      </c>
      <c r="I29" s="3" t="n">
        <v>0.43</v>
      </c>
      <c r="J29" s="3" t="n">
        <v>0.43</v>
      </c>
      <c r="K29" s="3" t="n">
        <v>0.43</v>
      </c>
      <c r="L29" s="3" t="n">
        <v>0.43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112</v>
      </c>
      <c r="C32" s="3" t="n">
        <v>17.96</v>
      </c>
      <c r="D32" s="3" t="n">
        <v>19.17</v>
      </c>
      <c r="E32" s="3" t="n">
        <v>19.17</v>
      </c>
      <c r="F32" s="3" t="n">
        <v>17.96</v>
      </c>
      <c r="G32" s="3" t="n">
        <v>16.73</v>
      </c>
      <c r="H32" s="3" t="n">
        <v>15.47</v>
      </c>
      <c r="I32" s="3" t="n">
        <v>14.19</v>
      </c>
      <c r="J32" s="3" t="n">
        <v>12.89</v>
      </c>
      <c r="K32" s="3" t="n">
        <v>11.56</v>
      </c>
      <c r="L32" s="3" t="n">
        <v>10.21</v>
      </c>
    </row>
    <row r="33" customFormat="false" ht="15" hidden="false" customHeight="false" outlineLevel="0" collapsed="false">
      <c r="A33" s="0" t="s">
        <v>113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114</v>
      </c>
      <c r="B34" s="3" t="n">
        <v>12.5</v>
      </c>
    </row>
    <row r="35" customFormat="false" ht="15" hidden="false" customHeight="false" outlineLevel="0" collapsed="false">
      <c r="A35" s="0" t="s">
        <v>115</v>
      </c>
      <c r="B35" s="3" t="n">
        <v>6.5</v>
      </c>
    </row>
    <row r="36" customFormat="false" ht="15" hidden="false" customHeight="false" outlineLevel="0" collapsed="false">
      <c r="A36" s="0" t="s">
        <v>116</v>
      </c>
      <c r="B36" s="3" t="n">
        <v>18</v>
      </c>
    </row>
    <row r="37" customFormat="false" ht="15" hidden="false" customHeight="false" outlineLevel="0" collapsed="false">
      <c r="A37" s="0" t="s">
        <v>117</v>
      </c>
      <c r="B37" s="3" t="n">
        <v>0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16</v>
      </c>
      <c r="D41" s="3" t="n">
        <v>17</v>
      </c>
      <c r="E41" s="3" t="n">
        <v>17</v>
      </c>
      <c r="F41" s="3" t="n">
        <v>16</v>
      </c>
      <c r="G41" s="3" t="n">
        <v>15</v>
      </c>
      <c r="H41" s="3" t="n">
        <v>14</v>
      </c>
      <c r="I41" s="3" t="n">
        <v>12</v>
      </c>
      <c r="J41" s="3" t="n">
        <v>11</v>
      </c>
      <c r="K41" s="3" t="n">
        <v>10</v>
      </c>
      <c r="L41" s="3" t="n">
        <v>8</v>
      </c>
    </row>
    <row r="42" customFormat="false" ht="15" hidden="false" customHeight="false" outlineLevel="0" collapsed="false">
      <c r="A42" s="0" t="s">
        <v>108</v>
      </c>
      <c r="C42" s="3" t="n">
        <v>33.3</v>
      </c>
      <c r="D42" s="3" t="n">
        <v>33.6</v>
      </c>
      <c r="E42" s="3" t="n">
        <v>33.9</v>
      </c>
      <c r="F42" s="3" t="n">
        <v>34.2</v>
      </c>
      <c r="G42" s="3" t="n">
        <v>34.5</v>
      </c>
      <c r="H42" s="3" t="n">
        <v>34.5</v>
      </c>
      <c r="I42" s="3" t="n">
        <v>34.5</v>
      </c>
      <c r="J42" s="3" t="n">
        <v>34.5</v>
      </c>
      <c r="K42" s="3" t="n">
        <v>34.5</v>
      </c>
      <c r="L42" s="3" t="n">
        <v>34.5</v>
      </c>
    </row>
    <row r="43" customFormat="false" ht="15" hidden="false" customHeight="false" outlineLevel="0" collapsed="false">
      <c r="A43" s="0" t="s">
        <v>109</v>
      </c>
      <c r="C43" s="3" t="n">
        <v>0.43</v>
      </c>
      <c r="D43" s="3" t="n">
        <v>0.43</v>
      </c>
      <c r="E43" s="3" t="n">
        <v>0.43</v>
      </c>
      <c r="F43" s="3" t="n">
        <v>0.43</v>
      </c>
      <c r="G43" s="3" t="n">
        <v>0.43</v>
      </c>
      <c r="H43" s="3" t="n">
        <v>0.43</v>
      </c>
      <c r="I43" s="3" t="n">
        <v>0.43</v>
      </c>
      <c r="J43" s="3" t="n">
        <v>0.43</v>
      </c>
      <c r="K43" s="3" t="n">
        <v>0.43</v>
      </c>
      <c r="L43" s="3" t="n">
        <v>0.43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112</v>
      </c>
      <c r="C46" s="3" t="n">
        <v>20.41</v>
      </c>
      <c r="D46" s="3" t="n">
        <v>21.5</v>
      </c>
      <c r="E46" s="3" t="n">
        <v>21.5</v>
      </c>
      <c r="F46" s="3" t="n">
        <v>20.41</v>
      </c>
      <c r="G46" s="3" t="n">
        <v>19.3</v>
      </c>
      <c r="H46" s="3" t="n">
        <v>18.18</v>
      </c>
      <c r="I46" s="3" t="n">
        <v>15.86</v>
      </c>
      <c r="J46" s="3" t="n">
        <v>14.67</v>
      </c>
      <c r="K46" s="3" t="n">
        <v>13.45</v>
      </c>
      <c r="L46" s="3" t="n">
        <v>10.96</v>
      </c>
    </row>
    <row r="47" customFormat="false" ht="15" hidden="false" customHeight="false" outlineLevel="0" collapsed="false">
      <c r="A47" s="0" t="s">
        <v>113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114</v>
      </c>
      <c r="B48" s="3" t="n">
        <v>12.5</v>
      </c>
    </row>
    <row r="49" customFormat="false" ht="15" hidden="false" customHeight="false" outlineLevel="0" collapsed="false">
      <c r="A49" s="0" t="s">
        <v>115</v>
      </c>
      <c r="B49" s="3" t="n">
        <v>7</v>
      </c>
    </row>
    <row r="50" customFormat="false" ht="15" hidden="false" customHeight="false" outlineLevel="0" collapsed="false">
      <c r="A50" s="0" t="s">
        <v>116</v>
      </c>
      <c r="B50" s="3" t="n">
        <v>20</v>
      </c>
    </row>
    <row r="51" customFormat="false" ht="15" hidden="false" customHeight="false" outlineLevel="0" collapsed="false">
      <c r="A51" s="0" t="s">
        <v>117</v>
      </c>
      <c r="B51" s="3" t="n">
        <v>0</v>
      </c>
    </row>
    <row r="52" customFormat="false" ht="15" hidden="false" customHeight="false" outlineLevel="0" collapsed="false">
      <c r="A52" s="0" t="s">
        <v>118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83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10</v>
      </c>
      <c r="D5" s="4" t="n">
        <f aca="false">Assumptions!D13</f>
        <v>9</v>
      </c>
      <c r="E5" s="4" t="n">
        <f aca="false">Assumptions!E13</f>
        <v>9</v>
      </c>
      <c r="F5" s="4" t="n">
        <f aca="false">Assumptions!F13</f>
        <v>8</v>
      </c>
      <c r="G5" s="4" t="n">
        <f aca="false">Assumptions!G13</f>
        <v>8</v>
      </c>
      <c r="H5" s="4" t="n">
        <f aca="false">Assumptions!H13</f>
        <v>8</v>
      </c>
      <c r="I5" s="4" t="n">
        <f aca="false">Assumptions!I13</f>
        <v>7</v>
      </c>
      <c r="J5" s="4" t="n">
        <f aca="false">Assumptions!J13</f>
        <v>7</v>
      </c>
      <c r="K5" s="4" t="n">
        <f aca="false">Assumptions!K13</f>
        <v>6</v>
      </c>
      <c r="L5" s="4" t="n">
        <f aca="false">Assumptions!L13</f>
        <v>6</v>
      </c>
    </row>
    <row r="6" customFormat="false" ht="15" hidden="false" customHeight="false" outlineLevel="0" collapsed="false">
      <c r="A6" s="0" t="s">
        <v>38</v>
      </c>
      <c r="B6" s="3" t="n">
        <v>2230898</v>
      </c>
      <c r="C6" s="0" t="n">
        <f aca="false">B6*(1+C5/100)</f>
        <v>2453987.8</v>
      </c>
      <c r="D6" s="0" t="n">
        <f aca="false">C6*(1+D5/100)</f>
        <v>2674846.702</v>
      </c>
      <c r="E6" s="0" t="n">
        <f aca="false">D6*(1+E5/100)</f>
        <v>2915582.90518</v>
      </c>
      <c r="F6" s="0" t="n">
        <f aca="false">E6*(1+F5/100)</f>
        <v>3148829.5375944</v>
      </c>
      <c r="G6" s="0" t="n">
        <f aca="false">F6*(1+G5/100)</f>
        <v>3400735.90060195</v>
      </c>
      <c r="H6" s="0" t="n">
        <f aca="false">G6*(1+H5/100)</f>
        <v>3672794.77265011</v>
      </c>
      <c r="I6" s="0" t="n">
        <f aca="false">H6*(1+I5/100)</f>
        <v>3929890.40673562</v>
      </c>
      <c r="J6" s="0" t="n">
        <f aca="false">I6*(1+J5/100)</f>
        <v>4204982.73520711</v>
      </c>
      <c r="K6" s="0" t="n">
        <f aca="false">J6*(1+K5/100)</f>
        <v>4457281.69931954</v>
      </c>
      <c r="L6" s="0" t="n">
        <f aca="false">K6*(1+L5/100)</f>
        <v>4724718.60127871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32</v>
      </c>
      <c r="D7" s="4" t="n">
        <f aca="false">Assumptions!D14</f>
        <v>30.5</v>
      </c>
      <c r="E7" s="4" t="n">
        <f aca="false">Assumptions!E14</f>
        <v>29.5</v>
      </c>
      <c r="F7" s="4" t="n">
        <f aca="false">Assumptions!F14</f>
        <v>29</v>
      </c>
      <c r="G7" s="4" t="n">
        <f aca="false">Assumptions!G14</f>
        <v>29</v>
      </c>
      <c r="H7" s="4" t="n">
        <f aca="false">Assumptions!H14</f>
        <v>29</v>
      </c>
      <c r="I7" s="4" t="n">
        <f aca="false">Assumptions!I14</f>
        <v>29</v>
      </c>
      <c r="J7" s="4" t="n">
        <f aca="false">Assumptions!J14</f>
        <v>29</v>
      </c>
      <c r="K7" s="4" t="n">
        <f aca="false">Assumptions!K14</f>
        <v>29</v>
      </c>
      <c r="L7" s="4" t="n">
        <f aca="false">Assumptions!L14</f>
        <v>29</v>
      </c>
    </row>
    <row r="8" customFormat="false" ht="15" hidden="false" customHeight="false" outlineLevel="0" collapsed="false">
      <c r="A8" s="0" t="s">
        <v>44</v>
      </c>
      <c r="C8" s="0" t="n">
        <f aca="false">C6*C7/100</f>
        <v>785276.096</v>
      </c>
      <c r="D8" s="0" t="n">
        <f aca="false">D6*D7/100</f>
        <v>815828.24411</v>
      </c>
      <c r="E8" s="0" t="n">
        <f aca="false">E6*E7/100</f>
        <v>860096.9570281</v>
      </c>
      <c r="F8" s="0" t="n">
        <f aca="false">F6*F7/100</f>
        <v>913160.565902376</v>
      </c>
      <c r="G8" s="0" t="n">
        <f aca="false">G6*G7/100</f>
        <v>986213.411174567</v>
      </c>
      <c r="H8" s="0" t="n">
        <f aca="false">H6*H7/100</f>
        <v>1065110.48406853</v>
      </c>
      <c r="I8" s="0" t="n">
        <f aca="false">I6*I7/100</f>
        <v>1139668.21795333</v>
      </c>
      <c r="J8" s="0" t="n">
        <f aca="false">J6*J7/100</f>
        <v>1219444.99321006</v>
      </c>
      <c r="K8" s="0" t="n">
        <f aca="false">K6*K7/100</f>
        <v>1292611.69280267</v>
      </c>
      <c r="L8" s="0" t="n">
        <f aca="false">L6*L7/100</f>
        <v>1370168.39437083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0.43</v>
      </c>
      <c r="D9" s="4" t="n">
        <f aca="false">Assumptions!D15</f>
        <v>0.43</v>
      </c>
      <c r="E9" s="4" t="n">
        <f aca="false">Assumptions!E15</f>
        <v>0.43</v>
      </c>
      <c r="F9" s="4" t="n">
        <f aca="false">Assumptions!F15</f>
        <v>0.43</v>
      </c>
      <c r="G9" s="4" t="n">
        <f aca="false">Assumptions!G15</f>
        <v>0.43</v>
      </c>
      <c r="H9" s="4" t="n">
        <f aca="false">Assumptions!H15</f>
        <v>0.43</v>
      </c>
      <c r="I9" s="4" t="n">
        <f aca="false">Assumptions!I15</f>
        <v>0.43</v>
      </c>
      <c r="J9" s="4" t="n">
        <f aca="false">Assumptions!J15</f>
        <v>0.43</v>
      </c>
      <c r="K9" s="4" t="n">
        <f aca="false">Assumptions!K15</f>
        <v>0.43</v>
      </c>
      <c r="L9" s="4" t="n">
        <f aca="false">Assumptions!L15</f>
        <v>0.43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-10552.14754</v>
      </c>
      <c r="D10" s="0" t="n">
        <f aca="false">-D6*D9/100</f>
        <v>-11501.8408186</v>
      </c>
      <c r="E10" s="0" t="n">
        <f aca="false">-E6*E9/100</f>
        <v>-12537.006492274</v>
      </c>
      <c r="F10" s="0" t="n">
        <f aca="false">-F6*F9/100</f>
        <v>-13539.9670116559</v>
      </c>
      <c r="G10" s="0" t="n">
        <f aca="false">-G6*G9/100</f>
        <v>-14623.1643725884</v>
      </c>
      <c r="H10" s="0" t="n">
        <f aca="false">-H6*H9/100</f>
        <v>-15793.0175223955</v>
      </c>
      <c r="I10" s="0" t="n">
        <f aca="false">-I6*I9/100</f>
        <v>-16898.5287489632</v>
      </c>
      <c r="J10" s="0" t="n">
        <f aca="false">-J6*J9/100</f>
        <v>-18081.4257613906</v>
      </c>
      <c r="K10" s="0" t="n">
        <f aca="false">-K6*K9/100</f>
        <v>-19166.311307074</v>
      </c>
      <c r="L10" s="0" t="n">
        <f aca="false">-L6*L9/100</f>
        <v>-20316.2899854985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774723.94846</v>
      </c>
      <c r="D11" s="0" t="n">
        <f aca="false">D8+D10+D24</f>
        <v>804326.4032914</v>
      </c>
      <c r="E11" s="0" t="n">
        <f aca="false">E8+E10+E24</f>
        <v>847559.950535826</v>
      </c>
      <c r="F11" s="0" t="n">
        <f aca="false">F8+F10+F24</f>
        <v>899620.59889072</v>
      </c>
      <c r="G11" s="0" t="n">
        <f aca="false">G8+G10+G24</f>
        <v>971590.246801978</v>
      </c>
      <c r="H11" s="0" t="n">
        <f aca="false">H8+H10+H24</f>
        <v>1049317.46654614</v>
      </c>
      <c r="I11" s="0" t="n">
        <f aca="false">I8+I10+I24</f>
        <v>1122769.68920437</v>
      </c>
      <c r="J11" s="0" t="n">
        <f aca="false">J8+J10+J24</f>
        <v>1201363.56744867</v>
      </c>
      <c r="K11" s="0" t="n">
        <f aca="false">K8+K10+K24</f>
        <v>1273445.38149559</v>
      </c>
      <c r="L11" s="0" t="n">
        <f aca="false">L8+L10+L24</f>
        <v>1349852.10438533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774723.94846</v>
      </c>
      <c r="D13" s="0" t="n">
        <f aca="false">D11+D12</f>
        <v>804326.4032914</v>
      </c>
      <c r="E13" s="0" t="n">
        <f aca="false">E11+E12</f>
        <v>847559.950535826</v>
      </c>
      <c r="F13" s="0" t="n">
        <f aca="false">F11+F12</f>
        <v>899620.59889072</v>
      </c>
      <c r="G13" s="0" t="n">
        <f aca="false">G11+G12</f>
        <v>971590.246801978</v>
      </c>
      <c r="H13" s="0" t="n">
        <f aca="false">H11+H12</f>
        <v>1049317.46654614</v>
      </c>
      <c r="I13" s="0" t="n">
        <f aca="false">I11+I12</f>
        <v>1122769.68920437</v>
      </c>
      <c r="J13" s="0" t="n">
        <f aca="false">J11+J12</f>
        <v>1201363.56744867</v>
      </c>
      <c r="K13" s="0" t="n">
        <f aca="false">K11+K12</f>
        <v>1273445.38149559</v>
      </c>
      <c r="L13" s="0" t="n">
        <f aca="false">L11+L12</f>
        <v>1349852.10438533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581042.961345</v>
      </c>
      <c r="D15" s="0" t="n">
        <f aca="false">D13-MAX(0,D13)*D14/100</f>
        <v>603244.80246855</v>
      </c>
      <c r="E15" s="0" t="n">
        <f aca="false">E13-MAX(0,E13)*E14/100</f>
        <v>635669.96290187</v>
      </c>
      <c r="F15" s="0" t="n">
        <f aca="false">F13-MAX(0,F13)*F14/100</f>
        <v>674715.44916804</v>
      </c>
      <c r="G15" s="0" t="n">
        <f aca="false">G13-MAX(0,G13)*G14/100</f>
        <v>728692.685101484</v>
      </c>
      <c r="H15" s="0" t="n">
        <f aca="false">H13-MAX(0,H13)*H14/100</f>
        <v>786988.099909602</v>
      </c>
      <c r="I15" s="0" t="n">
        <f aca="false">I13-MAX(0,I13)*I14/100</f>
        <v>842077.266903274</v>
      </c>
      <c r="J15" s="0" t="n">
        <f aca="false">J13-MAX(0,J13)*J14/100</f>
        <v>901022.675586504</v>
      </c>
      <c r="K15" s="0" t="n">
        <f aca="false">K13-MAX(0,K13)*K14/100</f>
        <v>955084.036121694</v>
      </c>
      <c r="L15" s="0" t="n">
        <f aca="false">L13-MAX(0,L13)*L14/100</f>
        <v>1012389.078289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-348220.86882</v>
      </c>
      <c r="D17" s="4" t="n">
        <f aca="false">-D6*Assumptions!D18/100</f>
        <v>-344787.7398878</v>
      </c>
      <c r="E17" s="4" t="n">
        <f aca="false">-E6*Assumptions!E18/100</f>
        <v>-375818.636477702</v>
      </c>
      <c r="F17" s="4" t="n">
        <f aca="false">-F6*Assumptions!F18/100</f>
        <v>-364004.694545913</v>
      </c>
      <c r="G17" s="4" t="n">
        <f aca="false">-G6*Assumptions!G18/100</f>
        <v>-393125.070109586</v>
      </c>
      <c r="H17" s="4" t="n">
        <f aca="false">-H6*Assumptions!H18/100</f>
        <v>-424575.075718353</v>
      </c>
      <c r="I17" s="4" t="n">
        <f aca="false">-I6*Assumptions!I18/100</f>
        <v>-401241.810527707</v>
      </c>
      <c r="J17" s="4" t="n">
        <f aca="false">-J6*Assumptions!J18/100</f>
        <v>-429328.737264646</v>
      </c>
      <c r="K17" s="4" t="n">
        <f aca="false">-K6*Assumptions!K18/100</f>
        <v>-394023.702219847</v>
      </c>
      <c r="L17" s="4" t="n">
        <f aca="false">-L6*Assumptions!L18/100</f>
        <v>-417665.124353038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232822.092525</v>
      </c>
      <c r="D19" s="0" t="n">
        <f aca="false">D15+D16+D17+D18</f>
        <v>258457.06258075</v>
      </c>
      <c r="E19" s="0" t="n">
        <f aca="false">E15+E16+E17+E18</f>
        <v>259851.326424168</v>
      </c>
      <c r="F19" s="0" t="n">
        <f aca="false">F15+F16+F17+F18</f>
        <v>310710.754622127</v>
      </c>
      <c r="G19" s="0" t="n">
        <f aca="false">G15+G16+G17+G18</f>
        <v>335567.614991898</v>
      </c>
      <c r="H19" s="0" t="n">
        <f aca="false">H15+H16+H17+H18</f>
        <v>362413.02419125</v>
      </c>
      <c r="I19" s="0" t="n">
        <f aca="false">I15+I16+I17+I18</f>
        <v>440835.456375568</v>
      </c>
      <c r="J19" s="0" t="n">
        <f aca="false">J15+J16+J17+J18</f>
        <v>471693.938321858</v>
      </c>
      <c r="K19" s="0" t="n">
        <f aca="false">K15+K16+K17+K18</f>
        <v>561060.333901847</v>
      </c>
      <c r="L19" s="0" t="n">
        <f aca="false">L15+L16+L17+L18</f>
        <v>594723.953935958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0.888888888888889</v>
      </c>
      <c r="D20" s="0" t="n">
        <f aca="false">1/(1+$B$27/100)^D4</f>
        <v>0.790123456790123</v>
      </c>
      <c r="E20" s="0" t="n">
        <f aca="false">1/(1+$B$27/100)^E4</f>
        <v>0.702331961591221</v>
      </c>
      <c r="F20" s="0" t="n">
        <f aca="false">1/(1+$B$27/100)^F4</f>
        <v>0.624295076969974</v>
      </c>
      <c r="G20" s="0" t="n">
        <f aca="false">1/(1+$B$27/100)^G4</f>
        <v>0.554928957306644</v>
      </c>
      <c r="H20" s="0" t="n">
        <f aca="false">1/(1+$B$27/100)^H4</f>
        <v>0.493270184272572</v>
      </c>
      <c r="I20" s="0" t="n">
        <f aca="false">1/(1+$B$27/100)^I4</f>
        <v>0.438462386020064</v>
      </c>
      <c r="J20" s="0" t="n">
        <f aca="false">1/(1+$B$27/100)^J4</f>
        <v>0.389744343128946</v>
      </c>
      <c r="K20" s="0" t="n">
        <f aca="false">1/(1+$B$27/100)^K4</f>
        <v>0.346439416114619</v>
      </c>
      <c r="L20" s="0" t="n">
        <f aca="false">1/(1+$B$27/100)^L4</f>
        <v>0.307946147657439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206952.971133333</v>
      </c>
      <c r="D21" s="0" t="n">
        <f aca="false">D19*D20</f>
        <v>204212.987718123</v>
      </c>
      <c r="E21" s="0" t="n">
        <f aca="false">E19*E20</f>
        <v>182501.891809566</v>
      </c>
      <c r="F21" s="0" t="n">
        <f aca="false">F19*F20</f>
        <v>193975.19447222</v>
      </c>
      <c r="G21" s="0" t="n">
        <f aca="false">G19*G20</f>
        <v>186216.186693331</v>
      </c>
      <c r="H21" s="0" t="n">
        <f aca="false">H19*H20</f>
        <v>178767.539225598</v>
      </c>
      <c r="I21" s="0" t="n">
        <f aca="false">I19*I20</f>
        <v>193289.766044675</v>
      </c>
      <c r="J21" s="0" t="n">
        <f aca="false">J19*J20</f>
        <v>183840.044149158</v>
      </c>
      <c r="K21" s="0" t="n">
        <f aca="false">K19*K20</f>
        <v>194373.414482029</v>
      </c>
      <c r="L21" s="0" t="n">
        <f aca="false">L19*L20</f>
        <v>183142.950534178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12.5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5.5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1907272.94626221</v>
      </c>
    </row>
    <row r="31" customFormat="false" ht="15" hidden="false" customHeight="false" outlineLevel="0" collapsed="false">
      <c r="A31" s="0" t="s">
        <v>138</v>
      </c>
      <c r="B31" s="0" t="n">
        <f aca="false">L19</f>
        <v>594723.953935958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8963339.59146336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8920859.30903937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8920859.30903937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2747144.25801267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4654417.20427489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4654417.20427489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13.3051806234188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-0.51511732421943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78983.4696362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94291.728767008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13.8005074734047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6604566.01476248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9.51596835259729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83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13</v>
      </c>
      <c r="D5" s="4" t="n">
        <f aca="false">Assumptions!D27</f>
        <v>14</v>
      </c>
      <c r="E5" s="4" t="n">
        <f aca="false">Assumptions!E27</f>
        <v>14</v>
      </c>
      <c r="F5" s="4" t="n">
        <f aca="false">Assumptions!F27</f>
        <v>13</v>
      </c>
      <c r="G5" s="4" t="n">
        <f aca="false">Assumptions!G27</f>
        <v>12</v>
      </c>
      <c r="H5" s="4" t="n">
        <f aca="false">Assumptions!H27</f>
        <v>11</v>
      </c>
      <c r="I5" s="4" t="n">
        <f aca="false">Assumptions!I27</f>
        <v>10</v>
      </c>
      <c r="J5" s="4" t="n">
        <f aca="false">Assumptions!J27</f>
        <v>9</v>
      </c>
      <c r="K5" s="4" t="n">
        <f aca="false">Assumptions!K27</f>
        <v>8</v>
      </c>
      <c r="L5" s="4" t="n">
        <f aca="false">Assumptions!L27</f>
        <v>7</v>
      </c>
    </row>
    <row r="6" customFormat="false" ht="15" hidden="false" customHeight="false" outlineLevel="0" collapsed="false">
      <c r="A6" s="0" t="s">
        <v>38</v>
      </c>
      <c r="B6" s="3" t="n">
        <v>2230898</v>
      </c>
      <c r="C6" s="0" t="n">
        <f aca="false">B6*(1+C5/100)</f>
        <v>2520914.74</v>
      </c>
      <c r="D6" s="0" t="n">
        <f aca="false">C6*(1+D5/100)</f>
        <v>2873842.8036</v>
      </c>
      <c r="E6" s="0" t="n">
        <f aca="false">D6*(1+E5/100)</f>
        <v>3276180.796104</v>
      </c>
      <c r="F6" s="0" t="n">
        <f aca="false">E6*(1+F5/100)</f>
        <v>3702084.29959752</v>
      </c>
      <c r="G6" s="0" t="n">
        <f aca="false">F6*(1+G5/100)</f>
        <v>4146334.41554922</v>
      </c>
      <c r="H6" s="0" t="n">
        <f aca="false">G6*(1+H5/100)</f>
        <v>4602431.20125964</v>
      </c>
      <c r="I6" s="0" t="n">
        <f aca="false">H6*(1+I5/100)</f>
        <v>5062674.3213856</v>
      </c>
      <c r="J6" s="0" t="n">
        <f aca="false">I6*(1+J5/100)</f>
        <v>5518315.01031031</v>
      </c>
      <c r="K6" s="0" t="n">
        <f aca="false">J6*(1+K5/100)</f>
        <v>5959780.21113513</v>
      </c>
      <c r="L6" s="0" t="n">
        <f aca="false">K6*(1+L5/100)</f>
        <v>6376964.82591459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32.9</v>
      </c>
      <c r="D7" s="4" t="n">
        <f aca="false">Assumptions!D28</f>
        <v>32.6</v>
      </c>
      <c r="E7" s="4" t="n">
        <f aca="false">Assumptions!E28</f>
        <v>32.3</v>
      </c>
      <c r="F7" s="4" t="n">
        <f aca="false">Assumptions!F28</f>
        <v>32</v>
      </c>
      <c r="G7" s="4" t="n">
        <f aca="false">Assumptions!G28</f>
        <v>32</v>
      </c>
      <c r="H7" s="4" t="n">
        <f aca="false">Assumptions!H28</f>
        <v>32</v>
      </c>
      <c r="I7" s="4" t="n">
        <f aca="false">Assumptions!I28</f>
        <v>32</v>
      </c>
      <c r="J7" s="4" t="n">
        <f aca="false">Assumptions!J28</f>
        <v>32</v>
      </c>
      <c r="K7" s="4" t="n">
        <f aca="false">Assumptions!K28</f>
        <v>32</v>
      </c>
      <c r="L7" s="4" t="n">
        <f aca="false">Assumptions!L28</f>
        <v>32</v>
      </c>
    </row>
    <row r="8" customFormat="false" ht="15" hidden="false" customHeight="false" outlineLevel="0" collapsed="false">
      <c r="A8" s="0" t="s">
        <v>44</v>
      </c>
      <c r="C8" s="0" t="n">
        <f aca="false">C6*C7/100</f>
        <v>829380.94946</v>
      </c>
      <c r="D8" s="0" t="n">
        <f aca="false">D6*D7/100</f>
        <v>936872.7539736</v>
      </c>
      <c r="E8" s="0" t="n">
        <f aca="false">E6*E7/100</f>
        <v>1058206.39714159</v>
      </c>
      <c r="F8" s="0" t="n">
        <f aca="false">F6*F7/100</f>
        <v>1184666.97587121</v>
      </c>
      <c r="G8" s="0" t="n">
        <f aca="false">G6*G7/100</f>
        <v>1326827.01297575</v>
      </c>
      <c r="H8" s="0" t="n">
        <f aca="false">H6*H7/100</f>
        <v>1472777.98440308</v>
      </c>
      <c r="I8" s="0" t="n">
        <f aca="false">I6*I7/100</f>
        <v>1620055.78284339</v>
      </c>
      <c r="J8" s="0" t="n">
        <f aca="false">J6*J7/100</f>
        <v>1765860.8032993</v>
      </c>
      <c r="K8" s="0" t="n">
        <f aca="false">K6*K7/100</f>
        <v>1907129.66756324</v>
      </c>
      <c r="L8" s="0" t="n">
        <f aca="false">L6*L7/100</f>
        <v>2040628.74429267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0.43</v>
      </c>
      <c r="D9" s="4" t="n">
        <f aca="false">Assumptions!D29</f>
        <v>0.43</v>
      </c>
      <c r="E9" s="4" t="n">
        <f aca="false">Assumptions!E29</f>
        <v>0.43</v>
      </c>
      <c r="F9" s="4" t="n">
        <f aca="false">Assumptions!F29</f>
        <v>0.43</v>
      </c>
      <c r="G9" s="4" t="n">
        <f aca="false">Assumptions!G29</f>
        <v>0.43</v>
      </c>
      <c r="H9" s="4" t="n">
        <f aca="false">Assumptions!H29</f>
        <v>0.43</v>
      </c>
      <c r="I9" s="4" t="n">
        <f aca="false">Assumptions!I29</f>
        <v>0.43</v>
      </c>
      <c r="J9" s="4" t="n">
        <f aca="false">Assumptions!J29</f>
        <v>0.43</v>
      </c>
      <c r="K9" s="4" t="n">
        <f aca="false">Assumptions!K29</f>
        <v>0.43</v>
      </c>
      <c r="L9" s="4" t="n">
        <f aca="false">Assumptions!L29</f>
        <v>0.43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-10839.933382</v>
      </c>
      <c r="D10" s="0" t="n">
        <f aca="false">-D6*D9/100</f>
        <v>-12357.52405548</v>
      </c>
      <c r="E10" s="0" t="n">
        <f aca="false">-E6*E9/100</f>
        <v>-14087.5774232472</v>
      </c>
      <c r="F10" s="0" t="n">
        <f aca="false">-F6*F9/100</f>
        <v>-15918.9624882693</v>
      </c>
      <c r="G10" s="0" t="n">
        <f aca="false">-G6*G9/100</f>
        <v>-17829.2379868617</v>
      </c>
      <c r="H10" s="0" t="n">
        <f aca="false">-H6*H9/100</f>
        <v>-19790.4541654164</v>
      </c>
      <c r="I10" s="0" t="n">
        <f aca="false">-I6*I9/100</f>
        <v>-21769.4995819581</v>
      </c>
      <c r="J10" s="0" t="n">
        <f aca="false">-J6*J9/100</f>
        <v>-23728.7545443343</v>
      </c>
      <c r="K10" s="0" t="n">
        <f aca="false">-K6*K9/100</f>
        <v>-25627.0549078811</v>
      </c>
      <c r="L10" s="0" t="n">
        <f aca="false">-L6*L9/100</f>
        <v>-27420.9487514327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818541.016078</v>
      </c>
      <c r="D11" s="0" t="n">
        <f aca="false">D8+D10+D24</f>
        <v>924515.22991812</v>
      </c>
      <c r="E11" s="0" t="n">
        <f aca="false">E8+E10+E24</f>
        <v>1044118.81971835</v>
      </c>
      <c r="F11" s="0" t="n">
        <f aca="false">F8+F10+F24</f>
        <v>1168748.01338294</v>
      </c>
      <c r="G11" s="0" t="n">
        <f aca="false">G8+G10+G24</f>
        <v>1308997.77498889</v>
      </c>
      <c r="H11" s="0" t="n">
        <f aca="false">H8+H10+H24</f>
        <v>1452987.53023767</v>
      </c>
      <c r="I11" s="0" t="n">
        <f aca="false">I8+I10+I24</f>
        <v>1598286.28326143</v>
      </c>
      <c r="J11" s="0" t="n">
        <f aca="false">J8+J10+J24</f>
        <v>1742132.04875496</v>
      </c>
      <c r="K11" s="0" t="n">
        <f aca="false">K8+K10+K24</f>
        <v>1881502.61265536</v>
      </c>
      <c r="L11" s="0" t="n">
        <f aca="false">L8+L10+L24</f>
        <v>2013207.79554124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818541.016078</v>
      </c>
      <c r="D13" s="0" t="n">
        <f aca="false">D11+D12</f>
        <v>924515.22991812</v>
      </c>
      <c r="E13" s="0" t="n">
        <f aca="false">E11+E12</f>
        <v>1044118.81971835</v>
      </c>
      <c r="F13" s="0" t="n">
        <f aca="false">F11+F12</f>
        <v>1168748.01338294</v>
      </c>
      <c r="G13" s="0" t="n">
        <f aca="false">G11+G12</f>
        <v>1308997.77498889</v>
      </c>
      <c r="H13" s="0" t="n">
        <f aca="false">H11+H12</f>
        <v>1452987.53023767</v>
      </c>
      <c r="I13" s="0" t="n">
        <f aca="false">I11+I12</f>
        <v>1598286.28326143</v>
      </c>
      <c r="J13" s="0" t="n">
        <f aca="false">J11+J12</f>
        <v>1742132.04875496</v>
      </c>
      <c r="K13" s="0" t="n">
        <f aca="false">K11+K12</f>
        <v>1881502.61265536</v>
      </c>
      <c r="L13" s="0" t="n">
        <f aca="false">L11+L12</f>
        <v>2013207.79554124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613905.7620585</v>
      </c>
      <c r="D15" s="0" t="n">
        <f aca="false">D13-MAX(0,D13)*D14/100</f>
        <v>693386.42243859</v>
      </c>
      <c r="E15" s="0" t="n">
        <f aca="false">E13-MAX(0,E13)*E14/100</f>
        <v>783089.114788759</v>
      </c>
      <c r="F15" s="0" t="n">
        <f aca="false">F13-MAX(0,F13)*F14/100</f>
        <v>876561.010037203</v>
      </c>
      <c r="G15" s="0" t="n">
        <f aca="false">G13-MAX(0,G13)*G14/100</f>
        <v>981748.331241667</v>
      </c>
      <c r="H15" s="0" t="n">
        <f aca="false">H13-MAX(0,H13)*H14/100</f>
        <v>1089740.64767825</v>
      </c>
      <c r="I15" s="0" t="n">
        <f aca="false">I13-MAX(0,I13)*I14/100</f>
        <v>1198714.71244608</v>
      </c>
      <c r="J15" s="0" t="n">
        <f aca="false">J13-MAX(0,J13)*J14/100</f>
        <v>1306599.03656622</v>
      </c>
      <c r="K15" s="0" t="n">
        <f aca="false">K13-MAX(0,K13)*K14/100</f>
        <v>1411126.95949152</v>
      </c>
      <c r="L15" s="0" t="n">
        <f aca="false">L13-MAX(0,L13)*L14/100</f>
        <v>1509905.84665593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-452756.287304</v>
      </c>
      <c r="D17" s="4" t="n">
        <f aca="false">-D6*Assumptions!D32/100</f>
        <v>-550915.66545012</v>
      </c>
      <c r="E17" s="4" t="n">
        <f aca="false">-E6*Assumptions!E32/100</f>
        <v>-628043.858613137</v>
      </c>
      <c r="F17" s="4" t="n">
        <f aca="false">-F6*Assumptions!F32/100</f>
        <v>-664894.340207715</v>
      </c>
      <c r="G17" s="4" t="n">
        <f aca="false">-G6*Assumptions!G32/100</f>
        <v>-693681.747721385</v>
      </c>
      <c r="H17" s="4" t="n">
        <f aca="false">-H6*Assumptions!H32/100</f>
        <v>-711996.106834866</v>
      </c>
      <c r="I17" s="4" t="n">
        <f aca="false">-I6*Assumptions!I32/100</f>
        <v>-718393.486204617</v>
      </c>
      <c r="J17" s="4" t="n">
        <f aca="false">-J6*Assumptions!J32/100</f>
        <v>-711310.804828999</v>
      </c>
      <c r="K17" s="4" t="n">
        <f aca="false">-K6*Assumptions!K32/100</f>
        <v>-688950.592407221</v>
      </c>
      <c r="L17" s="4" t="n">
        <f aca="false">-L6*Assumptions!L32/100</f>
        <v>-651088.10872588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161149.4747545</v>
      </c>
      <c r="D19" s="0" t="n">
        <f aca="false">D15+D16+D17+D18</f>
        <v>142470.75698847</v>
      </c>
      <c r="E19" s="0" t="n">
        <f aca="false">E15+E16+E17+E18</f>
        <v>155045.256175622</v>
      </c>
      <c r="F19" s="0" t="n">
        <f aca="false">F15+F16+F17+F18</f>
        <v>211666.669829488</v>
      </c>
      <c r="G19" s="0" t="n">
        <f aca="false">G15+G16+G17+G18</f>
        <v>288066.583520282</v>
      </c>
      <c r="H19" s="0" t="n">
        <f aca="false">H15+H16+H17+H18</f>
        <v>377744.540843385</v>
      </c>
      <c r="I19" s="0" t="n">
        <f aca="false">I15+I16+I17+I18</f>
        <v>480321.226241459</v>
      </c>
      <c r="J19" s="0" t="n">
        <f aca="false">J15+J16+J17+J18</f>
        <v>595288.231737224</v>
      </c>
      <c r="K19" s="0" t="n">
        <f aca="false">K15+K16+K17+K18</f>
        <v>722176.3670843</v>
      </c>
      <c r="L19" s="0" t="n">
        <f aca="false">L15+L16+L17+L18</f>
        <v>858817.737930048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0.888888888888889</v>
      </c>
      <c r="D20" s="0" t="n">
        <f aca="false">1/(1+$B$27/100)^D4</f>
        <v>0.790123456790123</v>
      </c>
      <c r="E20" s="0" t="n">
        <f aca="false">1/(1+$B$27/100)^E4</f>
        <v>0.702331961591221</v>
      </c>
      <c r="F20" s="0" t="n">
        <f aca="false">1/(1+$B$27/100)^F4</f>
        <v>0.624295076969974</v>
      </c>
      <c r="G20" s="0" t="n">
        <f aca="false">1/(1+$B$27/100)^G4</f>
        <v>0.554928957306644</v>
      </c>
      <c r="H20" s="0" t="n">
        <f aca="false">1/(1+$B$27/100)^H4</f>
        <v>0.493270184272572</v>
      </c>
      <c r="I20" s="0" t="n">
        <f aca="false">1/(1+$B$27/100)^I4</f>
        <v>0.438462386020064</v>
      </c>
      <c r="J20" s="0" t="n">
        <f aca="false">1/(1+$B$27/100)^J4</f>
        <v>0.389744343128946</v>
      </c>
      <c r="K20" s="0" t="n">
        <f aca="false">1/(1+$B$27/100)^K4</f>
        <v>0.346439416114619</v>
      </c>
      <c r="L20" s="0" t="n">
        <f aca="false">1/(1+$B$27/100)^L4</f>
        <v>0.307946147657439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143243.977559556</v>
      </c>
      <c r="D21" s="0" t="n">
        <f aca="false">D19*D20</f>
        <v>112569.487003236</v>
      </c>
      <c r="E21" s="0" t="n">
        <f aca="false">E19*E20</f>
        <v>108893.238905238</v>
      </c>
      <c r="F21" s="0" t="n">
        <f aca="false">F19*F20</f>
        <v>132142.459933178</v>
      </c>
      <c r="G21" s="0" t="n">
        <f aca="false">G19*G20</f>
        <v>159856.488827797</v>
      </c>
      <c r="H21" s="0" t="n">
        <f aca="false">H19*H20</f>
        <v>186330.119269774</v>
      </c>
      <c r="I21" s="0" t="n">
        <f aca="false">I19*I20</f>
        <v>210602.790913913</v>
      </c>
      <c r="J21" s="0" t="n">
        <f aca="false">J19*J20</f>
        <v>232010.220850816</v>
      </c>
      <c r="K21" s="0" t="n">
        <f aca="false">K19*K20</f>
        <v>250190.358944461</v>
      </c>
      <c r="L21" s="0" t="n">
        <f aca="false">L19*L20</f>
        <v>264469.613935434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12.5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6.5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1800308.7561434</v>
      </c>
    </row>
    <row r="31" customFormat="false" ht="15" hidden="false" customHeight="false" outlineLevel="0" collapsed="false">
      <c r="A31" s="0" t="s">
        <v>138</v>
      </c>
      <c r="B31" s="0" t="n">
        <f aca="false">L19</f>
        <v>858817.737930048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15244014.8482583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15458719.2827409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15244014.8482583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4694335.64735395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6494644.40349736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6494644.40349736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18.5656792420848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-0.323408190886123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95003.4052343632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149884.115712805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19.2657180558875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10760481.0693588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12.0917227956389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83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16</v>
      </c>
      <c r="D5" s="4" t="n">
        <f aca="false">Assumptions!D41</f>
        <v>17</v>
      </c>
      <c r="E5" s="4" t="n">
        <f aca="false">Assumptions!E41</f>
        <v>17</v>
      </c>
      <c r="F5" s="4" t="n">
        <f aca="false">Assumptions!F41</f>
        <v>16</v>
      </c>
      <c r="G5" s="4" t="n">
        <f aca="false">Assumptions!G41</f>
        <v>15</v>
      </c>
      <c r="H5" s="4" t="n">
        <f aca="false">Assumptions!H41</f>
        <v>14</v>
      </c>
      <c r="I5" s="4" t="n">
        <f aca="false">Assumptions!I41</f>
        <v>12</v>
      </c>
      <c r="J5" s="4" t="n">
        <f aca="false">Assumptions!J41</f>
        <v>11</v>
      </c>
      <c r="K5" s="4" t="n">
        <f aca="false">Assumptions!K41</f>
        <v>10</v>
      </c>
      <c r="L5" s="4" t="n">
        <f aca="false">Assumptions!L41</f>
        <v>8</v>
      </c>
    </row>
    <row r="6" customFormat="false" ht="15" hidden="false" customHeight="false" outlineLevel="0" collapsed="false">
      <c r="A6" s="0" t="s">
        <v>38</v>
      </c>
      <c r="B6" s="3" t="n">
        <v>2230898</v>
      </c>
      <c r="C6" s="0" t="n">
        <f aca="false">B6*(1+C5/100)</f>
        <v>2587841.68</v>
      </c>
      <c r="D6" s="0" t="n">
        <f aca="false">C6*(1+D5/100)</f>
        <v>3027774.7656</v>
      </c>
      <c r="E6" s="0" t="n">
        <f aca="false">D6*(1+E5/100)</f>
        <v>3542496.475752</v>
      </c>
      <c r="F6" s="0" t="n">
        <f aca="false">E6*(1+F5/100)</f>
        <v>4109295.91187232</v>
      </c>
      <c r="G6" s="0" t="n">
        <f aca="false">F6*(1+G5/100)</f>
        <v>4725690.29865317</v>
      </c>
      <c r="H6" s="0" t="n">
        <f aca="false">G6*(1+H5/100)</f>
        <v>5387286.94046461</v>
      </c>
      <c r="I6" s="0" t="n">
        <f aca="false">H6*(1+I5/100)</f>
        <v>6033761.37332036</v>
      </c>
      <c r="J6" s="0" t="n">
        <f aca="false">I6*(1+J5/100)</f>
        <v>6697475.12438561</v>
      </c>
      <c r="K6" s="0" t="n">
        <f aca="false">J6*(1+K5/100)</f>
        <v>7367222.63682417</v>
      </c>
      <c r="L6" s="0" t="n">
        <f aca="false">K6*(1+L5/100)</f>
        <v>7956600.4477701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33.3</v>
      </c>
      <c r="D7" s="4" t="n">
        <f aca="false">Assumptions!D42</f>
        <v>33.6</v>
      </c>
      <c r="E7" s="4" t="n">
        <f aca="false">Assumptions!E42</f>
        <v>33.9</v>
      </c>
      <c r="F7" s="4" t="n">
        <f aca="false">Assumptions!F42</f>
        <v>34.2</v>
      </c>
      <c r="G7" s="4" t="n">
        <f aca="false">Assumptions!G42</f>
        <v>34.5</v>
      </c>
      <c r="H7" s="4" t="n">
        <f aca="false">Assumptions!H42</f>
        <v>34.5</v>
      </c>
      <c r="I7" s="4" t="n">
        <f aca="false">Assumptions!I42</f>
        <v>34.5</v>
      </c>
      <c r="J7" s="4" t="n">
        <f aca="false">Assumptions!J42</f>
        <v>34.5</v>
      </c>
      <c r="K7" s="4" t="n">
        <f aca="false">Assumptions!K42</f>
        <v>34.5</v>
      </c>
      <c r="L7" s="4" t="n">
        <f aca="false">Assumptions!L42</f>
        <v>34.5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861751.27944</v>
      </c>
      <c r="D8" s="0" t="n">
        <f aca="false">D6*D7/100</f>
        <v>1017332.3212416</v>
      </c>
      <c r="E8" s="0" t="n">
        <f aca="false">E6*E7/100</f>
        <v>1200906.30527993</v>
      </c>
      <c r="F8" s="0" t="n">
        <f aca="false">F6*F7/100</f>
        <v>1405379.20186033</v>
      </c>
      <c r="G8" s="0" t="n">
        <f aca="false">G6*G7/100</f>
        <v>1630363.15303534</v>
      </c>
      <c r="H8" s="0" t="n">
        <f aca="false">H6*H7/100</f>
        <v>1858613.99446029</v>
      </c>
      <c r="I8" s="0" t="n">
        <f aca="false">I6*I7/100</f>
        <v>2081647.67379553</v>
      </c>
      <c r="J8" s="0" t="n">
        <f aca="false">J6*J7/100</f>
        <v>2310628.91791303</v>
      </c>
      <c r="K8" s="0" t="n">
        <f aca="false">K6*K7/100</f>
        <v>2541691.80970434</v>
      </c>
      <c r="L8" s="0" t="n">
        <f aca="false">L6*L7/100</f>
        <v>2745027.15448068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0.43</v>
      </c>
      <c r="D9" s="4" t="n">
        <f aca="false">Assumptions!D43</f>
        <v>0.43</v>
      </c>
      <c r="E9" s="4" t="n">
        <f aca="false">Assumptions!E43</f>
        <v>0.43</v>
      </c>
      <c r="F9" s="4" t="n">
        <f aca="false">Assumptions!F43</f>
        <v>0.43</v>
      </c>
      <c r="G9" s="4" t="n">
        <f aca="false">Assumptions!G43</f>
        <v>0.43</v>
      </c>
      <c r="H9" s="4" t="n">
        <f aca="false">Assumptions!H43</f>
        <v>0.43</v>
      </c>
      <c r="I9" s="4" t="n">
        <f aca="false">Assumptions!I43</f>
        <v>0.43</v>
      </c>
      <c r="J9" s="4" t="n">
        <f aca="false">Assumptions!J43</f>
        <v>0.43</v>
      </c>
      <c r="K9" s="4" t="n">
        <f aca="false">Assumptions!K43</f>
        <v>0.43</v>
      </c>
      <c r="L9" s="4" t="n">
        <f aca="false">Assumptions!L43</f>
        <v>0.43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-11127.719224</v>
      </c>
      <c r="D10" s="0" t="n">
        <f aca="false">-D6*D9/100</f>
        <v>-13019.43149208</v>
      </c>
      <c r="E10" s="0" t="n">
        <f aca="false">-E6*E9/100</f>
        <v>-15232.7348457336</v>
      </c>
      <c r="F10" s="0" t="n">
        <f aca="false">-F6*F9/100</f>
        <v>-17669.972421051</v>
      </c>
      <c r="G10" s="0" t="n">
        <f aca="false">-G6*G9/100</f>
        <v>-20320.4682842086</v>
      </c>
      <c r="H10" s="0" t="n">
        <f aca="false">-H6*H9/100</f>
        <v>-23165.3338439978</v>
      </c>
      <c r="I10" s="0" t="n">
        <f aca="false">-I6*I9/100</f>
        <v>-25945.1739052776</v>
      </c>
      <c r="J10" s="0" t="n">
        <f aca="false">-J6*J9/100</f>
        <v>-28799.1430348581</v>
      </c>
      <c r="K10" s="0" t="n">
        <f aca="false">-K6*K9/100</f>
        <v>-31679.0573383439</v>
      </c>
      <c r="L10" s="0" t="n">
        <f aca="false">-L6*L9/100</f>
        <v>-34213.3819254114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850623.560216</v>
      </c>
      <c r="D11" s="0" t="n">
        <f aca="false">D8+D10+D24</f>
        <v>1004312.88974952</v>
      </c>
      <c r="E11" s="0" t="n">
        <f aca="false">E8+E10+E24</f>
        <v>1185673.57043419</v>
      </c>
      <c r="F11" s="0" t="n">
        <f aca="false">F8+F10+F24</f>
        <v>1387709.22943928</v>
      </c>
      <c r="G11" s="0" t="n">
        <f aca="false">G8+G10+G24</f>
        <v>1610042.68475113</v>
      </c>
      <c r="H11" s="0" t="n">
        <f aca="false">H8+H10+H24</f>
        <v>1835448.66061629</v>
      </c>
      <c r="I11" s="0" t="n">
        <f aca="false">I8+I10+I24</f>
        <v>2055702.49989025</v>
      </c>
      <c r="J11" s="0" t="n">
        <f aca="false">J8+J10+J24</f>
        <v>2281829.77487818</v>
      </c>
      <c r="K11" s="0" t="n">
        <f aca="false">K8+K10+K24</f>
        <v>2510012.75236599</v>
      </c>
      <c r="L11" s="0" t="n">
        <f aca="false">L8+L10+L24</f>
        <v>2710813.77255527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850623.560216</v>
      </c>
      <c r="D13" s="0" t="n">
        <f aca="false">D11+D12</f>
        <v>1004312.88974952</v>
      </c>
      <c r="E13" s="0" t="n">
        <f aca="false">E11+E12</f>
        <v>1185673.57043419</v>
      </c>
      <c r="F13" s="0" t="n">
        <f aca="false">F11+F12</f>
        <v>1387709.22943928</v>
      </c>
      <c r="G13" s="0" t="n">
        <f aca="false">G11+G12</f>
        <v>1610042.68475113</v>
      </c>
      <c r="H13" s="0" t="n">
        <f aca="false">H11+H12</f>
        <v>1835448.66061629</v>
      </c>
      <c r="I13" s="0" t="n">
        <f aca="false">I11+I12</f>
        <v>2055702.49989025</v>
      </c>
      <c r="J13" s="0" t="n">
        <f aca="false">J11+J12</f>
        <v>2281829.77487818</v>
      </c>
      <c r="K13" s="0" t="n">
        <f aca="false">K11+K12</f>
        <v>2510012.75236599</v>
      </c>
      <c r="L13" s="0" t="n">
        <f aca="false">L11+L12</f>
        <v>2710813.77255527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637967.670162</v>
      </c>
      <c r="D15" s="0" t="n">
        <f aca="false">D13-MAX(0,D13)*D14/100</f>
        <v>753234.66731214</v>
      </c>
      <c r="E15" s="0" t="n">
        <f aca="false">E13-MAX(0,E13)*E14/100</f>
        <v>889255.177825646</v>
      </c>
      <c r="F15" s="0" t="n">
        <f aca="false">F13-MAX(0,F13)*F14/100</f>
        <v>1040781.92207946</v>
      </c>
      <c r="G15" s="0" t="n">
        <f aca="false">G13-MAX(0,G13)*G14/100</f>
        <v>1207532.01356335</v>
      </c>
      <c r="H15" s="0" t="n">
        <f aca="false">H13-MAX(0,H13)*H14/100</f>
        <v>1376586.49546222</v>
      </c>
      <c r="I15" s="0" t="n">
        <f aca="false">I13-MAX(0,I13)*I14/100</f>
        <v>1541776.87491769</v>
      </c>
      <c r="J15" s="0" t="n">
        <f aca="false">J13-MAX(0,J13)*J14/100</f>
        <v>1711372.33115863</v>
      </c>
      <c r="K15" s="0" t="n">
        <f aca="false">K13-MAX(0,K13)*K14/100</f>
        <v>1882509.5642745</v>
      </c>
      <c r="L15" s="0" t="n">
        <f aca="false">L13-MAX(0,L13)*L14/100</f>
        <v>2033110.32941645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-528178.486888</v>
      </c>
      <c r="D17" s="4" t="n">
        <f aca="false">-D6*Assumptions!D46/100</f>
        <v>-650971.574604</v>
      </c>
      <c r="E17" s="4" t="n">
        <f aca="false">-E6*Assumptions!E46/100</f>
        <v>-761636.74228668</v>
      </c>
      <c r="F17" s="4" t="n">
        <f aca="false">-F6*Assumptions!F46/100</f>
        <v>-838707.29561314</v>
      </c>
      <c r="G17" s="4" t="n">
        <f aca="false">-G6*Assumptions!G46/100</f>
        <v>-912058.227640061</v>
      </c>
      <c r="H17" s="4" t="n">
        <f aca="false">-H6*Assumptions!H46/100</f>
        <v>-979408.765776466</v>
      </c>
      <c r="I17" s="4" t="n">
        <f aca="false">-I6*Assumptions!I46/100</f>
        <v>-956954.55380861</v>
      </c>
      <c r="J17" s="4" t="n">
        <f aca="false">-J6*Assumptions!J46/100</f>
        <v>-982519.600747368</v>
      </c>
      <c r="K17" s="4" t="n">
        <f aca="false">-K6*Assumptions!K46/100</f>
        <v>-990891.44465285</v>
      </c>
      <c r="L17" s="4" t="n">
        <f aca="false">-L6*Assumptions!L46/100</f>
        <v>-872043.409075603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109789.183274</v>
      </c>
      <c r="D19" s="0" t="n">
        <f aca="false">D15+D16+D17+D18</f>
        <v>102263.09270814</v>
      </c>
      <c r="E19" s="0" t="n">
        <f aca="false">E15+E16+E17+E18</f>
        <v>127618.435538966</v>
      </c>
      <c r="F19" s="0" t="n">
        <f aca="false">F15+F16+F17+F18</f>
        <v>202074.626466321</v>
      </c>
      <c r="G19" s="0" t="n">
        <f aca="false">G15+G16+G17+G18</f>
        <v>295473.785923289</v>
      </c>
      <c r="H19" s="0" t="n">
        <f aca="false">H15+H16+H17+H18</f>
        <v>397177.729685754</v>
      </c>
      <c r="I19" s="0" t="n">
        <f aca="false">I15+I16+I17+I18</f>
        <v>584822.321109076</v>
      </c>
      <c r="J19" s="0" t="n">
        <f aca="false">J15+J16+J17+J18</f>
        <v>728852.730411263</v>
      </c>
      <c r="K19" s="0" t="n">
        <f aca="false">K15+K16+K17+K18</f>
        <v>891618.119621645</v>
      </c>
      <c r="L19" s="0" t="n">
        <f aca="false">L15+L16+L17+L18</f>
        <v>1161066.92034085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0.888888888888889</v>
      </c>
      <c r="D20" s="0" t="n">
        <f aca="false">1/(1+$B$27/100)^D4</f>
        <v>0.790123456790123</v>
      </c>
      <c r="E20" s="0" t="n">
        <f aca="false">1/(1+$B$27/100)^E4</f>
        <v>0.702331961591221</v>
      </c>
      <c r="F20" s="0" t="n">
        <f aca="false">1/(1+$B$27/100)^F4</f>
        <v>0.624295076969974</v>
      </c>
      <c r="G20" s="0" t="n">
        <f aca="false">1/(1+$B$27/100)^G4</f>
        <v>0.554928957306644</v>
      </c>
      <c r="H20" s="0" t="n">
        <f aca="false">1/(1+$B$27/100)^H4</f>
        <v>0.493270184272572</v>
      </c>
      <c r="I20" s="0" t="n">
        <f aca="false">1/(1+$B$27/100)^I4</f>
        <v>0.438462386020064</v>
      </c>
      <c r="J20" s="0" t="n">
        <f aca="false">1/(1+$B$27/100)^J4</f>
        <v>0.389744343128946</v>
      </c>
      <c r="K20" s="0" t="n">
        <f aca="false">1/(1+$B$27/100)^K4</f>
        <v>0.346439416114619</v>
      </c>
      <c r="L20" s="0" t="n">
        <f aca="false">1/(1+$B$27/100)^L4</f>
        <v>0.307946147657439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97590.3851324443</v>
      </c>
      <c r="D21" s="0" t="n">
        <f aca="false">D19*D20</f>
        <v>80800.4683126045</v>
      </c>
      <c r="E21" s="0" t="n">
        <f aca="false">E19*E20</f>
        <v>89630.5061672847</v>
      </c>
      <c r="F21" s="0" t="n">
        <f aca="false">F19*F20</f>
        <v>126154.194483471</v>
      </c>
      <c r="G21" s="0" t="n">
        <f aca="false">G19*G20</f>
        <v>163966.959933857</v>
      </c>
      <c r="H21" s="0" t="n">
        <f aca="false">H19*H20</f>
        <v>195915.931911054</v>
      </c>
      <c r="I21" s="0" t="n">
        <f aca="false">I19*I20</f>
        <v>256422.590311278</v>
      </c>
      <c r="J21" s="0" t="n">
        <f aca="false">J19*J20</f>
        <v>284066.228651876</v>
      </c>
      <c r="K21" s="0" t="n">
        <f aca="false">K19*K20</f>
        <v>308891.660758937</v>
      </c>
      <c r="L21" s="0" t="n">
        <f aca="false">L19*L20</f>
        <v>357546.085291452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12.5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7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1960985.01095426</v>
      </c>
    </row>
    <row r="31" customFormat="false" ht="15" hidden="false" customHeight="false" outlineLevel="0" collapsed="false">
      <c r="A31" s="0" t="s">
        <v>138</v>
      </c>
      <c r="B31" s="0" t="n">
        <f aca="false">L19</f>
        <v>1161066.92034085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22588029.1775402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23221338.406817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22588029.1775402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6955896.56839733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8916881.57935159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8916881.57935159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25.4899195332001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-0.0710670724052434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108722.201531648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204970.740065846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26.3866464627098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15529270.0595589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15.8024884585376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13.3051806234188</v>
      </c>
      <c r="C4" s="0" t="n">
        <f aca="false">B4/Assumptions!$B$2-1</f>
        <v>-0.51511732421943</v>
      </c>
      <c r="D4" s="4" t="n">
        <f aca="false">Assumptions!$B$24</f>
        <v>0.2</v>
      </c>
      <c r="E4" s="4" t="n">
        <f aca="false">DCF_Bear!$B$43</f>
        <v>13.8005074734047</v>
      </c>
      <c r="F4" s="4" t="n">
        <f aca="false">DCF_Bear!$B$47</f>
        <v>9.51596835259729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18.5656792420848</v>
      </c>
      <c r="C5" s="0" t="n">
        <f aca="false">B5/Assumptions!$B$2-1</f>
        <v>-0.323408190886123</v>
      </c>
      <c r="D5" s="4" t="n">
        <f aca="false">Assumptions!$B$38</f>
        <v>0.5</v>
      </c>
      <c r="E5" s="4" t="n">
        <f aca="false">DCF_Base!$B$43</f>
        <v>19.2657180558875</v>
      </c>
      <c r="F5" s="4" t="n">
        <f aca="false">DCF_Base!$B$47</f>
        <v>12.0917227956389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25.4899195332001</v>
      </c>
      <c r="C6" s="0" t="n">
        <f aca="false">B6/Assumptions!$B$2-1</f>
        <v>-0.0710670724052434</v>
      </c>
      <c r="D6" s="4" t="n">
        <f aca="false">Assumptions!$B$52</f>
        <v>0.3</v>
      </c>
      <c r="E6" s="4" t="n">
        <f aca="false">DCF_Bull!$B$43</f>
        <v>26.3866464627098</v>
      </c>
      <c r="F6" s="4" t="n">
        <f aca="false">DCF_Bull!$B$47</f>
        <v>15.8024884585376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19.5908516056862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20.3089544614376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-0.400653761883205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1093.03957385057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12.6898016059002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24.9746020605728</v>
      </c>
      <c r="C15" s="3" t="n">
        <v>9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22.9803204284658</v>
      </c>
      <c r="C16" s="3" t="n">
        <v>10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21.1688473709671</v>
      </c>
      <c r="C17" s="3" t="n">
        <v>11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19.5217711151685</v>
      </c>
      <c r="C18" s="3" t="n">
        <v>12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18.5656792420848</v>
      </c>
      <c r="C19" s="3" t="n">
        <v>12.5</v>
      </c>
    </row>
    <row r="20" customFormat="false" ht="15" hidden="false" customHeight="false" outlineLevel="0" collapsed="false">
      <c r="A20" s="0" t="s">
        <v>174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12.0917227956389</v>
      </c>
      <c r="C20" s="3" t="n">
        <v>15</v>
      </c>
    </row>
    <row r="22" customFormat="false" ht="15" hidden="false" customHeight="false" outlineLevel="0" collapsed="false">
      <c r="A22" s="2" t="s">
        <v>175</v>
      </c>
    </row>
    <row r="23" customFormat="false" ht="15" hidden="false" customHeight="false" outlineLevel="0" collapsed="false">
      <c r="B23" s="3" t="n">
        <v>5.5</v>
      </c>
      <c r="C23" s="3" t="n">
        <v>6</v>
      </c>
      <c r="D23" s="3" t="n">
        <v>6.5</v>
      </c>
      <c r="E23" s="3" t="n">
        <v>7</v>
      </c>
      <c r="F23" s="3" t="n">
        <v>7.5</v>
      </c>
    </row>
    <row r="24" customFormat="false" ht="15" hidden="false" customHeight="false" outlineLevel="0" collapsed="false">
      <c r="A24" s="3" t="n">
        <v>10.5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22.0529335542025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22.0529335542025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22.0529335542025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22.0529335542025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22.0529335542025</v>
      </c>
    </row>
    <row r="25" customFormat="false" ht="15" hidden="false" customHeight="false" outlineLevel="0" collapsed="false">
      <c r="A25" s="3" t="n">
        <v>11.5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19.9814026058031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20.3258291035555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20.3258291035555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20.3258291035555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20.3258291035555</v>
      </c>
    </row>
    <row r="26" customFormat="false" ht="15" hidden="false" customHeight="false" outlineLevel="0" collapsed="false">
      <c r="A26" s="3" t="n">
        <v>12.5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16.5406351731267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17.4752708972612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18.5656792420848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18.7546833551876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18.7546833551876</v>
      </c>
    </row>
    <row r="27" customFormat="false" ht="15" hidden="false" customHeight="false" outlineLevel="0" collapsed="false">
      <c r="A27" s="3" t="n">
        <v>13.5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13.9938174887841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14.6483217393898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15.3963265972248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16.2594091254961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17.2663387418125</v>
      </c>
    </row>
    <row r="28" customFormat="false" ht="15" hidden="false" customHeight="false" outlineLevel="0" collapsed="false">
      <c r="A28" s="3" t="n">
        <v>14.5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12.040658057081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12.5150263581682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13.0486906968913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13.6535102807775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14.3447326623617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2026-10-03T22:59:58Z</dcterms:created>
  <dc:creator>openpyxl</dc:creator>
  <dc:description/>
  <dc:language>en-NZ</dc:language>
  <cp:lastModifiedBy/>
  <dcterms:modified xsi:type="dcterms:W3CDTF">2026-10-03T22:59:58Z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