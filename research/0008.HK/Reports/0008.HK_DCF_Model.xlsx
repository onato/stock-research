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um-of-Part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  <font>
      <b val="1"/>
      <sz val="12"/>
    </font>
    <font>
      <b val="1"/>
      <color rgb="00FFFFFF"/>
      <sz val="12"/>
    </font>
    <font>
      <b val="1"/>
    </font>
    <font>
      <b val="1"/>
      <sz val="9"/>
    </font>
    <font>
      <b val="1"/>
      <color rgb="00FFFFFF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164" fontId="6" fillId="3" borderId="0" pivotButton="0" quotePrefix="0" xfId="0"/>
    <xf numFmtId="2" fontId="0" fillId="4" borderId="0" pivotButton="0" quotePrefix="0" xfId="0"/>
    <xf numFmtId="10" fontId="0" fillId="4" borderId="0" pivotButton="0" quotePrefix="0" xfId="0"/>
    <xf numFmtId="0" fontId="0" fillId="4" borderId="0" pivotButton="0" quotePrefix="0" xfId="0"/>
    <xf numFmtId="2" fontId="4" fillId="3" borderId="0" pivotButton="0" quotePrefix="0" xfId="0"/>
    <xf numFmtId="9" fontId="0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0" customWidth="1" min="3" max="3"/>
  </cols>
  <sheetData>
    <row r="1">
      <c r="A1" s="1" t="inlineStr">
        <is>
          <t>PCCW Limited (0008.HK) -- Holdco Sum-of-Parts Valuation</t>
        </is>
      </c>
    </row>
    <row r="3">
      <c r="A3" s="2" t="inlineStr">
        <is>
          <t>Valuation date</t>
        </is>
      </c>
      <c r="B3" t="inlineStr">
        <is>
          <t>2026-09-26</t>
        </is>
      </c>
      <c r="C3" s="3" t="inlineStr"/>
    </row>
    <row r="4">
      <c r="A4" s="2" t="inlineStr">
        <is>
          <t>Current price (HKD)</t>
        </is>
      </c>
      <c r="B4" t="n">
        <v>5.215</v>
      </c>
      <c r="C4" s="3" t="inlineStr">
        <is>
          <t>Yahoo Finance, 2026-09-25T08:08:12Z regular close</t>
        </is>
      </c>
    </row>
    <row r="5">
      <c r="A5" s="2" t="inlineStr">
        <is>
          <t>Model</t>
        </is>
      </c>
      <c r="B5" t="inlineStr">
        <is>
          <t>Holdco sum-of-parts (HKT stake at market value + own media/other businesses, less PCCW-level net debt and perpetual capital securities) -- not an owner-FCF DCF</t>
        </is>
      </c>
      <c r="C5" s="3" t="inlineStr"/>
    </row>
    <row r="6">
      <c r="A6" s="2" t="inlineStr"/>
      <c r="C6" s="3" t="inlineStr"/>
    </row>
    <row r="7">
      <c r="A7" s="4" t="inlineStr">
        <is>
          <t>KEY STRUCTURAL FACT</t>
        </is>
      </c>
      <c r="C7" s="3" t="inlineStr"/>
    </row>
    <row r="8">
      <c r="A8" s="2" t="inlineStr">
        <is>
          <t>PCCW's economic interest in HKT (6823.HK)</t>
        </is>
      </c>
      <c r="B8" t="n">
        <v>0.5222</v>
      </c>
      <c r="C8" s="3" t="inlineStr">
        <is>
          <t>HKT Trust and HKT Limited FY2025 Annual Report, substantial shareholders table: PCCW/CAS Holding No. 1 Limited holds 3,959,683,681 of 7,582,695,674 total Share Stapled Units in issue (52.22%)</t>
        </is>
      </c>
    </row>
    <row r="9">
      <c r="A9" s="2" t="inlineStr">
        <is>
          <t>HKT share price used</t>
        </is>
      </c>
      <c r="B9" t="n">
        <v>12.25</v>
      </c>
      <c r="C9" s="3" t="inlineStr">
        <is>
          <t>2026-09-25T08:08:12Z (Yahoo Finance regular close), 52-week range 10.90-13.58</t>
        </is>
      </c>
    </row>
    <row r="10">
      <c r="A10" s="2" t="inlineStr">
        <is>
          <t>HKT total Share Stapled Units in issue (m)</t>
        </is>
      </c>
      <c r="B10" t="n">
        <v>7582.7</v>
      </c>
      <c r="C10" s="3" t="inlineStr">
        <is>
          <t>HKT FY2025 annual report</t>
        </is>
      </c>
    </row>
    <row r="11">
      <c r="A11" s="2" t="inlineStr"/>
      <c r="C11" s="3" t="inlineStr"/>
    </row>
    <row r="12">
      <c r="A12" s="2" t="inlineStr">
        <is>
          <t>Why not owner-FCF DCF?</t>
        </is>
      </c>
      <c r="C12" s="3" t="inlineStr">
        <is>
          <t>PCCW's own attributable net income has been negative 2 years running (-253 FY25, -300 FY24) because ~48% of HKT's profit + Viu minority is stripped out as NCI before reaching PCCW shareholders. Consolidated group FCF belongs mostly to HKT's non-controlling unitholders, not PCCW. See valuation_philosophy in the JSON for the full reasoning.</t>
        </is>
      </c>
    </row>
    <row r="14">
      <c r="A14" s="5" t="inlineStr">
        <is>
          <t>Scenario summary</t>
        </is>
      </c>
    </row>
    <row r="15">
      <c r="A15" s="6" t="inlineStr">
        <is>
          <t>Scenario</t>
        </is>
      </c>
      <c r="B15" s="6" t="inlineStr">
        <is>
          <t>Intrinsic Value/sh</t>
        </is>
      </c>
      <c r="C15" s="6" t="inlineStr">
        <is>
          <t>Upside vs current</t>
        </is>
      </c>
    </row>
    <row r="16">
      <c r="A16" t="inlineStr">
        <is>
          <t>Bear</t>
        </is>
      </c>
      <c r="B16" t="n">
        <v>3.08</v>
      </c>
      <c r="C16" s="7" t="n">
        <v>-0.409</v>
      </c>
    </row>
    <row r="17">
      <c r="A17" t="inlineStr">
        <is>
          <t>Base</t>
        </is>
      </c>
      <c r="B17" t="n">
        <v>3.93</v>
      </c>
      <c r="C17" s="7" t="n">
        <v>-0.246</v>
      </c>
    </row>
    <row r="18">
      <c r="A18" t="inlineStr">
        <is>
          <t>Bull</t>
        </is>
      </c>
      <c r="B18" t="n">
        <v>4.78</v>
      </c>
      <c r="C18" s="7" t="n">
        <v>-0.08400000000000001</v>
      </c>
    </row>
    <row r="19">
      <c r="A19" s="8" t="inlineStr">
        <is>
          <t>Probability-weighted</t>
        </is>
      </c>
      <c r="B19" s="9" t="n">
        <v>3.89</v>
      </c>
      <c r="C19" s="10" t="n">
        <v>-0.254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Sum-of-Parts Build (live formulas)</t>
        </is>
      </c>
    </row>
    <row r="3">
      <c r="A3" s="6" t="inlineStr">
        <is>
          <t>Scenario</t>
        </is>
      </c>
      <c r="B3" s="6" t="inlineStr">
        <is>
          <t>Bear</t>
        </is>
      </c>
      <c r="C3" s="6" t="inlineStr">
        <is>
          <t>Base</t>
        </is>
      </c>
      <c r="D3" s="6" t="inlineStr">
        <is>
          <t>Bull</t>
        </is>
      </c>
    </row>
    <row r="4">
      <c r="A4" s="2" t="inlineStr">
        <is>
          <t>HKT share price (HKD)</t>
        </is>
      </c>
      <c r="B4" s="11" t="n">
        <v>10.9</v>
      </c>
      <c r="C4" s="11" t="n">
        <v>12.25</v>
      </c>
      <c r="D4" s="11" t="n">
        <v>13.58</v>
      </c>
    </row>
    <row r="5">
      <c r="A5" s="2" t="inlineStr">
        <is>
          <t>PCCW economic interest in HKT (%)</t>
        </is>
      </c>
      <c r="B5" s="12" t="n">
        <v>0.5222</v>
      </c>
      <c r="C5" s="12" t="n">
        <v>0.5222</v>
      </c>
      <c r="D5" s="12" t="n">
        <v>0.5222</v>
      </c>
    </row>
    <row r="6">
      <c r="A6" t="inlineStr">
        <is>
          <t>HKT total units in issue (m)</t>
        </is>
      </c>
      <c r="B6" s="13" t="n">
        <v>7582.7</v>
      </c>
      <c r="C6" s="13" t="n">
        <v>7582.7</v>
      </c>
      <c r="D6" s="13" t="n">
        <v>7582.7</v>
      </c>
    </row>
    <row r="7">
      <c r="A7" t="inlineStr">
        <is>
          <t>HKT market cap (HK$m)</t>
        </is>
      </c>
      <c r="B7">
        <f>B4*B6</f>
        <v/>
      </c>
      <c r="C7">
        <f>C4*C6</f>
        <v/>
      </c>
      <c r="D7">
        <f>D4*D6</f>
        <v/>
      </c>
    </row>
    <row r="8">
      <c r="A8" t="inlineStr">
        <is>
          <t>PCCW's stake value (HK$m)</t>
        </is>
      </c>
      <c r="B8" s="8">
        <f>B7*B5</f>
        <v/>
      </c>
      <c r="C8" s="8">
        <f>C7*C5</f>
        <v/>
      </c>
      <c r="D8" s="8">
        <f>D7*D5</f>
        <v/>
      </c>
    </row>
    <row r="9">
      <c r="A9" s="2" t="inlineStr">
        <is>
          <t>Media/Other businesses EV (HK$m)</t>
        </is>
      </c>
      <c r="B9" s="13" t="n">
        <v>0</v>
      </c>
      <c r="C9" s="13" t="n">
        <v>1200</v>
      </c>
      <c r="D9" s="13" t="n">
        <v>2500</v>
      </c>
    </row>
    <row r="10">
      <c r="A10" t="inlineStr">
        <is>
          <t>Gross asset value (HK$m)</t>
        </is>
      </c>
      <c r="B10" s="8">
        <f>B8+B9</f>
        <v/>
      </c>
      <c r="C10" s="8">
        <f>C8+C9</f>
        <v/>
      </c>
      <c r="D10" s="8">
        <f>D8+D9</f>
        <v/>
      </c>
    </row>
    <row r="11">
      <c r="A11" s="2" t="inlineStr">
        <is>
          <t>less: PCCW-level net debt (HK$m)</t>
        </is>
      </c>
      <c r="B11" s="13" t="n">
        <v>13712</v>
      </c>
      <c r="C11" s="13" t="n">
        <v>13712</v>
      </c>
      <c r="D11" s="13" t="n">
        <v>13712</v>
      </c>
    </row>
    <row r="12">
      <c r="A12" s="2" t="inlineStr">
        <is>
          <t>less: Perpetual capital securities (HK$m)</t>
        </is>
      </c>
      <c r="B12" s="13" t="n">
        <v>5590</v>
      </c>
      <c r="C12" s="13" t="n">
        <v>5590</v>
      </c>
      <c r="D12" s="13" t="n">
        <v>5590</v>
      </c>
    </row>
    <row r="13">
      <c r="A13" t="inlineStr">
        <is>
          <t>Equity value (HK$m)</t>
        </is>
      </c>
      <c r="B13" s="9">
        <f>B10-B11-B12</f>
        <v/>
      </c>
      <c r="C13" s="9">
        <f>C10-C11-C12</f>
        <v/>
      </c>
      <c r="D13" s="9">
        <f>D10-D11-D12</f>
        <v/>
      </c>
    </row>
    <row r="14">
      <c r="A14" t="inlineStr">
        <is>
          <t>Fully diluted shares (m)</t>
        </is>
      </c>
      <c r="B14" t="n">
        <v>7741.7</v>
      </c>
      <c r="C14" t="n">
        <v>7741.7</v>
      </c>
      <c r="D14" t="n">
        <v>7741.7</v>
      </c>
    </row>
    <row r="15">
      <c r="A15" t="inlineStr">
        <is>
          <t>Intrinsic value per share (HKD)</t>
        </is>
      </c>
      <c r="B15" s="14">
        <f>B13/B14</f>
        <v/>
      </c>
      <c r="C15" s="14">
        <f>C13/C14</f>
        <v/>
      </c>
      <c r="D15" s="14">
        <f>D13/D14</f>
        <v/>
      </c>
    </row>
    <row r="17">
      <c r="A17" t="inlineStr">
        <is>
          <t>Current price (HKD)</t>
        </is>
      </c>
      <c r="B17" t="n">
        <v>5.215</v>
      </c>
      <c r="C17" t="n">
        <v>5.215</v>
      </c>
      <c r="D17" t="n">
        <v>5.215</v>
      </c>
    </row>
    <row r="18">
      <c r="A18" t="inlineStr">
        <is>
          <t>Upside / (downside)</t>
        </is>
      </c>
      <c r="B18" s="7">
        <f>B15/B17-1</f>
        <v/>
      </c>
      <c r="C18" s="7">
        <f>C15/C17-1</f>
        <v/>
      </c>
      <c r="D18" s="7">
        <f>D15/D17-1</f>
        <v/>
      </c>
    </row>
    <row r="20">
      <c r="A20" t="inlineStr">
        <is>
          <t>Probability weight</t>
        </is>
      </c>
      <c r="B20" s="15" t="n">
        <v>0.3</v>
      </c>
      <c r="C20" s="15" t="n">
        <v>0.45</v>
      </c>
      <c r="D20" s="15" t="n">
        <v>0.25</v>
      </c>
    </row>
    <row r="21">
      <c r="A21" t="inlineStr">
        <is>
          <t>Probability-weighted intrinsic value (HKD)</t>
        </is>
      </c>
      <c r="B21" s="14">
        <f>B15*B20+C15*C20+D15*D20</f>
        <v/>
      </c>
    </row>
    <row r="22">
      <c r="A22" t="inlineStr">
        <is>
          <t>Weighted upside / (downside)</t>
        </is>
      </c>
      <c r="B22" s="7">
        <f>B21/B17-1</f>
        <v/>
      </c>
    </row>
    <row r="25">
      <c r="A25" s="8" t="inlineStr">
        <is>
          <t>PCCW-level net debt reconciliation (HK$m)</t>
        </is>
      </c>
    </row>
    <row r="26">
      <c r="A26" t="inlineStr">
        <is>
          <t>PCCW consolidated total borrowings</t>
        </is>
      </c>
      <c r="B26" t="n">
        <v>58922</v>
      </c>
    </row>
    <row r="27">
      <c r="A27" t="inlineStr">
        <is>
          <t>less: PCCW consolidated cash</t>
        </is>
      </c>
      <c r="B27" t="n">
        <v>-2592</v>
      </c>
    </row>
    <row r="28">
      <c r="A28" t="inlineStr">
        <is>
          <t>= PCCW consolidated net debt</t>
        </is>
      </c>
      <c r="B28">
        <f>B26+B27</f>
        <v/>
      </c>
    </row>
    <row r="29">
      <c r="A29" t="inlineStr">
        <is>
          <t>less: HKT's own total borrowings</t>
        </is>
      </c>
      <c r="B29" t="n">
        <v>-44575</v>
      </c>
    </row>
    <row r="30">
      <c r="A30" t="inlineStr">
        <is>
          <t>plus: HKT's own cash</t>
        </is>
      </c>
      <c r="B30" t="n">
        <v>1957</v>
      </c>
    </row>
    <row r="31">
      <c r="A31" t="inlineStr">
        <is>
          <t>= PCCW-level (above-HKT) net debt</t>
        </is>
      </c>
      <c r="B31" s="8">
        <f>B28+B29+B30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Sensitivity: HKT price x PCCW-level net debt</t>
        </is>
      </c>
    </row>
    <row r="3">
      <c r="A3" s="16" t="inlineStr">
        <is>
          <t>PCCW-level net debt (HK$m) \ HKT price (HKD)</t>
        </is>
      </c>
      <c r="B3" s="17" t="n">
        <v>10.9</v>
      </c>
      <c r="C3" s="17" t="n">
        <v>11.5</v>
      </c>
      <c r="D3" s="17" t="n">
        <v>12.25</v>
      </c>
      <c r="E3" s="17" t="n">
        <v>12.9</v>
      </c>
      <c r="F3" s="17" t="n">
        <v>13.58</v>
      </c>
    </row>
    <row r="4">
      <c r="A4" s="8" t="n">
        <v>11655.2</v>
      </c>
      <c r="B4" t="n">
        <v>3.5</v>
      </c>
      <c r="C4" t="n">
        <v>3.81</v>
      </c>
      <c r="D4" t="n">
        <v>4.19</v>
      </c>
      <c r="E4" t="n">
        <v>4.53</v>
      </c>
      <c r="F4" t="n">
        <v>4.87</v>
      </c>
    </row>
    <row r="5">
      <c r="A5" s="8" t="n">
        <v>12683.6</v>
      </c>
      <c r="B5" t="n">
        <v>3.37</v>
      </c>
      <c r="C5" t="n">
        <v>3.68</v>
      </c>
      <c r="D5" t="n">
        <v>4.06</v>
      </c>
      <c r="E5" t="n">
        <v>4.39</v>
      </c>
      <c r="F5" t="n">
        <v>4.74</v>
      </c>
    </row>
    <row r="6">
      <c r="A6" s="8" t="n">
        <v>13712</v>
      </c>
      <c r="B6" t="n">
        <v>3.24</v>
      </c>
      <c r="C6" t="n">
        <v>3.54</v>
      </c>
      <c r="D6" t="n">
        <v>3.93</v>
      </c>
      <c r="E6" t="n">
        <v>4.26</v>
      </c>
      <c r="F6" t="n">
        <v>4.61</v>
      </c>
    </row>
    <row r="7">
      <c r="A7" s="8" t="n">
        <v>14740.4</v>
      </c>
      <c r="B7" t="n">
        <v>3.1</v>
      </c>
      <c r="C7" t="n">
        <v>3.41</v>
      </c>
      <c r="D7" t="n">
        <v>3.79</v>
      </c>
      <c r="E7" t="n">
        <v>4.13</v>
      </c>
      <c r="F7" t="n">
        <v>4.47</v>
      </c>
    </row>
    <row r="8">
      <c r="A8" s="8" t="n">
        <v>15768.8</v>
      </c>
      <c r="B8" t="n">
        <v>2.97</v>
      </c>
      <c r="C8" t="n">
        <v>3.28</v>
      </c>
      <c r="D8" t="n">
        <v>3.66</v>
      </c>
      <c r="E8" t="n">
        <v>3.99</v>
      </c>
      <c r="F8" t="n">
        <v>4.34</v>
      </c>
    </row>
    <row r="9">
      <c r="A9" s="18" t="inlineStr">
        <is>
          <t>Note: static illustrative grid (matches JSON sensitivity.matrix); not cross-linked to Sum-of-Parts sheet cells.</t>
        </is>
      </c>
    </row>
    <row r="99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2026-09-25T17:43:48Z</dcterms:created>
  <dcterms:modified xsi:type="dcterms:W3CDTF">2026-09-25T17:43:52Z</dcterms:modified>
</cp:coreProperties>
</file>