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<sst xmlns="http://schemas.openxmlformats.org/spreadsheetml/2006/main" count="354" uniqueCount="164">
  <si>
    <t xml:space="preserve">Ticker</t>
  </si>
  <si>
    <t xml:space="preserve">SN.L</t>
  </si>
  <si>
    <t xml:space="preserve">Company</t>
  </si>
  <si>
    <t xml:space="preserve">Smith &amp; Nephew plc</t>
  </si>
  <si>
    <t xml:space="preserve">Valuation date</t>
  </si>
  <si>
    <t xml:space="preserve">2026-10-10</t>
  </si>
  <si>
    <t xml:space="preserve">Current price</t>
  </si>
  <si>
    <t xml:space="preserve">Price as of</t>
  </si>
  <si>
    <t xml:space="preserve">2026-10-09T15:35:21Z (LSE closing auction, regular close)</t>
  </si>
  <si>
    <t xml:space="preserve">Balance sheet date</t>
  </si>
  <si>
    <t xml:space="preserve">2026-06-27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</si>
  <si>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</si>
  <si>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</si>
  <si>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</si>
  <si>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</si>
  <si>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</si>
  <si>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GBp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</si>
  <si>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</si>
  <si>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</si>
  <si>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</si>
  <si>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</si>
  <si>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</si>
  <si>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2026-10-10T01:40:02Z</t>
  </si>
  <si>
    <t xml:space="preserve">Drivers file</t>
  </si>
  <si>
    <t xml:space="preserve">SN.L_Drivers.json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</si>
  <si>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</si>
  <si>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</si>
  <si>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</si>
  <si>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 in USD, converted to pence at the spot GBP/USD rate. The company's own adjusted EBITDA and trading profit are NOT taken at face value: recurring restructuring, integration and legal cash (~$130m/yr, $150m+ in 2024) is charged inside the owner margin because this company has restructured every year for a decade. SBC is small and fully expensed; the count is held flat. Leases are an operating cost, so net debt excludes lease liabilities. Interest income is left in because the company is a net-debt issuer. Risk is charged once, in the scenario flows and the 25/50/25 weights, at a single 8.0% USD WACC. The terminal value is capped at 18x year-10 owner FCF (15x in the bear), roughly the market's mature-medtech multiple and well below large-cap peers, so no re-rating is assumed. The Cevian break-up option and any fair-value uplift on the Bioventus stake are deliberately left out of the numbers.
key_risks_to_valuation: FX: the GBp value moves one-for-one with GBP/USD; the fx_rate is dated 2026-10-09 and is not refreshed by price refreshes.; Margin basis: if the 2026 restructuring wave really is the last, the owner margin is ~1pp too low and value ~8-10% too low; if a third wave follows, the bear is the base.; US Orthopaedics share: every 1pp of sustained growth across the horizon is worth roughly 8-10% of value; LANDMARK's 2027 ramp is the single biggest swing factor.; Working-capital release: the $500m inventory programme is assumed to largely offset NWC growth; if it stalls the base loses ~$50m/yr of FCF.; Terminal cap: at 8% WACC and 2.5% growth Gordon implies ~18.6x, so the 18x cap binds in base and bull; value is terminal-heavy (&gt;55%) as for any mature compounder.; Contingent liabilities not in the bridge: legacy earn-outs (CartiHeal) and product-liability exposure are unquantified.</t>
  </si>
  <si>
    <t xml:space="preserve">Data sources</t>
  </si>
  <si>
    <t xml:space="preserve">price: Yahoo Finance chart API for SN.L (GBp) at inputs.price_as_of; 52-week range 980.4-1426.59p. GBPUSD=X and the SNN ADR used for the fx_note parity check.
financials: SN.L_Metrics.csv (FY2018-FY2025 annual, H1 FY2019-H1 FY2026 interim, USD millions) derived from the FY2019-FY2025 Annual Reports (20-F form) and the H1 FY2026 results release; balance-sheet anchors from the H1 FY2026 condensed statements and Note 6 (net debt); adjusted EBITDA and trading-profit reconciliations from the FY2025 Annual Report non-IFRS section.
qualitative: SN.L_Analysis.json (2026-10-10): RISE 2026-28 targets, FY2026 guidance as cut on 2026-08-04, competitive position, Cevian stake, bull/bear axes.</t>
  </si>
  <si>
    <t xml:space="preserve">Scenario narrative: bear</t>
  </si>
  <si>
    <t xml:space="preserve">The FY2026 guidance cut was the tell: US Orthopaedics, 40% of revenue and sub-scale at ~7% share, keeps underperforming a ~6% market, LANDMARK arrives late into a cementless market that Stryker and Zimmer already own, China VBP reaches ENT, and the CMS skin-substitute reset proves permanent rather than transitional. Revenue grows 2-3%, trading profit growth is sustained only by cost-cutting that eventually runs out, and a third 'rationalisation' programme follows the second, so the owner margin drifts back to 24%. Inventory release stalls and working capital consumes cash again. Terminal growth 2.0% with a 15x cap. Not a solvency case (investment grade, 1.8x), but a value-trap case: the stock stays cheap because the cash flow never compounds.</t>
  </si>
  <si>
    <t xml:space="preserve">Scenario narrative: base</t>
  </si>
  <si>
    <t xml:space="preserve">Smith &amp; Nephew delivers roughly two-thirds of RISE. FY2026 lands at the cut guidance (~4% underlying, ~$1.3bn trading profit, ~$800m FCF) with the step-up in trading profit driven by the $200m efficiency programme and tariff refunds rather than revenue. FY2027-29 revenue grows 5-5.5% as LANDMARK Knee and CATALYSTEM Hip stop the US Ortho bleed without recapturing share, Sports Medicine &amp; ENT keeps compounding above market, and Advanced Wound Management grows mid-single-digit once the skin-substitute reimbursement reset annualises. Owner EBITDA margin expands ~170bps over six years to 26.5% (trading margin low-21s%), short of the 2028 target; restructuring cash keeps running at ~1-1.5% of revenue because it always has. Capex settles at 6.8% after the Hull factory and ERP, working capital drag is muted by the $500m inventory release, cash tax normalises to 20%. The second $500m buyback completes and the count is held flat thereafter.</t>
  </si>
  <si>
    <t xml:space="preserve">Scenario narrative: bull</t>
  </si>
  <si>
    <t xml:space="preserve">The 12-Point Plan's cash and margin delivery (FCF $56m -&gt; $840m in three years, trading margin +240bps) repeats under RISE: 6-7% organic growth in 2027-29 from the new-product cadence (LANDMARK, CATALYSTEM, TESSA, Tendon Seam, ALLEVYN COMPLETE CARE), continued ASC and Emerging Markets share gains, and a skin-substitute recovery. Trading margin reaches 22-23% by 2028 and Ortho crosses 20% by 2030, taking owner EBITDA margin to 28.5%. Leverage falls below 1.5x, funding bolt-ons and further buybacks. Cevian's ~11.9% stake pushes a portfolio simplification that re-rates the group toward large-cap medtech multiples; that re-rating is upside to, not inside, the 18x cap.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</si>
  <si>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</si>
  <si>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</si>
  <si>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</si>
  <si>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</si>
  <si>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</si>
  <si>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</si>
  <si>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</si>
  <si>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</si>
  <si>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</si>
  <si>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</si>
  <si>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</si>
  <si>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</si>
  <si>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</si>
  <si>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</si>
  <si>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</si>
  <si>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</si>
  <si>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</si>
  <si>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</si>
  <si>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</si>
  <si>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</si>
  <si>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</si>
  <si>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</si>
  <si>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</si>
  <si>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</si>
  <si>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</si>
  <si>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</si>
  <si>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</si>
  <si>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</si>
  <si>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</si>
  <si>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</si>
  <si>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</si>
  <si>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</si>
  <si>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</si>
  <si>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</si>
  <si>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</si>
  <si>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</si>
  <si>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</si>
  <si>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</si>
  <si>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</si>
  <si>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</si>
  <si>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</si>
  <si>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</si>
  <si>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</si>
  <si>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</si>
  <si>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</si>
  <si>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</si>
  <si>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</si>
  <si>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</si>
  <si>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</si>
  <si>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</si>
  <si>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</si>
  <si>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</si>
  <si>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</si>
  <si>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</si>
  <si>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</si>
  <si>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</si>
  <si>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</si>
  <si>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</si>
  <si>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</si>
  <si>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</si>
  <si>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</si>
  <si>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</si>
  <si>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</si>
  <si>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</si>
  <si>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</si>
  <si>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</si>
  <si>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</si>
  <si>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</si>
  <si>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</si>
  <si>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</si>
  <si>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</si>
  <si>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</si>
  <si>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SN.L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</si>
  <si>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</si>
  <si>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</si>
  <si>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</si>
  <si>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</si>
  <si>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</si>
  <si>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</si>
  <si>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</si>
  <si>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</si>
  <si>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</si>
  <si>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</si>
  <si>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</si>
  <si>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</si>
  <si>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</si>
  <si>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</si>
  <si>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</si>
  <si>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</si>
  <si>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</si>
  <si>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</si>
  <si>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</si>
  <si>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</si>
  <si>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</si>
  <si>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</si>
  <si>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</si>
  <si>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</si>
  <si>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</si>
  <si>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</si>
  <si>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</si>
  <si>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</si>
  <si>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</si>
  <si>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</si>
  <si>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SN.L owner-FCF component DCF: base case (millions, USD)</t>
  </si>
  <si>
    <t xml:space="preserve">SN.L owner-FCF component DCF: bull case (millions, USD)</t>
  </si>
  <si>
    <t xml:space="preserve">SN.L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</si>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</sst>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1020.5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4904</v>
      </c>
      <c r="C2" s="0" t="n">
        <v>1298</v>
      </c>
      <c r="D2" s="0" t="n">
        <v>3606</v>
      </c>
      <c r="E2" s="0" t="n">
        <v>73.5</v>
      </c>
      <c r="F2" s="0" t="n">
        <v>863</v>
      </c>
      <c r="G2" s="0" t="n">
        <v>17.6</v>
      </c>
      <c r="H2" s="0" t="n">
        <v>1298</v>
      </c>
      <c r="I2" s="0" t="n">
        <v>663</v>
      </c>
      <c r="J2" s="0" t="n">
        <v>13.5</v>
      </c>
      <c r="K2" s="0" t="n">
        <v>0.757</v>
      </c>
      <c r="L2" s="0" t="n">
        <v>931</v>
      </c>
      <c r="M2" s="0" t="n">
        <v>347</v>
      </c>
      <c r="N2" s="0" t="n">
        <v>584</v>
      </c>
      <c r="O2" s="0" t="n">
        <v>4874</v>
      </c>
      <c r="P2" s="0" t="n">
        <v>8059</v>
      </c>
      <c r="Q2" s="0" t="n">
        <v>3185</v>
      </c>
      <c r="R2" s="0" t="n">
        <v>1465</v>
      </c>
      <c r="S2" s="0" t="n">
        <v>365</v>
      </c>
      <c r="T2" s="0" t="n">
        <v>876</v>
      </c>
      <c r="U2" s="0" t="n">
        <v>35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5138</v>
      </c>
      <c r="C3" s="0" t="n">
        <v>1338</v>
      </c>
      <c r="D3" s="0" t="n">
        <v>3800</v>
      </c>
      <c r="E3" s="0" t="n">
        <v>74</v>
      </c>
      <c r="F3" s="0" t="n">
        <v>815</v>
      </c>
      <c r="G3" s="0" t="n">
        <v>15.9</v>
      </c>
      <c r="H3" s="0" t="n">
        <v>1317</v>
      </c>
      <c r="I3" s="0" t="n">
        <v>600</v>
      </c>
      <c r="J3" s="0" t="n">
        <v>11.7</v>
      </c>
      <c r="K3" s="0" t="n">
        <v>0.684</v>
      </c>
      <c r="L3" s="0" t="n">
        <v>1168</v>
      </c>
      <c r="M3" s="0" t="n">
        <v>408</v>
      </c>
      <c r="N3" s="0" t="n">
        <v>760</v>
      </c>
      <c r="O3" s="0" t="n">
        <v>5141</v>
      </c>
      <c r="P3" s="0" t="n">
        <v>9299</v>
      </c>
      <c r="Q3" s="0" t="n">
        <v>4158</v>
      </c>
      <c r="R3" s="0" t="n">
        <v>2047</v>
      </c>
      <c r="S3" s="0" t="n">
        <v>277</v>
      </c>
      <c r="T3" s="0" t="n">
        <v>877</v>
      </c>
      <c r="U3" s="0" t="n">
        <v>32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4560</v>
      </c>
      <c r="C4" s="0" t="n">
        <v>1396</v>
      </c>
      <c r="D4" s="0" t="n">
        <v>3164</v>
      </c>
      <c r="E4" s="0" t="n">
        <v>69.4</v>
      </c>
      <c r="F4" s="0" t="n">
        <v>295</v>
      </c>
      <c r="G4" s="0" t="n">
        <v>6.5</v>
      </c>
      <c r="H4" s="0" t="n">
        <v>857</v>
      </c>
      <c r="I4" s="0" t="n">
        <v>448</v>
      </c>
      <c r="J4" s="0" t="n">
        <v>9.8</v>
      </c>
      <c r="K4" s="0" t="n">
        <v>0.512</v>
      </c>
      <c r="L4" s="0" t="n">
        <v>935</v>
      </c>
      <c r="M4" s="0" t="n">
        <v>443</v>
      </c>
      <c r="N4" s="0" t="n">
        <v>492</v>
      </c>
      <c r="O4" s="0" t="n">
        <v>5279</v>
      </c>
      <c r="P4" s="0" t="n">
        <v>11012</v>
      </c>
      <c r="Q4" s="0" t="n">
        <v>5733</v>
      </c>
      <c r="R4" s="0" t="n">
        <v>3690</v>
      </c>
      <c r="S4" s="0" t="n">
        <v>1762</v>
      </c>
      <c r="T4" s="0" t="n">
        <v>877</v>
      </c>
      <c r="U4" s="0" t="n">
        <v>26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5212</v>
      </c>
      <c r="C5" s="0" t="n">
        <v>1543</v>
      </c>
      <c r="D5" s="0" t="n">
        <v>3669</v>
      </c>
      <c r="E5" s="0" t="n">
        <v>70.4</v>
      </c>
      <c r="F5" s="0" t="n">
        <v>593</v>
      </c>
      <c r="G5" s="0" t="n">
        <v>11.4</v>
      </c>
      <c r="H5" s="0" t="n">
        <v>1160</v>
      </c>
      <c r="I5" s="0" t="n">
        <v>524</v>
      </c>
      <c r="J5" s="0" t="n">
        <v>10.1</v>
      </c>
      <c r="K5" s="0" t="n">
        <v>0.597</v>
      </c>
      <c r="L5" s="0" t="n">
        <v>877</v>
      </c>
      <c r="M5" s="0" t="n">
        <v>408</v>
      </c>
      <c r="N5" s="0" t="n">
        <v>469</v>
      </c>
      <c r="O5" s="0" t="n">
        <v>5568</v>
      </c>
      <c r="P5" s="0" t="n">
        <v>10920</v>
      </c>
      <c r="Q5" s="0" t="n">
        <v>5352</v>
      </c>
      <c r="R5" s="0" t="n">
        <v>3339</v>
      </c>
      <c r="S5" s="0" t="n">
        <v>1290</v>
      </c>
      <c r="T5" s="0" t="n">
        <v>878</v>
      </c>
      <c r="U5" s="0" t="n">
        <v>41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5215</v>
      </c>
      <c r="C6" s="0" t="n">
        <v>1540</v>
      </c>
      <c r="D6" s="0" t="n">
        <v>3675</v>
      </c>
      <c r="E6" s="0" t="n">
        <v>70.5</v>
      </c>
      <c r="F6" s="0" t="n">
        <v>450</v>
      </c>
      <c r="G6" s="0" t="n">
        <v>8.6</v>
      </c>
      <c r="H6" s="0" t="n">
        <v>1067</v>
      </c>
      <c r="I6" s="0" t="n">
        <v>223</v>
      </c>
      <c r="J6" s="0" t="n">
        <v>4.3</v>
      </c>
      <c r="K6" s="0" t="n">
        <v>0.255</v>
      </c>
      <c r="L6" s="0" t="n">
        <v>468</v>
      </c>
      <c r="M6" s="0" t="n">
        <v>358</v>
      </c>
      <c r="N6" s="0" t="n">
        <v>110</v>
      </c>
      <c r="O6" s="0" t="n">
        <v>5259</v>
      </c>
      <c r="P6" s="0" t="n">
        <v>9966</v>
      </c>
      <c r="Q6" s="0" t="n">
        <v>4707</v>
      </c>
      <c r="R6" s="0" t="n">
        <v>2872</v>
      </c>
      <c r="S6" s="0" t="n">
        <v>350</v>
      </c>
      <c r="T6" s="0" t="n">
        <v>873</v>
      </c>
      <c r="U6" s="0" t="n">
        <v>40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5549</v>
      </c>
      <c r="C7" s="0" t="n">
        <v>1730</v>
      </c>
      <c r="D7" s="0" t="n">
        <v>3819</v>
      </c>
      <c r="E7" s="0" t="n">
        <v>68.8</v>
      </c>
      <c r="F7" s="0" t="n">
        <v>425</v>
      </c>
      <c r="G7" s="0" t="n">
        <v>7.7</v>
      </c>
      <c r="H7" s="0" t="n">
        <v>1108</v>
      </c>
      <c r="I7" s="0" t="n">
        <v>263</v>
      </c>
      <c r="J7" s="0" t="n">
        <v>4.7</v>
      </c>
      <c r="K7" s="0" t="n">
        <v>0.301</v>
      </c>
      <c r="L7" s="0" t="n">
        <v>608</v>
      </c>
      <c r="M7" s="0" t="n">
        <v>427</v>
      </c>
      <c r="N7" s="0" t="n">
        <v>181</v>
      </c>
      <c r="O7" s="0" t="n">
        <v>5217</v>
      </c>
      <c r="P7" s="0" t="n">
        <v>9987</v>
      </c>
      <c r="Q7" s="0" t="n">
        <v>4770</v>
      </c>
      <c r="R7" s="0" t="n">
        <v>3084</v>
      </c>
      <c r="S7" s="0" t="n">
        <v>302</v>
      </c>
      <c r="T7" s="0" t="n">
        <v>873</v>
      </c>
      <c r="U7" s="0" t="n">
        <v>39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5810</v>
      </c>
      <c r="C8" s="0" t="n">
        <v>1764</v>
      </c>
      <c r="D8" s="0" t="n">
        <v>4046</v>
      </c>
      <c r="E8" s="0" t="n">
        <v>69.6</v>
      </c>
      <c r="F8" s="0" t="n">
        <v>657</v>
      </c>
      <c r="G8" s="0" t="n">
        <v>11.3</v>
      </c>
      <c r="H8" s="0" t="n">
        <v>1302</v>
      </c>
      <c r="I8" s="0" t="n">
        <v>412</v>
      </c>
      <c r="J8" s="0" t="n">
        <v>7.1</v>
      </c>
      <c r="K8" s="0" t="n">
        <v>0.47</v>
      </c>
      <c r="L8" s="0" t="n">
        <v>987</v>
      </c>
      <c r="M8" s="0" t="n">
        <v>381</v>
      </c>
      <c r="N8" s="0" t="n">
        <v>606</v>
      </c>
      <c r="O8" s="0" t="n">
        <v>5265</v>
      </c>
      <c r="P8" s="0" t="n">
        <v>10354</v>
      </c>
      <c r="Q8" s="0" t="n">
        <v>5089</v>
      </c>
      <c r="R8" s="0" t="n">
        <v>3321</v>
      </c>
      <c r="S8" s="0" t="n">
        <v>619</v>
      </c>
      <c r="T8" s="0" t="n">
        <v>876</v>
      </c>
      <c r="U8" s="0" t="n">
        <v>40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6164</v>
      </c>
      <c r="C9" s="0" t="n">
        <v>1972</v>
      </c>
      <c r="D9" s="0" t="n">
        <v>4192</v>
      </c>
      <c r="E9" s="0" t="n">
        <v>68</v>
      </c>
      <c r="F9" s="0" t="n">
        <v>794</v>
      </c>
      <c r="G9" s="0" t="n">
        <v>12.9</v>
      </c>
      <c r="H9" s="0" t="n">
        <v>1367</v>
      </c>
      <c r="I9" s="0" t="n">
        <v>625</v>
      </c>
      <c r="J9" s="0" t="n">
        <v>10.1</v>
      </c>
      <c r="K9" s="0" t="n">
        <v>0.716</v>
      </c>
      <c r="L9" s="0" t="n">
        <v>1285</v>
      </c>
      <c r="M9" s="0" t="n">
        <v>433</v>
      </c>
      <c r="N9" s="0" t="n">
        <v>852</v>
      </c>
      <c r="O9" s="0" t="n">
        <v>5289</v>
      </c>
      <c r="P9" s="0" t="n">
        <v>10457</v>
      </c>
      <c r="Q9" s="0" t="n">
        <v>5168</v>
      </c>
      <c r="R9" s="0" t="n">
        <v>3327</v>
      </c>
      <c r="S9" s="0" t="n">
        <v>557</v>
      </c>
      <c r="T9" s="0" t="n">
        <v>873</v>
      </c>
      <c r="U9" s="0" t="n">
        <v>43</v>
      </c>
      <c r="AA9" s="0" t="s">
        <v>18</v>
      </c>
      <c r="AB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72</v>
      </c>
      <c r="B1" s="2" t="s">
        <v>73</v>
      </c>
    </row>
    <row r="2" customFormat="false" ht="15" hidden="false" customHeight="false" outlineLevel="0" collapsed="false">
      <c r="A2" s="0" t="s">
        <v>74</v>
      </c>
      <c r="B2" s="3" t="n">
        <v>1020.5</v>
      </c>
    </row>
    <row r="3" customFormat="false" ht="15" hidden="false" customHeight="false" outlineLevel="0" collapsed="false">
      <c r="A3" s="0" t="s">
        <v>75</v>
      </c>
      <c r="B3" s="3" t="n">
        <v>848</v>
      </c>
    </row>
    <row r="4" customFormat="false" ht="15" hidden="false" customHeight="false" outlineLevel="0" collapsed="false">
      <c r="A4" s="0" t="s">
        <v>76</v>
      </c>
      <c r="B4" s="3" t="n">
        <v>2822</v>
      </c>
    </row>
    <row r="5" customFormat="false" ht="15" hidden="false" customHeight="false" outlineLevel="0" collapsed="false">
      <c r="A5" s="0" t="s">
        <v>77</v>
      </c>
      <c r="B5" s="3" t="n">
        <v>-36</v>
      </c>
    </row>
    <row r="6" customFormat="false" ht="15" hidden="false" customHeight="false" outlineLevel="0" collapsed="false">
      <c r="A6" s="0" t="s">
        <v>78</v>
      </c>
      <c r="B6" s="3" t="n">
        <v>15</v>
      </c>
    </row>
    <row r="7" customFormat="false" ht="15" hidden="false" customHeight="false" outlineLevel="0" collapsed="false">
      <c r="A7" s="0" t="s">
        <v>79</v>
      </c>
      <c r="B7" s="3" t="n">
        <v>6164</v>
      </c>
    </row>
    <row r="8" customFormat="false" ht="15" hidden="false" customHeight="false" outlineLevel="0" collapsed="false">
      <c r="A8" s="0" t="s">
        <v>80</v>
      </c>
      <c r="B8" s="3" t="s">
        <v>71</v>
      </c>
    </row>
    <row r="9" customFormat="false" ht="15" hidden="false" customHeight="false" outlineLevel="0" collapsed="false">
      <c r="A9" s="0" t="s">
        <v>81</v>
      </c>
      <c r="B9" s="3" t="s">
        <v>82</v>
      </c>
    </row>
    <row r="10" customFormat="false" ht="15" hidden="false" customHeight="false" outlineLevel="0" collapsed="false">
      <c r="A10" s="0" t="s">
        <v>83</v>
      </c>
      <c r="B10" s="3" t="n">
        <v>75.57</v>
      </c>
    </row>
    <row r="12" customFormat="false" ht="15" hidden="false" customHeight="false" outlineLevel="0" collapsed="false">
      <c r="A12" s="2" t="s">
        <v>84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89</v>
      </c>
      <c r="H12" s="2" t="s">
        <v>90</v>
      </c>
      <c r="I12" s="2" t="s">
        <v>91</v>
      </c>
      <c r="J12" s="2" t="s">
        <v>92</v>
      </c>
      <c r="K12" s="2" t="s">
        <v>93</v>
      </c>
      <c r="L12" s="2" t="s">
        <v>94</v>
      </c>
    </row>
    <row r="13" customFormat="false" ht="15" hidden="false" customHeight="false" outlineLevel="0" collapsed="false">
      <c r="A13" s="0" t="s">
        <v>95</v>
      </c>
      <c r="C13" s="3" t="n">
        <v>4</v>
      </c>
      <c r="D13" s="3" t="n">
        <v>3</v>
      </c>
      <c r="E13" s="3" t="n">
        <v>3</v>
      </c>
      <c r="F13" s="3" t="n">
        <v>2.5</v>
      </c>
      <c r="G13" s="3" t="n">
        <v>2.5</v>
      </c>
      <c r="H13" s="3" t="n">
        <v>2.5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96</v>
      </c>
      <c r="C14" s="3" t="n">
        <v>24.4</v>
      </c>
      <c r="D14" s="3" t="n">
        <v>24.4</v>
      </c>
      <c r="E14" s="3" t="n">
        <v>24.2</v>
      </c>
      <c r="F14" s="3" t="n">
        <v>24</v>
      </c>
      <c r="G14" s="3" t="n">
        <v>24</v>
      </c>
      <c r="H14" s="3" t="n">
        <v>24</v>
      </c>
      <c r="I14" s="3" t="n">
        <v>24</v>
      </c>
      <c r="J14" s="3" t="n">
        <v>24</v>
      </c>
      <c r="K14" s="3" t="n">
        <v>24</v>
      </c>
      <c r="L14" s="3" t="n">
        <v>24</v>
      </c>
    </row>
    <row r="15" customFormat="false" ht="15" hidden="false" customHeight="false" outlineLevel="0" collapsed="false">
      <c r="A15" s="0" t="s">
        <v>97</v>
      </c>
      <c r="C15" s="3" t="n">
        <v>0.8</v>
      </c>
      <c r="D15" s="3" t="n">
        <v>0.8</v>
      </c>
      <c r="E15" s="3" t="n">
        <v>0.8</v>
      </c>
      <c r="F15" s="3" t="n">
        <v>0.8</v>
      </c>
      <c r="G15" s="3" t="n">
        <v>0.8</v>
      </c>
      <c r="H15" s="3" t="n">
        <v>0.8</v>
      </c>
      <c r="I15" s="3" t="n">
        <v>0.8</v>
      </c>
      <c r="J15" s="3" t="n">
        <v>0.8</v>
      </c>
      <c r="K15" s="3" t="n">
        <v>0.8</v>
      </c>
      <c r="L15" s="3" t="n">
        <v>0.8</v>
      </c>
    </row>
    <row r="16" customFormat="false" ht="15" hidden="false" customHeight="false" outlineLevel="0" collapsed="false">
      <c r="A16" s="0" t="s">
        <v>98</v>
      </c>
      <c r="C16" s="3" t="n">
        <v>0.95</v>
      </c>
      <c r="D16" s="3" t="n">
        <v>0.95</v>
      </c>
      <c r="E16" s="3" t="n">
        <v>0.95</v>
      </c>
      <c r="F16" s="3" t="n">
        <v>0.95</v>
      </c>
      <c r="G16" s="3" t="n">
        <v>0.95</v>
      </c>
      <c r="H16" s="3" t="n">
        <v>0.95</v>
      </c>
      <c r="I16" s="3" t="n">
        <v>0.95</v>
      </c>
      <c r="J16" s="3" t="n">
        <v>0.95</v>
      </c>
      <c r="K16" s="3" t="n">
        <v>0.95</v>
      </c>
      <c r="L16" s="3" t="n">
        <v>0.95</v>
      </c>
    </row>
    <row r="17" customFormat="false" ht="15" hidden="false" customHeight="false" outlineLevel="0" collapsed="false">
      <c r="A17" s="0" t="s">
        <v>99</v>
      </c>
      <c r="C17" s="3" t="n">
        <v>5.6</v>
      </c>
      <c r="D17" s="3" t="n">
        <v>5.6</v>
      </c>
      <c r="E17" s="3" t="n">
        <v>5.6</v>
      </c>
      <c r="F17" s="3" t="n">
        <v>5.6</v>
      </c>
      <c r="G17" s="3" t="n">
        <v>5.6</v>
      </c>
      <c r="H17" s="3" t="n">
        <v>5.6</v>
      </c>
      <c r="I17" s="3" t="n">
        <v>5.6</v>
      </c>
      <c r="J17" s="3" t="n">
        <v>5.6</v>
      </c>
      <c r="K17" s="3" t="n">
        <v>5.6</v>
      </c>
      <c r="L17" s="3" t="n">
        <v>5.6</v>
      </c>
    </row>
    <row r="18" customFormat="false" ht="15" hidden="false" customHeight="false" outlineLevel="0" collapsed="false">
      <c r="A18" s="0" t="s">
        <v>100</v>
      </c>
      <c r="C18" s="3" t="n">
        <v>7.2</v>
      </c>
      <c r="D18" s="3" t="n">
        <v>7.2</v>
      </c>
      <c r="E18" s="3" t="n">
        <v>7</v>
      </c>
      <c r="F18" s="3" t="n">
        <v>7</v>
      </c>
      <c r="G18" s="3" t="n">
        <v>7</v>
      </c>
      <c r="H18" s="3" t="n">
        <v>7</v>
      </c>
      <c r="I18" s="3" t="n">
        <v>7</v>
      </c>
      <c r="J18" s="3" t="n">
        <v>7</v>
      </c>
      <c r="K18" s="3" t="n">
        <v>7</v>
      </c>
      <c r="L18" s="3" t="n">
        <v>7</v>
      </c>
    </row>
    <row r="19" customFormat="false" ht="15" hidden="false" customHeight="false" outlineLevel="0" collapsed="false">
      <c r="A19" s="0" t="s">
        <v>101</v>
      </c>
      <c r="C19" s="3" t="n">
        <v>16</v>
      </c>
      <c r="D19" s="3" t="n">
        <v>17</v>
      </c>
      <c r="E19" s="3" t="n">
        <v>18</v>
      </c>
      <c r="F19" s="3" t="n">
        <v>19</v>
      </c>
      <c r="G19" s="3" t="n">
        <v>20</v>
      </c>
      <c r="H19" s="3" t="n">
        <v>20</v>
      </c>
      <c r="I19" s="3" t="n">
        <v>20</v>
      </c>
      <c r="J19" s="3" t="n">
        <v>20</v>
      </c>
      <c r="K19" s="3" t="n">
        <v>20</v>
      </c>
      <c r="L19" s="3" t="n">
        <v>20</v>
      </c>
    </row>
    <row r="20" customFormat="false" ht="15" hidden="false" customHeight="false" outlineLevel="0" collapsed="false">
      <c r="A20" s="0" t="s">
        <v>102</v>
      </c>
      <c r="B20" s="3" t="n">
        <v>8</v>
      </c>
    </row>
    <row r="21" customFormat="false" ht="15" hidden="false" customHeight="false" outlineLevel="0" collapsed="false">
      <c r="A21" s="0" t="s">
        <v>103</v>
      </c>
      <c r="B21" s="3" t="n">
        <v>2</v>
      </c>
    </row>
    <row r="22" customFormat="false" ht="15" hidden="false" customHeight="false" outlineLevel="0" collapsed="false">
      <c r="A22" s="0" t="s">
        <v>104</v>
      </c>
      <c r="B22" s="3" t="n">
        <v>15</v>
      </c>
    </row>
    <row r="23" customFormat="false" ht="15" hidden="false" customHeight="false" outlineLevel="0" collapsed="false">
      <c r="A23" s="0" t="s">
        <v>105</v>
      </c>
      <c r="B23" s="3" t="n">
        <v>-25</v>
      </c>
    </row>
    <row r="24" customFormat="false" ht="15" hidden="false" customHeight="false" outlineLevel="0" collapsed="false">
      <c r="A24" s="0" t="s">
        <v>106</v>
      </c>
      <c r="B24" s="3" t="n">
        <v>0.25</v>
      </c>
    </row>
    <row r="26" customFormat="false" ht="15" hidden="false" customHeight="false" outlineLevel="0" collapsed="false">
      <c r="A26" s="2" t="s">
        <v>107</v>
      </c>
      <c r="C26" s="2" t="s">
        <v>85</v>
      </c>
      <c r="D26" s="2" t="s">
        <v>86</v>
      </c>
      <c r="E26" s="2" t="s">
        <v>87</v>
      </c>
      <c r="F26" s="2" t="s">
        <v>88</v>
      </c>
      <c r="G26" s="2" t="s">
        <v>89</v>
      </c>
      <c r="H26" s="2" t="s">
        <v>90</v>
      </c>
      <c r="I26" s="2" t="s">
        <v>91</v>
      </c>
      <c r="J26" s="2" t="s">
        <v>92</v>
      </c>
      <c r="K26" s="2" t="s">
        <v>93</v>
      </c>
      <c r="L26" s="2" t="s">
        <v>94</v>
      </c>
    </row>
    <row r="27" customFormat="false" ht="15" hidden="false" customHeight="false" outlineLevel="0" collapsed="false">
      <c r="A27" s="0" t="s">
        <v>95</v>
      </c>
      <c r="C27" s="3" t="n">
        <v>5</v>
      </c>
      <c r="D27" s="3" t="n">
        <v>5</v>
      </c>
      <c r="E27" s="3" t="n">
        <v>5.5</v>
      </c>
      <c r="F27" s="3" t="n">
        <v>5</v>
      </c>
      <c r="G27" s="3" t="n">
        <v>4.5</v>
      </c>
      <c r="H27" s="3" t="n">
        <v>4</v>
      </c>
      <c r="I27" s="3" t="n">
        <v>3.5</v>
      </c>
      <c r="J27" s="3" t="n">
        <v>3</v>
      </c>
      <c r="K27" s="3" t="n">
        <v>3</v>
      </c>
      <c r="L27" s="3" t="n">
        <v>2.5</v>
      </c>
    </row>
    <row r="28" customFormat="false" ht="15" hidden="false" customHeight="false" outlineLevel="0" collapsed="false">
      <c r="A28" s="0" t="s">
        <v>96</v>
      </c>
      <c r="C28" s="3" t="n">
        <v>24.8</v>
      </c>
      <c r="D28" s="3" t="n">
        <v>25.4</v>
      </c>
      <c r="E28" s="3" t="n">
        <v>25.9</v>
      </c>
      <c r="F28" s="3" t="n">
        <v>26.2</v>
      </c>
      <c r="G28" s="3" t="n">
        <v>26.4</v>
      </c>
      <c r="H28" s="3" t="n">
        <v>26.5</v>
      </c>
      <c r="I28" s="3" t="n">
        <v>26.5</v>
      </c>
      <c r="J28" s="3" t="n">
        <v>26.5</v>
      </c>
      <c r="K28" s="3" t="n">
        <v>26.5</v>
      </c>
      <c r="L28" s="3" t="n">
        <v>26.5</v>
      </c>
    </row>
    <row r="29" customFormat="false" ht="15" hidden="false" customHeight="false" outlineLevel="0" collapsed="false">
      <c r="A29" s="0" t="s">
        <v>97</v>
      </c>
      <c r="C29" s="3" t="n">
        <v>0.8</v>
      </c>
      <c r="D29" s="3" t="n">
        <v>0.8</v>
      </c>
      <c r="E29" s="3" t="n">
        <v>0.8</v>
      </c>
      <c r="F29" s="3" t="n">
        <v>0.8</v>
      </c>
      <c r="G29" s="3" t="n">
        <v>0.8</v>
      </c>
      <c r="H29" s="3" t="n">
        <v>0.8</v>
      </c>
      <c r="I29" s="3" t="n">
        <v>0.8</v>
      </c>
      <c r="J29" s="3" t="n">
        <v>0.8</v>
      </c>
      <c r="K29" s="3" t="n">
        <v>0.8</v>
      </c>
      <c r="L29" s="3" t="n">
        <v>0.8</v>
      </c>
    </row>
    <row r="30" customFormat="false" ht="15" hidden="false" customHeight="false" outlineLevel="0" collapsed="false">
      <c r="A30" s="0" t="s">
        <v>98</v>
      </c>
      <c r="C30" s="3" t="n">
        <v>0.95</v>
      </c>
      <c r="D30" s="3" t="n">
        <v>0.95</v>
      </c>
      <c r="E30" s="3" t="n">
        <v>0.95</v>
      </c>
      <c r="F30" s="3" t="n">
        <v>0.95</v>
      </c>
      <c r="G30" s="3" t="n">
        <v>0.95</v>
      </c>
      <c r="H30" s="3" t="n">
        <v>0.95</v>
      </c>
      <c r="I30" s="3" t="n">
        <v>0.95</v>
      </c>
      <c r="J30" s="3" t="n">
        <v>0.95</v>
      </c>
      <c r="K30" s="3" t="n">
        <v>0.95</v>
      </c>
      <c r="L30" s="3" t="n">
        <v>0.95</v>
      </c>
    </row>
    <row r="31" customFormat="false" ht="15" hidden="false" customHeight="false" outlineLevel="0" collapsed="false">
      <c r="A31" s="0" t="s">
        <v>99</v>
      </c>
      <c r="C31" s="3" t="n">
        <v>5.6</v>
      </c>
      <c r="D31" s="3" t="n">
        <v>5.6</v>
      </c>
      <c r="E31" s="3" t="n">
        <v>5.6</v>
      </c>
      <c r="F31" s="3" t="n">
        <v>5.6</v>
      </c>
      <c r="G31" s="3" t="n">
        <v>5.6</v>
      </c>
      <c r="H31" s="3" t="n">
        <v>5.6</v>
      </c>
      <c r="I31" s="3" t="n">
        <v>5.6</v>
      </c>
      <c r="J31" s="3" t="n">
        <v>5.6</v>
      </c>
      <c r="K31" s="3" t="n">
        <v>5.6</v>
      </c>
      <c r="L31" s="3" t="n">
        <v>5.6</v>
      </c>
    </row>
    <row r="32" customFormat="false" ht="15" hidden="false" customHeight="false" outlineLevel="0" collapsed="false">
      <c r="A32" s="0" t="s">
        <v>100</v>
      </c>
      <c r="C32" s="3" t="n">
        <v>7.2</v>
      </c>
      <c r="D32" s="3" t="n">
        <v>7</v>
      </c>
      <c r="E32" s="3" t="n">
        <v>6.8</v>
      </c>
      <c r="F32" s="3" t="n">
        <v>6.8</v>
      </c>
      <c r="G32" s="3" t="n">
        <v>6.8</v>
      </c>
      <c r="H32" s="3" t="n">
        <v>6.8</v>
      </c>
      <c r="I32" s="3" t="n">
        <v>6.8</v>
      </c>
      <c r="J32" s="3" t="n">
        <v>6.8</v>
      </c>
      <c r="K32" s="3" t="n">
        <v>6.8</v>
      </c>
      <c r="L32" s="3" t="n">
        <v>6.8</v>
      </c>
    </row>
    <row r="33" customFormat="false" ht="15" hidden="false" customHeight="false" outlineLevel="0" collapsed="false">
      <c r="A33" s="0" t="s">
        <v>101</v>
      </c>
      <c r="C33" s="3" t="n">
        <v>16</v>
      </c>
      <c r="D33" s="3" t="n">
        <v>17</v>
      </c>
      <c r="E33" s="3" t="n">
        <v>18</v>
      </c>
      <c r="F33" s="3" t="n">
        <v>19</v>
      </c>
      <c r="G33" s="3" t="n">
        <v>20</v>
      </c>
      <c r="H33" s="3" t="n">
        <v>20</v>
      </c>
      <c r="I33" s="3" t="n">
        <v>20</v>
      </c>
      <c r="J33" s="3" t="n">
        <v>20</v>
      </c>
      <c r="K33" s="3" t="n">
        <v>20</v>
      </c>
      <c r="L33" s="3" t="n">
        <v>20</v>
      </c>
    </row>
    <row r="34" customFormat="false" ht="15" hidden="false" customHeight="false" outlineLevel="0" collapsed="false">
      <c r="A34" s="0" t="s">
        <v>102</v>
      </c>
      <c r="B34" s="3" t="n">
        <v>8</v>
      </c>
    </row>
    <row r="35" customFormat="false" ht="15" hidden="false" customHeight="false" outlineLevel="0" collapsed="false">
      <c r="A35" s="0" t="s">
        <v>103</v>
      </c>
      <c r="B35" s="3" t="n">
        <v>2.5</v>
      </c>
    </row>
    <row r="36" customFormat="false" ht="15" hidden="false" customHeight="false" outlineLevel="0" collapsed="false">
      <c r="A36" s="0" t="s">
        <v>104</v>
      </c>
      <c r="B36" s="3" t="n">
        <v>18</v>
      </c>
    </row>
    <row r="37" customFormat="false" ht="15" hidden="false" customHeight="false" outlineLevel="0" collapsed="false">
      <c r="A37" s="0" t="s">
        <v>105</v>
      </c>
      <c r="B37" s="3" t="n">
        <v>-15</v>
      </c>
    </row>
    <row r="38" customFormat="false" ht="15" hidden="false" customHeight="false" outlineLevel="0" collapsed="false">
      <c r="A38" s="0" t="s">
        <v>106</v>
      </c>
      <c r="B38" s="3" t="n">
        <v>0.5</v>
      </c>
    </row>
    <row r="40" customFormat="false" ht="15" hidden="false" customHeight="false" outlineLevel="0" collapsed="false">
      <c r="A40" s="2" t="s">
        <v>108</v>
      </c>
      <c r="C40" s="2" t="s">
        <v>85</v>
      </c>
      <c r="D40" s="2" t="s">
        <v>86</v>
      </c>
      <c r="E40" s="2" t="s">
        <v>87</v>
      </c>
      <c r="F40" s="2" t="s">
        <v>88</v>
      </c>
      <c r="G40" s="2" t="s">
        <v>89</v>
      </c>
      <c r="H40" s="2" t="s">
        <v>90</v>
      </c>
      <c r="I40" s="2" t="s">
        <v>91</v>
      </c>
      <c r="J40" s="2" t="s">
        <v>92</v>
      </c>
      <c r="K40" s="2" t="s">
        <v>93</v>
      </c>
      <c r="L40" s="2" t="s">
        <v>94</v>
      </c>
    </row>
    <row r="41" customFormat="false" ht="15" hidden="false" customHeight="false" outlineLevel="0" collapsed="false">
      <c r="A41" s="0" t="s">
        <v>95</v>
      </c>
      <c r="C41" s="3" t="n">
        <v>5.5</v>
      </c>
      <c r="D41" s="3" t="n">
        <v>6.5</v>
      </c>
      <c r="E41" s="3" t="n">
        <v>7</v>
      </c>
      <c r="F41" s="3" t="n">
        <v>6.5</v>
      </c>
      <c r="G41" s="3" t="n">
        <v>6</v>
      </c>
      <c r="H41" s="3" t="n">
        <v>5</v>
      </c>
      <c r="I41" s="3" t="n">
        <v>4.5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96</v>
      </c>
      <c r="C42" s="3" t="n">
        <v>25</v>
      </c>
      <c r="D42" s="3" t="n">
        <v>25.8</v>
      </c>
      <c r="E42" s="3" t="n">
        <v>26.6</v>
      </c>
      <c r="F42" s="3" t="n">
        <v>27.4</v>
      </c>
      <c r="G42" s="3" t="n">
        <v>28</v>
      </c>
      <c r="H42" s="3" t="n">
        <v>28.3</v>
      </c>
      <c r="I42" s="3" t="n">
        <v>28.5</v>
      </c>
      <c r="J42" s="3" t="n">
        <v>28.5</v>
      </c>
      <c r="K42" s="3" t="n">
        <v>28.5</v>
      </c>
      <c r="L42" s="3" t="n">
        <v>28.5</v>
      </c>
    </row>
    <row r="43" customFormat="false" ht="15" hidden="false" customHeight="false" outlineLevel="0" collapsed="false">
      <c r="A43" s="0" t="s">
        <v>97</v>
      </c>
      <c r="C43" s="3" t="n">
        <v>0.8</v>
      </c>
      <c r="D43" s="3" t="n">
        <v>0.8</v>
      </c>
      <c r="E43" s="3" t="n">
        <v>0.8</v>
      </c>
      <c r="F43" s="3" t="n">
        <v>0.8</v>
      </c>
      <c r="G43" s="3" t="n">
        <v>0.8</v>
      </c>
      <c r="H43" s="3" t="n">
        <v>0.8</v>
      </c>
      <c r="I43" s="3" t="n">
        <v>0.8</v>
      </c>
      <c r="J43" s="3" t="n">
        <v>0.8</v>
      </c>
      <c r="K43" s="3" t="n">
        <v>0.8</v>
      </c>
      <c r="L43" s="3" t="n">
        <v>0.8</v>
      </c>
    </row>
    <row r="44" customFormat="false" ht="15" hidden="false" customHeight="false" outlineLevel="0" collapsed="false">
      <c r="A44" s="0" t="s">
        <v>98</v>
      </c>
      <c r="C44" s="3" t="n">
        <v>0.95</v>
      </c>
      <c r="D44" s="3" t="n">
        <v>0.95</v>
      </c>
      <c r="E44" s="3" t="n">
        <v>0.95</v>
      </c>
      <c r="F44" s="3" t="n">
        <v>0.95</v>
      </c>
      <c r="G44" s="3" t="n">
        <v>0.95</v>
      </c>
      <c r="H44" s="3" t="n">
        <v>0.95</v>
      </c>
      <c r="I44" s="3" t="n">
        <v>0.95</v>
      </c>
      <c r="J44" s="3" t="n">
        <v>0.95</v>
      </c>
      <c r="K44" s="3" t="n">
        <v>0.95</v>
      </c>
      <c r="L44" s="3" t="n">
        <v>0.95</v>
      </c>
    </row>
    <row r="45" customFormat="false" ht="15" hidden="false" customHeight="false" outlineLevel="0" collapsed="false">
      <c r="A45" s="0" t="s">
        <v>99</v>
      </c>
      <c r="C45" s="3" t="n">
        <v>5.6</v>
      </c>
      <c r="D45" s="3" t="n">
        <v>5.6</v>
      </c>
      <c r="E45" s="3" t="n">
        <v>5.6</v>
      </c>
      <c r="F45" s="3" t="n">
        <v>5.6</v>
      </c>
      <c r="G45" s="3" t="n">
        <v>5.6</v>
      </c>
      <c r="H45" s="3" t="n">
        <v>5.6</v>
      </c>
      <c r="I45" s="3" t="n">
        <v>5.6</v>
      </c>
      <c r="J45" s="3" t="n">
        <v>5.6</v>
      </c>
      <c r="K45" s="3" t="n">
        <v>5.6</v>
      </c>
      <c r="L45" s="3" t="n">
        <v>5.6</v>
      </c>
    </row>
    <row r="46" customFormat="false" ht="15" hidden="false" customHeight="false" outlineLevel="0" collapsed="false">
      <c r="A46" s="0" t="s">
        <v>100</v>
      </c>
      <c r="C46" s="3" t="n">
        <v>7.2</v>
      </c>
      <c r="D46" s="3" t="n">
        <v>7</v>
      </c>
      <c r="E46" s="3" t="n">
        <v>6.8</v>
      </c>
      <c r="F46" s="3" t="n">
        <v>6.6</v>
      </c>
      <c r="G46" s="3" t="n">
        <v>6.5</v>
      </c>
      <c r="H46" s="3" t="n">
        <v>6.5</v>
      </c>
      <c r="I46" s="3" t="n">
        <v>6.5</v>
      </c>
      <c r="J46" s="3" t="n">
        <v>6.5</v>
      </c>
      <c r="K46" s="3" t="n">
        <v>6.5</v>
      </c>
      <c r="L46" s="3" t="n">
        <v>6.5</v>
      </c>
    </row>
    <row r="47" customFormat="false" ht="15" hidden="false" customHeight="false" outlineLevel="0" collapsed="false">
      <c r="A47" s="0" t="s">
        <v>101</v>
      </c>
      <c r="C47" s="3" t="n">
        <v>16</v>
      </c>
      <c r="D47" s="3" t="n">
        <v>17</v>
      </c>
      <c r="E47" s="3" t="n">
        <v>18</v>
      </c>
      <c r="F47" s="3" t="n">
        <v>19</v>
      </c>
      <c r="G47" s="3" t="n">
        <v>20</v>
      </c>
      <c r="H47" s="3" t="n">
        <v>20</v>
      </c>
      <c r="I47" s="3" t="n">
        <v>20</v>
      </c>
      <c r="J47" s="3" t="n">
        <v>20</v>
      </c>
      <c r="K47" s="3" t="n">
        <v>20</v>
      </c>
      <c r="L47" s="3" t="n">
        <v>20</v>
      </c>
    </row>
    <row r="48" customFormat="false" ht="15" hidden="false" customHeight="false" outlineLevel="0" collapsed="false">
      <c r="A48" s="0" t="s">
        <v>102</v>
      </c>
      <c r="B48" s="3" t="n">
        <v>8</v>
      </c>
    </row>
    <row r="49" customFormat="false" ht="15" hidden="false" customHeight="false" outlineLevel="0" collapsed="false">
      <c r="A49" s="0" t="s">
        <v>103</v>
      </c>
      <c r="B49" s="3" t="n">
        <v>2.5</v>
      </c>
    </row>
    <row r="50" customFormat="false" ht="15" hidden="false" customHeight="false" outlineLevel="0" collapsed="false">
      <c r="A50" s="0" t="s">
        <v>104</v>
      </c>
      <c r="B50" s="3" t="n">
        <v>18</v>
      </c>
    </row>
    <row r="51" customFormat="false" ht="15" hidden="false" customHeight="false" outlineLevel="0" collapsed="false">
      <c r="A51" s="0" t="s">
        <v>105</v>
      </c>
      <c r="B51" s="3" t="n">
        <v>-10</v>
      </c>
    </row>
    <row r="52" customFormat="false" ht="15" hidden="false" customHeight="false" outlineLevel="0" collapsed="false">
      <c r="A52" s="0" t="s">
        <v>106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109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Assumptions!C13</f>
        <v>4</v>
      </c>
      <c r="D5" s="4" t="n">
        <f aca="false">Assumptions!D13</f>
        <v>3</v>
      </c>
      <c r="E5" s="4" t="n">
        <f aca="false">Assumptions!E13</f>
        <v>3</v>
      </c>
      <c r="F5" s="4" t="n">
        <f aca="false">Assumptions!F13</f>
        <v>2.5</v>
      </c>
      <c r="G5" s="4" t="n">
        <f aca="false">Assumptions!G13</f>
        <v>2.5</v>
      </c>
      <c r="H5" s="4" t="n">
        <f aca="false">Assumptions!H13</f>
        <v>2.5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6164</v>
      </c>
      <c r="C6" s="0" t="n">
        <f aca="false">B6*(1+C5/100)</f>
        <v>6410.56</v>
      </c>
      <c r="D6" s="0" t="n">
        <f aca="false">C6*(1+D5/100)</f>
        <v>6602.8768</v>
      </c>
      <c r="E6" s="0" t="n">
        <f aca="false">D6*(1+E5/100)</f>
        <v>6800.963104</v>
      </c>
      <c r="F6" s="0" t="n">
        <f aca="false">E6*(1+F5/100)</f>
        <v>6970.9871816</v>
      </c>
      <c r="G6" s="0" t="n">
        <f aca="false">F6*(1+G5/100)</f>
        <v>7145.26186114</v>
      </c>
      <c r="H6" s="0" t="n">
        <f aca="false">G6*(1+H5/100)</f>
        <v>7323.8934076685</v>
      </c>
      <c r="I6" s="0" t="n">
        <f aca="false">H6*(1+I5/100)</f>
        <v>7470.37127582187</v>
      </c>
      <c r="J6" s="0" t="n">
        <f aca="false">I6*(1+J5/100)</f>
        <v>7619.77870133831</v>
      </c>
      <c r="K6" s="0" t="n">
        <f aca="false">J6*(1+K5/100)</f>
        <v>7772.17427536507</v>
      </c>
      <c r="L6" s="0" t="n">
        <f aca="false">K6*(1+L5/100)</f>
        <v>7927.61776087238</v>
      </c>
    </row>
    <row r="7" customFormat="false" ht="15" hidden="false" customHeight="false" outlineLevel="0" collapsed="false">
      <c r="A7" s="0" t="s">
        <v>96</v>
      </c>
      <c r="C7" s="4" t="n">
        <f aca="false">Assumptions!C14</f>
        <v>24.4</v>
      </c>
      <c r="D7" s="4" t="n">
        <f aca="false">Assumptions!D14</f>
        <v>24.4</v>
      </c>
      <c r="E7" s="4" t="n">
        <f aca="false">Assumptions!E14</f>
        <v>24.2</v>
      </c>
      <c r="F7" s="4" t="n">
        <f aca="false">Assumptions!F14</f>
        <v>24</v>
      </c>
      <c r="G7" s="4" t="n">
        <f aca="false">Assumptions!G14</f>
        <v>24</v>
      </c>
      <c r="H7" s="4" t="n">
        <f aca="false">Assumptions!H14</f>
        <v>24</v>
      </c>
      <c r="I7" s="4" t="n">
        <f aca="false">Assumptions!I14</f>
        <v>24</v>
      </c>
      <c r="J7" s="4" t="n">
        <f aca="false">Assumptions!J14</f>
        <v>24</v>
      </c>
      <c r="K7" s="4" t="n">
        <f aca="false">Assumptions!K14</f>
        <v>24</v>
      </c>
      <c r="L7" s="4" t="n">
        <f aca="false">Assumptions!L14</f>
        <v>24</v>
      </c>
    </row>
    <row r="8" customFormat="false" ht="15" hidden="false" customHeight="false" outlineLevel="0" collapsed="false">
      <c r="A8" s="0" t="s">
        <v>44</v>
      </c>
      <c r="C8" s="0" t="n">
        <f aca="false">C6*C7/100</f>
        <v>1564.17664</v>
      </c>
      <c r="D8" s="0" t="n">
        <f aca="false">D6*D7/100</f>
        <v>1611.1019392</v>
      </c>
      <c r="E8" s="0" t="n">
        <f aca="false">E6*E7/100</f>
        <v>1645.833071168</v>
      </c>
      <c r="F8" s="0" t="n">
        <f aca="false">F6*F7/100</f>
        <v>1673.036923584</v>
      </c>
      <c r="G8" s="0" t="n">
        <f aca="false">G6*G7/100</f>
        <v>1714.8628466736</v>
      </c>
      <c r="H8" s="0" t="n">
        <f aca="false">H6*H7/100</f>
        <v>1757.73441784044</v>
      </c>
      <c r="I8" s="0" t="n">
        <f aca="false">I6*I7/100</f>
        <v>1792.88910619725</v>
      </c>
      <c r="J8" s="0" t="n">
        <f aca="false">J6*J7/100</f>
        <v>1828.74688832119</v>
      </c>
      <c r="K8" s="0" t="n">
        <f aca="false">K6*K7/100</f>
        <v>1865.32182608762</v>
      </c>
      <c r="L8" s="0" t="n">
        <f aca="false">L6*L7/100</f>
        <v>1902.62826260937</v>
      </c>
    </row>
    <row r="9" customFormat="false" ht="15" hidden="false" customHeight="false" outlineLevel="0" collapsed="false">
      <c r="A9" s="0" t="s">
        <v>97</v>
      </c>
      <c r="C9" s="4" t="n">
        <f aca="false">Assumptions!C15</f>
        <v>0.8</v>
      </c>
      <c r="D9" s="4" t="n">
        <f aca="false">Assumptions!D15</f>
        <v>0.8</v>
      </c>
      <c r="E9" s="4" t="n">
        <f aca="false">Assumptions!E15</f>
        <v>0.8</v>
      </c>
      <c r="F9" s="4" t="n">
        <f aca="false">Assumptions!F15</f>
        <v>0.8</v>
      </c>
      <c r="G9" s="4" t="n">
        <f aca="false">Assumptions!G15</f>
        <v>0.8</v>
      </c>
      <c r="H9" s="4" t="n">
        <f aca="false">Assumptions!H15</f>
        <v>0.8</v>
      </c>
      <c r="I9" s="4" t="n">
        <f aca="false">Assumptions!I15</f>
        <v>0.8</v>
      </c>
      <c r="J9" s="4" t="n">
        <f aca="false">Assumptions!J15</f>
        <v>0.8</v>
      </c>
      <c r="K9" s="4" t="n">
        <f aca="false">Assumptions!K15</f>
        <v>0.8</v>
      </c>
      <c r="L9" s="4" t="n">
        <f aca="false">Assumptions!L15</f>
        <v>0.8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-51.28448</v>
      </c>
      <c r="D10" s="0" t="n">
        <f aca="false">-D6*D9/100</f>
        <v>-52.8230144</v>
      </c>
      <c r="E10" s="0" t="n">
        <f aca="false">-E6*E9/100</f>
        <v>-54.407704832</v>
      </c>
      <c r="F10" s="0" t="n">
        <f aca="false">-F6*F9/100</f>
        <v>-55.7678974528</v>
      </c>
      <c r="G10" s="0" t="n">
        <f aca="false">-G6*G9/100</f>
        <v>-57.16209488912</v>
      </c>
      <c r="H10" s="0" t="n">
        <f aca="false">-H6*H9/100</f>
        <v>-58.591147261348</v>
      </c>
      <c r="I10" s="0" t="n">
        <f aca="false">-I6*I9/100</f>
        <v>-59.762970206575</v>
      </c>
      <c r="J10" s="0" t="n">
        <f aca="false">-J6*J9/100</f>
        <v>-60.9582296107065</v>
      </c>
      <c r="K10" s="0" t="n">
        <f aca="false">-K6*K9/100</f>
        <v>-62.1773942029206</v>
      </c>
      <c r="L10" s="0" t="n">
        <f aca="false">-L6*L9/100</f>
        <v>-63.420942086979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1451.99184</v>
      </c>
      <c r="D11" s="0" t="n">
        <f aca="false">D8+D10+D24</f>
        <v>1495.5515952</v>
      </c>
      <c r="E11" s="0" t="n">
        <f aca="false">E8+E10+E24</f>
        <v>1526.816216848</v>
      </c>
      <c r="F11" s="0" t="n">
        <f aca="false">F8+F10+F24</f>
        <v>1551.044647906</v>
      </c>
      <c r="G11" s="0" t="n">
        <f aca="false">G8+G10+G24</f>
        <v>1589.82076410365</v>
      </c>
      <c r="H11" s="0" t="n">
        <f aca="false">H8+H10+H24</f>
        <v>1629.56628320624</v>
      </c>
      <c r="I11" s="0" t="n">
        <f aca="false">I8+I10+I24</f>
        <v>1662.15760887037</v>
      </c>
      <c r="J11" s="0" t="n">
        <f aca="false">J8+J10+J24</f>
        <v>1695.40076104777</v>
      </c>
      <c r="K11" s="0" t="n">
        <f aca="false">K8+K10+K24</f>
        <v>1729.30877626873</v>
      </c>
      <c r="L11" s="0" t="n">
        <f aca="false">L8+L10+L24</f>
        <v>1763.8949517941</v>
      </c>
    </row>
    <row r="12" customFormat="false" ht="15" hidden="false" customHeight="false" outlineLevel="0" collapsed="false">
      <c r="A12" s="0" t="s">
        <v>114</v>
      </c>
      <c r="C12" s="4" t="n">
        <f aca="false">-C6*Assumptions!C17/100</f>
        <v>-358.99136</v>
      </c>
      <c r="D12" s="4" t="n">
        <f aca="false">-D6*Assumptions!D17/100</f>
        <v>-369.7611008</v>
      </c>
      <c r="E12" s="4" t="n">
        <f aca="false">-E6*Assumptions!E17/100</f>
        <v>-380.853933824</v>
      </c>
      <c r="F12" s="4" t="n">
        <f aca="false">-F6*Assumptions!F17/100</f>
        <v>-390.3752821696</v>
      </c>
      <c r="G12" s="4" t="n">
        <f aca="false">-G6*Assumptions!G17/100</f>
        <v>-400.13466422384</v>
      </c>
      <c r="H12" s="4" t="n">
        <f aca="false">-H6*Assumptions!H17/100</f>
        <v>-410.138030829436</v>
      </c>
      <c r="I12" s="4" t="n">
        <f aca="false">-I6*Assumptions!I17/100</f>
        <v>-418.340791446025</v>
      </c>
      <c r="J12" s="4" t="n">
        <f aca="false">-J6*Assumptions!J17/100</f>
        <v>-426.707607274945</v>
      </c>
      <c r="K12" s="4" t="n">
        <f aca="false">-K6*Assumptions!K17/100</f>
        <v>-435.241759420444</v>
      </c>
      <c r="L12" s="4" t="n">
        <f aca="false">-L6*Assumptions!L17/100</f>
        <v>-443.946594608853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1093.00048</v>
      </c>
      <c r="D13" s="0" t="n">
        <f aca="false">D11+D12</f>
        <v>1125.7904944</v>
      </c>
      <c r="E13" s="0" t="n">
        <f aca="false">E11+E12</f>
        <v>1145.962283024</v>
      </c>
      <c r="F13" s="0" t="n">
        <f aca="false">F11+F12</f>
        <v>1160.6693657364</v>
      </c>
      <c r="G13" s="0" t="n">
        <f aca="false">G11+G12</f>
        <v>1189.68609987981</v>
      </c>
      <c r="H13" s="0" t="n">
        <f aca="false">H11+H12</f>
        <v>1219.42825237681</v>
      </c>
      <c r="I13" s="0" t="n">
        <f aca="false">I11+I12</f>
        <v>1243.81681742434</v>
      </c>
      <c r="J13" s="0" t="n">
        <f aca="false">J11+J12</f>
        <v>1268.69315377283</v>
      </c>
      <c r="K13" s="0" t="n">
        <f aca="false">K11+K12</f>
        <v>1294.06701684828</v>
      </c>
      <c r="L13" s="0" t="n">
        <f aca="false">L11+L12</f>
        <v>1319.94835718525</v>
      </c>
    </row>
    <row r="14" customFormat="false" ht="15" hidden="false" customHeight="false" outlineLevel="0" collapsed="false">
      <c r="A14" s="0" t="s">
        <v>101</v>
      </c>
      <c r="C14" s="4" t="n">
        <f aca="false">Assumptions!C19</f>
        <v>16</v>
      </c>
      <c r="D14" s="4" t="n">
        <f aca="false">Assumptions!D19</f>
        <v>17</v>
      </c>
      <c r="E14" s="4" t="n">
        <f aca="false">Assumptions!E19</f>
        <v>18</v>
      </c>
      <c r="F14" s="4" t="n">
        <f aca="false">Assumptions!F19</f>
        <v>19</v>
      </c>
      <c r="G14" s="4" t="n">
        <f aca="false">Assumptions!G19</f>
        <v>20</v>
      </c>
      <c r="H14" s="4" t="n">
        <f aca="false">Assumptions!H19</f>
        <v>20</v>
      </c>
      <c r="I14" s="4" t="n">
        <f aca="false">Assumptions!I19</f>
        <v>20</v>
      </c>
      <c r="J14" s="4" t="n">
        <f aca="false">Assumptions!J19</f>
        <v>20</v>
      </c>
      <c r="K14" s="4" t="n">
        <f aca="false">Assumptions!K19</f>
        <v>20</v>
      </c>
      <c r="L14" s="4" t="n">
        <f aca="false">Assumptions!L19</f>
        <v>20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918.1204032</v>
      </c>
      <c r="D15" s="0" t="n">
        <f aca="false">D13-MAX(0,D13)*D14/100</f>
        <v>934.406110352</v>
      </c>
      <c r="E15" s="0" t="n">
        <f aca="false">E13-MAX(0,E13)*E14/100</f>
        <v>939.68907207968</v>
      </c>
      <c r="F15" s="0" t="n">
        <f aca="false">F13-MAX(0,F13)*F14/100</f>
        <v>940.142186246484</v>
      </c>
      <c r="G15" s="0" t="n">
        <f aca="false">G13-MAX(0,G13)*G14/100</f>
        <v>951.748879903848</v>
      </c>
      <c r="H15" s="0" t="n">
        <f aca="false">H13-MAX(0,H13)*H14/100</f>
        <v>975.542601901444</v>
      </c>
      <c r="I15" s="0" t="n">
        <f aca="false">I13-MAX(0,I13)*I14/100</f>
        <v>995.053453939473</v>
      </c>
      <c r="J15" s="0" t="n">
        <f aca="false">J13-MAX(0,J13)*J14/100</f>
        <v>1014.95452301826</v>
      </c>
      <c r="K15" s="0" t="n">
        <f aca="false">K13-MAX(0,K13)*K14/100</f>
        <v>1035.25361347863</v>
      </c>
      <c r="L15" s="0" t="n">
        <f aca="false">L13-MAX(0,L13)*L14/100</f>
        <v>1055.9586857482</v>
      </c>
    </row>
    <row r="16" customFormat="false" ht="15" hidden="false" customHeight="false" outlineLevel="0" collapsed="false">
      <c r="A16" s="0" t="s">
        <v>117</v>
      </c>
      <c r="C16" s="0" t="n">
        <f aca="false">-C12</f>
        <v>358.99136</v>
      </c>
      <c r="D16" s="0" t="n">
        <f aca="false">-D12</f>
        <v>369.7611008</v>
      </c>
      <c r="E16" s="0" t="n">
        <f aca="false">-E12</f>
        <v>380.853933824</v>
      </c>
      <c r="F16" s="0" t="n">
        <f aca="false">-F12</f>
        <v>390.3752821696</v>
      </c>
      <c r="G16" s="0" t="n">
        <f aca="false">-G12</f>
        <v>400.13466422384</v>
      </c>
      <c r="H16" s="0" t="n">
        <f aca="false">-H12</f>
        <v>410.138030829436</v>
      </c>
      <c r="I16" s="0" t="n">
        <f aca="false">-I12</f>
        <v>418.340791446025</v>
      </c>
      <c r="J16" s="0" t="n">
        <f aca="false">-J12</f>
        <v>426.707607274945</v>
      </c>
      <c r="K16" s="0" t="n">
        <f aca="false">-K12</f>
        <v>435.241759420444</v>
      </c>
      <c r="L16" s="0" t="n">
        <f aca="false">-L12</f>
        <v>443.946594608853</v>
      </c>
    </row>
    <row r="17" customFormat="false" ht="15" hidden="false" customHeight="false" outlineLevel="0" collapsed="false">
      <c r="A17" s="0" t="s">
        <v>118</v>
      </c>
      <c r="C17" s="4" t="n">
        <f aca="false">-C6*Assumptions!C18/100</f>
        <v>-461.56032</v>
      </c>
      <c r="D17" s="4" t="n">
        <f aca="false">-D6*Assumptions!D18/100</f>
        <v>-475.4071296</v>
      </c>
      <c r="E17" s="4" t="n">
        <f aca="false">-E6*Assumptions!E18/100</f>
        <v>-476.06741728</v>
      </c>
      <c r="F17" s="4" t="n">
        <f aca="false">-F6*Assumptions!F18/100</f>
        <v>-487.969102712</v>
      </c>
      <c r="G17" s="4" t="n">
        <f aca="false">-G6*Assumptions!G18/100</f>
        <v>-500.1683302798</v>
      </c>
      <c r="H17" s="4" t="n">
        <f aca="false">-H6*Assumptions!H18/100</f>
        <v>-512.672538536795</v>
      </c>
      <c r="I17" s="4" t="n">
        <f aca="false">-I6*Assumptions!I18/100</f>
        <v>-522.925989307531</v>
      </c>
      <c r="J17" s="4" t="n">
        <f aca="false">-J6*Assumptions!J18/100</f>
        <v>-533.384509093682</v>
      </c>
      <c r="K17" s="4" t="n">
        <f aca="false">-K6*Assumptions!K18/100</f>
        <v>-544.052199275555</v>
      </c>
      <c r="L17" s="4" t="n">
        <f aca="false">-L6*Assumptions!L18/100</f>
        <v>-554.933243261066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(C6-B6)*Assumptions!$B$23/100</f>
        <v>-61.6400000000001</v>
      </c>
      <c r="D18" s="4" t="n">
        <f aca="false">(D6-C6)*Assumptions!$B$23/100</f>
        <v>-48.0792000000001</v>
      </c>
      <c r="E18" s="4" t="n">
        <f aca="false">(E6-D6)*Assumptions!$B$23/100</f>
        <v>-49.5215760000001</v>
      </c>
      <c r="F18" s="4" t="n">
        <f aca="false">(F6-E6)*Assumptions!$B$23/100</f>
        <v>-42.5060193999998</v>
      </c>
      <c r="G18" s="4" t="n">
        <f aca="false">(G6-F6)*Assumptions!$B$23/100</f>
        <v>-43.5686698849997</v>
      </c>
      <c r="H18" s="4" t="n">
        <f aca="false">(H6-G6)*Assumptions!$B$23/100</f>
        <v>-44.6578866321249</v>
      </c>
      <c r="I18" s="4" t="n">
        <f aca="false">(I6-H6)*Assumptions!$B$23/100</f>
        <v>-36.6194670383425</v>
      </c>
      <c r="J18" s="4" t="n">
        <f aca="false">(J6-I6)*Assumptions!$B$23/100</f>
        <v>-37.3518563791095</v>
      </c>
      <c r="K18" s="4" t="n">
        <f aca="false">(K6-J6)*Assumptions!$B$23/100</f>
        <v>-38.0988935066916</v>
      </c>
      <c r="L18" s="4" t="n">
        <f aca="false">(L6-K6)*Assumptions!$B$23/100</f>
        <v>-38.8608713768253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753.9114432</v>
      </c>
      <c r="D19" s="0" t="n">
        <f aca="false">D15+D16+D17+D18</f>
        <v>780.680881552</v>
      </c>
      <c r="E19" s="0" t="n">
        <f aca="false">E15+E16+E17+E18</f>
        <v>794.95401262368</v>
      </c>
      <c r="F19" s="0" t="n">
        <f aca="false">F15+F16+F17+F18</f>
        <v>800.042346304084</v>
      </c>
      <c r="G19" s="0" t="n">
        <f aca="false">G15+G16+G17+G18</f>
        <v>808.146543962888</v>
      </c>
      <c r="H19" s="0" t="n">
        <f aca="false">H15+H16+H17+H18</f>
        <v>828.35020756196</v>
      </c>
      <c r="I19" s="0" t="n">
        <f aca="false">I15+I16+I17+I18</f>
        <v>853.848789039624</v>
      </c>
      <c r="J19" s="0" t="n">
        <f aca="false">J15+J16+J17+J18</f>
        <v>870.925764820417</v>
      </c>
      <c r="K19" s="0" t="n">
        <f aca="false">K15+K16+K17+K18</f>
        <v>888.344280116825</v>
      </c>
      <c r="L19" s="0" t="n">
        <f aca="false">L15+L16+L17+L18</f>
        <v>906.111165719162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698.066151111111</v>
      </c>
      <c r="D21" s="0" t="n">
        <f aca="false">D19*D20</f>
        <v>669.308026021948</v>
      </c>
      <c r="E21" s="0" t="n">
        <f aca="false">E19*E20</f>
        <v>631.060125349032</v>
      </c>
      <c r="F21" s="0" t="n">
        <f aca="false">F19*F20</f>
        <v>588.05500803482</v>
      </c>
      <c r="G21" s="0" t="n">
        <f aca="false">G19*G20</f>
        <v>550.010958562041</v>
      </c>
      <c r="H21" s="0" t="n">
        <f aca="false">H19*H20</f>
        <v>522.001141227863</v>
      </c>
      <c r="I21" s="0" t="n">
        <f aca="false">I19*I20</f>
        <v>498.212567410825</v>
      </c>
      <c r="J21" s="0" t="n">
        <f aca="false">J19*J20</f>
        <v>470.534091443557</v>
      </c>
      <c r="K21" s="0" t="n">
        <f aca="false">K19*K20</f>
        <v>444.393308585581</v>
      </c>
      <c r="L21" s="0" t="n">
        <f aca="false">L19*L20</f>
        <v>419.704791441938</v>
      </c>
    </row>
    <row r="23" customFormat="false" ht="15" hidden="false" customHeight="false" outlineLevel="0" collapsed="false">
      <c r="A23" s="0" t="s">
        <v>98</v>
      </c>
      <c r="C23" s="4" t="n">
        <f aca="false">Assumptions!C16</f>
        <v>0.95</v>
      </c>
      <c r="D23" s="4" t="n">
        <f aca="false">Assumptions!D16</f>
        <v>0.95</v>
      </c>
      <c r="E23" s="4" t="n">
        <f aca="false">Assumptions!E16</f>
        <v>0.95</v>
      </c>
      <c r="F23" s="4" t="n">
        <f aca="false">Assumptions!F16</f>
        <v>0.95</v>
      </c>
      <c r="G23" s="4" t="n">
        <f aca="false">Assumptions!G16</f>
        <v>0.95</v>
      </c>
      <c r="H23" s="4" t="n">
        <f aca="false">Assumptions!H16</f>
        <v>0.95</v>
      </c>
      <c r="I23" s="4" t="n">
        <f aca="false">Assumptions!I16</f>
        <v>0.95</v>
      </c>
      <c r="J23" s="4" t="n">
        <f aca="false">Assumptions!J16</f>
        <v>0.95</v>
      </c>
      <c r="K23" s="4" t="n">
        <f aca="false">Assumptions!K16</f>
        <v>0.95</v>
      </c>
      <c r="L23" s="4" t="n">
        <f aca="false">Assumptions!L16</f>
        <v>0.95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-60.90032</v>
      </c>
      <c r="D24" s="0" t="n">
        <f aca="false">-D6*D23/100</f>
        <v>-62.7273296</v>
      </c>
      <c r="E24" s="0" t="n">
        <f aca="false">-E6*E23/100</f>
        <v>-64.609149488</v>
      </c>
      <c r="F24" s="0" t="n">
        <f aca="false">-F6*F23/100</f>
        <v>-66.2243782252</v>
      </c>
      <c r="G24" s="0" t="n">
        <f aca="false">-G6*G23/100</f>
        <v>-67.87998768083</v>
      </c>
      <c r="H24" s="0" t="n">
        <f aca="false">-H6*H23/100</f>
        <v>-69.5769873728507</v>
      </c>
      <c r="I24" s="0" t="n">
        <f aca="false">-I6*I23/100</f>
        <v>-70.9685271203078</v>
      </c>
      <c r="J24" s="0" t="n">
        <f aca="false">-J6*J23/100</f>
        <v>-72.3878976627139</v>
      </c>
      <c r="K24" s="0" t="n">
        <f aca="false">-K6*K23/100</f>
        <v>-73.8356556159682</v>
      </c>
      <c r="L24" s="0" t="n">
        <f aca="false">-L6*L23/100</f>
        <v>-75.3123687282876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103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104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5491.34616918871</v>
      </c>
    </row>
    <row r="31" customFormat="false" ht="15" hidden="false" customHeight="false" outlineLevel="0" collapsed="false">
      <c r="A31" s="0" t="s">
        <v>126</v>
      </c>
      <c r="B31" s="0" t="n">
        <f aca="false">L19</f>
        <v>906.111165719162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15403.8898172258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13591.6674857874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13591.6674857874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6295.57187162907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11786.9180408178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8928.91804081778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795.705585312028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-0.220278701311095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381.065731320967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499.394845509037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874.168327990145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7109.48760795035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264.447879355035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Assumptions!C27</f>
        <v>5</v>
      </c>
      <c r="D5" s="4" t="n">
        <f aca="false">Assumptions!D27</f>
        <v>5</v>
      </c>
      <c r="E5" s="4" t="n">
        <f aca="false">Assumptions!E27</f>
        <v>5.5</v>
      </c>
      <c r="F5" s="4" t="n">
        <f aca="false">Assumptions!F27</f>
        <v>5</v>
      </c>
      <c r="G5" s="4" t="n">
        <f aca="false">Assumptions!G27</f>
        <v>4.5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6164</v>
      </c>
      <c r="C6" s="0" t="n">
        <f aca="false">B6*(1+C5/100)</f>
        <v>6472.2</v>
      </c>
      <c r="D6" s="0" t="n">
        <f aca="false">C6*(1+D5/100)</f>
        <v>6795.81</v>
      </c>
      <c r="E6" s="0" t="n">
        <f aca="false">D6*(1+E5/100)</f>
        <v>7169.57955</v>
      </c>
      <c r="F6" s="0" t="n">
        <f aca="false">E6*(1+F5/100)</f>
        <v>7528.0585275</v>
      </c>
      <c r="G6" s="0" t="n">
        <f aca="false">F6*(1+G5/100)</f>
        <v>7866.8211612375</v>
      </c>
      <c r="H6" s="0" t="n">
        <f aca="false">G6*(1+H5/100)</f>
        <v>8181.494007687</v>
      </c>
      <c r="I6" s="0" t="n">
        <f aca="false">H6*(1+I5/100)</f>
        <v>8467.84629795605</v>
      </c>
      <c r="J6" s="0" t="n">
        <f aca="false">I6*(1+J5/100)</f>
        <v>8721.88168689473</v>
      </c>
      <c r="K6" s="0" t="n">
        <f aca="false">J6*(1+K5/100)</f>
        <v>8983.53813750157</v>
      </c>
      <c r="L6" s="0" t="n">
        <f aca="false">K6*(1+L5/100)</f>
        <v>9208.12659093911</v>
      </c>
    </row>
    <row r="7" customFormat="false" ht="15" hidden="false" customHeight="false" outlineLevel="0" collapsed="false">
      <c r="A7" s="0" t="s">
        <v>96</v>
      </c>
      <c r="C7" s="4" t="n">
        <f aca="false">Assumptions!C28</f>
        <v>24.8</v>
      </c>
      <c r="D7" s="4" t="n">
        <f aca="false">Assumptions!D28</f>
        <v>25.4</v>
      </c>
      <c r="E7" s="4" t="n">
        <f aca="false">Assumptions!E28</f>
        <v>25.9</v>
      </c>
      <c r="F7" s="4" t="n">
        <f aca="false">Assumptions!F28</f>
        <v>26.2</v>
      </c>
      <c r="G7" s="4" t="n">
        <f aca="false">Assumptions!G28</f>
        <v>26.4</v>
      </c>
      <c r="H7" s="4" t="n">
        <f aca="false">Assumptions!H28</f>
        <v>26.5</v>
      </c>
      <c r="I7" s="4" t="n">
        <f aca="false">Assumptions!I28</f>
        <v>26.5</v>
      </c>
      <c r="J7" s="4" t="n">
        <f aca="false">Assumptions!J28</f>
        <v>26.5</v>
      </c>
      <c r="K7" s="4" t="n">
        <f aca="false">Assumptions!K28</f>
        <v>26.5</v>
      </c>
      <c r="L7" s="4" t="n">
        <f aca="false">Assumptions!L28</f>
        <v>26.5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1605.1056</v>
      </c>
      <c r="D8" s="0" t="n">
        <f aca="false">D6*D7/100</f>
        <v>1726.13574</v>
      </c>
      <c r="E8" s="0" t="n">
        <f aca="false">E6*E7/100</f>
        <v>1856.92110345</v>
      </c>
      <c r="F8" s="0" t="n">
        <f aca="false">F6*F7/100</f>
        <v>1972.351334205</v>
      </c>
      <c r="G8" s="0" t="n">
        <f aca="false">G6*G7/100</f>
        <v>2076.8407865667</v>
      </c>
      <c r="H8" s="0" t="n">
        <f aca="false">H6*H7/100</f>
        <v>2168.09591203706</v>
      </c>
      <c r="I8" s="0" t="n">
        <f aca="false">I6*I7/100</f>
        <v>2243.97926895835</v>
      </c>
      <c r="J8" s="0" t="n">
        <f aca="false">J6*J7/100</f>
        <v>2311.2986470271</v>
      </c>
      <c r="K8" s="0" t="n">
        <f aca="false">K6*K7/100</f>
        <v>2380.63760643792</v>
      </c>
      <c r="L8" s="0" t="n">
        <f aca="false">L6*L7/100</f>
        <v>2440.15354659886</v>
      </c>
    </row>
    <row r="9" customFormat="false" ht="15" hidden="false" customHeight="false" outlineLevel="0" collapsed="false">
      <c r="A9" s="0" t="s">
        <v>97</v>
      </c>
      <c r="C9" s="4" t="n">
        <f aca="false">Assumptions!C29</f>
        <v>0.8</v>
      </c>
      <c r="D9" s="4" t="n">
        <f aca="false">Assumptions!D29</f>
        <v>0.8</v>
      </c>
      <c r="E9" s="4" t="n">
        <f aca="false">Assumptions!E29</f>
        <v>0.8</v>
      </c>
      <c r="F9" s="4" t="n">
        <f aca="false">Assumptions!F29</f>
        <v>0.8</v>
      </c>
      <c r="G9" s="4" t="n">
        <f aca="false">Assumptions!G29</f>
        <v>0.8</v>
      </c>
      <c r="H9" s="4" t="n">
        <f aca="false">Assumptions!H29</f>
        <v>0.8</v>
      </c>
      <c r="I9" s="4" t="n">
        <f aca="false">Assumptions!I29</f>
        <v>0.8</v>
      </c>
      <c r="J9" s="4" t="n">
        <f aca="false">Assumptions!J29</f>
        <v>0.8</v>
      </c>
      <c r="K9" s="4" t="n">
        <f aca="false">Assumptions!K29</f>
        <v>0.8</v>
      </c>
      <c r="L9" s="4" t="n">
        <f aca="false">Assumptions!L29</f>
        <v>0.8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-51.7776</v>
      </c>
      <c r="D10" s="0" t="n">
        <f aca="false">-D6*D9/100</f>
        <v>-54.36648</v>
      </c>
      <c r="E10" s="0" t="n">
        <f aca="false">-E6*E9/100</f>
        <v>-57.3566364</v>
      </c>
      <c r="F10" s="0" t="n">
        <f aca="false">-F6*F9/100</f>
        <v>-60.22446822</v>
      </c>
      <c r="G10" s="0" t="n">
        <f aca="false">-G6*G9/100</f>
        <v>-62.9345692899</v>
      </c>
      <c r="H10" s="0" t="n">
        <f aca="false">-H6*H9/100</f>
        <v>-65.451952061496</v>
      </c>
      <c r="I10" s="0" t="n">
        <f aca="false">-I6*I9/100</f>
        <v>-67.7427703836484</v>
      </c>
      <c r="J10" s="0" t="n">
        <f aca="false">-J6*J9/100</f>
        <v>-69.7750534951578</v>
      </c>
      <c r="K10" s="0" t="n">
        <f aca="false">-K6*K9/100</f>
        <v>-71.8683051000126</v>
      </c>
      <c r="L10" s="0" t="n">
        <f aca="false">-L6*L9/100</f>
        <v>-73.6650127275129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1491.8421</v>
      </c>
      <c r="D11" s="0" t="n">
        <f aca="false">D8+D10+D24</f>
        <v>1607.209065</v>
      </c>
      <c r="E11" s="0" t="n">
        <f aca="false">E8+E10+E24</f>
        <v>1731.453461325</v>
      </c>
      <c r="F11" s="0" t="n">
        <f aca="false">F8+F10+F24</f>
        <v>1840.61030997375</v>
      </c>
      <c r="G11" s="0" t="n">
        <f aca="false">G8+G10+G24</f>
        <v>1939.17141624504</v>
      </c>
      <c r="H11" s="0" t="n">
        <f aca="false">H8+H10+H24</f>
        <v>2024.91976690253</v>
      </c>
      <c r="I11" s="0" t="n">
        <f aca="false">I8+I10+I24</f>
        <v>2095.79195874412</v>
      </c>
      <c r="J11" s="0" t="n">
        <f aca="false">J8+J10+J24</f>
        <v>2158.66571750645</v>
      </c>
      <c r="K11" s="0" t="n">
        <f aca="false">K8+K10+K24</f>
        <v>2223.42568903164</v>
      </c>
      <c r="L11" s="0" t="n">
        <f aca="false">L8+L10+L24</f>
        <v>2279.01133125743</v>
      </c>
    </row>
    <row r="12" customFormat="false" ht="15" hidden="false" customHeight="false" outlineLevel="0" collapsed="false">
      <c r="A12" s="0" t="s">
        <v>114</v>
      </c>
      <c r="C12" s="4" t="n">
        <f aca="false">-C6*Assumptions!C31/100</f>
        <v>-362.4432</v>
      </c>
      <c r="D12" s="4" t="n">
        <f aca="false">-D6*Assumptions!D31/100</f>
        <v>-380.56536</v>
      </c>
      <c r="E12" s="4" t="n">
        <f aca="false">-E6*Assumptions!E31/100</f>
        <v>-401.4964548</v>
      </c>
      <c r="F12" s="4" t="n">
        <f aca="false">-F6*Assumptions!F31/100</f>
        <v>-421.57127754</v>
      </c>
      <c r="G12" s="4" t="n">
        <f aca="false">-G6*Assumptions!G31/100</f>
        <v>-440.5419850293</v>
      </c>
      <c r="H12" s="4" t="n">
        <f aca="false">-H6*Assumptions!H31/100</f>
        <v>-458.163664430472</v>
      </c>
      <c r="I12" s="4" t="n">
        <f aca="false">-I6*Assumptions!I31/100</f>
        <v>-474.199392685539</v>
      </c>
      <c r="J12" s="4" t="n">
        <f aca="false">-J6*Assumptions!J31/100</f>
        <v>-488.425374466105</v>
      </c>
      <c r="K12" s="4" t="n">
        <f aca="false">-K6*Assumptions!K31/100</f>
        <v>-503.078135700088</v>
      </c>
      <c r="L12" s="4" t="n">
        <f aca="false">-L6*Assumptions!L31/100</f>
        <v>-515.65508909259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1129.3989</v>
      </c>
      <c r="D13" s="0" t="n">
        <f aca="false">D11+D12</f>
        <v>1226.643705</v>
      </c>
      <c r="E13" s="0" t="n">
        <f aca="false">E11+E12</f>
        <v>1329.957006525</v>
      </c>
      <c r="F13" s="0" t="n">
        <f aca="false">F11+F12</f>
        <v>1419.03903243375</v>
      </c>
      <c r="G13" s="0" t="n">
        <f aca="false">G11+G12</f>
        <v>1498.62943121574</v>
      </c>
      <c r="H13" s="0" t="n">
        <f aca="false">H11+H12</f>
        <v>1566.75610247206</v>
      </c>
      <c r="I13" s="0" t="n">
        <f aca="false">I11+I12</f>
        <v>1621.59256605858</v>
      </c>
      <c r="J13" s="0" t="n">
        <f aca="false">J11+J12</f>
        <v>1670.24034304034</v>
      </c>
      <c r="K13" s="0" t="n">
        <f aca="false">K11+K12</f>
        <v>1720.34755333155</v>
      </c>
      <c r="L13" s="0" t="n">
        <f aca="false">L11+L12</f>
        <v>1763.35624216484</v>
      </c>
    </row>
    <row r="14" customFormat="false" ht="15" hidden="false" customHeight="false" outlineLevel="0" collapsed="false">
      <c r="A14" s="0" t="s">
        <v>101</v>
      </c>
      <c r="C14" s="4" t="n">
        <f aca="false">Assumptions!C33</f>
        <v>16</v>
      </c>
      <c r="D14" s="4" t="n">
        <f aca="false">Assumptions!D33</f>
        <v>17</v>
      </c>
      <c r="E14" s="4" t="n">
        <f aca="false">Assumptions!E33</f>
        <v>18</v>
      </c>
      <c r="F14" s="4" t="n">
        <f aca="false">Assumptions!F33</f>
        <v>19</v>
      </c>
      <c r="G14" s="4" t="n">
        <f aca="false">Assumptions!G33</f>
        <v>20</v>
      </c>
      <c r="H14" s="4" t="n">
        <f aca="false">Assumptions!H33</f>
        <v>20</v>
      </c>
      <c r="I14" s="4" t="n">
        <f aca="false">Assumptions!I33</f>
        <v>20</v>
      </c>
      <c r="J14" s="4" t="n">
        <f aca="false">Assumptions!J33</f>
        <v>20</v>
      </c>
      <c r="K14" s="4" t="n">
        <f aca="false">Assumptions!K33</f>
        <v>20</v>
      </c>
      <c r="L14" s="4" t="n">
        <f aca="false">Assumptions!L33</f>
        <v>20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948.695076</v>
      </c>
      <c r="D15" s="0" t="n">
        <f aca="false">D13-MAX(0,D13)*D14/100</f>
        <v>1018.11427515</v>
      </c>
      <c r="E15" s="0" t="n">
        <f aca="false">E13-MAX(0,E13)*E14/100</f>
        <v>1090.5647453505</v>
      </c>
      <c r="F15" s="0" t="n">
        <f aca="false">F13-MAX(0,F13)*F14/100</f>
        <v>1149.42161627134</v>
      </c>
      <c r="G15" s="0" t="n">
        <f aca="false">G13-MAX(0,G13)*G14/100</f>
        <v>1198.9035449726</v>
      </c>
      <c r="H15" s="0" t="n">
        <f aca="false">H13-MAX(0,H13)*H14/100</f>
        <v>1253.40488197765</v>
      </c>
      <c r="I15" s="0" t="n">
        <f aca="false">I13-MAX(0,I13)*I14/100</f>
        <v>1297.27405284687</v>
      </c>
      <c r="J15" s="0" t="n">
        <f aca="false">J13-MAX(0,J13)*J14/100</f>
        <v>1336.19227443227</v>
      </c>
      <c r="K15" s="0" t="n">
        <f aca="false">K13-MAX(0,K13)*K14/100</f>
        <v>1376.27804266524</v>
      </c>
      <c r="L15" s="0" t="n">
        <f aca="false">L13-MAX(0,L13)*L14/100</f>
        <v>1410.68499373187</v>
      </c>
    </row>
    <row r="16" customFormat="false" ht="15" hidden="false" customHeight="false" outlineLevel="0" collapsed="false">
      <c r="A16" s="0" t="s">
        <v>117</v>
      </c>
      <c r="C16" s="0" t="n">
        <f aca="false">-C12</f>
        <v>362.4432</v>
      </c>
      <c r="D16" s="0" t="n">
        <f aca="false">-D12</f>
        <v>380.56536</v>
      </c>
      <c r="E16" s="0" t="n">
        <f aca="false">-E12</f>
        <v>401.4964548</v>
      </c>
      <c r="F16" s="0" t="n">
        <f aca="false">-F12</f>
        <v>421.57127754</v>
      </c>
      <c r="G16" s="0" t="n">
        <f aca="false">-G12</f>
        <v>440.5419850293</v>
      </c>
      <c r="H16" s="0" t="n">
        <f aca="false">-H12</f>
        <v>458.163664430472</v>
      </c>
      <c r="I16" s="0" t="n">
        <f aca="false">-I12</f>
        <v>474.199392685539</v>
      </c>
      <c r="J16" s="0" t="n">
        <f aca="false">-J12</f>
        <v>488.425374466105</v>
      </c>
      <c r="K16" s="0" t="n">
        <f aca="false">-K12</f>
        <v>503.078135700088</v>
      </c>
      <c r="L16" s="0" t="n">
        <f aca="false">-L12</f>
        <v>515.65508909259</v>
      </c>
    </row>
    <row r="17" customFormat="false" ht="15" hidden="false" customHeight="false" outlineLevel="0" collapsed="false">
      <c r="A17" s="0" t="s">
        <v>118</v>
      </c>
      <c r="C17" s="4" t="n">
        <f aca="false">-C6*Assumptions!C32/100</f>
        <v>-465.9984</v>
      </c>
      <c r="D17" s="4" t="n">
        <f aca="false">-D6*Assumptions!D32/100</f>
        <v>-475.7067</v>
      </c>
      <c r="E17" s="4" t="n">
        <f aca="false">-E6*Assumptions!E32/100</f>
        <v>-487.5314094</v>
      </c>
      <c r="F17" s="4" t="n">
        <f aca="false">-F6*Assumptions!F32/100</f>
        <v>-511.90797987</v>
      </c>
      <c r="G17" s="4" t="n">
        <f aca="false">-G6*Assumptions!G32/100</f>
        <v>-534.94383896415</v>
      </c>
      <c r="H17" s="4" t="n">
        <f aca="false">-H6*Assumptions!H32/100</f>
        <v>-556.341592522716</v>
      </c>
      <c r="I17" s="4" t="n">
        <f aca="false">-I6*Assumptions!I32/100</f>
        <v>-575.813548261011</v>
      </c>
      <c r="J17" s="4" t="n">
        <f aca="false">-J6*Assumptions!J32/100</f>
        <v>-593.087954708842</v>
      </c>
      <c r="K17" s="4" t="n">
        <f aca="false">-K6*Assumptions!K32/100</f>
        <v>-610.880593350107</v>
      </c>
      <c r="L17" s="4" t="n">
        <f aca="false">-L6*Assumptions!L32/100</f>
        <v>-626.15260818386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(C6-B6)*Assumptions!$B$37/100</f>
        <v>-46.2300000000001</v>
      </c>
      <c r="D18" s="4" t="n">
        <f aca="false">(D6-C6)*Assumptions!$B$37/100</f>
        <v>-48.5415000000001</v>
      </c>
      <c r="E18" s="4" t="n">
        <f aca="false">(E6-D6)*Assumptions!$B$37/100</f>
        <v>-56.0654325</v>
      </c>
      <c r="F18" s="4" t="n">
        <f aca="false">(F6-E6)*Assumptions!$B$37/100</f>
        <v>-53.7718466250001</v>
      </c>
      <c r="G18" s="4" t="n">
        <f aca="false">(G6-F6)*Assumptions!$B$37/100</f>
        <v>-50.8143950606249</v>
      </c>
      <c r="H18" s="4" t="n">
        <f aca="false">(H6-G6)*Assumptions!$B$37/100</f>
        <v>-47.200926967425</v>
      </c>
      <c r="I18" s="4" t="n">
        <f aca="false">(I6-H6)*Assumptions!$B$37/100</f>
        <v>-42.9528435403567</v>
      </c>
      <c r="J18" s="4" t="n">
        <f aca="false">(J6-I6)*Assumptions!$B$37/100</f>
        <v>-38.1053083408024</v>
      </c>
      <c r="K18" s="4" t="n">
        <f aca="false">(K6-J6)*Assumptions!$B$37/100</f>
        <v>-39.2484675910264</v>
      </c>
      <c r="L18" s="4" t="n">
        <f aca="false">(L6-K6)*Assumptions!$B$37/100</f>
        <v>-33.6882680156307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798.909876</v>
      </c>
      <c r="D19" s="0" t="n">
        <f aca="false">D15+D16+D17+D18</f>
        <v>874.43143515</v>
      </c>
      <c r="E19" s="0" t="n">
        <f aca="false">E15+E16+E17+E18</f>
        <v>948.4643582505</v>
      </c>
      <c r="F19" s="0" t="n">
        <f aca="false">F15+F16+F17+F18</f>
        <v>1005.31306731634</v>
      </c>
      <c r="G19" s="0" t="n">
        <f aca="false">G15+G16+G17+G18</f>
        <v>1053.68729597712</v>
      </c>
      <c r="H19" s="0" t="n">
        <f aca="false">H15+H16+H17+H18</f>
        <v>1108.02602691798</v>
      </c>
      <c r="I19" s="0" t="n">
        <f aca="false">I15+I16+I17+I18</f>
        <v>1152.70705373104</v>
      </c>
      <c r="J19" s="0" t="n">
        <f aca="false">J15+J16+J17+J18</f>
        <v>1193.42438584873</v>
      </c>
      <c r="K19" s="0" t="n">
        <f aca="false">K15+K16+K17+K18</f>
        <v>1229.2271174242</v>
      </c>
      <c r="L19" s="0" t="n">
        <f aca="false">L15+L16+L17+L18</f>
        <v>1266.49920662497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739.731366666667</v>
      </c>
      <c r="D21" s="0" t="n">
        <f aca="false">D19*D20</f>
        <v>749.684015046296</v>
      </c>
      <c r="E21" s="0" t="n">
        <f aca="false">E19*E20</f>
        <v>752.921587037751</v>
      </c>
      <c r="F21" s="0" t="n">
        <f aca="false">F19*F20</f>
        <v>738.935115883879</v>
      </c>
      <c r="G21" s="0" t="n">
        <f aca="false">G19*G20</f>
        <v>717.121868569959</v>
      </c>
      <c r="H21" s="0" t="n">
        <f aca="false">H19*H20</f>
        <v>698.244347959672</v>
      </c>
      <c r="I21" s="0" t="n">
        <f aca="false">I19*I20</f>
        <v>672.593494402973</v>
      </c>
      <c r="J21" s="0" t="n">
        <f aca="false">J19*J20</f>
        <v>644.770061679951</v>
      </c>
      <c r="K21" s="0" t="n">
        <f aca="false">K19*K20</f>
        <v>614.919595861435</v>
      </c>
      <c r="L21" s="0" t="n">
        <f aca="false">L19*L20</f>
        <v>586.634185173106</v>
      </c>
    </row>
    <row r="23" customFormat="false" ht="15" hidden="false" customHeight="false" outlineLevel="0" collapsed="false">
      <c r="A23" s="0" t="s">
        <v>98</v>
      </c>
      <c r="C23" s="4" t="n">
        <f aca="false">Assumptions!C30</f>
        <v>0.95</v>
      </c>
      <c r="D23" s="4" t="n">
        <f aca="false">Assumptions!D30</f>
        <v>0.95</v>
      </c>
      <c r="E23" s="4" t="n">
        <f aca="false">Assumptions!E30</f>
        <v>0.95</v>
      </c>
      <c r="F23" s="4" t="n">
        <f aca="false">Assumptions!F30</f>
        <v>0.95</v>
      </c>
      <c r="G23" s="4" t="n">
        <f aca="false">Assumptions!G30</f>
        <v>0.95</v>
      </c>
      <c r="H23" s="4" t="n">
        <f aca="false">Assumptions!H30</f>
        <v>0.95</v>
      </c>
      <c r="I23" s="4" t="n">
        <f aca="false">Assumptions!I30</f>
        <v>0.95</v>
      </c>
      <c r="J23" s="4" t="n">
        <f aca="false">Assumptions!J30</f>
        <v>0.95</v>
      </c>
      <c r="K23" s="4" t="n">
        <f aca="false">Assumptions!K30</f>
        <v>0.95</v>
      </c>
      <c r="L23" s="4" t="n">
        <f aca="false">Assumptions!L30</f>
        <v>0.95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-61.4859</v>
      </c>
      <c r="D24" s="0" t="n">
        <f aca="false">-D6*D23/100</f>
        <v>-64.560195</v>
      </c>
      <c r="E24" s="0" t="n">
        <f aca="false">-E6*E23/100</f>
        <v>-68.111005725</v>
      </c>
      <c r="F24" s="0" t="n">
        <f aca="false">-F6*F23/100</f>
        <v>-71.51655601125</v>
      </c>
      <c r="G24" s="0" t="n">
        <f aca="false">-G6*G23/100</f>
        <v>-74.7348010317563</v>
      </c>
      <c r="H24" s="0" t="n">
        <f aca="false">-H6*H23/100</f>
        <v>-77.7241930730265</v>
      </c>
      <c r="I24" s="0" t="n">
        <f aca="false">-I6*I23/100</f>
        <v>-80.4445398305824</v>
      </c>
      <c r="J24" s="0" t="n">
        <f aca="false">-J6*J23/100</f>
        <v>-82.8578760254999</v>
      </c>
      <c r="K24" s="0" t="n">
        <f aca="false">-K6*K23/100</f>
        <v>-85.3436123062649</v>
      </c>
      <c r="L24" s="0" t="n">
        <f aca="false">-L6*L23/100</f>
        <v>-87.4772026139216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103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104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6915.55563828169</v>
      </c>
    </row>
    <row r="31" customFormat="false" ht="15" hidden="false" customHeight="false" outlineLevel="0" collapsed="false">
      <c r="A31" s="0" t="s">
        <v>126</v>
      </c>
      <c r="B31" s="0" t="n">
        <f aca="false">L19</f>
        <v>1266.49920662497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23602.939759829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22796.9857192495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22796.9857192495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10559.4153331159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17474.9709713976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14616.9709713976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1302.59964187325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0.276432770086477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415.726833627322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635.89423727156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1396.31544886361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10385.2934943248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423.500931339065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Assumptions!C41</f>
        <v>5.5</v>
      </c>
      <c r="D5" s="4" t="n">
        <f aca="false">Assumptions!D41</f>
        <v>6.5</v>
      </c>
      <c r="E5" s="4" t="n">
        <f aca="false">Assumptions!E41</f>
        <v>7</v>
      </c>
      <c r="F5" s="4" t="n">
        <f aca="false">Assumptions!F41</f>
        <v>6.5</v>
      </c>
      <c r="G5" s="4" t="n">
        <f aca="false">Assumptions!G41</f>
        <v>6</v>
      </c>
      <c r="H5" s="4" t="n">
        <f aca="false">Assumptions!H41</f>
        <v>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6164</v>
      </c>
      <c r="C6" s="0" t="n">
        <f aca="false">B6*(1+C5/100)</f>
        <v>6503.02</v>
      </c>
      <c r="D6" s="0" t="n">
        <f aca="false">C6*(1+D5/100)</f>
        <v>6925.7163</v>
      </c>
      <c r="E6" s="0" t="n">
        <f aca="false">D6*(1+E5/100)</f>
        <v>7410.516441</v>
      </c>
      <c r="F6" s="0" t="n">
        <f aca="false">E6*(1+F5/100)</f>
        <v>7892.200009665</v>
      </c>
      <c r="G6" s="0" t="n">
        <f aca="false">F6*(1+G5/100)</f>
        <v>8365.7320102449</v>
      </c>
      <c r="H6" s="0" t="n">
        <f aca="false">G6*(1+H5/100)</f>
        <v>8784.01861075714</v>
      </c>
      <c r="I6" s="0" t="n">
        <f aca="false">H6*(1+I5/100)</f>
        <v>9179.29944824122</v>
      </c>
      <c r="J6" s="0" t="n">
        <f aca="false">I6*(1+J5/100)</f>
        <v>9546.47142617087</v>
      </c>
      <c r="K6" s="0" t="n">
        <f aca="false">J6*(1+K5/100)</f>
        <v>9880.59792608684</v>
      </c>
      <c r="L6" s="0" t="n">
        <f aca="false">K6*(1+L5/100)</f>
        <v>10177.0158638695</v>
      </c>
    </row>
    <row r="7" customFormat="false" ht="15" hidden="false" customHeight="false" outlineLevel="0" collapsed="false">
      <c r="A7" s="0" t="s">
        <v>96</v>
      </c>
      <c r="C7" s="4" t="n">
        <f aca="false">Assumptions!C42</f>
        <v>25</v>
      </c>
      <c r="D7" s="4" t="n">
        <f aca="false">Assumptions!D42</f>
        <v>25.8</v>
      </c>
      <c r="E7" s="4" t="n">
        <f aca="false">Assumptions!E42</f>
        <v>26.6</v>
      </c>
      <c r="F7" s="4" t="n">
        <f aca="false">Assumptions!F42</f>
        <v>27.4</v>
      </c>
      <c r="G7" s="4" t="n">
        <f aca="false">Assumptions!G42</f>
        <v>28</v>
      </c>
      <c r="H7" s="4" t="n">
        <f aca="false">Assumptions!H42</f>
        <v>28.3</v>
      </c>
      <c r="I7" s="4" t="n">
        <f aca="false">Assumptions!I42</f>
        <v>28.5</v>
      </c>
      <c r="J7" s="4" t="n">
        <f aca="false">Assumptions!J42</f>
        <v>28.5</v>
      </c>
      <c r="K7" s="4" t="n">
        <f aca="false">Assumptions!K42</f>
        <v>28.5</v>
      </c>
      <c r="L7" s="4" t="n">
        <f aca="false">Assumptions!L42</f>
        <v>28.5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1625.755</v>
      </c>
      <c r="D8" s="0" t="n">
        <f aca="false">D6*D7/100</f>
        <v>1786.8348054</v>
      </c>
      <c r="E8" s="0" t="n">
        <f aca="false">E6*E7/100</f>
        <v>1971.197373306</v>
      </c>
      <c r="F8" s="0" t="n">
        <f aca="false">F6*F7/100</f>
        <v>2162.46280264821</v>
      </c>
      <c r="G8" s="0" t="n">
        <f aca="false">G6*G7/100</f>
        <v>2342.40496286857</v>
      </c>
      <c r="H8" s="0" t="n">
        <f aca="false">H6*H7/100</f>
        <v>2485.87726684427</v>
      </c>
      <c r="I8" s="0" t="n">
        <f aca="false">I6*I7/100</f>
        <v>2616.10034274875</v>
      </c>
      <c r="J8" s="0" t="n">
        <f aca="false">J6*J7/100</f>
        <v>2720.7443564587</v>
      </c>
      <c r="K8" s="0" t="n">
        <f aca="false">K6*K7/100</f>
        <v>2815.97040893475</v>
      </c>
      <c r="L8" s="0" t="n">
        <f aca="false">L6*L7/100</f>
        <v>2900.44952120279</v>
      </c>
    </row>
    <row r="9" customFormat="false" ht="15" hidden="false" customHeight="false" outlineLevel="0" collapsed="false">
      <c r="A9" s="0" t="s">
        <v>97</v>
      </c>
      <c r="C9" s="4" t="n">
        <f aca="false">Assumptions!C43</f>
        <v>0.8</v>
      </c>
      <c r="D9" s="4" t="n">
        <f aca="false">Assumptions!D43</f>
        <v>0.8</v>
      </c>
      <c r="E9" s="4" t="n">
        <f aca="false">Assumptions!E43</f>
        <v>0.8</v>
      </c>
      <c r="F9" s="4" t="n">
        <f aca="false">Assumptions!F43</f>
        <v>0.8</v>
      </c>
      <c r="G9" s="4" t="n">
        <f aca="false">Assumptions!G43</f>
        <v>0.8</v>
      </c>
      <c r="H9" s="4" t="n">
        <f aca="false">Assumptions!H43</f>
        <v>0.8</v>
      </c>
      <c r="I9" s="4" t="n">
        <f aca="false">Assumptions!I43</f>
        <v>0.8</v>
      </c>
      <c r="J9" s="4" t="n">
        <f aca="false">Assumptions!J43</f>
        <v>0.8</v>
      </c>
      <c r="K9" s="4" t="n">
        <f aca="false">Assumptions!K43</f>
        <v>0.8</v>
      </c>
      <c r="L9" s="4" t="n">
        <f aca="false">Assumptions!L43</f>
        <v>0.8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-52.02416</v>
      </c>
      <c r="D10" s="0" t="n">
        <f aca="false">-D6*D9/100</f>
        <v>-55.4057304</v>
      </c>
      <c r="E10" s="0" t="n">
        <f aca="false">-E6*E9/100</f>
        <v>-59.284131528</v>
      </c>
      <c r="F10" s="0" t="n">
        <f aca="false">-F6*F9/100</f>
        <v>-63.13760007732</v>
      </c>
      <c r="G10" s="0" t="n">
        <f aca="false">-G6*G9/100</f>
        <v>-66.9258560819592</v>
      </c>
      <c r="H10" s="0" t="n">
        <f aca="false">-H6*H9/100</f>
        <v>-70.2721488860572</v>
      </c>
      <c r="I10" s="0" t="n">
        <f aca="false">-I6*I9/100</f>
        <v>-73.4343955859297</v>
      </c>
      <c r="J10" s="0" t="n">
        <f aca="false">-J6*J9/100</f>
        <v>-76.3717714093669</v>
      </c>
      <c r="K10" s="0" t="n">
        <f aca="false">-K6*K9/100</f>
        <v>-79.0447834086948</v>
      </c>
      <c r="L10" s="0" t="n">
        <f aca="false">-L6*L9/100</f>
        <v>-81.4161269109556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1511.95215</v>
      </c>
      <c r="D11" s="0" t="n">
        <f aca="false">D8+D10+D24</f>
        <v>1665.63477015</v>
      </c>
      <c r="E11" s="0" t="n">
        <f aca="false">E8+E10+E24</f>
        <v>1841.5133355885</v>
      </c>
      <c r="F11" s="0" t="n">
        <f aca="false">F8+F10+F24</f>
        <v>2024.34930247907</v>
      </c>
      <c r="G11" s="0" t="n">
        <f aca="false">G8+G10+G24</f>
        <v>2196.00465268929</v>
      </c>
      <c r="H11" s="0" t="n">
        <f aca="false">H8+H10+H24</f>
        <v>2332.15694115602</v>
      </c>
      <c r="I11" s="0" t="n">
        <f aca="false">I8+I10+I24</f>
        <v>2455.46260240453</v>
      </c>
      <c r="J11" s="0" t="n">
        <f aca="false">J8+J10+J24</f>
        <v>2553.68110650071</v>
      </c>
      <c r="K11" s="0" t="n">
        <f aca="false">K8+K10+K24</f>
        <v>2643.05994522823</v>
      </c>
      <c r="L11" s="0" t="n">
        <f aca="false">L8+L10+L24</f>
        <v>2722.35174358508</v>
      </c>
    </row>
    <row r="12" customFormat="false" ht="15" hidden="false" customHeight="false" outlineLevel="0" collapsed="false">
      <c r="A12" s="0" t="s">
        <v>114</v>
      </c>
      <c r="C12" s="4" t="n">
        <f aca="false">-C6*Assumptions!C45/100</f>
        <v>-364.16912</v>
      </c>
      <c r="D12" s="4" t="n">
        <f aca="false">-D6*Assumptions!D45/100</f>
        <v>-387.8401128</v>
      </c>
      <c r="E12" s="4" t="n">
        <f aca="false">-E6*Assumptions!E45/100</f>
        <v>-414.988920696</v>
      </c>
      <c r="F12" s="4" t="n">
        <f aca="false">-F6*Assumptions!F45/100</f>
        <v>-441.96320054124</v>
      </c>
      <c r="G12" s="4" t="n">
        <f aca="false">-G6*Assumptions!G45/100</f>
        <v>-468.480992573714</v>
      </c>
      <c r="H12" s="4" t="n">
        <f aca="false">-H6*Assumptions!H45/100</f>
        <v>-491.9050422024</v>
      </c>
      <c r="I12" s="4" t="n">
        <f aca="false">-I6*Assumptions!I45/100</f>
        <v>-514.040769101508</v>
      </c>
      <c r="J12" s="4" t="n">
        <f aca="false">-J6*Assumptions!J45/100</f>
        <v>-534.602399865569</v>
      </c>
      <c r="K12" s="4" t="n">
        <f aca="false">-K6*Assumptions!K45/100</f>
        <v>-553.313483860863</v>
      </c>
      <c r="L12" s="4" t="n">
        <f aca="false">-L6*Assumptions!L45/100</f>
        <v>-569.912888376689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1147.78303</v>
      </c>
      <c r="D13" s="0" t="n">
        <f aca="false">D11+D12</f>
        <v>1277.79465735</v>
      </c>
      <c r="E13" s="0" t="n">
        <f aca="false">E11+E12</f>
        <v>1426.5244148925</v>
      </c>
      <c r="F13" s="0" t="n">
        <f aca="false">F11+F12</f>
        <v>1582.38610193783</v>
      </c>
      <c r="G13" s="0" t="n">
        <f aca="false">G11+G12</f>
        <v>1727.52366011557</v>
      </c>
      <c r="H13" s="0" t="n">
        <f aca="false">H11+H12</f>
        <v>1840.25189895362</v>
      </c>
      <c r="I13" s="0" t="n">
        <f aca="false">I11+I12</f>
        <v>1941.42183330302</v>
      </c>
      <c r="J13" s="0" t="n">
        <f aca="false">J11+J12</f>
        <v>2019.07870663514</v>
      </c>
      <c r="K13" s="0" t="n">
        <f aca="false">K11+K12</f>
        <v>2089.74646136737</v>
      </c>
      <c r="L13" s="0" t="n">
        <f aca="false">L11+L12</f>
        <v>2152.43885520839</v>
      </c>
    </row>
    <row r="14" customFormat="false" ht="15" hidden="false" customHeight="false" outlineLevel="0" collapsed="false">
      <c r="A14" s="0" t="s">
        <v>101</v>
      </c>
      <c r="C14" s="4" t="n">
        <f aca="false">Assumptions!C47</f>
        <v>16</v>
      </c>
      <c r="D14" s="4" t="n">
        <f aca="false">Assumptions!D47</f>
        <v>17</v>
      </c>
      <c r="E14" s="4" t="n">
        <f aca="false">Assumptions!E47</f>
        <v>18</v>
      </c>
      <c r="F14" s="4" t="n">
        <f aca="false">Assumptions!F47</f>
        <v>19</v>
      </c>
      <c r="G14" s="4" t="n">
        <f aca="false">Assumptions!G47</f>
        <v>20</v>
      </c>
      <c r="H14" s="4" t="n">
        <f aca="false">Assumptions!H47</f>
        <v>20</v>
      </c>
      <c r="I14" s="4" t="n">
        <f aca="false">Assumptions!I47</f>
        <v>20</v>
      </c>
      <c r="J14" s="4" t="n">
        <f aca="false">Assumptions!J47</f>
        <v>20</v>
      </c>
      <c r="K14" s="4" t="n">
        <f aca="false">Assumptions!K47</f>
        <v>20</v>
      </c>
      <c r="L14" s="4" t="n">
        <f aca="false">Assumptions!L47</f>
        <v>20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964.1377452</v>
      </c>
      <c r="D15" s="0" t="n">
        <f aca="false">D13-MAX(0,D13)*D14/100</f>
        <v>1060.5695656005</v>
      </c>
      <c r="E15" s="0" t="n">
        <f aca="false">E13-MAX(0,E13)*E14/100</f>
        <v>1169.75002021185</v>
      </c>
      <c r="F15" s="0" t="n">
        <f aca="false">F13-MAX(0,F13)*F14/100</f>
        <v>1281.73274256964</v>
      </c>
      <c r="G15" s="0" t="n">
        <f aca="false">G13-MAX(0,G13)*G14/100</f>
        <v>1382.01892809246</v>
      </c>
      <c r="H15" s="0" t="n">
        <f aca="false">H13-MAX(0,H13)*H14/100</f>
        <v>1472.2015191629</v>
      </c>
      <c r="I15" s="0" t="n">
        <f aca="false">I13-MAX(0,I13)*I14/100</f>
        <v>1553.13746664241</v>
      </c>
      <c r="J15" s="0" t="n">
        <f aca="false">J13-MAX(0,J13)*J14/100</f>
        <v>1615.26296530811</v>
      </c>
      <c r="K15" s="0" t="n">
        <f aca="false">K13-MAX(0,K13)*K14/100</f>
        <v>1671.79716909389</v>
      </c>
      <c r="L15" s="0" t="n">
        <f aca="false">L13-MAX(0,L13)*L14/100</f>
        <v>1721.95108416671</v>
      </c>
    </row>
    <row r="16" customFormat="false" ht="15" hidden="false" customHeight="false" outlineLevel="0" collapsed="false">
      <c r="A16" s="0" t="s">
        <v>117</v>
      </c>
      <c r="C16" s="0" t="n">
        <f aca="false">-C12</f>
        <v>364.16912</v>
      </c>
      <c r="D16" s="0" t="n">
        <f aca="false">-D12</f>
        <v>387.8401128</v>
      </c>
      <c r="E16" s="0" t="n">
        <f aca="false">-E12</f>
        <v>414.988920696</v>
      </c>
      <c r="F16" s="0" t="n">
        <f aca="false">-F12</f>
        <v>441.96320054124</v>
      </c>
      <c r="G16" s="0" t="n">
        <f aca="false">-G12</f>
        <v>468.480992573714</v>
      </c>
      <c r="H16" s="0" t="n">
        <f aca="false">-H12</f>
        <v>491.9050422024</v>
      </c>
      <c r="I16" s="0" t="n">
        <f aca="false">-I12</f>
        <v>514.040769101508</v>
      </c>
      <c r="J16" s="0" t="n">
        <f aca="false">-J12</f>
        <v>534.602399865569</v>
      </c>
      <c r="K16" s="0" t="n">
        <f aca="false">-K12</f>
        <v>553.313483860863</v>
      </c>
      <c r="L16" s="0" t="n">
        <f aca="false">-L12</f>
        <v>569.912888376689</v>
      </c>
    </row>
    <row r="17" customFormat="false" ht="15" hidden="false" customHeight="false" outlineLevel="0" collapsed="false">
      <c r="A17" s="0" t="s">
        <v>118</v>
      </c>
      <c r="C17" s="4" t="n">
        <f aca="false">-C6*Assumptions!C46/100</f>
        <v>-468.21744</v>
      </c>
      <c r="D17" s="4" t="n">
        <f aca="false">-D6*Assumptions!D46/100</f>
        <v>-484.800141</v>
      </c>
      <c r="E17" s="4" t="n">
        <f aca="false">-E6*Assumptions!E46/100</f>
        <v>-503.915117988</v>
      </c>
      <c r="F17" s="4" t="n">
        <f aca="false">-F6*Assumptions!F46/100</f>
        <v>-520.88520063789</v>
      </c>
      <c r="G17" s="4" t="n">
        <f aca="false">-G6*Assumptions!G46/100</f>
        <v>-543.772580665918</v>
      </c>
      <c r="H17" s="4" t="n">
        <f aca="false">-H6*Assumptions!H46/100</f>
        <v>-570.961209699214</v>
      </c>
      <c r="I17" s="4" t="n">
        <f aca="false">-I6*Assumptions!I46/100</f>
        <v>-596.654464135679</v>
      </c>
      <c r="J17" s="4" t="n">
        <f aca="false">-J6*Assumptions!J46/100</f>
        <v>-620.520642701106</v>
      </c>
      <c r="K17" s="4" t="n">
        <f aca="false">-K6*Assumptions!K46/100</f>
        <v>-642.238865195645</v>
      </c>
      <c r="L17" s="4" t="n">
        <f aca="false">-L6*Assumptions!L46/100</f>
        <v>-661.506031151514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(C6-B6)*Assumptions!$B$51/100</f>
        <v>-33.902</v>
      </c>
      <c r="D18" s="4" t="n">
        <f aca="false">(D6-C6)*Assumptions!$B$51/100</f>
        <v>-42.26963</v>
      </c>
      <c r="E18" s="4" t="n">
        <f aca="false">(E6-D6)*Assumptions!$B$51/100</f>
        <v>-48.4800141000001</v>
      </c>
      <c r="F18" s="4" t="n">
        <f aca="false">(F6-E6)*Assumptions!$B$51/100</f>
        <v>-48.1683568664999</v>
      </c>
      <c r="G18" s="4" t="n">
        <f aca="false">(G6-F6)*Assumptions!$B$51/100</f>
        <v>-47.35320005799</v>
      </c>
      <c r="H18" s="4" t="n">
        <f aca="false">(H6-G6)*Assumptions!$B$51/100</f>
        <v>-41.8286600512245</v>
      </c>
      <c r="I18" s="4" t="n">
        <f aca="false">(I6-H6)*Assumptions!$B$51/100</f>
        <v>-39.5280837484072</v>
      </c>
      <c r="J18" s="4" t="n">
        <f aca="false">(J6-I6)*Assumptions!$B$51/100</f>
        <v>-36.7171977929649</v>
      </c>
      <c r="K18" s="4" t="n">
        <f aca="false">(K6-J6)*Assumptions!$B$51/100</f>
        <v>-33.4126499915979</v>
      </c>
      <c r="L18" s="4" t="n">
        <f aca="false">(L6-K6)*Assumptions!$B$51/100</f>
        <v>-29.6417937782606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826.1874252</v>
      </c>
      <c r="D19" s="0" t="n">
        <f aca="false">D15+D16+D17+D18</f>
        <v>921.3399074005</v>
      </c>
      <c r="E19" s="0" t="n">
        <f aca="false">E15+E16+E17+E18</f>
        <v>1032.34380881985</v>
      </c>
      <c r="F19" s="0" t="n">
        <f aca="false">F15+F16+F17+F18</f>
        <v>1154.64238560649</v>
      </c>
      <c r="G19" s="0" t="n">
        <f aca="false">G15+G16+G17+G18</f>
        <v>1259.37413994226</v>
      </c>
      <c r="H19" s="0" t="n">
        <f aca="false">H15+H16+H17+H18</f>
        <v>1351.31669161486</v>
      </c>
      <c r="I19" s="0" t="n">
        <f aca="false">I15+I16+I17+I18</f>
        <v>1430.99568785984</v>
      </c>
      <c r="J19" s="0" t="n">
        <f aca="false">J15+J16+J17+J18</f>
        <v>1492.62752467961</v>
      </c>
      <c r="K19" s="0" t="n">
        <f aca="false">K15+K16+K17+K18</f>
        <v>1549.45913776751</v>
      </c>
      <c r="L19" s="0" t="n">
        <f aca="false">L15+L16+L17+L18</f>
        <v>1600.71614761363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764.988356666667</v>
      </c>
      <c r="D21" s="0" t="n">
        <f aca="false">D19*D20</f>
        <v>789.900469307699</v>
      </c>
      <c r="E21" s="0" t="n">
        <f aca="false">E19*E20</f>
        <v>819.507799258759</v>
      </c>
      <c r="F21" s="0" t="n">
        <f aca="false">F19*F20</f>
        <v>848.696622724887</v>
      </c>
      <c r="G21" s="0" t="n">
        <f aca="false">G19*G20</f>
        <v>857.108878423538</v>
      </c>
      <c r="H21" s="0" t="n">
        <f aca="false">H19*H20</f>
        <v>851.558735355847</v>
      </c>
      <c r="I21" s="0" t="n">
        <f aca="false">I19*I20</f>
        <v>834.972239527745</v>
      </c>
      <c r="J21" s="0" t="n">
        <f aca="false">J19*J20</f>
        <v>806.420207735597</v>
      </c>
      <c r="K21" s="0" t="n">
        <f aca="false">K19*K20</f>
        <v>775.1153332806</v>
      </c>
      <c r="L21" s="0" t="n">
        <f aca="false">L19*L20</f>
        <v>741.441295846633</v>
      </c>
    </row>
    <row r="23" customFormat="false" ht="15" hidden="false" customHeight="false" outlineLevel="0" collapsed="false">
      <c r="A23" s="0" t="s">
        <v>98</v>
      </c>
      <c r="C23" s="4" t="n">
        <f aca="false">Assumptions!C44</f>
        <v>0.95</v>
      </c>
      <c r="D23" s="4" t="n">
        <f aca="false">Assumptions!D44</f>
        <v>0.95</v>
      </c>
      <c r="E23" s="4" t="n">
        <f aca="false">Assumptions!E44</f>
        <v>0.95</v>
      </c>
      <c r="F23" s="4" t="n">
        <f aca="false">Assumptions!F44</f>
        <v>0.95</v>
      </c>
      <c r="G23" s="4" t="n">
        <f aca="false">Assumptions!G44</f>
        <v>0.95</v>
      </c>
      <c r="H23" s="4" t="n">
        <f aca="false">Assumptions!H44</f>
        <v>0.95</v>
      </c>
      <c r="I23" s="4" t="n">
        <f aca="false">Assumptions!I44</f>
        <v>0.95</v>
      </c>
      <c r="J23" s="4" t="n">
        <f aca="false">Assumptions!J44</f>
        <v>0.95</v>
      </c>
      <c r="K23" s="4" t="n">
        <f aca="false">Assumptions!K44</f>
        <v>0.95</v>
      </c>
      <c r="L23" s="4" t="n">
        <f aca="false">Assumptions!L44</f>
        <v>0.95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-61.77869</v>
      </c>
      <c r="D24" s="0" t="n">
        <f aca="false">-D6*D23/100</f>
        <v>-65.79430485</v>
      </c>
      <c r="E24" s="0" t="n">
        <f aca="false">-E6*E23/100</f>
        <v>-70.3999061895</v>
      </c>
      <c r="F24" s="0" t="n">
        <f aca="false">-F6*F23/100</f>
        <v>-74.9759000918175</v>
      </c>
      <c r="G24" s="0" t="n">
        <f aca="false">-G6*G23/100</f>
        <v>-79.4744540973265</v>
      </c>
      <c r="H24" s="0" t="n">
        <f aca="false">-H6*H23/100</f>
        <v>-83.4481768021929</v>
      </c>
      <c r="I24" s="0" t="n">
        <f aca="false">-I6*I23/100</f>
        <v>-87.2033447582916</v>
      </c>
      <c r="J24" s="0" t="n">
        <f aca="false">-J6*J23/100</f>
        <v>-90.6914785486232</v>
      </c>
      <c r="K24" s="0" t="n">
        <f aca="false">-K6*K23/100</f>
        <v>-93.865680297825</v>
      </c>
      <c r="L24" s="0" t="n">
        <f aca="false">-L6*L23/100</f>
        <v>-96.6816507067598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103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104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8089.70993812797</v>
      </c>
    </row>
    <row r="31" customFormat="false" ht="15" hidden="false" customHeight="false" outlineLevel="0" collapsed="false">
      <c r="A31" s="0" t="s">
        <v>126</v>
      </c>
      <c r="B31" s="0" t="n">
        <f aca="false">L19</f>
        <v>1600.71614761363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29831.5282055267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28812.8906570453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28812.8906570453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13345.9433252394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21435.6532633674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18577.6532633674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1655.55808621777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0.622300917410851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440.336712197064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702.803732827029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1757.42969403672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13125.8724104317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553.669029727256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2" t="s">
        <v>143</v>
      </c>
      <c r="B3" s="2" t="s">
        <v>144</v>
      </c>
      <c r="C3" s="2" t="s">
        <v>134</v>
      </c>
      <c r="D3" s="2" t="s">
        <v>145</v>
      </c>
      <c r="E3" s="2" t="s">
        <v>137</v>
      </c>
      <c r="F3" s="2" t="s">
        <v>146</v>
      </c>
    </row>
    <row r="4" customFormat="false" ht="15" hidden="false" customHeight="false" outlineLevel="0" collapsed="false">
      <c r="A4" s="0" t="s">
        <v>147</v>
      </c>
      <c r="B4" s="4" t="n">
        <f aca="false">DCF_Bear!$B$38</f>
        <v>795.705585312028</v>
      </c>
      <c r="C4" s="0" t="n">
        <f aca="false">B4/Assumptions!$B$2-1</f>
        <v>-0.220278701311095</v>
      </c>
      <c r="D4" s="4" t="n">
        <f aca="false">Assumptions!$B$24</f>
        <v>0.25</v>
      </c>
      <c r="E4" s="4" t="n">
        <f aca="false">DCF_Bear!$B$43</f>
        <v>874.168327990145</v>
      </c>
      <c r="F4" s="4" t="n">
        <f aca="false">DCF_Bear!$B$47</f>
        <v>264.447879355035</v>
      </c>
    </row>
    <row r="5" customFormat="false" ht="15" hidden="false" customHeight="false" outlineLevel="0" collapsed="false">
      <c r="A5" s="0" t="s">
        <v>148</v>
      </c>
      <c r="B5" s="4" t="n">
        <f aca="false">DCF_Base!$B$38</f>
        <v>1302.59964187325</v>
      </c>
      <c r="C5" s="0" t="n">
        <f aca="false">B5/Assumptions!$B$2-1</f>
        <v>0.276432770086477</v>
      </c>
      <c r="D5" s="4" t="n">
        <f aca="false">Assumptions!$B$38</f>
        <v>0.5</v>
      </c>
      <c r="E5" s="4" t="n">
        <f aca="false">DCF_Base!$B$43</f>
        <v>1396.31544886361</v>
      </c>
      <c r="F5" s="4" t="n">
        <f aca="false">DCF_Base!$B$47</f>
        <v>423.500931339065</v>
      </c>
    </row>
    <row r="6" customFormat="false" ht="15" hidden="false" customHeight="false" outlineLevel="0" collapsed="false">
      <c r="A6" s="0" t="s">
        <v>149</v>
      </c>
      <c r="B6" s="4" t="n">
        <f aca="false">DCF_Bull!$B$38</f>
        <v>1655.55808621777</v>
      </c>
      <c r="C6" s="0" t="n">
        <f aca="false">B6/Assumptions!$B$2-1</f>
        <v>0.622300917410851</v>
      </c>
      <c r="D6" s="4" t="n">
        <f aca="false">Assumptions!$B$52</f>
        <v>0.25</v>
      </c>
      <c r="E6" s="4" t="n">
        <f aca="false">DCF_Bull!$B$43</f>
        <v>1757.42969403672</v>
      </c>
      <c r="F6" s="4" t="n">
        <f aca="false">DCF_Bull!$B$47</f>
        <v>553.669029727256</v>
      </c>
    </row>
    <row r="8" customFormat="false" ht="15" hidden="false" customHeight="false" outlineLevel="0" collapsed="false">
      <c r="A8" s="0" t="s">
        <v>150</v>
      </c>
      <c r="B8" s="0" t="n">
        <f aca="false">SUMPRODUCT(B4:B6,D4:D6)</f>
        <v>1264.11573881908</v>
      </c>
    </row>
    <row r="9" customFormat="false" ht="15" hidden="false" customHeight="false" outlineLevel="0" collapsed="false">
      <c r="A9" s="0" t="s">
        <v>151</v>
      </c>
      <c r="B9" s="0" t="n">
        <f aca="false">SUMPRODUCT(E4:E6,D4:D6)</f>
        <v>1356.05722993852</v>
      </c>
    </row>
    <row r="10" customFormat="false" ht="15" hidden="false" customHeight="false" outlineLevel="0" collapsed="false">
      <c r="A10" s="0" t="s">
        <v>152</v>
      </c>
      <c r="B10" s="0" t="n">
        <f aca="false">1-Assumptions!$B$2/B8</f>
        <v>0.19271632441398</v>
      </c>
    </row>
    <row r="11" customFormat="false" ht="15" hidden="false" customHeight="false" outlineLevel="0" collapsed="false">
      <c r="A11" s="0" t="s">
        <v>153</v>
      </c>
      <c r="B11" s="0" t="n">
        <f aca="false">IF(ABS(B9-B8)&gt;0.01*ABS(B8),(Assumptions!$B$2-B8)/(B9-B8)*100,"n/a")</f>
        <v>-264.968226915716</v>
      </c>
    </row>
    <row r="12" customFormat="false" ht="15" hidden="false" customHeight="false" outlineLevel="0" collapsed="false">
      <c r="A12" s="0" t="s">
        <v>154</v>
      </c>
      <c r="B12" s="0" t="n">
        <f aca="false">SUMPRODUCT(F4:F6,D4:D6)</f>
        <v>416.279692940105</v>
      </c>
    </row>
    <row r="14" customFormat="false" ht="15" hidden="false" customHeight="false" outlineLevel="0" collapsed="false">
      <c r="A14" s="2" t="s">
        <v>155</v>
      </c>
      <c r="C14" s="0" t="s">
        <v>156</v>
      </c>
    </row>
    <row r="15" customFormat="false" ht="15" hidden="false" customHeight="false" outlineLevel="0" collapsed="false">
      <c r="A15" s="0" t="s">
        <v>157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1302.59964187325</v>
      </c>
      <c r="C15" s="3" t="n">
        <v>8</v>
      </c>
    </row>
    <row r="16" customFormat="false" ht="15" hidden="false" customHeight="false" outlineLevel="0" collapsed="false">
      <c r="A16" s="0" t="s">
        <v>158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1084.3359870812</v>
      </c>
      <c r="C16" s="3" t="n">
        <v>9</v>
      </c>
    </row>
    <row r="17" customFormat="false" ht="15" hidden="false" customHeight="false" outlineLevel="0" collapsed="false">
      <c r="A17" s="0" t="s">
        <v>159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900.16202523299</v>
      </c>
      <c r="C17" s="3" t="n">
        <v>10</v>
      </c>
    </row>
    <row r="18" customFormat="false" ht="15" hidden="false" customHeight="false" outlineLevel="0" collapsed="false">
      <c r="A18" s="0" t="s">
        <v>160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759.556475115699</v>
      </c>
      <c r="C18" s="3" t="n">
        <v>11</v>
      </c>
    </row>
    <row r="19" customFormat="false" ht="15" hidden="false" customHeight="false" outlineLevel="0" collapsed="false">
      <c r="A19" s="0" t="s">
        <v>161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648.747720808603</v>
      </c>
      <c r="C19" s="3" t="n">
        <v>12</v>
      </c>
    </row>
    <row r="20" customFormat="false" ht="15" hidden="false" customHeight="false" outlineLevel="0" collapsed="false">
      <c r="A20" s="0" t="s">
        <v>162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423.500931339065</v>
      </c>
      <c r="C20" s="3" t="n">
        <v>15</v>
      </c>
    </row>
    <row r="22" customFormat="false" ht="15" hidden="false" customHeight="false" outlineLevel="0" collapsed="false">
      <c r="A22" s="2" t="s">
        <v>163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1560.85546408016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1560.85546408016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1560.85546408016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1560.85546408016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1560.85546408016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1425.57097252712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1425.57097252712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1425.57097252712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1425.57097252712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1425.57097252712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1177.9361525246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1250.32140440446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1302.59964187325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1302.59964187325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1302.59964187325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977.738886892839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1027.23039769458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1084.3359870812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1150.95917469892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1190.68859850766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825.078589625469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860.273950066494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900.16202523299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945.748396851842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998.348056412056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2026-10-10T01:40:02Z</dcterms:created>
  <dc:creator>openpyxl</dc:creator>
  <dc:description/>
  <dc:language>en-NZ</dc:language>
  <cp:lastModifiedBy/>
  <dcterms:modified xsi:type="dcterms:W3CDTF">2026-10-10T01:40:02Z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