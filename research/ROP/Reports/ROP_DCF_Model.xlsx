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<sst xmlns="http://schemas.openxmlformats.org/spreadsheetml/2006/main" count="387" uniqueCount="174">
  <si>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</si>
  <si>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ROP</t>
  </si>
  <si>
    <t xml:space="preserve">Company</t>
  </si>
  <si>
    <t xml:space="preserve">Roper Technologies, Inc.</t>
  </si>
  <si>
    <t xml:space="preserve">Valuation date</t>
  </si>
  <si>
    <t xml:space="preserve">2026-10-02</t>
  </si>
  <si>
    <t xml:space="preserve">Current price</t>
  </si>
  <si>
    <t xml:space="preserve">Price as of</t>
  </si>
  <si>
    <t xml:space="preserve">2026-10-01T20:00:01Z regular close (Yahoo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</si>
  <si>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</si>
  <si>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</si>
  <si>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</si>
  <si>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</si>
  <si>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</si>
  <si>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</si>
  <si>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</si>
  <si>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</si>
  <si>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</si>
  <si>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</si>
  <si>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</si>
  <si>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</si>
  <si>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2026-10-02T08:34:29Z</t>
  </si>
  <si>
    <t xml:space="preserve">Drivers file</t>
  </si>
  <si>
    <t xml:space="preserve">ROP_Drivers.json</t>
  </si>
  <si>
    <t xml:space="preserve">Convention</t>
  </si>
  <si>
    <t xml:space="preserve">Percents stored as percents; formulas divide by 100. Blue = input, green = link, black = formula.</t>
  </si>
  <si>
    <t xml:space="preserve">Methodology</t>
  </si>
  <si>
    <t xml:space="preserve">summary: Owner-FCF DCF of a serial acquirer in which acquisition growth is paid for: acquired revenue enters the growth path only with its purchase price deducted in the flows, and the terminal value capitalises organic economics only. SBC is fully expensed and the share count held flat; the equity-method stake is added at book and the H1-2026 cash already in the June balance sheet is removed from the flows.
key_risks_to_valuation: M&amp;A returns: the base assumes deals at ~7x revenue are roughly NPV-neutral; every 1x of multiple paid moves the value of the M&amp;A layer materially; AI disruption of vertical-software pricing and retention (organic growth is the bulk of value); Leverage ~3.4x net debt/EBITDA after debt-funded buybacks; refinancing at higher rates; Software multiple compression (terminal cap 15-22x); Equity-method stake carried at book ($1.79B, ~$18/share) could be worth more or less on realisation</t>
  </si>
  <si>
    <t xml:space="preserve">Data sources</t>
  </si>
  <si>
    <t xml:space="preserve">price: Yahoo Finance chart API at inputs.price_as_of; 52-week range 305.96-521.28
financials: SEC XBRL companyfacts (CIK 882835): FY2023-FY2025 10-K and Q1/Q2-2026 10-Q -- revenue, operating income, D&amp;A, SBC, OCF, capex (PaymentsToAcquireOtherProductiveAssets + PaymentsToDevelopSoftware), cash taxes paid, interest expense, debt, cash, equity-method investment, buybacks, cover-page share count; ROP_Metrics.csv for history
qualitative: ROP_Analysis.json (2026-10-02): business model, FY2026 guidance (raised July 23 2026: adj DEPS $22.15-22.30, revenue growth &gt;8%, organic ~6%), bull/bear points</t>
  </si>
  <si>
    <t xml:space="preserve">Scenario narrative: bear</t>
  </si>
  <si>
    <t xml:space="preserve">The two axes the bear case turns on both break: AI-native entrants and horizontal platforms erode pricing in some vertical niches and organic growth sinks to ~3%, with DAT and ConstructConnect adding cyclical drag; and serial-acquirer competition (Constellation, Thoma Bravo, Vista) pushes deal multiples to ~9x revenue so the same M&amp;A spend buys far less growth, i.e. value-destructive. Margins slip to 40% as acquired businesses dilute and the debt-funded buyback leaves less flexibility. Terminal 2% growth at 15x.</t>
  </si>
  <si>
    <t xml:space="preserve">Scenario narrative: base</t>
  </si>
  <si>
    <t xml:space="preserve">Roper keeps doing what it says: ~6% organic growth in FY2026 (Application Software recurring revenue +7%, mid-90s gross retention) easing to 3% as the portfolio matures, margins edge up from 41.8% to 42.5% pre-SBC, and capital deployment returns from buybacks to M&amp;A at ~15% of revenue a year at CentralReach-like ~7x revenue. Those deals are priced roughly at Roper's cost of capital, so they add revenue but little per-share value; the valuation is essentially the organic franchise plus near-neutral M&amp;A, with the terminal value on organic economics only.</t>
  </si>
  <si>
    <t xml:space="preserve">Scenario narrative: bull</t>
  </si>
  <si>
    <t xml:space="preserve">The capital-allocation playbook keeps earning above its cost: organic growth holds at ~7% through Y5 on pricing, cross-sell (CBORD+Transact, Strata+Syntellis) and AI modules layered on embedded workflows, while the acquisition engine buys at ~6x revenue and lifts margins to 44%. Leverage is worked back down from ~3.5x by FCF. Terminal at 3.5% growth / 22x FCF reflects a durable vertical-software compounder.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</si>
  <si>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</si>
  <si>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</si>
  <si>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</si>
  <si>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</si>
  <si>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</si>
  <si>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</si>
  <si>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</si>
  <si>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</si>
  <si>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</si>
  <si>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</si>
  <si>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</si>
  <si>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</si>
  <si>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</si>
  <si>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</si>
  <si>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</si>
  <si>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</si>
  <si>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</si>
  <si>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</si>
  <si>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</si>
  <si>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</si>
  <si>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</si>
  <si>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</si>
  <si>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</si>
  <si>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</si>
  <si>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</si>
  <si>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</si>
  <si>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</si>
  <si>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</si>
  <si>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</si>
  <si>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</si>
  <si>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</si>
  <si>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</si>
  <si>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</si>
  <si>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</si>
  <si>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</si>
  <si>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</si>
  <si>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</si>
  <si>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</si>
  <si>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</si>
  <si>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</si>
  <si>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</si>
  <si>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</si>
  <si>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</si>
  <si>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</si>
  <si>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</si>
  <si>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</si>
  <si>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</si>
  <si>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</si>
  <si>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</si>
  <si>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</si>
  <si>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</si>
  <si>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</si>
  <si>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</si>
  <si>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</si>
  <si>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</si>
  <si>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</si>
  <si>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</si>
  <si>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</si>
  <si>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</si>
  <si>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</si>
  <si>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</si>
  <si>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</si>
  <si>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</si>
  <si>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</si>
  <si>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</si>
  <si>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</si>
  <si>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</si>
  <si>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</si>
  <si>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</si>
  <si>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</si>
  <si>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</si>
  <si>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</si>
  <si>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</si>
  <si>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</si>
  <si>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</si>
  <si>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</si>
  <si>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</si>
  <si>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</si>
  <si>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</si>
  <si>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</si>
  <si>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</si>
  <si>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</si>
  <si>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</si>
  <si>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ROP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</si>
  <si>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</si>
  <si>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</si>
  <si>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</si>
  <si>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</si>
  <si>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</si>
  <si>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</si>
  <si>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</si>
  <si>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</si>
  <si>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</si>
  <si>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</si>
  <si>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</si>
  <si>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</si>
  <si>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</si>
  <si>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</si>
  <si>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</si>
  <si>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</si>
  <si>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</si>
  <si>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</si>
  <si>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</si>
  <si>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</si>
  <si>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</si>
  <si>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</si>
  <si>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</si>
  <si>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</si>
  <si>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</si>
  <si>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</si>
  <si>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</si>
  <si>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</si>
  <si>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</si>
  <si>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</si>
  <si>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ROP owner-FCF component DCF: base case (millions, USD)</t>
  </si>
  <si>
    <t xml:space="preserve">ROP owner-FCF component DCF: bull case (millions, USD)</t>
  </si>
  <si>
    <t xml:space="preserve">ROP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</si>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</sst>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362.59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2102.049</v>
      </c>
      <c r="C2" s="0" t="n">
        <v>1043.654</v>
      </c>
      <c r="D2" s="0" t="n">
        <v>1058.395</v>
      </c>
      <c r="E2" s="0" t="n">
        <v>50.3506340718033</v>
      </c>
      <c r="F2" s="0" t="n">
        <v>438.354</v>
      </c>
      <c r="G2" s="0" t="n">
        <v>20.8536527930605</v>
      </c>
      <c r="I2" s="0" t="n">
        <v>245.705</v>
      </c>
      <c r="J2" s="0" t="n">
        <v>11.6888331337662</v>
      </c>
      <c r="K2" s="0" t="n">
        <v>2.78</v>
      </c>
      <c r="L2" s="0" t="n">
        <v>343.807</v>
      </c>
      <c r="M2" s="0" t="n">
        <v>30.107</v>
      </c>
      <c r="N2" s="0" t="n">
        <v>313.7</v>
      </c>
      <c r="S2" s="0" t="n">
        <v>178.069</v>
      </c>
      <c r="T2" s="0" t="n">
        <v>93.229</v>
      </c>
      <c r="U2" s="0" t="n">
        <v>20.688</v>
      </c>
      <c r="AA2" s="0" t="s">
        <v>17</v>
      </c>
      <c r="AB2" s="0" t="s">
        <v>14</v>
      </c>
    </row>
    <row r="3" customFormat="false" ht="15" hidden="false" customHeight="false" outlineLevel="0" collapsed="false">
      <c r="A3" s="0" t="s">
        <v>64</v>
      </c>
      <c r="B3" s="0" t="n">
        <v>2306.371</v>
      </c>
      <c r="C3" s="0" t="n">
        <v>1118.083</v>
      </c>
      <c r="D3" s="0" t="n">
        <v>1188.288</v>
      </c>
      <c r="E3" s="0" t="n">
        <v>51.521979768216</v>
      </c>
      <c r="F3" s="0" t="n">
        <v>486.161</v>
      </c>
      <c r="G3" s="0" t="n">
        <v>21.0790458256716</v>
      </c>
      <c r="I3" s="0" t="n">
        <v>281.874</v>
      </c>
      <c r="J3" s="0" t="n">
        <v>12.221537645071</v>
      </c>
      <c r="K3" s="0" t="n">
        <v>3.15</v>
      </c>
      <c r="L3" s="0" t="n">
        <v>434.438</v>
      </c>
      <c r="M3" s="0" t="n">
        <v>30.047</v>
      </c>
      <c r="N3" s="0" t="n">
        <v>404.391</v>
      </c>
      <c r="O3" s="0" t="n">
        <v>2003.934</v>
      </c>
      <c r="P3" s="0" t="n">
        <v>3971.538</v>
      </c>
      <c r="Q3" s="0" t="n">
        <v>1967.604</v>
      </c>
      <c r="R3" s="0" t="n">
        <v>1267.215</v>
      </c>
      <c r="S3" s="0" t="n">
        <v>178.069</v>
      </c>
      <c r="T3" s="0" t="n">
        <v>93.699</v>
      </c>
      <c r="U3" s="0" t="n">
        <v>30.905</v>
      </c>
      <c r="AA3" s="0" t="s">
        <v>17</v>
      </c>
      <c r="AB3" s="0" t="s">
        <v>14</v>
      </c>
    </row>
    <row r="4" customFormat="false" ht="15" hidden="false" customHeight="false" outlineLevel="0" collapsed="false">
      <c r="A4" s="0" t="s">
        <v>65</v>
      </c>
      <c r="B4" s="0" t="n">
        <v>2049.668</v>
      </c>
      <c r="C4" s="0" t="n">
        <v>1006.53</v>
      </c>
      <c r="D4" s="0" t="n">
        <v>1043.138</v>
      </c>
      <c r="E4" s="0" t="n">
        <v>50.8930226748917</v>
      </c>
      <c r="F4" s="0" t="n">
        <v>395.396</v>
      </c>
      <c r="G4" s="0" t="n">
        <v>19.2907339139802</v>
      </c>
      <c r="I4" s="0" t="n">
        <v>239.481</v>
      </c>
      <c r="J4" s="0" t="n">
        <v>11.6838922205938</v>
      </c>
      <c r="K4" s="0" t="n">
        <v>2.64</v>
      </c>
      <c r="L4" s="0" t="n">
        <v>367.499</v>
      </c>
      <c r="M4" s="0" t="n">
        <v>25.885</v>
      </c>
      <c r="N4" s="0" t="n">
        <v>341.614</v>
      </c>
      <c r="O4" s="0" t="n">
        <v>2421.49</v>
      </c>
      <c r="P4" s="0" t="n">
        <v>4327.736</v>
      </c>
      <c r="Q4" s="0" t="n">
        <v>1906.246</v>
      </c>
      <c r="R4" s="0" t="n">
        <v>1153.758</v>
      </c>
      <c r="S4" s="0" t="n">
        <v>167.708</v>
      </c>
      <c r="T4" s="0" t="n">
        <v>93.618</v>
      </c>
      <c r="U4" s="0" t="n">
        <v>27.5</v>
      </c>
      <c r="AA4" s="0" t="s">
        <v>17</v>
      </c>
      <c r="AB4" s="0" t="s">
        <v>14</v>
      </c>
    </row>
    <row r="5" customFormat="false" ht="15" hidden="false" customHeight="false" outlineLevel="0" collapsed="false">
      <c r="A5" s="0" t="s">
        <v>66</v>
      </c>
      <c r="B5" s="0" t="n">
        <v>2386.112</v>
      </c>
      <c r="C5" s="0" t="n">
        <v>1110.986</v>
      </c>
      <c r="D5" s="0" t="n">
        <v>1275.126</v>
      </c>
      <c r="E5" s="0" t="n">
        <v>53.4394864951855</v>
      </c>
      <c r="F5" s="0" t="n">
        <v>514.294</v>
      </c>
      <c r="G5" s="0" t="n">
        <v>21.5536403991095</v>
      </c>
      <c r="H5" s="0" t="n">
        <v>637.315</v>
      </c>
      <c r="I5" s="0" t="n">
        <v>322.58</v>
      </c>
      <c r="J5" s="0" t="n">
        <v>13.5190636483116</v>
      </c>
      <c r="K5" s="0" t="n">
        <v>3.42</v>
      </c>
      <c r="L5" s="0" t="n">
        <v>499.54</v>
      </c>
      <c r="M5" s="0" t="n">
        <v>28.591</v>
      </c>
      <c r="N5" s="0" t="n">
        <v>470.949</v>
      </c>
      <c r="O5" s="0" t="n">
        <v>2750.907</v>
      </c>
      <c r="P5" s="0" t="n">
        <v>5069.524</v>
      </c>
      <c r="Q5" s="0" t="n">
        <v>2318.617</v>
      </c>
      <c r="R5" s="0" t="n">
        <v>1341.045</v>
      </c>
      <c r="S5" s="0" t="n">
        <v>270.394</v>
      </c>
      <c r="T5" s="0" t="n">
        <v>95.088</v>
      </c>
      <c r="U5" s="0" t="n">
        <v>25.2</v>
      </c>
      <c r="V5" s="0" t="n">
        <v>0.58</v>
      </c>
      <c r="AA5" s="0" t="s">
        <v>17</v>
      </c>
      <c r="AB5" s="0" t="s">
        <v>14</v>
      </c>
    </row>
    <row r="6" customFormat="false" ht="15" hidden="false" customHeight="false" outlineLevel="0" collapsed="false">
      <c r="A6" s="0" t="s">
        <v>67</v>
      </c>
      <c r="B6" s="0" t="n">
        <v>2797.089</v>
      </c>
      <c r="C6" s="0" t="n">
        <v>1281.525</v>
      </c>
      <c r="D6" s="0" t="n">
        <v>1515.564</v>
      </c>
      <c r="E6" s="0" t="n">
        <v>54.1836173250118</v>
      </c>
      <c r="F6" s="0" t="n">
        <v>660.539</v>
      </c>
      <c r="G6" s="0" t="n">
        <v>23.6152299765935</v>
      </c>
      <c r="H6" s="0" t="n">
        <v>800.682</v>
      </c>
      <c r="I6" s="0" t="n">
        <v>427.247</v>
      </c>
      <c r="J6" s="0" t="n">
        <v>15.2747016630504</v>
      </c>
      <c r="K6" s="0" t="n">
        <v>4.45</v>
      </c>
      <c r="L6" s="0" t="n">
        <v>601.618</v>
      </c>
      <c r="M6" s="0" t="n">
        <v>40.702</v>
      </c>
      <c r="N6" s="0" t="n">
        <v>560.916</v>
      </c>
      <c r="O6" s="0" t="n">
        <v>3195.096</v>
      </c>
      <c r="P6" s="0" t="n">
        <v>5319.417</v>
      </c>
      <c r="Q6" s="0" t="n">
        <v>2124.321</v>
      </c>
      <c r="R6" s="0" t="n">
        <v>1085.016</v>
      </c>
      <c r="S6" s="0" t="n">
        <v>338.101</v>
      </c>
      <c r="T6" s="0" t="n">
        <v>98.386</v>
      </c>
      <c r="U6" s="0" t="n">
        <v>31.73</v>
      </c>
      <c r="V6" s="0" t="n">
        <v>0.47</v>
      </c>
      <c r="AA6" s="0" t="s">
        <v>17</v>
      </c>
      <c r="AB6" s="0" t="s">
        <v>14</v>
      </c>
    </row>
    <row r="7" customFormat="false" ht="15" hidden="false" customHeight="false" outlineLevel="0" collapsed="false">
      <c r="A7" s="0" t="s">
        <v>68</v>
      </c>
      <c r="B7" s="0" t="n">
        <v>2993.489</v>
      </c>
      <c r="C7" s="0" t="n">
        <v>1321.772</v>
      </c>
      <c r="D7" s="0" t="n">
        <v>1671.717</v>
      </c>
      <c r="E7" s="0" t="n">
        <v>55.8451024874319</v>
      </c>
      <c r="F7" s="0" t="n">
        <v>757.587</v>
      </c>
      <c r="G7" s="0" t="n">
        <v>25.307826419272</v>
      </c>
      <c r="H7" s="0" t="n">
        <v>912.335</v>
      </c>
      <c r="I7" s="0" t="n">
        <v>483.36</v>
      </c>
      <c r="J7" s="0" t="n">
        <v>16.1470444688456</v>
      </c>
      <c r="K7" s="0" t="n">
        <v>4.95</v>
      </c>
      <c r="L7" s="0" t="n">
        <v>677.852</v>
      </c>
      <c r="M7" s="0" t="n">
        <v>38.405</v>
      </c>
      <c r="N7" s="0" t="n">
        <v>639.447</v>
      </c>
      <c r="O7" s="0" t="n">
        <v>3687.726</v>
      </c>
      <c r="P7" s="0" t="n">
        <v>7071.104</v>
      </c>
      <c r="Q7" s="0" t="n">
        <v>3383.378</v>
      </c>
      <c r="R7" s="0" t="n">
        <v>2541.137</v>
      </c>
      <c r="S7" s="0" t="n">
        <v>370.59</v>
      </c>
      <c r="T7" s="0" t="n">
        <v>99.558</v>
      </c>
      <c r="U7" s="0" t="n">
        <v>40.8</v>
      </c>
      <c r="V7" s="0" t="n">
        <v>0.58</v>
      </c>
      <c r="AA7" s="0" t="s">
        <v>17</v>
      </c>
      <c r="AB7" s="0" t="s">
        <v>14</v>
      </c>
    </row>
    <row r="8" customFormat="false" ht="15" hidden="false" customHeight="false" outlineLevel="0" collapsed="false">
      <c r="A8" s="0" t="s">
        <v>69</v>
      </c>
      <c r="B8" s="0" t="n">
        <v>3238.128</v>
      </c>
      <c r="C8" s="0" t="n">
        <v>1355.2</v>
      </c>
      <c r="D8" s="0" t="n">
        <v>1882.928</v>
      </c>
      <c r="E8" s="0" t="n">
        <v>58.1486587312175</v>
      </c>
      <c r="F8" s="0" t="n">
        <v>842.361</v>
      </c>
      <c r="G8" s="0" t="n">
        <v>26.0138265071671</v>
      </c>
      <c r="H8" s="0" t="n">
        <v>1031.551</v>
      </c>
      <c r="I8" s="0" t="n">
        <v>538.293</v>
      </c>
      <c r="J8" s="0" t="n">
        <v>16.6235862201865</v>
      </c>
      <c r="K8" s="0" t="n">
        <v>5.43</v>
      </c>
      <c r="L8" s="0" t="n">
        <v>802.553</v>
      </c>
      <c r="M8" s="0" t="n">
        <v>42.528</v>
      </c>
      <c r="N8" s="0" t="n">
        <v>760.025</v>
      </c>
      <c r="O8" s="0" t="n">
        <v>4213.05</v>
      </c>
      <c r="P8" s="0" t="n">
        <v>8169.12</v>
      </c>
      <c r="Q8" s="0" t="n">
        <v>3971.931</v>
      </c>
      <c r="R8" s="0" t="n">
        <v>2475.868</v>
      </c>
      <c r="S8" s="0" t="n">
        <v>459.72</v>
      </c>
      <c r="T8" s="0" t="n">
        <v>100.209</v>
      </c>
      <c r="U8" s="0" t="n">
        <v>53.4</v>
      </c>
      <c r="V8" s="0" t="n">
        <v>0.7</v>
      </c>
      <c r="AA8" s="0" t="s">
        <v>17</v>
      </c>
      <c r="AB8" s="0" t="s">
        <v>14</v>
      </c>
    </row>
    <row r="9" customFormat="false" ht="15" hidden="false" customHeight="false" outlineLevel="0" collapsed="false">
      <c r="A9" s="0" t="s">
        <v>70</v>
      </c>
      <c r="B9" s="0" t="n">
        <v>3549.494</v>
      </c>
      <c r="C9" s="0" t="n">
        <v>1447.595</v>
      </c>
      <c r="D9" s="0" t="n">
        <v>2101.899</v>
      </c>
      <c r="E9" s="0" t="n">
        <v>59.2168630232929</v>
      </c>
      <c r="F9" s="0" t="n">
        <v>999.473</v>
      </c>
      <c r="G9" s="0" t="n">
        <v>28.1581825465827</v>
      </c>
      <c r="H9" s="0" t="n">
        <v>1196.757</v>
      </c>
      <c r="I9" s="0" t="n">
        <v>646.033</v>
      </c>
      <c r="J9" s="0" t="n">
        <v>18.2007069176621</v>
      </c>
      <c r="K9" s="0" t="n">
        <v>6.47</v>
      </c>
      <c r="L9" s="0" t="n">
        <v>840.441</v>
      </c>
      <c r="M9" s="0" t="n">
        <v>37.644</v>
      </c>
      <c r="N9" s="0" t="n">
        <v>802.797</v>
      </c>
      <c r="O9" s="0" t="n">
        <v>4755.36</v>
      </c>
      <c r="P9" s="0" t="n">
        <v>8400.185</v>
      </c>
      <c r="Q9" s="0" t="n">
        <v>3644.825</v>
      </c>
      <c r="R9" s="0" t="n">
        <v>2212.466</v>
      </c>
      <c r="S9" s="0" t="n">
        <v>610.43</v>
      </c>
      <c r="T9" s="0" t="n">
        <v>100.884</v>
      </c>
      <c r="U9" s="0" t="n">
        <v>63.027</v>
      </c>
      <c r="V9" s="0" t="n">
        <v>0.85</v>
      </c>
      <c r="AA9" s="0" t="s">
        <v>17</v>
      </c>
      <c r="AB9" s="0" t="s">
        <v>14</v>
      </c>
    </row>
    <row r="10" customFormat="false" ht="15" hidden="false" customHeight="false" outlineLevel="0" collapsed="false">
      <c r="A10" s="0" t="s">
        <v>71</v>
      </c>
      <c r="B10" s="0" t="n">
        <v>3582.395</v>
      </c>
      <c r="C10" s="0" t="n">
        <v>1417.749</v>
      </c>
      <c r="D10" s="0" t="n">
        <v>2164.646</v>
      </c>
      <c r="E10" s="0" t="n">
        <v>60.424548381739</v>
      </c>
      <c r="F10" s="0" t="n">
        <v>1027.918</v>
      </c>
      <c r="G10" s="0" t="n">
        <v>28.6935974397017</v>
      </c>
      <c r="H10" s="0" t="n">
        <v>1232.179</v>
      </c>
      <c r="I10" s="0" t="n">
        <v>696.067</v>
      </c>
      <c r="J10" s="0" t="n">
        <v>19.4302135861623</v>
      </c>
      <c r="K10" s="0" t="n">
        <v>6.92</v>
      </c>
      <c r="M10" s="0" t="n">
        <v>36.26</v>
      </c>
      <c r="O10" s="0" t="n">
        <v>5298.9</v>
      </c>
      <c r="P10" s="0" t="n">
        <v>10168.365</v>
      </c>
      <c r="Q10" s="0" t="n">
        <v>4869.418</v>
      </c>
      <c r="R10" s="0" t="n">
        <v>3278.027</v>
      </c>
      <c r="S10" s="0" t="n">
        <v>778.5</v>
      </c>
      <c r="T10" s="0" t="n">
        <v>101.597</v>
      </c>
      <c r="U10" s="0" t="n">
        <v>61.8</v>
      </c>
      <c r="V10" s="0" t="n">
        <v>1.05</v>
      </c>
      <c r="AA10" s="0" t="s">
        <v>17</v>
      </c>
      <c r="AB10" s="0" t="s">
        <v>14</v>
      </c>
    </row>
    <row r="11" customFormat="false" ht="15" hidden="false" customHeight="false" outlineLevel="0" collapsed="false">
      <c r="A11" s="0" t="s">
        <v>72</v>
      </c>
      <c r="B11" s="0" t="n">
        <v>3789.9</v>
      </c>
      <c r="C11" s="0" t="n">
        <v>1457.5</v>
      </c>
      <c r="D11" s="0" t="n">
        <v>2332.4</v>
      </c>
      <c r="E11" s="0" t="n">
        <v>61.542520910842</v>
      </c>
      <c r="F11" s="0" t="n">
        <v>1054.6</v>
      </c>
      <c r="G11" s="0" t="n">
        <v>27.8265917306525</v>
      </c>
      <c r="H11" s="0" t="n">
        <v>1295.1</v>
      </c>
      <c r="I11" s="0" t="n">
        <v>658.6</v>
      </c>
      <c r="J11" s="0" t="n">
        <v>17.3777672234096</v>
      </c>
      <c r="K11" s="0" t="n">
        <v>6.5</v>
      </c>
      <c r="L11" s="0" t="n">
        <v>963.8</v>
      </c>
      <c r="M11" s="0" t="n">
        <v>37.3</v>
      </c>
      <c r="N11" s="0" t="n">
        <v>926.5</v>
      </c>
      <c r="O11" s="0" t="n">
        <v>5788.9</v>
      </c>
      <c r="P11" s="0" t="n">
        <v>14324.9</v>
      </c>
      <c r="Q11" s="0" t="n">
        <v>8536.062</v>
      </c>
      <c r="R11" s="0" t="n">
        <v>6610.511</v>
      </c>
      <c r="S11" s="0" t="n">
        <v>757.2</v>
      </c>
      <c r="T11" s="0" t="n">
        <v>102.5</v>
      </c>
      <c r="U11" s="0" t="n">
        <v>78.8</v>
      </c>
      <c r="V11" s="0" t="n">
        <v>1.25</v>
      </c>
      <c r="AA11" s="0" t="s">
        <v>17</v>
      </c>
      <c r="AB11" s="0" t="s">
        <v>14</v>
      </c>
    </row>
    <row r="12" customFormat="false" ht="15" hidden="false" customHeight="false" outlineLevel="0" collapsed="false">
      <c r="A12" s="0" t="s">
        <v>73</v>
      </c>
      <c r="B12" s="0" t="n">
        <v>4607.5</v>
      </c>
      <c r="C12" s="0" t="n">
        <v>1742.7</v>
      </c>
      <c r="D12" s="0" t="n">
        <v>2864.8</v>
      </c>
      <c r="E12" s="0" t="n">
        <v>62.176885512751</v>
      </c>
      <c r="F12" s="0" t="n">
        <v>1210.2</v>
      </c>
      <c r="G12" s="0" t="n">
        <v>26.2658708627238</v>
      </c>
      <c r="H12" s="0" t="n">
        <v>1555.2</v>
      </c>
      <c r="I12" s="0" t="n">
        <v>971.8</v>
      </c>
      <c r="J12" s="0" t="n">
        <v>21.0916983179599</v>
      </c>
      <c r="K12" s="0" t="n">
        <v>9.51</v>
      </c>
      <c r="L12" s="0" t="n">
        <v>1234.5</v>
      </c>
      <c r="M12" s="0" t="n">
        <v>48.8</v>
      </c>
      <c r="N12" s="0" t="n">
        <v>1185.7</v>
      </c>
      <c r="O12" s="0" t="n">
        <v>6863.6</v>
      </c>
      <c r="P12" s="0" t="n">
        <v>14316.4</v>
      </c>
      <c r="Q12" s="0" t="n">
        <v>7452.8</v>
      </c>
      <c r="R12" s="0" t="n">
        <v>5956.4</v>
      </c>
      <c r="S12" s="0" t="n">
        <v>671.3</v>
      </c>
      <c r="T12" s="0" t="n">
        <v>103.5</v>
      </c>
      <c r="U12" s="0" t="n">
        <v>83.1</v>
      </c>
      <c r="V12" s="0" t="n">
        <v>1.4625</v>
      </c>
      <c r="AA12" s="0" t="s">
        <v>17</v>
      </c>
      <c r="AB12" s="0" t="s">
        <v>14</v>
      </c>
    </row>
    <row r="13" customFormat="false" ht="15" hidden="false" customHeight="false" outlineLevel="0" collapsed="false">
      <c r="A13" s="0" t="s">
        <v>74</v>
      </c>
      <c r="B13" s="0" t="n">
        <v>5191.2</v>
      </c>
      <c r="C13" s="0" t="n">
        <v>1911.7</v>
      </c>
      <c r="D13" s="0" t="n">
        <v>3279.5</v>
      </c>
      <c r="E13" s="0" t="n">
        <v>63.1742179072276</v>
      </c>
      <c r="F13" s="0" t="n">
        <v>1396.4</v>
      </c>
      <c r="G13" s="0" t="n">
        <v>26.8993681615041</v>
      </c>
      <c r="H13" s="0" t="n">
        <v>1763.4</v>
      </c>
      <c r="I13" s="0" t="n">
        <v>944.4</v>
      </c>
      <c r="J13" s="0" t="n">
        <v>18.1923254738789</v>
      </c>
      <c r="K13" s="0" t="n">
        <v>9.15</v>
      </c>
      <c r="L13" s="0" t="n">
        <v>1430.1</v>
      </c>
      <c r="M13" s="0" t="n">
        <v>49.1</v>
      </c>
      <c r="N13" s="0" t="n">
        <v>1381</v>
      </c>
      <c r="O13" s="0" t="n">
        <v>7738.5</v>
      </c>
      <c r="P13" s="0" t="n">
        <v>15249.5</v>
      </c>
      <c r="Q13" s="0" t="n">
        <v>7511</v>
      </c>
      <c r="R13" s="0" t="n">
        <v>4943.2</v>
      </c>
      <c r="S13" s="0" t="n">
        <v>364.4</v>
      </c>
      <c r="T13" s="0" t="n">
        <v>104.4</v>
      </c>
      <c r="U13" s="0" t="n">
        <v>133.8</v>
      </c>
      <c r="V13" s="0" t="n">
        <v>1.7</v>
      </c>
      <c r="AA13" s="0" t="s">
        <v>17</v>
      </c>
      <c r="AB13" s="0" t="s">
        <v>14</v>
      </c>
    </row>
    <row r="14" customFormat="false" ht="15" hidden="false" customHeight="false" outlineLevel="0" collapsed="false">
      <c r="A14" s="0" t="s">
        <v>75</v>
      </c>
      <c r="B14" s="0" t="n">
        <v>4727.7</v>
      </c>
      <c r="C14" s="0" t="n">
        <v>1587.6</v>
      </c>
      <c r="D14" s="0" t="n">
        <v>3140.1</v>
      </c>
      <c r="E14" s="0" t="n">
        <v>66.4191890348372</v>
      </c>
      <c r="F14" s="0" t="n">
        <v>1328.3</v>
      </c>
      <c r="G14" s="0" t="n">
        <v>28.0961143896609</v>
      </c>
      <c r="H14" s="0" t="n">
        <v>1737.1</v>
      </c>
      <c r="I14" s="0" t="n">
        <v>1767.9</v>
      </c>
      <c r="J14" s="0" t="n">
        <v>37.3945047274573</v>
      </c>
      <c r="K14" s="0" t="n">
        <v>17.02</v>
      </c>
      <c r="L14" s="0" t="n">
        <v>1461.8</v>
      </c>
      <c r="O14" s="0" t="n">
        <v>9491.9</v>
      </c>
      <c r="P14" s="0" t="n">
        <v>18108.9</v>
      </c>
      <c r="Q14" s="0" t="n">
        <v>8617</v>
      </c>
      <c r="R14" s="0" t="n">
        <v>5877.5</v>
      </c>
      <c r="S14" s="0" t="n">
        <v>709.7</v>
      </c>
      <c r="T14" s="0" t="n">
        <v>105.1</v>
      </c>
      <c r="U14" s="0" t="n">
        <v>101.2</v>
      </c>
      <c r="V14" s="0" t="n">
        <v>1.9</v>
      </c>
      <c r="AA14" s="0" t="s">
        <v>17</v>
      </c>
      <c r="AB14" s="0" t="s">
        <v>14</v>
      </c>
    </row>
    <row r="15" customFormat="false" ht="15" hidden="false" customHeight="false" outlineLevel="0" collapsed="false">
      <c r="A15" s="0" t="s">
        <v>76</v>
      </c>
      <c r="B15" s="0" t="n">
        <v>4022.4</v>
      </c>
      <c r="C15" s="0" t="n">
        <v>1194.1</v>
      </c>
      <c r="D15" s="0" t="n">
        <v>2828.3</v>
      </c>
      <c r="E15" s="0" t="n">
        <v>70.3137430389817</v>
      </c>
      <c r="F15" s="0" t="n">
        <v>1082.9</v>
      </c>
      <c r="G15" s="0" t="n">
        <v>26.921738265712</v>
      </c>
      <c r="H15" s="0" t="n">
        <v>1574.5</v>
      </c>
      <c r="I15" s="0" t="n">
        <v>949.7</v>
      </c>
      <c r="J15" s="0" t="n">
        <v>23.6102824184567</v>
      </c>
      <c r="K15" s="0" t="n">
        <v>9.08</v>
      </c>
      <c r="L15" s="0" t="n">
        <v>1525.1</v>
      </c>
      <c r="O15" s="0" t="n">
        <v>10479.8</v>
      </c>
      <c r="P15" s="0" t="n">
        <v>24024.8</v>
      </c>
      <c r="Q15" s="0" t="n">
        <v>13545</v>
      </c>
      <c r="R15" s="0" t="n">
        <v>10060.2</v>
      </c>
      <c r="S15" s="0" t="n">
        <v>308.3</v>
      </c>
      <c r="T15" s="0" t="n">
        <v>105.7</v>
      </c>
      <c r="U15" s="0" t="n">
        <v>108.3</v>
      </c>
      <c r="V15" s="0" t="n">
        <v>2.1</v>
      </c>
      <c r="AA15" s="0" t="s">
        <v>17</v>
      </c>
      <c r="AB15" s="0" t="s">
        <v>14</v>
      </c>
    </row>
    <row r="16" customFormat="false" ht="15" hidden="false" customHeight="false" outlineLevel="0" collapsed="false">
      <c r="A16" s="0" t="s">
        <v>77</v>
      </c>
      <c r="B16" s="0" t="n">
        <v>4833.8</v>
      </c>
      <c r="C16" s="0" t="n">
        <v>1426.2</v>
      </c>
      <c r="D16" s="0" t="n">
        <v>3407.6</v>
      </c>
      <c r="E16" s="0" t="n">
        <v>70.4952625263768</v>
      </c>
      <c r="F16" s="0" t="n">
        <v>1241.2</v>
      </c>
      <c r="G16" s="0" t="n">
        <v>25.677520791096</v>
      </c>
      <c r="H16" s="0" t="n">
        <v>1857.1</v>
      </c>
      <c r="I16" s="0" t="n">
        <v>1152.6</v>
      </c>
      <c r="J16" s="0" t="n">
        <v>23.8445943150317</v>
      </c>
      <c r="K16" s="0" t="n">
        <v>10.95</v>
      </c>
      <c r="L16" s="0" t="n">
        <v>2011.9</v>
      </c>
      <c r="O16" s="0" t="n">
        <v>11563.8</v>
      </c>
      <c r="P16" s="0" t="n">
        <v>23713.9</v>
      </c>
      <c r="Q16" s="0" t="n">
        <v>12150.1</v>
      </c>
      <c r="R16" s="0" t="n">
        <v>8721</v>
      </c>
      <c r="S16" s="0" t="n">
        <v>351.5</v>
      </c>
      <c r="T16" s="0" t="n">
        <v>106.5</v>
      </c>
      <c r="U16" s="0" t="n">
        <v>123</v>
      </c>
      <c r="V16" s="0" t="n">
        <v>2.31</v>
      </c>
      <c r="AA16" s="0" t="s">
        <v>17</v>
      </c>
      <c r="AB16" s="0" t="s">
        <v>14</v>
      </c>
    </row>
    <row r="17" customFormat="false" ht="15" hidden="false" customHeight="false" outlineLevel="0" collapsed="false">
      <c r="A17" s="0" t="s">
        <v>78</v>
      </c>
      <c r="B17" s="0" t="n">
        <v>5371.8</v>
      </c>
      <c r="C17" s="0" t="n">
        <v>1619</v>
      </c>
      <c r="D17" s="0" t="n">
        <v>3752.8</v>
      </c>
      <c r="E17" s="0" t="n">
        <v>69.8611266242228</v>
      </c>
      <c r="F17" s="0" t="n">
        <v>1524.5</v>
      </c>
      <c r="G17" s="0" t="n">
        <v>28.3796865110391</v>
      </c>
      <c r="H17" s="0" t="n">
        <v>2174.6</v>
      </c>
      <c r="I17" s="0" t="n">
        <v>4544.7</v>
      </c>
      <c r="J17" s="0" t="n">
        <v>84.6029263933877</v>
      </c>
      <c r="K17" s="0" t="n">
        <v>42.92</v>
      </c>
      <c r="L17" s="0" t="n">
        <v>734.6</v>
      </c>
      <c r="O17" s="0" t="n">
        <v>16037.8</v>
      </c>
      <c r="P17" s="0" t="n">
        <v>26980.8</v>
      </c>
      <c r="Q17" s="0" t="n">
        <v>10943</v>
      </c>
      <c r="R17" s="0" t="n">
        <v>7360.9</v>
      </c>
      <c r="S17" s="0" t="n">
        <v>792.8</v>
      </c>
      <c r="T17" s="0" t="n">
        <v>106.8</v>
      </c>
      <c r="U17" s="0" t="n">
        <v>118.5</v>
      </c>
      <c r="V17" s="0" t="n">
        <v>2.54</v>
      </c>
      <c r="AA17" s="0" t="s">
        <v>17</v>
      </c>
      <c r="AB17" s="0" t="s">
        <v>14</v>
      </c>
    </row>
    <row r="18" customFormat="false" ht="15" hidden="false" customHeight="false" outlineLevel="0" collapsed="false">
      <c r="A18" s="0" t="s">
        <v>79</v>
      </c>
      <c r="B18" s="0" t="n">
        <v>6177.8</v>
      </c>
      <c r="C18" s="0" t="n">
        <v>1870.6</v>
      </c>
      <c r="D18" s="0" t="n">
        <v>4307.2</v>
      </c>
      <c r="E18" s="0" t="n">
        <v>69.7206125157823</v>
      </c>
      <c r="F18" s="0" t="n">
        <v>1745.2</v>
      </c>
      <c r="G18" s="0" t="n">
        <v>28.2495386707242</v>
      </c>
      <c r="H18" s="0" t="n">
        <v>2500.4</v>
      </c>
      <c r="I18" s="0" t="n">
        <v>1384.2</v>
      </c>
      <c r="J18" s="0" t="n">
        <v>22.4060345106672</v>
      </c>
      <c r="K18" s="0" t="n">
        <v>12.98</v>
      </c>
      <c r="L18" s="0" t="n">
        <v>2035.1</v>
      </c>
      <c r="O18" s="0" t="n">
        <v>17444.8</v>
      </c>
      <c r="P18" s="0" t="n">
        <v>28167.5</v>
      </c>
      <c r="Q18" s="0" t="n">
        <v>10722.7</v>
      </c>
      <c r="R18" s="0" t="n">
        <v>6829.6</v>
      </c>
      <c r="S18" s="0" t="n">
        <v>214.3</v>
      </c>
      <c r="T18" s="0" t="n">
        <v>107.4</v>
      </c>
      <c r="U18" s="0" t="n">
        <v>123.5</v>
      </c>
      <c r="V18" s="0" t="n">
        <v>2.8</v>
      </c>
      <c r="AA18" s="0" t="s">
        <v>17</v>
      </c>
      <c r="AB18" s="0" t="s">
        <v>14</v>
      </c>
    </row>
    <row r="19" customFormat="false" ht="15" hidden="false" customHeight="false" outlineLevel="0" collapsed="false">
      <c r="A19" s="0" t="s">
        <v>80</v>
      </c>
      <c r="B19" s="0" t="n">
        <v>7039.2</v>
      </c>
      <c r="C19" s="0" t="n">
        <v>2160.9</v>
      </c>
      <c r="D19" s="0" t="n">
        <v>4878.3</v>
      </c>
      <c r="E19" s="0" t="n">
        <v>69.3019093078759</v>
      </c>
      <c r="F19" s="0" t="n">
        <v>1996.8</v>
      </c>
      <c r="G19" s="0" t="n">
        <v>28.3668598704398</v>
      </c>
      <c r="H19" s="0" t="n">
        <v>2809.6</v>
      </c>
      <c r="I19" s="0" t="n">
        <v>1549.3</v>
      </c>
      <c r="J19" s="0" t="n">
        <v>22.0096033640186</v>
      </c>
      <c r="K19" s="0" t="n">
        <v>14.47</v>
      </c>
      <c r="L19" s="0" t="n">
        <v>2393.2</v>
      </c>
      <c r="O19" s="0" t="n">
        <v>18867.6</v>
      </c>
      <c r="P19" s="0" t="n">
        <v>31334.7</v>
      </c>
      <c r="Q19" s="0" t="n">
        <v>12467.1</v>
      </c>
      <c r="R19" s="0" t="n">
        <v>8666.1</v>
      </c>
      <c r="S19" s="0" t="n">
        <v>188.2</v>
      </c>
      <c r="T19" s="0" t="n">
        <v>108</v>
      </c>
      <c r="U19" s="0" t="n">
        <v>145.9</v>
      </c>
      <c r="V19" s="0" t="n">
        <v>3.08</v>
      </c>
      <c r="AA19" s="0" t="s">
        <v>17</v>
      </c>
      <c r="AB19" s="0" t="s">
        <v>14</v>
      </c>
    </row>
    <row r="20" customFormat="false" ht="15" hidden="false" customHeight="false" outlineLevel="0" collapsed="false">
      <c r="A20" s="0" t="s">
        <v>81</v>
      </c>
      <c r="B20" s="0" t="n">
        <v>7902.5</v>
      </c>
      <c r="C20" s="0" t="n">
        <v>2430.5</v>
      </c>
      <c r="D20" s="0" t="n">
        <v>5472</v>
      </c>
      <c r="E20" s="0" t="n">
        <v>69.2439101550142</v>
      </c>
      <c r="F20" s="0" t="n">
        <v>2235.4</v>
      </c>
      <c r="G20" s="0" t="n">
        <v>28.2872508699779</v>
      </c>
      <c r="H20" s="0" t="n">
        <v>3133.6</v>
      </c>
      <c r="I20" s="0" t="n">
        <v>1536.3</v>
      </c>
      <c r="J20" s="0" t="n">
        <v>19.4406833280607</v>
      </c>
      <c r="K20" s="0" t="n">
        <v>14.3</v>
      </c>
      <c r="L20" s="0" t="n">
        <v>2540.3</v>
      </c>
      <c r="O20" s="0" t="n">
        <v>19881.5</v>
      </c>
      <c r="P20" s="0" t="n">
        <v>34577</v>
      </c>
      <c r="Q20" s="0" t="n">
        <v>14695.5</v>
      </c>
      <c r="R20" s="0" t="n">
        <v>10006.2</v>
      </c>
      <c r="S20" s="0" t="n">
        <v>297.4</v>
      </c>
      <c r="T20" s="0" t="n">
        <v>108.2</v>
      </c>
      <c r="U20" s="0" t="n">
        <v>166.3</v>
      </c>
      <c r="V20" s="0" t="n">
        <v>3.39</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362.59</v>
      </c>
    </row>
    <row r="3" customFormat="false" ht="15" hidden="false" customHeight="false" outlineLevel="0" collapsed="false">
      <c r="A3" s="0" t="s">
        <v>85</v>
      </c>
      <c r="B3" s="3" t="n">
        <v>99.6</v>
      </c>
    </row>
    <row r="4" customFormat="false" ht="15" hidden="false" customHeight="false" outlineLevel="0" collapsed="false">
      <c r="A4" s="0" t="s">
        <v>86</v>
      </c>
      <c r="B4" s="3" t="n">
        <v>10954.5</v>
      </c>
    </row>
    <row r="5" customFormat="false" ht="15" hidden="false" customHeight="false" outlineLevel="0" collapsed="false">
      <c r="A5" s="0" t="s">
        <v>87</v>
      </c>
      <c r="B5" s="3" t="n">
        <v>732.2</v>
      </c>
    </row>
    <row r="6" customFormat="false" ht="15" hidden="false" customHeight="false" outlineLevel="0" collapsed="false">
      <c r="A6" s="0" t="s">
        <v>88</v>
      </c>
      <c r="B6" s="3" t="n">
        <v>15</v>
      </c>
    </row>
    <row r="7" customFormat="false" ht="15" hidden="false" customHeight="false" outlineLevel="0" collapsed="false">
      <c r="A7" s="0" t="s">
        <v>89</v>
      </c>
      <c r="B7" s="3" t="n">
        <v>7902.5</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7.5</v>
      </c>
      <c r="D13" s="3" t="n">
        <v>4.3</v>
      </c>
      <c r="E13" s="3" t="n">
        <v>5.2</v>
      </c>
      <c r="F13" s="3" t="n">
        <v>4.9</v>
      </c>
      <c r="G13" s="3" t="n">
        <v>4.6</v>
      </c>
      <c r="H13" s="3" t="n">
        <v>4.1</v>
      </c>
      <c r="I13" s="3" t="n">
        <v>3.5</v>
      </c>
      <c r="J13" s="3" t="n">
        <v>3</v>
      </c>
      <c r="K13" s="3" t="n">
        <v>2.5</v>
      </c>
      <c r="L13" s="3" t="n">
        <v>2</v>
      </c>
    </row>
    <row r="14" customFormat="false" ht="15" hidden="false" customHeight="false" outlineLevel="0" collapsed="false">
      <c r="A14" s="0" t="s">
        <v>106</v>
      </c>
      <c r="C14" s="3" t="n">
        <v>41.5</v>
      </c>
      <c r="D14" s="3" t="n">
        <v>41</v>
      </c>
      <c r="E14" s="3" t="n">
        <v>40.5</v>
      </c>
      <c r="F14" s="3" t="n">
        <v>40</v>
      </c>
      <c r="G14" s="3" t="n">
        <v>40</v>
      </c>
      <c r="H14" s="3" t="n">
        <v>40</v>
      </c>
      <c r="I14" s="3" t="n">
        <v>40</v>
      </c>
      <c r="J14" s="3" t="n">
        <v>40</v>
      </c>
      <c r="K14" s="3" t="n">
        <v>40</v>
      </c>
      <c r="L14" s="3" t="n">
        <v>40</v>
      </c>
    </row>
    <row r="15" customFormat="false" ht="15" hidden="false" customHeight="false" outlineLevel="0" collapsed="false">
      <c r="A15" s="0" t="s">
        <v>107</v>
      </c>
      <c r="C15" s="3" t="n">
        <v>2.6</v>
      </c>
      <c r="D15" s="3" t="n">
        <v>2.6</v>
      </c>
      <c r="E15" s="3" t="n">
        <v>2.6</v>
      </c>
      <c r="F15" s="3" t="n">
        <v>2.6</v>
      </c>
      <c r="G15" s="3" t="n">
        <v>2.6</v>
      </c>
      <c r="H15" s="3" t="n">
        <v>2.6</v>
      </c>
      <c r="I15" s="3" t="n">
        <v>2.6</v>
      </c>
      <c r="J15" s="3" t="n">
        <v>2.6</v>
      </c>
      <c r="K15" s="3" t="n">
        <v>2.6</v>
      </c>
      <c r="L15" s="3" t="n">
        <v>2.6</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11.4</v>
      </c>
      <c r="D17" s="3" t="n">
        <v>11.4</v>
      </c>
      <c r="E17" s="3" t="n">
        <v>11.4</v>
      </c>
      <c r="F17" s="3" t="n">
        <v>11.3</v>
      </c>
      <c r="G17" s="3" t="n">
        <v>11.2</v>
      </c>
      <c r="H17" s="3" t="n">
        <v>11</v>
      </c>
      <c r="I17" s="3" t="n">
        <v>10.8</v>
      </c>
      <c r="J17" s="3" t="n">
        <v>10.6</v>
      </c>
      <c r="K17" s="3" t="n">
        <v>10.5</v>
      </c>
      <c r="L17" s="3" t="n">
        <v>10.5</v>
      </c>
    </row>
    <row r="18" customFormat="false" ht="15" hidden="false" customHeight="false" outlineLevel="0" collapsed="false">
      <c r="A18" s="0" t="s">
        <v>110</v>
      </c>
      <c r="C18" s="3" t="n">
        <v>6.4</v>
      </c>
      <c r="D18" s="3" t="n">
        <v>16.4</v>
      </c>
      <c r="E18" s="3" t="n">
        <v>16.4</v>
      </c>
      <c r="F18" s="3" t="n">
        <v>16.4</v>
      </c>
      <c r="G18" s="3" t="n">
        <v>13.4</v>
      </c>
      <c r="H18" s="3" t="n">
        <v>10.4</v>
      </c>
      <c r="I18" s="3" t="n">
        <v>7.4</v>
      </c>
      <c r="J18" s="3" t="n">
        <v>4.4</v>
      </c>
      <c r="K18" s="3" t="n">
        <v>1.4</v>
      </c>
      <c r="L18" s="3" t="n">
        <v>1.4</v>
      </c>
    </row>
    <row r="19" customFormat="false" ht="15" hidden="false" customHeight="false" outlineLevel="0" collapsed="false">
      <c r="A19" s="0" t="s">
        <v>111</v>
      </c>
      <c r="C19" s="3" t="n">
        <v>22</v>
      </c>
      <c r="D19" s="3" t="n">
        <v>22.5</v>
      </c>
      <c r="E19" s="3" t="n">
        <v>23</v>
      </c>
      <c r="F19" s="3" t="n">
        <v>23</v>
      </c>
      <c r="G19" s="3" t="n">
        <v>23</v>
      </c>
      <c r="H19" s="3" t="n">
        <v>23</v>
      </c>
      <c r="I19" s="3" t="n">
        <v>23</v>
      </c>
      <c r="J19" s="3" t="n">
        <v>23</v>
      </c>
      <c r="K19" s="3" t="n">
        <v>23</v>
      </c>
      <c r="L19" s="3" t="n">
        <v>23</v>
      </c>
    </row>
    <row r="20" customFormat="false" ht="15" hidden="false" customHeight="false" outlineLevel="0" collapsed="false">
      <c r="A20" s="0" t="s">
        <v>112</v>
      </c>
      <c r="B20" s="3" t="n">
        <v>8</v>
      </c>
    </row>
    <row r="21" customFormat="false" ht="15" hidden="false" customHeight="false" outlineLevel="0" collapsed="false">
      <c r="A21" s="0" t="s">
        <v>113</v>
      </c>
      <c r="B21" s="3" t="n">
        <v>2</v>
      </c>
    </row>
    <row r="22" customFormat="false" ht="15" hidden="false" customHeight="false" outlineLevel="0" collapsed="false">
      <c r="A22" s="0" t="s">
        <v>114</v>
      </c>
      <c r="B22" s="3" t="n">
        <v>15</v>
      </c>
    </row>
    <row r="23" customFormat="false" ht="15" hidden="false" customHeight="false" outlineLevel="0" collapsed="false">
      <c r="A23" s="0" t="s">
        <v>115</v>
      </c>
      <c r="B23" s="3" t="n">
        <v>6</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8.5</v>
      </c>
      <c r="D27" s="3" t="n">
        <v>6.7</v>
      </c>
      <c r="E27" s="3" t="n">
        <v>7.9</v>
      </c>
      <c r="F27" s="3" t="n">
        <v>7.6</v>
      </c>
      <c r="G27" s="3" t="n">
        <v>7.4</v>
      </c>
      <c r="H27" s="3" t="n">
        <v>6.7</v>
      </c>
      <c r="I27" s="3" t="n">
        <v>5.8</v>
      </c>
      <c r="J27" s="3" t="n">
        <v>4.9</v>
      </c>
      <c r="K27" s="3" t="n">
        <v>3.9</v>
      </c>
      <c r="L27" s="3" t="n">
        <v>3</v>
      </c>
    </row>
    <row r="28" customFormat="false" ht="15" hidden="false" customHeight="false" outlineLevel="0" collapsed="false">
      <c r="A28" s="0" t="s">
        <v>106</v>
      </c>
      <c r="C28" s="3" t="n">
        <v>41.8</v>
      </c>
      <c r="D28" s="3" t="n">
        <v>42</v>
      </c>
      <c r="E28" s="3" t="n">
        <v>42</v>
      </c>
      <c r="F28" s="3" t="n">
        <v>42.2</v>
      </c>
      <c r="G28" s="3" t="n">
        <v>42.4</v>
      </c>
      <c r="H28" s="3" t="n">
        <v>42.5</v>
      </c>
      <c r="I28" s="3" t="n">
        <v>42.5</v>
      </c>
      <c r="J28" s="3" t="n">
        <v>42.5</v>
      </c>
      <c r="K28" s="3" t="n">
        <v>42.5</v>
      </c>
      <c r="L28" s="3" t="n">
        <v>42.5</v>
      </c>
    </row>
    <row r="29" customFormat="false" ht="15" hidden="false" customHeight="false" outlineLevel="0" collapsed="false">
      <c r="A29" s="0" t="s">
        <v>107</v>
      </c>
      <c r="C29" s="3" t="n">
        <v>2.5</v>
      </c>
      <c r="D29" s="3" t="n">
        <v>2.5</v>
      </c>
      <c r="E29" s="3" t="n">
        <v>2.5</v>
      </c>
      <c r="F29" s="3" t="n">
        <v>2.4</v>
      </c>
      <c r="G29" s="3" t="n">
        <v>2.4</v>
      </c>
      <c r="H29" s="3" t="n">
        <v>2.3</v>
      </c>
      <c r="I29" s="3" t="n">
        <v>2.3</v>
      </c>
      <c r="J29" s="3" t="n">
        <v>2.3</v>
      </c>
      <c r="K29" s="3" t="n">
        <v>2.3</v>
      </c>
      <c r="L29" s="3" t="n">
        <v>2.3</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11.4</v>
      </c>
      <c r="D31" s="3" t="n">
        <v>11.4</v>
      </c>
      <c r="E31" s="3" t="n">
        <v>11.4</v>
      </c>
      <c r="F31" s="3" t="n">
        <v>11.3</v>
      </c>
      <c r="G31" s="3" t="n">
        <v>11.2</v>
      </c>
      <c r="H31" s="3" t="n">
        <v>11</v>
      </c>
      <c r="I31" s="3" t="n">
        <v>10.8</v>
      </c>
      <c r="J31" s="3" t="n">
        <v>10.6</v>
      </c>
      <c r="K31" s="3" t="n">
        <v>10.5</v>
      </c>
      <c r="L31" s="3" t="n">
        <v>10.5</v>
      </c>
    </row>
    <row r="32" customFormat="false" ht="15" hidden="false" customHeight="false" outlineLevel="0" collapsed="false">
      <c r="A32" s="0" t="s">
        <v>110</v>
      </c>
      <c r="C32" s="3" t="n">
        <v>6.4</v>
      </c>
      <c r="D32" s="3" t="n">
        <v>16.4</v>
      </c>
      <c r="E32" s="3" t="n">
        <v>16.4</v>
      </c>
      <c r="F32" s="3" t="n">
        <v>16.4</v>
      </c>
      <c r="G32" s="3" t="n">
        <v>13.4</v>
      </c>
      <c r="H32" s="3" t="n">
        <v>10.4</v>
      </c>
      <c r="I32" s="3" t="n">
        <v>7.4</v>
      </c>
      <c r="J32" s="3" t="n">
        <v>4.4</v>
      </c>
      <c r="K32" s="3" t="n">
        <v>1.4</v>
      </c>
      <c r="L32" s="3" t="n">
        <v>1.4</v>
      </c>
    </row>
    <row r="33" customFormat="false" ht="15" hidden="false" customHeight="false" outlineLevel="0" collapsed="false">
      <c r="A33" s="0" t="s">
        <v>111</v>
      </c>
      <c r="C33" s="3" t="n">
        <v>22</v>
      </c>
      <c r="D33" s="3" t="n">
        <v>22</v>
      </c>
      <c r="E33" s="3" t="n">
        <v>22</v>
      </c>
      <c r="F33" s="3" t="n">
        <v>22.5</v>
      </c>
      <c r="G33" s="3" t="n">
        <v>22.5</v>
      </c>
      <c r="H33" s="3" t="n">
        <v>22.5</v>
      </c>
      <c r="I33" s="3" t="n">
        <v>23</v>
      </c>
      <c r="J33" s="3" t="n">
        <v>23</v>
      </c>
      <c r="K33" s="3" t="n">
        <v>23</v>
      </c>
      <c r="L33" s="3" t="n">
        <v>23</v>
      </c>
    </row>
    <row r="34" customFormat="false" ht="15" hidden="false" customHeight="false" outlineLevel="0" collapsed="false">
      <c r="A34" s="0" t="s">
        <v>112</v>
      </c>
      <c r="B34" s="3" t="n">
        <v>8</v>
      </c>
    </row>
    <row r="35" customFormat="false" ht="15" hidden="false" customHeight="false" outlineLevel="0" collapsed="false">
      <c r="A35" s="0" t="s">
        <v>113</v>
      </c>
      <c r="B35" s="3" t="n">
        <v>3</v>
      </c>
    </row>
    <row r="36" customFormat="false" ht="15" hidden="false" customHeight="false" outlineLevel="0" collapsed="false">
      <c r="A36" s="0" t="s">
        <v>114</v>
      </c>
      <c r="B36" s="3" t="n">
        <v>20</v>
      </c>
    </row>
    <row r="37" customFormat="false" ht="15" hidden="false" customHeight="false" outlineLevel="0" collapsed="false">
      <c r="A37" s="0" t="s">
        <v>115</v>
      </c>
      <c r="B37" s="3" t="n">
        <v>8</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9</v>
      </c>
      <c r="D41" s="3" t="n">
        <v>7.8</v>
      </c>
      <c r="E41" s="3" t="n">
        <v>9.5</v>
      </c>
      <c r="F41" s="3" t="n">
        <v>9.3</v>
      </c>
      <c r="G41" s="3" t="n">
        <v>9</v>
      </c>
      <c r="H41" s="3" t="n">
        <v>8.1</v>
      </c>
      <c r="I41" s="3" t="n">
        <v>7</v>
      </c>
      <c r="J41" s="3" t="n">
        <v>5.9</v>
      </c>
      <c r="K41" s="3" t="n">
        <v>4.6</v>
      </c>
      <c r="L41" s="3" t="n">
        <v>3.5</v>
      </c>
    </row>
    <row r="42" customFormat="false" ht="15" hidden="false" customHeight="false" outlineLevel="0" collapsed="false">
      <c r="A42" s="0" t="s">
        <v>106</v>
      </c>
      <c r="C42" s="3" t="n">
        <v>42</v>
      </c>
      <c r="D42" s="3" t="n">
        <v>42.4</v>
      </c>
      <c r="E42" s="3" t="n">
        <v>42.8</v>
      </c>
      <c r="F42" s="3" t="n">
        <v>43.2</v>
      </c>
      <c r="G42" s="3" t="n">
        <v>43.6</v>
      </c>
      <c r="H42" s="3" t="n">
        <v>44</v>
      </c>
      <c r="I42" s="3" t="n">
        <v>44</v>
      </c>
      <c r="J42" s="3" t="n">
        <v>44</v>
      </c>
      <c r="K42" s="3" t="n">
        <v>44</v>
      </c>
      <c r="L42" s="3" t="n">
        <v>44</v>
      </c>
    </row>
    <row r="43" customFormat="false" ht="15" hidden="false" customHeight="false" outlineLevel="0" collapsed="false">
      <c r="A43" s="0" t="s">
        <v>107</v>
      </c>
      <c r="C43" s="3" t="n">
        <v>2.5</v>
      </c>
      <c r="D43" s="3" t="n">
        <v>2.5</v>
      </c>
      <c r="E43" s="3" t="n">
        <v>2.4</v>
      </c>
      <c r="F43" s="3" t="n">
        <v>2.4</v>
      </c>
      <c r="G43" s="3" t="n">
        <v>2.3</v>
      </c>
      <c r="H43" s="3" t="n">
        <v>2.3</v>
      </c>
      <c r="I43" s="3" t="n">
        <v>2.2</v>
      </c>
      <c r="J43" s="3" t="n">
        <v>2.2</v>
      </c>
      <c r="K43" s="3" t="n">
        <v>2.2</v>
      </c>
      <c r="L43" s="3" t="n">
        <v>2.2</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11.4</v>
      </c>
      <c r="D45" s="3" t="n">
        <v>11.4</v>
      </c>
      <c r="E45" s="3" t="n">
        <v>11.4</v>
      </c>
      <c r="F45" s="3" t="n">
        <v>11.3</v>
      </c>
      <c r="G45" s="3" t="n">
        <v>11.2</v>
      </c>
      <c r="H45" s="3" t="n">
        <v>11</v>
      </c>
      <c r="I45" s="3" t="n">
        <v>10.8</v>
      </c>
      <c r="J45" s="3" t="n">
        <v>10.6</v>
      </c>
      <c r="K45" s="3" t="n">
        <v>10.5</v>
      </c>
      <c r="L45" s="3" t="n">
        <v>10.5</v>
      </c>
    </row>
    <row r="46" customFormat="false" ht="15" hidden="false" customHeight="false" outlineLevel="0" collapsed="false">
      <c r="A46" s="0" t="s">
        <v>110</v>
      </c>
      <c r="C46" s="3" t="n">
        <v>6.4</v>
      </c>
      <c r="D46" s="3" t="n">
        <v>16.4</v>
      </c>
      <c r="E46" s="3" t="n">
        <v>16.4</v>
      </c>
      <c r="F46" s="3" t="n">
        <v>16.4</v>
      </c>
      <c r="G46" s="3" t="n">
        <v>13.4</v>
      </c>
      <c r="H46" s="3" t="n">
        <v>10.4</v>
      </c>
      <c r="I46" s="3" t="n">
        <v>7.4</v>
      </c>
      <c r="J46" s="3" t="n">
        <v>4.4</v>
      </c>
      <c r="K46" s="3" t="n">
        <v>1.4</v>
      </c>
      <c r="L46" s="3" t="n">
        <v>1.4</v>
      </c>
    </row>
    <row r="47" customFormat="false" ht="15" hidden="false" customHeight="false" outlineLevel="0" collapsed="false">
      <c r="A47" s="0" t="s">
        <v>111</v>
      </c>
      <c r="C47" s="3" t="n">
        <v>22</v>
      </c>
      <c r="D47" s="3" t="n">
        <v>22</v>
      </c>
      <c r="E47" s="3" t="n">
        <v>22</v>
      </c>
      <c r="F47" s="3" t="n">
        <v>22.5</v>
      </c>
      <c r="G47" s="3" t="n">
        <v>22.5</v>
      </c>
      <c r="H47" s="3" t="n">
        <v>22.5</v>
      </c>
      <c r="I47" s="3" t="n">
        <v>23</v>
      </c>
      <c r="J47" s="3" t="n">
        <v>23</v>
      </c>
      <c r="K47" s="3" t="n">
        <v>23</v>
      </c>
      <c r="L47" s="3" t="n">
        <v>23</v>
      </c>
    </row>
    <row r="48" customFormat="false" ht="15" hidden="false" customHeight="false" outlineLevel="0" collapsed="false">
      <c r="A48" s="0" t="s">
        <v>112</v>
      </c>
      <c r="B48" s="3" t="n">
        <v>8</v>
      </c>
    </row>
    <row r="49" customFormat="false" ht="15" hidden="false" customHeight="false" outlineLevel="0" collapsed="false">
      <c r="A49" s="0" t="s">
        <v>113</v>
      </c>
      <c r="B49" s="3" t="n">
        <v>3.5</v>
      </c>
    </row>
    <row r="50" customFormat="false" ht="15" hidden="false" customHeight="false" outlineLevel="0" collapsed="false">
      <c r="A50" s="0" t="s">
        <v>114</v>
      </c>
      <c r="B50" s="3" t="n">
        <v>22</v>
      </c>
    </row>
    <row r="51" customFormat="false" ht="15" hidden="false" customHeight="false" outlineLevel="0" collapsed="false">
      <c r="A51" s="0" t="s">
        <v>115</v>
      </c>
      <c r="B51" s="3" t="n">
        <v>8</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7.5</v>
      </c>
      <c r="D5" s="4" t="n">
        <f aca="false">Assumptions!D13</f>
        <v>4.3</v>
      </c>
      <c r="E5" s="4" t="n">
        <f aca="false">Assumptions!E13</f>
        <v>5.2</v>
      </c>
      <c r="F5" s="4" t="n">
        <f aca="false">Assumptions!F13</f>
        <v>4.9</v>
      </c>
      <c r="G5" s="4" t="n">
        <f aca="false">Assumptions!G13</f>
        <v>4.6</v>
      </c>
      <c r="H5" s="4" t="n">
        <f aca="false">Assumptions!H13</f>
        <v>4.1</v>
      </c>
      <c r="I5" s="4" t="n">
        <f aca="false">Assumptions!I13</f>
        <v>3.5</v>
      </c>
      <c r="J5" s="4" t="n">
        <f aca="false">Assumptions!J13</f>
        <v>3</v>
      </c>
      <c r="K5" s="4" t="n">
        <f aca="false">Assumptions!K13</f>
        <v>2.5</v>
      </c>
      <c r="L5" s="4" t="n">
        <f aca="false">Assumptions!L13</f>
        <v>2</v>
      </c>
    </row>
    <row r="6" customFormat="false" ht="15" hidden="false" customHeight="false" outlineLevel="0" collapsed="false">
      <c r="A6" s="0" t="s">
        <v>37</v>
      </c>
      <c r="B6" s="3" t="n">
        <v>7902.5</v>
      </c>
      <c r="C6" s="0" t="n">
        <f aca="false">B6*(1+C5/100)</f>
        <v>8495.1875</v>
      </c>
      <c r="D6" s="0" t="n">
        <f aca="false">C6*(1+D5/100)</f>
        <v>8860.4805625</v>
      </c>
      <c r="E6" s="0" t="n">
        <f aca="false">D6*(1+E5/100)</f>
        <v>9321.22555175</v>
      </c>
      <c r="F6" s="0" t="n">
        <f aca="false">E6*(1+F5/100)</f>
        <v>9777.96560378575</v>
      </c>
      <c r="G6" s="0" t="n">
        <f aca="false">F6*(1+G5/100)</f>
        <v>10227.7520215599</v>
      </c>
      <c r="H6" s="0" t="n">
        <f aca="false">G6*(1+H5/100)</f>
        <v>10647.0898544439</v>
      </c>
      <c r="I6" s="0" t="n">
        <f aca="false">H6*(1+I5/100)</f>
        <v>11019.7379993494</v>
      </c>
      <c r="J6" s="0" t="n">
        <f aca="false">I6*(1+J5/100)</f>
        <v>11350.3301393299</v>
      </c>
      <c r="K6" s="0" t="n">
        <f aca="false">J6*(1+K5/100)</f>
        <v>11634.0883928131</v>
      </c>
      <c r="L6" s="0" t="n">
        <f aca="false">K6*(1+L5/100)</f>
        <v>11866.7701606694</v>
      </c>
    </row>
    <row r="7" customFormat="false" ht="15" hidden="false" customHeight="false" outlineLevel="0" collapsed="false">
      <c r="A7" s="0" t="s">
        <v>106</v>
      </c>
      <c r="C7" s="4" t="n">
        <f aca="false">Assumptions!C14</f>
        <v>41.5</v>
      </c>
      <c r="D7" s="4" t="n">
        <f aca="false">Assumptions!D14</f>
        <v>41</v>
      </c>
      <c r="E7" s="4" t="n">
        <f aca="false">Assumptions!E14</f>
        <v>40.5</v>
      </c>
      <c r="F7" s="4" t="n">
        <f aca="false">Assumptions!F14</f>
        <v>40</v>
      </c>
      <c r="G7" s="4" t="n">
        <f aca="false">Assumptions!G14</f>
        <v>40</v>
      </c>
      <c r="H7" s="4" t="n">
        <f aca="false">Assumptions!H14</f>
        <v>40</v>
      </c>
      <c r="I7" s="4" t="n">
        <f aca="false">Assumptions!I14</f>
        <v>40</v>
      </c>
      <c r="J7" s="4" t="n">
        <f aca="false">Assumptions!J14</f>
        <v>40</v>
      </c>
      <c r="K7" s="4" t="n">
        <f aca="false">Assumptions!K14</f>
        <v>40</v>
      </c>
      <c r="L7" s="4" t="n">
        <f aca="false">Assumptions!L14</f>
        <v>40</v>
      </c>
    </row>
    <row r="8" customFormat="false" ht="15" hidden="false" customHeight="false" outlineLevel="0" collapsed="false">
      <c r="A8" s="0" t="s">
        <v>43</v>
      </c>
      <c r="C8" s="0" t="n">
        <f aca="false">C6*C7/100</f>
        <v>3525.5028125</v>
      </c>
      <c r="D8" s="0" t="n">
        <f aca="false">D6*D7/100</f>
        <v>3632.797030625</v>
      </c>
      <c r="E8" s="0" t="n">
        <f aca="false">E6*E7/100</f>
        <v>3775.09634845875</v>
      </c>
      <c r="F8" s="0" t="n">
        <f aca="false">F6*F7/100</f>
        <v>3911.1862415143</v>
      </c>
      <c r="G8" s="0" t="n">
        <f aca="false">G6*G7/100</f>
        <v>4091.10080862396</v>
      </c>
      <c r="H8" s="0" t="n">
        <f aca="false">H6*H7/100</f>
        <v>4258.83594177754</v>
      </c>
      <c r="I8" s="0" t="n">
        <f aca="false">I6*I7/100</f>
        <v>4407.89519973975</v>
      </c>
      <c r="J8" s="0" t="n">
        <f aca="false">J6*J7/100</f>
        <v>4540.13205573195</v>
      </c>
      <c r="K8" s="0" t="n">
        <f aca="false">K6*K7/100</f>
        <v>4653.63535712524</v>
      </c>
      <c r="L8" s="0" t="n">
        <f aca="false">L6*L7/100</f>
        <v>4746.70806426775</v>
      </c>
    </row>
    <row r="9" customFormat="false" ht="15" hidden="false" customHeight="false" outlineLevel="0" collapsed="false">
      <c r="A9" s="0" t="s">
        <v>107</v>
      </c>
      <c r="C9" s="4" t="n">
        <f aca="false">Assumptions!C15</f>
        <v>2.6</v>
      </c>
      <c r="D9" s="4" t="n">
        <f aca="false">Assumptions!D15</f>
        <v>2.6</v>
      </c>
      <c r="E9" s="4" t="n">
        <f aca="false">Assumptions!E15</f>
        <v>2.6</v>
      </c>
      <c r="F9" s="4" t="n">
        <f aca="false">Assumptions!F15</f>
        <v>2.6</v>
      </c>
      <c r="G9" s="4" t="n">
        <f aca="false">Assumptions!G15</f>
        <v>2.6</v>
      </c>
      <c r="H9" s="4" t="n">
        <f aca="false">Assumptions!H15</f>
        <v>2.6</v>
      </c>
      <c r="I9" s="4" t="n">
        <f aca="false">Assumptions!I15</f>
        <v>2.6</v>
      </c>
      <c r="J9" s="4" t="n">
        <f aca="false">Assumptions!J15</f>
        <v>2.6</v>
      </c>
      <c r="K9" s="4" t="n">
        <f aca="false">Assumptions!K15</f>
        <v>2.6</v>
      </c>
      <c r="L9" s="4" t="n">
        <f aca="false">Assumptions!L15</f>
        <v>2.6</v>
      </c>
    </row>
    <row r="10" customFormat="false" ht="15" hidden="false" customHeight="false" outlineLevel="0" collapsed="false">
      <c r="A10" s="0" t="s">
        <v>122</v>
      </c>
      <c r="C10" s="0" t="n">
        <f aca="false">-C6*C9/100</f>
        <v>-220.874875</v>
      </c>
      <c r="D10" s="0" t="n">
        <f aca="false">-D6*D9/100</f>
        <v>-230.372494625</v>
      </c>
      <c r="E10" s="0" t="n">
        <f aca="false">-E6*E9/100</f>
        <v>-242.3518643455</v>
      </c>
      <c r="F10" s="0" t="n">
        <f aca="false">-F6*F9/100</f>
        <v>-254.227105698429</v>
      </c>
      <c r="G10" s="0" t="n">
        <f aca="false">-G6*G9/100</f>
        <v>-265.921552560557</v>
      </c>
      <c r="H10" s="0" t="n">
        <f aca="false">-H6*H9/100</f>
        <v>-276.82433621554</v>
      </c>
      <c r="I10" s="0" t="n">
        <f aca="false">-I6*I9/100</f>
        <v>-286.513187983084</v>
      </c>
      <c r="J10" s="0" t="n">
        <f aca="false">-J6*J9/100</f>
        <v>-295.108583622577</v>
      </c>
      <c r="K10" s="0" t="n">
        <f aca="false">-K6*K9/100</f>
        <v>-302.486298213141</v>
      </c>
      <c r="L10" s="0" t="n">
        <f aca="false">-L6*L9/100</f>
        <v>-308.536024177404</v>
      </c>
    </row>
    <row r="11" customFormat="false" ht="15" hidden="false" customHeight="false" outlineLevel="0" collapsed="false">
      <c r="A11" s="0" t="s">
        <v>123</v>
      </c>
      <c r="C11" s="0" t="n">
        <f aca="false">C8+C10+C24</f>
        <v>3304.6279375</v>
      </c>
      <c r="D11" s="0" t="n">
        <f aca="false">D8+D10+D24</f>
        <v>3402.424536</v>
      </c>
      <c r="E11" s="0" t="n">
        <f aca="false">E8+E10+E24</f>
        <v>3532.74448411325</v>
      </c>
      <c r="F11" s="0" t="n">
        <f aca="false">F8+F10+F24</f>
        <v>3656.95913581587</v>
      </c>
      <c r="G11" s="0" t="n">
        <f aca="false">G8+G10+G24</f>
        <v>3825.1792560634</v>
      </c>
      <c r="H11" s="0" t="n">
        <f aca="false">H8+H10+H24</f>
        <v>3982.011605562</v>
      </c>
      <c r="I11" s="0" t="n">
        <f aca="false">I8+I10+I24</f>
        <v>4121.38201175667</v>
      </c>
      <c r="J11" s="0" t="n">
        <f aca="false">J8+J10+J24</f>
        <v>4245.02347210937</v>
      </c>
      <c r="K11" s="0" t="n">
        <f aca="false">K8+K10+K24</f>
        <v>4351.1490589121</v>
      </c>
      <c r="L11" s="0" t="n">
        <f aca="false">L8+L10+L24</f>
        <v>4438.17204009035</v>
      </c>
    </row>
    <row r="12" customFormat="false" ht="15" hidden="false" customHeight="false" outlineLevel="0" collapsed="false">
      <c r="A12" s="0" t="s">
        <v>124</v>
      </c>
      <c r="C12" s="4" t="n">
        <f aca="false">-C6*Assumptions!C17/100</f>
        <v>-968.451375</v>
      </c>
      <c r="D12" s="4" t="n">
        <f aca="false">-D6*Assumptions!D17/100</f>
        <v>-1010.094784125</v>
      </c>
      <c r="E12" s="4" t="n">
        <f aca="false">-E6*Assumptions!E17/100</f>
        <v>-1062.6197128995</v>
      </c>
      <c r="F12" s="4" t="n">
        <f aca="false">-F6*Assumptions!F17/100</f>
        <v>-1104.91011322779</v>
      </c>
      <c r="G12" s="4" t="n">
        <f aca="false">-G6*Assumptions!G17/100</f>
        <v>-1145.50822641471</v>
      </c>
      <c r="H12" s="4" t="n">
        <f aca="false">-H6*Assumptions!H17/100</f>
        <v>-1171.17988398882</v>
      </c>
      <c r="I12" s="4" t="n">
        <f aca="false">-I6*Assumptions!I17/100</f>
        <v>-1190.13170392973</v>
      </c>
      <c r="J12" s="4" t="n">
        <f aca="false">-J6*Assumptions!J17/100</f>
        <v>-1203.13499476897</v>
      </c>
      <c r="K12" s="4" t="n">
        <f aca="false">-K6*Assumptions!K17/100</f>
        <v>-1221.57928124538</v>
      </c>
      <c r="L12" s="4" t="n">
        <f aca="false">-L6*Assumptions!L17/100</f>
        <v>-1246.01086687028</v>
      </c>
    </row>
    <row r="13" customFormat="false" ht="15" hidden="false" customHeight="false" outlineLevel="0" collapsed="false">
      <c r="A13" s="0" t="s">
        <v>125</v>
      </c>
      <c r="C13" s="0" t="n">
        <f aca="false">C11+C12</f>
        <v>2336.1765625</v>
      </c>
      <c r="D13" s="0" t="n">
        <f aca="false">D11+D12</f>
        <v>2392.329751875</v>
      </c>
      <c r="E13" s="0" t="n">
        <f aca="false">E11+E12</f>
        <v>2470.12477121375</v>
      </c>
      <c r="F13" s="0" t="n">
        <f aca="false">F11+F12</f>
        <v>2552.04902258808</v>
      </c>
      <c r="G13" s="0" t="n">
        <f aca="false">G11+G12</f>
        <v>2679.67102964869</v>
      </c>
      <c r="H13" s="0" t="n">
        <f aca="false">H11+H12</f>
        <v>2810.83172157318</v>
      </c>
      <c r="I13" s="0" t="n">
        <f aca="false">I11+I12</f>
        <v>2931.25030782694</v>
      </c>
      <c r="J13" s="0" t="n">
        <f aca="false">J11+J12</f>
        <v>3041.8884773404</v>
      </c>
      <c r="K13" s="0" t="n">
        <f aca="false">K11+K12</f>
        <v>3129.56977766673</v>
      </c>
      <c r="L13" s="0" t="n">
        <f aca="false">L11+L12</f>
        <v>3192.16117322006</v>
      </c>
    </row>
    <row r="14" customFormat="false" ht="15" hidden="false" customHeight="false" outlineLevel="0" collapsed="false">
      <c r="A14" s="0" t="s">
        <v>111</v>
      </c>
      <c r="C14" s="4" t="n">
        <f aca="false">Assumptions!C19</f>
        <v>22</v>
      </c>
      <c r="D14" s="4" t="n">
        <f aca="false">Assumptions!D19</f>
        <v>22.5</v>
      </c>
      <c r="E14" s="4" t="n">
        <f aca="false">Assumptions!E19</f>
        <v>23</v>
      </c>
      <c r="F14" s="4" t="n">
        <f aca="false">Assumptions!F19</f>
        <v>23</v>
      </c>
      <c r="G14" s="4" t="n">
        <f aca="false">Assumptions!G19</f>
        <v>23</v>
      </c>
      <c r="H14" s="4" t="n">
        <f aca="false">Assumptions!H19</f>
        <v>23</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126</v>
      </c>
      <c r="C15" s="0" t="n">
        <f aca="false">C13-MAX(0,C13)*C14/100</f>
        <v>1822.21771875</v>
      </c>
      <c r="D15" s="0" t="n">
        <f aca="false">D13-MAX(0,D13)*D14/100</f>
        <v>1854.05555770312</v>
      </c>
      <c r="E15" s="0" t="n">
        <f aca="false">E13-MAX(0,E13)*E14/100</f>
        <v>1901.99607383459</v>
      </c>
      <c r="F15" s="0" t="n">
        <f aca="false">F13-MAX(0,F13)*F14/100</f>
        <v>1965.07774739282</v>
      </c>
      <c r="G15" s="0" t="n">
        <f aca="false">G13-MAX(0,G13)*G14/100</f>
        <v>2063.34669282949</v>
      </c>
      <c r="H15" s="0" t="n">
        <f aca="false">H13-MAX(0,H13)*H14/100</f>
        <v>2164.34042561135</v>
      </c>
      <c r="I15" s="0" t="n">
        <f aca="false">I13-MAX(0,I13)*I14/100</f>
        <v>2257.06273702674</v>
      </c>
      <c r="J15" s="0" t="n">
        <f aca="false">J13-MAX(0,J13)*J14/100</f>
        <v>2342.25412755211</v>
      </c>
      <c r="K15" s="0" t="n">
        <f aca="false">K13-MAX(0,K13)*K14/100</f>
        <v>2409.76872880338</v>
      </c>
      <c r="L15" s="0" t="n">
        <f aca="false">L13-MAX(0,L13)*L14/100</f>
        <v>2457.96410337945</v>
      </c>
    </row>
    <row r="16" customFormat="false" ht="15" hidden="false" customHeight="false" outlineLevel="0" collapsed="false">
      <c r="A16" s="0" t="s">
        <v>127</v>
      </c>
      <c r="C16" s="0" t="n">
        <f aca="false">-C12</f>
        <v>968.451375</v>
      </c>
      <c r="D16" s="0" t="n">
        <f aca="false">-D12</f>
        <v>1010.094784125</v>
      </c>
      <c r="E16" s="0" t="n">
        <f aca="false">-E12</f>
        <v>1062.6197128995</v>
      </c>
      <c r="F16" s="0" t="n">
        <f aca="false">-F12</f>
        <v>1104.91011322779</v>
      </c>
      <c r="G16" s="0" t="n">
        <f aca="false">-G12</f>
        <v>1145.50822641471</v>
      </c>
      <c r="H16" s="0" t="n">
        <f aca="false">-H12</f>
        <v>1171.17988398882</v>
      </c>
      <c r="I16" s="0" t="n">
        <f aca="false">-I12</f>
        <v>1190.13170392973</v>
      </c>
      <c r="J16" s="0" t="n">
        <f aca="false">-J12</f>
        <v>1203.13499476897</v>
      </c>
      <c r="K16" s="0" t="n">
        <f aca="false">-K12</f>
        <v>1221.57928124538</v>
      </c>
      <c r="L16" s="0" t="n">
        <f aca="false">-L12</f>
        <v>1246.01086687028</v>
      </c>
    </row>
    <row r="17" customFormat="false" ht="15" hidden="false" customHeight="false" outlineLevel="0" collapsed="false">
      <c r="A17" s="0" t="s">
        <v>128</v>
      </c>
      <c r="C17" s="4" t="n">
        <f aca="false">-C6*Assumptions!C18/100</f>
        <v>-543.692</v>
      </c>
      <c r="D17" s="4" t="n">
        <f aca="false">-D6*Assumptions!D18/100</f>
        <v>-1453.11881225</v>
      </c>
      <c r="E17" s="4" t="n">
        <f aca="false">-E6*Assumptions!E18/100</f>
        <v>-1528.680990487</v>
      </c>
      <c r="F17" s="4" t="n">
        <f aca="false">-F6*Assumptions!F18/100</f>
        <v>-1603.58635902086</v>
      </c>
      <c r="G17" s="4" t="n">
        <f aca="false">-G6*Assumptions!G18/100</f>
        <v>-1370.51877088903</v>
      </c>
      <c r="H17" s="4" t="n">
        <f aca="false">-H6*Assumptions!H18/100</f>
        <v>-1107.29734486216</v>
      </c>
      <c r="I17" s="4" t="n">
        <f aca="false">-I6*Assumptions!I18/100</f>
        <v>-815.460611951854</v>
      </c>
      <c r="J17" s="4" t="n">
        <f aca="false">-J6*Assumptions!J18/100</f>
        <v>-499.414526130514</v>
      </c>
      <c r="K17" s="4" t="n">
        <f aca="false">-K6*Assumptions!K18/100</f>
        <v>-162.877237499384</v>
      </c>
      <c r="L17" s="4" t="n">
        <f aca="false">-L6*Assumptions!L18/100</f>
        <v>-166.134782249371</v>
      </c>
    </row>
    <row r="18" customFormat="false" ht="15" hidden="false" customHeight="false" outlineLevel="0" collapsed="false">
      <c r="A18" s="0" t="s">
        <v>129</v>
      </c>
      <c r="C18" s="4" t="n">
        <f aca="false">(C6-B6)*Assumptions!$B$23/100</f>
        <v>35.56125</v>
      </c>
      <c r="D18" s="4" t="n">
        <f aca="false">(D6-C6)*Assumptions!$B$23/100</f>
        <v>21.9175837499999</v>
      </c>
      <c r="E18" s="4" t="n">
        <f aca="false">(E6-D6)*Assumptions!$B$23/100</f>
        <v>27.644699355</v>
      </c>
      <c r="F18" s="4" t="n">
        <f aca="false">(F6-E6)*Assumptions!$B$23/100</f>
        <v>27.404403122145</v>
      </c>
      <c r="G18" s="4" t="n">
        <f aca="false">(G6-F6)*Assumptions!$B$23/100</f>
        <v>26.9871850664487</v>
      </c>
      <c r="H18" s="4" t="n">
        <f aca="false">(H6-G6)*Assumptions!$B$23/100</f>
        <v>25.1602699730373</v>
      </c>
      <c r="I18" s="4" t="n">
        <f aca="false">(I6-H6)*Assumptions!$B$23/100</f>
        <v>22.358888694332</v>
      </c>
      <c r="J18" s="4" t="n">
        <f aca="false">(J6-I6)*Assumptions!$B$23/100</f>
        <v>19.8355283988289</v>
      </c>
      <c r="K18" s="4" t="n">
        <f aca="false">(K6-J6)*Assumptions!$B$23/100</f>
        <v>17.0254952089947</v>
      </c>
      <c r="L18" s="4" t="n">
        <f aca="false">(L6-K6)*Assumptions!$B$23/100</f>
        <v>13.9609060713757</v>
      </c>
    </row>
    <row r="19" customFormat="false" ht="15" hidden="false" customHeight="false" outlineLevel="0" collapsed="false">
      <c r="A19" s="0" t="s">
        <v>130</v>
      </c>
      <c r="C19" s="0" t="n">
        <f aca="false">C15+C16+C17+C18</f>
        <v>2282.53834375</v>
      </c>
      <c r="D19" s="0" t="n">
        <f aca="false">D15+D16+D17+D18</f>
        <v>1432.94911332813</v>
      </c>
      <c r="E19" s="0" t="n">
        <f aca="false">E15+E16+E17+E18</f>
        <v>1463.57949560209</v>
      </c>
      <c r="F19" s="0" t="n">
        <f aca="false">F15+F16+F17+F18</f>
        <v>1493.80590472189</v>
      </c>
      <c r="G19" s="0" t="n">
        <f aca="false">G15+G16+G17+G18</f>
        <v>1865.32333342162</v>
      </c>
      <c r="H19" s="0" t="n">
        <f aca="false">H15+H16+H17+H18</f>
        <v>2253.38323471105</v>
      </c>
      <c r="I19" s="0" t="n">
        <f aca="false">I15+I16+I17+I18</f>
        <v>2654.09271769895</v>
      </c>
      <c r="J19" s="0" t="n">
        <f aca="false">J15+J16+J17+J18</f>
        <v>3065.81012458939</v>
      </c>
      <c r="K19" s="0" t="n">
        <f aca="false">K15+K16+K17+K18</f>
        <v>3485.49626775837</v>
      </c>
      <c r="L19" s="0" t="n">
        <f aca="false">L15+L16+L17+L18</f>
        <v>3551.80109407174</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2113.46142939815</v>
      </c>
      <c r="D21" s="0" t="n">
        <f aca="false">D19*D20</f>
        <v>1228.52290237322</v>
      </c>
      <c r="E21" s="0" t="n">
        <f aca="false">E19*E20</f>
        <v>1161.83659090497</v>
      </c>
      <c r="F21" s="0" t="n">
        <f aca="false">F19*F20</f>
        <v>1097.99193425421</v>
      </c>
      <c r="G21" s="0" t="n">
        <f aca="false">G19*G20</f>
        <v>1269.50771776175</v>
      </c>
      <c r="H21" s="0" t="n">
        <f aca="false">H19*H20</f>
        <v>1420.0136722425</v>
      </c>
      <c r="I21" s="0" t="n">
        <f aca="false">I19*I20</f>
        <v>1548.63760891251</v>
      </c>
      <c r="J21" s="0" t="n">
        <f aca="false">J19*J20</f>
        <v>1656.36181610677</v>
      </c>
      <c r="K21" s="0" t="n">
        <f aca="false">K19*K20</f>
        <v>1743.61590788668</v>
      </c>
      <c r="L21" s="0" t="n">
        <f aca="false">L19*L20</f>
        <v>1645.17113774608</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8</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14885.1207175868</v>
      </c>
    </row>
    <row r="31" customFormat="false" ht="15" hidden="false" customHeight="false" outlineLevel="0" collapsed="false">
      <c r="A31" s="0" t="s">
        <v>136</v>
      </c>
      <c r="B31" s="0" t="n">
        <f aca="false">L19</f>
        <v>3551.80109407174</v>
      </c>
    </row>
    <row r="32" customFormat="false" ht="15" hidden="false" customHeight="false" outlineLevel="0" collapsed="false">
      <c r="A32" s="0" t="s">
        <v>137</v>
      </c>
      <c r="B32" s="0" t="n">
        <f aca="false">IF(B27&gt;B28,B31*(1+B28/100)/((B27-B28)/100),B31*B29)</f>
        <v>60380.6185992195</v>
      </c>
    </row>
    <row r="33" customFormat="false" ht="15" hidden="false" customHeight="false" outlineLevel="0" collapsed="false">
      <c r="A33" s="0" t="s">
        <v>138</v>
      </c>
      <c r="B33" s="0" t="n">
        <f aca="false">B31*B29</f>
        <v>53277.016411076</v>
      </c>
    </row>
    <row r="34" customFormat="false" ht="15" hidden="false" customHeight="false" outlineLevel="0" collapsed="false">
      <c r="A34" s="0" t="s">
        <v>139</v>
      </c>
      <c r="B34" s="0" t="n">
        <f aca="false">MAX(0,MIN(B32,B33))</f>
        <v>53277.016411076</v>
      </c>
    </row>
    <row r="35" customFormat="false" ht="15" hidden="false" customHeight="false" outlineLevel="0" collapsed="false">
      <c r="A35" s="0" t="s">
        <v>140</v>
      </c>
      <c r="B35" s="0" t="n">
        <f aca="false">B34/(1+B27/100)^L4</f>
        <v>24677.5670661913</v>
      </c>
    </row>
    <row r="36" customFormat="false" ht="15" hidden="false" customHeight="false" outlineLevel="0" collapsed="false">
      <c r="A36" s="0" t="s">
        <v>141</v>
      </c>
      <c r="B36" s="0" t="n">
        <f aca="false">B30+B35</f>
        <v>39562.6877837781</v>
      </c>
    </row>
    <row r="37" customFormat="false" ht="15" hidden="false" customHeight="false" outlineLevel="0" collapsed="false">
      <c r="A37" s="0" t="s">
        <v>142</v>
      </c>
      <c r="B37" s="0" t="n">
        <f aca="false">B36+Assumptions!$B$5-Assumptions!$B$4</f>
        <v>29340.3877837781</v>
      </c>
    </row>
    <row r="38" customFormat="false" ht="15" hidden="false" customHeight="false" outlineLevel="0" collapsed="false">
      <c r="A38" s="0" t="s">
        <v>143</v>
      </c>
      <c r="B38" s="0" t="n">
        <f aca="false">B37/Assumptions!$B$3*Assumptions!$B$10</f>
        <v>294.582206664439</v>
      </c>
    </row>
    <row r="39" customFormat="false" ht="15" hidden="false" customHeight="false" outlineLevel="0" collapsed="false">
      <c r="A39" s="0" t="s">
        <v>144</v>
      </c>
      <c r="B39" s="4" t="n">
        <f aca="false">B38/Assumptions!$B$2-1</f>
        <v>-0.187561138849833</v>
      </c>
    </row>
    <row r="41" customFormat="false" ht="15" hidden="false" customHeight="false" outlineLevel="0" collapsed="false">
      <c r="A41" s="0" t="s">
        <v>145</v>
      </c>
      <c r="B41" s="0" t="n">
        <f aca="false">SUMPRODUCT(-C10:L10/(1+$B$27/100)^C4:L4)</f>
        <v>1757.54633472991</v>
      </c>
    </row>
    <row r="42" customFormat="false" ht="15" hidden="false" customHeight="false" outlineLevel="0" collapsed="false">
      <c r="A42" s="0" t="s">
        <v>146</v>
      </c>
      <c r="B42" s="0" t="n">
        <f aca="false">IF(B27&gt;B28,-L10*(1+B28/100)/((B27-B28)/100),-L10*20)/(1+B27/100)^L4</f>
        <v>2429.5019130547</v>
      </c>
    </row>
    <row r="43" customFormat="false" ht="15" hidden="false" customHeight="false" outlineLevel="0" collapsed="false">
      <c r="A43" s="0" t="s">
        <v>147</v>
      </c>
      <c r="B43" s="0" t="n">
        <f aca="false">(B37+B41+B42)/Assumptions!$B$3*Assumptions!$B$10</f>
        <v>336.620843690389</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27867.9778150244</v>
      </c>
    </row>
    <row r="47" customFormat="false" ht="15" hidden="false" customHeight="false" outlineLevel="0" collapsed="false">
      <c r="A47" s="0" t="s">
        <v>149</v>
      </c>
      <c r="B47" s="0" t="n">
        <f aca="false">(SUMPRODUCT(C19:L19/(1+B45/100)^C4:L4)+B46/(1+B45/100)^L4+Assumptions!$B$5-Assumptions!$B$4)/Assumptions!$B$3*Assumptions!$B$10</f>
        <v>73.507199204764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8.5</v>
      </c>
      <c r="D5" s="4" t="n">
        <f aca="false">Assumptions!D27</f>
        <v>6.7</v>
      </c>
      <c r="E5" s="4" t="n">
        <f aca="false">Assumptions!E27</f>
        <v>7.9</v>
      </c>
      <c r="F5" s="4" t="n">
        <f aca="false">Assumptions!F27</f>
        <v>7.6</v>
      </c>
      <c r="G5" s="4" t="n">
        <f aca="false">Assumptions!G27</f>
        <v>7.4</v>
      </c>
      <c r="H5" s="4" t="n">
        <f aca="false">Assumptions!H27</f>
        <v>6.7</v>
      </c>
      <c r="I5" s="4" t="n">
        <f aca="false">Assumptions!I27</f>
        <v>5.8</v>
      </c>
      <c r="J5" s="4" t="n">
        <f aca="false">Assumptions!J27</f>
        <v>4.9</v>
      </c>
      <c r="K5" s="4" t="n">
        <f aca="false">Assumptions!K27</f>
        <v>3.9</v>
      </c>
      <c r="L5" s="4" t="n">
        <f aca="false">Assumptions!L27</f>
        <v>3</v>
      </c>
    </row>
    <row r="6" customFormat="false" ht="15" hidden="false" customHeight="false" outlineLevel="0" collapsed="false">
      <c r="A6" s="0" t="s">
        <v>37</v>
      </c>
      <c r="B6" s="3" t="n">
        <v>7902.5</v>
      </c>
      <c r="C6" s="0" t="n">
        <f aca="false">B6*(1+C5/100)</f>
        <v>8574.2125</v>
      </c>
      <c r="D6" s="0" t="n">
        <f aca="false">C6*(1+D5/100)</f>
        <v>9148.6847375</v>
      </c>
      <c r="E6" s="0" t="n">
        <f aca="false">D6*(1+E5/100)</f>
        <v>9871.4308317625</v>
      </c>
      <c r="F6" s="0" t="n">
        <f aca="false">E6*(1+F5/100)</f>
        <v>10621.6595749765</v>
      </c>
      <c r="G6" s="0" t="n">
        <f aca="false">F6*(1+G5/100)</f>
        <v>11407.6623835247</v>
      </c>
      <c r="H6" s="0" t="n">
        <f aca="false">G6*(1+H5/100)</f>
        <v>12171.9757632209</v>
      </c>
      <c r="I6" s="0" t="n">
        <f aca="false">H6*(1+I5/100)</f>
        <v>12877.9503574877</v>
      </c>
      <c r="J6" s="0" t="n">
        <f aca="false">I6*(1+J5/100)</f>
        <v>13508.9699250046</v>
      </c>
      <c r="K6" s="0" t="n">
        <f aca="false">J6*(1+K5/100)</f>
        <v>14035.8197520797</v>
      </c>
      <c r="L6" s="0" t="n">
        <f aca="false">K6*(1+L5/100)</f>
        <v>14456.8943446421</v>
      </c>
    </row>
    <row r="7" customFormat="false" ht="15" hidden="false" customHeight="false" outlineLevel="0" collapsed="false">
      <c r="A7" s="0" t="s">
        <v>106</v>
      </c>
      <c r="C7" s="4" t="n">
        <f aca="false">Assumptions!C28</f>
        <v>41.8</v>
      </c>
      <c r="D7" s="4" t="n">
        <f aca="false">Assumptions!D28</f>
        <v>42</v>
      </c>
      <c r="E7" s="4" t="n">
        <f aca="false">Assumptions!E28</f>
        <v>42</v>
      </c>
      <c r="F7" s="4" t="n">
        <f aca="false">Assumptions!F28</f>
        <v>42.2</v>
      </c>
      <c r="G7" s="4" t="n">
        <f aca="false">Assumptions!G28</f>
        <v>42.4</v>
      </c>
      <c r="H7" s="4" t="n">
        <f aca="false">Assumptions!H28</f>
        <v>42.5</v>
      </c>
      <c r="I7" s="4" t="n">
        <f aca="false">Assumptions!I28</f>
        <v>42.5</v>
      </c>
      <c r="J7" s="4" t="n">
        <f aca="false">Assumptions!J28</f>
        <v>42.5</v>
      </c>
      <c r="K7" s="4" t="n">
        <f aca="false">Assumptions!K28</f>
        <v>42.5</v>
      </c>
      <c r="L7" s="4" t="n">
        <f aca="false">Assumptions!L28</f>
        <v>42.5</v>
      </c>
    </row>
    <row r="8" customFormat="false" ht="15" hidden="false" customHeight="false" outlineLevel="0" collapsed="false">
      <c r="A8" s="0" t="s">
        <v>43</v>
      </c>
      <c r="C8" s="0" t="n">
        <f aca="false">C6*C7/100</f>
        <v>3584.020825</v>
      </c>
      <c r="D8" s="0" t="n">
        <f aca="false">D6*D7/100</f>
        <v>3842.44758975</v>
      </c>
      <c r="E8" s="0" t="n">
        <f aca="false">E6*E7/100</f>
        <v>4146.00094934025</v>
      </c>
      <c r="F8" s="0" t="n">
        <f aca="false">F6*F7/100</f>
        <v>4482.34034064006</v>
      </c>
      <c r="G8" s="0" t="n">
        <f aca="false">G6*G7/100</f>
        <v>4836.84885061448</v>
      </c>
      <c r="H8" s="0" t="n">
        <f aca="false">H6*H7/100</f>
        <v>5173.08969936887</v>
      </c>
      <c r="I8" s="0" t="n">
        <f aca="false">I6*I7/100</f>
        <v>5473.12890193226</v>
      </c>
      <c r="J8" s="0" t="n">
        <f aca="false">J6*J7/100</f>
        <v>5741.31221812694</v>
      </c>
      <c r="K8" s="0" t="n">
        <f aca="false">K6*K7/100</f>
        <v>5965.22339463389</v>
      </c>
      <c r="L8" s="0" t="n">
        <f aca="false">L6*L7/100</f>
        <v>6144.18009647291</v>
      </c>
    </row>
    <row r="9" customFormat="false" ht="15" hidden="false" customHeight="false" outlineLevel="0" collapsed="false">
      <c r="A9" s="0" t="s">
        <v>107</v>
      </c>
      <c r="C9" s="4" t="n">
        <f aca="false">Assumptions!C29</f>
        <v>2.5</v>
      </c>
      <c r="D9" s="4" t="n">
        <f aca="false">Assumptions!D29</f>
        <v>2.5</v>
      </c>
      <c r="E9" s="4" t="n">
        <f aca="false">Assumptions!E29</f>
        <v>2.5</v>
      </c>
      <c r="F9" s="4" t="n">
        <f aca="false">Assumptions!F29</f>
        <v>2.4</v>
      </c>
      <c r="G9" s="4" t="n">
        <f aca="false">Assumptions!G29</f>
        <v>2.4</v>
      </c>
      <c r="H9" s="4" t="n">
        <f aca="false">Assumptions!H29</f>
        <v>2.3</v>
      </c>
      <c r="I9" s="4" t="n">
        <f aca="false">Assumptions!I29</f>
        <v>2.3</v>
      </c>
      <c r="J9" s="4" t="n">
        <f aca="false">Assumptions!J29</f>
        <v>2.3</v>
      </c>
      <c r="K9" s="4" t="n">
        <f aca="false">Assumptions!K29</f>
        <v>2.3</v>
      </c>
      <c r="L9" s="4" t="n">
        <f aca="false">Assumptions!L29</f>
        <v>2.3</v>
      </c>
    </row>
    <row r="10" customFormat="false" ht="15" hidden="false" customHeight="false" outlineLevel="0" collapsed="false">
      <c r="A10" s="0" t="s">
        <v>122</v>
      </c>
      <c r="C10" s="0" t="n">
        <f aca="false">-C6*C9/100</f>
        <v>-214.3553125</v>
      </c>
      <c r="D10" s="0" t="n">
        <f aca="false">-D6*D9/100</f>
        <v>-228.7171184375</v>
      </c>
      <c r="E10" s="0" t="n">
        <f aca="false">-E6*E9/100</f>
        <v>-246.785770794062</v>
      </c>
      <c r="F10" s="0" t="n">
        <f aca="false">-F6*F9/100</f>
        <v>-254.919829799435</v>
      </c>
      <c r="G10" s="0" t="n">
        <f aca="false">-G6*G9/100</f>
        <v>-273.783897204593</v>
      </c>
      <c r="H10" s="0" t="n">
        <f aca="false">-H6*H9/100</f>
        <v>-279.95544255408</v>
      </c>
      <c r="I10" s="0" t="n">
        <f aca="false">-I6*I9/100</f>
        <v>-296.192858222217</v>
      </c>
      <c r="J10" s="0" t="n">
        <f aca="false">-J6*J9/100</f>
        <v>-310.706308275105</v>
      </c>
      <c r="K10" s="0" t="n">
        <f aca="false">-K6*K9/100</f>
        <v>-322.823854297834</v>
      </c>
      <c r="L10" s="0" t="n">
        <f aca="false">-L6*L9/100</f>
        <v>-332.508569926769</v>
      </c>
    </row>
    <row r="11" customFormat="false" ht="15" hidden="false" customHeight="false" outlineLevel="0" collapsed="false">
      <c r="A11" s="0" t="s">
        <v>123</v>
      </c>
      <c r="C11" s="0" t="n">
        <f aca="false">C8+C10+C24</f>
        <v>3369.6655125</v>
      </c>
      <c r="D11" s="0" t="n">
        <f aca="false">D8+D10+D24</f>
        <v>3613.7304713125</v>
      </c>
      <c r="E11" s="0" t="n">
        <f aca="false">E8+E10+E24</f>
        <v>3899.21517854619</v>
      </c>
      <c r="F11" s="0" t="n">
        <f aca="false">F8+F10+F24</f>
        <v>4227.42051084063</v>
      </c>
      <c r="G11" s="0" t="n">
        <f aca="false">G8+G10+G24</f>
        <v>4563.06495340988</v>
      </c>
      <c r="H11" s="0" t="n">
        <f aca="false">H8+H10+H24</f>
        <v>4893.13425681479</v>
      </c>
      <c r="I11" s="0" t="n">
        <f aca="false">I8+I10+I24</f>
        <v>5176.93604371005</v>
      </c>
      <c r="J11" s="0" t="n">
        <f aca="false">J8+J10+J24</f>
        <v>5430.60590985184</v>
      </c>
      <c r="K11" s="0" t="n">
        <f aca="false">K8+K10+K24</f>
        <v>5642.39954033606</v>
      </c>
      <c r="L11" s="0" t="n">
        <f aca="false">L8+L10+L24</f>
        <v>5811.67152654614</v>
      </c>
    </row>
    <row r="12" customFormat="false" ht="15" hidden="false" customHeight="false" outlineLevel="0" collapsed="false">
      <c r="A12" s="0" t="s">
        <v>124</v>
      </c>
      <c r="C12" s="4" t="n">
        <f aca="false">-C6*Assumptions!C31/100</f>
        <v>-977.460225</v>
      </c>
      <c r="D12" s="4" t="n">
        <f aca="false">-D6*Assumptions!D31/100</f>
        <v>-1042.950060075</v>
      </c>
      <c r="E12" s="4" t="n">
        <f aca="false">-E6*Assumptions!E31/100</f>
        <v>-1125.34311482093</v>
      </c>
      <c r="F12" s="4" t="n">
        <f aca="false">-F6*Assumptions!F31/100</f>
        <v>-1200.24753197234</v>
      </c>
      <c r="G12" s="4" t="n">
        <f aca="false">-G6*Assumptions!G31/100</f>
        <v>-1277.65818695477</v>
      </c>
      <c r="H12" s="4" t="n">
        <f aca="false">-H6*Assumptions!H31/100</f>
        <v>-1338.9173339543</v>
      </c>
      <c r="I12" s="4" t="n">
        <f aca="false">-I6*Assumptions!I31/100</f>
        <v>-1390.81863860867</v>
      </c>
      <c r="J12" s="4" t="n">
        <f aca="false">-J6*Assumptions!J31/100</f>
        <v>-1431.95081205048</v>
      </c>
      <c r="K12" s="4" t="n">
        <f aca="false">-K6*Assumptions!K31/100</f>
        <v>-1473.76107396837</v>
      </c>
      <c r="L12" s="4" t="n">
        <f aca="false">-L6*Assumptions!L31/100</f>
        <v>-1517.97390618742</v>
      </c>
    </row>
    <row r="13" customFormat="false" ht="15" hidden="false" customHeight="false" outlineLevel="0" collapsed="false">
      <c r="A13" s="0" t="s">
        <v>125</v>
      </c>
      <c r="C13" s="0" t="n">
        <f aca="false">C11+C12</f>
        <v>2392.2052875</v>
      </c>
      <c r="D13" s="0" t="n">
        <f aca="false">D11+D12</f>
        <v>2570.7804112375</v>
      </c>
      <c r="E13" s="0" t="n">
        <f aca="false">E11+E12</f>
        <v>2773.87206372526</v>
      </c>
      <c r="F13" s="0" t="n">
        <f aca="false">F11+F12</f>
        <v>3027.17297886829</v>
      </c>
      <c r="G13" s="0" t="n">
        <f aca="false">G11+G12</f>
        <v>3285.40676645512</v>
      </c>
      <c r="H13" s="0" t="n">
        <f aca="false">H11+H12</f>
        <v>3554.21692286049</v>
      </c>
      <c r="I13" s="0" t="n">
        <f aca="false">I11+I12</f>
        <v>3786.11740510138</v>
      </c>
      <c r="J13" s="0" t="n">
        <f aca="false">J11+J12</f>
        <v>3998.65509780135</v>
      </c>
      <c r="K13" s="0" t="n">
        <f aca="false">K11+K12</f>
        <v>4168.63846636769</v>
      </c>
      <c r="L13" s="0" t="n">
        <f aca="false">L11+L12</f>
        <v>4293.69762035872</v>
      </c>
    </row>
    <row r="14" customFormat="false" ht="15" hidden="false" customHeight="false" outlineLevel="0" collapsed="false">
      <c r="A14" s="0" t="s">
        <v>111</v>
      </c>
      <c r="C14" s="4" t="n">
        <f aca="false">Assumptions!C33</f>
        <v>22</v>
      </c>
      <c r="D14" s="4" t="n">
        <f aca="false">Assumptions!D33</f>
        <v>22</v>
      </c>
      <c r="E14" s="4" t="n">
        <f aca="false">Assumptions!E33</f>
        <v>22</v>
      </c>
      <c r="F14" s="4" t="n">
        <f aca="false">Assumptions!F33</f>
        <v>22.5</v>
      </c>
      <c r="G14" s="4" t="n">
        <f aca="false">Assumptions!G33</f>
        <v>22.5</v>
      </c>
      <c r="H14" s="4" t="n">
        <f aca="false">Assumptions!H33</f>
        <v>22.5</v>
      </c>
      <c r="I14" s="4" t="n">
        <f aca="false">Assumptions!I33</f>
        <v>23</v>
      </c>
      <c r="J14" s="4" t="n">
        <f aca="false">Assumptions!J33</f>
        <v>23</v>
      </c>
      <c r="K14" s="4" t="n">
        <f aca="false">Assumptions!K33</f>
        <v>23</v>
      </c>
      <c r="L14" s="4" t="n">
        <f aca="false">Assumptions!L33</f>
        <v>23</v>
      </c>
    </row>
    <row r="15" customFormat="false" ht="15" hidden="false" customHeight="false" outlineLevel="0" collapsed="false">
      <c r="A15" s="0" t="s">
        <v>126</v>
      </c>
      <c r="C15" s="0" t="n">
        <f aca="false">C13-MAX(0,C13)*C14/100</f>
        <v>1865.92012425</v>
      </c>
      <c r="D15" s="0" t="n">
        <f aca="false">D13-MAX(0,D13)*D14/100</f>
        <v>2005.20872076525</v>
      </c>
      <c r="E15" s="0" t="n">
        <f aca="false">E13-MAX(0,E13)*E14/100</f>
        <v>2163.62020970571</v>
      </c>
      <c r="F15" s="0" t="n">
        <f aca="false">F13-MAX(0,F13)*F14/100</f>
        <v>2346.05905862292</v>
      </c>
      <c r="G15" s="0" t="n">
        <f aca="false">G13-MAX(0,G13)*G14/100</f>
        <v>2546.19024400271</v>
      </c>
      <c r="H15" s="0" t="n">
        <f aca="false">H13-MAX(0,H13)*H14/100</f>
        <v>2754.51811521688</v>
      </c>
      <c r="I15" s="0" t="n">
        <f aca="false">I13-MAX(0,I13)*I14/100</f>
        <v>2915.31040192806</v>
      </c>
      <c r="J15" s="0" t="n">
        <f aca="false">J13-MAX(0,J13)*J14/100</f>
        <v>3078.96442530704</v>
      </c>
      <c r="K15" s="0" t="n">
        <f aca="false">K13-MAX(0,K13)*K14/100</f>
        <v>3209.85161910312</v>
      </c>
      <c r="L15" s="0" t="n">
        <f aca="false">L13-MAX(0,L13)*L14/100</f>
        <v>3306.14716767621</v>
      </c>
    </row>
    <row r="16" customFormat="false" ht="15" hidden="false" customHeight="false" outlineLevel="0" collapsed="false">
      <c r="A16" s="0" t="s">
        <v>127</v>
      </c>
      <c r="C16" s="0" t="n">
        <f aca="false">-C12</f>
        <v>977.460225</v>
      </c>
      <c r="D16" s="0" t="n">
        <f aca="false">-D12</f>
        <v>1042.950060075</v>
      </c>
      <c r="E16" s="0" t="n">
        <f aca="false">-E12</f>
        <v>1125.34311482093</v>
      </c>
      <c r="F16" s="0" t="n">
        <f aca="false">-F12</f>
        <v>1200.24753197234</v>
      </c>
      <c r="G16" s="0" t="n">
        <f aca="false">-G12</f>
        <v>1277.65818695477</v>
      </c>
      <c r="H16" s="0" t="n">
        <f aca="false">-H12</f>
        <v>1338.9173339543</v>
      </c>
      <c r="I16" s="0" t="n">
        <f aca="false">-I12</f>
        <v>1390.81863860867</v>
      </c>
      <c r="J16" s="0" t="n">
        <f aca="false">-J12</f>
        <v>1431.95081205048</v>
      </c>
      <c r="K16" s="0" t="n">
        <f aca="false">-K12</f>
        <v>1473.76107396837</v>
      </c>
      <c r="L16" s="0" t="n">
        <f aca="false">-L12</f>
        <v>1517.97390618742</v>
      </c>
    </row>
    <row r="17" customFormat="false" ht="15" hidden="false" customHeight="false" outlineLevel="0" collapsed="false">
      <c r="A17" s="0" t="s">
        <v>128</v>
      </c>
      <c r="C17" s="4" t="n">
        <f aca="false">-C6*Assumptions!C32/100</f>
        <v>-548.7496</v>
      </c>
      <c r="D17" s="4" t="n">
        <f aca="false">-D6*Assumptions!D32/100</f>
        <v>-1500.38429695</v>
      </c>
      <c r="E17" s="4" t="n">
        <f aca="false">-E6*Assumptions!E32/100</f>
        <v>-1618.91465640905</v>
      </c>
      <c r="F17" s="4" t="n">
        <f aca="false">-F6*Assumptions!F32/100</f>
        <v>-1741.95217029614</v>
      </c>
      <c r="G17" s="4" t="n">
        <f aca="false">-G6*Assumptions!G32/100</f>
        <v>-1528.62675939231</v>
      </c>
      <c r="H17" s="4" t="n">
        <f aca="false">-H6*Assumptions!H32/100</f>
        <v>-1265.88547937497</v>
      </c>
      <c r="I17" s="4" t="n">
        <f aca="false">-I6*Assumptions!I32/100</f>
        <v>-952.968326454088</v>
      </c>
      <c r="J17" s="4" t="n">
        <f aca="false">-J6*Assumptions!J32/100</f>
        <v>-594.394676700201</v>
      </c>
      <c r="K17" s="4" t="n">
        <f aca="false">-K6*Assumptions!K32/100</f>
        <v>-196.501476529116</v>
      </c>
      <c r="L17" s="4" t="n">
        <f aca="false">-L6*Assumptions!L32/100</f>
        <v>-202.39652082499</v>
      </c>
    </row>
    <row r="18" customFormat="false" ht="15" hidden="false" customHeight="false" outlineLevel="0" collapsed="false">
      <c r="A18" s="0" t="s">
        <v>129</v>
      </c>
      <c r="C18" s="4" t="n">
        <f aca="false">(C6-B6)*Assumptions!$B$37/100</f>
        <v>53.737</v>
      </c>
      <c r="D18" s="4" t="n">
        <f aca="false">(D6-C6)*Assumptions!$B$37/100</f>
        <v>45.957779</v>
      </c>
      <c r="E18" s="4" t="n">
        <f aca="false">(E6-D6)*Assumptions!$B$37/100</f>
        <v>57.819687541</v>
      </c>
      <c r="F18" s="4" t="n">
        <f aca="false">(F6-E6)*Assumptions!$B$37/100</f>
        <v>60.0182994571161</v>
      </c>
      <c r="G18" s="4" t="n">
        <f aca="false">(G6-F6)*Assumptions!$B$37/100</f>
        <v>62.8802246838606</v>
      </c>
      <c r="H18" s="4" t="n">
        <f aca="false">(H6-G6)*Assumptions!$B$37/100</f>
        <v>61.1450703756925</v>
      </c>
      <c r="I18" s="4" t="n">
        <f aca="false">(I6-H6)*Assumptions!$B$37/100</f>
        <v>56.4779675413448</v>
      </c>
      <c r="J18" s="4" t="n">
        <f aca="false">(J6-I6)*Assumptions!$B$37/100</f>
        <v>50.4815654013515</v>
      </c>
      <c r="K18" s="4" t="n">
        <f aca="false">(K6-J6)*Assumptions!$B$37/100</f>
        <v>42.1479861660142</v>
      </c>
      <c r="L18" s="4" t="n">
        <f aca="false">(L6-K6)*Assumptions!$B$37/100</f>
        <v>33.6859674049914</v>
      </c>
    </row>
    <row r="19" customFormat="false" ht="15" hidden="false" customHeight="false" outlineLevel="0" collapsed="false">
      <c r="A19" s="0" t="s">
        <v>130</v>
      </c>
      <c r="C19" s="0" t="n">
        <f aca="false">C15+C16+C17+C18</f>
        <v>2348.36774925</v>
      </c>
      <c r="D19" s="0" t="n">
        <f aca="false">D15+D16+D17+D18</f>
        <v>1593.73226289025</v>
      </c>
      <c r="E19" s="0" t="n">
        <f aca="false">E15+E16+E17+E18</f>
        <v>1727.86835565858</v>
      </c>
      <c r="F19" s="0" t="n">
        <f aca="false">F15+F16+F17+F18</f>
        <v>1864.37271975624</v>
      </c>
      <c r="G19" s="0" t="n">
        <f aca="false">G15+G16+G17+G18</f>
        <v>2358.10189624903</v>
      </c>
      <c r="H19" s="0" t="n">
        <f aca="false">H15+H16+H17+H18</f>
        <v>2888.6950401719</v>
      </c>
      <c r="I19" s="0" t="n">
        <f aca="false">I15+I16+I17+I18</f>
        <v>3409.63868162399</v>
      </c>
      <c r="J19" s="0" t="n">
        <f aca="false">J15+J16+J17+J18</f>
        <v>3967.00212605868</v>
      </c>
      <c r="K19" s="0" t="n">
        <f aca="false">K15+K16+K17+K18</f>
        <v>4529.25920270839</v>
      </c>
      <c r="L19" s="0" t="n">
        <f aca="false">L15+L16+L17+L18</f>
        <v>4655.41052044364</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2174.41458263889</v>
      </c>
      <c r="D21" s="0" t="n">
        <f aca="false">D19*D20</f>
        <v>1366.36853814322</v>
      </c>
      <c r="E21" s="0" t="n">
        <f aca="false">E19*E20</f>
        <v>1371.63760896029</v>
      </c>
      <c r="F21" s="0" t="n">
        <f aca="false">F19*F20</f>
        <v>1370.36960576015</v>
      </c>
      <c r="G21" s="0" t="n">
        <f aca="false">G19*G20</f>
        <v>1604.88452748052</v>
      </c>
      <c r="H21" s="0" t="n">
        <f aca="false">H19*H20</f>
        <v>1820.3678756442</v>
      </c>
      <c r="I21" s="0" t="n">
        <f aca="false">I19*I20</f>
        <v>1989.49142204184</v>
      </c>
      <c r="J21" s="0" t="n">
        <f aca="false">J19*J20</f>
        <v>2143.24781346269</v>
      </c>
      <c r="K21" s="0" t="n">
        <f aca="false">K19*K20</f>
        <v>2265.75723802553</v>
      </c>
      <c r="L21" s="0" t="n">
        <f aca="false">L19*L20</f>
        <v>2156.35583743042</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8</v>
      </c>
    </row>
    <row r="28" customFormat="false" ht="15" hidden="false" customHeight="false" outlineLevel="0" collapsed="false">
      <c r="A28" s="0" t="s">
        <v>113</v>
      </c>
      <c r="B28" s="4" t="n">
        <f aca="false">Assumptions!$B$35</f>
        <v>3</v>
      </c>
    </row>
    <row r="29" customFormat="false" ht="15" hidden="false" customHeight="false" outlineLevel="0" collapsed="false">
      <c r="A29" s="0" t="s">
        <v>114</v>
      </c>
      <c r="B29" s="4" t="n">
        <f aca="false">Assumptions!$B$36</f>
        <v>20</v>
      </c>
    </row>
    <row r="30" customFormat="false" ht="15" hidden="false" customHeight="false" outlineLevel="0" collapsed="false">
      <c r="A30" s="0" t="s">
        <v>135</v>
      </c>
      <c r="B30" s="0" t="n">
        <f aca="false">SUM(C21:L21)</f>
        <v>18262.8950495877</v>
      </c>
    </row>
    <row r="31" customFormat="false" ht="15" hidden="false" customHeight="false" outlineLevel="0" collapsed="false">
      <c r="A31" s="0" t="s">
        <v>136</v>
      </c>
      <c r="B31" s="0" t="n">
        <f aca="false">L19</f>
        <v>4655.41052044364</v>
      </c>
    </row>
    <row r="32" customFormat="false" ht="15" hidden="false" customHeight="false" outlineLevel="0" collapsed="false">
      <c r="A32" s="0" t="s">
        <v>137</v>
      </c>
      <c r="B32" s="0" t="n">
        <f aca="false">IF(B27&gt;B28,B31*(1+B28/100)/((B27-B28)/100),B31*B29)</f>
        <v>95901.4567211389</v>
      </c>
    </row>
    <row r="33" customFormat="false" ht="15" hidden="false" customHeight="false" outlineLevel="0" collapsed="false">
      <c r="A33" s="0" t="s">
        <v>138</v>
      </c>
      <c r="B33" s="0" t="n">
        <f aca="false">B31*B29</f>
        <v>93108.2104088727</v>
      </c>
    </row>
    <row r="34" customFormat="false" ht="15" hidden="false" customHeight="false" outlineLevel="0" collapsed="false">
      <c r="A34" s="0" t="s">
        <v>139</v>
      </c>
      <c r="B34" s="0" t="n">
        <f aca="false">MAX(0,MIN(B32,B33))</f>
        <v>93108.2104088727</v>
      </c>
    </row>
    <row r="35" customFormat="false" ht="15" hidden="false" customHeight="false" outlineLevel="0" collapsed="false">
      <c r="A35" s="0" t="s">
        <v>140</v>
      </c>
      <c r="B35" s="0" t="n">
        <f aca="false">B34/(1+B27/100)^L4</f>
        <v>43127.1167486085</v>
      </c>
    </row>
    <row r="36" customFormat="false" ht="15" hidden="false" customHeight="false" outlineLevel="0" collapsed="false">
      <c r="A36" s="0" t="s">
        <v>141</v>
      </c>
      <c r="B36" s="0" t="n">
        <f aca="false">B30+B35</f>
        <v>61390.0117981962</v>
      </c>
    </row>
    <row r="37" customFormat="false" ht="15" hidden="false" customHeight="false" outlineLevel="0" collapsed="false">
      <c r="A37" s="0" t="s">
        <v>142</v>
      </c>
      <c r="B37" s="0" t="n">
        <f aca="false">B36+Assumptions!$B$5-Assumptions!$B$4</f>
        <v>51167.7117981962</v>
      </c>
    </row>
    <row r="38" customFormat="false" ht="15" hidden="false" customHeight="false" outlineLevel="0" collapsed="false">
      <c r="A38" s="0" t="s">
        <v>143</v>
      </c>
      <c r="B38" s="0" t="n">
        <f aca="false">B37/Assumptions!$B$3*Assumptions!$B$10</f>
        <v>513.732046166629</v>
      </c>
    </row>
    <row r="39" customFormat="false" ht="15" hidden="false" customHeight="false" outlineLevel="0" collapsed="false">
      <c r="A39" s="0" t="s">
        <v>144</v>
      </c>
      <c r="B39" s="4" t="n">
        <f aca="false">B38/Assumptions!$B$2-1</f>
        <v>0.416840084300804</v>
      </c>
    </row>
    <row r="41" customFormat="false" ht="15" hidden="false" customHeight="false" outlineLevel="0" collapsed="false">
      <c r="A41" s="0" t="s">
        <v>145</v>
      </c>
      <c r="B41" s="0" t="n">
        <f aca="false">SUMPRODUCT(-C10:L10/(1+$B$27/100)^C4:L4)</f>
        <v>1796.79627149325</v>
      </c>
    </row>
    <row r="42" customFormat="false" ht="15" hidden="false" customHeight="false" outlineLevel="0" collapsed="false">
      <c r="A42" s="0" t="s">
        <v>146</v>
      </c>
      <c r="B42" s="0" t="n">
        <f aca="false">IF(B27&gt;B28,-L10*(1+B28/100)/((B27-B28)/100),-L10*20)/(1+B27/100)^L4</f>
        <v>3172.72556904206</v>
      </c>
    </row>
    <row r="43" customFormat="false" ht="15" hidden="false" customHeight="false" outlineLevel="0" collapsed="false">
      <c r="A43" s="0" t="s">
        <v>147</v>
      </c>
      <c r="B43" s="0" t="n">
        <f aca="false">(B37+B41+B42)/Assumptions!$B$3*Assumptions!$B$10</f>
        <v>563.626843762365</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39958.9403004746</v>
      </c>
    </row>
    <row r="47" customFormat="false" ht="15" hidden="false" customHeight="false" outlineLevel="0" collapsed="false">
      <c r="A47" s="0" t="s">
        <v>149</v>
      </c>
      <c r="B47" s="0" t="n">
        <f aca="false">(SUMPRODUCT(C19:L19/(1+B45/100)^C4:L4)+B46/(1+B45/100)^L4+Assumptions!$B$5-Assumptions!$B$4)/Assumptions!$B$3*Assumptions!$B$10</f>
        <v>125.926515529785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9</v>
      </c>
      <c r="D5" s="4" t="n">
        <f aca="false">Assumptions!D41</f>
        <v>7.8</v>
      </c>
      <c r="E5" s="4" t="n">
        <f aca="false">Assumptions!E41</f>
        <v>9.5</v>
      </c>
      <c r="F5" s="4" t="n">
        <f aca="false">Assumptions!F41</f>
        <v>9.3</v>
      </c>
      <c r="G5" s="4" t="n">
        <f aca="false">Assumptions!G41</f>
        <v>9</v>
      </c>
      <c r="H5" s="4" t="n">
        <f aca="false">Assumptions!H41</f>
        <v>8.1</v>
      </c>
      <c r="I5" s="4" t="n">
        <f aca="false">Assumptions!I41</f>
        <v>7</v>
      </c>
      <c r="J5" s="4" t="n">
        <f aca="false">Assumptions!J41</f>
        <v>5.9</v>
      </c>
      <c r="K5" s="4" t="n">
        <f aca="false">Assumptions!K41</f>
        <v>4.6</v>
      </c>
      <c r="L5" s="4" t="n">
        <f aca="false">Assumptions!L41</f>
        <v>3.5</v>
      </c>
    </row>
    <row r="6" customFormat="false" ht="15" hidden="false" customHeight="false" outlineLevel="0" collapsed="false">
      <c r="A6" s="0" t="s">
        <v>37</v>
      </c>
      <c r="B6" s="3" t="n">
        <v>7902.5</v>
      </c>
      <c r="C6" s="0" t="n">
        <f aca="false">B6*(1+C5/100)</f>
        <v>8613.725</v>
      </c>
      <c r="D6" s="0" t="n">
        <f aca="false">C6*(1+D5/100)</f>
        <v>9285.59555</v>
      </c>
      <c r="E6" s="0" t="n">
        <f aca="false">D6*(1+E5/100)</f>
        <v>10167.72712725</v>
      </c>
      <c r="F6" s="0" t="n">
        <f aca="false">E6*(1+F5/100)</f>
        <v>11113.3257500843</v>
      </c>
      <c r="G6" s="0" t="n">
        <f aca="false">F6*(1+G5/100)</f>
        <v>12113.5250675918</v>
      </c>
      <c r="H6" s="0" t="n">
        <f aca="false">G6*(1+H5/100)</f>
        <v>13094.7205980668</v>
      </c>
      <c r="I6" s="0" t="n">
        <f aca="false">H6*(1+I5/100)</f>
        <v>14011.3510399315</v>
      </c>
      <c r="J6" s="0" t="n">
        <f aca="false">I6*(1+J5/100)</f>
        <v>14838.0207512874</v>
      </c>
      <c r="K6" s="0" t="n">
        <f aca="false">J6*(1+K5/100)</f>
        <v>15520.5697058466</v>
      </c>
      <c r="L6" s="0" t="n">
        <f aca="false">K6*(1+L5/100)</f>
        <v>16063.7896455513</v>
      </c>
    </row>
    <row r="7" customFormat="false" ht="15" hidden="false" customHeight="false" outlineLevel="0" collapsed="false">
      <c r="A7" s="0" t="s">
        <v>106</v>
      </c>
      <c r="C7" s="4" t="n">
        <f aca="false">Assumptions!C42</f>
        <v>42</v>
      </c>
      <c r="D7" s="4" t="n">
        <f aca="false">Assumptions!D42</f>
        <v>42.4</v>
      </c>
      <c r="E7" s="4" t="n">
        <f aca="false">Assumptions!E42</f>
        <v>42.8</v>
      </c>
      <c r="F7" s="4" t="n">
        <f aca="false">Assumptions!F42</f>
        <v>43.2</v>
      </c>
      <c r="G7" s="4" t="n">
        <f aca="false">Assumptions!G42</f>
        <v>43.6</v>
      </c>
      <c r="H7" s="4" t="n">
        <f aca="false">Assumptions!H42</f>
        <v>44</v>
      </c>
      <c r="I7" s="4" t="n">
        <f aca="false">Assumptions!I42</f>
        <v>44</v>
      </c>
      <c r="J7" s="4" t="n">
        <f aca="false">Assumptions!J42</f>
        <v>44</v>
      </c>
      <c r="K7" s="4" t="n">
        <f aca="false">Assumptions!K42</f>
        <v>44</v>
      </c>
      <c r="L7" s="4" t="n">
        <f aca="false">Assumptions!L42</f>
        <v>44</v>
      </c>
    </row>
    <row r="8" customFormat="false" ht="15" hidden="false" customHeight="false" outlineLevel="0" collapsed="false">
      <c r="A8" s="0" t="s">
        <v>43</v>
      </c>
      <c r="C8" s="0" t="n">
        <f aca="false">C6*C7/100</f>
        <v>3617.7645</v>
      </c>
      <c r="D8" s="0" t="n">
        <f aca="false">D6*D7/100</f>
        <v>3937.0925132</v>
      </c>
      <c r="E8" s="0" t="n">
        <f aca="false">E6*E7/100</f>
        <v>4351.787210463</v>
      </c>
      <c r="F8" s="0" t="n">
        <f aca="false">F6*F7/100</f>
        <v>4800.9567240364</v>
      </c>
      <c r="G8" s="0" t="n">
        <f aca="false">G6*G7/100</f>
        <v>5281.49692947004</v>
      </c>
      <c r="H8" s="0" t="n">
        <f aca="false">H6*H7/100</f>
        <v>5761.67706314938</v>
      </c>
      <c r="I8" s="0" t="n">
        <f aca="false">I6*I7/100</f>
        <v>6164.99445756984</v>
      </c>
      <c r="J8" s="0" t="n">
        <f aca="false">J6*J7/100</f>
        <v>6528.72913056646</v>
      </c>
      <c r="K8" s="0" t="n">
        <f aca="false">K6*K7/100</f>
        <v>6829.05067057252</v>
      </c>
      <c r="L8" s="0" t="n">
        <f aca="false">L6*L7/100</f>
        <v>7068.06744404255</v>
      </c>
    </row>
    <row r="9" customFormat="false" ht="15" hidden="false" customHeight="false" outlineLevel="0" collapsed="false">
      <c r="A9" s="0" t="s">
        <v>107</v>
      </c>
      <c r="C9" s="4" t="n">
        <f aca="false">Assumptions!C43</f>
        <v>2.5</v>
      </c>
      <c r="D9" s="4" t="n">
        <f aca="false">Assumptions!D43</f>
        <v>2.5</v>
      </c>
      <c r="E9" s="4" t="n">
        <f aca="false">Assumptions!E43</f>
        <v>2.4</v>
      </c>
      <c r="F9" s="4" t="n">
        <f aca="false">Assumptions!F43</f>
        <v>2.4</v>
      </c>
      <c r="G9" s="4" t="n">
        <f aca="false">Assumptions!G43</f>
        <v>2.3</v>
      </c>
      <c r="H9" s="4" t="n">
        <f aca="false">Assumptions!H43</f>
        <v>2.3</v>
      </c>
      <c r="I9" s="4" t="n">
        <f aca="false">Assumptions!I43</f>
        <v>2.2</v>
      </c>
      <c r="J9" s="4" t="n">
        <f aca="false">Assumptions!J43</f>
        <v>2.2</v>
      </c>
      <c r="K9" s="4" t="n">
        <f aca="false">Assumptions!K43</f>
        <v>2.2</v>
      </c>
      <c r="L9" s="4" t="n">
        <f aca="false">Assumptions!L43</f>
        <v>2.2</v>
      </c>
    </row>
    <row r="10" customFormat="false" ht="15" hidden="false" customHeight="false" outlineLevel="0" collapsed="false">
      <c r="A10" s="0" t="s">
        <v>122</v>
      </c>
      <c r="C10" s="0" t="n">
        <f aca="false">-C6*C9/100</f>
        <v>-215.343125</v>
      </c>
      <c r="D10" s="0" t="n">
        <f aca="false">-D6*D9/100</f>
        <v>-232.13988875</v>
      </c>
      <c r="E10" s="0" t="n">
        <f aca="false">-E6*E9/100</f>
        <v>-244.025451054</v>
      </c>
      <c r="F10" s="0" t="n">
        <f aca="false">-F6*F9/100</f>
        <v>-266.719818002022</v>
      </c>
      <c r="G10" s="0" t="n">
        <f aca="false">-G6*G9/100</f>
        <v>-278.611076554612</v>
      </c>
      <c r="H10" s="0" t="n">
        <f aca="false">-H6*H9/100</f>
        <v>-301.178573755536</v>
      </c>
      <c r="I10" s="0" t="n">
        <f aca="false">-I6*I9/100</f>
        <v>-308.249722878492</v>
      </c>
      <c r="J10" s="0" t="n">
        <f aca="false">-J6*J9/100</f>
        <v>-326.436456528323</v>
      </c>
      <c r="K10" s="0" t="n">
        <f aca="false">-K6*K9/100</f>
        <v>-341.452533528626</v>
      </c>
      <c r="L10" s="0" t="n">
        <f aca="false">-L6*L9/100</f>
        <v>-353.403372202128</v>
      </c>
    </row>
    <row r="11" customFormat="false" ht="15" hidden="false" customHeight="false" outlineLevel="0" collapsed="false">
      <c r="A11" s="0" t="s">
        <v>123</v>
      </c>
      <c r="C11" s="0" t="n">
        <f aca="false">C8+C10+C24</f>
        <v>3402.421375</v>
      </c>
      <c r="D11" s="0" t="n">
        <f aca="false">D8+D10+D24</f>
        <v>3704.95262445</v>
      </c>
      <c r="E11" s="0" t="n">
        <f aca="false">E8+E10+E24</f>
        <v>4107.761759409</v>
      </c>
      <c r="F11" s="0" t="n">
        <f aca="false">F8+F10+F24</f>
        <v>4534.23690603437</v>
      </c>
      <c r="G11" s="0" t="n">
        <f aca="false">G8+G10+G24</f>
        <v>5002.88585291543</v>
      </c>
      <c r="H11" s="0" t="n">
        <f aca="false">H8+H10+H24</f>
        <v>5460.49848939385</v>
      </c>
      <c r="I11" s="0" t="n">
        <f aca="false">I8+I10+I24</f>
        <v>5856.74473469135</v>
      </c>
      <c r="J11" s="0" t="n">
        <f aca="false">J8+J10+J24</f>
        <v>6202.29267403814</v>
      </c>
      <c r="K11" s="0" t="n">
        <f aca="false">K8+K10+K24</f>
        <v>6487.59813704389</v>
      </c>
      <c r="L11" s="0" t="n">
        <f aca="false">L8+L10+L24</f>
        <v>6714.66407184043</v>
      </c>
    </row>
    <row r="12" customFormat="false" ht="15" hidden="false" customHeight="false" outlineLevel="0" collapsed="false">
      <c r="A12" s="0" t="s">
        <v>124</v>
      </c>
      <c r="C12" s="4" t="n">
        <f aca="false">-C6*Assumptions!C45/100</f>
        <v>-981.96465</v>
      </c>
      <c r="D12" s="4" t="n">
        <f aca="false">-D6*Assumptions!D45/100</f>
        <v>-1058.5578927</v>
      </c>
      <c r="E12" s="4" t="n">
        <f aca="false">-E6*Assumptions!E45/100</f>
        <v>-1159.1208925065</v>
      </c>
      <c r="F12" s="4" t="n">
        <f aca="false">-F6*Assumptions!F45/100</f>
        <v>-1255.80580975952</v>
      </c>
      <c r="G12" s="4" t="n">
        <f aca="false">-G6*Assumptions!G45/100</f>
        <v>-1356.71480757029</v>
      </c>
      <c r="H12" s="4" t="n">
        <f aca="false">-H6*Assumptions!H45/100</f>
        <v>-1440.41926578735</v>
      </c>
      <c r="I12" s="4" t="n">
        <f aca="false">-I6*Assumptions!I45/100</f>
        <v>-1513.2259123126</v>
      </c>
      <c r="J12" s="4" t="n">
        <f aca="false">-J6*Assumptions!J45/100</f>
        <v>-1572.83019963646</v>
      </c>
      <c r="K12" s="4" t="n">
        <f aca="false">-K6*Assumptions!K45/100</f>
        <v>-1629.6598191139</v>
      </c>
      <c r="L12" s="4" t="n">
        <f aca="false">-L6*Assumptions!L45/100</f>
        <v>-1686.69791278288</v>
      </c>
    </row>
    <row r="13" customFormat="false" ht="15" hidden="false" customHeight="false" outlineLevel="0" collapsed="false">
      <c r="A13" s="0" t="s">
        <v>125</v>
      </c>
      <c r="C13" s="0" t="n">
        <f aca="false">C11+C12</f>
        <v>2420.456725</v>
      </c>
      <c r="D13" s="0" t="n">
        <f aca="false">D11+D12</f>
        <v>2646.39473175</v>
      </c>
      <c r="E13" s="0" t="n">
        <f aca="false">E11+E12</f>
        <v>2948.6408669025</v>
      </c>
      <c r="F13" s="0" t="n">
        <f aca="false">F11+F12</f>
        <v>3278.43109627485</v>
      </c>
      <c r="G13" s="0" t="n">
        <f aca="false">G11+G12</f>
        <v>3646.17104534514</v>
      </c>
      <c r="H13" s="0" t="n">
        <f aca="false">H11+H12</f>
        <v>4020.0792236065</v>
      </c>
      <c r="I13" s="0" t="n">
        <f aca="false">I11+I12</f>
        <v>4343.51882237875</v>
      </c>
      <c r="J13" s="0" t="n">
        <f aca="false">J11+J12</f>
        <v>4629.46247440167</v>
      </c>
      <c r="K13" s="0" t="n">
        <f aca="false">K11+K12</f>
        <v>4857.93831792999</v>
      </c>
      <c r="L13" s="0" t="n">
        <f aca="false">L11+L12</f>
        <v>5027.96615905754</v>
      </c>
    </row>
    <row r="14" customFormat="false" ht="15" hidden="false" customHeight="false" outlineLevel="0" collapsed="false">
      <c r="A14" s="0" t="s">
        <v>111</v>
      </c>
      <c r="C14" s="4" t="n">
        <f aca="false">Assumptions!C47</f>
        <v>22</v>
      </c>
      <c r="D14" s="4" t="n">
        <f aca="false">Assumptions!D47</f>
        <v>22</v>
      </c>
      <c r="E14" s="4" t="n">
        <f aca="false">Assumptions!E47</f>
        <v>22</v>
      </c>
      <c r="F14" s="4" t="n">
        <f aca="false">Assumptions!F47</f>
        <v>22.5</v>
      </c>
      <c r="G14" s="4" t="n">
        <f aca="false">Assumptions!G47</f>
        <v>22.5</v>
      </c>
      <c r="H14" s="4" t="n">
        <f aca="false">Assumptions!H47</f>
        <v>22.5</v>
      </c>
      <c r="I14" s="4" t="n">
        <f aca="false">Assumptions!I47</f>
        <v>23</v>
      </c>
      <c r="J14" s="4" t="n">
        <f aca="false">Assumptions!J47</f>
        <v>23</v>
      </c>
      <c r="K14" s="4" t="n">
        <f aca="false">Assumptions!K47</f>
        <v>23</v>
      </c>
      <c r="L14" s="4" t="n">
        <f aca="false">Assumptions!L47</f>
        <v>23</v>
      </c>
    </row>
    <row r="15" customFormat="false" ht="15" hidden="false" customHeight="false" outlineLevel="0" collapsed="false">
      <c r="A15" s="0" t="s">
        <v>126</v>
      </c>
      <c r="C15" s="0" t="n">
        <f aca="false">C13-MAX(0,C13)*C14/100</f>
        <v>1887.9562455</v>
      </c>
      <c r="D15" s="0" t="n">
        <f aca="false">D13-MAX(0,D13)*D14/100</f>
        <v>2064.187890765</v>
      </c>
      <c r="E15" s="0" t="n">
        <f aca="false">E13-MAX(0,E13)*E14/100</f>
        <v>2299.93987618395</v>
      </c>
      <c r="F15" s="0" t="n">
        <f aca="false">F13-MAX(0,F13)*F14/100</f>
        <v>2540.78409961301</v>
      </c>
      <c r="G15" s="0" t="n">
        <f aca="false">G13-MAX(0,G13)*G14/100</f>
        <v>2825.78256014249</v>
      </c>
      <c r="H15" s="0" t="n">
        <f aca="false">H13-MAX(0,H13)*H14/100</f>
        <v>3115.56139829504</v>
      </c>
      <c r="I15" s="0" t="n">
        <f aca="false">I13-MAX(0,I13)*I14/100</f>
        <v>3344.50949323164</v>
      </c>
      <c r="J15" s="0" t="n">
        <f aca="false">J13-MAX(0,J13)*J14/100</f>
        <v>3564.68610528929</v>
      </c>
      <c r="K15" s="0" t="n">
        <f aca="false">K13-MAX(0,K13)*K14/100</f>
        <v>3740.6125048061</v>
      </c>
      <c r="L15" s="0" t="n">
        <f aca="false">L13-MAX(0,L13)*L14/100</f>
        <v>3871.53394247431</v>
      </c>
    </row>
    <row r="16" customFormat="false" ht="15" hidden="false" customHeight="false" outlineLevel="0" collapsed="false">
      <c r="A16" s="0" t="s">
        <v>127</v>
      </c>
      <c r="C16" s="0" t="n">
        <f aca="false">-C12</f>
        <v>981.96465</v>
      </c>
      <c r="D16" s="0" t="n">
        <f aca="false">-D12</f>
        <v>1058.5578927</v>
      </c>
      <c r="E16" s="0" t="n">
        <f aca="false">-E12</f>
        <v>1159.1208925065</v>
      </c>
      <c r="F16" s="0" t="n">
        <f aca="false">-F12</f>
        <v>1255.80580975952</v>
      </c>
      <c r="G16" s="0" t="n">
        <f aca="false">-G12</f>
        <v>1356.71480757029</v>
      </c>
      <c r="H16" s="0" t="n">
        <f aca="false">-H12</f>
        <v>1440.41926578735</v>
      </c>
      <c r="I16" s="0" t="n">
        <f aca="false">-I12</f>
        <v>1513.2259123126</v>
      </c>
      <c r="J16" s="0" t="n">
        <f aca="false">-J12</f>
        <v>1572.83019963646</v>
      </c>
      <c r="K16" s="0" t="n">
        <f aca="false">-K12</f>
        <v>1629.6598191139</v>
      </c>
      <c r="L16" s="0" t="n">
        <f aca="false">-L12</f>
        <v>1686.69791278288</v>
      </c>
    </row>
    <row r="17" customFormat="false" ht="15" hidden="false" customHeight="false" outlineLevel="0" collapsed="false">
      <c r="A17" s="0" t="s">
        <v>128</v>
      </c>
      <c r="C17" s="4" t="n">
        <f aca="false">-C6*Assumptions!C46/100</f>
        <v>-551.2784</v>
      </c>
      <c r="D17" s="4" t="n">
        <f aca="false">-D6*Assumptions!D46/100</f>
        <v>-1522.8376702</v>
      </c>
      <c r="E17" s="4" t="n">
        <f aca="false">-E6*Assumptions!E46/100</f>
        <v>-1667.507248869</v>
      </c>
      <c r="F17" s="4" t="n">
        <f aca="false">-F6*Assumptions!F46/100</f>
        <v>-1822.58542301382</v>
      </c>
      <c r="G17" s="4" t="n">
        <f aca="false">-G6*Assumptions!G46/100</f>
        <v>-1623.21235905731</v>
      </c>
      <c r="H17" s="4" t="n">
        <f aca="false">-H6*Assumptions!H46/100</f>
        <v>-1361.85094219894</v>
      </c>
      <c r="I17" s="4" t="n">
        <f aca="false">-I6*Assumptions!I46/100</f>
        <v>-1036.83997695493</v>
      </c>
      <c r="J17" s="4" t="n">
        <f aca="false">-J6*Assumptions!J46/100</f>
        <v>-652.872913056646</v>
      </c>
      <c r="K17" s="4" t="n">
        <f aca="false">-K6*Assumptions!K46/100</f>
        <v>-217.287975881853</v>
      </c>
      <c r="L17" s="4" t="n">
        <f aca="false">-L6*Assumptions!L46/100</f>
        <v>-224.893055037718</v>
      </c>
    </row>
    <row r="18" customFormat="false" ht="15" hidden="false" customHeight="false" outlineLevel="0" collapsed="false">
      <c r="A18" s="0" t="s">
        <v>129</v>
      </c>
      <c r="C18" s="4" t="n">
        <f aca="false">(C6-B6)*Assumptions!$B$51/100</f>
        <v>56.898</v>
      </c>
      <c r="D18" s="4" t="n">
        <f aca="false">(D6-C6)*Assumptions!$B$51/100</f>
        <v>53.7496440000001</v>
      </c>
      <c r="E18" s="4" t="n">
        <f aca="false">(E6-D6)*Assumptions!$B$51/100</f>
        <v>70.57052618</v>
      </c>
      <c r="F18" s="4" t="n">
        <f aca="false">(F6-E6)*Assumptions!$B$51/100</f>
        <v>75.64788982674</v>
      </c>
      <c r="G18" s="4" t="n">
        <f aca="false">(G6-F6)*Assumptions!$B$51/100</f>
        <v>80.0159454006067</v>
      </c>
      <c r="H18" s="4" t="n">
        <f aca="false">(H6-G6)*Assumptions!$B$51/100</f>
        <v>78.4956424379951</v>
      </c>
      <c r="I18" s="4" t="n">
        <f aca="false">(I6-H6)*Assumptions!$B$51/100</f>
        <v>73.3304353491741</v>
      </c>
      <c r="J18" s="4" t="n">
        <f aca="false">(J6-I6)*Assumptions!$B$51/100</f>
        <v>66.1335769084764</v>
      </c>
      <c r="K18" s="4" t="n">
        <f aca="false">(K6-J6)*Assumptions!$B$51/100</f>
        <v>54.6039163647377</v>
      </c>
      <c r="L18" s="4" t="n">
        <f aca="false">(L6-K6)*Assumptions!$B$51/100</f>
        <v>43.4575951763705</v>
      </c>
    </row>
    <row r="19" customFormat="false" ht="15" hidden="false" customHeight="false" outlineLevel="0" collapsed="false">
      <c r="A19" s="0" t="s">
        <v>130</v>
      </c>
      <c r="C19" s="0" t="n">
        <f aca="false">C15+C16+C17+C18</f>
        <v>2375.5404955</v>
      </c>
      <c r="D19" s="0" t="n">
        <f aca="false">D15+D16+D17+D18</f>
        <v>1653.657757265</v>
      </c>
      <c r="E19" s="0" t="n">
        <f aca="false">E15+E16+E17+E18</f>
        <v>1862.12404600145</v>
      </c>
      <c r="F19" s="0" t="n">
        <f aca="false">F15+F16+F17+F18</f>
        <v>2049.65237618546</v>
      </c>
      <c r="G19" s="0" t="n">
        <f aca="false">G15+G16+G17+G18</f>
        <v>2639.30095405607</v>
      </c>
      <c r="H19" s="0" t="n">
        <f aca="false">H15+H16+H17+H18</f>
        <v>3272.62536432143</v>
      </c>
      <c r="I19" s="0" t="n">
        <f aca="false">I15+I16+I17+I18</f>
        <v>3894.22586393848</v>
      </c>
      <c r="J19" s="0" t="n">
        <f aca="false">J15+J16+J17+J18</f>
        <v>4550.77696877758</v>
      </c>
      <c r="K19" s="0" t="n">
        <f aca="false">K15+K16+K17+K18</f>
        <v>5207.58826440288</v>
      </c>
      <c r="L19" s="0" t="n">
        <f aca="false">L15+L16+L17+L18</f>
        <v>5376.79639539584</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2199.57453287037</v>
      </c>
      <c r="D21" s="0" t="n">
        <f aca="false">D19*D20</f>
        <v>1417.74499079647</v>
      </c>
      <c r="E21" s="0" t="n">
        <f aca="false">E19*E20</f>
        <v>1478.21410449488</v>
      </c>
      <c r="F21" s="0" t="n">
        <f aca="false">F19*F20</f>
        <v>1506.5556843515</v>
      </c>
      <c r="G21" s="0" t="n">
        <f aca="false">G19*G20</f>
        <v>1796.26388124572</v>
      </c>
      <c r="H21" s="0" t="n">
        <f aca="false">H19*H20</f>
        <v>2062.30910476262</v>
      </c>
      <c r="I21" s="0" t="n">
        <f aca="false">I19*I20</f>
        <v>2272.24338858949</v>
      </c>
      <c r="J21" s="0" t="n">
        <f aca="false">J19*J20</f>
        <v>2458.64319653875</v>
      </c>
      <c r="K21" s="0" t="n">
        <f aca="false">K19*K20</f>
        <v>2605.09065051345</v>
      </c>
      <c r="L21" s="0" t="n">
        <f aca="false">L19*L20</f>
        <v>2490.49707710456</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8</v>
      </c>
    </row>
    <row r="28" customFormat="false" ht="15" hidden="false" customHeight="false" outlineLevel="0" collapsed="false">
      <c r="A28" s="0" t="s">
        <v>113</v>
      </c>
      <c r="B28" s="4" t="n">
        <f aca="false">Assumptions!$B$49</f>
        <v>3.5</v>
      </c>
    </row>
    <row r="29" customFormat="false" ht="15" hidden="false" customHeight="false" outlineLevel="0" collapsed="false">
      <c r="A29" s="0" t="s">
        <v>114</v>
      </c>
      <c r="B29" s="4" t="n">
        <f aca="false">Assumptions!$B$50</f>
        <v>22</v>
      </c>
    </row>
    <row r="30" customFormat="false" ht="15" hidden="false" customHeight="false" outlineLevel="0" collapsed="false">
      <c r="A30" s="0" t="s">
        <v>135</v>
      </c>
      <c r="B30" s="0" t="n">
        <f aca="false">SUM(C21:L21)</f>
        <v>20287.1366112678</v>
      </c>
    </row>
    <row r="31" customFormat="false" ht="15" hidden="false" customHeight="false" outlineLevel="0" collapsed="false">
      <c r="A31" s="0" t="s">
        <v>136</v>
      </c>
      <c r="B31" s="0" t="n">
        <f aca="false">L19</f>
        <v>5376.79639539584</v>
      </c>
    </row>
    <row r="32" customFormat="false" ht="15" hidden="false" customHeight="false" outlineLevel="0" collapsed="false">
      <c r="A32" s="0" t="s">
        <v>137</v>
      </c>
      <c r="B32" s="0" t="n">
        <f aca="false">IF(B27&gt;B28,B31*(1+B28/100)/((B27-B28)/100),B31*B29)</f>
        <v>123666.317094104</v>
      </c>
    </row>
    <row r="33" customFormat="false" ht="15" hidden="false" customHeight="false" outlineLevel="0" collapsed="false">
      <c r="A33" s="0" t="s">
        <v>138</v>
      </c>
      <c r="B33" s="0" t="n">
        <f aca="false">B31*B29</f>
        <v>118289.520698709</v>
      </c>
    </row>
    <row r="34" customFormat="false" ht="15" hidden="false" customHeight="false" outlineLevel="0" collapsed="false">
      <c r="A34" s="0" t="s">
        <v>139</v>
      </c>
      <c r="B34" s="0" t="n">
        <f aca="false">MAX(0,MIN(B32,B33))</f>
        <v>118289.520698709</v>
      </c>
    </row>
    <row r="35" customFormat="false" ht="15" hidden="false" customHeight="false" outlineLevel="0" collapsed="false">
      <c r="A35" s="0" t="s">
        <v>140</v>
      </c>
      <c r="B35" s="0" t="n">
        <f aca="false">B34/(1+B27/100)^L4</f>
        <v>54790.9356963003</v>
      </c>
    </row>
    <row r="36" customFormat="false" ht="15" hidden="false" customHeight="false" outlineLevel="0" collapsed="false">
      <c r="A36" s="0" t="s">
        <v>141</v>
      </c>
      <c r="B36" s="0" t="n">
        <f aca="false">B30+B35</f>
        <v>75078.0723075681</v>
      </c>
    </row>
    <row r="37" customFormat="false" ht="15" hidden="false" customHeight="false" outlineLevel="0" collapsed="false">
      <c r="A37" s="0" t="s">
        <v>142</v>
      </c>
      <c r="B37" s="0" t="n">
        <f aca="false">B36+Assumptions!$B$5-Assumptions!$B$4</f>
        <v>64855.7723075681</v>
      </c>
    </row>
    <row r="38" customFormat="false" ht="15" hidden="false" customHeight="false" outlineLevel="0" collapsed="false">
      <c r="A38" s="0" t="s">
        <v>143</v>
      </c>
      <c r="B38" s="0" t="n">
        <f aca="false">B37/Assumptions!$B$3*Assumptions!$B$10</f>
        <v>651.162372565944</v>
      </c>
    </row>
    <row r="39" customFormat="false" ht="15" hidden="false" customHeight="false" outlineLevel="0" collapsed="false">
      <c r="A39" s="0" t="s">
        <v>144</v>
      </c>
      <c r="B39" s="4" t="n">
        <f aca="false">B38/Assumptions!$B$2-1</f>
        <v>0.795864123571925</v>
      </c>
    </row>
    <row r="41" customFormat="false" ht="15" hidden="false" customHeight="false" outlineLevel="0" collapsed="false">
      <c r="A41" s="0" t="s">
        <v>145</v>
      </c>
      <c r="B41" s="0" t="n">
        <f aca="false">SUMPRODUCT(-C10:L10/(1+$B$27/100)^C4:L4)</f>
        <v>1858.31785743712</v>
      </c>
    </row>
    <row r="42" customFormat="false" ht="15" hidden="false" customHeight="false" outlineLevel="0" collapsed="false">
      <c r="A42" s="0" t="s">
        <v>146</v>
      </c>
      <c r="B42" s="0" t="n">
        <f aca="false">IF(B27&gt;B28,-L10*(1+B28/100)/((B27-B28)/100),-L10*20)/(1+B27/100)^L4</f>
        <v>3764.96523543745</v>
      </c>
    </row>
    <row r="43" customFormat="false" ht="15" hidden="false" customHeight="false" outlineLevel="0" collapsed="false">
      <c r="A43" s="0" t="s">
        <v>147</v>
      </c>
      <c r="B43" s="0" t="n">
        <f aca="false">(B37+B41+B42)/Assumptions!$B$3*Assumptions!$B$10</f>
        <v>707.621038157055</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48391.1675585626</v>
      </c>
    </row>
    <row r="47" customFormat="false" ht="15" hidden="false" customHeight="false" outlineLevel="0" collapsed="false">
      <c r="A47" s="0" t="s">
        <v>149</v>
      </c>
      <c r="B47" s="0" t="n">
        <f aca="false">(SUMPRODUCT(C19:L19/(1+B45/100)^C4:L4)+B46/(1+B45/100)^L4+Assumptions!$B$5-Assumptions!$B$4)/Assumptions!$B$3*Assumptions!$B$10</f>
        <v>160.037032921791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294.582206664439</v>
      </c>
      <c r="C4" s="0" t="n">
        <f aca="false">B4/Assumptions!$B$2-1</f>
        <v>-0.187561138849833</v>
      </c>
      <c r="D4" s="4" t="n">
        <f aca="false">Assumptions!$B$24</f>
        <v>0.25</v>
      </c>
      <c r="E4" s="4" t="n">
        <f aca="false">DCF_Bear!$B$43</f>
        <v>336.620843690389</v>
      </c>
      <c r="F4" s="4" t="n">
        <f aca="false">DCF_Bear!$B$47</f>
        <v>73.507199204764</v>
      </c>
    </row>
    <row r="5" customFormat="false" ht="15" hidden="false" customHeight="false" outlineLevel="0" collapsed="false">
      <c r="A5" s="0" t="s">
        <v>158</v>
      </c>
      <c r="B5" s="4" t="n">
        <f aca="false">DCF_Base!$B$38</f>
        <v>513.732046166629</v>
      </c>
      <c r="C5" s="0" t="n">
        <f aca="false">B5/Assumptions!$B$2-1</f>
        <v>0.416840084300804</v>
      </c>
      <c r="D5" s="4" t="n">
        <f aca="false">Assumptions!$B$38</f>
        <v>0.5</v>
      </c>
      <c r="E5" s="4" t="n">
        <f aca="false">DCF_Base!$B$43</f>
        <v>563.626843762365</v>
      </c>
      <c r="F5" s="4" t="n">
        <f aca="false">DCF_Base!$B$47</f>
        <v>125.926515529785</v>
      </c>
    </row>
    <row r="6" customFormat="false" ht="15" hidden="false" customHeight="false" outlineLevel="0" collapsed="false">
      <c r="A6" s="0" t="s">
        <v>159</v>
      </c>
      <c r="B6" s="4" t="n">
        <f aca="false">DCF_Bull!$B$38</f>
        <v>651.162372565944</v>
      </c>
      <c r="C6" s="0" t="n">
        <f aca="false">B6/Assumptions!$B$2-1</f>
        <v>0.795864123571925</v>
      </c>
      <c r="D6" s="4" t="n">
        <f aca="false">Assumptions!$B$52</f>
        <v>0.25</v>
      </c>
      <c r="E6" s="4" t="n">
        <f aca="false">DCF_Bull!$B$43</f>
        <v>707.621038157055</v>
      </c>
      <c r="F6" s="4" t="n">
        <f aca="false">DCF_Bull!$B$47</f>
        <v>160.037032921791</v>
      </c>
    </row>
    <row r="8" customFormat="false" ht="15" hidden="false" customHeight="false" outlineLevel="0" collapsed="false">
      <c r="A8" s="0" t="s">
        <v>160</v>
      </c>
      <c r="B8" s="0" t="n">
        <f aca="false">SUMPRODUCT(B4:B6,D4:D6)</f>
        <v>493.30216789091</v>
      </c>
    </row>
    <row r="9" customFormat="false" ht="15" hidden="false" customHeight="false" outlineLevel="0" collapsed="false">
      <c r="A9" s="0" t="s">
        <v>161</v>
      </c>
      <c r="B9" s="0" t="n">
        <f aca="false">SUMPRODUCT(E4:E6,D4:D6)</f>
        <v>542.873892343043</v>
      </c>
    </row>
    <row r="10" customFormat="false" ht="15" hidden="false" customHeight="false" outlineLevel="0" collapsed="false">
      <c r="A10" s="0" t="s">
        <v>162</v>
      </c>
      <c r="B10" s="0" t="n">
        <f aca="false">1-Assumptions!$B$2/B8</f>
        <v>0.264973836319763</v>
      </c>
    </row>
    <row r="11" customFormat="false" ht="15" hidden="false" customHeight="false" outlineLevel="0" collapsed="false">
      <c r="A11" s="0" t="s">
        <v>163</v>
      </c>
      <c r="B11" s="0" t="n">
        <f aca="false">IF(ABS(B9-B8)&gt;0.01*ABS(B8),(Assumptions!$B$2-B8)/(B9-B8)*100,"n/a")</f>
        <v>-263.682914676747</v>
      </c>
    </row>
    <row r="12" customFormat="false" ht="15" hidden="false" customHeight="false" outlineLevel="0" collapsed="false">
      <c r="A12" s="0" t="s">
        <v>164</v>
      </c>
      <c r="B12" s="0" t="n">
        <f aca="false">SUMPRODUCT(F4:F6,D4:D6)</f>
        <v>121.349315796532</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513.732046166629</v>
      </c>
      <c r="C15" s="3" t="n">
        <v>8</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410.138352899679</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327.532266495273</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266.118677620423</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218.797939758605</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125.926515529785</v>
      </c>
      <c r="C20" s="3" t="n">
        <v>15</v>
      </c>
    </row>
    <row r="22" customFormat="false" ht="15" hidden="false" customHeight="false" outlineLevel="0" collapsed="false">
      <c r="A22" s="2" t="s">
        <v>173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624.153626353967</v>
      </c>
      <c r="C24" s="0" t="n">
        <f aca="false">(SUMPRODUCT(DCF_Base!$C$19:$L$19/(1+$A$24/100)^DCF_Base!$C$4:$L$4)+MAX(0,MIN(IF($A$24&gt;$C$23,DCF_Base!$L$19*(1+$C$23/100)/(($A$24-$C$23)/100),DCF_Base!$L$19*DCF_Base!$B$29),DCF_Base!$L$19*DCF_Base!$B$29))/(1+$A$24/100)^DCF_Base!$L$4+Assumptions!$B$5-Assumptions!$B$4)/Assumptions!$B$3*Assumptions!$B$10</f>
        <v>624.153626353967</v>
      </c>
      <c r="D24" s="0" t="n">
        <f aca="false">(SUMPRODUCT(DCF_Base!$C$19:$L$19/(1+$A$24/100)^DCF_Base!$C$4:$L$4)+MAX(0,MIN(IF($A$24&gt;$D$23,DCF_Base!$L$19*(1+$D$23/100)/(($A$24-$D$23)/100),DCF_Base!$L$19*DCF_Base!$B$29),DCF_Base!$L$19*DCF_Base!$B$29))/(1+$A$24/100)^DCF_Base!$L$4+Assumptions!$B$5-Assumptions!$B$4)/Assumptions!$B$3*Assumptions!$B$10</f>
        <v>624.153626353967</v>
      </c>
      <c r="E24" s="0" t="n">
        <f aca="false">(SUMPRODUCT(DCF_Base!$C$19:$L$19/(1+$A$24/100)^DCF_Base!$C$4:$L$4)+MAX(0,MIN(IF($A$24&gt;$E$23,DCF_Base!$L$19*(1+$E$23/100)/(($A$24-$E$23)/100),DCF_Base!$L$19*DCF_Base!$B$29),DCF_Base!$L$19*DCF_Base!$B$29))/(1+$A$24/100)^DCF_Base!$L$4+Assumptions!$B$5-Assumptions!$B$4)/Assumptions!$B$3*Assumptions!$B$10</f>
        <v>624.153626353967</v>
      </c>
      <c r="F24" s="0" t="n">
        <f aca="false">(SUMPRODUCT(DCF_Base!$C$19:$L$19/(1+$A$24/100)^DCF_Base!$C$4:$L$4)+MAX(0,MIN(IF($A$24&gt;$F$23,DCF_Base!$L$19*(1+$F$23/100)/(($A$24-$F$23)/100),DCF_Base!$L$19*DCF_Base!$B$29),DCF_Base!$L$19*DCF_Base!$B$29))/(1+$A$24/100)^DCF_Base!$L$4+Assumptions!$B$5-Assumptions!$B$4)/Assumptions!$B$3*Assumptions!$B$10</f>
        <v>624.153626353967</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566.237559186181</v>
      </c>
      <c r="C25" s="0" t="n">
        <f aca="false">(SUMPRODUCT(DCF_Base!$C$19:$L$19/(1+$A$25/100)^DCF_Base!$C$4:$L$4)+MAX(0,MIN(IF($A$25&gt;$C$23,DCF_Base!$L$19*(1+$C$23/100)/(($A$25-$C$23)/100),DCF_Base!$L$19*DCF_Base!$B$29),DCF_Base!$L$19*DCF_Base!$B$29))/(1+$A$25/100)^DCF_Base!$L$4+Assumptions!$B$5-Assumptions!$B$4)/Assumptions!$B$3*Assumptions!$B$10</f>
        <v>566.237559186181</v>
      </c>
      <c r="D25" s="0" t="n">
        <f aca="false">(SUMPRODUCT(DCF_Base!$C$19:$L$19/(1+$A$25/100)^DCF_Base!$C$4:$L$4)+MAX(0,MIN(IF($A$25&gt;$D$23,DCF_Base!$L$19*(1+$D$23/100)/(($A$25-$D$23)/100),DCF_Base!$L$19*DCF_Base!$B$29),DCF_Base!$L$19*DCF_Base!$B$29))/(1+$A$25/100)^DCF_Base!$L$4+Assumptions!$B$5-Assumptions!$B$4)/Assumptions!$B$3*Assumptions!$B$10</f>
        <v>566.237559186181</v>
      </c>
      <c r="E25" s="0" t="n">
        <f aca="false">(SUMPRODUCT(DCF_Base!$C$19:$L$19/(1+$A$25/100)^DCF_Base!$C$4:$L$4)+MAX(0,MIN(IF($A$25&gt;$E$23,DCF_Base!$L$19*(1+$E$23/100)/(($A$25-$E$23)/100),DCF_Base!$L$19*DCF_Base!$B$29),DCF_Base!$L$19*DCF_Base!$B$29))/(1+$A$25/100)^DCF_Base!$L$4+Assumptions!$B$5-Assumptions!$B$4)/Assumptions!$B$3*Assumptions!$B$10</f>
        <v>566.237559186181</v>
      </c>
      <c r="F25" s="0" t="n">
        <f aca="false">(SUMPRODUCT(DCF_Base!$C$19:$L$19/(1+$A$25/100)^DCF_Base!$C$4:$L$4)+MAX(0,MIN(IF($A$25&gt;$F$23,DCF_Base!$L$19*(1+$F$23/100)/(($A$25-$F$23)/100),DCF_Base!$L$19*DCF_Base!$B$29),DCF_Base!$L$19*DCF_Base!$B$29))/(1+$A$25/100)^DCF_Base!$L$4+Assumptions!$B$5-Assumptions!$B$4)/Assumptions!$B$3*Assumptions!$B$10</f>
        <v>566.237559186181</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448.781569135592</v>
      </c>
      <c r="C26" s="0" t="n">
        <f aca="false">(SUMPRODUCT(DCF_Base!$C$19:$L$19/(1+$A$26/100)^DCF_Base!$C$4:$L$4)+MAX(0,MIN(IF($A$26&gt;$C$23,DCF_Base!$L$19*(1+$C$23/100)/(($A$26-$C$23)/100),DCF_Base!$L$19*DCF_Base!$B$29),DCF_Base!$L$19*DCF_Base!$B$29))/(1+$A$26/100)^DCF_Base!$L$4+Assumptions!$B$5-Assumptions!$B$4)/Assumptions!$B$3*Assumptions!$B$10</f>
        <v>484.209102061612</v>
      </c>
      <c r="D26" s="0" t="n">
        <f aca="false">(SUMPRODUCT(DCF_Base!$C$19:$L$19/(1+$A$26/100)^DCF_Base!$C$4:$L$4)+MAX(0,MIN(IF($A$26&gt;$D$23,DCF_Base!$L$19*(1+$D$23/100)/(($A$26-$D$23)/100),DCF_Base!$L$19*DCF_Base!$B$29),DCF_Base!$L$19*DCF_Base!$B$29))/(1+$A$26/100)^DCF_Base!$L$4+Assumptions!$B$5-Assumptions!$B$4)/Assumptions!$B$3*Assumptions!$B$10</f>
        <v>513.732046166629</v>
      </c>
      <c r="E26" s="0" t="n">
        <f aca="false">(SUMPRODUCT(DCF_Base!$C$19:$L$19/(1+$A$26/100)^DCF_Base!$C$4:$L$4)+MAX(0,MIN(IF($A$26&gt;$E$23,DCF_Base!$L$19*(1+$E$23/100)/(($A$26-$E$23)/100),DCF_Base!$L$19*DCF_Base!$B$29),DCF_Base!$L$19*DCF_Base!$B$29))/(1+$A$26/100)^DCF_Base!$L$4+Assumptions!$B$5-Assumptions!$B$4)/Assumptions!$B$3*Assumptions!$B$10</f>
        <v>513.732046166629</v>
      </c>
      <c r="F26" s="0" t="n">
        <f aca="false">(SUMPRODUCT(DCF_Base!$C$19:$L$19/(1+$A$26/100)^DCF_Base!$C$4:$L$4)+MAX(0,MIN(IF($A$26&gt;$F$23,DCF_Base!$L$19*(1+$F$23/100)/(($A$26-$F$23)/100),DCF_Base!$L$19*DCF_Base!$B$29),DCF_Base!$L$19*DCF_Base!$B$29))/(1+$A$26/100)^DCF_Base!$L$4+Assumptions!$B$5-Assumptions!$B$4)/Assumptions!$B$3*Assumptions!$B$10</f>
        <v>513.732046166629</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358.898146152101</v>
      </c>
      <c r="C27" s="0" t="n">
        <f aca="false">(SUMPRODUCT(DCF_Base!$C$19:$L$19/(1+$A$27/100)^DCF_Base!$C$4:$L$4)+MAX(0,MIN(IF($A$27&gt;$C$23,DCF_Base!$L$19*(1+$C$23/100)/(($A$27-$C$23)/100),DCF_Base!$L$19*DCF_Base!$B$29),DCF_Base!$L$19*DCF_Base!$B$29))/(1+$A$27/100)^DCF_Base!$L$4+Assumptions!$B$5-Assumptions!$B$4)/Assumptions!$B$3*Assumptions!$B$10</f>
        <v>382.54747234329</v>
      </c>
      <c r="D27" s="0" t="n">
        <f aca="false">(SUMPRODUCT(DCF_Base!$C$19:$L$19/(1+$A$27/100)^DCF_Base!$C$4:$L$4)+MAX(0,MIN(IF($A$27&gt;$D$23,DCF_Base!$L$19*(1+$D$23/100)/(($A$27-$D$23)/100),DCF_Base!$L$19*DCF_Base!$B$29),DCF_Base!$L$19*DCF_Base!$B$29))/(1+$A$27/100)^DCF_Base!$L$4+Assumptions!$B$5-Assumptions!$B$4)/Assumptions!$B$3*Assumptions!$B$10</f>
        <v>410.138352899679</v>
      </c>
      <c r="E27" s="0" t="n">
        <f aca="false">(SUMPRODUCT(DCF_Base!$C$19:$L$19/(1+$A$27/100)^DCF_Base!$C$4:$L$4)+MAX(0,MIN(IF($A$27&gt;$E$23,DCF_Base!$L$19*(1+$E$23/100)/(($A$27-$E$23)/100),DCF_Base!$L$19*DCF_Base!$B$29),DCF_Base!$L$19*DCF_Base!$B$29))/(1+$A$27/100)^DCF_Base!$L$4+Assumptions!$B$5-Assumptions!$B$4)/Assumptions!$B$3*Assumptions!$B$10</f>
        <v>442.745757193592</v>
      </c>
      <c r="F27" s="0" t="n">
        <f aca="false">(SUMPRODUCT(DCF_Base!$C$19:$L$19/(1+$A$27/100)^DCF_Base!$C$4:$L$4)+MAX(0,MIN(IF($A$27&gt;$F$23,DCF_Base!$L$19*(1+$F$23/100)/(($A$27-$F$23)/100),DCF_Base!$L$19*DCF_Base!$B$29),DCF_Base!$L$19*DCF_Base!$B$29))/(1+$A$27/100)^DCF_Base!$L$4+Assumptions!$B$5-Assumptions!$B$4)/Assumptions!$B$3*Assumptions!$B$10</f>
        <v>466.079496046117</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292.134451767319</v>
      </c>
      <c r="C28" s="0" t="n">
        <f aca="false">(SUMPRODUCT(DCF_Base!$C$19:$L$19/(1+$A$28/100)^DCF_Base!$C$4:$L$4)+MAX(0,MIN(IF($A$28&gt;$C$23,DCF_Base!$L$19*(1+$C$23/100)/(($A$28-$C$23)/100),DCF_Base!$L$19*DCF_Base!$B$29),DCF_Base!$L$19*DCF_Base!$B$29))/(1+$A$28/100)^DCF_Base!$L$4+Assumptions!$B$5-Assumptions!$B$4)/Assumptions!$B$3*Assumptions!$B$10</f>
        <v>308.653431973698</v>
      </c>
      <c r="D28" s="0" t="n">
        <f aca="false">(SUMPRODUCT(DCF_Base!$C$19:$L$19/(1+$A$28/100)^DCF_Base!$C$4:$L$4)+MAX(0,MIN(IF($A$28&gt;$D$23,DCF_Base!$L$19*(1+$D$23/100)/(($A$28-$D$23)/100),DCF_Base!$L$19*DCF_Base!$B$29),DCF_Base!$L$19*DCF_Base!$B$29))/(1+$A$28/100)^DCF_Base!$L$4+Assumptions!$B$5-Assumptions!$B$4)/Assumptions!$B$3*Assumptions!$B$10</f>
        <v>327.532266495273</v>
      </c>
      <c r="E28" s="0" t="n">
        <f aca="false">(SUMPRODUCT(DCF_Base!$C$19:$L$19/(1+$A$28/100)^DCF_Base!$C$4:$L$4)+MAX(0,MIN(IF($A$28&gt;$E$23,DCF_Base!$L$19*(1+$E$23/100)/(($A$28-$E$23)/100),DCF_Base!$L$19*DCF_Base!$B$29),DCF_Base!$L$19*DCF_Base!$B$29))/(1+$A$28/100)^DCF_Base!$L$4+Assumptions!$B$5-Assumptions!$B$4)/Assumptions!$B$3*Assumptions!$B$10</f>
        <v>349.315537097091</v>
      </c>
      <c r="F28" s="0" t="n">
        <f aca="false">(SUMPRODUCT(DCF_Base!$C$19:$L$19/(1+$A$28/100)^DCF_Base!$C$4:$L$4)+MAX(0,MIN(IF($A$28&gt;$F$23,DCF_Base!$L$19*(1+$F$23/100)/(($A$28-$F$23)/100),DCF_Base!$L$19*DCF_Base!$B$29),DCF_Base!$L$19*DCF_Base!$B$29))/(1+$A$28/100)^DCF_Base!$L$4+Assumptions!$B$5-Assumptions!$B$4)/Assumptions!$B$3*Assumptions!$B$10</f>
        <v>374.729352799212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2026-10-02T08:34:29Z</dcterms:created>
  <dc:creator>openpyxl</dc:creator>
  <dc:description/>
  <dc:language>en-NZ</dc:language>
  <cp:lastModifiedBy/>
  <dcterms:modified xsi:type="dcterms:W3CDTF">2026-10-02T08:34:29Z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