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<sst xmlns="http://schemas.openxmlformats.org/spreadsheetml/2006/main" count="363" uniqueCount="166">
  <si>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</si>
  <si>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TAH.AX</t>
  </si>
  <si>
    <t xml:space="preserve">Company</t>
  </si>
  <si>
    <t xml:space="preserve">Tabcorp Holdings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</si>
  <si>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</si>
  <si>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</si>
  <si>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</si>
  <si>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</si>
  <si>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2026-09-25T04:53:15Z regular close (Yahoo Finance chart API); 52-week range 0.66-1.19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</si>
  <si>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</si>
  <si>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</si>
  <si>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</si>
  <si>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</si>
  <si>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</si>
  <si>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</si>
  <si>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</si>
  <si>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</si>
  <si>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</si>
  <si>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</si>
  <si>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</si>
  <si>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</si>
  <si>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2026-09-25T05:16:44Z</t>
  </si>
  <si>
    <t xml:space="preserve">Drivers file</t>
  </si>
  <si>
    <t xml:space="preserve">TAH.AX_Drivers.json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</si>
  <si>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</si>
  <si>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</si>
  <si>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</si>
  <si>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Tabcorp is valued as a structurally challenged incumbent wagering/media operator using a 10-year owner-FCF component DCF, NOT a growth extrapolation. The FY2022 Lottery Corporation demerger and FY2018 Tatts merger are treated as structural breaks excluded from CAGR history; FY2023-FY2026 continuing-operations revenue (2.7% CAGR) anchors growth, and margins are built up from FY26's 'before significant items' EBITDA (431.7m, 16.4%) rather than any single statutory year distorted by impairments (FY2024: -1,531.6m) or one-off gains (FY2022: +6,894.3m demerger gain). Cash tax, near-zero in FY25-26 on impairment-year loss carryforwards, is explicitly ramped to the 30% AU statutory rate -- the single largest normalisation in the model, since FY26's true owner FCF is materially flattered by the near-zero cash tax rate. Leases are treated as debt (Treatment A) because the company's own reported net-debt figure already includes lease liabilities. A 12x terminal cap (below the house 20x default) reflects that this is a turnaround, not a compounder -- consistent with the skill's guidance to use a lower cap for cyclical/structurally slower businesses.
key_risks_to_valuation: AUSTRAC enforcement investigation (disclosed May 2026) is unresolved; a material fine/remediation cost (echoing the 2017 $45m precedent) is not separately reserved in any scenario and would be an incremental bear-case drag; Continued digital wagering share loss to Sportsbet, Entain and bet365 -- TAB's digital share has structurally declined and there is no clear catalyst for reversal beyond National Tote and licence exclusivity, both unproven at scale; BetMakers acquisition (~A$267m EV) is unclosed -- ACCC and multi-jurisdiction gaming/racing regulatory approval risk, integration risk, and financing-mix uncertainty; excluded from base case, credited only in bull; January-2027 federal gambling advertising caps constrain customer acquisition industry-wide just as TAB is trying to rebuild digital share against better-funded rivals; FY27 dividends guided unlikely to be franked -- reduces the after-tax yield support under the current low, low-payout dividend; Terminal value is a meaningful share of enterprise value on a still-recovering margin base -- see terminal_pct_of_value per scenario</t>
  </si>
  <si>
    <t xml:space="preserve">Data sources</t>
  </si>
  <si>
    <t xml:space="preserve">price: Yahoo Finance chart API at inputs.price_as_of; 52-week range 0.66-1.19
financials: research/TAH.AX/Reports/TAH.AX_Metrics.csv (core_metrics) and TAH.AX.duckdb kpis table (LeasePrincipalPaid, LeaseLiabilities, CashTaxesPaid, Impairment, NetIncomeContinuing, DiscontinuedOpsProfit, LicencePayments); TAH.AX_Annual_FY2026.txt for net-debt definition, EBITDA-before-significant-items reconciliation, and diluted share count
qualitative: research/TAH.AX/Reports/TAH.AX_Analysis.json (business model, competitive position, bull/bear case, FY27 guidance -- no quantitative guidance issued)</t>
  </si>
  <si>
    <t xml:space="preserve">Scenario narrative: bear</t>
  </si>
  <si>
    <t xml:space="preserve">Digital share loss to corporate bookmakers continues unabated, advertising caps (Jan-2027) bite hardest on the weaker digital challenger, AUSTRAC produces a material fine, BetMakers disappoints or fails to complete; margin compresses to mid-14s%, below FY26.</t>
  </si>
  <si>
    <t xml:space="preserve">Scenario narrative: base</t>
  </si>
  <si>
    <t xml:space="preserve">National Tote and retail-model reforms deliver modest structural margin gains; digital share loss continues but decelerates; revenue grows near GDP-plus; margin matures at 18% over a decade; cash tax normalises to 30% as loss carryforwards exhaust; BetMakers excluded from the base case pending completion.</t>
  </si>
  <si>
    <t xml:space="preserve">Scenario narrative: bull</t>
  </si>
  <si>
    <t xml:space="preserve">BetMakers completes and delivers guided synergies plus a B2B growth engine; National Tote and licence exclusivity claw back digital share; margin matures at 22%; AUSTRAC resolves without material fine.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</si>
  <si>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</si>
  <si>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</si>
  <si>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</si>
  <si>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</si>
  <si>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</si>
  <si>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</si>
  <si>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</si>
  <si>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</si>
  <si>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</si>
  <si>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</si>
  <si>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</si>
  <si>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</si>
  <si>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</si>
  <si>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</si>
  <si>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</si>
  <si>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</si>
  <si>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</si>
  <si>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</si>
  <si>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</si>
  <si>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</si>
  <si>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</si>
  <si>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</si>
  <si>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</si>
  <si>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</si>
  <si>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</si>
  <si>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</si>
  <si>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</si>
  <si>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</si>
  <si>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</si>
  <si>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</si>
  <si>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</si>
  <si>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</si>
  <si>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</si>
  <si>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</si>
  <si>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</si>
  <si>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</si>
  <si>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</si>
  <si>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</si>
  <si>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</si>
  <si>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</si>
  <si>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</si>
  <si>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</si>
  <si>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</si>
  <si>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</si>
  <si>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</si>
  <si>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</si>
  <si>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</si>
  <si>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</si>
  <si>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</si>
  <si>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</si>
  <si>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</si>
  <si>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</si>
  <si>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</si>
  <si>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</si>
  <si>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</si>
  <si>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</si>
  <si>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</si>
  <si>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</si>
  <si>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</si>
  <si>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</si>
  <si>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</si>
  <si>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</si>
  <si>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</si>
  <si>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</si>
  <si>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</si>
  <si>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</si>
  <si>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</si>
  <si>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</si>
  <si>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</si>
  <si>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</si>
  <si>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</si>
  <si>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</si>
  <si>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</si>
  <si>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</si>
  <si>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</si>
  <si>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TAH.AX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</si>
  <si>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</si>
  <si>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</si>
  <si>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</si>
  <si>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</si>
  <si>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</si>
  <si>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</si>
  <si>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</si>
  <si>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</si>
  <si>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</si>
  <si>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</si>
  <si>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</si>
  <si>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</si>
  <si>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</si>
  <si>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</si>
  <si>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</si>
  <si>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</si>
  <si>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</si>
  <si>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</si>
  <si>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</si>
  <si>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</si>
  <si>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</si>
  <si>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</si>
  <si>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</si>
  <si>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</si>
  <si>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</si>
  <si>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</si>
  <si>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</si>
  <si>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</si>
  <si>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</si>
  <si>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</si>
  <si>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TAH.AX owner-FCF component DCF: base case (millions, AUD)</t>
  </si>
  <si>
    <t xml:space="preserve">TAH.AX owner-FCF component DCF: bull case (millions, AUD)</t>
  </si>
  <si>
    <t xml:space="preserve">TAH.AX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</si>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</sst>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0.915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2188.7</v>
      </c>
      <c r="F2" s="0" t="n">
        <v>301</v>
      </c>
      <c r="G2" s="0" t="n">
        <v>13.8</v>
      </c>
      <c r="H2" s="0" t="n">
        <v>479.6</v>
      </c>
      <c r="I2" s="0" t="n">
        <v>169.7</v>
      </c>
      <c r="J2" s="0" t="n">
        <v>7.8</v>
      </c>
      <c r="K2" s="0" t="n">
        <v>0.203</v>
      </c>
      <c r="L2" s="0" t="n">
        <v>401.1</v>
      </c>
      <c r="M2" s="0" t="n">
        <v>183.1</v>
      </c>
      <c r="N2" s="0" t="n">
        <v>218</v>
      </c>
      <c r="O2" s="0" t="n">
        <v>1688.1</v>
      </c>
      <c r="P2" s="0" t="n">
        <v>3302.8</v>
      </c>
      <c r="Q2" s="0" t="n">
        <v>1614.7</v>
      </c>
      <c r="R2" s="0" t="n">
        <v>1080.4</v>
      </c>
      <c r="S2" s="0" t="n">
        <v>126</v>
      </c>
      <c r="T2" s="0" t="n">
        <v>831.1</v>
      </c>
      <c r="U2" s="0" t="n">
        <v>4.7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2234.1</v>
      </c>
      <c r="F3" s="0" t="n">
        <v>101.6</v>
      </c>
      <c r="G3" s="0" t="n">
        <v>4.5</v>
      </c>
      <c r="H3" s="0" t="n">
        <v>312.4</v>
      </c>
      <c r="I3" s="0" t="n">
        <v>-20.8</v>
      </c>
      <c r="J3" s="0" t="n">
        <v>-0.9</v>
      </c>
      <c r="K3" s="0" t="n">
        <v>-0.025</v>
      </c>
      <c r="L3" s="0" t="n">
        <v>222.5</v>
      </c>
      <c r="M3" s="0" t="n">
        <v>197.4</v>
      </c>
      <c r="N3" s="0" t="n">
        <v>25.1</v>
      </c>
      <c r="O3" s="0" t="n">
        <v>1483.4</v>
      </c>
      <c r="P3" s="0" t="n">
        <v>3740.9</v>
      </c>
      <c r="Q3" s="0" t="n">
        <v>2257.5</v>
      </c>
      <c r="R3" s="0" t="n">
        <v>1658.3</v>
      </c>
      <c r="S3" s="0" t="n">
        <v>114.3</v>
      </c>
      <c r="T3" s="0" t="n">
        <v>834.7</v>
      </c>
      <c r="U3" s="0" t="n">
        <v>4.4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3828.7</v>
      </c>
      <c r="F4" s="0" t="n">
        <v>241.4</v>
      </c>
      <c r="G4" s="0" t="n">
        <v>6.3</v>
      </c>
      <c r="H4" s="0" t="n">
        <v>529.4</v>
      </c>
      <c r="I4" s="0" t="n">
        <v>28.7</v>
      </c>
      <c r="J4" s="0" t="n">
        <v>0.7</v>
      </c>
      <c r="K4" s="0" t="n">
        <v>0.019</v>
      </c>
      <c r="L4" s="0" t="n">
        <v>447.5</v>
      </c>
      <c r="M4" s="0" t="n">
        <v>291.7</v>
      </c>
      <c r="N4" s="0" t="n">
        <v>155.8</v>
      </c>
      <c r="O4" s="0" t="n">
        <v>7238.6</v>
      </c>
      <c r="P4" s="0" t="n">
        <v>12940.8</v>
      </c>
      <c r="Q4" s="0" t="n">
        <v>5702.2</v>
      </c>
      <c r="R4" s="0" t="n">
        <v>3504.7</v>
      </c>
      <c r="S4" s="0" t="n">
        <v>368.2</v>
      </c>
      <c r="T4" s="0" t="n">
        <v>1480</v>
      </c>
      <c r="U4" s="0" t="n">
        <v>3.9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5482.2</v>
      </c>
      <c r="F5" s="0" t="n">
        <v>724.3</v>
      </c>
      <c r="G5" s="0" t="n">
        <v>13.2</v>
      </c>
      <c r="H5" s="0" t="n">
        <v>1028.4</v>
      </c>
      <c r="I5" s="0" t="n">
        <v>362.5</v>
      </c>
      <c r="J5" s="0" t="n">
        <v>6.6</v>
      </c>
      <c r="K5" s="0" t="n">
        <v>0.179</v>
      </c>
      <c r="L5" s="0" t="n">
        <v>714.8</v>
      </c>
      <c r="M5" s="0" t="n">
        <v>278.4</v>
      </c>
      <c r="N5" s="0" t="n">
        <v>436.4</v>
      </c>
      <c r="O5" s="0" t="n">
        <v>7206.5</v>
      </c>
      <c r="P5" s="0" t="n">
        <v>13299.1</v>
      </c>
      <c r="Q5" s="0" t="n">
        <v>6092.6</v>
      </c>
      <c r="R5" s="0" t="n">
        <v>3718.9</v>
      </c>
      <c r="S5" s="0" t="n">
        <v>463</v>
      </c>
      <c r="T5" s="0" t="n">
        <v>2016.2</v>
      </c>
      <c r="U5" s="0" t="n">
        <v>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5224</v>
      </c>
      <c r="F6" s="0" t="n">
        <v>-574</v>
      </c>
      <c r="G6" s="0" t="n">
        <v>-11</v>
      </c>
      <c r="H6" s="0" t="n">
        <v>937</v>
      </c>
      <c r="I6" s="0" t="n">
        <v>-870</v>
      </c>
      <c r="J6" s="0" t="n">
        <v>-16.7</v>
      </c>
      <c r="K6" s="0" t="n">
        <v>-0.429</v>
      </c>
      <c r="L6" s="0" t="n">
        <v>671</v>
      </c>
      <c r="M6" s="0" t="n">
        <v>290</v>
      </c>
      <c r="N6" s="0" t="n">
        <v>381</v>
      </c>
      <c r="O6" s="0" t="n">
        <v>6030</v>
      </c>
      <c r="P6" s="0" t="n">
        <v>12416</v>
      </c>
      <c r="Q6" s="0" t="n">
        <v>6386</v>
      </c>
      <c r="R6" s="0" t="n">
        <v>3720</v>
      </c>
      <c r="S6" s="0" t="n">
        <v>349</v>
      </c>
      <c r="T6" s="0" t="n">
        <v>2026</v>
      </c>
      <c r="U6" s="0" t="n">
        <v>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5686</v>
      </c>
      <c r="F7" s="0" t="n">
        <v>651</v>
      </c>
      <c r="G7" s="0" t="n">
        <v>11.4</v>
      </c>
      <c r="H7" s="0" t="n">
        <v>1163</v>
      </c>
      <c r="I7" s="0" t="n">
        <v>269</v>
      </c>
      <c r="J7" s="0" t="n">
        <v>4.7</v>
      </c>
      <c r="K7" s="0" t="n">
        <v>0.123</v>
      </c>
      <c r="L7" s="0" t="n">
        <v>720</v>
      </c>
      <c r="M7" s="0" t="n">
        <v>183</v>
      </c>
      <c r="N7" s="0" t="n">
        <v>537</v>
      </c>
      <c r="O7" s="0" t="n">
        <v>6696</v>
      </c>
      <c r="P7" s="0" t="n">
        <v>11869</v>
      </c>
      <c r="Q7" s="0" t="n">
        <v>5173</v>
      </c>
      <c r="R7" s="0" t="n">
        <v>2476</v>
      </c>
      <c r="S7" s="0" t="n">
        <v>424</v>
      </c>
      <c r="T7" s="0" t="n">
        <v>2183</v>
      </c>
      <c r="U7" s="0" t="n">
        <v>5</v>
      </c>
      <c r="X7" s="0" t="n">
        <v>2479.9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2373.3</v>
      </c>
      <c r="F8" s="0" t="n">
        <v>-75.1</v>
      </c>
      <c r="G8" s="0" t="n">
        <v>-3.2</v>
      </c>
      <c r="H8" s="0" t="n">
        <v>216.3</v>
      </c>
      <c r="I8" s="0" t="n">
        <v>6775.9</v>
      </c>
      <c r="J8" s="0" t="n">
        <v>285.5</v>
      </c>
      <c r="K8" s="0" t="n">
        <v>3.046</v>
      </c>
      <c r="L8" s="0" t="n">
        <v>737</v>
      </c>
      <c r="M8" s="0" t="n">
        <v>202.5</v>
      </c>
      <c r="N8" s="0" t="n">
        <v>534.5</v>
      </c>
      <c r="O8" s="0" t="n">
        <v>2711.1</v>
      </c>
      <c r="P8" s="0" t="n">
        <v>4048.7</v>
      </c>
      <c r="Q8" s="0" t="n">
        <v>1337.6</v>
      </c>
      <c r="R8" s="0" t="n">
        <v>135.3</v>
      </c>
      <c r="S8" s="0" t="n">
        <v>199.4</v>
      </c>
      <c r="T8" s="0" t="n">
        <v>2224.9</v>
      </c>
      <c r="U8" s="0" t="n">
        <v>24.5</v>
      </c>
      <c r="X8" s="0" t="n">
        <v>2373.3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2434.4</v>
      </c>
      <c r="F9" s="0" t="n">
        <v>117.9</v>
      </c>
      <c r="G9" s="0" t="n">
        <v>4.8</v>
      </c>
      <c r="H9" s="0" t="n">
        <v>407.4</v>
      </c>
      <c r="I9" s="0" t="n">
        <v>66.5</v>
      </c>
      <c r="J9" s="0" t="n">
        <v>2.7</v>
      </c>
      <c r="K9" s="0" t="n">
        <v>0.029</v>
      </c>
      <c r="L9" s="0" t="n">
        <v>119.3</v>
      </c>
      <c r="M9" s="0" t="n">
        <v>196.9</v>
      </c>
      <c r="N9" s="0" t="n">
        <v>-77.6</v>
      </c>
      <c r="O9" s="0" t="n">
        <v>2659.1</v>
      </c>
      <c r="P9" s="0" t="n">
        <v>4052.4</v>
      </c>
      <c r="Q9" s="0" t="n">
        <v>1393.3</v>
      </c>
      <c r="R9" s="0" t="n">
        <v>431.9</v>
      </c>
      <c r="S9" s="0" t="n">
        <v>290.7</v>
      </c>
      <c r="T9" s="0" t="n">
        <v>2267.7</v>
      </c>
      <c r="U9" s="0" t="n">
        <v>3.8</v>
      </c>
      <c r="X9" s="0" t="n">
        <v>2434.4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2338.9</v>
      </c>
      <c r="F10" s="0" t="n">
        <v>-1582.1</v>
      </c>
      <c r="G10" s="0" t="n">
        <v>-67.6</v>
      </c>
      <c r="H10" s="0" t="n">
        <v>169.8</v>
      </c>
      <c r="I10" s="0" t="n">
        <v>-1359.7</v>
      </c>
      <c r="J10" s="0" t="n">
        <v>-58.1</v>
      </c>
      <c r="K10" s="0" t="n">
        <v>-0.596</v>
      </c>
      <c r="L10" s="0" t="n">
        <v>245.2</v>
      </c>
      <c r="M10" s="0" t="n">
        <v>160.4</v>
      </c>
      <c r="N10" s="0" t="n">
        <v>84.8</v>
      </c>
      <c r="O10" s="0" t="n">
        <v>1246.9</v>
      </c>
      <c r="P10" s="0" t="n">
        <v>3385.3</v>
      </c>
      <c r="Q10" s="0" t="n">
        <v>2138.4</v>
      </c>
      <c r="R10" s="0" t="n">
        <v>1032.6</v>
      </c>
      <c r="S10" s="0" t="n">
        <v>313.7</v>
      </c>
      <c r="T10" s="0" t="n">
        <v>2282.6</v>
      </c>
      <c r="U10" s="0" t="n">
        <v>1.6</v>
      </c>
      <c r="X10" s="0" t="n">
        <v>2338.9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2614.6</v>
      </c>
      <c r="F11" s="0" t="n">
        <v>158.9</v>
      </c>
      <c r="G11" s="0" t="n">
        <v>6.1</v>
      </c>
      <c r="H11" s="0" t="n">
        <v>361.7</v>
      </c>
      <c r="I11" s="0" t="n">
        <v>36.6</v>
      </c>
      <c r="J11" s="0" t="n">
        <v>1.4</v>
      </c>
      <c r="K11" s="0" t="n">
        <v>0.016</v>
      </c>
      <c r="L11" s="0" t="n">
        <v>406.5</v>
      </c>
      <c r="M11" s="0" t="n">
        <v>117.8</v>
      </c>
      <c r="N11" s="0" t="n">
        <v>288.7</v>
      </c>
      <c r="O11" s="0" t="n">
        <v>1254</v>
      </c>
      <c r="P11" s="0" t="n">
        <v>3140.2</v>
      </c>
      <c r="Q11" s="0" t="n">
        <v>1886.2</v>
      </c>
      <c r="R11" s="0" t="n">
        <v>738.1</v>
      </c>
      <c r="S11" s="0" t="n">
        <v>236.5</v>
      </c>
      <c r="T11" s="0" t="n">
        <v>2285</v>
      </c>
      <c r="U11" s="0" t="n">
        <v>6.8</v>
      </c>
      <c r="X11" s="0" t="n">
        <v>2614.6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2636.3</v>
      </c>
      <c r="F12" s="0" t="n">
        <v>188</v>
      </c>
      <c r="G12" s="0" t="n">
        <v>7.1</v>
      </c>
      <c r="H12" s="0" t="n">
        <v>401</v>
      </c>
      <c r="I12" s="0" t="n">
        <v>46.3</v>
      </c>
      <c r="J12" s="0" t="n">
        <v>1.8</v>
      </c>
      <c r="K12" s="0" t="n">
        <v>0.02</v>
      </c>
      <c r="L12" s="0" t="n">
        <v>309.3</v>
      </c>
      <c r="M12" s="0" t="n">
        <v>150.7</v>
      </c>
      <c r="N12" s="0" t="n">
        <v>158.6</v>
      </c>
      <c r="O12" s="0" t="n">
        <v>1261.2</v>
      </c>
      <c r="P12" s="0" t="n">
        <v>3197.7</v>
      </c>
      <c r="Q12" s="0" t="n">
        <v>1936.5</v>
      </c>
      <c r="R12" s="0" t="n">
        <v>716.3</v>
      </c>
      <c r="S12" s="0" t="n">
        <v>305.8</v>
      </c>
      <c r="T12" s="0" t="n">
        <v>2289.5</v>
      </c>
      <c r="U12" s="0" t="n">
        <v>6.8</v>
      </c>
      <c r="X12" s="0" t="n">
        <v>2636.3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0.915</v>
      </c>
    </row>
    <row r="3" customFormat="false" ht="15" hidden="false" customHeight="false" outlineLevel="0" collapsed="false">
      <c r="A3" s="0" t="s">
        <v>77</v>
      </c>
      <c r="B3" s="3" t="n">
        <v>2326.5</v>
      </c>
    </row>
    <row r="4" customFormat="false" ht="15" hidden="false" customHeight="false" outlineLevel="0" collapsed="false">
      <c r="A4" s="0" t="s">
        <v>78</v>
      </c>
      <c r="B4" s="3" t="n">
        <v>533.1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2636.3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0.5</v>
      </c>
      <c r="D13" s="3" t="n">
        <v>0</v>
      </c>
      <c r="E13" s="3" t="n">
        <v>-0.5</v>
      </c>
      <c r="F13" s="3" t="n">
        <v>0</v>
      </c>
      <c r="G13" s="3" t="n">
        <v>0.5</v>
      </c>
      <c r="H13" s="3" t="n">
        <v>1</v>
      </c>
      <c r="I13" s="3" t="n">
        <v>1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15.5</v>
      </c>
      <c r="D14" s="3" t="n">
        <v>15</v>
      </c>
      <c r="E14" s="3" t="n">
        <v>14.5</v>
      </c>
      <c r="F14" s="3" t="n">
        <v>14.5</v>
      </c>
      <c r="G14" s="3" t="n">
        <v>14.8</v>
      </c>
      <c r="H14" s="3" t="n">
        <v>15</v>
      </c>
      <c r="I14" s="3" t="n">
        <v>15.2</v>
      </c>
      <c r="J14" s="3" t="n">
        <v>15.5</v>
      </c>
      <c r="K14" s="3" t="n">
        <v>15.5</v>
      </c>
      <c r="L14" s="3" t="n">
        <v>15.5</v>
      </c>
    </row>
    <row r="15" customFormat="false" ht="15" hidden="false" customHeight="false" outlineLevel="0" collapsed="false">
      <c r="A15" s="0" t="s">
        <v>99</v>
      </c>
      <c r="C15" s="3" t="n">
        <v>0.26</v>
      </c>
      <c r="D15" s="3" t="n">
        <v>0.26</v>
      </c>
      <c r="E15" s="3" t="n">
        <v>0.26</v>
      </c>
      <c r="F15" s="3" t="n">
        <v>0.26</v>
      </c>
      <c r="G15" s="3" t="n">
        <v>0.26</v>
      </c>
      <c r="H15" s="3" t="n">
        <v>0.26</v>
      </c>
      <c r="I15" s="3" t="n">
        <v>0.26</v>
      </c>
      <c r="J15" s="3" t="n">
        <v>0.26</v>
      </c>
      <c r="K15" s="3" t="n">
        <v>0.26</v>
      </c>
      <c r="L15" s="3" t="n">
        <v>0.26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8.2</v>
      </c>
      <c r="D17" s="3" t="n">
        <v>8.2</v>
      </c>
      <c r="E17" s="3" t="n">
        <v>8.1</v>
      </c>
      <c r="F17" s="3" t="n">
        <v>8</v>
      </c>
      <c r="G17" s="3" t="n">
        <v>7.9</v>
      </c>
      <c r="H17" s="3" t="n">
        <v>7.8</v>
      </c>
      <c r="I17" s="3" t="n">
        <v>7.7</v>
      </c>
      <c r="J17" s="3" t="n">
        <v>7.6</v>
      </c>
      <c r="K17" s="3" t="n">
        <v>7.6</v>
      </c>
      <c r="L17" s="3" t="n">
        <v>7.6</v>
      </c>
    </row>
    <row r="18" customFormat="false" ht="15" hidden="false" customHeight="false" outlineLevel="0" collapsed="false">
      <c r="A18" s="0" t="s">
        <v>102</v>
      </c>
      <c r="C18" s="3" t="n">
        <v>5.8</v>
      </c>
      <c r="D18" s="3" t="n">
        <v>5.6</v>
      </c>
      <c r="E18" s="3" t="n">
        <v>5.4</v>
      </c>
      <c r="F18" s="3" t="n">
        <v>5.2</v>
      </c>
      <c r="G18" s="3" t="n">
        <v>5</v>
      </c>
      <c r="H18" s="3" t="n">
        <v>4.9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103</v>
      </c>
      <c r="C19" s="3" t="n">
        <v>3</v>
      </c>
      <c r="D19" s="3" t="n">
        <v>12</v>
      </c>
      <c r="E19" s="3" t="n">
        <v>22</v>
      </c>
      <c r="F19" s="3" t="n">
        <v>28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104</v>
      </c>
      <c r="B20" s="3" t="n">
        <v>10.5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1.5</v>
      </c>
      <c r="D27" s="3" t="n">
        <v>1.5</v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16.5</v>
      </c>
      <c r="D28" s="3" t="n">
        <v>16.8</v>
      </c>
      <c r="E28" s="3" t="n">
        <v>17.1</v>
      </c>
      <c r="F28" s="3" t="n">
        <v>17.4</v>
      </c>
      <c r="G28" s="3" t="n">
        <v>17.6</v>
      </c>
      <c r="H28" s="3" t="n">
        <v>17.8</v>
      </c>
      <c r="I28" s="3" t="n">
        <v>17.9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99</v>
      </c>
      <c r="C29" s="3" t="n">
        <v>0.26</v>
      </c>
      <c r="D29" s="3" t="n">
        <v>0.26</v>
      </c>
      <c r="E29" s="3" t="n">
        <v>0.26</v>
      </c>
      <c r="F29" s="3" t="n">
        <v>0.26</v>
      </c>
      <c r="G29" s="3" t="n">
        <v>0.26</v>
      </c>
      <c r="H29" s="3" t="n">
        <v>0.26</v>
      </c>
      <c r="I29" s="3" t="n">
        <v>0.26</v>
      </c>
      <c r="J29" s="3" t="n">
        <v>0.26</v>
      </c>
      <c r="K29" s="3" t="n">
        <v>0.26</v>
      </c>
      <c r="L29" s="3" t="n">
        <v>0.26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8</v>
      </c>
      <c r="D31" s="3" t="n">
        <v>7.9</v>
      </c>
      <c r="E31" s="3" t="n">
        <v>7.8</v>
      </c>
      <c r="F31" s="3" t="n">
        <v>7.6</v>
      </c>
      <c r="G31" s="3" t="n">
        <v>7.5</v>
      </c>
      <c r="H31" s="3" t="n">
        <v>7.4</v>
      </c>
      <c r="I31" s="3" t="n">
        <v>7.3</v>
      </c>
      <c r="J31" s="3" t="n">
        <v>7.2</v>
      </c>
      <c r="K31" s="3" t="n">
        <v>7.2</v>
      </c>
      <c r="L31" s="3" t="n">
        <v>7.2</v>
      </c>
    </row>
    <row r="32" customFormat="false" ht="15" hidden="false" customHeight="false" outlineLevel="0" collapsed="false">
      <c r="A32" s="0" t="s">
        <v>102</v>
      </c>
      <c r="C32" s="3" t="n">
        <v>5.6</v>
      </c>
      <c r="D32" s="3" t="n">
        <v>5.3</v>
      </c>
      <c r="E32" s="3" t="n">
        <v>5</v>
      </c>
      <c r="F32" s="3" t="n">
        <v>4.8</v>
      </c>
      <c r="G32" s="3" t="n">
        <v>4.6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103</v>
      </c>
      <c r="C33" s="3" t="n">
        <v>3</v>
      </c>
      <c r="D33" s="3" t="n">
        <v>10</v>
      </c>
      <c r="E33" s="3" t="n">
        <v>18</v>
      </c>
      <c r="F33" s="3" t="n">
        <v>25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104</v>
      </c>
      <c r="B34" s="3" t="n">
        <v>10.5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0.45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3.5</v>
      </c>
      <c r="D41" s="3" t="n">
        <v>4</v>
      </c>
      <c r="E41" s="3" t="n">
        <v>4.5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17</v>
      </c>
      <c r="D42" s="3" t="n">
        <v>18</v>
      </c>
      <c r="E42" s="3" t="n">
        <v>19</v>
      </c>
      <c r="F42" s="3" t="n">
        <v>19.8</v>
      </c>
      <c r="G42" s="3" t="n">
        <v>20.5</v>
      </c>
      <c r="H42" s="3" t="n">
        <v>21</v>
      </c>
      <c r="I42" s="3" t="n">
        <v>21.5</v>
      </c>
      <c r="J42" s="3" t="n">
        <v>22</v>
      </c>
      <c r="K42" s="3" t="n">
        <v>22</v>
      </c>
      <c r="L42" s="3" t="n">
        <v>22</v>
      </c>
    </row>
    <row r="43" customFormat="false" ht="15" hidden="false" customHeight="false" outlineLevel="0" collapsed="false">
      <c r="A43" s="0" t="s">
        <v>99</v>
      </c>
      <c r="C43" s="3" t="n">
        <v>0.26</v>
      </c>
      <c r="D43" s="3" t="n">
        <v>0.26</v>
      </c>
      <c r="E43" s="3" t="n">
        <v>0.26</v>
      </c>
      <c r="F43" s="3" t="n">
        <v>0.26</v>
      </c>
      <c r="G43" s="3" t="n">
        <v>0.26</v>
      </c>
      <c r="H43" s="3" t="n">
        <v>0.26</v>
      </c>
      <c r="I43" s="3" t="n">
        <v>0.26</v>
      </c>
      <c r="J43" s="3" t="n">
        <v>0.26</v>
      </c>
      <c r="K43" s="3" t="n">
        <v>0.26</v>
      </c>
      <c r="L43" s="3" t="n">
        <v>0.26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8</v>
      </c>
      <c r="D45" s="3" t="n">
        <v>7.9</v>
      </c>
      <c r="E45" s="3" t="n">
        <v>7.7</v>
      </c>
      <c r="F45" s="3" t="n">
        <v>7.5</v>
      </c>
      <c r="G45" s="3" t="n">
        <v>7.3</v>
      </c>
      <c r="H45" s="3" t="n">
        <v>7.1</v>
      </c>
      <c r="I45" s="3" t="n">
        <v>7</v>
      </c>
      <c r="J45" s="3" t="n">
        <v>6.9</v>
      </c>
      <c r="K45" s="3" t="n">
        <v>6.9</v>
      </c>
      <c r="L45" s="3" t="n">
        <v>6.9</v>
      </c>
    </row>
    <row r="46" customFormat="false" ht="15" hidden="false" customHeight="false" outlineLevel="0" collapsed="false">
      <c r="A46" s="0" t="s">
        <v>102</v>
      </c>
      <c r="C46" s="3" t="n">
        <v>5.6</v>
      </c>
      <c r="D46" s="3" t="n">
        <v>5.2</v>
      </c>
      <c r="E46" s="3" t="n">
        <v>4.8</v>
      </c>
      <c r="F46" s="3" t="n">
        <v>4.5</v>
      </c>
      <c r="G46" s="3" t="n">
        <v>4.3</v>
      </c>
      <c r="H46" s="3" t="n">
        <v>4.2</v>
      </c>
      <c r="I46" s="3" t="n">
        <v>4.2</v>
      </c>
      <c r="J46" s="3" t="n">
        <v>4.2</v>
      </c>
      <c r="K46" s="3" t="n">
        <v>4.2</v>
      </c>
      <c r="L46" s="3" t="n">
        <v>4.2</v>
      </c>
    </row>
    <row r="47" customFormat="false" ht="15" hidden="false" customHeight="false" outlineLevel="0" collapsed="false">
      <c r="A47" s="0" t="s">
        <v>103</v>
      </c>
      <c r="C47" s="3" t="n">
        <v>3</v>
      </c>
      <c r="D47" s="3" t="n">
        <v>8</v>
      </c>
      <c r="E47" s="3" t="n">
        <v>15</v>
      </c>
      <c r="F47" s="3" t="n">
        <v>22</v>
      </c>
      <c r="G47" s="3" t="n">
        <v>28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104</v>
      </c>
      <c r="B48" s="3" t="n">
        <v>10.5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14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0.5</v>
      </c>
      <c r="D5" s="4" t="n">
        <f aca="false">Assumptions!D13</f>
        <v>0</v>
      </c>
      <c r="E5" s="4" t="n">
        <f aca="false">Assumptions!E13</f>
        <v>-0.5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2636.3</v>
      </c>
      <c r="C6" s="0" t="n">
        <f aca="false">B6*(1+C5/100)</f>
        <v>2649.4815</v>
      </c>
      <c r="D6" s="0" t="n">
        <f aca="false">C6*(1+D5/100)</f>
        <v>2649.4815</v>
      </c>
      <c r="E6" s="0" t="n">
        <f aca="false">D6*(1+E5/100)</f>
        <v>2636.2340925</v>
      </c>
      <c r="F6" s="0" t="n">
        <f aca="false">E6*(1+F5/100)</f>
        <v>2636.2340925</v>
      </c>
      <c r="G6" s="0" t="n">
        <f aca="false">F6*(1+G5/100)</f>
        <v>2649.4152629625</v>
      </c>
      <c r="H6" s="0" t="n">
        <f aca="false">G6*(1+H5/100)</f>
        <v>2675.90941559213</v>
      </c>
      <c r="I6" s="0" t="n">
        <f aca="false">H6*(1+I5/100)</f>
        <v>2702.66850974805</v>
      </c>
      <c r="J6" s="0" t="n">
        <f aca="false">I6*(1+J5/100)</f>
        <v>2743.20853739427</v>
      </c>
      <c r="K6" s="0" t="n">
        <f aca="false">J6*(1+K5/100)</f>
        <v>2784.35666545518</v>
      </c>
      <c r="L6" s="0" t="n">
        <f aca="false">K6*(1+L5/100)</f>
        <v>2826.12201543701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15.5</v>
      </c>
      <c r="D7" s="4" t="n">
        <f aca="false">Assumptions!D14</f>
        <v>15</v>
      </c>
      <c r="E7" s="4" t="n">
        <f aca="false">Assumptions!E14</f>
        <v>14.5</v>
      </c>
      <c r="F7" s="4" t="n">
        <f aca="false">Assumptions!F14</f>
        <v>14.5</v>
      </c>
      <c r="G7" s="4" t="n">
        <f aca="false">Assumptions!G14</f>
        <v>14.8</v>
      </c>
      <c r="H7" s="4" t="n">
        <f aca="false">Assumptions!H14</f>
        <v>15</v>
      </c>
      <c r="I7" s="4" t="n">
        <f aca="false">Assumptions!I14</f>
        <v>15.2</v>
      </c>
      <c r="J7" s="4" t="n">
        <f aca="false">Assumptions!J14</f>
        <v>15.5</v>
      </c>
      <c r="K7" s="4" t="n">
        <f aca="false">Assumptions!K14</f>
        <v>15.5</v>
      </c>
      <c r="L7" s="4" t="n">
        <f aca="false">Assumptions!L14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410.6696325</v>
      </c>
      <c r="D8" s="0" t="n">
        <f aca="false">D6*D7/100</f>
        <v>397.422225</v>
      </c>
      <c r="E8" s="0" t="n">
        <f aca="false">E6*E7/100</f>
        <v>382.2539434125</v>
      </c>
      <c r="F8" s="0" t="n">
        <f aca="false">F6*F7/100</f>
        <v>382.2539434125</v>
      </c>
      <c r="G8" s="0" t="n">
        <f aca="false">G6*G7/100</f>
        <v>392.11345891845</v>
      </c>
      <c r="H8" s="0" t="n">
        <f aca="false">H6*H7/100</f>
        <v>401.386412338819</v>
      </c>
      <c r="I8" s="0" t="n">
        <f aca="false">I6*I7/100</f>
        <v>410.805613481703</v>
      </c>
      <c r="J8" s="0" t="n">
        <f aca="false">J6*J7/100</f>
        <v>425.197323296111</v>
      </c>
      <c r="K8" s="0" t="n">
        <f aca="false">K6*K7/100</f>
        <v>431.575283145553</v>
      </c>
      <c r="L8" s="0" t="n">
        <f aca="false">L6*L7/100</f>
        <v>438.048912392736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0.26</v>
      </c>
      <c r="D9" s="4" t="n">
        <f aca="false">Assumptions!D15</f>
        <v>0.26</v>
      </c>
      <c r="E9" s="4" t="n">
        <f aca="false">Assumptions!E15</f>
        <v>0.26</v>
      </c>
      <c r="F9" s="4" t="n">
        <f aca="false">Assumptions!F15</f>
        <v>0.26</v>
      </c>
      <c r="G9" s="4" t="n">
        <f aca="false">Assumptions!G15</f>
        <v>0.26</v>
      </c>
      <c r="H9" s="4" t="n">
        <f aca="false">Assumptions!H15</f>
        <v>0.26</v>
      </c>
      <c r="I9" s="4" t="n">
        <f aca="false">Assumptions!I15</f>
        <v>0.26</v>
      </c>
      <c r="J9" s="4" t="n">
        <f aca="false">Assumptions!J15</f>
        <v>0.26</v>
      </c>
      <c r="K9" s="4" t="n">
        <f aca="false">Assumptions!K15</f>
        <v>0.26</v>
      </c>
      <c r="L9" s="4" t="n">
        <f aca="false">Assumptions!L15</f>
        <v>0.26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-6.8886519</v>
      </c>
      <c r="D10" s="0" t="n">
        <f aca="false">-D6*D9/100</f>
        <v>-6.8886519</v>
      </c>
      <c r="E10" s="0" t="n">
        <f aca="false">-E6*E9/100</f>
        <v>-6.8542086405</v>
      </c>
      <c r="F10" s="0" t="n">
        <f aca="false">-F6*F9/100</f>
        <v>-6.8542086405</v>
      </c>
      <c r="G10" s="0" t="n">
        <f aca="false">-G6*G9/100</f>
        <v>-6.8884796837025</v>
      </c>
      <c r="H10" s="0" t="n">
        <f aca="false">-H6*H9/100</f>
        <v>-6.95736448053953</v>
      </c>
      <c r="I10" s="0" t="n">
        <f aca="false">-I6*I9/100</f>
        <v>-7.02693812534492</v>
      </c>
      <c r="J10" s="0" t="n">
        <f aca="false">-J6*J9/100</f>
        <v>-7.13234219722509</v>
      </c>
      <c r="K10" s="0" t="n">
        <f aca="false">-K6*K9/100</f>
        <v>-7.23932733018347</v>
      </c>
      <c r="L10" s="0" t="n">
        <f aca="false">-L6*L9/100</f>
        <v>-7.34791724013622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403.7809806</v>
      </c>
      <c r="D11" s="0" t="n">
        <f aca="false">D8+D10+D24</f>
        <v>390.5335731</v>
      </c>
      <c r="E11" s="0" t="n">
        <f aca="false">E8+E10+E24</f>
        <v>375.399734772</v>
      </c>
      <c r="F11" s="0" t="n">
        <f aca="false">F8+F10+F24</f>
        <v>375.399734772</v>
      </c>
      <c r="G11" s="0" t="n">
        <f aca="false">G8+G10+G24</f>
        <v>385.224979234748</v>
      </c>
      <c r="H11" s="0" t="n">
        <f aca="false">H8+H10+H24</f>
        <v>394.429047858279</v>
      </c>
      <c r="I11" s="0" t="n">
        <f aca="false">I8+I10+I24</f>
        <v>403.778675356358</v>
      </c>
      <c r="J11" s="0" t="n">
        <f aca="false">J8+J10+J24</f>
        <v>418.064981098886</v>
      </c>
      <c r="K11" s="0" t="n">
        <f aca="false">K8+K10+K24</f>
        <v>424.335955815369</v>
      </c>
      <c r="L11" s="0" t="n">
        <f aca="false">L8+L10+L24</f>
        <v>430.7009951526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-217.257483</v>
      </c>
      <c r="D12" s="4" t="n">
        <f aca="false">-D6*Assumptions!D17/100</f>
        <v>-217.257483</v>
      </c>
      <c r="E12" s="4" t="n">
        <f aca="false">-E6*Assumptions!E17/100</f>
        <v>-213.5349614925</v>
      </c>
      <c r="F12" s="4" t="n">
        <f aca="false">-F6*Assumptions!F17/100</f>
        <v>-210.8987274</v>
      </c>
      <c r="G12" s="4" t="n">
        <f aca="false">-G6*Assumptions!G17/100</f>
        <v>-209.303805774037</v>
      </c>
      <c r="H12" s="4" t="n">
        <f aca="false">-H6*Assumptions!H17/100</f>
        <v>-208.720934416186</v>
      </c>
      <c r="I12" s="4" t="n">
        <f aca="false">-I6*Assumptions!I17/100</f>
        <v>-208.1054752506</v>
      </c>
      <c r="J12" s="4" t="n">
        <f aca="false">-J6*Assumptions!J17/100</f>
        <v>-208.483848841964</v>
      </c>
      <c r="K12" s="4" t="n">
        <f aca="false">-K6*Assumptions!K17/100</f>
        <v>-211.611106574594</v>
      </c>
      <c r="L12" s="4" t="n">
        <f aca="false">-L6*Assumptions!L17/100</f>
        <v>-214.785273173213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186.5234976</v>
      </c>
      <c r="D13" s="0" t="n">
        <f aca="false">D11+D12</f>
        <v>173.2760901</v>
      </c>
      <c r="E13" s="0" t="n">
        <f aca="false">E11+E12</f>
        <v>161.8647732795</v>
      </c>
      <c r="F13" s="0" t="n">
        <f aca="false">F11+F12</f>
        <v>164.501007372</v>
      </c>
      <c r="G13" s="0" t="n">
        <f aca="false">G11+G12</f>
        <v>175.92117346071</v>
      </c>
      <c r="H13" s="0" t="n">
        <f aca="false">H11+H12</f>
        <v>185.708113442093</v>
      </c>
      <c r="I13" s="0" t="n">
        <f aca="false">I11+I12</f>
        <v>195.673200105759</v>
      </c>
      <c r="J13" s="0" t="n">
        <f aca="false">J11+J12</f>
        <v>209.581132256922</v>
      </c>
      <c r="K13" s="0" t="n">
        <f aca="false">K11+K12</f>
        <v>212.724849240776</v>
      </c>
      <c r="L13" s="0" t="n">
        <f aca="false">L11+L12</f>
        <v>215.915721979387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</v>
      </c>
      <c r="D14" s="4" t="n">
        <f aca="false">Assumptions!D19</f>
        <v>12</v>
      </c>
      <c r="E14" s="4" t="n">
        <f aca="false">Assumptions!E19</f>
        <v>22</v>
      </c>
      <c r="F14" s="4" t="n">
        <f aca="false">Assumptions!F19</f>
        <v>28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180.927792672</v>
      </c>
      <c r="D15" s="0" t="n">
        <f aca="false">D13-MAX(0,D13)*D14/100</f>
        <v>152.482959288</v>
      </c>
      <c r="E15" s="0" t="n">
        <f aca="false">E13-MAX(0,E13)*E14/100</f>
        <v>126.25452315801</v>
      </c>
      <c r="F15" s="0" t="n">
        <f aca="false">F13-MAX(0,F13)*F14/100</f>
        <v>118.44072530784</v>
      </c>
      <c r="G15" s="0" t="n">
        <f aca="false">G13-MAX(0,G13)*G14/100</f>
        <v>123.144821422497</v>
      </c>
      <c r="H15" s="0" t="n">
        <f aca="false">H13-MAX(0,H13)*H14/100</f>
        <v>129.995679409465</v>
      </c>
      <c r="I15" s="0" t="n">
        <f aca="false">I13-MAX(0,I13)*I14/100</f>
        <v>136.971240074031</v>
      </c>
      <c r="J15" s="0" t="n">
        <f aca="false">J13-MAX(0,J13)*J14/100</f>
        <v>146.706792579845</v>
      </c>
      <c r="K15" s="0" t="n">
        <f aca="false">K13-MAX(0,K13)*K14/100</f>
        <v>148.907394468543</v>
      </c>
      <c r="L15" s="0" t="n">
        <f aca="false">L13-MAX(0,L13)*L14/100</f>
        <v>151.141005385571</v>
      </c>
    </row>
    <row r="16" customFormat="false" ht="15" hidden="false" customHeight="false" outlineLevel="0" collapsed="false">
      <c r="A16" s="0" t="s">
        <v>119</v>
      </c>
      <c r="C16" s="0" t="n">
        <f aca="false">-C12</f>
        <v>217.257483</v>
      </c>
      <c r="D16" s="0" t="n">
        <f aca="false">-D12</f>
        <v>217.257483</v>
      </c>
      <c r="E16" s="0" t="n">
        <f aca="false">-E12</f>
        <v>213.5349614925</v>
      </c>
      <c r="F16" s="0" t="n">
        <f aca="false">-F12</f>
        <v>210.8987274</v>
      </c>
      <c r="G16" s="0" t="n">
        <f aca="false">-G12</f>
        <v>209.303805774037</v>
      </c>
      <c r="H16" s="0" t="n">
        <f aca="false">-H12</f>
        <v>208.720934416186</v>
      </c>
      <c r="I16" s="0" t="n">
        <f aca="false">-I12</f>
        <v>208.1054752506</v>
      </c>
      <c r="J16" s="0" t="n">
        <f aca="false">-J12</f>
        <v>208.483848841964</v>
      </c>
      <c r="K16" s="0" t="n">
        <f aca="false">-K12</f>
        <v>211.611106574594</v>
      </c>
      <c r="L16" s="0" t="n">
        <f aca="false">-L12</f>
        <v>214.785273173213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-153.669927</v>
      </c>
      <c r="D17" s="4" t="n">
        <f aca="false">-D6*Assumptions!D18/100</f>
        <v>-148.370964</v>
      </c>
      <c r="E17" s="4" t="n">
        <f aca="false">-E6*Assumptions!E18/100</f>
        <v>-142.356640995</v>
      </c>
      <c r="F17" s="4" t="n">
        <f aca="false">-F6*Assumptions!F18/100</f>
        <v>-137.08417281</v>
      </c>
      <c r="G17" s="4" t="n">
        <f aca="false">-G6*Assumptions!G18/100</f>
        <v>-132.470763148125</v>
      </c>
      <c r="H17" s="4" t="n">
        <f aca="false">-H6*Assumptions!H18/100</f>
        <v>-131.119561364014</v>
      </c>
      <c r="I17" s="4" t="n">
        <f aca="false">-I6*Assumptions!I18/100</f>
        <v>-129.728088467906</v>
      </c>
      <c r="J17" s="4" t="n">
        <f aca="false">-J6*Assumptions!J18/100</f>
        <v>-131.674009794925</v>
      </c>
      <c r="K17" s="4" t="n">
        <f aca="false">-K6*Assumptions!K18/100</f>
        <v>-133.649119941849</v>
      </c>
      <c r="L17" s="4" t="n">
        <f aca="false">-L6*Assumptions!L18/100</f>
        <v>-135.653856740976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244.515348672</v>
      </c>
      <c r="D19" s="0" t="n">
        <f aca="false">D15+D16+D17+D18</f>
        <v>221.369478288</v>
      </c>
      <c r="E19" s="0" t="n">
        <f aca="false">E15+E16+E17+E18</f>
        <v>197.43284365551</v>
      </c>
      <c r="F19" s="0" t="n">
        <f aca="false">F15+F16+F17+F18</f>
        <v>192.25527989784</v>
      </c>
      <c r="G19" s="0" t="n">
        <f aca="false">G15+G16+G17+G18</f>
        <v>199.97786404841</v>
      </c>
      <c r="H19" s="0" t="n">
        <f aca="false">H15+H16+H17+H18</f>
        <v>207.597052461637</v>
      </c>
      <c r="I19" s="0" t="n">
        <f aca="false">I15+I16+I17+I18</f>
        <v>215.348626856724</v>
      </c>
      <c r="J19" s="0" t="n">
        <f aca="false">J15+J16+J17+J18</f>
        <v>223.516631626885</v>
      </c>
      <c r="K19" s="0" t="n">
        <f aca="false">K15+K16+K17+K18</f>
        <v>226.869381101288</v>
      </c>
      <c r="L19" s="0" t="n">
        <f aca="false">L15+L16+L17+L18</f>
        <v>230.272421817807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221.280858526697</v>
      </c>
      <c r="D21" s="0" t="n">
        <f aca="false">D19*D20</f>
        <v>181.298071937921</v>
      </c>
      <c r="E21" s="0" t="n">
        <f aca="false">E19*E20</f>
        <v>146.329728467328</v>
      </c>
      <c r="F21" s="0" t="n">
        <f aca="false">F19*F20</f>
        <v>128.952321057741</v>
      </c>
      <c r="G21" s="0" t="n">
        <f aca="false">G19*G20</f>
        <v>121.386540787089</v>
      </c>
      <c r="H21" s="0" t="n">
        <f aca="false">H19*H20</f>
        <v>114.037454560556</v>
      </c>
      <c r="I21" s="0" t="n">
        <f aca="false">I19*I20</f>
        <v>107.054804011144</v>
      </c>
      <c r="J21" s="0" t="n">
        <f aca="false">J19*J20</f>
        <v>100.556840623699</v>
      </c>
      <c r="K21" s="0" t="n">
        <f aca="false">K19*K20</f>
        <v>92.3666907086465</v>
      </c>
      <c r="L21" s="0" t="n">
        <f aca="false">L19*L20</f>
        <v>84.8436118273993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1298.10692250822</v>
      </c>
    </row>
    <row r="31" customFormat="false" ht="15" hidden="false" customHeight="false" outlineLevel="0" collapsed="false">
      <c r="A31" s="0" t="s">
        <v>128</v>
      </c>
      <c r="B31" s="0" t="n">
        <f aca="false">L19</f>
        <v>230.272421817807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2763.26906181369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2302.72421817807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2302.72421817807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848.436118273993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2146.54304078221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1613.44304078221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0.693506572440238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-0.242069319737445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41.9130524257374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32.4879809648363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0.725486384772314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1806.75284810895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0.428909850130904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1.5</v>
      </c>
      <c r="D5" s="4" t="n">
        <f aca="false">Assumptions!D27</f>
        <v>1.5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2636.3</v>
      </c>
      <c r="C6" s="0" t="n">
        <f aca="false">B6*(1+C5/100)</f>
        <v>2675.8445</v>
      </c>
      <c r="D6" s="0" t="n">
        <f aca="false">C6*(1+D5/100)</f>
        <v>2715.9821675</v>
      </c>
      <c r="E6" s="0" t="n">
        <f aca="false">D6*(1+E5/100)</f>
        <v>2770.30181085</v>
      </c>
      <c r="F6" s="0" t="n">
        <f aca="false">E6*(1+F5/100)</f>
        <v>2825.707847067</v>
      </c>
      <c r="G6" s="0" t="n">
        <f aca="false">F6*(1+G5/100)</f>
        <v>2882.22200400834</v>
      </c>
      <c r="H6" s="0" t="n">
        <f aca="false">G6*(1+H5/100)</f>
        <v>2939.86644408851</v>
      </c>
      <c r="I6" s="0" t="n">
        <f aca="false">H6*(1+I5/100)</f>
        <v>2998.66377297028</v>
      </c>
      <c r="J6" s="0" t="n">
        <f aca="false">I6*(1+J5/100)</f>
        <v>3058.63704842968</v>
      </c>
      <c r="K6" s="0" t="n">
        <f aca="false">J6*(1+K5/100)</f>
        <v>3119.80978939828</v>
      </c>
      <c r="L6" s="0" t="n">
        <f aca="false">K6*(1+L5/100)</f>
        <v>3182.20598518624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16.5</v>
      </c>
      <c r="D7" s="4" t="n">
        <f aca="false">Assumptions!D28</f>
        <v>16.8</v>
      </c>
      <c r="E7" s="4" t="n">
        <f aca="false">Assumptions!E28</f>
        <v>17.1</v>
      </c>
      <c r="F7" s="4" t="n">
        <f aca="false">Assumptions!F28</f>
        <v>17.4</v>
      </c>
      <c r="G7" s="4" t="n">
        <f aca="false">Assumptions!G28</f>
        <v>17.6</v>
      </c>
      <c r="H7" s="4" t="n">
        <f aca="false">Assumptions!H28</f>
        <v>17.8</v>
      </c>
      <c r="I7" s="4" t="n">
        <f aca="false">Assumptions!I28</f>
        <v>17.9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441.5143425</v>
      </c>
      <c r="D8" s="0" t="n">
        <f aca="false">D6*D7/100</f>
        <v>456.28500414</v>
      </c>
      <c r="E8" s="0" t="n">
        <f aca="false">E6*E7/100</f>
        <v>473.72160965535</v>
      </c>
      <c r="F8" s="0" t="n">
        <f aca="false">F6*F7/100</f>
        <v>491.673165389658</v>
      </c>
      <c r="G8" s="0" t="n">
        <f aca="false">G6*G7/100</f>
        <v>507.271072705468</v>
      </c>
      <c r="H8" s="0" t="n">
        <f aca="false">H6*H7/100</f>
        <v>523.296227047754</v>
      </c>
      <c r="I8" s="0" t="n">
        <f aca="false">I6*I7/100</f>
        <v>536.76081536168</v>
      </c>
      <c r="J8" s="0" t="n">
        <f aca="false">J6*J7/100</f>
        <v>550.554668717343</v>
      </c>
      <c r="K8" s="0" t="n">
        <f aca="false">K6*K7/100</f>
        <v>561.56576209169</v>
      </c>
      <c r="L8" s="0" t="n">
        <f aca="false">L6*L7/100</f>
        <v>572.797077333524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0.26</v>
      </c>
      <c r="D9" s="4" t="n">
        <f aca="false">Assumptions!D29</f>
        <v>0.26</v>
      </c>
      <c r="E9" s="4" t="n">
        <f aca="false">Assumptions!E29</f>
        <v>0.26</v>
      </c>
      <c r="F9" s="4" t="n">
        <f aca="false">Assumptions!F29</f>
        <v>0.26</v>
      </c>
      <c r="G9" s="4" t="n">
        <f aca="false">Assumptions!G29</f>
        <v>0.26</v>
      </c>
      <c r="H9" s="4" t="n">
        <f aca="false">Assumptions!H29</f>
        <v>0.26</v>
      </c>
      <c r="I9" s="4" t="n">
        <f aca="false">Assumptions!I29</f>
        <v>0.26</v>
      </c>
      <c r="J9" s="4" t="n">
        <f aca="false">Assumptions!J29</f>
        <v>0.26</v>
      </c>
      <c r="K9" s="4" t="n">
        <f aca="false">Assumptions!K29</f>
        <v>0.26</v>
      </c>
      <c r="L9" s="4" t="n">
        <f aca="false">Assumptions!L29</f>
        <v>0.26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-6.9571957</v>
      </c>
      <c r="D10" s="0" t="n">
        <f aca="false">-D6*D9/100</f>
        <v>-7.0615536355</v>
      </c>
      <c r="E10" s="0" t="n">
        <f aca="false">-E6*E9/100</f>
        <v>-7.20278470821</v>
      </c>
      <c r="F10" s="0" t="n">
        <f aca="false">-F6*F9/100</f>
        <v>-7.3468404023742</v>
      </c>
      <c r="G10" s="0" t="n">
        <f aca="false">-G6*G9/100</f>
        <v>-7.49377721042168</v>
      </c>
      <c r="H10" s="0" t="n">
        <f aca="false">-H6*H9/100</f>
        <v>-7.64365275463012</v>
      </c>
      <c r="I10" s="0" t="n">
        <f aca="false">-I6*I9/100</f>
        <v>-7.79652580972272</v>
      </c>
      <c r="J10" s="0" t="n">
        <f aca="false">-J6*J9/100</f>
        <v>-7.95245632591718</v>
      </c>
      <c r="K10" s="0" t="n">
        <f aca="false">-K6*K9/100</f>
        <v>-8.11150545243552</v>
      </c>
      <c r="L10" s="0" t="n">
        <f aca="false">-L6*L9/100</f>
        <v>-8.27373556148423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434.5571468</v>
      </c>
      <c r="D11" s="0" t="n">
        <f aca="false">D8+D10+D24</f>
        <v>449.2234505045</v>
      </c>
      <c r="E11" s="0" t="n">
        <f aca="false">E8+E10+E24</f>
        <v>466.51882494714</v>
      </c>
      <c r="F11" s="0" t="n">
        <f aca="false">F8+F10+F24</f>
        <v>484.326324987284</v>
      </c>
      <c r="G11" s="0" t="n">
        <f aca="false">G8+G10+G24</f>
        <v>499.777295495046</v>
      </c>
      <c r="H11" s="0" t="n">
        <f aca="false">H8+H10+H24</f>
        <v>515.652574293124</v>
      </c>
      <c r="I11" s="0" t="n">
        <f aca="false">I8+I10+I24</f>
        <v>528.964289551957</v>
      </c>
      <c r="J11" s="0" t="n">
        <f aca="false">J8+J10+J24</f>
        <v>542.602212391426</v>
      </c>
      <c r="K11" s="0" t="n">
        <f aca="false">K8+K10+K24</f>
        <v>553.454256639254</v>
      </c>
      <c r="L11" s="0" t="n">
        <f aca="false">L8+L10+L24</f>
        <v>564.523341772039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-214.06756</v>
      </c>
      <c r="D12" s="4" t="n">
        <f aca="false">-D6*Assumptions!D31/100</f>
        <v>-214.5625912325</v>
      </c>
      <c r="E12" s="4" t="n">
        <f aca="false">-E6*Assumptions!E31/100</f>
        <v>-216.0835412463</v>
      </c>
      <c r="F12" s="4" t="n">
        <f aca="false">-F6*Assumptions!F31/100</f>
        <v>-214.753796377092</v>
      </c>
      <c r="G12" s="4" t="n">
        <f aca="false">-G6*Assumptions!G31/100</f>
        <v>-216.166650300626</v>
      </c>
      <c r="H12" s="4" t="n">
        <f aca="false">-H6*Assumptions!H31/100</f>
        <v>-217.55011686255</v>
      </c>
      <c r="I12" s="4" t="n">
        <f aca="false">-I6*Assumptions!I31/100</f>
        <v>-218.90245542683</v>
      </c>
      <c r="J12" s="4" t="n">
        <f aca="false">-J6*Assumptions!J31/100</f>
        <v>-220.221867486937</v>
      </c>
      <c r="K12" s="4" t="n">
        <f aca="false">-K6*Assumptions!K31/100</f>
        <v>-224.626304836676</v>
      </c>
      <c r="L12" s="4" t="n">
        <f aca="false">-L6*Assumptions!L31/100</f>
        <v>-229.118830933409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220.4895868</v>
      </c>
      <c r="D13" s="0" t="n">
        <f aca="false">D11+D12</f>
        <v>234.660859272</v>
      </c>
      <c r="E13" s="0" t="n">
        <f aca="false">E11+E12</f>
        <v>250.43528370084</v>
      </c>
      <c r="F13" s="0" t="n">
        <f aca="false">F11+F12</f>
        <v>269.572528610192</v>
      </c>
      <c r="G13" s="0" t="n">
        <f aca="false">G11+G12</f>
        <v>283.610645194421</v>
      </c>
      <c r="H13" s="0" t="n">
        <f aca="false">H11+H12</f>
        <v>298.102457430575</v>
      </c>
      <c r="I13" s="0" t="n">
        <f aca="false">I11+I12</f>
        <v>310.061834125127</v>
      </c>
      <c r="J13" s="0" t="n">
        <f aca="false">J11+J12</f>
        <v>322.380344904489</v>
      </c>
      <c r="K13" s="0" t="n">
        <f aca="false">K11+K12</f>
        <v>328.827951802578</v>
      </c>
      <c r="L13" s="0" t="n">
        <f aca="false">L11+L12</f>
        <v>335.40451083863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</v>
      </c>
      <c r="D14" s="4" t="n">
        <f aca="false">Assumptions!D33</f>
        <v>10</v>
      </c>
      <c r="E14" s="4" t="n">
        <f aca="false">Assumptions!E33</f>
        <v>18</v>
      </c>
      <c r="F14" s="4" t="n">
        <f aca="false">Assumptions!F33</f>
        <v>25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213.874899196</v>
      </c>
      <c r="D15" s="0" t="n">
        <f aca="false">D13-MAX(0,D13)*D14/100</f>
        <v>211.1947733448</v>
      </c>
      <c r="E15" s="0" t="n">
        <f aca="false">E13-MAX(0,E13)*E14/100</f>
        <v>205.356932634689</v>
      </c>
      <c r="F15" s="0" t="n">
        <f aca="false">F13-MAX(0,F13)*F14/100</f>
        <v>202.179396457644</v>
      </c>
      <c r="G15" s="0" t="n">
        <f aca="false">G13-MAX(0,G13)*G14/100</f>
        <v>198.527451636094</v>
      </c>
      <c r="H15" s="0" t="n">
        <f aca="false">H13-MAX(0,H13)*H14/100</f>
        <v>208.671720201402</v>
      </c>
      <c r="I15" s="0" t="n">
        <f aca="false">I13-MAX(0,I13)*I14/100</f>
        <v>217.043283887589</v>
      </c>
      <c r="J15" s="0" t="n">
        <f aca="false">J13-MAX(0,J13)*J14/100</f>
        <v>225.666241433142</v>
      </c>
      <c r="K15" s="0" t="n">
        <f aca="false">K13-MAX(0,K13)*K14/100</f>
        <v>230.179566261805</v>
      </c>
      <c r="L15" s="0" t="n">
        <f aca="false">L13-MAX(0,L13)*L14/100</f>
        <v>234.783157587041</v>
      </c>
    </row>
    <row r="16" customFormat="false" ht="15" hidden="false" customHeight="false" outlineLevel="0" collapsed="false">
      <c r="A16" s="0" t="s">
        <v>119</v>
      </c>
      <c r="C16" s="0" t="n">
        <f aca="false">-C12</f>
        <v>214.06756</v>
      </c>
      <c r="D16" s="0" t="n">
        <f aca="false">-D12</f>
        <v>214.5625912325</v>
      </c>
      <c r="E16" s="0" t="n">
        <f aca="false">-E12</f>
        <v>216.0835412463</v>
      </c>
      <c r="F16" s="0" t="n">
        <f aca="false">-F12</f>
        <v>214.753796377092</v>
      </c>
      <c r="G16" s="0" t="n">
        <f aca="false">-G12</f>
        <v>216.166650300626</v>
      </c>
      <c r="H16" s="0" t="n">
        <f aca="false">-H12</f>
        <v>217.55011686255</v>
      </c>
      <c r="I16" s="0" t="n">
        <f aca="false">-I12</f>
        <v>218.90245542683</v>
      </c>
      <c r="J16" s="0" t="n">
        <f aca="false">-J12</f>
        <v>220.221867486937</v>
      </c>
      <c r="K16" s="0" t="n">
        <f aca="false">-K12</f>
        <v>224.626304836676</v>
      </c>
      <c r="L16" s="0" t="n">
        <f aca="false">-L12</f>
        <v>229.118830933409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-149.847292</v>
      </c>
      <c r="D17" s="4" t="n">
        <f aca="false">-D6*Assumptions!D32/100</f>
        <v>-143.9470548775</v>
      </c>
      <c r="E17" s="4" t="n">
        <f aca="false">-E6*Assumptions!E32/100</f>
        <v>-138.5150905425</v>
      </c>
      <c r="F17" s="4" t="n">
        <f aca="false">-F6*Assumptions!F32/100</f>
        <v>-135.633976659216</v>
      </c>
      <c r="G17" s="4" t="n">
        <f aca="false">-G6*Assumptions!G32/100</f>
        <v>-132.582212184384</v>
      </c>
      <c r="H17" s="4" t="n">
        <f aca="false">-H6*Assumptions!H32/100</f>
        <v>-132.293989983983</v>
      </c>
      <c r="I17" s="4" t="n">
        <f aca="false">-I6*Assumptions!I32/100</f>
        <v>-134.939869783662</v>
      </c>
      <c r="J17" s="4" t="n">
        <f aca="false">-J6*Assumptions!J32/100</f>
        <v>-137.638667179336</v>
      </c>
      <c r="K17" s="4" t="n">
        <f aca="false">-K6*Assumptions!K32/100</f>
        <v>-140.391440522922</v>
      </c>
      <c r="L17" s="4" t="n">
        <f aca="false">-L6*Assumptions!L32/100</f>
        <v>-143.199269333381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278.095167196</v>
      </c>
      <c r="D19" s="0" t="n">
        <f aca="false">D15+D16+D17+D18</f>
        <v>281.8103096998</v>
      </c>
      <c r="E19" s="0" t="n">
        <f aca="false">E15+E16+E17+E18</f>
        <v>282.925383338489</v>
      </c>
      <c r="F19" s="0" t="n">
        <f aca="false">F15+F16+F17+F18</f>
        <v>281.29921617552</v>
      </c>
      <c r="G19" s="0" t="n">
        <f aca="false">G15+G16+G17+G18</f>
        <v>282.111889752336</v>
      </c>
      <c r="H19" s="0" t="n">
        <f aca="false">H15+H16+H17+H18</f>
        <v>293.927847079969</v>
      </c>
      <c r="I19" s="0" t="n">
        <f aca="false">I15+I16+I17+I18</f>
        <v>301.005869530756</v>
      </c>
      <c r="J19" s="0" t="n">
        <f aca="false">J15+J16+J17+J18</f>
        <v>308.249441740743</v>
      </c>
      <c r="K19" s="0" t="n">
        <f aca="false">K15+K16+K17+K18</f>
        <v>314.414430575558</v>
      </c>
      <c r="L19" s="0" t="n">
        <f aca="false">L15+L16+L17+L18</f>
        <v>320.702719187069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251.669834566516</v>
      </c>
      <c r="D21" s="0" t="n">
        <f aca="false">D19*D20</f>
        <v>230.798148850187</v>
      </c>
      <c r="E21" s="0" t="n">
        <f aca="false">E19*E20</f>
        <v>209.693553280695</v>
      </c>
      <c r="F21" s="0" t="n">
        <f aca="false">F19*F20</f>
        <v>188.677194492822</v>
      </c>
      <c r="G21" s="0" t="n">
        <f aca="false">G19*G20</f>
        <v>171.241885070115</v>
      </c>
      <c r="H21" s="0" t="n">
        <f aca="false">H19*H20</f>
        <v>161.460787174028</v>
      </c>
      <c r="I21" s="0" t="n">
        <f aca="false">I19*I20</f>
        <v>149.637008785101</v>
      </c>
      <c r="J21" s="0" t="n">
        <f aca="false">J19*J20</f>
        <v>138.676883952021</v>
      </c>
      <c r="K21" s="0" t="n">
        <f aca="false">K19*K20</f>
        <v>128.009431340327</v>
      </c>
      <c r="L21" s="0" t="n">
        <f aca="false">L19*L20</f>
        <v>118.162552006456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1748.02727951827</v>
      </c>
    </row>
    <row r="31" customFormat="false" ht="15" hidden="false" customHeight="false" outlineLevel="0" collapsed="false">
      <c r="A31" s="0" t="s">
        <v>128</v>
      </c>
      <c r="B31" s="0" t="n">
        <f aca="false">L19</f>
        <v>320.702719187069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3848.43263024483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3848.43263024483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3848.43263024483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1417.95062407747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3165.97790359573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2632.87790359573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1.13169048080625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0.236820197602456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44.8976206254259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36.5813814506987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1.16671261795481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2516.28287362162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0.662182473537249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3.5</v>
      </c>
      <c r="D5" s="4" t="n">
        <f aca="false">Assumptions!D41</f>
        <v>4</v>
      </c>
      <c r="E5" s="4" t="n">
        <f aca="false">Assumptions!E41</f>
        <v>4.5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2636.3</v>
      </c>
      <c r="C6" s="0" t="n">
        <f aca="false">B6*(1+C5/100)</f>
        <v>2728.5705</v>
      </c>
      <c r="D6" s="0" t="n">
        <f aca="false">C6*(1+D5/100)</f>
        <v>2837.71332</v>
      </c>
      <c r="E6" s="0" t="n">
        <f aca="false">D6*(1+E5/100)</f>
        <v>2965.4104194</v>
      </c>
      <c r="F6" s="0" t="n">
        <f aca="false">E6*(1+F5/100)</f>
        <v>3098.853888273</v>
      </c>
      <c r="G6" s="0" t="n">
        <f aca="false">F6*(1+G5/100)</f>
        <v>3222.80804380392</v>
      </c>
      <c r="H6" s="0" t="n">
        <f aca="false">G6*(1+H5/100)</f>
        <v>3335.60632533706</v>
      </c>
      <c r="I6" s="0" t="n">
        <f aca="false">H6*(1+I5/100)</f>
        <v>3435.67451509717</v>
      </c>
      <c r="J6" s="0" t="n">
        <f aca="false">I6*(1+J5/100)</f>
        <v>3538.74475055008</v>
      </c>
      <c r="K6" s="0" t="n">
        <f aca="false">J6*(1+K5/100)</f>
        <v>3644.90709306659</v>
      </c>
      <c r="L6" s="0" t="n">
        <f aca="false">K6*(1+L5/100)</f>
        <v>3754.25430585858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17</v>
      </c>
      <c r="D7" s="4" t="n">
        <f aca="false">Assumptions!D42</f>
        <v>18</v>
      </c>
      <c r="E7" s="4" t="n">
        <f aca="false">Assumptions!E42</f>
        <v>19</v>
      </c>
      <c r="F7" s="4" t="n">
        <f aca="false">Assumptions!F42</f>
        <v>19.8</v>
      </c>
      <c r="G7" s="4" t="n">
        <f aca="false">Assumptions!G42</f>
        <v>20.5</v>
      </c>
      <c r="H7" s="4" t="n">
        <f aca="false">Assumptions!H42</f>
        <v>21</v>
      </c>
      <c r="I7" s="4" t="n">
        <f aca="false">Assumptions!I42</f>
        <v>21.5</v>
      </c>
      <c r="J7" s="4" t="n">
        <f aca="false">Assumptions!J42</f>
        <v>22</v>
      </c>
      <c r="K7" s="4" t="n">
        <f aca="false">Assumptions!K42</f>
        <v>22</v>
      </c>
      <c r="L7" s="4" t="n">
        <f aca="false">Assumptions!L42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463.856985</v>
      </c>
      <c r="D8" s="0" t="n">
        <f aca="false">D6*D7/100</f>
        <v>510.7883976</v>
      </c>
      <c r="E8" s="0" t="n">
        <f aca="false">E6*E7/100</f>
        <v>563.427979686</v>
      </c>
      <c r="F8" s="0" t="n">
        <f aca="false">F6*F7/100</f>
        <v>613.573069878054</v>
      </c>
      <c r="G8" s="0" t="n">
        <f aca="false">G6*G7/100</f>
        <v>660.675648979804</v>
      </c>
      <c r="H8" s="0" t="n">
        <f aca="false">H6*H7/100</f>
        <v>700.477328320782</v>
      </c>
      <c r="I8" s="0" t="n">
        <f aca="false">I6*I7/100</f>
        <v>738.670020745891</v>
      </c>
      <c r="J8" s="0" t="n">
        <f aca="false">J6*J7/100</f>
        <v>778.523845121018</v>
      </c>
      <c r="K8" s="0" t="n">
        <f aca="false">K6*K7/100</f>
        <v>801.879560474649</v>
      </c>
      <c r="L8" s="0" t="n">
        <f aca="false">L6*L7/100</f>
        <v>825.935947288888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0.26</v>
      </c>
      <c r="D9" s="4" t="n">
        <f aca="false">Assumptions!D43</f>
        <v>0.26</v>
      </c>
      <c r="E9" s="4" t="n">
        <f aca="false">Assumptions!E43</f>
        <v>0.26</v>
      </c>
      <c r="F9" s="4" t="n">
        <f aca="false">Assumptions!F43</f>
        <v>0.26</v>
      </c>
      <c r="G9" s="4" t="n">
        <f aca="false">Assumptions!G43</f>
        <v>0.26</v>
      </c>
      <c r="H9" s="4" t="n">
        <f aca="false">Assumptions!H43</f>
        <v>0.26</v>
      </c>
      <c r="I9" s="4" t="n">
        <f aca="false">Assumptions!I43</f>
        <v>0.26</v>
      </c>
      <c r="J9" s="4" t="n">
        <f aca="false">Assumptions!J43</f>
        <v>0.26</v>
      </c>
      <c r="K9" s="4" t="n">
        <f aca="false">Assumptions!K43</f>
        <v>0.26</v>
      </c>
      <c r="L9" s="4" t="n">
        <f aca="false">Assumptions!L43</f>
        <v>0.26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-7.0942833</v>
      </c>
      <c r="D10" s="0" t="n">
        <f aca="false">-D6*D9/100</f>
        <v>-7.378054632</v>
      </c>
      <c r="E10" s="0" t="n">
        <f aca="false">-E6*E9/100</f>
        <v>-7.71006709044</v>
      </c>
      <c r="F10" s="0" t="n">
        <f aca="false">-F6*F9/100</f>
        <v>-8.0570201095098</v>
      </c>
      <c r="G10" s="0" t="n">
        <f aca="false">-G6*G9/100</f>
        <v>-8.37930091389019</v>
      </c>
      <c r="H10" s="0" t="n">
        <f aca="false">-H6*H9/100</f>
        <v>-8.67257644587635</v>
      </c>
      <c r="I10" s="0" t="n">
        <f aca="false">-I6*I9/100</f>
        <v>-8.93275373925264</v>
      </c>
      <c r="J10" s="0" t="n">
        <f aca="false">-J6*J9/100</f>
        <v>-9.20073635143022</v>
      </c>
      <c r="K10" s="0" t="n">
        <f aca="false">-K6*K9/100</f>
        <v>-9.47675844197313</v>
      </c>
      <c r="L10" s="0" t="n">
        <f aca="false">-L6*L9/100</f>
        <v>-9.76106119523232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456.7627017</v>
      </c>
      <c r="D11" s="0" t="n">
        <f aca="false">D8+D10+D24</f>
        <v>503.410342968</v>
      </c>
      <c r="E11" s="0" t="n">
        <f aca="false">E8+E10+E24</f>
        <v>555.71791259556</v>
      </c>
      <c r="F11" s="0" t="n">
        <f aca="false">F8+F10+F24</f>
        <v>605.516049768544</v>
      </c>
      <c r="G11" s="0" t="n">
        <f aca="false">G8+G10+G24</f>
        <v>652.296348065913</v>
      </c>
      <c r="H11" s="0" t="n">
        <f aca="false">H8+H10+H24</f>
        <v>691.804751874906</v>
      </c>
      <c r="I11" s="0" t="n">
        <f aca="false">I8+I10+I24</f>
        <v>729.737267006639</v>
      </c>
      <c r="J11" s="0" t="n">
        <f aca="false">J8+J10+J24</f>
        <v>769.323108769588</v>
      </c>
      <c r="K11" s="0" t="n">
        <f aca="false">K8+K10+K24</f>
        <v>792.402802032676</v>
      </c>
      <c r="L11" s="0" t="n">
        <f aca="false">L8+L10+L24</f>
        <v>816.174886093656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-218.28564</v>
      </c>
      <c r="D12" s="4" t="n">
        <f aca="false">-D6*Assumptions!D45/100</f>
        <v>-224.17935228</v>
      </c>
      <c r="E12" s="4" t="n">
        <f aca="false">-E6*Assumptions!E45/100</f>
        <v>-228.3366022938</v>
      </c>
      <c r="F12" s="4" t="n">
        <f aca="false">-F6*Assumptions!F45/100</f>
        <v>-232.414041620475</v>
      </c>
      <c r="G12" s="4" t="n">
        <f aca="false">-G6*Assumptions!G45/100</f>
        <v>-235.264987197686</v>
      </c>
      <c r="H12" s="4" t="n">
        <f aca="false">-H6*Assumptions!H45/100</f>
        <v>-236.828049098931</v>
      </c>
      <c r="I12" s="4" t="n">
        <f aca="false">-I6*Assumptions!I45/100</f>
        <v>-240.497216056802</v>
      </c>
      <c r="J12" s="4" t="n">
        <f aca="false">-J6*Assumptions!J45/100</f>
        <v>-244.173387787956</v>
      </c>
      <c r="K12" s="4" t="n">
        <f aca="false">-K6*Assumptions!K45/100</f>
        <v>-251.498589421594</v>
      </c>
      <c r="L12" s="4" t="n">
        <f aca="false">-L6*Assumptions!L45/100</f>
        <v>-259.043547104242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238.4770617</v>
      </c>
      <c r="D13" s="0" t="n">
        <f aca="false">D11+D12</f>
        <v>279.230990688</v>
      </c>
      <c r="E13" s="0" t="n">
        <f aca="false">E11+E12</f>
        <v>327.38131030176</v>
      </c>
      <c r="F13" s="0" t="n">
        <f aca="false">F11+F12</f>
        <v>373.102008148069</v>
      </c>
      <c r="G13" s="0" t="n">
        <f aca="false">G11+G12</f>
        <v>417.031360868227</v>
      </c>
      <c r="H13" s="0" t="n">
        <f aca="false">H11+H12</f>
        <v>454.976702775975</v>
      </c>
      <c r="I13" s="0" t="n">
        <f aca="false">I11+I12</f>
        <v>489.240050949837</v>
      </c>
      <c r="J13" s="0" t="n">
        <f aca="false">J11+J12</f>
        <v>525.149720981632</v>
      </c>
      <c r="K13" s="0" t="n">
        <f aca="false">K11+K12</f>
        <v>540.904212611081</v>
      </c>
      <c r="L13" s="0" t="n">
        <f aca="false">L11+L12</f>
        <v>557.131338989414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</v>
      </c>
      <c r="D14" s="4" t="n">
        <f aca="false">Assumptions!D47</f>
        <v>8</v>
      </c>
      <c r="E14" s="4" t="n">
        <f aca="false">Assumptions!E47</f>
        <v>15</v>
      </c>
      <c r="F14" s="4" t="n">
        <f aca="false">Assumptions!F47</f>
        <v>22</v>
      </c>
      <c r="G14" s="4" t="n">
        <f aca="false">Assumptions!G47</f>
        <v>28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231.322749849</v>
      </c>
      <c r="D15" s="0" t="n">
        <f aca="false">D13-MAX(0,D13)*D14/100</f>
        <v>256.89251143296</v>
      </c>
      <c r="E15" s="0" t="n">
        <f aca="false">E13-MAX(0,E13)*E14/100</f>
        <v>278.274113756496</v>
      </c>
      <c r="F15" s="0" t="n">
        <f aca="false">F13-MAX(0,F13)*F14/100</f>
        <v>291.019566355494</v>
      </c>
      <c r="G15" s="0" t="n">
        <f aca="false">G13-MAX(0,G13)*G14/100</f>
        <v>300.262579825124</v>
      </c>
      <c r="H15" s="0" t="n">
        <f aca="false">H13-MAX(0,H13)*H14/100</f>
        <v>318.483691943182</v>
      </c>
      <c r="I15" s="0" t="n">
        <f aca="false">I13-MAX(0,I13)*I14/100</f>
        <v>342.468035664886</v>
      </c>
      <c r="J15" s="0" t="n">
        <f aca="false">J13-MAX(0,J13)*J14/100</f>
        <v>367.604804687143</v>
      </c>
      <c r="K15" s="0" t="n">
        <f aca="false">K13-MAX(0,K13)*K14/100</f>
        <v>378.632948827757</v>
      </c>
      <c r="L15" s="0" t="n">
        <f aca="false">L13-MAX(0,L13)*L14/100</f>
        <v>389.99193729259</v>
      </c>
    </row>
    <row r="16" customFormat="false" ht="15" hidden="false" customHeight="false" outlineLevel="0" collapsed="false">
      <c r="A16" s="0" t="s">
        <v>119</v>
      </c>
      <c r="C16" s="0" t="n">
        <f aca="false">-C12</f>
        <v>218.28564</v>
      </c>
      <c r="D16" s="0" t="n">
        <f aca="false">-D12</f>
        <v>224.17935228</v>
      </c>
      <c r="E16" s="0" t="n">
        <f aca="false">-E12</f>
        <v>228.3366022938</v>
      </c>
      <c r="F16" s="0" t="n">
        <f aca="false">-F12</f>
        <v>232.414041620475</v>
      </c>
      <c r="G16" s="0" t="n">
        <f aca="false">-G12</f>
        <v>235.264987197686</v>
      </c>
      <c r="H16" s="0" t="n">
        <f aca="false">-H12</f>
        <v>236.828049098931</v>
      </c>
      <c r="I16" s="0" t="n">
        <f aca="false">-I12</f>
        <v>240.497216056802</v>
      </c>
      <c r="J16" s="0" t="n">
        <f aca="false">-J12</f>
        <v>244.173387787956</v>
      </c>
      <c r="K16" s="0" t="n">
        <f aca="false">-K12</f>
        <v>251.498589421594</v>
      </c>
      <c r="L16" s="0" t="n">
        <f aca="false">-L12</f>
        <v>259.043547104242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-152.799948</v>
      </c>
      <c r="D17" s="4" t="n">
        <f aca="false">-D6*Assumptions!D46/100</f>
        <v>-147.56109264</v>
      </c>
      <c r="E17" s="4" t="n">
        <f aca="false">-E6*Assumptions!E46/100</f>
        <v>-142.3397001312</v>
      </c>
      <c r="F17" s="4" t="n">
        <f aca="false">-F6*Assumptions!F46/100</f>
        <v>-139.448424972285</v>
      </c>
      <c r="G17" s="4" t="n">
        <f aca="false">-G6*Assumptions!G46/100</f>
        <v>-138.580745883569</v>
      </c>
      <c r="H17" s="4" t="n">
        <f aca="false">-H6*Assumptions!H46/100</f>
        <v>-140.095465664156</v>
      </c>
      <c r="I17" s="4" t="n">
        <f aca="false">-I6*Assumptions!I46/100</f>
        <v>-144.298329634081</v>
      </c>
      <c r="J17" s="4" t="n">
        <f aca="false">-J6*Assumptions!J46/100</f>
        <v>-148.627279523104</v>
      </c>
      <c r="K17" s="4" t="n">
        <f aca="false">-K6*Assumptions!K46/100</f>
        <v>-153.086097908797</v>
      </c>
      <c r="L17" s="4" t="n">
        <f aca="false">-L6*Assumptions!L46/100</f>
        <v>-157.678680846061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296.808441849</v>
      </c>
      <c r="D19" s="0" t="n">
        <f aca="false">D15+D16+D17+D18</f>
        <v>333.51077107296</v>
      </c>
      <c r="E19" s="0" t="n">
        <f aca="false">E15+E16+E17+E18</f>
        <v>364.271015919096</v>
      </c>
      <c r="F19" s="0" t="n">
        <f aca="false">F15+F16+F17+F18</f>
        <v>383.985183003684</v>
      </c>
      <c r="G19" s="0" t="n">
        <f aca="false">G15+G16+G17+G18</f>
        <v>396.946821139241</v>
      </c>
      <c r="H19" s="0" t="n">
        <f aca="false">H15+H16+H17+H18</f>
        <v>415.216275377957</v>
      </c>
      <c r="I19" s="0" t="n">
        <f aca="false">I15+I16+I17+I18</f>
        <v>438.666922087606</v>
      </c>
      <c r="J19" s="0" t="n">
        <f aca="false">J15+J16+J17+J18</f>
        <v>463.150912951995</v>
      </c>
      <c r="K19" s="0" t="n">
        <f aca="false">K15+K16+K17+K18</f>
        <v>477.045440340555</v>
      </c>
      <c r="L19" s="0" t="n">
        <f aca="false">L15+L16+L17+L18</f>
        <v>491.356803550772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268.604924750226</v>
      </c>
      <c r="D21" s="0" t="n">
        <f aca="false">D19*D20</f>
        <v>273.140002107213</v>
      </c>
      <c r="E21" s="0" t="n">
        <f aca="false">E19*E20</f>
        <v>269.983847981067</v>
      </c>
      <c r="F21" s="0" t="n">
        <f aca="false">F19*F20</f>
        <v>257.552253578774</v>
      </c>
      <c r="G21" s="0" t="n">
        <f aca="false">G19*G20</f>
        <v>240.946675392331</v>
      </c>
      <c r="H21" s="0" t="n">
        <f aca="false">H19*H20</f>
        <v>228.087087821091</v>
      </c>
      <c r="I21" s="0" t="n">
        <f aca="false">I19*I20</f>
        <v>218.071515271397</v>
      </c>
      <c r="J21" s="0" t="n">
        <f aca="false">J19*J20</f>
        <v>208.364774466441</v>
      </c>
      <c r="K21" s="0" t="n">
        <f aca="false">K19*K20</f>
        <v>194.222368959669</v>
      </c>
      <c r="L21" s="0" t="n">
        <f aca="false">L19*L20</f>
        <v>181.039855229375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2340.01330555758</v>
      </c>
    </row>
    <row r="31" customFormat="false" ht="15" hidden="false" customHeight="false" outlineLevel="0" collapsed="false">
      <c r="A31" s="0" t="s">
        <v>128</v>
      </c>
      <c r="B31" s="0" t="n">
        <f aca="false">L19</f>
        <v>491.356803550772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6747.96676876393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6878.9952497108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6747.96676876393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2486.28067848341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4826.293984041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4293.193984041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1.84534450205931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1.01676994760581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49.4662093188533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49.3912726471338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1.88783643499118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4217.47923047746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1.04404545545217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0.693506572440238</v>
      </c>
      <c r="C4" s="0" t="n">
        <f aca="false">B4/Assumptions!$B$2-1</f>
        <v>-0.242069319737445</v>
      </c>
      <c r="D4" s="4" t="n">
        <f aca="false">Assumptions!$B$24</f>
        <v>0.3</v>
      </c>
      <c r="E4" s="4" t="n">
        <f aca="false">DCF_Bear!$B$43</f>
        <v>0.725486384772314</v>
      </c>
      <c r="F4" s="4" t="n">
        <f aca="false">DCF_Bear!$B$47</f>
        <v>0.428909850130904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1.13169048080625</v>
      </c>
      <c r="C5" s="0" t="n">
        <f aca="false">B5/Assumptions!$B$2-1</f>
        <v>0.236820197602456</v>
      </c>
      <c r="D5" s="4" t="n">
        <f aca="false">Assumptions!$B$38</f>
        <v>0.45</v>
      </c>
      <c r="E5" s="4" t="n">
        <f aca="false">DCF_Base!$B$43</f>
        <v>1.16671261795481</v>
      </c>
      <c r="F5" s="4" t="n">
        <f aca="false">DCF_Base!$B$47</f>
        <v>0.662182473537249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1.84534450205931</v>
      </c>
      <c r="C6" s="0" t="n">
        <f aca="false">B6/Assumptions!$B$2-1</f>
        <v>1.01676994760581</v>
      </c>
      <c r="D6" s="4" t="n">
        <f aca="false">Assumptions!$B$52</f>
        <v>0.25</v>
      </c>
      <c r="E6" s="4" t="n">
        <f aca="false">DCF_Bull!$B$43</f>
        <v>1.88783643499118</v>
      </c>
      <c r="F6" s="4" t="n">
        <f aca="false">DCF_Bull!$B$47</f>
        <v>1.04404545545217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1.17864881360971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1.21462570225915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0.223687336351075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-732.828278116832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0.687666431994075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1.27264279890395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1.17661068397102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1.13169048080625</v>
      </c>
      <c r="C17" s="3" t="n">
        <v>10.5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1.0563324515136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0.928228112571445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0.662182473537249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1.32397461465446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1.32397461465446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1.32397461465446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1.32397461465446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1.32397461465446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1.21701524399254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1.22355918639114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1.22355918639114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1.22355918639114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1.22355918639114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1.06218860081557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1.09500893303339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1.13169048080625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1.13169048080625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1.13169048080625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0.937026881917057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0.961670614313802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0.988908423804942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1.01917265657288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1.04753689266479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0.833778577426351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0.852654420676197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0.873327963283171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0.896068860150842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0.921203535636163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2026-09-25T05:16:44Z</dcterms:created>
  <dc:creator>openpyxl</dc:creator>
  <dc:description/>
  <dc:language>en-NZ</dc:language>
  <cp:lastModifiedBy/>
  <dcterms:modified xsi:type="dcterms:W3CDTF">2026-09-25T05:16:44Z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