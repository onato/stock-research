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<sst xmlns="http://schemas.openxmlformats.org/spreadsheetml/2006/main" count="361" uniqueCount="168">
  <si>
    <t xml:space="preserve">Ticker</t>
  </si>
  <si>
    <t xml:space="preserve">0966.HK</t>
  </si>
  <si>
    <t xml:space="preserve">Company</t>
  </si>
  <si>
    <t xml:space="preserve">China Taiping Insurance Holdings Company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</si>
  <si>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</si>
  <si>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</si>
  <si>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</si>
  <si>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</si>
  <si>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close (HKEX)</t>
  </si>
  <si>
    <t xml:space="preserve">Balance sheet date</t>
  </si>
  <si>
    <t xml:space="preserve">2026-06-30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</si>
  <si>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</si>
  <si>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</si>
  <si>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</si>
  <si>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</si>
  <si>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</si>
  <si>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</si>
  <si>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</si>
  <si>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</si>
  <si>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</si>
  <si>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</si>
  <si>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2026-10-11T12:12:15Z</t>
  </si>
  <si>
    <t xml:space="preserve">Drivers file</t>
  </si>
  <si>
    <t xml:space="preserve">0966.HK_Drivers.json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</si>
  <si>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</si>
  <si>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</si>
  <si>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</si>
  <si>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China Taiping as the free cash flow to ordinary equity that its insurance service result and a mid-cycle investment result can support after the capital it must retain, at a cost of equity that prices China policy, RMB and governance risk, with the holdco perpetuals deducted at face. Reported FY2025 profit (HK$27.1bn, EPS 7.25, P/E 2.6x) is not the base: it includes a HK$3.2bn deferred-tax credit and an investment result 2.5x the prior year. Cross-checks: the weighted IV implies ~0.9x H1 2026 book value (HK$28.84/share) and ~0.4x attributable group EV (HK$63.33/share); the 0.29x P/EV at the current price is the market's statement that the EV's economic assumptions (and the state-owned payout record) are not to be taken at face value, and this model agrees in direction while finding the discount too wide.
key_risks_to_valuation: Net investment result is the swing factor: FY2022-25 ranged -7.5bn to +14.6bn; each HK$1bn of normalised NIR is worth ~HK$0.6/share after NCI, tax and 50% retention, capitalised.; Solvency: TPL core solvency 128% at 30 Jun 2026 (186% at Dec 2024). A further slide forces higher retention, sub-debt (whose interest hits 'other') or a capital injection diluting ordinary holders' claim.; RMB/HKD: ~90% of the business is RMB; a 5% RMB depreciation is roughly a 5% cut to every per-share figure here.; Tax: the IFRS 17 tax-transition deferred-tax swings (+9.3bn charge FY2024, -3.2bn credit FY2025) will keep reported profit volatile; 12% is a normalised rate, not a forecast of any one year.; Governance/payout: state-owned (China Taiping Insurance Group), 17% payout, no buybacks, minority at TPL. The FCFE credited to shareholders is 2x the current dividend; if retained cash is never distributed or redeployed at the cost of equity, the value is lower.; Perpetual securities (HK$16bn, 6.4%) are callable 2028; a non-call or reset at higher rates is a cost to ordinary equity beyond the face deducted here.</t>
  </si>
  <si>
    <t xml:space="preserve">Data sources</t>
  </si>
  <si>
    <t xml:space="preserve">price: Yahoo Finance chart API at inputs.price_as_of; 52-week range 15.21-25.96; regular-hours HKEX close, checked against the five prior daily bars (no gaps, no after-hours print).
financials: 0966.HK_Metrics.csv (core_metrics, HKD millions, FY2017-FY2025 + H1 FY2023-H1 FY2026); 2025 Annual Report pp.26-29 (consolidated results, segment net operating profit, equity/EV/CSM), p.17 (highlights), pp.56-57 (solvency, leverage, perpetuals), note 14 (tax reconciliation), EV section pp.60-66 (TPL NBV 9,589 after CoC, 21.3% margin); 2026 Interim Report pp.83-86, 108-110 (results, segments, solvency, outlook), note 13 (EPS/shares), note 26 (perpetuals); 2024 Annual Report p.28 and 2023 Annual Report p.26 for the FY2022-23 ISR/NIR comparatives.
qualitative: 0966.HK_Analysis.json not present at build time; qualitative judgments taken directly from the FY2025 annual and H1 2026 interim management discussion (life transformation to participating products, agent productivity +73.8%, TPP group-insurance transfer, 15th Five-Year Plan outlook).
cost_of_equity: US 10-year 5.24% (Yahoo ^TNX, 2026-10-09) as the HKD-peg anchor; PRU (10.0%) and LGEN.L (10.5%) Drivers files for the folder's life-insurer rate convention.</t>
  </si>
  <si>
    <t xml:space="preserve">Scenario narrative: bear</t>
  </si>
  <si>
    <t xml:space="preserve">China 10-year yields stay low and equity markets are flat: the net investment result averages HK$2bn as it did FY2022-25, the ISR is flat at HK$24.5bn, tax 15%. TPL's core solvency keeps falling and 60% of earnings are retained or injected (FY2025 already shows a HK$1.19bn capital injection to a subsidiary), so FCFE is ~HK$4.5bn. RMB weakness cuts the HKD value of every RMB line. Cost of equity 13%, terminal growth 2.5%.</t>
  </si>
  <si>
    <t xml:space="preserve">Scenario narrative: base</t>
  </si>
  <si>
    <t xml:space="preserve">The CSM (HK$231bn, +6.8% in H1 2026) releases into an insurance service result of ~HK$25bn in FY2026 growing 3-5%; the net investment result normalises at HK$6bn (FY2024 level, well below FY2025's 14.6bn); the holdco 'other' line stays at -5.3bn. Normalised attributable earnings ~HK$16.5bn (EPS ~4.6) of which half is retained to rebuild TPL's core solvency from 128%, so FCFE ~HK$8.3bn. Capitalised at 12% with 3% terminal growth, less HK$16bn of perpetuals.</t>
  </si>
  <si>
    <t xml:space="preserve">Scenario narrative: bull</t>
  </si>
  <si>
    <t xml:space="preserve">The participating-product transition (97.8% of TPL first-year regular premium) stabilises the investment result at ~HK$10bn, tax stays at the 10% underlying rate, the FY2025 dividend step-up (HK$0.35 -&gt; 1.23) is the start of a move to a 40-50% payout, so 65% of earnings are free to shareholders. Cost of equity 11%, terminal growth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</si>
  <si>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</si>
  <si>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</si>
  <si>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</si>
  <si>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</si>
  <si>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</si>
  <si>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</si>
  <si>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</si>
  <si>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</si>
  <si>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</si>
  <si>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</si>
  <si>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</si>
  <si>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</si>
  <si>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</si>
  <si>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</si>
  <si>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</si>
  <si>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</si>
  <si>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</si>
  <si>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</si>
  <si>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</si>
  <si>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</si>
  <si>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</si>
  <si>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</si>
  <si>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</si>
  <si>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</si>
  <si>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</si>
  <si>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</si>
  <si>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</si>
  <si>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InsuranceServiceResult</t>
  </si>
  <si>
    <t xml:space="preserve">InterestPaid</t>
  </si>
  <si>
    <t xml:space="preserve">PerpetualCapitalSecurities</t>
  </si>
  <si>
    <t xml:space="preserve">ProfitAfterTaxTotal</t>
  </si>
  <si>
    <t xml:space="preserve">TotalEquity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</si>
  <si>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</si>
  <si>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</si>
  <si>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</si>
  <si>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</si>
  <si>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</si>
  <si>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</si>
  <si>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</si>
  <si>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</si>
  <si>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</si>
  <si>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</si>
  <si>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</si>
  <si>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</si>
  <si>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</si>
  <si>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</si>
  <si>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</si>
  <si>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</si>
  <si>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</si>
  <si>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</si>
  <si>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</si>
  <si>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</si>
  <si>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</si>
  <si>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</si>
  <si>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</si>
  <si>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</si>
  <si>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</si>
  <si>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</si>
  <si>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</si>
  <si>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</si>
  <si>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</si>
  <si>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</si>
  <si>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</si>
  <si>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</si>
  <si>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</si>
  <si>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</si>
  <si>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</si>
  <si>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</si>
  <si>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</si>
  <si>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</si>
  <si>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</si>
  <si>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</si>
  <si>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</si>
  <si>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</si>
  <si>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</si>
  <si>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</si>
  <si>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</si>
  <si>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</si>
  <si>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0966.HK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</si>
  <si>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</si>
  <si>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</si>
  <si>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</si>
  <si>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</si>
  <si>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</si>
  <si>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</si>
  <si>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</si>
  <si>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</si>
  <si>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</si>
  <si>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</si>
  <si>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</si>
  <si>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</si>
  <si>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</si>
  <si>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</si>
  <si>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</si>
  <si>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</si>
  <si>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</si>
  <si>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</si>
  <si>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</si>
  <si>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</si>
  <si>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</si>
  <si>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</si>
  <si>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</si>
  <si>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</si>
  <si>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</si>
  <si>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</si>
  <si>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</si>
  <si>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</si>
  <si>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</si>
  <si>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</si>
  <si>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0966.HK owner-FCF component DCF: base case (millions, HKD)</t>
  </si>
  <si>
    <t xml:space="preserve">0966.HK owner-FCF component DCF: bull case (millions, HKD)</t>
  </si>
  <si>
    <t xml:space="preserve">0966.HK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</si>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</sst>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18.53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196100.128</v>
      </c>
      <c r="I2" s="0" t="n">
        <v>6136.187</v>
      </c>
      <c r="J2" s="0" t="n">
        <v>3.1</v>
      </c>
      <c r="K2" s="0" t="n">
        <v>1.636</v>
      </c>
      <c r="L2" s="0" t="n">
        <v>71740.143</v>
      </c>
      <c r="M2" s="0" t="n">
        <v>4108.298</v>
      </c>
      <c r="N2" s="0" t="n">
        <v>67631.845</v>
      </c>
      <c r="O2" s="0" t="n">
        <v>61733.27</v>
      </c>
      <c r="P2" s="0" t="n">
        <v>666473.693</v>
      </c>
      <c r="Q2" s="0" t="n">
        <v>584752.995</v>
      </c>
      <c r="R2" s="0" t="n">
        <v>52146.758</v>
      </c>
      <c r="S2" s="0" t="n">
        <v>39265.257</v>
      </c>
      <c r="T2" s="0" t="n">
        <v>3594.018538</v>
      </c>
      <c r="AA2" s="0" t="s">
        <v>17</v>
      </c>
      <c r="AB2" s="0" t="s">
        <v>14</v>
      </c>
      <c r="AD2" s="0" t="n">
        <v>2165.599</v>
      </c>
      <c r="AE2" s="0" t="n">
        <v>4707.156</v>
      </c>
      <c r="AF2" s="0" t="n">
        <v>7964.253</v>
      </c>
      <c r="AG2" s="0" t="n">
        <v>81720.698</v>
      </c>
    </row>
    <row r="3" customFormat="false" ht="15" hidden="false" customHeight="false" outlineLevel="0" collapsed="false">
      <c r="A3" s="0" t="s">
        <v>69</v>
      </c>
      <c r="B3" s="0" t="n">
        <v>213661.507</v>
      </c>
      <c r="I3" s="0" t="n">
        <v>6883.569</v>
      </c>
      <c r="J3" s="0" t="n">
        <v>3.2</v>
      </c>
      <c r="K3" s="0" t="n">
        <v>1.844</v>
      </c>
      <c r="L3" s="0" t="n">
        <v>67424.984</v>
      </c>
      <c r="M3" s="0" t="n">
        <v>5731.822</v>
      </c>
      <c r="N3" s="0" t="n">
        <v>61693.162</v>
      </c>
      <c r="O3" s="0" t="n">
        <v>61022.69</v>
      </c>
      <c r="P3" s="0" t="n">
        <v>752101.333</v>
      </c>
      <c r="Q3" s="0" t="n">
        <v>671705.552</v>
      </c>
      <c r="R3" s="0" t="n">
        <v>56166.04</v>
      </c>
      <c r="S3" s="0" t="n">
        <v>27527.82</v>
      </c>
      <c r="T3" s="0" t="n">
        <v>3594.018538</v>
      </c>
      <c r="U3" s="0" t="n">
        <v>0</v>
      </c>
      <c r="AA3" s="0" t="s">
        <v>17</v>
      </c>
      <c r="AB3" s="0" t="s">
        <v>14</v>
      </c>
      <c r="AD3" s="0" t="n">
        <v>2869.97</v>
      </c>
      <c r="AE3" s="0" t="n">
        <v>4707.219</v>
      </c>
      <c r="AF3" s="0" t="n">
        <v>8819.983</v>
      </c>
      <c r="AG3" s="0" t="n">
        <v>80395.781</v>
      </c>
    </row>
    <row r="4" customFormat="false" ht="15" hidden="false" customHeight="false" outlineLevel="0" collapsed="false">
      <c r="A4" s="0" t="s">
        <v>70</v>
      </c>
      <c r="B4" s="0" t="n">
        <v>244527.748</v>
      </c>
      <c r="I4" s="0" t="n">
        <v>9008.522</v>
      </c>
      <c r="J4" s="0" t="n">
        <v>3.7</v>
      </c>
      <c r="K4" s="0" t="n">
        <v>2.457</v>
      </c>
      <c r="L4" s="0" t="n">
        <v>105013.585</v>
      </c>
      <c r="M4" s="0" t="n">
        <v>5542.111</v>
      </c>
      <c r="N4" s="0" t="n">
        <v>99471.474</v>
      </c>
      <c r="O4" s="0" t="n">
        <v>76307.604</v>
      </c>
      <c r="P4" s="0" t="n">
        <v>919420.179</v>
      </c>
      <c r="Q4" s="0" t="n">
        <v>825363.215</v>
      </c>
      <c r="R4" s="0" t="n">
        <v>60420.136</v>
      </c>
      <c r="S4" s="0" t="n">
        <v>27817.656</v>
      </c>
      <c r="T4" s="0" t="n">
        <v>3594.018538</v>
      </c>
      <c r="U4" s="0" t="n">
        <v>0</v>
      </c>
      <c r="AA4" s="0" t="s">
        <v>17</v>
      </c>
      <c r="AB4" s="0" t="s">
        <v>14</v>
      </c>
      <c r="AD4" s="0" t="n">
        <v>2185.894</v>
      </c>
      <c r="AE4" s="0" t="n">
        <v>0</v>
      </c>
      <c r="AF4" s="0" t="n">
        <v>12542.874</v>
      </c>
      <c r="AG4" s="0" t="n">
        <v>94056.964</v>
      </c>
    </row>
    <row r="5" customFormat="false" ht="15" hidden="false" customHeight="false" outlineLevel="0" collapsed="false">
      <c r="A5" s="0" t="s">
        <v>71</v>
      </c>
      <c r="B5" s="0" t="n">
        <v>270113.246</v>
      </c>
      <c r="I5" s="0" t="n">
        <v>6548.98</v>
      </c>
      <c r="J5" s="0" t="n">
        <v>2.4</v>
      </c>
      <c r="K5" s="0" t="n">
        <v>1.822</v>
      </c>
      <c r="L5" s="0" t="n">
        <v>114200.326</v>
      </c>
      <c r="M5" s="0" t="n">
        <v>3416.565</v>
      </c>
      <c r="N5" s="0" t="n">
        <v>110783.761</v>
      </c>
      <c r="O5" s="0" t="n">
        <v>90647.452</v>
      </c>
      <c r="P5" s="0" t="n">
        <v>1169007.966</v>
      </c>
      <c r="Q5" s="0" t="n">
        <v>1052394.907</v>
      </c>
      <c r="R5" s="0" t="n">
        <v>58993.81</v>
      </c>
      <c r="S5" s="0" t="n">
        <v>31306.39</v>
      </c>
      <c r="T5" s="0" t="n">
        <v>3594.018538</v>
      </c>
      <c r="U5" s="0" t="n">
        <v>0</v>
      </c>
      <c r="AA5" s="0" t="s">
        <v>17</v>
      </c>
      <c r="AB5" s="0" t="s">
        <v>14</v>
      </c>
      <c r="AD5" s="0" t="n">
        <v>2695.741</v>
      </c>
      <c r="AE5" s="0" t="n">
        <v>0</v>
      </c>
      <c r="AF5" s="0" t="n">
        <v>10456.881</v>
      </c>
      <c r="AG5" s="0" t="n">
        <v>116613.059</v>
      </c>
    </row>
    <row r="6" customFormat="false" ht="15" hidden="false" customHeight="false" outlineLevel="0" collapsed="false">
      <c r="A6" s="0" t="s">
        <v>72</v>
      </c>
      <c r="B6" s="0" t="n">
        <v>315857.616</v>
      </c>
      <c r="I6" s="0" t="n">
        <v>7513.701</v>
      </c>
      <c r="J6" s="0" t="n">
        <v>2.4</v>
      </c>
      <c r="K6" s="0" t="n">
        <v>2.091</v>
      </c>
      <c r="L6" s="0" t="n">
        <v>98631.088</v>
      </c>
      <c r="M6" s="0" t="n">
        <v>6873.61</v>
      </c>
      <c r="N6" s="0" t="n">
        <v>91757.478</v>
      </c>
      <c r="O6" s="0" t="n">
        <v>88066.832</v>
      </c>
      <c r="P6" s="0" t="n">
        <v>1378641.974</v>
      </c>
      <c r="Q6" s="0" t="n">
        <v>1265186.014</v>
      </c>
      <c r="R6" s="0" t="n">
        <v>92943.231</v>
      </c>
      <c r="S6" s="0" t="n">
        <v>39945.905</v>
      </c>
      <c r="T6" s="0" t="n">
        <v>3594.018538</v>
      </c>
      <c r="U6" s="0" t="n">
        <v>0</v>
      </c>
      <c r="AA6" s="0" t="s">
        <v>17</v>
      </c>
      <c r="AB6" s="0" t="s">
        <v>14</v>
      </c>
      <c r="AD6" s="0" t="n">
        <v>2971.15</v>
      </c>
      <c r="AE6" s="0" t="n">
        <v>0</v>
      </c>
      <c r="AF6" s="0" t="n">
        <v>10952.373</v>
      </c>
      <c r="AG6" s="0" t="n">
        <v>113455.96</v>
      </c>
    </row>
    <row r="7" customFormat="false" ht="15" hidden="false" customHeight="false" outlineLevel="0" collapsed="false">
      <c r="A7" s="0" t="s">
        <v>73</v>
      </c>
      <c r="B7" s="0" t="n">
        <v>298377.855</v>
      </c>
      <c r="I7" s="0" t="n">
        <v>2796.608</v>
      </c>
      <c r="J7" s="0" t="n">
        <v>0.9</v>
      </c>
      <c r="K7" s="0" t="n">
        <v>0.778</v>
      </c>
      <c r="L7" s="0" t="n">
        <v>95019.047</v>
      </c>
      <c r="M7" s="0" t="n">
        <v>7816.057</v>
      </c>
      <c r="N7" s="0" t="n">
        <v>87202.99</v>
      </c>
      <c r="O7" s="0" t="n">
        <v>75505.986</v>
      </c>
      <c r="P7" s="0" t="n">
        <v>1409365.566</v>
      </c>
      <c r="Q7" s="0" t="n">
        <v>1310679.386</v>
      </c>
      <c r="R7" s="0" t="n">
        <v>87511.245</v>
      </c>
      <c r="S7" s="0" t="n">
        <v>42265.766</v>
      </c>
      <c r="T7" s="0" t="n">
        <v>3594.018538</v>
      </c>
      <c r="U7" s="0" t="n">
        <v>0</v>
      </c>
      <c r="AA7" s="0" t="s">
        <v>17</v>
      </c>
      <c r="AB7" s="0" t="s">
        <v>14</v>
      </c>
      <c r="AD7" s="0" t="n">
        <v>3513.318</v>
      </c>
      <c r="AE7" s="0" t="n">
        <v>0</v>
      </c>
      <c r="AF7" s="0" t="n">
        <v>5538.356</v>
      </c>
      <c r="AG7" s="0" t="n">
        <v>98686.18</v>
      </c>
    </row>
    <row r="8" customFormat="false" ht="15" hidden="false" customHeight="false" outlineLevel="0" collapsed="false">
      <c r="A8" s="0" t="s">
        <v>74</v>
      </c>
      <c r="B8" s="0" t="n">
        <v>107488.846</v>
      </c>
      <c r="I8" s="0" t="n">
        <v>6189.764</v>
      </c>
      <c r="J8" s="0" t="n">
        <v>5.8</v>
      </c>
      <c r="K8" s="0" t="n">
        <v>1.495</v>
      </c>
      <c r="L8" s="0" t="n">
        <v>111580.06</v>
      </c>
      <c r="M8" s="0" t="n">
        <v>7185.943</v>
      </c>
      <c r="N8" s="0" t="n">
        <v>104394.117</v>
      </c>
      <c r="O8" s="0" t="n">
        <v>78988.11</v>
      </c>
      <c r="P8" s="0" t="n">
        <v>1509497.488</v>
      </c>
      <c r="Q8" s="0" t="n">
        <v>1376901.834</v>
      </c>
      <c r="R8" s="0" t="n">
        <v>99783.559</v>
      </c>
      <c r="S8" s="0" t="n">
        <v>42554.402</v>
      </c>
      <c r="T8" s="0" t="n">
        <v>3594.018538</v>
      </c>
      <c r="U8" s="0" t="n">
        <v>0</v>
      </c>
      <c r="AA8" s="0" t="s">
        <v>17</v>
      </c>
      <c r="AB8" s="0" t="s">
        <v>14</v>
      </c>
      <c r="AD8" s="0" t="n">
        <v>4557.722</v>
      </c>
      <c r="AE8" s="0" t="n">
        <v>15991.524</v>
      </c>
      <c r="AF8" s="0" t="n">
        <v>10276.941</v>
      </c>
      <c r="AG8" s="0" t="n">
        <v>132595.654</v>
      </c>
    </row>
    <row r="9" customFormat="false" ht="15" hidden="false" customHeight="false" outlineLevel="0" collapsed="false">
      <c r="A9" s="0" t="s">
        <v>75</v>
      </c>
      <c r="B9" s="0" t="n">
        <v>111267.759</v>
      </c>
      <c r="I9" s="0" t="n">
        <v>8431.613</v>
      </c>
      <c r="J9" s="0" t="n">
        <v>7.6</v>
      </c>
      <c r="K9" s="0" t="n">
        <v>2.068</v>
      </c>
      <c r="L9" s="0" t="n">
        <v>125949.356</v>
      </c>
      <c r="M9" s="0" t="n">
        <v>9733.138</v>
      </c>
      <c r="N9" s="0" t="n">
        <v>116216.218</v>
      </c>
      <c r="O9" s="0" t="n">
        <v>71080.408</v>
      </c>
      <c r="P9" s="0" t="n">
        <v>1734342.014</v>
      </c>
      <c r="Q9" s="0" t="n">
        <v>1611934.564</v>
      </c>
      <c r="R9" s="0" t="n">
        <v>80685.653</v>
      </c>
      <c r="S9" s="0" t="n">
        <v>44388.582</v>
      </c>
      <c r="T9" s="0" t="n">
        <v>3594.018538</v>
      </c>
      <c r="U9" s="0" t="n">
        <v>0</v>
      </c>
      <c r="AA9" s="0" t="s">
        <v>17</v>
      </c>
      <c r="AB9" s="0" t="s">
        <v>14</v>
      </c>
      <c r="AC9" s="0" t="n">
        <v>22024.094</v>
      </c>
      <c r="AD9" s="0" t="n">
        <v>4488.535</v>
      </c>
      <c r="AE9" s="0" t="n">
        <v>15990.486</v>
      </c>
      <c r="AF9" s="0" t="n">
        <v>12797.836</v>
      </c>
      <c r="AG9" s="0" t="n">
        <v>122407.45</v>
      </c>
    </row>
    <row r="10" customFormat="false" ht="15" hidden="false" customHeight="false" outlineLevel="0" collapsed="false">
      <c r="A10" s="0" t="s">
        <v>76</v>
      </c>
      <c r="B10" s="0" t="n">
        <v>112267.068</v>
      </c>
      <c r="I10" s="0" t="n">
        <v>27059.279</v>
      </c>
      <c r="J10" s="0" t="n">
        <v>24.1</v>
      </c>
      <c r="K10" s="0" t="n">
        <v>7.251</v>
      </c>
      <c r="L10" s="0" t="n">
        <v>108829.518</v>
      </c>
      <c r="M10" s="0" t="n">
        <v>5445.193</v>
      </c>
      <c r="N10" s="0" t="n">
        <v>103384.325</v>
      </c>
      <c r="O10" s="0" t="n">
        <v>95154.884</v>
      </c>
      <c r="P10" s="0" t="n">
        <v>1986586.643</v>
      </c>
      <c r="Q10" s="0" t="n">
        <v>1821793.696</v>
      </c>
      <c r="R10" s="0" t="n">
        <v>77695.687</v>
      </c>
      <c r="S10" s="0" t="n">
        <v>54360.241</v>
      </c>
      <c r="T10" s="0" t="n">
        <v>3594.018538</v>
      </c>
      <c r="U10" s="0" t="n">
        <v>0</v>
      </c>
      <c r="AA10" s="0" t="s">
        <v>17</v>
      </c>
      <c r="AB10" s="0" t="s">
        <v>14</v>
      </c>
      <c r="AC10" s="0" t="n">
        <v>23999.774</v>
      </c>
      <c r="AE10" s="0" t="n">
        <v>15987.263</v>
      </c>
      <c r="AF10" s="0" t="n">
        <v>36627.017</v>
      </c>
      <c r="AG10" s="0" t="n">
        <v>164792.947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18.53</v>
      </c>
    </row>
    <row r="3" customFormat="false" ht="15" hidden="false" customHeight="false" outlineLevel="0" collapsed="false">
      <c r="A3" s="0" t="s">
        <v>80</v>
      </c>
      <c r="B3" s="3" t="n">
        <v>3594.019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-15987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112267.07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3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12.8</v>
      </c>
      <c r="D14" s="3" t="n">
        <v>12.7</v>
      </c>
      <c r="E14" s="3" t="n">
        <v>12.6</v>
      </c>
      <c r="F14" s="3" t="n">
        <v>12.5</v>
      </c>
      <c r="G14" s="3" t="n">
        <v>12.4</v>
      </c>
      <c r="H14" s="3" t="n">
        <v>12.3</v>
      </c>
      <c r="I14" s="3" t="n">
        <v>12.2</v>
      </c>
      <c r="J14" s="3" t="n">
        <v>12.1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105</v>
      </c>
      <c r="C18" s="3" t="n">
        <v>6.53</v>
      </c>
      <c r="D18" s="3" t="n">
        <v>6.48</v>
      </c>
      <c r="E18" s="3" t="n">
        <v>6.43</v>
      </c>
      <c r="F18" s="3" t="n">
        <v>6.38</v>
      </c>
      <c r="G18" s="3" t="n">
        <v>6.32</v>
      </c>
      <c r="H18" s="3" t="n">
        <v>6.27</v>
      </c>
      <c r="I18" s="3" t="n">
        <v>6.22</v>
      </c>
      <c r="J18" s="3" t="n">
        <v>6.17</v>
      </c>
      <c r="K18" s="3" t="n">
        <v>6.12</v>
      </c>
      <c r="L18" s="3" t="n">
        <v>6.12</v>
      </c>
    </row>
    <row r="19" customFormat="false" ht="15" hidden="false" customHeight="false" outlineLevel="0" collapsed="false">
      <c r="A19" s="0" t="s">
        <v>106</v>
      </c>
      <c r="C19" s="3" t="n">
        <v>15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107</v>
      </c>
      <c r="B20" s="3" t="n">
        <v>13</v>
      </c>
    </row>
    <row r="21" customFormat="false" ht="15" hidden="false" customHeight="false" outlineLevel="0" collapsed="false">
      <c r="A21" s="0" t="s">
        <v>108</v>
      </c>
      <c r="B21" s="3" t="n">
        <v>2.5</v>
      </c>
    </row>
    <row r="22" customFormat="false" ht="15" hidden="false" customHeight="false" outlineLevel="0" collapsed="false">
      <c r="A22" s="0" t="s">
        <v>109</v>
      </c>
      <c r="B22" s="3" t="n">
        <v>14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5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15.9</v>
      </c>
      <c r="D28" s="3" t="n">
        <v>16</v>
      </c>
      <c r="E28" s="3" t="n">
        <v>16.1</v>
      </c>
      <c r="F28" s="3" t="n">
        <v>16.2</v>
      </c>
      <c r="G28" s="3" t="n">
        <v>16.3</v>
      </c>
      <c r="H28" s="3" t="n">
        <v>16.4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105</v>
      </c>
      <c r="C32" s="3" t="n">
        <v>7</v>
      </c>
      <c r="D32" s="3" t="n">
        <v>7.04</v>
      </c>
      <c r="E32" s="3" t="n">
        <v>7.08</v>
      </c>
      <c r="F32" s="3" t="n">
        <v>7.13</v>
      </c>
      <c r="G32" s="3" t="n">
        <v>7.17</v>
      </c>
      <c r="H32" s="3" t="n">
        <v>6.49</v>
      </c>
      <c r="I32" s="3" t="n">
        <v>6.53</v>
      </c>
      <c r="J32" s="3" t="n">
        <v>6.53</v>
      </c>
      <c r="K32" s="3" t="n">
        <v>6.53</v>
      </c>
      <c r="L32" s="3" t="n">
        <v>6.53</v>
      </c>
    </row>
    <row r="33" customFormat="false" ht="15" hidden="false" customHeight="false" outlineLevel="0" collapsed="false">
      <c r="A33" s="0" t="s">
        <v>106</v>
      </c>
      <c r="C33" s="3" t="n">
        <v>12</v>
      </c>
      <c r="D33" s="3" t="n">
        <v>12</v>
      </c>
      <c r="E33" s="3" t="n">
        <v>12</v>
      </c>
      <c r="F33" s="3" t="n">
        <v>12</v>
      </c>
      <c r="G33" s="3" t="n">
        <v>12</v>
      </c>
      <c r="H33" s="3" t="n">
        <v>12</v>
      </c>
      <c r="I33" s="3" t="n">
        <v>12</v>
      </c>
      <c r="J33" s="3" t="n">
        <v>12</v>
      </c>
      <c r="K33" s="3" t="n">
        <v>12</v>
      </c>
      <c r="L33" s="3" t="n">
        <v>12</v>
      </c>
    </row>
    <row r="34" customFormat="false" ht="15" hidden="false" customHeight="false" outlineLevel="0" collapsed="false">
      <c r="A34" s="0" t="s">
        <v>107</v>
      </c>
      <c r="B34" s="3" t="n">
        <v>12</v>
      </c>
    </row>
    <row r="35" customFormat="false" ht="15" hidden="false" customHeight="false" outlineLevel="0" collapsed="false">
      <c r="A35" s="0" t="s">
        <v>108</v>
      </c>
      <c r="B35" s="3" t="n">
        <v>3</v>
      </c>
    </row>
    <row r="36" customFormat="false" ht="15" hidden="false" customHeight="false" outlineLevel="0" collapsed="false">
      <c r="A36" s="0" t="s">
        <v>109</v>
      </c>
      <c r="B36" s="3" t="n">
        <v>14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6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18.8</v>
      </c>
      <c r="D42" s="3" t="n">
        <v>18.9</v>
      </c>
      <c r="E42" s="3" t="n">
        <v>19</v>
      </c>
      <c r="F42" s="3" t="n">
        <v>19.1</v>
      </c>
      <c r="G42" s="3" t="n">
        <v>19.2</v>
      </c>
      <c r="H42" s="3" t="n">
        <v>19.3</v>
      </c>
      <c r="I42" s="3" t="n">
        <v>19.5</v>
      </c>
      <c r="J42" s="3" t="n">
        <v>19.5</v>
      </c>
      <c r="K42" s="3" t="n">
        <v>19.5</v>
      </c>
      <c r="L42" s="3" t="n">
        <v>19.5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105</v>
      </c>
      <c r="C46" s="3" t="n">
        <v>5.92</v>
      </c>
      <c r="D46" s="3" t="n">
        <v>5.95</v>
      </c>
      <c r="E46" s="3" t="n">
        <v>5.99</v>
      </c>
      <c r="F46" s="3" t="n">
        <v>6.02</v>
      </c>
      <c r="G46" s="3" t="n">
        <v>6.05</v>
      </c>
      <c r="H46" s="3" t="n">
        <v>6.08</v>
      </c>
      <c r="I46" s="3" t="n">
        <v>6.14</v>
      </c>
      <c r="J46" s="3" t="n">
        <v>6.14</v>
      </c>
      <c r="K46" s="3" t="n">
        <v>6.14</v>
      </c>
      <c r="L46" s="3" t="n">
        <v>6.14</v>
      </c>
    </row>
    <row r="47" customFormat="false" ht="15" hidden="false" customHeight="false" outlineLevel="0" collapsed="false">
      <c r="A47" s="0" t="s">
        <v>106</v>
      </c>
      <c r="C47" s="3" t="n">
        <v>10</v>
      </c>
      <c r="D47" s="3" t="n">
        <v>10</v>
      </c>
      <c r="E47" s="3" t="n">
        <v>10</v>
      </c>
      <c r="F47" s="3" t="n">
        <v>10</v>
      </c>
      <c r="G47" s="3" t="n">
        <v>10</v>
      </c>
      <c r="H47" s="3" t="n">
        <v>10</v>
      </c>
      <c r="I47" s="3" t="n">
        <v>10</v>
      </c>
      <c r="J47" s="3" t="n">
        <v>10</v>
      </c>
      <c r="K47" s="3" t="n">
        <v>10</v>
      </c>
      <c r="L47" s="3" t="n">
        <v>10</v>
      </c>
    </row>
    <row r="48" customFormat="false" ht="15" hidden="false" customHeight="false" outlineLevel="0" collapsed="false">
      <c r="A48" s="0" t="s">
        <v>107</v>
      </c>
      <c r="B48" s="3" t="n">
        <v>11</v>
      </c>
    </row>
    <row r="49" customFormat="false" ht="15" hidden="false" customHeight="false" outlineLevel="0" collapsed="false">
      <c r="A49" s="0" t="s">
        <v>108</v>
      </c>
      <c r="B49" s="3" t="n">
        <v>3.5</v>
      </c>
    </row>
    <row r="50" customFormat="false" ht="15" hidden="false" customHeight="false" outlineLevel="0" collapsed="false">
      <c r="A50" s="0" t="s">
        <v>109</v>
      </c>
      <c r="B50" s="3" t="n">
        <v>14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112267.07</v>
      </c>
      <c r="C6" s="0" t="n">
        <f aca="false">B6*(1+C5/100)</f>
        <v>115635.0821</v>
      </c>
      <c r="D6" s="0" t="n">
        <f aca="false">C6*(1+D5/100)</f>
        <v>117947.783742</v>
      </c>
      <c r="E6" s="0" t="n">
        <f aca="false">D6*(1+E5/100)</f>
        <v>120306.73941684</v>
      </c>
      <c r="F6" s="0" t="n">
        <f aca="false">E6*(1+F5/100)</f>
        <v>122712.874205177</v>
      </c>
      <c r="G6" s="0" t="n">
        <f aca="false">F6*(1+G5/100)</f>
        <v>125167.13168928</v>
      </c>
      <c r="H6" s="0" t="n">
        <f aca="false">G6*(1+H5/100)</f>
        <v>127670.474323066</v>
      </c>
      <c r="I6" s="0" t="n">
        <f aca="false">H6*(1+I5/100)</f>
        <v>130223.883809527</v>
      </c>
      <c r="J6" s="0" t="n">
        <f aca="false">I6*(1+J5/100)</f>
        <v>132828.361485718</v>
      </c>
      <c r="K6" s="0" t="n">
        <f aca="false">J6*(1+K5/100)</f>
        <v>135484.928715432</v>
      </c>
      <c r="L6" s="0" t="n">
        <f aca="false">K6*(1+L5/100)</f>
        <v>138194.627289741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12.8</v>
      </c>
      <c r="D7" s="4" t="n">
        <f aca="false">Assumptions!D14</f>
        <v>12.7</v>
      </c>
      <c r="E7" s="4" t="n">
        <f aca="false">Assumptions!E14</f>
        <v>12.6</v>
      </c>
      <c r="F7" s="4" t="n">
        <f aca="false">Assumptions!F14</f>
        <v>12.5</v>
      </c>
      <c r="G7" s="4" t="n">
        <f aca="false">Assumptions!G14</f>
        <v>12.4</v>
      </c>
      <c r="H7" s="4" t="n">
        <f aca="false">Assumptions!H14</f>
        <v>12.3</v>
      </c>
      <c r="I7" s="4" t="n">
        <f aca="false">Assumptions!I14</f>
        <v>12.2</v>
      </c>
      <c r="J7" s="4" t="n">
        <f aca="false">Assumptions!J14</f>
        <v>12.1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14801.2905088</v>
      </c>
      <c r="D8" s="0" t="n">
        <f aca="false">D6*D7/100</f>
        <v>14979.368535234</v>
      </c>
      <c r="E8" s="0" t="n">
        <f aca="false">E6*E7/100</f>
        <v>15158.6491665218</v>
      </c>
      <c r="F8" s="0" t="n">
        <f aca="false">F6*F7/100</f>
        <v>15339.1092756471</v>
      </c>
      <c r="G8" s="0" t="n">
        <f aca="false">G6*G7/100</f>
        <v>15520.7243294708</v>
      </c>
      <c r="H8" s="0" t="n">
        <f aca="false">H6*H7/100</f>
        <v>15703.4683417371</v>
      </c>
      <c r="I8" s="0" t="n">
        <f aca="false">I6*I7/100</f>
        <v>15887.3138247623</v>
      </c>
      <c r="J8" s="0" t="n">
        <f aca="false">J6*J7/100</f>
        <v>16072.2317397719</v>
      </c>
      <c r="K8" s="0" t="n">
        <f aca="false">K6*K7/100</f>
        <v>16258.1914458519</v>
      </c>
      <c r="L8" s="0" t="n">
        <f aca="false">L6*L7/100</f>
        <v>16583.3552747689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14801.2905088</v>
      </c>
      <c r="D11" s="0" t="n">
        <f aca="false">D8+D10+D24</f>
        <v>14979.368535234</v>
      </c>
      <c r="E11" s="0" t="n">
        <f aca="false">E8+E10+E24</f>
        <v>15158.6491665218</v>
      </c>
      <c r="F11" s="0" t="n">
        <f aca="false">F8+F10+F24</f>
        <v>15339.1092756471</v>
      </c>
      <c r="G11" s="0" t="n">
        <f aca="false">G8+G10+G24</f>
        <v>15520.7243294708</v>
      </c>
      <c r="H11" s="0" t="n">
        <f aca="false">H8+H10+H24</f>
        <v>15703.4683417371</v>
      </c>
      <c r="I11" s="0" t="n">
        <f aca="false">I8+I10+I24</f>
        <v>15887.3138247623</v>
      </c>
      <c r="J11" s="0" t="n">
        <f aca="false">J8+J10+J24</f>
        <v>16072.2317397719</v>
      </c>
      <c r="K11" s="0" t="n">
        <f aca="false">K8+K10+K24</f>
        <v>16258.1914458519</v>
      </c>
      <c r="L11" s="0" t="n">
        <f aca="false">L8+L10+L24</f>
        <v>16583.3552747689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14801.2905088</v>
      </c>
      <c r="D13" s="0" t="n">
        <f aca="false">D11+D12</f>
        <v>14979.368535234</v>
      </c>
      <c r="E13" s="0" t="n">
        <f aca="false">E11+E12</f>
        <v>15158.6491665218</v>
      </c>
      <c r="F13" s="0" t="n">
        <f aca="false">F11+F12</f>
        <v>15339.1092756471</v>
      </c>
      <c r="G13" s="0" t="n">
        <f aca="false">G11+G12</f>
        <v>15520.7243294708</v>
      </c>
      <c r="H13" s="0" t="n">
        <f aca="false">H11+H12</f>
        <v>15703.4683417371</v>
      </c>
      <c r="I13" s="0" t="n">
        <f aca="false">I11+I12</f>
        <v>15887.3138247623</v>
      </c>
      <c r="J13" s="0" t="n">
        <f aca="false">J11+J12</f>
        <v>16072.2317397719</v>
      </c>
      <c r="K13" s="0" t="n">
        <f aca="false">K11+K12</f>
        <v>16258.1914458519</v>
      </c>
      <c r="L13" s="0" t="n">
        <f aca="false">L11+L12</f>
        <v>16583.3552747689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12581.09693248</v>
      </c>
      <c r="D15" s="0" t="n">
        <f aca="false">D13-MAX(0,D13)*D14/100</f>
        <v>12732.4632549489</v>
      </c>
      <c r="E15" s="0" t="n">
        <f aca="false">E13-MAX(0,E13)*E14/100</f>
        <v>12884.8517915436</v>
      </c>
      <c r="F15" s="0" t="n">
        <f aca="false">F13-MAX(0,F13)*F14/100</f>
        <v>13038.2428843</v>
      </c>
      <c r="G15" s="0" t="n">
        <f aca="false">G13-MAX(0,G13)*G14/100</f>
        <v>13192.6156800501</v>
      </c>
      <c r="H15" s="0" t="n">
        <f aca="false">H13-MAX(0,H13)*H14/100</f>
        <v>13347.9480904765</v>
      </c>
      <c r="I15" s="0" t="n">
        <f aca="false">I13-MAX(0,I13)*I14/100</f>
        <v>13504.216751048</v>
      </c>
      <c r="J15" s="0" t="n">
        <f aca="false">J13-MAX(0,J13)*J14/100</f>
        <v>13661.3969788061</v>
      </c>
      <c r="K15" s="0" t="n">
        <f aca="false">K13-MAX(0,K13)*K14/100</f>
        <v>13819.4627289741</v>
      </c>
      <c r="L15" s="0" t="n">
        <f aca="false">L13-MAX(0,L13)*L14/100</f>
        <v>14095.8519835536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-7550.97086113</v>
      </c>
      <c r="D17" s="4" t="n">
        <f aca="false">-D6*Assumptions!D18/100</f>
        <v>-7643.0163864816</v>
      </c>
      <c r="E17" s="4" t="n">
        <f aca="false">-E6*Assumptions!E18/100</f>
        <v>-7735.72334450281</v>
      </c>
      <c r="F17" s="4" t="n">
        <f aca="false">-F6*Assumptions!F18/100</f>
        <v>-7829.08137429028</v>
      </c>
      <c r="G17" s="4" t="n">
        <f aca="false">-G6*Assumptions!G18/100</f>
        <v>-7910.56272276252</v>
      </c>
      <c r="H17" s="4" t="n">
        <f aca="false">-H6*Assumptions!H18/100</f>
        <v>-8004.93874005624</v>
      </c>
      <c r="I17" s="4" t="n">
        <f aca="false">-I6*Assumptions!I18/100</f>
        <v>-8099.9255729526</v>
      </c>
      <c r="J17" s="4" t="n">
        <f aca="false">-J6*Assumptions!J18/100</f>
        <v>-8195.50990366879</v>
      </c>
      <c r="K17" s="4" t="n">
        <f aca="false">-K6*Assumptions!K18/100</f>
        <v>-8291.67763738445</v>
      </c>
      <c r="L17" s="4" t="n">
        <f aca="false">-L6*Assumptions!L18/100</f>
        <v>-8457.51119013214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5030.12607135</v>
      </c>
      <c r="D19" s="0" t="n">
        <f aca="false">D15+D16+D17+D18</f>
        <v>5089.4468684673</v>
      </c>
      <c r="E19" s="0" t="n">
        <f aca="false">E15+E16+E17+E18</f>
        <v>5149.12844704075</v>
      </c>
      <c r="F19" s="0" t="n">
        <f aca="false">F15+F16+F17+F18</f>
        <v>5209.16151000976</v>
      </c>
      <c r="G19" s="0" t="n">
        <f aca="false">G15+G16+G17+G18</f>
        <v>5282.05295728763</v>
      </c>
      <c r="H19" s="0" t="n">
        <f aca="false">H15+H16+H17+H18</f>
        <v>5343.00935042031</v>
      </c>
      <c r="I19" s="0" t="n">
        <f aca="false">I15+I16+I17+I18</f>
        <v>5404.29117809538</v>
      </c>
      <c r="J19" s="0" t="n">
        <f aca="false">J15+J16+J17+J18</f>
        <v>5465.88707513729</v>
      </c>
      <c r="K19" s="0" t="n">
        <f aca="false">K15+K16+K17+K18</f>
        <v>5527.78509158963</v>
      </c>
      <c r="L19" s="0" t="n">
        <f aca="false">L15+L16+L17+L18</f>
        <v>5638.34079342143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4451.43900119469</v>
      </c>
      <c r="D21" s="0" t="n">
        <f aca="false">D19*D20</f>
        <v>3985.78343524732</v>
      </c>
      <c r="E21" s="0" t="n">
        <f aca="false">E19*E20</f>
        <v>3568.60430581029</v>
      </c>
      <c r="F21" s="0" t="n">
        <f aca="false">F19*F20</f>
        <v>3194.87630959556</v>
      </c>
      <c r="G21" s="0" t="n">
        <f aca="false">G19*G20</f>
        <v>2866.88672504313</v>
      </c>
      <c r="H21" s="0" t="n">
        <f aca="false">H19*H20</f>
        <v>2566.34638325538</v>
      </c>
      <c r="I21" s="0" t="n">
        <f aca="false">I19*I20</f>
        <v>2297.15148715282</v>
      </c>
      <c r="J21" s="0" t="n">
        <f aca="false">J19*J20</f>
        <v>2056.04732637307</v>
      </c>
      <c r="K21" s="0" t="n">
        <f aca="false">K19*K20</f>
        <v>1840.1158191882</v>
      </c>
      <c r="L21" s="0" t="n">
        <f aca="false">L19*L20</f>
        <v>1660.98950050617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13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28488.2402933666</v>
      </c>
    </row>
    <row r="31" customFormat="false" ht="15" hidden="false" customHeight="false" outlineLevel="0" collapsed="false">
      <c r="A31" s="0" t="s">
        <v>131</v>
      </c>
      <c r="B31" s="0" t="n">
        <f aca="false">L19</f>
        <v>5638.34079342143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55040.9458405425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78936.7711078999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55040.9458405425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16214.4213144649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44702.6616078316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28715.6616078316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7.98984691172517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-0.568815601094162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7.98984691172517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46234.3945060557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6.05099200163342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112267.07</v>
      </c>
      <c r="C6" s="0" t="n">
        <f aca="false">B6*(1+C5/100)</f>
        <v>117880.4235</v>
      </c>
      <c r="D6" s="0" t="n">
        <f aca="false">C6*(1+D5/100)</f>
        <v>122595.64044</v>
      </c>
      <c r="E6" s="0" t="n">
        <f aca="false">D6*(1+E5/100)</f>
        <v>127499.4660576</v>
      </c>
      <c r="F6" s="0" t="n">
        <f aca="false">E6*(1+F5/100)</f>
        <v>131961.947369616</v>
      </c>
      <c r="G6" s="0" t="n">
        <f aca="false">F6*(1+G5/100)</f>
        <v>136580.615527553</v>
      </c>
      <c r="H6" s="0" t="n">
        <f aca="false">G6*(1+H5/100)</f>
        <v>140678.033993379</v>
      </c>
      <c r="I6" s="0" t="n">
        <f aca="false">H6*(1+I5/100)</f>
        <v>144898.375013181</v>
      </c>
      <c r="J6" s="0" t="n">
        <f aca="false">I6*(1+J5/100)</f>
        <v>149245.326263576</v>
      </c>
      <c r="K6" s="0" t="n">
        <f aca="false">J6*(1+K5/100)</f>
        <v>153722.686051483</v>
      </c>
      <c r="L6" s="0" t="n">
        <f aca="false">K6*(1+L5/100)</f>
        <v>158334.366633028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15.9</v>
      </c>
      <c r="D7" s="4" t="n">
        <f aca="false">Assumptions!D28</f>
        <v>16</v>
      </c>
      <c r="E7" s="4" t="n">
        <f aca="false">Assumptions!E28</f>
        <v>16.1</v>
      </c>
      <c r="F7" s="4" t="n">
        <f aca="false">Assumptions!F28</f>
        <v>16.2</v>
      </c>
      <c r="G7" s="4" t="n">
        <f aca="false">Assumptions!G28</f>
        <v>16.3</v>
      </c>
      <c r="H7" s="4" t="n">
        <f aca="false">Assumptions!H28</f>
        <v>16.4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18742.9873365</v>
      </c>
      <c r="D8" s="0" t="n">
        <f aca="false">D6*D7/100</f>
        <v>19615.3024704</v>
      </c>
      <c r="E8" s="0" t="n">
        <f aca="false">E6*E7/100</f>
        <v>20527.4140352736</v>
      </c>
      <c r="F8" s="0" t="n">
        <f aca="false">F6*F7/100</f>
        <v>21377.8354738778</v>
      </c>
      <c r="G8" s="0" t="n">
        <f aca="false">G6*G7/100</f>
        <v>22262.6403309911</v>
      </c>
      <c r="H8" s="0" t="n">
        <f aca="false">H6*H7/100</f>
        <v>23071.1975749142</v>
      </c>
      <c r="I8" s="0" t="n">
        <f aca="false">I6*I7/100</f>
        <v>23908.2318771748</v>
      </c>
      <c r="J8" s="0" t="n">
        <f aca="false">J6*J7/100</f>
        <v>24625.47883349</v>
      </c>
      <c r="K8" s="0" t="n">
        <f aca="false">K6*K7/100</f>
        <v>25364.2431984947</v>
      </c>
      <c r="L8" s="0" t="n">
        <f aca="false">L6*L7/100</f>
        <v>26125.1704944496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18742.9873365</v>
      </c>
      <c r="D11" s="0" t="n">
        <f aca="false">D8+D10+D24</f>
        <v>19615.3024704</v>
      </c>
      <c r="E11" s="0" t="n">
        <f aca="false">E8+E10+E24</f>
        <v>20527.4140352736</v>
      </c>
      <c r="F11" s="0" t="n">
        <f aca="false">F8+F10+F24</f>
        <v>21377.8354738778</v>
      </c>
      <c r="G11" s="0" t="n">
        <f aca="false">G8+G10+G24</f>
        <v>22262.6403309911</v>
      </c>
      <c r="H11" s="0" t="n">
        <f aca="false">H8+H10+H24</f>
        <v>23071.1975749142</v>
      </c>
      <c r="I11" s="0" t="n">
        <f aca="false">I8+I10+I24</f>
        <v>23908.2318771748</v>
      </c>
      <c r="J11" s="0" t="n">
        <f aca="false">J8+J10+J24</f>
        <v>24625.47883349</v>
      </c>
      <c r="K11" s="0" t="n">
        <f aca="false">K8+K10+K24</f>
        <v>25364.2431984947</v>
      </c>
      <c r="L11" s="0" t="n">
        <f aca="false">L8+L10+L24</f>
        <v>26125.1704944496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18742.9873365</v>
      </c>
      <c r="D13" s="0" t="n">
        <f aca="false">D11+D12</f>
        <v>19615.3024704</v>
      </c>
      <c r="E13" s="0" t="n">
        <f aca="false">E11+E12</f>
        <v>20527.4140352736</v>
      </c>
      <c r="F13" s="0" t="n">
        <f aca="false">F11+F12</f>
        <v>21377.8354738778</v>
      </c>
      <c r="G13" s="0" t="n">
        <f aca="false">G11+G12</f>
        <v>22262.6403309911</v>
      </c>
      <c r="H13" s="0" t="n">
        <f aca="false">H11+H12</f>
        <v>23071.1975749142</v>
      </c>
      <c r="I13" s="0" t="n">
        <f aca="false">I11+I12</f>
        <v>23908.2318771748</v>
      </c>
      <c r="J13" s="0" t="n">
        <f aca="false">J11+J12</f>
        <v>24625.47883349</v>
      </c>
      <c r="K13" s="0" t="n">
        <f aca="false">K11+K12</f>
        <v>25364.2431984947</v>
      </c>
      <c r="L13" s="0" t="n">
        <f aca="false">L11+L12</f>
        <v>26125.1704944496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12</v>
      </c>
      <c r="D14" s="4" t="n">
        <f aca="false">Assumptions!D33</f>
        <v>12</v>
      </c>
      <c r="E14" s="4" t="n">
        <f aca="false">Assumptions!E33</f>
        <v>12</v>
      </c>
      <c r="F14" s="4" t="n">
        <f aca="false">Assumptions!F33</f>
        <v>12</v>
      </c>
      <c r="G14" s="4" t="n">
        <f aca="false">Assumptions!G33</f>
        <v>12</v>
      </c>
      <c r="H14" s="4" t="n">
        <f aca="false">Assumptions!H33</f>
        <v>12</v>
      </c>
      <c r="I14" s="4" t="n">
        <f aca="false">Assumptions!I33</f>
        <v>12</v>
      </c>
      <c r="J14" s="4" t="n">
        <f aca="false">Assumptions!J33</f>
        <v>12</v>
      </c>
      <c r="K14" s="4" t="n">
        <f aca="false">Assumptions!K33</f>
        <v>12</v>
      </c>
      <c r="L14" s="4" t="n">
        <f aca="false">Assumptions!L33</f>
        <v>12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16493.82885612</v>
      </c>
      <c r="D15" s="0" t="n">
        <f aca="false">D13-MAX(0,D13)*D14/100</f>
        <v>17261.466173952</v>
      </c>
      <c r="E15" s="0" t="n">
        <f aca="false">E13-MAX(0,E13)*E14/100</f>
        <v>18064.1243510408</v>
      </c>
      <c r="F15" s="0" t="n">
        <f aca="false">F13-MAX(0,F13)*F14/100</f>
        <v>18812.4952170125</v>
      </c>
      <c r="G15" s="0" t="n">
        <f aca="false">G13-MAX(0,G13)*G14/100</f>
        <v>19591.1234912721</v>
      </c>
      <c r="H15" s="0" t="n">
        <f aca="false">H13-MAX(0,H13)*H14/100</f>
        <v>20302.6538659245</v>
      </c>
      <c r="I15" s="0" t="n">
        <f aca="false">I13-MAX(0,I13)*I14/100</f>
        <v>21039.2440519138</v>
      </c>
      <c r="J15" s="0" t="n">
        <f aca="false">J13-MAX(0,J13)*J14/100</f>
        <v>21670.4213734712</v>
      </c>
      <c r="K15" s="0" t="n">
        <f aca="false">K13-MAX(0,K13)*K14/100</f>
        <v>22320.5340146754</v>
      </c>
      <c r="L15" s="0" t="n">
        <f aca="false">L13-MAX(0,L13)*L14/100</f>
        <v>22990.1500351156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-8251.629645</v>
      </c>
      <c r="D17" s="4" t="n">
        <f aca="false">-D6*Assumptions!D32/100</f>
        <v>-8630.733086976</v>
      </c>
      <c r="E17" s="4" t="n">
        <f aca="false">-E6*Assumptions!E32/100</f>
        <v>-9026.96219687808</v>
      </c>
      <c r="F17" s="4" t="n">
        <f aca="false">-F6*Assumptions!F32/100</f>
        <v>-9408.88684745362</v>
      </c>
      <c r="G17" s="4" t="n">
        <f aca="false">-G6*Assumptions!G32/100</f>
        <v>-9792.83013332552</v>
      </c>
      <c r="H17" s="4" t="n">
        <f aca="false">-H6*Assumptions!H32/100</f>
        <v>-9130.00440617031</v>
      </c>
      <c r="I17" s="4" t="n">
        <f aca="false">-I6*Assumptions!I32/100</f>
        <v>-9461.86388836069</v>
      </c>
      <c r="J17" s="4" t="n">
        <f aca="false">-J6*Assumptions!J32/100</f>
        <v>-9745.71980501151</v>
      </c>
      <c r="K17" s="4" t="n">
        <f aca="false">-K6*Assumptions!K32/100</f>
        <v>-10038.0913991619</v>
      </c>
      <c r="L17" s="4" t="n">
        <f aca="false">-L6*Assumptions!L32/100</f>
        <v>-10339.2341411367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8242.19921112</v>
      </c>
      <c r="D19" s="0" t="n">
        <f aca="false">D15+D16+D17+D18</f>
        <v>8630.733086976</v>
      </c>
      <c r="E19" s="0" t="n">
        <f aca="false">E15+E16+E17+E18</f>
        <v>9037.16215416269</v>
      </c>
      <c r="F19" s="0" t="n">
        <f aca="false">F15+F16+F17+F18</f>
        <v>9403.60836955884</v>
      </c>
      <c r="G19" s="0" t="n">
        <f aca="false">G15+G16+G17+G18</f>
        <v>9798.29335794662</v>
      </c>
      <c r="H19" s="0" t="n">
        <f aca="false">H15+H16+H17+H18</f>
        <v>11172.6494597542</v>
      </c>
      <c r="I19" s="0" t="n">
        <f aca="false">I15+I16+I17+I18</f>
        <v>11577.3801635531</v>
      </c>
      <c r="J19" s="0" t="n">
        <f aca="false">J15+J16+J17+J18</f>
        <v>11924.7015684597</v>
      </c>
      <c r="K19" s="0" t="n">
        <f aca="false">K15+K16+K17+K18</f>
        <v>12282.4426155135</v>
      </c>
      <c r="L19" s="0" t="n">
        <f aca="false">L15+L16+L17+L18</f>
        <v>12650.9158939789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7359.1064385</v>
      </c>
      <c r="D21" s="0" t="n">
        <f aca="false">D19*D20</f>
        <v>6880.36757571429</v>
      </c>
      <c r="E21" s="0" t="n">
        <f aca="false">E19*E20</f>
        <v>6432.4735176199</v>
      </c>
      <c r="F21" s="0" t="n">
        <f aca="false">F19*F20</f>
        <v>5976.16312109362</v>
      </c>
      <c r="G21" s="0" t="n">
        <f aca="false">G19*G20</f>
        <v>5559.81479150808</v>
      </c>
      <c r="H21" s="0" t="n">
        <f aca="false">H19*H20</f>
        <v>5660.41192231644</v>
      </c>
      <c r="I21" s="0" t="n">
        <f aca="false">I19*I20</f>
        <v>5237.01883264017</v>
      </c>
      <c r="J21" s="0" t="n">
        <f aca="false">J19*J20</f>
        <v>4816.18696216016</v>
      </c>
      <c r="K21" s="0" t="n">
        <f aca="false">K19*K20</f>
        <v>4429.17193841514</v>
      </c>
      <c r="L21" s="0" t="n">
        <f aca="false">L19*L20</f>
        <v>4073.25633622107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56423.9714361889</v>
      </c>
    </row>
    <row r="31" customFormat="false" ht="15" hidden="false" customHeight="false" outlineLevel="0" collapsed="false">
      <c r="A31" s="0" t="s">
        <v>131</v>
      </c>
      <c r="B31" s="0" t="n">
        <f aca="false">L19</f>
        <v>12650.9158939789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144782.704119981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177112.822515705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144782.704119981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46616.1558478634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103040.127284052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87053.1272840522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24.2216658520871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0.307159517112093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24.2216658520871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108587.028089986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16.8159186025444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6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112267.07</v>
      </c>
      <c r="C6" s="0" t="n">
        <f aca="false">B6*(1+C5/100)</f>
        <v>119003.0942</v>
      </c>
      <c r="D6" s="0" t="n">
        <f aca="false">C6*(1+D5/100)</f>
        <v>124953.24891</v>
      </c>
      <c r="E6" s="0" t="n">
        <f aca="false">D6*(1+E5/100)</f>
        <v>131200.9113555</v>
      </c>
      <c r="F6" s="0" t="n">
        <f aca="false">E6*(1+F5/100)</f>
        <v>137104.952366498</v>
      </c>
      <c r="G6" s="0" t="n">
        <f aca="false">F6*(1+G5/100)</f>
        <v>142589.150461157</v>
      </c>
      <c r="H6" s="0" t="n">
        <f aca="false">G6*(1+H5/100)</f>
        <v>148292.716479604</v>
      </c>
      <c r="I6" s="0" t="n">
        <f aca="false">H6*(1+I5/100)</f>
        <v>153482.96155639</v>
      </c>
      <c r="J6" s="0" t="n">
        <f aca="false">I6*(1+J5/100)</f>
        <v>158854.865210863</v>
      </c>
      <c r="K6" s="0" t="n">
        <f aca="false">J6*(1+K5/100)</f>
        <v>164414.785493244</v>
      </c>
      <c r="L6" s="0" t="n">
        <f aca="false">K6*(1+L5/100)</f>
        <v>170169.302985507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18.8</v>
      </c>
      <c r="D7" s="4" t="n">
        <f aca="false">Assumptions!D42</f>
        <v>18.9</v>
      </c>
      <c r="E7" s="4" t="n">
        <f aca="false">Assumptions!E42</f>
        <v>19</v>
      </c>
      <c r="F7" s="4" t="n">
        <f aca="false">Assumptions!F42</f>
        <v>19.1</v>
      </c>
      <c r="G7" s="4" t="n">
        <f aca="false">Assumptions!G42</f>
        <v>19.2</v>
      </c>
      <c r="H7" s="4" t="n">
        <f aca="false">Assumptions!H42</f>
        <v>19.3</v>
      </c>
      <c r="I7" s="4" t="n">
        <f aca="false">Assumptions!I42</f>
        <v>19.5</v>
      </c>
      <c r="J7" s="4" t="n">
        <f aca="false">Assumptions!J42</f>
        <v>19.5</v>
      </c>
      <c r="K7" s="4" t="n">
        <f aca="false">Assumptions!K42</f>
        <v>19.5</v>
      </c>
      <c r="L7" s="4" t="n">
        <f aca="false">Assumptions!L42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22372.5817096</v>
      </c>
      <c r="D8" s="0" t="n">
        <f aca="false">D6*D7/100</f>
        <v>23616.16404399</v>
      </c>
      <c r="E8" s="0" t="n">
        <f aca="false">E6*E7/100</f>
        <v>24928.173157545</v>
      </c>
      <c r="F8" s="0" t="n">
        <f aca="false">F6*F7/100</f>
        <v>26187.045902001</v>
      </c>
      <c r="G8" s="0" t="n">
        <f aca="false">G6*G7/100</f>
        <v>27377.1168885422</v>
      </c>
      <c r="H8" s="0" t="n">
        <f aca="false">H6*H7/100</f>
        <v>28620.4942805635</v>
      </c>
      <c r="I8" s="0" t="n">
        <f aca="false">I6*I7/100</f>
        <v>29929.177503496</v>
      </c>
      <c r="J8" s="0" t="n">
        <f aca="false">J6*J7/100</f>
        <v>30976.6987161184</v>
      </c>
      <c r="K8" s="0" t="n">
        <f aca="false">K6*K7/100</f>
        <v>32060.8831711825</v>
      </c>
      <c r="L8" s="0" t="n">
        <f aca="false">L6*L7/100</f>
        <v>33183.0140821739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22372.5817096</v>
      </c>
      <c r="D11" s="0" t="n">
        <f aca="false">D8+D10+D24</f>
        <v>23616.16404399</v>
      </c>
      <c r="E11" s="0" t="n">
        <f aca="false">E8+E10+E24</f>
        <v>24928.173157545</v>
      </c>
      <c r="F11" s="0" t="n">
        <f aca="false">F8+F10+F24</f>
        <v>26187.045902001</v>
      </c>
      <c r="G11" s="0" t="n">
        <f aca="false">G8+G10+G24</f>
        <v>27377.1168885422</v>
      </c>
      <c r="H11" s="0" t="n">
        <f aca="false">H8+H10+H24</f>
        <v>28620.4942805635</v>
      </c>
      <c r="I11" s="0" t="n">
        <f aca="false">I8+I10+I24</f>
        <v>29929.177503496</v>
      </c>
      <c r="J11" s="0" t="n">
        <f aca="false">J8+J10+J24</f>
        <v>30976.6987161184</v>
      </c>
      <c r="K11" s="0" t="n">
        <f aca="false">K8+K10+K24</f>
        <v>32060.8831711825</v>
      </c>
      <c r="L11" s="0" t="n">
        <f aca="false">L8+L10+L24</f>
        <v>33183.0140821739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22372.5817096</v>
      </c>
      <c r="D13" s="0" t="n">
        <f aca="false">D11+D12</f>
        <v>23616.16404399</v>
      </c>
      <c r="E13" s="0" t="n">
        <f aca="false">E11+E12</f>
        <v>24928.173157545</v>
      </c>
      <c r="F13" s="0" t="n">
        <f aca="false">F11+F12</f>
        <v>26187.045902001</v>
      </c>
      <c r="G13" s="0" t="n">
        <f aca="false">G11+G12</f>
        <v>27377.1168885422</v>
      </c>
      <c r="H13" s="0" t="n">
        <f aca="false">H11+H12</f>
        <v>28620.4942805635</v>
      </c>
      <c r="I13" s="0" t="n">
        <f aca="false">I11+I12</f>
        <v>29929.177503496</v>
      </c>
      <c r="J13" s="0" t="n">
        <f aca="false">J11+J12</f>
        <v>30976.6987161184</v>
      </c>
      <c r="K13" s="0" t="n">
        <f aca="false">K11+K12</f>
        <v>32060.8831711825</v>
      </c>
      <c r="L13" s="0" t="n">
        <f aca="false">L11+L12</f>
        <v>33183.0140821739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10</v>
      </c>
      <c r="D14" s="4" t="n">
        <f aca="false">Assumptions!D47</f>
        <v>10</v>
      </c>
      <c r="E14" s="4" t="n">
        <f aca="false">Assumptions!E47</f>
        <v>10</v>
      </c>
      <c r="F14" s="4" t="n">
        <f aca="false">Assumptions!F47</f>
        <v>10</v>
      </c>
      <c r="G14" s="4" t="n">
        <f aca="false">Assumptions!G47</f>
        <v>10</v>
      </c>
      <c r="H14" s="4" t="n">
        <f aca="false">Assumptions!H47</f>
        <v>10</v>
      </c>
      <c r="I14" s="4" t="n">
        <f aca="false">Assumptions!I47</f>
        <v>10</v>
      </c>
      <c r="J14" s="4" t="n">
        <f aca="false">Assumptions!J47</f>
        <v>10</v>
      </c>
      <c r="K14" s="4" t="n">
        <f aca="false">Assumptions!K47</f>
        <v>10</v>
      </c>
      <c r="L14" s="4" t="n">
        <f aca="false">Assumptions!L47</f>
        <v>10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20135.32353864</v>
      </c>
      <c r="D15" s="0" t="n">
        <f aca="false">D13-MAX(0,D13)*D14/100</f>
        <v>21254.547639591</v>
      </c>
      <c r="E15" s="0" t="n">
        <f aca="false">E13-MAX(0,E13)*E14/100</f>
        <v>22435.3558417905</v>
      </c>
      <c r="F15" s="0" t="n">
        <f aca="false">F13-MAX(0,F13)*F14/100</f>
        <v>23568.3413118009</v>
      </c>
      <c r="G15" s="0" t="n">
        <f aca="false">G13-MAX(0,G13)*G14/100</f>
        <v>24639.405199688</v>
      </c>
      <c r="H15" s="0" t="n">
        <f aca="false">H13-MAX(0,H13)*H14/100</f>
        <v>25758.4448525072</v>
      </c>
      <c r="I15" s="0" t="n">
        <f aca="false">I13-MAX(0,I13)*I14/100</f>
        <v>26936.2597531464</v>
      </c>
      <c r="J15" s="0" t="n">
        <f aca="false">J13-MAX(0,J13)*J14/100</f>
        <v>27879.0288445065</v>
      </c>
      <c r="K15" s="0" t="n">
        <f aca="false">K13-MAX(0,K13)*K14/100</f>
        <v>28854.7948540643</v>
      </c>
      <c r="L15" s="0" t="n">
        <f aca="false">L13-MAX(0,L13)*L14/100</f>
        <v>29864.7126739565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-7044.98317664</v>
      </c>
      <c r="D17" s="4" t="n">
        <f aca="false">-D6*Assumptions!D46/100</f>
        <v>-7434.718310145</v>
      </c>
      <c r="E17" s="4" t="n">
        <f aca="false">-E6*Assumptions!E46/100</f>
        <v>-7858.93459019445</v>
      </c>
      <c r="F17" s="4" t="n">
        <f aca="false">-F6*Assumptions!F46/100</f>
        <v>-8253.71813246315</v>
      </c>
      <c r="G17" s="4" t="n">
        <f aca="false">-G6*Assumptions!G46/100</f>
        <v>-8626.64360290002</v>
      </c>
      <c r="H17" s="4" t="n">
        <f aca="false">-H6*Assumptions!H46/100</f>
        <v>-9016.1971619599</v>
      </c>
      <c r="I17" s="4" t="n">
        <f aca="false">-I6*Assumptions!I46/100</f>
        <v>-9423.85383956234</v>
      </c>
      <c r="J17" s="4" t="n">
        <f aca="false">-J6*Assumptions!J46/100</f>
        <v>-9753.68872394701</v>
      </c>
      <c r="K17" s="4" t="n">
        <f aca="false">-K6*Assumptions!K46/100</f>
        <v>-10095.0678292852</v>
      </c>
      <c r="L17" s="4" t="n">
        <f aca="false">-L6*Assumptions!L46/100</f>
        <v>-10448.3952033101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13090.340362</v>
      </c>
      <c r="D19" s="0" t="n">
        <f aca="false">D15+D16+D17+D18</f>
        <v>13819.829329446</v>
      </c>
      <c r="E19" s="0" t="n">
        <f aca="false">E15+E16+E17+E18</f>
        <v>14576.4212515961</v>
      </c>
      <c r="F19" s="0" t="n">
        <f aca="false">F15+F16+F17+F18</f>
        <v>15314.6231793378</v>
      </c>
      <c r="G19" s="0" t="n">
        <f aca="false">G15+G16+G17+G18</f>
        <v>16012.761596788</v>
      </c>
      <c r="H19" s="0" t="n">
        <f aca="false">H15+H16+H17+H18</f>
        <v>16742.2476905473</v>
      </c>
      <c r="I19" s="0" t="n">
        <f aca="false">I15+I16+I17+I18</f>
        <v>17512.4059135841</v>
      </c>
      <c r="J19" s="0" t="n">
        <f aca="false">J15+J16+J17+J18</f>
        <v>18125.3401205595</v>
      </c>
      <c r="K19" s="0" t="n">
        <f aca="false">K15+K16+K17+K18</f>
        <v>18759.7270247791</v>
      </c>
      <c r="L19" s="0" t="n">
        <f aca="false">L15+L16+L17+L18</f>
        <v>19416.3174706464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11793.0994252252</v>
      </c>
      <c r="D21" s="0" t="n">
        <f aca="false">D19*D20</f>
        <v>11216.4835073825</v>
      </c>
      <c r="E21" s="0" t="n">
        <f aca="false">E19*E20</f>
        <v>10658.153589379</v>
      </c>
      <c r="F21" s="0" t="n">
        <f aca="false">F19*F20</f>
        <v>10088.2166455888</v>
      </c>
      <c r="G21" s="0" t="n">
        <f aca="false">G19*G20</f>
        <v>9502.79463549891</v>
      </c>
      <c r="H21" s="0" t="n">
        <f aca="false">H19*H20</f>
        <v>8951.08930327982</v>
      </c>
      <c r="I21" s="0" t="n">
        <f aca="false">I19*I20</f>
        <v>8434.99760321161</v>
      </c>
      <c r="J21" s="0" t="n">
        <f aca="false">J19*J20</f>
        <v>7865.06533272434</v>
      </c>
      <c r="K21" s="0" t="n">
        <f aca="false">K19*K20</f>
        <v>7333.64199943215</v>
      </c>
      <c r="L21" s="0" t="n">
        <f aca="false">L19*L20</f>
        <v>6838.12564811917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92681.6676898416</v>
      </c>
    </row>
    <row r="31" customFormat="false" ht="15" hidden="false" customHeight="false" outlineLevel="0" collapsed="false">
      <c r="A31" s="0" t="s">
        <v>131</v>
      </c>
      <c r="B31" s="0" t="n">
        <f aca="false">L19</f>
        <v>19416.3174706464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267945.18109492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271828.444589049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267945.18109492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94366.1339440445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187047.801633886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171060.801633886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47.5959647497373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1.56858957095182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47.5959647497373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174746.857235817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29.2767035520844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7.98984691172517</v>
      </c>
      <c r="C4" s="0" t="n">
        <f aca="false">B4/Assumptions!$B$2-1</f>
        <v>-0.568815601094162</v>
      </c>
      <c r="D4" s="4" t="n">
        <f aca="false">Assumptions!$B$24</f>
        <v>0.25</v>
      </c>
      <c r="E4" s="4" t="n">
        <f aca="false">DCF_Bear!$B$43</f>
        <v>7.98984691172517</v>
      </c>
      <c r="F4" s="4" t="n">
        <f aca="false">DCF_Bear!$B$47</f>
        <v>6.05099200163342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24.2216658520871</v>
      </c>
      <c r="C5" s="0" t="n">
        <f aca="false">B5/Assumptions!$B$2-1</f>
        <v>0.307159517112093</v>
      </c>
      <c r="D5" s="4" t="n">
        <f aca="false">Assumptions!$B$38</f>
        <v>0.5</v>
      </c>
      <c r="E5" s="4" t="n">
        <f aca="false">DCF_Base!$B$43</f>
        <v>24.2216658520871</v>
      </c>
      <c r="F5" s="4" t="n">
        <f aca="false">DCF_Base!$B$47</f>
        <v>16.8159186025444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47.5959647497373</v>
      </c>
      <c r="C6" s="0" t="n">
        <f aca="false">B6/Assumptions!$B$2-1</f>
        <v>1.56858957095182</v>
      </c>
      <c r="D6" s="4" t="n">
        <f aca="false">Assumptions!$B$52</f>
        <v>0.25</v>
      </c>
      <c r="E6" s="4" t="n">
        <f aca="false">DCF_Bull!$B$43</f>
        <v>47.5959647497373</v>
      </c>
      <c r="F6" s="4" t="n">
        <f aca="false">DCF_Bull!$B$47</f>
        <v>29.2767035520844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26.0072858414092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26.0072858414092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0.287507350325028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17.2398831897017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34.4017189300013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31.7519210332711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27.9368478429589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24.2216658520871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16.8159186025444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30.055534714758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31.2995513483343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31.7519210332711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31.7519210332711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31.7519210332711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26.0256647525569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26.9250450303931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27.9368478429589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29.0835576972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29.3314949629819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22.8112834310681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23.4793593147086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24.2216658520871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25.0513025703336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25.9846438783609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20.1894114048689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20.6966632418917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21.2546402626168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21.8713517065761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22.5565866443086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18.0114364782273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18.4036195607062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18.8314556506832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19.3000380349437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19.8154786576302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2026-10-11T12:12:15Z</dcterms:created>
  <dc:creator>openpyxl</dc:creator>
  <dc:description/>
  <dc:language>en-NZ</dc:language>
  <cp:lastModifiedBy/>
  <dcterms:modified xsi:type="dcterms:W3CDTF">2026-10-11T12:12:15Z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