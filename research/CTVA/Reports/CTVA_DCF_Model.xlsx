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<sst xmlns="http://schemas.openxmlformats.org/spreadsheetml/2006/main" count="360" uniqueCount="165">
  <si>
    <t xml:space="preserve">Ticker</t>
  </si>
  <si>
    <t xml:space="preserve">CTVA</t>
  </si>
  <si>
    <t xml:space="preserve">Company</t>
  </si>
  <si>
    <t xml:space="preserve">Corteva, Inc.</t>
  </si>
  <si>
    <t xml:space="preserve">Valuation date</t>
  </si>
  <si>
    <t xml:space="preserve">2026-09-26</t>
  </si>
  <si>
    <t xml:space="preserve">Current price</t>
  </si>
  <si>
    <t xml:space="preserve">Price as of</t>
  </si>
  <si>
    <t xml:space="preserve">2026-09-25T20:03:30Z regular close (Friday). CTVA trades regular-way WITH the Vylor entitlement until the 1 Oct 2026 distribution; VYLR WI when-issued trading began 25 Sep.</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</si>
  <si>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</si>
  <si>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</si>
  <si>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</si>
  <si>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</si>
  <si>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</si>
  <si>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</si>
  <si>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</si>
  <si>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</si>
  <si>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</si>
  <si>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</si>
  <si>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</si>
  <si>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</si>
  <si>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2026-09-26T01:22:00Z</t>
  </si>
  <si>
    <t xml:space="preserve">Drivers file</t>
  </si>
  <si>
    <t xml:space="preserve">CTVA_Drivers.json</t>
  </si>
  <si>
    <t xml:space="preserve">Convention</t>
  </si>
  <si>
    <t xml:space="preserve">Percents stored as percents; formulas divide by 100. Blue = input, green = link, black = formula.</t>
  </si>
  <si>
    <t xml:space="preserve">Methodology</t>
  </si>
  <si>
    <t xml:space="preserve">summary: Owner-FCF DCF on the combined Corteva (Seed + Crop Protection) as it trades on 25 Sep 2026, with the stock still carrying the Vylor distribution. The imminent 1 Oct 2026 separation is treated as a catalyst and an execution risk, not a source of intrinsic value: a pro-rata spin redistributes the same cash flows between two tickers. It costs real money (one-off separation spend in the bridge, standalone dis-synergy in the margins) and can only create value intrinsically through better operating focus (bull case). Any 'sum of the parts re-rating' is a multiples bet the model deliberately excludes. Operating EBITDA is haircut for Corteva's perennial 'significant items', and legacy pension and environmental liabilities are deducted, because both are real cash the adjusted metrics leave out.
post_separation_instruction: From 1 Oct 2026 the CTVA price excludes Vylor. Compare weighted_iv to (CTVA price + VYLR price) per original CTVA share (1:1 distribution), or rebuild as two separate DCFs once each company files standalone financials (Form 10 carve-out statements for Vylor; New Corteva's recast segment history).
key_risks_to_valuation: Separation execution: stranded costs, dis-synergies above the modelled 0.4pp, new debt at both entities (S&amp;P A-/Moody's Baa1 both on watch negative); the ~$3B facility being arranged around the spin could move leverage between the halves (value-neutral for the combined holder, not for either stub).; Brazil/Latin America generic crop-protection pricing: management does not forecast a 2026 recovery; the bear case assumes it spreads.; Cash conversion: Operating EBITDA to owner FCF has ranged from 8% to 72% (FY22-FY25) on Latin American receivables; the -25% working-capital capture is a judgment.; Legacy liabilities: environmental accrual ($580M), pension ($1.3bn after the H1-26 contribution), and PFAS/paraquat-style litigation beyond the accrual, allocated between Vylor and New Corteva by the separation agreement.; Terminal value: cap multiple binds (15x base) -- valuation is sensitive to the exit multiple for a business the market has priced at 20x+ forward earnings.</t>
  </si>
  <si>
    <t xml:space="preserve">Data sources</t>
  </si>
  <si>
    <t xml:space="preserve">price: Yahoo Finance chart API at inputs.price_as_of; 52-week range 60.54-90.97.
financials: SEC EDGAR XBRL companyfacts (CIK 1755672) and FY2025 10-K (accession 0001755672-26-000004): Operating EBITDA reconciliation, FCF reconciliation, cash flow statement, Note 18 stock-based compensation; Q2-2026 10-Q XBRL for the 30 Jun 2026 balance sheet, pension contribution, environmental accrual, NCI and cover share count. CTVA_Metrics.csv for history.
qualitative: CTVA_Analysis.json (2026-09-26): FY2026 guidance raised 31 Jul 2026 (Operating EBITDA $4.1-4.3B, Operating EPS $3.60-3.80), 15 Sep 2026 Investor Day, Vylor record date 24 Sep, distribution 1 Oct 2026.</t>
  </si>
  <si>
    <t xml:space="preserve">Scenario narrative: bear</t>
  </si>
  <si>
    <t xml:space="preserve">Separation dis-synergies and stranded costs run above plan (~$200M/yr), the Brazil generic price war spreads to North American pre-emergent herbicides, and a farm-income downturn (low corn/soy prices, high rates) pushes growers to trade down on seed and chemistry. FY2027 revenue barely grows and Operating EBITDA margin falls back toward the FY2024 level (~20%), with working capital absorbing more cash as Latin American credit terms stretch. A product-liability or patent loss (paraquat-style claims, Bayer trait litigation) is a further tail not explicitly modelled.</t>
  </si>
  <si>
    <t xml:space="preserve">Scenario narrative: base</t>
  </si>
  <si>
    <t xml:space="preserve">Corteva lands its raised FY2026 guide (Operating EBITDA ~$4.2B) and separates cleanly on 1 Oct. The combined businesses then grow revenue 4-4.5% a year: Seed on Enlist E3 share gains, the out-licensing flywheel (~$1B incremental revenue over a decade) and North American price; Crop Protection on new actives approaching $2B and biologicals toward $1B, while Latin American off-patent herbicides keep losing price to Chinese and Indian generics. Margin gains from mix and productivity (+200bps in H1-26) continue but slow, and roughly $70M a year of two-company overhead is absorbed. Owner-FCF conversion stays constrained by the Latin American receivables book.</t>
  </si>
  <si>
    <t xml:space="preserve">Scenario narrative: bull</t>
  </si>
  <si>
    <t xml:space="preserve">Separation proves a catalyst for operations, not just multiples: Vylor's pure-play focus accelerates gene editing, hybrid wheat and licensing royalties (high-margin, capital-light), and New Corteva's specialty-chemistry pipeline (7 new actives over the decade) outruns generic erosion. Brazil pricing troughs in 2026 and farm incomes recover with corn/soy prices. Revenue grows 6%+ for three years and Operating EBITDA margin reaches ~27.5% (26.5% after leakage), close to the best-in-class seed and specialty-chem peers.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</si>
  <si>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</si>
  <si>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</si>
  <si>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</si>
  <si>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</si>
  <si>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</si>
  <si>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</si>
  <si>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</si>
  <si>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</si>
  <si>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</si>
  <si>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</si>
  <si>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</si>
  <si>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</si>
  <si>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</si>
  <si>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</si>
  <si>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</si>
  <si>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</si>
  <si>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</si>
  <si>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</si>
  <si>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</si>
  <si>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</si>
  <si>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</si>
  <si>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</si>
  <si>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</si>
  <si>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</si>
  <si>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</si>
  <si>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</si>
  <si>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</si>
  <si>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</si>
  <si>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</si>
  <si>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</si>
  <si>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</si>
  <si>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</si>
  <si>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</si>
  <si>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</si>
  <si>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</si>
  <si>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</si>
  <si>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</si>
  <si>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</si>
  <si>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</si>
  <si>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</si>
  <si>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</si>
  <si>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</si>
  <si>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</si>
  <si>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</si>
  <si>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</si>
  <si>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</si>
  <si>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</si>
  <si>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</si>
  <si>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</si>
  <si>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</si>
  <si>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</si>
  <si>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</si>
  <si>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</si>
  <si>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</si>
  <si>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</si>
  <si>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</si>
  <si>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</si>
  <si>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</si>
  <si>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</si>
  <si>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</si>
  <si>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</si>
  <si>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</si>
  <si>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</si>
  <si>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</si>
  <si>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</si>
  <si>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</si>
  <si>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</si>
  <si>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</si>
  <si>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</si>
  <si>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</si>
  <si>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</si>
  <si>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</si>
  <si>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</si>
  <si>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</si>
  <si>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CTVA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</si>
  <si>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</si>
  <si>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</si>
  <si>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</si>
  <si>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</si>
  <si>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</si>
  <si>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</si>
  <si>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</si>
  <si>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</si>
  <si>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</si>
  <si>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</si>
  <si>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</si>
  <si>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</si>
  <si>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</si>
  <si>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</si>
  <si>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</si>
  <si>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</si>
  <si>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</si>
  <si>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</si>
  <si>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</si>
  <si>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</si>
  <si>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</si>
  <si>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</si>
  <si>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</si>
  <si>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</si>
  <si>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</si>
  <si>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</si>
  <si>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</si>
  <si>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</si>
  <si>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</si>
  <si>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</si>
  <si>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CTVA owner-FCF component DCF: base case (millions, USD)</t>
  </si>
  <si>
    <t xml:space="preserve">CTVA owner-FCF component DCF: bull case (millions, USD)</t>
  </si>
  <si>
    <t xml:space="preserve">CTVA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</si>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</sst>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78.52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35.0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10196</v>
      </c>
      <c r="AA2" s="0" t="s">
        <v>17</v>
      </c>
      <c r="AB2" s="0" t="s">
        <v>14</v>
      </c>
    </row>
    <row r="3" customFormat="false" ht="15" hidden="false" customHeight="false" outlineLevel="0" collapsed="false">
      <c r="A3" s="0" t="s">
        <v>64</v>
      </c>
      <c r="O3" s="0" t="n">
        <v>79593</v>
      </c>
      <c r="AA3" s="0" t="s">
        <v>17</v>
      </c>
      <c r="AB3" s="0" t="s">
        <v>14</v>
      </c>
    </row>
    <row r="4" customFormat="false" ht="15" hidden="false" customHeight="false" outlineLevel="0" collapsed="false">
      <c r="A4" s="0" t="s">
        <v>65</v>
      </c>
      <c r="B4" s="0" t="n">
        <v>14287</v>
      </c>
      <c r="C4" s="0" t="n">
        <v>9948</v>
      </c>
      <c r="I4" s="0" t="n">
        <v>-5065</v>
      </c>
      <c r="J4" s="0" t="n">
        <v>-35.4518093371597</v>
      </c>
      <c r="K4" s="0" t="n">
        <v>-6.76</v>
      </c>
      <c r="L4" s="0" t="n">
        <v>483</v>
      </c>
      <c r="M4" s="0" t="n">
        <v>1501</v>
      </c>
      <c r="N4" s="0" t="n">
        <v>-1018</v>
      </c>
      <c r="O4" s="0" t="n">
        <v>75153</v>
      </c>
      <c r="P4" s="0" t="n">
        <v>108683</v>
      </c>
      <c r="R4" s="0" t="n">
        <v>7938</v>
      </c>
      <c r="S4" s="0" t="n">
        <v>2270</v>
      </c>
      <c r="T4" s="0" t="n">
        <v>749.4</v>
      </c>
      <c r="AA4" s="0" t="s">
        <v>17</v>
      </c>
      <c r="AB4" s="0" t="s">
        <v>14</v>
      </c>
    </row>
    <row r="5" customFormat="false" ht="15" hidden="false" customHeight="false" outlineLevel="0" collapsed="false">
      <c r="A5" s="0" t="s">
        <v>66</v>
      </c>
      <c r="B5" s="0" t="n">
        <v>13846</v>
      </c>
      <c r="C5" s="0" t="n">
        <v>8575</v>
      </c>
      <c r="I5" s="0" t="n">
        <v>-959</v>
      </c>
      <c r="J5" s="0" t="n">
        <v>-6.92618806875632</v>
      </c>
      <c r="K5" s="0" t="n">
        <v>-1.28</v>
      </c>
      <c r="L5" s="0" t="n">
        <v>1070</v>
      </c>
      <c r="M5" s="0" t="n">
        <v>1163</v>
      </c>
      <c r="N5" s="0" t="n">
        <v>-93</v>
      </c>
      <c r="O5" s="0" t="n">
        <v>24555</v>
      </c>
      <c r="P5" s="0" t="n">
        <v>42397</v>
      </c>
      <c r="R5" s="0" t="n">
        <v>122</v>
      </c>
      <c r="S5" s="0" t="n">
        <v>1764</v>
      </c>
      <c r="T5" s="0" t="n">
        <v>748.577</v>
      </c>
      <c r="V5" s="0" t="n">
        <v>0.26</v>
      </c>
      <c r="AA5" s="0" t="s">
        <v>17</v>
      </c>
      <c r="AB5" s="0" t="s">
        <v>14</v>
      </c>
    </row>
    <row r="6" customFormat="false" ht="15" hidden="false" customHeight="false" outlineLevel="0" collapsed="false">
      <c r="A6" s="0" t="s">
        <v>67</v>
      </c>
      <c r="B6" s="0" t="n">
        <v>14217</v>
      </c>
      <c r="C6" s="0" t="n">
        <v>8507</v>
      </c>
      <c r="I6" s="0" t="n">
        <v>701</v>
      </c>
      <c r="J6" s="0" t="n">
        <v>4.93071674755574</v>
      </c>
      <c r="K6" s="0" t="n">
        <v>0.91</v>
      </c>
      <c r="L6" s="0" t="n">
        <v>2064</v>
      </c>
      <c r="M6" s="0" t="n">
        <v>475</v>
      </c>
      <c r="N6" s="0" t="n">
        <v>1589</v>
      </c>
      <c r="O6" s="0" t="n">
        <v>25063</v>
      </c>
      <c r="P6" s="0" t="n">
        <v>42649</v>
      </c>
      <c r="R6" s="0" t="n">
        <v>1105</v>
      </c>
      <c r="S6" s="0" t="n">
        <v>3526</v>
      </c>
      <c r="T6" s="0" t="n">
        <v>743.458</v>
      </c>
      <c r="V6" s="0" t="n">
        <v>0.52</v>
      </c>
      <c r="AA6" s="0" t="s">
        <v>17</v>
      </c>
      <c r="AB6" s="0" t="s">
        <v>14</v>
      </c>
    </row>
    <row r="7" customFormat="false" ht="15" hidden="false" customHeight="false" outlineLevel="0" collapsed="false">
      <c r="A7" s="0" t="s">
        <v>68</v>
      </c>
      <c r="B7" s="0" t="n">
        <v>15655</v>
      </c>
      <c r="C7" s="0" t="n">
        <v>9220</v>
      </c>
      <c r="I7" s="0" t="n">
        <v>1769</v>
      </c>
      <c r="J7" s="0" t="n">
        <v>11.2999041839668</v>
      </c>
      <c r="K7" s="0" t="n">
        <v>2.39</v>
      </c>
      <c r="L7" s="0" t="n">
        <v>2727</v>
      </c>
      <c r="M7" s="0" t="n">
        <v>573</v>
      </c>
      <c r="N7" s="0" t="n">
        <v>2154</v>
      </c>
      <c r="O7" s="0" t="n">
        <v>25623</v>
      </c>
      <c r="P7" s="0" t="n">
        <v>42344</v>
      </c>
      <c r="R7" s="0" t="n">
        <v>1117</v>
      </c>
      <c r="S7" s="0" t="n">
        <v>4459</v>
      </c>
      <c r="T7" s="0" t="n">
        <v>726.527</v>
      </c>
      <c r="V7" s="0" t="n">
        <v>0.52</v>
      </c>
      <c r="AA7" s="0" t="s">
        <v>17</v>
      </c>
      <c r="AB7" s="0" t="s">
        <v>14</v>
      </c>
    </row>
    <row r="8" customFormat="false" ht="15" hidden="false" customHeight="false" outlineLevel="0" collapsed="false">
      <c r="A8" s="0" t="s">
        <v>69</v>
      </c>
      <c r="B8" s="0" t="n">
        <v>17455</v>
      </c>
      <c r="C8" s="0" t="n">
        <v>10436</v>
      </c>
      <c r="I8" s="0" t="n">
        <v>1158</v>
      </c>
      <c r="J8" s="0" t="n">
        <v>6.63420223431682</v>
      </c>
      <c r="K8" s="0" t="n">
        <v>1.59</v>
      </c>
      <c r="L8" s="0" t="n">
        <v>872</v>
      </c>
      <c r="M8" s="0" t="n">
        <v>605</v>
      </c>
      <c r="N8" s="0" t="n">
        <v>267</v>
      </c>
      <c r="O8" s="0" t="n">
        <v>25541</v>
      </c>
      <c r="P8" s="0" t="n">
        <v>42618</v>
      </c>
      <c r="R8" s="0" t="n">
        <v>1307</v>
      </c>
      <c r="S8" s="0" t="n">
        <v>3191</v>
      </c>
      <c r="T8" s="0" t="n">
        <v>713.419</v>
      </c>
      <c r="V8" s="0" t="n">
        <v>0.58</v>
      </c>
      <c r="AA8" s="0" t="s">
        <v>17</v>
      </c>
      <c r="AB8" s="0" t="s">
        <v>14</v>
      </c>
    </row>
    <row r="9" customFormat="false" ht="15" hidden="false" customHeight="false" outlineLevel="0" collapsed="false">
      <c r="A9" s="0" t="s">
        <v>70</v>
      </c>
      <c r="B9" s="0" t="n">
        <v>17226</v>
      </c>
      <c r="C9" s="0" t="n">
        <v>9920</v>
      </c>
      <c r="I9" s="0" t="n">
        <v>747</v>
      </c>
      <c r="J9" s="0" t="n">
        <v>4.33646812957158</v>
      </c>
      <c r="K9" s="0" t="n">
        <v>1.04</v>
      </c>
      <c r="L9" s="0" t="n">
        <v>1769</v>
      </c>
      <c r="M9" s="0" t="n">
        <v>595</v>
      </c>
      <c r="N9" s="0" t="n">
        <v>1174</v>
      </c>
      <c r="O9" s="0" t="n">
        <v>25279</v>
      </c>
      <c r="P9" s="0" t="n">
        <v>42996</v>
      </c>
      <c r="R9" s="0" t="n">
        <v>2489</v>
      </c>
      <c r="S9" s="0" t="n">
        <v>2644</v>
      </c>
      <c r="T9" s="0" t="n">
        <v>711.9</v>
      </c>
      <c r="V9" s="0" t="n">
        <v>0.62</v>
      </c>
      <c r="AA9" s="0" t="s">
        <v>17</v>
      </c>
      <c r="AB9" s="0" t="s">
        <v>14</v>
      </c>
    </row>
    <row r="10" customFormat="false" ht="15" hidden="false" customHeight="false" outlineLevel="0" collapsed="false">
      <c r="A10" s="0" t="s">
        <v>71</v>
      </c>
      <c r="B10" s="0" t="n">
        <v>16908</v>
      </c>
      <c r="C10" s="0" t="n">
        <v>9529</v>
      </c>
      <c r="I10" s="0" t="n">
        <v>919</v>
      </c>
      <c r="J10" s="0" t="n">
        <v>5.43529690087533</v>
      </c>
      <c r="K10" s="0" t="n">
        <v>1.31</v>
      </c>
      <c r="L10" s="0" t="n">
        <v>2145</v>
      </c>
      <c r="M10" s="0" t="n">
        <v>597</v>
      </c>
      <c r="N10" s="0" t="n">
        <v>1548</v>
      </c>
      <c r="O10" s="0" t="n">
        <v>24030</v>
      </c>
      <c r="P10" s="0" t="n">
        <v>40825</v>
      </c>
      <c r="R10" s="0" t="n">
        <v>2703</v>
      </c>
      <c r="S10" s="0" t="n">
        <v>3106</v>
      </c>
      <c r="T10" s="0" t="n">
        <v>696</v>
      </c>
      <c r="V10" s="0" t="n">
        <v>0.66</v>
      </c>
      <c r="AA10" s="0" t="s">
        <v>17</v>
      </c>
      <c r="AB10" s="0" t="s">
        <v>14</v>
      </c>
    </row>
    <row r="11" customFormat="false" ht="15" hidden="false" customHeight="false" outlineLevel="0" collapsed="false">
      <c r="A11" s="0" t="s">
        <v>72</v>
      </c>
      <c r="B11" s="0" t="n">
        <v>17401</v>
      </c>
      <c r="C11" s="0" t="n">
        <v>9172</v>
      </c>
      <c r="I11" s="0" t="n">
        <v>1105</v>
      </c>
      <c r="J11" s="0" t="n">
        <v>6.35020975805988</v>
      </c>
      <c r="K11" s="0" t="n">
        <v>1.6</v>
      </c>
      <c r="L11" s="0" t="n">
        <v>3406</v>
      </c>
      <c r="M11" s="0" t="n">
        <v>591</v>
      </c>
      <c r="N11" s="0" t="n">
        <v>2815</v>
      </c>
      <c r="O11" s="0" t="n">
        <v>24386</v>
      </c>
      <c r="P11" s="0" t="n">
        <v>42845</v>
      </c>
      <c r="R11" s="0" t="n">
        <v>2580</v>
      </c>
      <c r="S11" s="0" t="n">
        <v>4521</v>
      </c>
      <c r="T11" s="0" t="n">
        <v>681.4</v>
      </c>
      <c r="V11" s="0" t="n">
        <v>0.7</v>
      </c>
      <c r="AA11" s="0" t="s">
        <v>17</v>
      </c>
      <c r="AB1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73</v>
      </c>
      <c r="B1" s="2" t="s">
        <v>74</v>
      </c>
    </row>
    <row r="2" customFormat="false" ht="15" hidden="false" customHeight="false" outlineLevel="0" collapsed="false">
      <c r="A2" s="0" t="s">
        <v>75</v>
      </c>
      <c r="B2" s="3" t="n">
        <v>78.52</v>
      </c>
    </row>
    <row r="3" customFormat="false" ht="15" hidden="false" customHeight="false" outlineLevel="0" collapsed="false">
      <c r="A3" s="0" t="s">
        <v>76</v>
      </c>
      <c r="B3" s="3" t="n">
        <v>668.4</v>
      </c>
    </row>
    <row r="4" customFormat="false" ht="15" hidden="false" customHeight="false" outlineLevel="0" collapsed="false">
      <c r="A4" s="0" t="s">
        <v>77</v>
      </c>
      <c r="B4" s="3" t="n">
        <v>2510</v>
      </c>
    </row>
    <row r="5" customFormat="false" ht="15" hidden="false" customHeight="false" outlineLevel="0" collapsed="false">
      <c r="A5" s="0" t="s">
        <v>78</v>
      </c>
      <c r="B5" s="3" t="n">
        <v>346</v>
      </c>
    </row>
    <row r="6" customFormat="false" ht="15" hidden="false" customHeight="false" outlineLevel="0" collapsed="false">
      <c r="A6" s="0" t="s">
        <v>79</v>
      </c>
      <c r="B6" s="3" t="n">
        <v>15</v>
      </c>
    </row>
    <row r="7" customFormat="false" ht="15" hidden="false" customHeight="false" outlineLevel="0" collapsed="false">
      <c r="A7" s="0" t="s">
        <v>80</v>
      </c>
      <c r="B7" s="3" t="n">
        <v>17401</v>
      </c>
    </row>
    <row r="8" customFormat="false" ht="15" hidden="false" customHeight="false" outlineLevel="0" collapsed="false">
      <c r="A8" s="0" t="s">
        <v>81</v>
      </c>
      <c r="B8" s="3" t="s">
        <v>72</v>
      </c>
    </row>
    <row r="9" customFormat="false" ht="15" hidden="false" customHeight="false" outlineLevel="0" collapsed="false">
      <c r="A9" s="0" t="s">
        <v>82</v>
      </c>
      <c r="B9" s="3" t="s">
        <v>83</v>
      </c>
    </row>
    <row r="10" customFormat="false" ht="15" hidden="false" customHeight="false" outlineLevel="0" collapsed="false">
      <c r="A10" s="0" t="s">
        <v>84</v>
      </c>
      <c r="B10" s="3" t="n">
        <v>1</v>
      </c>
    </row>
    <row r="12" customFormat="false" ht="15" hidden="false" customHeight="false" outlineLevel="0" collapsed="false">
      <c r="A12" s="2" t="s">
        <v>85</v>
      </c>
      <c r="C12" s="2" t="s">
        <v>86</v>
      </c>
      <c r="D12" s="2" t="s">
        <v>87</v>
      </c>
      <c r="E12" s="2" t="s">
        <v>88</v>
      </c>
      <c r="F12" s="2" t="s">
        <v>89</v>
      </c>
      <c r="G12" s="2" t="s">
        <v>90</v>
      </c>
      <c r="H12" s="2" t="s">
        <v>91</v>
      </c>
      <c r="I12" s="2" t="s">
        <v>92</v>
      </c>
      <c r="J12" s="2" t="s">
        <v>93</v>
      </c>
      <c r="K12" s="2" t="s">
        <v>94</v>
      </c>
      <c r="L12" s="2" t="s">
        <v>95</v>
      </c>
    </row>
    <row r="13" customFormat="false" ht="15" hidden="false" customHeight="false" outlineLevel="0" collapsed="false">
      <c r="A13" s="0" t="s">
        <v>96</v>
      </c>
      <c r="C13" s="3" t="n">
        <v>2</v>
      </c>
      <c r="D13" s="3" t="n">
        <v>1</v>
      </c>
      <c r="E13" s="3" t="n">
        <v>2</v>
      </c>
      <c r="F13" s="3" t="n">
        <v>3</v>
      </c>
      <c r="G13" s="3" t="n">
        <v>3</v>
      </c>
      <c r="H13" s="3" t="n">
        <v>3</v>
      </c>
      <c r="I13" s="3" t="n">
        <v>3</v>
      </c>
      <c r="J13" s="3" t="n">
        <v>2.5</v>
      </c>
      <c r="K13" s="3" t="n">
        <v>2.5</v>
      </c>
      <c r="L13" s="3" t="n">
        <v>2.5</v>
      </c>
    </row>
    <row r="14" customFormat="false" ht="15" hidden="false" customHeight="false" outlineLevel="0" collapsed="false">
      <c r="A14" s="0" t="s">
        <v>97</v>
      </c>
      <c r="C14" s="3" t="n">
        <v>22</v>
      </c>
      <c r="D14" s="3" t="n">
        <v>21</v>
      </c>
      <c r="E14" s="3" t="n">
        <v>21</v>
      </c>
      <c r="F14" s="3" t="n">
        <v>21.2</v>
      </c>
      <c r="G14" s="3" t="n">
        <v>21.5</v>
      </c>
      <c r="H14" s="3" t="n">
        <v>21.5</v>
      </c>
      <c r="I14" s="3" t="n">
        <v>21.5</v>
      </c>
      <c r="J14" s="3" t="n">
        <v>21.5</v>
      </c>
      <c r="K14" s="3" t="n">
        <v>21.5</v>
      </c>
      <c r="L14" s="3" t="n">
        <v>21.5</v>
      </c>
    </row>
    <row r="15" customFormat="false" ht="15" hidden="false" customHeight="false" outlineLevel="0" collapsed="false">
      <c r="A15" s="0" t="s">
        <v>98</v>
      </c>
      <c r="C15" s="3" t="n">
        <v>0.45</v>
      </c>
      <c r="D15" s="3" t="n">
        <v>0.55</v>
      </c>
      <c r="E15" s="3" t="n">
        <v>0.55</v>
      </c>
      <c r="F15" s="3" t="n">
        <v>0.55</v>
      </c>
      <c r="G15" s="3" t="n">
        <v>0.55</v>
      </c>
      <c r="H15" s="3" t="n">
        <v>0.55</v>
      </c>
      <c r="I15" s="3" t="n">
        <v>0.55</v>
      </c>
      <c r="J15" s="3" t="n">
        <v>0.55</v>
      </c>
      <c r="K15" s="3" t="n">
        <v>0.55</v>
      </c>
      <c r="L15" s="3" t="n">
        <v>0.55</v>
      </c>
    </row>
    <row r="16" customFormat="false" ht="15" hidden="false" customHeight="false" outlineLevel="0" collapsed="false">
      <c r="A16" s="0" t="s">
        <v>99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100</v>
      </c>
      <c r="C17" s="3" t="n">
        <v>6.8</v>
      </c>
      <c r="D17" s="3" t="n">
        <v>6.5</v>
      </c>
      <c r="E17" s="3" t="n">
        <v>6.2</v>
      </c>
      <c r="F17" s="3" t="n">
        <v>5.9</v>
      </c>
      <c r="G17" s="3" t="n">
        <v>5.6</v>
      </c>
      <c r="H17" s="3" t="n">
        <v>5.3</v>
      </c>
      <c r="I17" s="3" t="n">
        <v>5</v>
      </c>
      <c r="J17" s="3" t="n">
        <v>4.8</v>
      </c>
      <c r="K17" s="3" t="n">
        <v>4.6</v>
      </c>
      <c r="L17" s="3" t="n">
        <v>4.5</v>
      </c>
    </row>
    <row r="18" customFormat="false" ht="15" hidden="false" customHeight="false" outlineLevel="0" collapsed="false">
      <c r="A18" s="0" t="s">
        <v>101</v>
      </c>
      <c r="C18" s="3" t="n">
        <v>3.4</v>
      </c>
      <c r="D18" s="3" t="n">
        <v>3.8</v>
      </c>
      <c r="E18" s="3" t="n">
        <v>4</v>
      </c>
      <c r="F18" s="3" t="n">
        <v>4</v>
      </c>
      <c r="G18" s="3" t="n">
        <v>4</v>
      </c>
      <c r="H18" s="3" t="n">
        <v>4</v>
      </c>
      <c r="I18" s="3" t="n">
        <v>4</v>
      </c>
      <c r="J18" s="3" t="n">
        <v>4</v>
      </c>
      <c r="K18" s="3" t="n">
        <v>4</v>
      </c>
      <c r="L18" s="3" t="n">
        <v>4</v>
      </c>
    </row>
    <row r="19" customFormat="false" ht="15" hidden="false" customHeight="false" outlineLevel="0" collapsed="false">
      <c r="A19" s="0" t="s">
        <v>102</v>
      </c>
      <c r="C19" s="3" t="n">
        <v>27</v>
      </c>
      <c r="D19" s="3" t="n">
        <v>28</v>
      </c>
      <c r="E19" s="3" t="n">
        <v>28</v>
      </c>
      <c r="F19" s="3" t="n">
        <v>28</v>
      </c>
      <c r="G19" s="3" t="n">
        <v>28</v>
      </c>
      <c r="H19" s="3" t="n">
        <v>28</v>
      </c>
      <c r="I19" s="3" t="n">
        <v>28</v>
      </c>
      <c r="J19" s="3" t="n">
        <v>28</v>
      </c>
      <c r="K19" s="3" t="n">
        <v>28</v>
      </c>
      <c r="L19" s="3" t="n">
        <v>28</v>
      </c>
    </row>
    <row r="20" customFormat="false" ht="15" hidden="false" customHeight="false" outlineLevel="0" collapsed="false">
      <c r="A20" s="0" t="s">
        <v>103</v>
      </c>
      <c r="B20" s="3" t="n">
        <v>8</v>
      </c>
    </row>
    <row r="21" customFormat="false" ht="15" hidden="false" customHeight="false" outlineLevel="0" collapsed="false">
      <c r="A21" s="0" t="s">
        <v>104</v>
      </c>
      <c r="B21" s="3" t="n">
        <v>2</v>
      </c>
    </row>
    <row r="22" customFormat="false" ht="15" hidden="false" customHeight="false" outlineLevel="0" collapsed="false">
      <c r="A22" s="0" t="s">
        <v>105</v>
      </c>
      <c r="B22" s="3" t="n">
        <v>12</v>
      </c>
    </row>
    <row r="23" customFormat="false" ht="15" hidden="false" customHeight="false" outlineLevel="0" collapsed="false">
      <c r="A23" s="0" t="s">
        <v>106</v>
      </c>
      <c r="B23" s="3" t="n">
        <v>-30</v>
      </c>
    </row>
    <row r="24" customFormat="false" ht="15" hidden="false" customHeight="false" outlineLevel="0" collapsed="false">
      <c r="A24" s="0" t="s">
        <v>107</v>
      </c>
      <c r="B24" s="3" t="n">
        <v>0.25</v>
      </c>
    </row>
    <row r="26" customFormat="false" ht="15" hidden="false" customHeight="false" outlineLevel="0" collapsed="false">
      <c r="A26" s="2" t="s">
        <v>108</v>
      </c>
      <c r="C26" s="2" t="s">
        <v>86</v>
      </c>
      <c r="D26" s="2" t="s">
        <v>87</v>
      </c>
      <c r="E26" s="2" t="s">
        <v>88</v>
      </c>
      <c r="F26" s="2" t="s">
        <v>89</v>
      </c>
      <c r="G26" s="2" t="s">
        <v>90</v>
      </c>
      <c r="H26" s="2" t="s">
        <v>91</v>
      </c>
      <c r="I26" s="2" t="s">
        <v>92</v>
      </c>
      <c r="J26" s="2" t="s">
        <v>93</v>
      </c>
      <c r="K26" s="2" t="s">
        <v>94</v>
      </c>
      <c r="L26" s="2" t="s">
        <v>95</v>
      </c>
    </row>
    <row r="27" customFormat="false" ht="15" hidden="false" customHeight="false" outlineLevel="0" collapsed="false">
      <c r="A27" s="0" t="s">
        <v>96</v>
      </c>
      <c r="C27" s="3" t="n">
        <v>3</v>
      </c>
      <c r="D27" s="3" t="n">
        <v>4.5</v>
      </c>
      <c r="E27" s="3" t="n">
        <v>4.5</v>
      </c>
      <c r="F27" s="3" t="n">
        <v>4.5</v>
      </c>
      <c r="G27" s="3" t="n">
        <v>4</v>
      </c>
      <c r="H27" s="3" t="n">
        <v>4</v>
      </c>
      <c r="I27" s="3" t="n">
        <v>3.5</v>
      </c>
      <c r="J27" s="3" t="n">
        <v>3</v>
      </c>
      <c r="K27" s="3" t="n">
        <v>3</v>
      </c>
      <c r="L27" s="3" t="n">
        <v>3</v>
      </c>
    </row>
    <row r="28" customFormat="false" ht="15" hidden="false" customHeight="false" outlineLevel="0" collapsed="false">
      <c r="A28" s="0" t="s">
        <v>97</v>
      </c>
      <c r="C28" s="3" t="n">
        <v>22.4</v>
      </c>
      <c r="D28" s="3" t="n">
        <v>22.6</v>
      </c>
      <c r="E28" s="3" t="n">
        <v>23</v>
      </c>
      <c r="F28" s="3" t="n">
        <v>23.4</v>
      </c>
      <c r="G28" s="3" t="n">
        <v>23.7</v>
      </c>
      <c r="H28" s="3" t="n">
        <v>24</v>
      </c>
      <c r="I28" s="3" t="n">
        <v>24</v>
      </c>
      <c r="J28" s="3" t="n">
        <v>24</v>
      </c>
      <c r="K28" s="3" t="n">
        <v>24</v>
      </c>
      <c r="L28" s="3" t="n">
        <v>24</v>
      </c>
    </row>
    <row r="29" customFormat="false" ht="15" hidden="false" customHeight="false" outlineLevel="0" collapsed="false">
      <c r="A29" s="0" t="s">
        <v>98</v>
      </c>
      <c r="C29" s="3" t="n">
        <v>0.45</v>
      </c>
      <c r="D29" s="3" t="n">
        <v>0.5</v>
      </c>
      <c r="E29" s="3" t="n">
        <v>0.5</v>
      </c>
      <c r="F29" s="3" t="n">
        <v>0.5</v>
      </c>
      <c r="G29" s="3" t="n">
        <v>0.5</v>
      </c>
      <c r="H29" s="3" t="n">
        <v>0.5</v>
      </c>
      <c r="I29" s="3" t="n">
        <v>0.5</v>
      </c>
      <c r="J29" s="3" t="n">
        <v>0.5</v>
      </c>
      <c r="K29" s="3" t="n">
        <v>0.5</v>
      </c>
      <c r="L29" s="3" t="n">
        <v>0.5</v>
      </c>
    </row>
    <row r="30" customFormat="false" ht="15" hidden="false" customHeight="false" outlineLevel="0" collapsed="false">
      <c r="A30" s="0" t="s">
        <v>99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100</v>
      </c>
      <c r="C31" s="3" t="n">
        <v>6.8</v>
      </c>
      <c r="D31" s="3" t="n">
        <v>6.5</v>
      </c>
      <c r="E31" s="3" t="n">
        <v>6.2</v>
      </c>
      <c r="F31" s="3" t="n">
        <v>5.9</v>
      </c>
      <c r="G31" s="3" t="n">
        <v>5.6</v>
      </c>
      <c r="H31" s="3" t="n">
        <v>5.3</v>
      </c>
      <c r="I31" s="3" t="n">
        <v>5</v>
      </c>
      <c r="J31" s="3" t="n">
        <v>4.8</v>
      </c>
      <c r="K31" s="3" t="n">
        <v>4.6</v>
      </c>
      <c r="L31" s="3" t="n">
        <v>4.5</v>
      </c>
    </row>
    <row r="32" customFormat="false" ht="15" hidden="false" customHeight="false" outlineLevel="0" collapsed="false">
      <c r="A32" s="0" t="s">
        <v>101</v>
      </c>
      <c r="C32" s="3" t="n">
        <v>3.4</v>
      </c>
      <c r="D32" s="3" t="n">
        <v>3.6</v>
      </c>
      <c r="E32" s="3" t="n">
        <v>3.8</v>
      </c>
      <c r="F32" s="3" t="n">
        <v>3.9</v>
      </c>
      <c r="G32" s="3" t="n">
        <v>4</v>
      </c>
      <c r="H32" s="3" t="n">
        <v>4</v>
      </c>
      <c r="I32" s="3" t="n">
        <v>4</v>
      </c>
      <c r="J32" s="3" t="n">
        <v>4</v>
      </c>
      <c r="K32" s="3" t="n">
        <v>4</v>
      </c>
      <c r="L32" s="3" t="n">
        <v>4</v>
      </c>
    </row>
    <row r="33" customFormat="false" ht="15" hidden="false" customHeight="false" outlineLevel="0" collapsed="false">
      <c r="A33" s="0" t="s">
        <v>102</v>
      </c>
      <c r="C33" s="3" t="n">
        <v>27</v>
      </c>
      <c r="D33" s="3" t="n">
        <v>27</v>
      </c>
      <c r="E33" s="3" t="n">
        <v>27</v>
      </c>
      <c r="F33" s="3" t="n">
        <v>27</v>
      </c>
      <c r="G33" s="3" t="n">
        <v>27</v>
      </c>
      <c r="H33" s="3" t="n">
        <v>27</v>
      </c>
      <c r="I33" s="3" t="n">
        <v>27</v>
      </c>
      <c r="J33" s="3" t="n">
        <v>27</v>
      </c>
      <c r="K33" s="3" t="n">
        <v>27</v>
      </c>
      <c r="L33" s="3" t="n">
        <v>27</v>
      </c>
    </row>
    <row r="34" customFormat="false" ht="15" hidden="false" customHeight="false" outlineLevel="0" collapsed="false">
      <c r="A34" s="0" t="s">
        <v>103</v>
      </c>
      <c r="B34" s="3" t="n">
        <v>8</v>
      </c>
    </row>
    <row r="35" customFormat="false" ht="15" hidden="false" customHeight="false" outlineLevel="0" collapsed="false">
      <c r="A35" s="0" t="s">
        <v>104</v>
      </c>
      <c r="B35" s="3" t="n">
        <v>2.5</v>
      </c>
    </row>
    <row r="36" customFormat="false" ht="15" hidden="false" customHeight="false" outlineLevel="0" collapsed="false">
      <c r="A36" s="0" t="s">
        <v>105</v>
      </c>
      <c r="B36" s="3" t="n">
        <v>15</v>
      </c>
    </row>
    <row r="37" customFormat="false" ht="15" hidden="false" customHeight="false" outlineLevel="0" collapsed="false">
      <c r="A37" s="0" t="s">
        <v>106</v>
      </c>
      <c r="B37" s="3" t="n">
        <v>-25</v>
      </c>
    </row>
    <row r="38" customFormat="false" ht="15" hidden="false" customHeight="false" outlineLevel="0" collapsed="false">
      <c r="A38" s="0" t="s">
        <v>107</v>
      </c>
      <c r="B38" s="3" t="n">
        <v>0.5</v>
      </c>
    </row>
    <row r="40" customFormat="false" ht="15" hidden="false" customHeight="false" outlineLevel="0" collapsed="false">
      <c r="A40" s="2" t="s">
        <v>109</v>
      </c>
      <c r="C40" s="2" t="s">
        <v>86</v>
      </c>
      <c r="D40" s="2" t="s">
        <v>87</v>
      </c>
      <c r="E40" s="2" t="s">
        <v>88</v>
      </c>
      <c r="F40" s="2" t="s">
        <v>89</v>
      </c>
      <c r="G40" s="2" t="s">
        <v>90</v>
      </c>
      <c r="H40" s="2" t="s">
        <v>91</v>
      </c>
      <c r="I40" s="2" t="s">
        <v>92</v>
      </c>
      <c r="J40" s="2" t="s">
        <v>93</v>
      </c>
      <c r="K40" s="2" t="s">
        <v>94</v>
      </c>
      <c r="L40" s="2" t="s">
        <v>95</v>
      </c>
    </row>
    <row r="41" customFormat="false" ht="15" hidden="false" customHeight="false" outlineLevel="0" collapsed="false">
      <c r="A41" s="0" t="s">
        <v>96</v>
      </c>
      <c r="C41" s="3" t="n">
        <v>3.5</v>
      </c>
      <c r="D41" s="3" t="n">
        <v>6.5</v>
      </c>
      <c r="E41" s="3" t="n">
        <v>6.5</v>
      </c>
      <c r="F41" s="3" t="n">
        <v>6</v>
      </c>
      <c r="G41" s="3" t="n">
        <v>5.5</v>
      </c>
      <c r="H41" s="3" t="n">
        <v>5</v>
      </c>
      <c r="I41" s="3" t="n">
        <v>4.5</v>
      </c>
      <c r="J41" s="3" t="n">
        <v>4</v>
      </c>
      <c r="K41" s="3" t="n">
        <v>3.5</v>
      </c>
      <c r="L41" s="3" t="n">
        <v>3</v>
      </c>
    </row>
    <row r="42" customFormat="false" ht="15" hidden="false" customHeight="false" outlineLevel="0" collapsed="false">
      <c r="A42" s="0" t="s">
        <v>97</v>
      </c>
      <c r="C42" s="3" t="n">
        <v>22.6</v>
      </c>
      <c r="D42" s="3" t="n">
        <v>23.4</v>
      </c>
      <c r="E42" s="3" t="n">
        <v>24.3</v>
      </c>
      <c r="F42" s="3" t="n">
        <v>25.1</v>
      </c>
      <c r="G42" s="3" t="n">
        <v>25.8</v>
      </c>
      <c r="H42" s="3" t="n">
        <v>26.3</v>
      </c>
      <c r="I42" s="3" t="n">
        <v>26.5</v>
      </c>
      <c r="J42" s="3" t="n">
        <v>26.5</v>
      </c>
      <c r="K42" s="3" t="n">
        <v>26.5</v>
      </c>
      <c r="L42" s="3" t="n">
        <v>26.5</v>
      </c>
    </row>
    <row r="43" customFormat="false" ht="15" hidden="false" customHeight="false" outlineLevel="0" collapsed="false">
      <c r="A43" s="0" t="s">
        <v>98</v>
      </c>
      <c r="C43" s="3" t="n">
        <v>0.45</v>
      </c>
      <c r="D43" s="3" t="n">
        <v>0.5</v>
      </c>
      <c r="E43" s="3" t="n">
        <v>0.5</v>
      </c>
      <c r="F43" s="3" t="n">
        <v>0.5</v>
      </c>
      <c r="G43" s="3" t="n">
        <v>0.5</v>
      </c>
      <c r="H43" s="3" t="n">
        <v>0.5</v>
      </c>
      <c r="I43" s="3" t="n">
        <v>0.5</v>
      </c>
      <c r="J43" s="3" t="n">
        <v>0.5</v>
      </c>
      <c r="K43" s="3" t="n">
        <v>0.5</v>
      </c>
      <c r="L43" s="3" t="n">
        <v>0.5</v>
      </c>
    </row>
    <row r="44" customFormat="false" ht="15" hidden="false" customHeight="false" outlineLevel="0" collapsed="false">
      <c r="A44" s="0" t="s">
        <v>99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100</v>
      </c>
      <c r="C45" s="3" t="n">
        <v>6.8</v>
      </c>
      <c r="D45" s="3" t="n">
        <v>6.5</v>
      </c>
      <c r="E45" s="3" t="n">
        <v>6.2</v>
      </c>
      <c r="F45" s="3" t="n">
        <v>5.9</v>
      </c>
      <c r="G45" s="3" t="n">
        <v>5.6</v>
      </c>
      <c r="H45" s="3" t="n">
        <v>5.3</v>
      </c>
      <c r="I45" s="3" t="n">
        <v>5</v>
      </c>
      <c r="J45" s="3" t="n">
        <v>4.8</v>
      </c>
      <c r="K45" s="3" t="n">
        <v>4.6</v>
      </c>
      <c r="L45" s="3" t="n">
        <v>4.5</v>
      </c>
    </row>
    <row r="46" customFormat="false" ht="15" hidden="false" customHeight="false" outlineLevel="0" collapsed="false">
      <c r="A46" s="0" t="s">
        <v>101</v>
      </c>
      <c r="C46" s="3" t="n">
        <v>3.4</v>
      </c>
      <c r="D46" s="3" t="n">
        <v>3.6</v>
      </c>
      <c r="E46" s="3" t="n">
        <v>3.8</v>
      </c>
      <c r="F46" s="3" t="n">
        <v>3.9</v>
      </c>
      <c r="G46" s="3" t="n">
        <v>4</v>
      </c>
      <c r="H46" s="3" t="n">
        <v>4</v>
      </c>
      <c r="I46" s="3" t="n">
        <v>4</v>
      </c>
      <c r="J46" s="3" t="n">
        <v>4</v>
      </c>
      <c r="K46" s="3" t="n">
        <v>4</v>
      </c>
      <c r="L46" s="3" t="n">
        <v>4</v>
      </c>
    </row>
    <row r="47" customFormat="false" ht="15" hidden="false" customHeight="false" outlineLevel="0" collapsed="false">
      <c r="A47" s="0" t="s">
        <v>102</v>
      </c>
      <c r="C47" s="3" t="n">
        <v>27</v>
      </c>
      <c r="D47" s="3" t="n">
        <v>27</v>
      </c>
      <c r="E47" s="3" t="n">
        <v>27</v>
      </c>
      <c r="F47" s="3" t="n">
        <v>27</v>
      </c>
      <c r="G47" s="3" t="n">
        <v>27</v>
      </c>
      <c r="H47" s="3" t="n">
        <v>27</v>
      </c>
      <c r="I47" s="3" t="n">
        <v>27</v>
      </c>
      <c r="J47" s="3" t="n">
        <v>27</v>
      </c>
      <c r="K47" s="3" t="n">
        <v>27</v>
      </c>
      <c r="L47" s="3" t="n">
        <v>27</v>
      </c>
    </row>
    <row r="48" customFormat="false" ht="15" hidden="false" customHeight="false" outlineLevel="0" collapsed="false">
      <c r="A48" s="0" t="s">
        <v>103</v>
      </c>
      <c r="B48" s="3" t="n">
        <v>8</v>
      </c>
    </row>
    <row r="49" customFormat="false" ht="15" hidden="false" customHeight="false" outlineLevel="0" collapsed="false">
      <c r="A49" s="0" t="s">
        <v>104</v>
      </c>
      <c r="B49" s="3" t="n">
        <v>3</v>
      </c>
    </row>
    <row r="50" customFormat="false" ht="15" hidden="false" customHeight="false" outlineLevel="0" collapsed="false">
      <c r="A50" s="0" t="s">
        <v>105</v>
      </c>
      <c r="B50" s="3" t="n">
        <v>17</v>
      </c>
    </row>
    <row r="51" customFormat="false" ht="15" hidden="false" customHeight="false" outlineLevel="0" collapsed="false">
      <c r="A51" s="0" t="s">
        <v>106</v>
      </c>
      <c r="B51" s="3" t="n">
        <v>-25</v>
      </c>
    </row>
    <row r="52" customFormat="false" ht="15" hidden="false" customHeight="false" outlineLevel="0" collapsed="false">
      <c r="A52" s="0" t="s">
        <v>107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110</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Assumptions!C13</f>
        <v>2</v>
      </c>
      <c r="D5" s="4" t="n">
        <f aca="false">Assumptions!D13</f>
        <v>1</v>
      </c>
      <c r="E5" s="4" t="n">
        <f aca="false">Assumptions!E13</f>
        <v>2</v>
      </c>
      <c r="F5" s="4" t="n">
        <f aca="false">Assumptions!F13</f>
        <v>3</v>
      </c>
      <c r="G5" s="4" t="n">
        <f aca="false">Assumptions!G13</f>
        <v>3</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37</v>
      </c>
      <c r="B6" s="3" t="n">
        <v>17401</v>
      </c>
      <c r="C6" s="0" t="n">
        <f aca="false">B6*(1+C5/100)</f>
        <v>17749.02</v>
      </c>
      <c r="D6" s="0" t="n">
        <f aca="false">C6*(1+D5/100)</f>
        <v>17926.5102</v>
      </c>
      <c r="E6" s="0" t="n">
        <f aca="false">D6*(1+E5/100)</f>
        <v>18285.040404</v>
      </c>
      <c r="F6" s="0" t="n">
        <f aca="false">E6*(1+F5/100)</f>
        <v>18833.59161612</v>
      </c>
      <c r="G6" s="0" t="n">
        <f aca="false">F6*(1+G5/100)</f>
        <v>19398.5993646036</v>
      </c>
      <c r="H6" s="0" t="n">
        <f aca="false">G6*(1+H5/100)</f>
        <v>19980.5573455417</v>
      </c>
      <c r="I6" s="0" t="n">
        <f aca="false">H6*(1+I5/100)</f>
        <v>20579.974065908</v>
      </c>
      <c r="J6" s="0" t="n">
        <f aca="false">I6*(1+J5/100)</f>
        <v>21094.4734175557</v>
      </c>
      <c r="K6" s="0" t="n">
        <f aca="false">J6*(1+K5/100)</f>
        <v>21621.8352529945</v>
      </c>
      <c r="L6" s="0" t="n">
        <f aca="false">K6*(1+L5/100)</f>
        <v>22162.3811343194</v>
      </c>
    </row>
    <row r="7" customFormat="false" ht="15" hidden="false" customHeight="false" outlineLevel="0" collapsed="false">
      <c r="A7" s="0" t="s">
        <v>97</v>
      </c>
      <c r="C7" s="4" t="n">
        <f aca="false">Assumptions!C14</f>
        <v>22</v>
      </c>
      <c r="D7" s="4" t="n">
        <f aca="false">Assumptions!D14</f>
        <v>21</v>
      </c>
      <c r="E7" s="4" t="n">
        <f aca="false">Assumptions!E14</f>
        <v>21</v>
      </c>
      <c r="F7" s="4" t="n">
        <f aca="false">Assumptions!F14</f>
        <v>21.2</v>
      </c>
      <c r="G7" s="4" t="n">
        <f aca="false">Assumptions!G14</f>
        <v>21.5</v>
      </c>
      <c r="H7" s="4" t="n">
        <f aca="false">Assumptions!H14</f>
        <v>21.5</v>
      </c>
      <c r="I7" s="4" t="n">
        <f aca="false">Assumptions!I14</f>
        <v>21.5</v>
      </c>
      <c r="J7" s="4" t="n">
        <f aca="false">Assumptions!J14</f>
        <v>21.5</v>
      </c>
      <c r="K7" s="4" t="n">
        <f aca="false">Assumptions!K14</f>
        <v>21.5</v>
      </c>
      <c r="L7" s="4" t="n">
        <f aca="false">Assumptions!L14</f>
        <v>21.5</v>
      </c>
    </row>
    <row r="8" customFormat="false" ht="15" hidden="false" customHeight="false" outlineLevel="0" collapsed="false">
      <c r="A8" s="0" t="s">
        <v>43</v>
      </c>
      <c r="C8" s="0" t="n">
        <f aca="false">C6*C7/100</f>
        <v>3904.7844</v>
      </c>
      <c r="D8" s="0" t="n">
        <f aca="false">D6*D7/100</f>
        <v>3764.567142</v>
      </c>
      <c r="E8" s="0" t="n">
        <f aca="false">E6*E7/100</f>
        <v>3839.85848484</v>
      </c>
      <c r="F8" s="0" t="n">
        <f aca="false">F6*F7/100</f>
        <v>3992.72142261744</v>
      </c>
      <c r="G8" s="0" t="n">
        <f aca="false">G6*G7/100</f>
        <v>4170.69886338977</v>
      </c>
      <c r="H8" s="0" t="n">
        <f aca="false">H6*H7/100</f>
        <v>4295.81982929147</v>
      </c>
      <c r="I8" s="0" t="n">
        <f aca="false">I6*I7/100</f>
        <v>4424.69442417021</v>
      </c>
      <c r="J8" s="0" t="n">
        <f aca="false">J6*J7/100</f>
        <v>4535.31178477447</v>
      </c>
      <c r="K8" s="0" t="n">
        <f aca="false">K6*K7/100</f>
        <v>4648.69457939383</v>
      </c>
      <c r="L8" s="0" t="n">
        <f aca="false">L6*L7/100</f>
        <v>4764.91194387867</v>
      </c>
    </row>
    <row r="9" customFormat="false" ht="15" hidden="false" customHeight="false" outlineLevel="0" collapsed="false">
      <c r="A9" s="0" t="s">
        <v>98</v>
      </c>
      <c r="C9" s="4" t="n">
        <f aca="false">Assumptions!C15</f>
        <v>0.45</v>
      </c>
      <c r="D9" s="4" t="n">
        <f aca="false">Assumptions!D15</f>
        <v>0.55</v>
      </c>
      <c r="E9" s="4" t="n">
        <f aca="false">Assumptions!E15</f>
        <v>0.55</v>
      </c>
      <c r="F9" s="4" t="n">
        <f aca="false">Assumptions!F15</f>
        <v>0.55</v>
      </c>
      <c r="G9" s="4" t="n">
        <f aca="false">Assumptions!G15</f>
        <v>0.55</v>
      </c>
      <c r="H9" s="4" t="n">
        <f aca="false">Assumptions!H15</f>
        <v>0.55</v>
      </c>
      <c r="I9" s="4" t="n">
        <f aca="false">Assumptions!I15</f>
        <v>0.55</v>
      </c>
      <c r="J9" s="4" t="n">
        <f aca="false">Assumptions!J15</f>
        <v>0.55</v>
      </c>
      <c r="K9" s="4" t="n">
        <f aca="false">Assumptions!K15</f>
        <v>0.55</v>
      </c>
      <c r="L9" s="4" t="n">
        <f aca="false">Assumptions!L15</f>
        <v>0.55</v>
      </c>
    </row>
    <row r="10" customFormat="false" ht="15" hidden="false" customHeight="false" outlineLevel="0" collapsed="false">
      <c r="A10" s="0" t="s">
        <v>113</v>
      </c>
      <c r="C10" s="0" t="n">
        <f aca="false">-C6*C9/100</f>
        <v>-79.87059</v>
      </c>
      <c r="D10" s="0" t="n">
        <f aca="false">-D6*D9/100</f>
        <v>-98.5958061</v>
      </c>
      <c r="E10" s="0" t="n">
        <f aca="false">-E6*E9/100</f>
        <v>-100.567722222</v>
      </c>
      <c r="F10" s="0" t="n">
        <f aca="false">-F6*F9/100</f>
        <v>-103.58475388866</v>
      </c>
      <c r="G10" s="0" t="n">
        <f aca="false">-G6*G9/100</f>
        <v>-106.69229650532</v>
      </c>
      <c r="H10" s="0" t="n">
        <f aca="false">-H6*H9/100</f>
        <v>-109.893065400479</v>
      </c>
      <c r="I10" s="0" t="n">
        <f aca="false">-I6*I9/100</f>
        <v>-113.189857362494</v>
      </c>
      <c r="J10" s="0" t="n">
        <f aca="false">-J6*J9/100</f>
        <v>-116.019603796556</v>
      </c>
      <c r="K10" s="0" t="n">
        <f aca="false">-K6*K9/100</f>
        <v>-118.92009389147</v>
      </c>
      <c r="L10" s="0" t="n">
        <f aca="false">-L6*L9/100</f>
        <v>-121.893096238757</v>
      </c>
    </row>
    <row r="11" customFormat="false" ht="15" hidden="false" customHeight="false" outlineLevel="0" collapsed="false">
      <c r="A11" s="0" t="s">
        <v>114</v>
      </c>
      <c r="C11" s="0" t="n">
        <f aca="false">C8+C10+C24</f>
        <v>3824.91381</v>
      </c>
      <c r="D11" s="0" t="n">
        <f aca="false">D8+D10+D24</f>
        <v>3665.9713359</v>
      </c>
      <c r="E11" s="0" t="n">
        <f aca="false">E8+E10+E24</f>
        <v>3739.290762618</v>
      </c>
      <c r="F11" s="0" t="n">
        <f aca="false">F8+F10+F24</f>
        <v>3889.13666872878</v>
      </c>
      <c r="G11" s="0" t="n">
        <f aca="false">G8+G10+G24</f>
        <v>4064.00656688445</v>
      </c>
      <c r="H11" s="0" t="n">
        <f aca="false">H8+H10+H24</f>
        <v>4185.92676389099</v>
      </c>
      <c r="I11" s="0" t="n">
        <f aca="false">I8+I10+I24</f>
        <v>4311.50456680772</v>
      </c>
      <c r="J11" s="0" t="n">
        <f aca="false">J8+J10+J24</f>
        <v>4419.29218097791</v>
      </c>
      <c r="K11" s="0" t="n">
        <f aca="false">K8+K10+K24</f>
        <v>4529.77448550236</v>
      </c>
      <c r="L11" s="0" t="n">
        <f aca="false">L8+L10+L24</f>
        <v>4643.01884763992</v>
      </c>
    </row>
    <row r="12" customFormat="false" ht="15" hidden="false" customHeight="false" outlineLevel="0" collapsed="false">
      <c r="A12" s="0" t="s">
        <v>115</v>
      </c>
      <c r="C12" s="4" t="n">
        <f aca="false">-C6*Assumptions!C17/100</f>
        <v>-1206.93336</v>
      </c>
      <c r="D12" s="4" t="n">
        <f aca="false">-D6*Assumptions!D17/100</f>
        <v>-1165.223163</v>
      </c>
      <c r="E12" s="4" t="n">
        <f aca="false">-E6*Assumptions!E17/100</f>
        <v>-1133.672505048</v>
      </c>
      <c r="F12" s="4" t="n">
        <f aca="false">-F6*Assumptions!F17/100</f>
        <v>-1111.18190535108</v>
      </c>
      <c r="G12" s="4" t="n">
        <f aca="false">-G6*Assumptions!G17/100</f>
        <v>-1086.3215644178</v>
      </c>
      <c r="H12" s="4" t="n">
        <f aca="false">-H6*Assumptions!H17/100</f>
        <v>-1058.96953931371</v>
      </c>
      <c r="I12" s="4" t="n">
        <f aca="false">-I6*Assumptions!I17/100</f>
        <v>-1028.9987032954</v>
      </c>
      <c r="J12" s="4" t="n">
        <f aca="false">-J6*Assumptions!J17/100</f>
        <v>-1012.53472404267</v>
      </c>
      <c r="K12" s="4" t="n">
        <f aca="false">-K6*Assumptions!K17/100</f>
        <v>-994.604421637749</v>
      </c>
      <c r="L12" s="4" t="n">
        <f aca="false">-L6*Assumptions!L17/100</f>
        <v>-997.307151044373</v>
      </c>
    </row>
    <row r="13" customFormat="false" ht="15" hidden="false" customHeight="false" outlineLevel="0" collapsed="false">
      <c r="A13" s="0" t="s">
        <v>116</v>
      </c>
      <c r="C13" s="0" t="n">
        <f aca="false">C11+C12</f>
        <v>2617.98045</v>
      </c>
      <c r="D13" s="0" t="n">
        <f aca="false">D11+D12</f>
        <v>2500.7481729</v>
      </c>
      <c r="E13" s="0" t="n">
        <f aca="false">E11+E12</f>
        <v>2605.61825757</v>
      </c>
      <c r="F13" s="0" t="n">
        <f aca="false">F11+F12</f>
        <v>2777.9547633777</v>
      </c>
      <c r="G13" s="0" t="n">
        <f aca="false">G11+G12</f>
        <v>2977.68500246665</v>
      </c>
      <c r="H13" s="0" t="n">
        <f aca="false">H11+H12</f>
        <v>3126.95722457728</v>
      </c>
      <c r="I13" s="0" t="n">
        <f aca="false">I11+I12</f>
        <v>3282.50586351232</v>
      </c>
      <c r="J13" s="0" t="n">
        <f aca="false">J11+J12</f>
        <v>3406.75745693524</v>
      </c>
      <c r="K13" s="0" t="n">
        <f aca="false">K11+K12</f>
        <v>3535.17006386461</v>
      </c>
      <c r="L13" s="0" t="n">
        <f aca="false">L11+L12</f>
        <v>3645.71169659554</v>
      </c>
    </row>
    <row r="14" customFormat="false" ht="15" hidden="false" customHeight="false" outlineLevel="0" collapsed="false">
      <c r="A14" s="0" t="s">
        <v>102</v>
      </c>
      <c r="C14" s="4" t="n">
        <f aca="false">Assumptions!C19</f>
        <v>27</v>
      </c>
      <c r="D14" s="4" t="n">
        <f aca="false">Assumptions!D19</f>
        <v>28</v>
      </c>
      <c r="E14" s="4" t="n">
        <f aca="false">Assumptions!E19</f>
        <v>28</v>
      </c>
      <c r="F14" s="4" t="n">
        <f aca="false">Assumptions!F19</f>
        <v>28</v>
      </c>
      <c r="G14" s="4" t="n">
        <f aca="false">Assumptions!G19</f>
        <v>28</v>
      </c>
      <c r="H14" s="4" t="n">
        <f aca="false">Assumptions!H19</f>
        <v>28</v>
      </c>
      <c r="I14" s="4" t="n">
        <f aca="false">Assumptions!I19</f>
        <v>28</v>
      </c>
      <c r="J14" s="4" t="n">
        <f aca="false">Assumptions!J19</f>
        <v>28</v>
      </c>
      <c r="K14" s="4" t="n">
        <f aca="false">Assumptions!K19</f>
        <v>28</v>
      </c>
      <c r="L14" s="4" t="n">
        <f aca="false">Assumptions!L19</f>
        <v>28</v>
      </c>
    </row>
    <row r="15" customFormat="false" ht="15" hidden="false" customHeight="false" outlineLevel="0" collapsed="false">
      <c r="A15" s="0" t="s">
        <v>117</v>
      </c>
      <c r="C15" s="0" t="n">
        <f aca="false">C13-MAX(0,C13)*C14/100</f>
        <v>1911.1257285</v>
      </c>
      <c r="D15" s="0" t="n">
        <f aca="false">D13-MAX(0,D13)*D14/100</f>
        <v>1800.538684488</v>
      </c>
      <c r="E15" s="0" t="n">
        <f aca="false">E13-MAX(0,E13)*E14/100</f>
        <v>1876.0451454504</v>
      </c>
      <c r="F15" s="0" t="n">
        <f aca="false">F13-MAX(0,F13)*F14/100</f>
        <v>2000.12742963194</v>
      </c>
      <c r="G15" s="0" t="n">
        <f aca="false">G13-MAX(0,G13)*G14/100</f>
        <v>2143.93320177599</v>
      </c>
      <c r="H15" s="0" t="n">
        <f aca="false">H13-MAX(0,H13)*H14/100</f>
        <v>2251.40920169564</v>
      </c>
      <c r="I15" s="0" t="n">
        <f aca="false">I13-MAX(0,I13)*I14/100</f>
        <v>2363.40422172887</v>
      </c>
      <c r="J15" s="0" t="n">
        <f aca="false">J13-MAX(0,J13)*J14/100</f>
        <v>2452.86536899337</v>
      </c>
      <c r="K15" s="0" t="n">
        <f aca="false">K13-MAX(0,K13)*K14/100</f>
        <v>2545.32244598252</v>
      </c>
      <c r="L15" s="0" t="n">
        <f aca="false">L13-MAX(0,L13)*L14/100</f>
        <v>2624.91242154879</v>
      </c>
    </row>
    <row r="16" customFormat="false" ht="15" hidden="false" customHeight="false" outlineLevel="0" collapsed="false">
      <c r="A16" s="0" t="s">
        <v>118</v>
      </c>
      <c r="C16" s="0" t="n">
        <f aca="false">-C12</f>
        <v>1206.93336</v>
      </c>
      <c r="D16" s="0" t="n">
        <f aca="false">-D12</f>
        <v>1165.223163</v>
      </c>
      <c r="E16" s="0" t="n">
        <f aca="false">-E12</f>
        <v>1133.672505048</v>
      </c>
      <c r="F16" s="0" t="n">
        <f aca="false">-F12</f>
        <v>1111.18190535108</v>
      </c>
      <c r="G16" s="0" t="n">
        <f aca="false">-G12</f>
        <v>1086.3215644178</v>
      </c>
      <c r="H16" s="0" t="n">
        <f aca="false">-H12</f>
        <v>1058.96953931371</v>
      </c>
      <c r="I16" s="0" t="n">
        <f aca="false">-I12</f>
        <v>1028.9987032954</v>
      </c>
      <c r="J16" s="0" t="n">
        <f aca="false">-J12</f>
        <v>1012.53472404267</v>
      </c>
      <c r="K16" s="0" t="n">
        <f aca="false">-K12</f>
        <v>994.604421637749</v>
      </c>
      <c r="L16" s="0" t="n">
        <f aca="false">-L12</f>
        <v>997.307151044373</v>
      </c>
    </row>
    <row r="17" customFormat="false" ht="15" hidden="false" customHeight="false" outlineLevel="0" collapsed="false">
      <c r="A17" s="0" t="s">
        <v>119</v>
      </c>
      <c r="C17" s="4" t="n">
        <f aca="false">-C6*Assumptions!C18/100</f>
        <v>-603.46668</v>
      </c>
      <c r="D17" s="4" t="n">
        <f aca="false">-D6*Assumptions!D18/100</f>
        <v>-681.2073876</v>
      </c>
      <c r="E17" s="4" t="n">
        <f aca="false">-E6*Assumptions!E18/100</f>
        <v>-731.40161616</v>
      </c>
      <c r="F17" s="4" t="n">
        <f aca="false">-F6*Assumptions!F18/100</f>
        <v>-753.3436646448</v>
      </c>
      <c r="G17" s="4" t="n">
        <f aca="false">-G6*Assumptions!G18/100</f>
        <v>-775.943974584144</v>
      </c>
      <c r="H17" s="4" t="n">
        <f aca="false">-H6*Assumptions!H18/100</f>
        <v>-799.222293821669</v>
      </c>
      <c r="I17" s="4" t="n">
        <f aca="false">-I6*Assumptions!I18/100</f>
        <v>-823.198962636319</v>
      </c>
      <c r="J17" s="4" t="n">
        <f aca="false">-J6*Assumptions!J18/100</f>
        <v>-843.778936702226</v>
      </c>
      <c r="K17" s="4" t="n">
        <f aca="false">-K6*Assumptions!K18/100</f>
        <v>-864.873410119782</v>
      </c>
      <c r="L17" s="4" t="n">
        <f aca="false">-L6*Assumptions!L18/100</f>
        <v>-886.495245372776</v>
      </c>
    </row>
    <row r="18" customFormat="false" ht="15" hidden="false" customHeight="false" outlineLevel="0" collapsed="false">
      <c r="A18" s="0" t="s">
        <v>120</v>
      </c>
      <c r="C18" s="4" t="n">
        <f aca="false">(C6-B6)*Assumptions!$B$23/100</f>
        <v>-104.406</v>
      </c>
      <c r="D18" s="4" t="n">
        <f aca="false">(D6-C6)*Assumptions!$B$23/100</f>
        <v>-53.2470600000001</v>
      </c>
      <c r="E18" s="4" t="n">
        <f aca="false">(E6-D6)*Assumptions!$B$23/100</f>
        <v>-107.5590612</v>
      </c>
      <c r="F18" s="4" t="n">
        <f aca="false">(F6-E6)*Assumptions!$B$23/100</f>
        <v>-164.565363636</v>
      </c>
      <c r="G18" s="4" t="n">
        <f aca="false">(G6-F6)*Assumptions!$B$23/100</f>
        <v>-169.50232454508</v>
      </c>
      <c r="H18" s="4" t="n">
        <f aca="false">(H6-G6)*Assumptions!$B$23/100</f>
        <v>-174.587394281433</v>
      </c>
      <c r="I18" s="4" t="n">
        <f aca="false">(I6-H6)*Assumptions!$B$23/100</f>
        <v>-179.825016109875</v>
      </c>
      <c r="J18" s="4" t="n">
        <f aca="false">(J6-I6)*Assumptions!$B$23/100</f>
        <v>-154.349805494309</v>
      </c>
      <c r="K18" s="4" t="n">
        <f aca="false">(K6-J6)*Assumptions!$B$23/100</f>
        <v>-158.208550631667</v>
      </c>
      <c r="L18" s="4" t="n">
        <f aca="false">(L6-K6)*Assumptions!$B$23/100</f>
        <v>-162.163764397459</v>
      </c>
    </row>
    <row r="19" customFormat="false" ht="15" hidden="false" customHeight="false" outlineLevel="0" collapsed="false">
      <c r="A19" s="0" t="s">
        <v>121</v>
      </c>
      <c r="C19" s="0" t="n">
        <f aca="false">C15+C16+C17+C18</f>
        <v>2410.1864085</v>
      </c>
      <c r="D19" s="0" t="n">
        <f aca="false">D15+D16+D17+D18</f>
        <v>2231.307399888</v>
      </c>
      <c r="E19" s="0" t="n">
        <f aca="false">E15+E16+E17+E18</f>
        <v>2170.7569731384</v>
      </c>
      <c r="F19" s="0" t="n">
        <f aca="false">F15+F16+F17+F18</f>
        <v>2193.40030670222</v>
      </c>
      <c r="G19" s="0" t="n">
        <f aca="false">G15+G16+G17+G18</f>
        <v>2284.80846706457</v>
      </c>
      <c r="H19" s="0" t="n">
        <f aca="false">H15+H16+H17+H18</f>
        <v>2336.56905290625</v>
      </c>
      <c r="I19" s="0" t="n">
        <f aca="false">I15+I16+I17+I18</f>
        <v>2389.37894627808</v>
      </c>
      <c r="J19" s="0" t="n">
        <f aca="false">J15+J16+J17+J18</f>
        <v>2467.27135083951</v>
      </c>
      <c r="K19" s="0" t="n">
        <f aca="false">K15+K16+K17+K18</f>
        <v>2516.84490686882</v>
      </c>
      <c r="L19" s="0" t="n">
        <f aca="false">L15+L16+L17+L18</f>
        <v>2573.56056282293</v>
      </c>
    </row>
    <row r="20" customFormat="false" ht="15" hidden="false" customHeight="false" outlineLevel="0" collapsed="false">
      <c r="A20" s="0" t="s">
        <v>122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123</v>
      </c>
      <c r="C21" s="0" t="n">
        <f aca="false">C19*C20</f>
        <v>2231.65408194444</v>
      </c>
      <c r="D21" s="0" t="n">
        <f aca="false">D19*D20</f>
        <v>1912.98645395062</v>
      </c>
      <c r="E21" s="0" t="n">
        <f aca="false">E19*E20</f>
        <v>1723.21687269662</v>
      </c>
      <c r="F21" s="0" t="n">
        <f aca="false">F19*F20</f>
        <v>1612.21470455903</v>
      </c>
      <c r="G21" s="0" t="n">
        <f aca="false">G19*G20</f>
        <v>1555.00225112459</v>
      </c>
      <c r="H21" s="0" t="n">
        <f aca="false">H19*H20</f>
        <v>1472.43484825654</v>
      </c>
      <c r="I21" s="0" t="n">
        <f aca="false">I19*I20</f>
        <v>1394.17966579481</v>
      </c>
      <c r="J21" s="0" t="n">
        <f aca="false">J19*J20</f>
        <v>1332.98994048174</v>
      </c>
      <c r="K21" s="0" t="n">
        <f aca="false">K19*K20</f>
        <v>1259.0490650912</v>
      </c>
      <c r="L21" s="0" t="n">
        <f aca="false">L19*L20</f>
        <v>1192.05649389114</v>
      </c>
    </row>
    <row r="23" customFormat="false" ht="15" hidden="false" customHeight="false" outlineLevel="0" collapsed="false">
      <c r="A23" s="0" t="s">
        <v>99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Assumptions!$B$20</f>
        <v>8</v>
      </c>
    </row>
    <row r="28" customFormat="false" ht="15" hidden="false" customHeight="false" outlineLevel="0" collapsed="false">
      <c r="A28" s="0" t="s">
        <v>104</v>
      </c>
      <c r="B28" s="4" t="n">
        <f aca="false">Assumptions!$B$21</f>
        <v>2</v>
      </c>
    </row>
    <row r="29" customFormat="false" ht="15" hidden="false" customHeight="false" outlineLevel="0" collapsed="false">
      <c r="A29" s="0" t="s">
        <v>105</v>
      </c>
      <c r="B29" s="4" t="n">
        <f aca="false">Assumptions!$B$22</f>
        <v>12</v>
      </c>
    </row>
    <row r="30" customFormat="false" ht="15" hidden="false" customHeight="false" outlineLevel="0" collapsed="false">
      <c r="A30" s="0" t="s">
        <v>126</v>
      </c>
      <c r="B30" s="0" t="n">
        <f aca="false">SUM(C21:L21)</f>
        <v>15685.7843777907</v>
      </c>
    </row>
    <row r="31" customFormat="false" ht="15" hidden="false" customHeight="false" outlineLevel="0" collapsed="false">
      <c r="A31" s="0" t="s">
        <v>127</v>
      </c>
      <c r="B31" s="0" t="n">
        <f aca="false">L19</f>
        <v>2573.56056282293</v>
      </c>
    </row>
    <row r="32" customFormat="false" ht="15" hidden="false" customHeight="false" outlineLevel="0" collapsed="false">
      <c r="A32" s="0" t="s">
        <v>128</v>
      </c>
      <c r="B32" s="0" t="n">
        <f aca="false">IF(B27&gt;B28,B31*(1+B28/100)/((B27-B28)/100),B31*B29)</f>
        <v>43750.5295679898</v>
      </c>
    </row>
    <row r="33" customFormat="false" ht="15" hidden="false" customHeight="false" outlineLevel="0" collapsed="false">
      <c r="A33" s="0" t="s">
        <v>129</v>
      </c>
      <c r="B33" s="0" t="n">
        <f aca="false">B31*B29</f>
        <v>30882.7267538752</v>
      </c>
    </row>
    <row r="34" customFormat="false" ht="15" hidden="false" customHeight="false" outlineLevel="0" collapsed="false">
      <c r="A34" s="0" t="s">
        <v>130</v>
      </c>
      <c r="B34" s="0" t="n">
        <f aca="false">MAX(0,MIN(B32,B33))</f>
        <v>30882.7267538752</v>
      </c>
    </row>
    <row r="35" customFormat="false" ht="15" hidden="false" customHeight="false" outlineLevel="0" collapsed="false">
      <c r="A35" s="0" t="s">
        <v>131</v>
      </c>
      <c r="B35" s="0" t="n">
        <f aca="false">B34/(1+B27/100)^L4</f>
        <v>14304.6779266936</v>
      </c>
    </row>
    <row r="36" customFormat="false" ht="15" hidden="false" customHeight="false" outlineLevel="0" collapsed="false">
      <c r="A36" s="0" t="s">
        <v>132</v>
      </c>
      <c r="B36" s="0" t="n">
        <f aca="false">B30+B35</f>
        <v>29990.4623044844</v>
      </c>
    </row>
    <row r="37" customFormat="false" ht="15" hidden="false" customHeight="false" outlineLevel="0" collapsed="false">
      <c r="A37" s="0" t="s">
        <v>133</v>
      </c>
      <c r="B37" s="0" t="n">
        <f aca="false">B36+Assumptions!$B$5-Assumptions!$B$4</f>
        <v>27826.4623044844</v>
      </c>
    </row>
    <row r="38" customFormat="false" ht="15" hidden="false" customHeight="false" outlineLevel="0" collapsed="false">
      <c r="A38" s="0" t="s">
        <v>134</v>
      </c>
      <c r="B38" s="0" t="n">
        <f aca="false">B37/Assumptions!$B$3*Assumptions!$B$10</f>
        <v>41.6314516823524</v>
      </c>
    </row>
    <row r="39" customFormat="false" ht="15" hidden="false" customHeight="false" outlineLevel="0" collapsed="false">
      <c r="A39" s="0" t="s">
        <v>135</v>
      </c>
      <c r="B39" s="4" t="n">
        <f aca="false">B38/Assumptions!$B$2-1</f>
        <v>-0.469798119175338</v>
      </c>
    </row>
    <row r="41" customFormat="false" ht="15" hidden="false" customHeight="false" outlineLevel="0" collapsed="false">
      <c r="A41" s="0" t="s">
        <v>136</v>
      </c>
      <c r="B41" s="0" t="n">
        <f aca="false">SUMPRODUCT(-C10:L10/(1+$B$27/100)^C4:L4)</f>
        <v>700.997024168213</v>
      </c>
    </row>
    <row r="42" customFormat="false" ht="15" hidden="false" customHeight="false" outlineLevel="0" collapsed="false">
      <c r="A42" s="0" t="s">
        <v>137</v>
      </c>
      <c r="B42" s="0" t="n">
        <f aca="false">IF(B27&gt;B28,-L10*(1+B28/100)/((B27-B28)/100),-L10*20)/(1+B27/100)^L4</f>
        <v>959.821503144621</v>
      </c>
    </row>
    <row r="43" customFormat="false" ht="15" hidden="false" customHeight="false" outlineLevel="0" collapsed="false">
      <c r="A43" s="0" t="s">
        <v>138</v>
      </c>
      <c r="B43" s="0" t="n">
        <f aca="false">(B37+B41+B42)/Assumptions!$B$3*Assumptions!$B$10</f>
        <v>44.1162190780928</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20192.552108303</v>
      </c>
    </row>
    <row r="47" customFormat="false" ht="15" hidden="false" customHeight="false" outlineLevel="0" collapsed="false">
      <c r="A47" s="0" t="s">
        <v>140</v>
      </c>
      <c r="B47" s="0" t="n">
        <f aca="false">(SUMPRODUCT(C19:L19/(1+B45/100)^C4:L4)+B46/(1+B45/100)^L4+Assumptions!$B$5-Assumptions!$B$4)/Assumptions!$B$3*Assumptions!$B$10</f>
        <v>21.6849229780967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Assumptions!C27</f>
        <v>3</v>
      </c>
      <c r="D5" s="4" t="n">
        <f aca="false">Assumptions!D27</f>
        <v>4.5</v>
      </c>
      <c r="E5" s="4" t="n">
        <f aca="false">Assumptions!E27</f>
        <v>4.5</v>
      </c>
      <c r="F5" s="4" t="n">
        <f aca="false">Assumptions!F27</f>
        <v>4.5</v>
      </c>
      <c r="G5" s="4" t="n">
        <f aca="false">Assumptions!G27</f>
        <v>4</v>
      </c>
      <c r="H5" s="4" t="n">
        <f aca="false">Assumptions!H27</f>
        <v>4</v>
      </c>
      <c r="I5" s="4" t="n">
        <f aca="false">Assumptions!I27</f>
        <v>3.5</v>
      </c>
      <c r="J5" s="4" t="n">
        <f aca="false">Assumptions!J27</f>
        <v>3</v>
      </c>
      <c r="K5" s="4" t="n">
        <f aca="false">Assumptions!K27</f>
        <v>3</v>
      </c>
      <c r="L5" s="4" t="n">
        <f aca="false">Assumptions!L27</f>
        <v>3</v>
      </c>
    </row>
    <row r="6" customFormat="false" ht="15" hidden="false" customHeight="false" outlineLevel="0" collapsed="false">
      <c r="A6" s="0" t="s">
        <v>37</v>
      </c>
      <c r="B6" s="3" t="n">
        <v>17401</v>
      </c>
      <c r="C6" s="0" t="n">
        <f aca="false">B6*(1+C5/100)</f>
        <v>17923.03</v>
      </c>
      <c r="D6" s="0" t="n">
        <f aca="false">C6*(1+D5/100)</f>
        <v>18729.56635</v>
      </c>
      <c r="E6" s="0" t="n">
        <f aca="false">D6*(1+E5/100)</f>
        <v>19572.39683575</v>
      </c>
      <c r="F6" s="0" t="n">
        <f aca="false">E6*(1+F5/100)</f>
        <v>20453.1546933587</v>
      </c>
      <c r="G6" s="0" t="n">
        <f aca="false">F6*(1+G5/100)</f>
        <v>21271.2808810931</v>
      </c>
      <c r="H6" s="0" t="n">
        <f aca="false">G6*(1+H5/100)</f>
        <v>22122.1321163368</v>
      </c>
      <c r="I6" s="0" t="n">
        <f aca="false">H6*(1+I5/100)</f>
        <v>22896.4067404086</v>
      </c>
      <c r="J6" s="0" t="n">
        <f aca="false">I6*(1+J5/100)</f>
        <v>23583.2989426209</v>
      </c>
      <c r="K6" s="0" t="n">
        <f aca="false">J6*(1+K5/100)</f>
        <v>24290.7979108995</v>
      </c>
      <c r="L6" s="0" t="n">
        <f aca="false">K6*(1+L5/100)</f>
        <v>25019.5218482265</v>
      </c>
    </row>
    <row r="7" customFormat="false" ht="15" hidden="false" customHeight="false" outlineLevel="0" collapsed="false">
      <c r="A7" s="0" t="s">
        <v>97</v>
      </c>
      <c r="C7" s="4" t="n">
        <f aca="false">Assumptions!C28</f>
        <v>22.4</v>
      </c>
      <c r="D7" s="4" t="n">
        <f aca="false">Assumptions!D28</f>
        <v>22.6</v>
      </c>
      <c r="E7" s="4" t="n">
        <f aca="false">Assumptions!E28</f>
        <v>23</v>
      </c>
      <c r="F7" s="4" t="n">
        <f aca="false">Assumptions!F28</f>
        <v>23.4</v>
      </c>
      <c r="G7" s="4" t="n">
        <f aca="false">Assumptions!G28</f>
        <v>23.7</v>
      </c>
      <c r="H7" s="4" t="n">
        <f aca="false">Assumptions!H28</f>
        <v>24</v>
      </c>
      <c r="I7" s="4" t="n">
        <f aca="false">Assumptions!I28</f>
        <v>24</v>
      </c>
      <c r="J7" s="4" t="n">
        <f aca="false">Assumptions!J28</f>
        <v>24</v>
      </c>
      <c r="K7" s="4" t="n">
        <f aca="false">Assumptions!K28</f>
        <v>24</v>
      </c>
      <c r="L7" s="4" t="n">
        <f aca="false">Assumptions!L28</f>
        <v>24</v>
      </c>
    </row>
    <row r="8" customFormat="false" ht="15" hidden="false" customHeight="false" outlineLevel="0" collapsed="false">
      <c r="A8" s="0" t="s">
        <v>43</v>
      </c>
      <c r="C8" s="0" t="n">
        <f aca="false">C6*C7/100</f>
        <v>4014.75872</v>
      </c>
      <c r="D8" s="0" t="n">
        <f aca="false">D6*D7/100</f>
        <v>4232.8819951</v>
      </c>
      <c r="E8" s="0" t="n">
        <f aca="false">E6*E7/100</f>
        <v>4501.6512722225</v>
      </c>
      <c r="F8" s="0" t="n">
        <f aca="false">F6*F7/100</f>
        <v>4786.03819824595</v>
      </c>
      <c r="G8" s="0" t="n">
        <f aca="false">G6*G7/100</f>
        <v>5041.29356881906</v>
      </c>
      <c r="H8" s="0" t="n">
        <f aca="false">H6*H7/100</f>
        <v>5309.31170792084</v>
      </c>
      <c r="I8" s="0" t="n">
        <f aca="false">I6*I7/100</f>
        <v>5495.13761769807</v>
      </c>
      <c r="J8" s="0" t="n">
        <f aca="false">J6*J7/100</f>
        <v>5659.99174622901</v>
      </c>
      <c r="K8" s="0" t="n">
        <f aca="false">K6*K7/100</f>
        <v>5829.79149861588</v>
      </c>
      <c r="L8" s="0" t="n">
        <f aca="false">L6*L7/100</f>
        <v>6004.68524357435</v>
      </c>
    </row>
    <row r="9" customFormat="false" ht="15" hidden="false" customHeight="false" outlineLevel="0" collapsed="false">
      <c r="A9" s="0" t="s">
        <v>98</v>
      </c>
      <c r="C9" s="4" t="n">
        <f aca="false">Assumptions!C29</f>
        <v>0.45</v>
      </c>
      <c r="D9" s="4" t="n">
        <f aca="false">Assumptions!D29</f>
        <v>0.5</v>
      </c>
      <c r="E9" s="4" t="n">
        <f aca="false">Assumptions!E29</f>
        <v>0.5</v>
      </c>
      <c r="F9" s="4" t="n">
        <f aca="false">Assumptions!F29</f>
        <v>0.5</v>
      </c>
      <c r="G9" s="4" t="n">
        <f aca="false">Assumptions!G29</f>
        <v>0.5</v>
      </c>
      <c r="H9" s="4" t="n">
        <f aca="false">Assumptions!H29</f>
        <v>0.5</v>
      </c>
      <c r="I9" s="4" t="n">
        <f aca="false">Assumptions!I29</f>
        <v>0.5</v>
      </c>
      <c r="J9" s="4" t="n">
        <f aca="false">Assumptions!J29</f>
        <v>0.5</v>
      </c>
      <c r="K9" s="4" t="n">
        <f aca="false">Assumptions!K29</f>
        <v>0.5</v>
      </c>
      <c r="L9" s="4" t="n">
        <f aca="false">Assumptions!L29</f>
        <v>0.5</v>
      </c>
    </row>
    <row r="10" customFormat="false" ht="15" hidden="false" customHeight="false" outlineLevel="0" collapsed="false">
      <c r="A10" s="0" t="s">
        <v>113</v>
      </c>
      <c r="C10" s="0" t="n">
        <f aca="false">-C6*C9/100</f>
        <v>-80.653635</v>
      </c>
      <c r="D10" s="0" t="n">
        <f aca="false">-D6*D9/100</f>
        <v>-93.64783175</v>
      </c>
      <c r="E10" s="0" t="n">
        <f aca="false">-E6*E9/100</f>
        <v>-97.86198417875</v>
      </c>
      <c r="F10" s="0" t="n">
        <f aca="false">-F6*F9/100</f>
        <v>-102.265773466794</v>
      </c>
      <c r="G10" s="0" t="n">
        <f aca="false">-G6*G9/100</f>
        <v>-106.356404405465</v>
      </c>
      <c r="H10" s="0" t="n">
        <f aca="false">-H6*H9/100</f>
        <v>-110.610660581684</v>
      </c>
      <c r="I10" s="0" t="n">
        <f aca="false">-I6*I9/100</f>
        <v>-114.482033702043</v>
      </c>
      <c r="J10" s="0" t="n">
        <f aca="false">-J6*J9/100</f>
        <v>-117.916494713104</v>
      </c>
      <c r="K10" s="0" t="n">
        <f aca="false">-K6*K9/100</f>
        <v>-121.453989554497</v>
      </c>
      <c r="L10" s="0" t="n">
        <f aca="false">-L6*L9/100</f>
        <v>-125.097609241132</v>
      </c>
    </row>
    <row r="11" customFormat="false" ht="15" hidden="false" customHeight="false" outlineLevel="0" collapsed="false">
      <c r="A11" s="0" t="s">
        <v>114</v>
      </c>
      <c r="C11" s="0" t="n">
        <f aca="false">C8+C10+C24</f>
        <v>3934.105085</v>
      </c>
      <c r="D11" s="0" t="n">
        <f aca="false">D8+D10+D24</f>
        <v>4139.23416335</v>
      </c>
      <c r="E11" s="0" t="n">
        <f aca="false">E8+E10+E24</f>
        <v>4403.78928804375</v>
      </c>
      <c r="F11" s="0" t="n">
        <f aca="false">F8+F10+F24</f>
        <v>4683.77242477915</v>
      </c>
      <c r="G11" s="0" t="n">
        <f aca="false">G8+G10+G24</f>
        <v>4934.9371644136</v>
      </c>
      <c r="H11" s="0" t="n">
        <f aca="false">H8+H10+H24</f>
        <v>5198.70104733915</v>
      </c>
      <c r="I11" s="0" t="n">
        <f aca="false">I8+I10+I24</f>
        <v>5380.65558399602</v>
      </c>
      <c r="J11" s="0" t="n">
        <f aca="false">J8+J10+J24</f>
        <v>5542.0752515159</v>
      </c>
      <c r="K11" s="0" t="n">
        <f aca="false">K8+K10+K24</f>
        <v>5708.33750906138</v>
      </c>
      <c r="L11" s="0" t="n">
        <f aca="false">L8+L10+L24</f>
        <v>5879.58763433322</v>
      </c>
    </row>
    <row r="12" customFormat="false" ht="15" hidden="false" customHeight="false" outlineLevel="0" collapsed="false">
      <c r="A12" s="0" t="s">
        <v>115</v>
      </c>
      <c r="C12" s="4" t="n">
        <f aca="false">-C6*Assumptions!C31/100</f>
        <v>-1218.76604</v>
      </c>
      <c r="D12" s="4" t="n">
        <f aca="false">-D6*Assumptions!D31/100</f>
        <v>-1217.42181275</v>
      </c>
      <c r="E12" s="4" t="n">
        <f aca="false">-E6*Assumptions!E31/100</f>
        <v>-1213.4886038165</v>
      </c>
      <c r="F12" s="4" t="n">
        <f aca="false">-F6*Assumptions!F31/100</f>
        <v>-1206.73612690817</v>
      </c>
      <c r="G12" s="4" t="n">
        <f aca="false">-G6*Assumptions!G31/100</f>
        <v>-1191.19172934121</v>
      </c>
      <c r="H12" s="4" t="n">
        <f aca="false">-H6*Assumptions!H31/100</f>
        <v>-1172.47300216585</v>
      </c>
      <c r="I12" s="4" t="n">
        <f aca="false">-I6*Assumptions!I31/100</f>
        <v>-1144.82033702043</v>
      </c>
      <c r="J12" s="4" t="n">
        <f aca="false">-J6*Assumptions!J31/100</f>
        <v>-1131.9983492458</v>
      </c>
      <c r="K12" s="4" t="n">
        <f aca="false">-K6*Assumptions!K31/100</f>
        <v>-1117.37670390138</v>
      </c>
      <c r="L12" s="4" t="n">
        <f aca="false">-L6*Assumptions!L31/100</f>
        <v>-1125.87848317019</v>
      </c>
    </row>
    <row r="13" customFormat="false" ht="15" hidden="false" customHeight="false" outlineLevel="0" collapsed="false">
      <c r="A13" s="0" t="s">
        <v>116</v>
      </c>
      <c r="C13" s="0" t="n">
        <f aca="false">C11+C12</f>
        <v>2715.339045</v>
      </c>
      <c r="D13" s="0" t="n">
        <f aca="false">D11+D12</f>
        <v>2921.8123506</v>
      </c>
      <c r="E13" s="0" t="n">
        <f aca="false">E11+E12</f>
        <v>3190.30068422725</v>
      </c>
      <c r="F13" s="0" t="n">
        <f aca="false">F11+F12</f>
        <v>3477.03629787099</v>
      </c>
      <c r="G13" s="0" t="n">
        <f aca="false">G11+G12</f>
        <v>3743.74543507238</v>
      </c>
      <c r="H13" s="0" t="n">
        <f aca="false">H11+H12</f>
        <v>4026.2280451733</v>
      </c>
      <c r="I13" s="0" t="n">
        <f aca="false">I11+I12</f>
        <v>4235.83524697559</v>
      </c>
      <c r="J13" s="0" t="n">
        <f aca="false">J11+J12</f>
        <v>4410.0769022701</v>
      </c>
      <c r="K13" s="0" t="n">
        <f aca="false">K11+K12</f>
        <v>4590.96080516</v>
      </c>
      <c r="L13" s="0" t="n">
        <f aca="false">L11+L12</f>
        <v>4753.70915116303</v>
      </c>
    </row>
    <row r="14" customFormat="false" ht="15" hidden="false" customHeight="false" outlineLevel="0" collapsed="false">
      <c r="A14" s="0" t="s">
        <v>102</v>
      </c>
      <c r="C14" s="4" t="n">
        <f aca="false">Assumptions!C33</f>
        <v>27</v>
      </c>
      <c r="D14" s="4" t="n">
        <f aca="false">Assumptions!D33</f>
        <v>27</v>
      </c>
      <c r="E14" s="4" t="n">
        <f aca="false">Assumptions!E33</f>
        <v>27</v>
      </c>
      <c r="F14" s="4" t="n">
        <f aca="false">Assumptions!F33</f>
        <v>27</v>
      </c>
      <c r="G14" s="4" t="n">
        <f aca="false">Assumptions!G33</f>
        <v>27</v>
      </c>
      <c r="H14" s="4" t="n">
        <f aca="false">Assumptions!H33</f>
        <v>27</v>
      </c>
      <c r="I14" s="4" t="n">
        <f aca="false">Assumptions!I33</f>
        <v>27</v>
      </c>
      <c r="J14" s="4" t="n">
        <f aca="false">Assumptions!J33</f>
        <v>27</v>
      </c>
      <c r="K14" s="4" t="n">
        <f aca="false">Assumptions!K33</f>
        <v>27</v>
      </c>
      <c r="L14" s="4" t="n">
        <f aca="false">Assumptions!L33</f>
        <v>27</v>
      </c>
    </row>
    <row r="15" customFormat="false" ht="15" hidden="false" customHeight="false" outlineLevel="0" collapsed="false">
      <c r="A15" s="0" t="s">
        <v>117</v>
      </c>
      <c r="C15" s="0" t="n">
        <f aca="false">C13-MAX(0,C13)*C14/100</f>
        <v>1982.19750285</v>
      </c>
      <c r="D15" s="0" t="n">
        <f aca="false">D13-MAX(0,D13)*D14/100</f>
        <v>2132.923015938</v>
      </c>
      <c r="E15" s="0" t="n">
        <f aca="false">E13-MAX(0,E13)*E14/100</f>
        <v>2328.91949948589</v>
      </c>
      <c r="F15" s="0" t="n">
        <f aca="false">F13-MAX(0,F13)*F14/100</f>
        <v>2538.23649744582</v>
      </c>
      <c r="G15" s="0" t="n">
        <f aca="false">G13-MAX(0,G13)*G14/100</f>
        <v>2732.93416760284</v>
      </c>
      <c r="H15" s="0" t="n">
        <f aca="false">H13-MAX(0,H13)*H14/100</f>
        <v>2939.14647297651</v>
      </c>
      <c r="I15" s="0" t="n">
        <f aca="false">I13-MAX(0,I13)*I14/100</f>
        <v>3092.15973029218</v>
      </c>
      <c r="J15" s="0" t="n">
        <f aca="false">J13-MAX(0,J13)*J14/100</f>
        <v>3219.35613865717</v>
      </c>
      <c r="K15" s="0" t="n">
        <f aca="false">K13-MAX(0,K13)*K14/100</f>
        <v>3351.4013877668</v>
      </c>
      <c r="L15" s="0" t="n">
        <f aca="false">L13-MAX(0,L13)*L14/100</f>
        <v>3470.20768034901</v>
      </c>
    </row>
    <row r="16" customFormat="false" ht="15" hidden="false" customHeight="false" outlineLevel="0" collapsed="false">
      <c r="A16" s="0" t="s">
        <v>118</v>
      </c>
      <c r="C16" s="0" t="n">
        <f aca="false">-C12</f>
        <v>1218.76604</v>
      </c>
      <c r="D16" s="0" t="n">
        <f aca="false">-D12</f>
        <v>1217.42181275</v>
      </c>
      <c r="E16" s="0" t="n">
        <f aca="false">-E12</f>
        <v>1213.4886038165</v>
      </c>
      <c r="F16" s="0" t="n">
        <f aca="false">-F12</f>
        <v>1206.73612690817</v>
      </c>
      <c r="G16" s="0" t="n">
        <f aca="false">-G12</f>
        <v>1191.19172934121</v>
      </c>
      <c r="H16" s="0" t="n">
        <f aca="false">-H12</f>
        <v>1172.47300216585</v>
      </c>
      <c r="I16" s="0" t="n">
        <f aca="false">-I12</f>
        <v>1144.82033702043</v>
      </c>
      <c r="J16" s="0" t="n">
        <f aca="false">-J12</f>
        <v>1131.9983492458</v>
      </c>
      <c r="K16" s="0" t="n">
        <f aca="false">-K12</f>
        <v>1117.37670390138</v>
      </c>
      <c r="L16" s="0" t="n">
        <f aca="false">-L12</f>
        <v>1125.87848317019</v>
      </c>
    </row>
    <row r="17" customFormat="false" ht="15" hidden="false" customHeight="false" outlineLevel="0" collapsed="false">
      <c r="A17" s="0" t="s">
        <v>119</v>
      </c>
      <c r="C17" s="4" t="n">
        <f aca="false">-C6*Assumptions!C32/100</f>
        <v>-609.38302</v>
      </c>
      <c r="D17" s="4" t="n">
        <f aca="false">-D6*Assumptions!D32/100</f>
        <v>-674.2643886</v>
      </c>
      <c r="E17" s="4" t="n">
        <f aca="false">-E6*Assumptions!E32/100</f>
        <v>-743.7510797585</v>
      </c>
      <c r="F17" s="4" t="n">
        <f aca="false">-F6*Assumptions!F32/100</f>
        <v>-797.673033040991</v>
      </c>
      <c r="G17" s="4" t="n">
        <f aca="false">-G6*Assumptions!G32/100</f>
        <v>-850.851235243724</v>
      </c>
      <c r="H17" s="4" t="n">
        <f aca="false">-H6*Assumptions!H32/100</f>
        <v>-884.885284653473</v>
      </c>
      <c r="I17" s="4" t="n">
        <f aca="false">-I6*Assumptions!I32/100</f>
        <v>-915.856269616344</v>
      </c>
      <c r="J17" s="4" t="n">
        <f aca="false">-J6*Assumptions!J32/100</f>
        <v>-943.331957704834</v>
      </c>
      <c r="K17" s="4" t="n">
        <f aca="false">-K6*Assumptions!K32/100</f>
        <v>-971.631916435979</v>
      </c>
      <c r="L17" s="4" t="n">
        <f aca="false">-L6*Assumptions!L32/100</f>
        <v>-1000.78087392906</v>
      </c>
    </row>
    <row r="18" customFormat="false" ht="15" hidden="false" customHeight="false" outlineLevel="0" collapsed="false">
      <c r="A18" s="0" t="s">
        <v>120</v>
      </c>
      <c r="C18" s="4" t="n">
        <f aca="false">(C6-B6)*Assumptions!$B$37/100</f>
        <v>-130.5075</v>
      </c>
      <c r="D18" s="4" t="n">
        <f aca="false">(D6-C6)*Assumptions!$B$37/100</f>
        <v>-201.6340875</v>
      </c>
      <c r="E18" s="4" t="n">
        <f aca="false">(E6-D6)*Assumptions!$B$37/100</f>
        <v>-210.707621437499</v>
      </c>
      <c r="F18" s="4" t="n">
        <f aca="false">(F6-E6)*Assumptions!$B$37/100</f>
        <v>-220.189464402187</v>
      </c>
      <c r="G18" s="4" t="n">
        <f aca="false">(G6-F6)*Assumptions!$B$37/100</f>
        <v>-204.531546933587</v>
      </c>
      <c r="H18" s="4" t="n">
        <f aca="false">(H6-G6)*Assumptions!$B$37/100</f>
        <v>-212.712808810931</v>
      </c>
      <c r="I18" s="4" t="n">
        <f aca="false">(I6-H6)*Assumptions!$B$37/100</f>
        <v>-193.568656017947</v>
      </c>
      <c r="J18" s="4" t="n">
        <f aca="false">(J6-I6)*Assumptions!$B$37/100</f>
        <v>-171.723050553064</v>
      </c>
      <c r="K18" s="4" t="n">
        <f aca="false">(K6-J6)*Assumptions!$B$37/100</f>
        <v>-176.874742069656</v>
      </c>
      <c r="L18" s="4" t="n">
        <f aca="false">(L6-K6)*Assumptions!$B$37/100</f>
        <v>-182.180984331746</v>
      </c>
    </row>
    <row r="19" customFormat="false" ht="15" hidden="false" customHeight="false" outlineLevel="0" collapsed="false">
      <c r="A19" s="0" t="s">
        <v>121</v>
      </c>
      <c r="C19" s="0" t="n">
        <f aca="false">C15+C16+C17+C18</f>
        <v>2461.07302285</v>
      </c>
      <c r="D19" s="0" t="n">
        <f aca="false">D15+D16+D17+D18</f>
        <v>2474.446352588</v>
      </c>
      <c r="E19" s="0" t="n">
        <f aca="false">E15+E16+E17+E18</f>
        <v>2587.94940210639</v>
      </c>
      <c r="F19" s="0" t="n">
        <f aca="false">F15+F16+F17+F18</f>
        <v>2727.11012691081</v>
      </c>
      <c r="G19" s="0" t="n">
        <f aca="false">G15+G16+G17+G18</f>
        <v>2868.74311476674</v>
      </c>
      <c r="H19" s="0" t="n">
        <f aca="false">H15+H16+H17+H18</f>
        <v>3014.02138167796</v>
      </c>
      <c r="I19" s="0" t="n">
        <f aca="false">I15+I16+I17+I18</f>
        <v>3127.55514167832</v>
      </c>
      <c r="J19" s="0" t="n">
        <f aca="false">J15+J16+J17+J18</f>
        <v>3236.29947964508</v>
      </c>
      <c r="K19" s="0" t="n">
        <f aca="false">K15+K16+K17+K18</f>
        <v>3320.27143316254</v>
      </c>
      <c r="L19" s="0" t="n">
        <f aca="false">L15+L16+L17+L18</f>
        <v>3413.1243052584</v>
      </c>
    </row>
    <row r="20" customFormat="false" ht="15" hidden="false" customHeight="false" outlineLevel="0" collapsed="false">
      <c r="A20" s="0" t="s">
        <v>122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123</v>
      </c>
      <c r="C21" s="0" t="n">
        <f aca="false">C19*C20</f>
        <v>2278.7713174537</v>
      </c>
      <c r="D21" s="0" t="n">
        <f aca="false">D19*D20</f>
        <v>2121.43891682785</v>
      </c>
      <c r="E21" s="0" t="n">
        <f aca="false">E19*E20</f>
        <v>2054.39767352093</v>
      </c>
      <c r="F21" s="0" t="n">
        <f aca="false">F19*F20</f>
        <v>2004.50735514297</v>
      </c>
      <c r="G21" s="0" t="n">
        <f aca="false">G19*G20</f>
        <v>1952.41836051652</v>
      </c>
      <c r="H21" s="0" t="n">
        <f aca="false">H19*H20</f>
        <v>1899.3447295097</v>
      </c>
      <c r="I21" s="0" t="n">
        <f aca="false">I19*I20</f>
        <v>1824.898385822</v>
      </c>
      <c r="J21" s="0" t="n">
        <f aca="false">J19*J20</f>
        <v>1748.47190978217</v>
      </c>
      <c r="K21" s="0" t="n">
        <f aca="false">K19*K20</f>
        <v>1660.96235503565</v>
      </c>
      <c r="L21" s="0" t="n">
        <f aca="false">L19*L20</f>
        <v>1580.93695221925</v>
      </c>
    </row>
    <row r="23" customFormat="false" ht="15" hidden="false" customHeight="false" outlineLevel="0" collapsed="false">
      <c r="A23" s="0" t="s">
        <v>99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Assumptions!$B$34</f>
        <v>8</v>
      </c>
    </row>
    <row r="28" customFormat="false" ht="15" hidden="false" customHeight="false" outlineLevel="0" collapsed="false">
      <c r="A28" s="0" t="s">
        <v>104</v>
      </c>
      <c r="B28" s="4" t="n">
        <f aca="false">Assumptions!$B$35</f>
        <v>2.5</v>
      </c>
    </row>
    <row r="29" customFormat="false" ht="15" hidden="false" customHeight="false" outlineLevel="0" collapsed="false">
      <c r="A29" s="0" t="s">
        <v>105</v>
      </c>
      <c r="B29" s="4" t="n">
        <f aca="false">Assumptions!$B$36</f>
        <v>15</v>
      </c>
    </row>
    <row r="30" customFormat="false" ht="15" hidden="false" customHeight="false" outlineLevel="0" collapsed="false">
      <c r="A30" s="0" t="s">
        <v>126</v>
      </c>
      <c r="B30" s="0" t="n">
        <f aca="false">SUM(C21:L21)</f>
        <v>19126.1479558307</v>
      </c>
    </row>
    <row r="31" customFormat="false" ht="15" hidden="false" customHeight="false" outlineLevel="0" collapsed="false">
      <c r="A31" s="0" t="s">
        <v>127</v>
      </c>
      <c r="B31" s="0" t="n">
        <f aca="false">L19</f>
        <v>3413.1243052584</v>
      </c>
    </row>
    <row r="32" customFormat="false" ht="15" hidden="false" customHeight="false" outlineLevel="0" collapsed="false">
      <c r="A32" s="0" t="s">
        <v>128</v>
      </c>
      <c r="B32" s="0" t="n">
        <f aca="false">IF(B27&gt;B28,B31*(1+B28/100)/((B27-B28)/100),B31*B29)</f>
        <v>63608.2256889065</v>
      </c>
    </row>
    <row r="33" customFormat="false" ht="15" hidden="false" customHeight="false" outlineLevel="0" collapsed="false">
      <c r="A33" s="0" t="s">
        <v>129</v>
      </c>
      <c r="B33" s="0" t="n">
        <f aca="false">B31*B29</f>
        <v>51196.864578876</v>
      </c>
    </row>
    <row r="34" customFormat="false" ht="15" hidden="false" customHeight="false" outlineLevel="0" collapsed="false">
      <c r="A34" s="0" t="s">
        <v>130</v>
      </c>
      <c r="B34" s="0" t="n">
        <f aca="false">MAX(0,MIN(B32,B33))</f>
        <v>51196.864578876</v>
      </c>
    </row>
    <row r="35" customFormat="false" ht="15" hidden="false" customHeight="false" outlineLevel="0" collapsed="false">
      <c r="A35" s="0" t="s">
        <v>131</v>
      </c>
      <c r="B35" s="0" t="n">
        <f aca="false">B34/(1+B27/100)^L4</f>
        <v>23714.0542832888</v>
      </c>
    </row>
    <row r="36" customFormat="false" ht="15" hidden="false" customHeight="false" outlineLevel="0" collapsed="false">
      <c r="A36" s="0" t="s">
        <v>132</v>
      </c>
      <c r="B36" s="0" t="n">
        <f aca="false">B30+B35</f>
        <v>42840.2022391195</v>
      </c>
    </row>
    <row r="37" customFormat="false" ht="15" hidden="false" customHeight="false" outlineLevel="0" collapsed="false">
      <c r="A37" s="0" t="s">
        <v>133</v>
      </c>
      <c r="B37" s="0" t="n">
        <f aca="false">B36+Assumptions!$B$5-Assumptions!$B$4</f>
        <v>40676.2022391195</v>
      </c>
    </row>
    <row r="38" customFormat="false" ht="15" hidden="false" customHeight="false" outlineLevel="0" collapsed="false">
      <c r="A38" s="0" t="s">
        <v>134</v>
      </c>
      <c r="B38" s="0" t="n">
        <f aca="false">B37/Assumptions!$B$3*Assumptions!$B$10</f>
        <v>60.856077557031</v>
      </c>
    </row>
    <row r="39" customFormat="false" ht="15" hidden="false" customHeight="false" outlineLevel="0" collapsed="false">
      <c r="A39" s="0" t="s">
        <v>135</v>
      </c>
      <c r="B39" s="4" t="n">
        <f aca="false">B38/Assumptions!$B$2-1</f>
        <v>-0.22496080543771</v>
      </c>
    </row>
    <row r="41" customFormat="false" ht="15" hidden="false" customHeight="false" outlineLevel="0" collapsed="false">
      <c r="A41" s="0" t="s">
        <v>136</v>
      </c>
      <c r="B41" s="0" t="n">
        <f aca="false">SUMPRODUCT(-C10:L10/(1+$B$27/100)^C4:L4)</f>
        <v>699.116879297419</v>
      </c>
    </row>
    <row r="42" customFormat="false" ht="15" hidden="false" customHeight="false" outlineLevel="0" collapsed="false">
      <c r="A42" s="0" t="s">
        <v>137</v>
      </c>
      <c r="B42" s="0" t="n">
        <f aca="false">IF(B27&gt;B28,-L10*(1+B28/100)/((B27-B28)/100),-L10*20)/(1+B27/100)^L4</f>
        <v>1079.87287136075</v>
      </c>
    </row>
    <row r="43" customFormat="false" ht="15" hidden="false" customHeight="false" outlineLevel="0" collapsed="false">
      <c r="A43" s="0" t="s">
        <v>138</v>
      </c>
      <c r="B43" s="0" t="n">
        <f aca="false">(B37+B41+B42)/Assumptions!$B$3*Assumptions!$B$10</f>
        <v>63.5176421151671</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27987.6193031189</v>
      </c>
    </row>
    <row r="47" customFormat="false" ht="15" hidden="false" customHeight="false" outlineLevel="0" collapsed="false">
      <c r="A47" s="0" t="s">
        <v>140</v>
      </c>
      <c r="B47" s="0" t="n">
        <f aca="false">(SUMPRODUCT(C19:L19/(1+B45/100)^C4:L4)+B46/(1+B45/100)^L4+Assumptions!$B$5-Assumptions!$B$4)/Assumptions!$B$3*Assumptions!$B$10</f>
        <v>28.091858181397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Assumptions!C41</f>
        <v>3.5</v>
      </c>
      <c r="D5" s="4" t="n">
        <f aca="false">Assumptions!D41</f>
        <v>6.5</v>
      </c>
      <c r="E5" s="4" t="n">
        <f aca="false">Assumptions!E41</f>
        <v>6.5</v>
      </c>
      <c r="F5" s="4" t="n">
        <f aca="false">Assumptions!F41</f>
        <v>6</v>
      </c>
      <c r="G5" s="4" t="n">
        <f aca="false">Assumptions!G41</f>
        <v>5.5</v>
      </c>
      <c r="H5" s="4" t="n">
        <f aca="false">Assumptions!H41</f>
        <v>5</v>
      </c>
      <c r="I5" s="4" t="n">
        <f aca="false">Assumptions!I41</f>
        <v>4.5</v>
      </c>
      <c r="J5" s="4" t="n">
        <f aca="false">Assumptions!J41</f>
        <v>4</v>
      </c>
      <c r="K5" s="4" t="n">
        <f aca="false">Assumptions!K41</f>
        <v>3.5</v>
      </c>
      <c r="L5" s="4" t="n">
        <f aca="false">Assumptions!L41</f>
        <v>3</v>
      </c>
    </row>
    <row r="6" customFormat="false" ht="15" hidden="false" customHeight="false" outlineLevel="0" collapsed="false">
      <c r="A6" s="0" t="s">
        <v>37</v>
      </c>
      <c r="B6" s="3" t="n">
        <v>17401</v>
      </c>
      <c r="C6" s="0" t="n">
        <f aca="false">B6*(1+C5/100)</f>
        <v>18010.035</v>
      </c>
      <c r="D6" s="0" t="n">
        <f aca="false">C6*(1+D5/100)</f>
        <v>19180.687275</v>
      </c>
      <c r="E6" s="0" t="n">
        <f aca="false">D6*(1+E5/100)</f>
        <v>20427.431947875</v>
      </c>
      <c r="F6" s="0" t="n">
        <f aca="false">E6*(1+F5/100)</f>
        <v>21653.0778647475</v>
      </c>
      <c r="G6" s="0" t="n">
        <f aca="false">F6*(1+G5/100)</f>
        <v>22843.9971473086</v>
      </c>
      <c r="H6" s="0" t="n">
        <f aca="false">G6*(1+H5/100)</f>
        <v>23986.197004674</v>
      </c>
      <c r="I6" s="0" t="n">
        <f aca="false">H6*(1+I5/100)</f>
        <v>25065.5758698844</v>
      </c>
      <c r="J6" s="0" t="n">
        <f aca="false">I6*(1+J5/100)</f>
        <v>26068.1989046797</v>
      </c>
      <c r="K6" s="0" t="n">
        <f aca="false">J6*(1+K5/100)</f>
        <v>26980.5858663435</v>
      </c>
      <c r="L6" s="0" t="n">
        <f aca="false">K6*(1+L5/100)</f>
        <v>27790.0034423338</v>
      </c>
    </row>
    <row r="7" customFormat="false" ht="15" hidden="false" customHeight="false" outlineLevel="0" collapsed="false">
      <c r="A7" s="0" t="s">
        <v>97</v>
      </c>
      <c r="C7" s="4" t="n">
        <f aca="false">Assumptions!C42</f>
        <v>22.6</v>
      </c>
      <c r="D7" s="4" t="n">
        <f aca="false">Assumptions!D42</f>
        <v>23.4</v>
      </c>
      <c r="E7" s="4" t="n">
        <f aca="false">Assumptions!E42</f>
        <v>24.3</v>
      </c>
      <c r="F7" s="4" t="n">
        <f aca="false">Assumptions!F42</f>
        <v>25.1</v>
      </c>
      <c r="G7" s="4" t="n">
        <f aca="false">Assumptions!G42</f>
        <v>25.8</v>
      </c>
      <c r="H7" s="4" t="n">
        <f aca="false">Assumptions!H42</f>
        <v>26.3</v>
      </c>
      <c r="I7" s="4" t="n">
        <f aca="false">Assumptions!I42</f>
        <v>26.5</v>
      </c>
      <c r="J7" s="4" t="n">
        <f aca="false">Assumptions!J42</f>
        <v>26.5</v>
      </c>
      <c r="K7" s="4" t="n">
        <f aca="false">Assumptions!K42</f>
        <v>26.5</v>
      </c>
      <c r="L7" s="4" t="n">
        <f aca="false">Assumptions!L42</f>
        <v>26.5</v>
      </c>
    </row>
    <row r="8" customFormat="false" ht="15" hidden="false" customHeight="false" outlineLevel="0" collapsed="false">
      <c r="A8" s="0" t="s">
        <v>43</v>
      </c>
      <c r="C8" s="0" t="n">
        <f aca="false">C6*C7/100</f>
        <v>4070.26791</v>
      </c>
      <c r="D8" s="0" t="n">
        <f aca="false">D6*D7/100</f>
        <v>4488.28082235</v>
      </c>
      <c r="E8" s="0" t="n">
        <f aca="false">E6*E7/100</f>
        <v>4963.86596333363</v>
      </c>
      <c r="F8" s="0" t="n">
        <f aca="false">F6*F7/100</f>
        <v>5434.92254405162</v>
      </c>
      <c r="G8" s="0" t="n">
        <f aca="false">G6*G7/100</f>
        <v>5893.75126400562</v>
      </c>
      <c r="H8" s="0" t="n">
        <f aca="false">H6*H7/100</f>
        <v>6308.36981222927</v>
      </c>
      <c r="I8" s="0" t="n">
        <f aca="false">I6*I7/100</f>
        <v>6642.37760551936</v>
      </c>
      <c r="J8" s="0" t="n">
        <f aca="false">J6*J7/100</f>
        <v>6908.07270974013</v>
      </c>
      <c r="K8" s="0" t="n">
        <f aca="false">K6*K7/100</f>
        <v>7149.85525458104</v>
      </c>
      <c r="L8" s="0" t="n">
        <f aca="false">L6*L7/100</f>
        <v>7364.35091221847</v>
      </c>
    </row>
    <row r="9" customFormat="false" ht="15" hidden="false" customHeight="false" outlineLevel="0" collapsed="false">
      <c r="A9" s="0" t="s">
        <v>98</v>
      </c>
      <c r="C9" s="4" t="n">
        <f aca="false">Assumptions!C43</f>
        <v>0.45</v>
      </c>
      <c r="D9" s="4" t="n">
        <f aca="false">Assumptions!D43</f>
        <v>0.5</v>
      </c>
      <c r="E9" s="4" t="n">
        <f aca="false">Assumptions!E43</f>
        <v>0.5</v>
      </c>
      <c r="F9" s="4" t="n">
        <f aca="false">Assumptions!F43</f>
        <v>0.5</v>
      </c>
      <c r="G9" s="4" t="n">
        <f aca="false">Assumptions!G43</f>
        <v>0.5</v>
      </c>
      <c r="H9" s="4" t="n">
        <f aca="false">Assumptions!H43</f>
        <v>0.5</v>
      </c>
      <c r="I9" s="4" t="n">
        <f aca="false">Assumptions!I43</f>
        <v>0.5</v>
      </c>
      <c r="J9" s="4" t="n">
        <f aca="false">Assumptions!J43</f>
        <v>0.5</v>
      </c>
      <c r="K9" s="4" t="n">
        <f aca="false">Assumptions!K43</f>
        <v>0.5</v>
      </c>
      <c r="L9" s="4" t="n">
        <f aca="false">Assumptions!L43</f>
        <v>0.5</v>
      </c>
    </row>
    <row r="10" customFormat="false" ht="15" hidden="false" customHeight="false" outlineLevel="0" collapsed="false">
      <c r="A10" s="0" t="s">
        <v>113</v>
      </c>
      <c r="C10" s="0" t="n">
        <f aca="false">-C6*C9/100</f>
        <v>-81.0451575</v>
      </c>
      <c r="D10" s="0" t="n">
        <f aca="false">-D6*D9/100</f>
        <v>-95.903436375</v>
      </c>
      <c r="E10" s="0" t="n">
        <f aca="false">-E6*E9/100</f>
        <v>-102.137159739375</v>
      </c>
      <c r="F10" s="0" t="n">
        <f aca="false">-F6*F9/100</f>
        <v>-108.265389323738</v>
      </c>
      <c r="G10" s="0" t="n">
        <f aca="false">-G6*G9/100</f>
        <v>-114.219985736543</v>
      </c>
      <c r="H10" s="0" t="n">
        <f aca="false">-H6*H9/100</f>
        <v>-119.93098502337</v>
      </c>
      <c r="I10" s="0" t="n">
        <f aca="false">-I6*I9/100</f>
        <v>-125.327879349422</v>
      </c>
      <c r="J10" s="0" t="n">
        <f aca="false">-J6*J9/100</f>
        <v>-130.340994523399</v>
      </c>
      <c r="K10" s="0" t="n">
        <f aca="false">-K6*K9/100</f>
        <v>-134.902929331718</v>
      </c>
      <c r="L10" s="0" t="n">
        <f aca="false">-L6*L9/100</f>
        <v>-138.950017211669</v>
      </c>
    </row>
    <row r="11" customFormat="false" ht="15" hidden="false" customHeight="false" outlineLevel="0" collapsed="false">
      <c r="A11" s="0" t="s">
        <v>114</v>
      </c>
      <c r="C11" s="0" t="n">
        <f aca="false">C8+C10+C24</f>
        <v>3989.2227525</v>
      </c>
      <c r="D11" s="0" t="n">
        <f aca="false">D8+D10+D24</f>
        <v>4392.377385975</v>
      </c>
      <c r="E11" s="0" t="n">
        <f aca="false">E8+E10+E24</f>
        <v>4861.72880359425</v>
      </c>
      <c r="F11" s="0" t="n">
        <f aca="false">F8+F10+F24</f>
        <v>5326.65715472789</v>
      </c>
      <c r="G11" s="0" t="n">
        <f aca="false">G8+G10+G24</f>
        <v>5779.53127826908</v>
      </c>
      <c r="H11" s="0" t="n">
        <f aca="false">H8+H10+H24</f>
        <v>6188.4388272059</v>
      </c>
      <c r="I11" s="0" t="n">
        <f aca="false">I8+I10+I24</f>
        <v>6517.04972616994</v>
      </c>
      <c r="J11" s="0" t="n">
        <f aca="false">J8+J10+J24</f>
        <v>6777.73171521673</v>
      </c>
      <c r="K11" s="0" t="n">
        <f aca="false">K8+K10+K24</f>
        <v>7014.95232524932</v>
      </c>
      <c r="L11" s="0" t="n">
        <f aca="false">L8+L10+L24</f>
        <v>7225.4008950068</v>
      </c>
    </row>
    <row r="12" customFormat="false" ht="15" hidden="false" customHeight="false" outlineLevel="0" collapsed="false">
      <c r="A12" s="0" t="s">
        <v>115</v>
      </c>
      <c r="C12" s="4" t="n">
        <f aca="false">-C6*Assumptions!C45/100</f>
        <v>-1224.68238</v>
      </c>
      <c r="D12" s="4" t="n">
        <f aca="false">-D6*Assumptions!D45/100</f>
        <v>-1246.744672875</v>
      </c>
      <c r="E12" s="4" t="n">
        <f aca="false">-E6*Assumptions!E45/100</f>
        <v>-1266.50078076825</v>
      </c>
      <c r="F12" s="4" t="n">
        <f aca="false">-F6*Assumptions!F45/100</f>
        <v>-1277.5315940201</v>
      </c>
      <c r="G12" s="4" t="n">
        <f aca="false">-G6*Assumptions!G45/100</f>
        <v>-1279.26384024928</v>
      </c>
      <c r="H12" s="4" t="n">
        <f aca="false">-H6*Assumptions!H45/100</f>
        <v>-1271.26844124772</v>
      </c>
      <c r="I12" s="4" t="n">
        <f aca="false">-I6*Assumptions!I45/100</f>
        <v>-1253.27879349422</v>
      </c>
      <c r="J12" s="4" t="n">
        <f aca="false">-J6*Assumptions!J45/100</f>
        <v>-1251.27354742463</v>
      </c>
      <c r="K12" s="4" t="n">
        <f aca="false">-K6*Assumptions!K45/100</f>
        <v>-1241.1069498518</v>
      </c>
      <c r="L12" s="4" t="n">
        <f aca="false">-L6*Assumptions!L45/100</f>
        <v>-1250.55015490502</v>
      </c>
    </row>
    <row r="13" customFormat="false" ht="15" hidden="false" customHeight="false" outlineLevel="0" collapsed="false">
      <c r="A13" s="0" t="s">
        <v>116</v>
      </c>
      <c r="C13" s="0" t="n">
        <f aca="false">C11+C12</f>
        <v>2764.5403725</v>
      </c>
      <c r="D13" s="0" t="n">
        <f aca="false">D11+D12</f>
        <v>3145.6327131</v>
      </c>
      <c r="E13" s="0" t="n">
        <f aca="false">E11+E12</f>
        <v>3595.228022826</v>
      </c>
      <c r="F13" s="0" t="n">
        <f aca="false">F11+F12</f>
        <v>4049.12556070778</v>
      </c>
      <c r="G13" s="0" t="n">
        <f aca="false">G11+G12</f>
        <v>4500.2674380198</v>
      </c>
      <c r="H13" s="0" t="n">
        <f aca="false">H11+H12</f>
        <v>4917.17038595818</v>
      </c>
      <c r="I13" s="0" t="n">
        <f aca="false">I11+I12</f>
        <v>5263.77093267572</v>
      </c>
      <c r="J13" s="0" t="n">
        <f aca="false">J11+J12</f>
        <v>5526.45816779211</v>
      </c>
      <c r="K13" s="0" t="n">
        <f aca="false">K11+K12</f>
        <v>5773.84537539752</v>
      </c>
      <c r="L13" s="0" t="n">
        <f aca="false">L11+L12</f>
        <v>5974.85074010178</v>
      </c>
    </row>
    <row r="14" customFormat="false" ht="15" hidden="false" customHeight="false" outlineLevel="0" collapsed="false">
      <c r="A14" s="0" t="s">
        <v>102</v>
      </c>
      <c r="C14" s="4" t="n">
        <f aca="false">Assumptions!C47</f>
        <v>27</v>
      </c>
      <c r="D14" s="4" t="n">
        <f aca="false">Assumptions!D47</f>
        <v>27</v>
      </c>
      <c r="E14" s="4" t="n">
        <f aca="false">Assumptions!E47</f>
        <v>27</v>
      </c>
      <c r="F14" s="4" t="n">
        <f aca="false">Assumptions!F47</f>
        <v>27</v>
      </c>
      <c r="G14" s="4" t="n">
        <f aca="false">Assumptions!G47</f>
        <v>27</v>
      </c>
      <c r="H14" s="4" t="n">
        <f aca="false">Assumptions!H47</f>
        <v>27</v>
      </c>
      <c r="I14" s="4" t="n">
        <f aca="false">Assumptions!I47</f>
        <v>27</v>
      </c>
      <c r="J14" s="4" t="n">
        <f aca="false">Assumptions!J47</f>
        <v>27</v>
      </c>
      <c r="K14" s="4" t="n">
        <f aca="false">Assumptions!K47</f>
        <v>27</v>
      </c>
      <c r="L14" s="4" t="n">
        <f aca="false">Assumptions!L47</f>
        <v>27</v>
      </c>
    </row>
    <row r="15" customFormat="false" ht="15" hidden="false" customHeight="false" outlineLevel="0" collapsed="false">
      <c r="A15" s="0" t="s">
        <v>117</v>
      </c>
      <c r="C15" s="0" t="n">
        <f aca="false">C13-MAX(0,C13)*C14/100</f>
        <v>2018.114471925</v>
      </c>
      <c r="D15" s="0" t="n">
        <f aca="false">D13-MAX(0,D13)*D14/100</f>
        <v>2296.311880563</v>
      </c>
      <c r="E15" s="0" t="n">
        <f aca="false">E13-MAX(0,E13)*E14/100</f>
        <v>2624.51645666298</v>
      </c>
      <c r="F15" s="0" t="n">
        <f aca="false">F13-MAX(0,F13)*F14/100</f>
        <v>2955.86165931668</v>
      </c>
      <c r="G15" s="0" t="n">
        <f aca="false">G13-MAX(0,G13)*G14/100</f>
        <v>3285.19522975445</v>
      </c>
      <c r="H15" s="0" t="n">
        <f aca="false">H13-MAX(0,H13)*H14/100</f>
        <v>3589.53438174947</v>
      </c>
      <c r="I15" s="0" t="n">
        <f aca="false">I13-MAX(0,I13)*I14/100</f>
        <v>3842.55278085327</v>
      </c>
      <c r="J15" s="0" t="n">
        <f aca="false">J13-MAX(0,J13)*J14/100</f>
        <v>4034.31446248824</v>
      </c>
      <c r="K15" s="0" t="n">
        <f aca="false">K13-MAX(0,K13)*K14/100</f>
        <v>4214.90712404019</v>
      </c>
      <c r="L15" s="0" t="n">
        <f aca="false">L13-MAX(0,L13)*L14/100</f>
        <v>4361.6410402743</v>
      </c>
    </row>
    <row r="16" customFormat="false" ht="15" hidden="false" customHeight="false" outlineLevel="0" collapsed="false">
      <c r="A16" s="0" t="s">
        <v>118</v>
      </c>
      <c r="C16" s="0" t="n">
        <f aca="false">-C12</f>
        <v>1224.68238</v>
      </c>
      <c r="D16" s="0" t="n">
        <f aca="false">-D12</f>
        <v>1246.744672875</v>
      </c>
      <c r="E16" s="0" t="n">
        <f aca="false">-E12</f>
        <v>1266.50078076825</v>
      </c>
      <c r="F16" s="0" t="n">
        <f aca="false">-F12</f>
        <v>1277.5315940201</v>
      </c>
      <c r="G16" s="0" t="n">
        <f aca="false">-G12</f>
        <v>1279.26384024928</v>
      </c>
      <c r="H16" s="0" t="n">
        <f aca="false">-H12</f>
        <v>1271.26844124772</v>
      </c>
      <c r="I16" s="0" t="n">
        <f aca="false">-I12</f>
        <v>1253.27879349422</v>
      </c>
      <c r="J16" s="0" t="n">
        <f aca="false">-J12</f>
        <v>1251.27354742463</v>
      </c>
      <c r="K16" s="0" t="n">
        <f aca="false">-K12</f>
        <v>1241.1069498518</v>
      </c>
      <c r="L16" s="0" t="n">
        <f aca="false">-L12</f>
        <v>1250.55015490502</v>
      </c>
    </row>
    <row r="17" customFormat="false" ht="15" hidden="false" customHeight="false" outlineLevel="0" collapsed="false">
      <c r="A17" s="0" t="s">
        <v>119</v>
      </c>
      <c r="C17" s="4" t="n">
        <f aca="false">-C6*Assumptions!C46/100</f>
        <v>-612.34119</v>
      </c>
      <c r="D17" s="4" t="n">
        <f aca="false">-D6*Assumptions!D46/100</f>
        <v>-690.5047419</v>
      </c>
      <c r="E17" s="4" t="n">
        <f aca="false">-E6*Assumptions!E46/100</f>
        <v>-776.24241401925</v>
      </c>
      <c r="F17" s="4" t="n">
        <f aca="false">-F6*Assumptions!F46/100</f>
        <v>-844.470036725153</v>
      </c>
      <c r="G17" s="4" t="n">
        <f aca="false">-G6*Assumptions!G46/100</f>
        <v>-913.759885892344</v>
      </c>
      <c r="H17" s="4" t="n">
        <f aca="false">-H6*Assumptions!H46/100</f>
        <v>-959.447880186962</v>
      </c>
      <c r="I17" s="4" t="n">
        <f aca="false">-I6*Assumptions!I46/100</f>
        <v>-1002.62303479537</v>
      </c>
      <c r="J17" s="4" t="n">
        <f aca="false">-J6*Assumptions!J46/100</f>
        <v>-1042.72795618719</v>
      </c>
      <c r="K17" s="4" t="n">
        <f aca="false">-K6*Assumptions!K46/100</f>
        <v>-1079.22343465374</v>
      </c>
      <c r="L17" s="4" t="n">
        <f aca="false">-L6*Assumptions!L46/100</f>
        <v>-1111.60013769335</v>
      </c>
    </row>
    <row r="18" customFormat="false" ht="15" hidden="false" customHeight="false" outlineLevel="0" collapsed="false">
      <c r="A18" s="0" t="s">
        <v>120</v>
      </c>
      <c r="C18" s="4" t="n">
        <f aca="false">(C6-B6)*Assumptions!$B$51/100</f>
        <v>-152.25875</v>
      </c>
      <c r="D18" s="4" t="n">
        <f aca="false">(D6-C6)*Assumptions!$B$51/100</f>
        <v>-292.66306875</v>
      </c>
      <c r="E18" s="4" t="n">
        <f aca="false">(E6-D6)*Assumptions!$B$51/100</f>
        <v>-311.68616821875</v>
      </c>
      <c r="F18" s="4" t="n">
        <f aca="false">(F6-E6)*Assumptions!$B$51/100</f>
        <v>-306.411479218125</v>
      </c>
      <c r="G18" s="4" t="n">
        <f aca="false">(G6-F6)*Assumptions!$B$51/100</f>
        <v>-297.729820640277</v>
      </c>
      <c r="H18" s="4" t="n">
        <f aca="false">(H6-G6)*Assumptions!$B$51/100</f>
        <v>-285.549964341358</v>
      </c>
      <c r="I18" s="4" t="n">
        <f aca="false">(I6-H6)*Assumptions!$B$51/100</f>
        <v>-269.844716302582</v>
      </c>
      <c r="J18" s="4" t="n">
        <f aca="false">(J6-I6)*Assumptions!$B$51/100</f>
        <v>-250.655758698844</v>
      </c>
      <c r="K18" s="4" t="n">
        <f aca="false">(K6-J6)*Assumptions!$B$51/100</f>
        <v>-228.096740415947</v>
      </c>
      <c r="L18" s="4" t="n">
        <f aca="false">(L6-K6)*Assumptions!$B$51/100</f>
        <v>-202.354393997577</v>
      </c>
    </row>
    <row r="19" customFormat="false" ht="15" hidden="false" customHeight="false" outlineLevel="0" collapsed="false">
      <c r="A19" s="0" t="s">
        <v>121</v>
      </c>
      <c r="C19" s="0" t="n">
        <f aca="false">C15+C16+C17+C18</f>
        <v>2478.196911925</v>
      </c>
      <c r="D19" s="0" t="n">
        <f aca="false">D15+D16+D17+D18</f>
        <v>2559.888742788</v>
      </c>
      <c r="E19" s="0" t="n">
        <f aca="false">E15+E16+E17+E18</f>
        <v>2803.08865519323</v>
      </c>
      <c r="F19" s="0" t="n">
        <f aca="false">F15+F16+F17+F18</f>
        <v>3082.51173739351</v>
      </c>
      <c r="G19" s="0" t="n">
        <f aca="false">G15+G16+G17+G18</f>
        <v>3352.96936347111</v>
      </c>
      <c r="H19" s="0" t="n">
        <f aca="false">H15+H16+H17+H18</f>
        <v>3615.80497846888</v>
      </c>
      <c r="I19" s="0" t="n">
        <f aca="false">I15+I16+I17+I18</f>
        <v>3823.36382324954</v>
      </c>
      <c r="J19" s="0" t="n">
        <f aca="false">J15+J16+J17+J18</f>
        <v>3992.20429502683</v>
      </c>
      <c r="K19" s="0" t="n">
        <f aca="false">K15+K16+K17+K18</f>
        <v>4148.6938988223</v>
      </c>
      <c r="L19" s="0" t="n">
        <f aca="false">L15+L16+L17+L18</f>
        <v>4298.23666348839</v>
      </c>
    </row>
    <row r="20" customFormat="false" ht="15" hidden="false" customHeight="false" outlineLevel="0" collapsed="false">
      <c r="A20" s="0" t="s">
        <v>122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123</v>
      </c>
      <c r="C21" s="0" t="n">
        <f aca="false">C19*C20</f>
        <v>2294.62677030093</v>
      </c>
      <c r="D21" s="0" t="n">
        <f aca="false">D19*D20</f>
        <v>2194.69199484568</v>
      </c>
      <c r="E21" s="0" t="n">
        <f aca="false">E19*E20</f>
        <v>2225.18214893026</v>
      </c>
      <c r="F21" s="0" t="n">
        <f aca="false">F19*F20</f>
        <v>2265.73814857969</v>
      </c>
      <c r="G21" s="0" t="n">
        <f aca="false">G19*G20</f>
        <v>2281.9746089474</v>
      </c>
      <c r="H21" s="0" t="n">
        <f aca="false">H19*H20</f>
        <v>2278.5704741638</v>
      </c>
      <c r="I21" s="0" t="n">
        <f aca="false">I19*I20</f>
        <v>2230.89606845881</v>
      </c>
      <c r="J21" s="0" t="n">
        <f aca="false">J19*J20</f>
        <v>2156.86376117814</v>
      </c>
      <c r="K21" s="0" t="n">
        <f aca="false">K19*K20</f>
        <v>2075.37983783044</v>
      </c>
      <c r="L21" s="0" t="n">
        <f aca="false">L19*L20</f>
        <v>1990.91523277466</v>
      </c>
    </row>
    <row r="23" customFormat="false" ht="15" hidden="false" customHeight="false" outlineLevel="0" collapsed="false">
      <c r="A23" s="0" t="s">
        <v>99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Assumptions!$B$48</f>
        <v>8</v>
      </c>
    </row>
    <row r="28" customFormat="false" ht="15" hidden="false" customHeight="false" outlineLevel="0" collapsed="false">
      <c r="A28" s="0" t="s">
        <v>104</v>
      </c>
      <c r="B28" s="4" t="n">
        <f aca="false">Assumptions!$B$49</f>
        <v>3</v>
      </c>
    </row>
    <row r="29" customFormat="false" ht="15" hidden="false" customHeight="false" outlineLevel="0" collapsed="false">
      <c r="A29" s="0" t="s">
        <v>105</v>
      </c>
      <c r="B29" s="4" t="n">
        <f aca="false">Assumptions!$B$50</f>
        <v>17</v>
      </c>
    </row>
    <row r="30" customFormat="false" ht="15" hidden="false" customHeight="false" outlineLevel="0" collapsed="false">
      <c r="A30" s="0" t="s">
        <v>126</v>
      </c>
      <c r="B30" s="0" t="n">
        <f aca="false">SUM(C21:L21)</f>
        <v>21994.8390460098</v>
      </c>
    </row>
    <row r="31" customFormat="false" ht="15" hidden="false" customHeight="false" outlineLevel="0" collapsed="false">
      <c r="A31" s="0" t="s">
        <v>127</v>
      </c>
      <c r="B31" s="0" t="n">
        <f aca="false">L19</f>
        <v>4298.23666348839</v>
      </c>
    </row>
    <row r="32" customFormat="false" ht="15" hidden="false" customHeight="false" outlineLevel="0" collapsed="false">
      <c r="A32" s="0" t="s">
        <v>128</v>
      </c>
      <c r="B32" s="0" t="n">
        <f aca="false">IF(B27&gt;B28,B31*(1+B28/100)/((B27-B28)/100),B31*B29)</f>
        <v>88543.6752678608</v>
      </c>
    </row>
    <row r="33" customFormat="false" ht="15" hidden="false" customHeight="false" outlineLevel="0" collapsed="false">
      <c r="A33" s="0" t="s">
        <v>129</v>
      </c>
      <c r="B33" s="0" t="n">
        <f aca="false">B31*B29</f>
        <v>73070.0232793026</v>
      </c>
    </row>
    <row r="34" customFormat="false" ht="15" hidden="false" customHeight="false" outlineLevel="0" collapsed="false">
      <c r="A34" s="0" t="s">
        <v>130</v>
      </c>
      <c r="B34" s="0" t="n">
        <f aca="false">MAX(0,MIN(B32,B33))</f>
        <v>73070.0232793026</v>
      </c>
    </row>
    <row r="35" customFormat="false" ht="15" hidden="false" customHeight="false" outlineLevel="0" collapsed="false">
      <c r="A35" s="0" t="s">
        <v>131</v>
      </c>
      <c r="B35" s="0" t="n">
        <f aca="false">B34/(1+B27/100)^L4</f>
        <v>33845.5589571693</v>
      </c>
    </row>
    <row r="36" customFormat="false" ht="15" hidden="false" customHeight="false" outlineLevel="0" collapsed="false">
      <c r="A36" s="0" t="s">
        <v>132</v>
      </c>
      <c r="B36" s="0" t="n">
        <f aca="false">B30+B35</f>
        <v>55840.3980031791</v>
      </c>
    </row>
    <row r="37" customFormat="false" ht="15" hidden="false" customHeight="false" outlineLevel="0" collapsed="false">
      <c r="A37" s="0" t="s">
        <v>133</v>
      </c>
      <c r="B37" s="0" t="n">
        <f aca="false">B36+Assumptions!$B$5-Assumptions!$B$4</f>
        <v>53676.3980031791</v>
      </c>
    </row>
    <row r="38" customFormat="false" ht="15" hidden="false" customHeight="false" outlineLevel="0" collapsed="false">
      <c r="A38" s="0" t="s">
        <v>134</v>
      </c>
      <c r="B38" s="0" t="n">
        <f aca="false">B37/Assumptions!$B$3*Assumptions!$B$10</f>
        <v>80.3058019197772</v>
      </c>
    </row>
    <row r="39" customFormat="false" ht="15" hidden="false" customHeight="false" outlineLevel="0" collapsed="false">
      <c r="A39" s="0" t="s">
        <v>135</v>
      </c>
      <c r="B39" s="4" t="n">
        <f aca="false">B38/Assumptions!$B$2-1</f>
        <v>0.022743274576887</v>
      </c>
    </row>
    <row r="41" customFormat="false" ht="15" hidden="false" customHeight="false" outlineLevel="0" collapsed="false">
      <c r="A41" s="0" t="s">
        <v>136</v>
      </c>
      <c r="B41" s="0" t="n">
        <f aca="false">SUMPRODUCT(-C10:L10/(1+$B$27/100)^C4:L4)</f>
        <v>746.627274009071</v>
      </c>
    </row>
    <row r="42" customFormat="false" ht="15" hidden="false" customHeight="false" outlineLevel="0" collapsed="false">
      <c r="A42" s="0" t="s">
        <v>137</v>
      </c>
      <c r="B42" s="0" t="n">
        <f aca="false">IF(B27&gt;B28,-L10*(1+B28/100)/((B27-B28)/100),-L10*20)/(1+B27/100)^L4</f>
        <v>1325.83130871902</v>
      </c>
    </row>
    <row r="43" customFormat="false" ht="15" hidden="false" customHeight="false" outlineLevel="0" collapsed="false">
      <c r="A43" s="0" t="s">
        <v>138</v>
      </c>
      <c r="B43" s="0" t="n">
        <f aca="false">(B37+B41+B42)/Assumptions!$B$3*Assumptions!$B$10</f>
        <v>83.4064281656301</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36893.1980282753</v>
      </c>
    </row>
    <row r="47" customFormat="false" ht="15" hidden="false" customHeight="false" outlineLevel="0" collapsed="false">
      <c r="A47" s="0" t="s">
        <v>140</v>
      </c>
      <c r="B47" s="0" t="n">
        <f aca="false">(SUMPRODUCT(C19:L19/(1+B45/100)^C4:L4)+B46/(1+B45/100)^L4+Assumptions!$B$5-Assumptions!$B$4)/Assumptions!$B$3*Assumptions!$B$10</f>
        <v>34.2099845499106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143</v>
      </c>
    </row>
    <row r="3" customFormat="false" ht="15" hidden="false" customHeight="false" outlineLevel="0" collapsed="false">
      <c r="A3" s="2" t="s">
        <v>144</v>
      </c>
      <c r="B3" s="2" t="s">
        <v>145</v>
      </c>
      <c r="C3" s="2" t="s">
        <v>135</v>
      </c>
      <c r="D3" s="2" t="s">
        <v>146</v>
      </c>
      <c r="E3" s="2" t="s">
        <v>138</v>
      </c>
      <c r="F3" s="2" t="s">
        <v>147</v>
      </c>
    </row>
    <row r="4" customFormat="false" ht="15" hidden="false" customHeight="false" outlineLevel="0" collapsed="false">
      <c r="A4" s="0" t="s">
        <v>148</v>
      </c>
      <c r="B4" s="4" t="n">
        <f aca="false">DCF_Bear!$B$38</f>
        <v>41.6314516823524</v>
      </c>
      <c r="C4" s="0" t="n">
        <f aca="false">B4/Assumptions!$B$2-1</f>
        <v>-0.469798119175338</v>
      </c>
      <c r="D4" s="4" t="n">
        <f aca="false">Assumptions!$B$24</f>
        <v>0.25</v>
      </c>
      <c r="E4" s="4" t="n">
        <f aca="false">DCF_Bear!$B$43</f>
        <v>44.1162190780928</v>
      </c>
      <c r="F4" s="4" t="n">
        <f aca="false">DCF_Bear!$B$47</f>
        <v>21.6849229780967</v>
      </c>
    </row>
    <row r="5" customFormat="false" ht="15" hidden="false" customHeight="false" outlineLevel="0" collapsed="false">
      <c r="A5" s="0" t="s">
        <v>149</v>
      </c>
      <c r="B5" s="4" t="n">
        <f aca="false">DCF_Base!$B$38</f>
        <v>60.856077557031</v>
      </c>
      <c r="C5" s="0" t="n">
        <f aca="false">B5/Assumptions!$B$2-1</f>
        <v>-0.22496080543771</v>
      </c>
      <c r="D5" s="4" t="n">
        <f aca="false">Assumptions!$B$38</f>
        <v>0.5</v>
      </c>
      <c r="E5" s="4" t="n">
        <f aca="false">DCF_Base!$B$43</f>
        <v>63.5176421151671</v>
      </c>
      <c r="F5" s="4" t="n">
        <f aca="false">DCF_Base!$B$47</f>
        <v>28.091858181397</v>
      </c>
    </row>
    <row r="6" customFormat="false" ht="15" hidden="false" customHeight="false" outlineLevel="0" collapsed="false">
      <c r="A6" s="0" t="s">
        <v>150</v>
      </c>
      <c r="B6" s="4" t="n">
        <f aca="false">DCF_Bull!$B$38</f>
        <v>80.3058019197772</v>
      </c>
      <c r="C6" s="0" t="n">
        <f aca="false">B6/Assumptions!$B$2-1</f>
        <v>0.022743274576887</v>
      </c>
      <c r="D6" s="4" t="n">
        <f aca="false">Assumptions!$B$52</f>
        <v>0.25</v>
      </c>
      <c r="E6" s="4" t="n">
        <f aca="false">DCF_Bull!$B$43</f>
        <v>83.4064281656301</v>
      </c>
      <c r="F6" s="4" t="n">
        <f aca="false">DCF_Bull!$B$47</f>
        <v>34.2099845499106</v>
      </c>
    </row>
    <row r="8" customFormat="false" ht="15" hidden="false" customHeight="false" outlineLevel="0" collapsed="false">
      <c r="A8" s="0" t="s">
        <v>151</v>
      </c>
      <c r="B8" s="0" t="n">
        <f aca="false">SUMPRODUCT(B4:B6,D4:D6)</f>
        <v>60.9123521790479</v>
      </c>
    </row>
    <row r="9" customFormat="false" ht="15" hidden="false" customHeight="false" outlineLevel="0" collapsed="false">
      <c r="A9" s="0" t="s">
        <v>152</v>
      </c>
      <c r="B9" s="0" t="n">
        <f aca="false">SUMPRODUCT(E4:E6,D4:D6)</f>
        <v>63.6394828685143</v>
      </c>
    </row>
    <row r="10" customFormat="false" ht="15" hidden="false" customHeight="false" outlineLevel="0" collapsed="false">
      <c r="A10" s="0" t="s">
        <v>153</v>
      </c>
      <c r="B10" s="0" t="n">
        <f aca="false">1-Assumptions!$B$2/B8</f>
        <v>-0.289065307627517</v>
      </c>
    </row>
    <row r="11" customFormat="false" ht="15" hidden="false" customHeight="false" outlineLevel="0" collapsed="false">
      <c r="A11" s="0" t="s">
        <v>154</v>
      </c>
      <c r="B11" s="0" t="n">
        <f aca="false">IF(ABS(B9-B8)&gt;0.01*ABS(B8),(Assumptions!$B$2-B8)/(B9-B8)*100,"n/a")</f>
        <v>645.647379091961</v>
      </c>
    </row>
    <row r="12" customFormat="false" ht="15" hidden="false" customHeight="false" outlineLevel="0" collapsed="false">
      <c r="A12" s="0" t="s">
        <v>155</v>
      </c>
      <c r="B12" s="0" t="n">
        <f aca="false">SUMPRODUCT(F4:F6,D4:D6)</f>
        <v>28.0196559727003</v>
      </c>
    </row>
    <row r="14" customFormat="false" ht="15" hidden="false" customHeight="false" outlineLevel="0" collapsed="false">
      <c r="A14" s="2" t="s">
        <v>156</v>
      </c>
      <c r="C14" s="0" t="s">
        <v>157</v>
      </c>
    </row>
    <row r="15" customFormat="false" ht="15" hidden="false" customHeight="false" outlineLevel="0" collapsed="false">
      <c r="A15" s="0" t="s">
        <v>158</v>
      </c>
      <c r="B15" s="0" t="n">
        <f aca="false">(SUMPRODUCT(DCF_Base!$C$19:$L$19/(1+$C$15/100)^DCF_Base!$C$4:$L$4)+MAX(0,MIN(IF($C$15&gt;DCF_Base!$B$28,DCF_Base!$L$19*(1+DCF_Base!$B$28/100)/(($C$15-DCF_Base!$B$28)/100),DCF_Base!$L$19*DCF_Base!$B$29),DCF_Base!$L$19*DCF_Base!$B$29))/(1+$C$15/100)^DCF_Base!$L$4+Assumptions!$B$5-Assumptions!$B$4)/Assumptions!$B$3*Assumptions!$B$10</f>
        <v>60.856077557031</v>
      </c>
      <c r="C15" s="3" t="n">
        <v>8</v>
      </c>
    </row>
    <row r="16" customFormat="false" ht="15" hidden="false" customHeight="false" outlineLevel="0" collapsed="false">
      <c r="A16" s="0" t="s">
        <v>159</v>
      </c>
      <c r="B16" s="0" t="n">
        <f aca="false">(SUMPRODUCT(DCF_Base!$C$19:$L$19/(1+$C$16/100)^DCF_Base!$C$4:$L$4)+MAX(0,MIN(IF($C$16&gt;DCF_Base!$B$28,DCF_Base!$L$19*(1+DCF_Base!$B$28/100)/(($C$16-DCF_Base!$B$28)/100),DCF_Base!$L$19*DCF_Base!$B$29),DCF_Base!$L$19*DCF_Base!$B$29))/(1+$C$16/100)^DCF_Base!$L$4+Assumptions!$B$5-Assumptions!$B$4)/Assumptions!$B$3*Assumptions!$B$10</f>
        <v>56.4036432825353</v>
      </c>
      <c r="C16" s="3" t="n">
        <v>9</v>
      </c>
    </row>
    <row r="17" customFormat="false" ht="15" hidden="false" customHeight="false" outlineLevel="0" collapsed="false">
      <c r="A17" s="0" t="s">
        <v>160</v>
      </c>
      <c r="B17" s="0" t="n">
        <f aca="false">(SUMPRODUCT(DCF_Base!$C$19:$L$19/(1+$C$17/100)^DCF_Base!$C$4:$L$4)+MAX(0,MIN(IF($C$17&gt;DCF_Base!$B$28,DCF_Base!$L$19*(1+DCF_Base!$B$28/100)/(($C$17-DCF_Base!$B$28)/100),DCF_Base!$L$19*DCF_Base!$B$29),DCF_Base!$L$19*DCF_Base!$B$29))/(1+$C$17/100)^DCF_Base!$L$4+Assumptions!$B$5-Assumptions!$B$4)/Assumptions!$B$3*Assumptions!$B$10</f>
        <v>49.7168356184061</v>
      </c>
      <c r="C17" s="3" t="n">
        <v>10</v>
      </c>
    </row>
    <row r="18" customFormat="false" ht="15" hidden="false" customHeight="false" outlineLevel="0" collapsed="false">
      <c r="A18" s="0" t="s">
        <v>161</v>
      </c>
      <c r="B18" s="0" t="n">
        <f aca="false">(SUMPRODUCT(DCF_Base!$C$19:$L$19/(1+$C$18/100)^DCF_Base!$C$4:$L$4)+MAX(0,MIN(IF($C$18&gt;DCF_Base!$B$28,DCF_Base!$L$19*(1+DCF_Base!$B$28/100)/(($C$18-DCF_Base!$B$28)/100),DCF_Base!$L$19*DCF_Base!$B$29),DCF_Base!$L$19*DCF_Base!$B$29))/(1+$C$18/100)^DCF_Base!$L$4+Assumptions!$B$5-Assumptions!$B$4)/Assumptions!$B$3*Assumptions!$B$10</f>
        <v>43.3425379046798</v>
      </c>
      <c r="C18" s="3" t="n">
        <v>11</v>
      </c>
    </row>
    <row r="19" customFormat="false" ht="15" hidden="false" customHeight="false" outlineLevel="0" collapsed="false">
      <c r="A19" s="0" t="s">
        <v>162</v>
      </c>
      <c r="B19" s="0" t="n">
        <f aca="false">(SUMPRODUCT(DCF_Base!$C$19:$L$19/(1+$C$19/100)^DCF_Base!$C$4:$L$4)+MAX(0,MIN(IF($C$19&gt;DCF_Base!$B$28,DCF_Base!$L$19*(1+DCF_Base!$B$28/100)/(($C$19-DCF_Base!$B$28)/100),DCF_Base!$L$19*DCF_Base!$B$29),DCF_Base!$L$19*DCF_Base!$B$29))/(1+$C$19/100)^DCF_Base!$L$4+Assumptions!$B$5-Assumptions!$B$4)/Assumptions!$B$3*Assumptions!$B$10</f>
        <v>38.3168715215599</v>
      </c>
      <c r="C19" s="3" t="n">
        <v>12</v>
      </c>
    </row>
    <row r="20" customFormat="false" ht="15" hidden="false" customHeight="false" outlineLevel="0" collapsed="false">
      <c r="A20" s="0" t="s">
        <v>163</v>
      </c>
      <c r="B20" s="0" t="n">
        <f aca="false">(SUMPRODUCT(DCF_Base!$C$19:$L$19/(1+$C$20/100)^DCF_Base!$C$4:$L$4)+MAX(0,MIN(IF($C$20&gt;DCF_Base!$B$28,DCF_Base!$L$19*(1+DCF_Base!$B$28/100)/(($C$20-DCF_Base!$B$28)/100),DCF_Base!$L$19*DCF_Base!$B$29),DCF_Base!$L$19*DCF_Base!$B$29))/(1+$C$20/100)^DCF_Base!$L$4+Assumptions!$B$5-Assumptions!$B$4)/Assumptions!$B$3*Assumptions!$B$10</f>
        <v>28.091858181397</v>
      </c>
      <c r="C20" s="3" t="n">
        <v>15</v>
      </c>
    </row>
    <row r="22" customFormat="false" ht="15" hidden="false" customHeight="false" outlineLevel="0" collapsed="false">
      <c r="A22" s="2" t="s">
        <v>164</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71.1118872623947</v>
      </c>
      <c r="C24" s="0" t="n">
        <f aca="false">(SUMPRODUCT(DCF_Base!$C$19:$L$19/(1+$A$24/100)^DCF_Base!$C$4:$L$4)+MAX(0,MIN(IF($A$24&gt;$C$23,DCF_Base!$L$19*(1+$C$23/100)/(($A$24-$C$23)/100),DCF_Base!$L$19*DCF_Base!$B$29),DCF_Base!$L$19*DCF_Base!$B$29))/(1+$A$24/100)^DCF_Base!$L$4+Assumptions!$B$5-Assumptions!$B$4)/Assumptions!$B$3*Assumptions!$B$10</f>
        <v>71.1118872623947</v>
      </c>
      <c r="D24" s="0" t="n">
        <f aca="false">(SUMPRODUCT(DCF_Base!$C$19:$L$19/(1+$A$24/100)^DCF_Base!$C$4:$L$4)+MAX(0,MIN(IF($A$24&gt;$D$23,DCF_Base!$L$19*(1+$D$23/100)/(($A$24-$D$23)/100),DCF_Base!$L$19*DCF_Base!$B$29),DCF_Base!$L$19*DCF_Base!$B$29))/(1+$A$24/100)^DCF_Base!$L$4+Assumptions!$B$5-Assumptions!$B$4)/Assumptions!$B$3*Assumptions!$B$10</f>
        <v>71.1118872623947</v>
      </c>
      <c r="E24" s="0" t="n">
        <f aca="false">(SUMPRODUCT(DCF_Base!$C$19:$L$19/(1+$A$24/100)^DCF_Base!$C$4:$L$4)+MAX(0,MIN(IF($A$24&gt;$E$23,DCF_Base!$L$19*(1+$E$23/100)/(($A$24-$E$23)/100),DCF_Base!$L$19*DCF_Base!$B$29),DCF_Base!$L$19*DCF_Base!$B$29))/(1+$A$24/100)^DCF_Base!$L$4+Assumptions!$B$5-Assumptions!$B$4)/Assumptions!$B$3*Assumptions!$B$10</f>
        <v>71.1118872623947</v>
      </c>
      <c r="F24" s="0" t="n">
        <f aca="false">(SUMPRODUCT(DCF_Base!$C$19:$L$19/(1+$A$24/100)^DCF_Base!$C$4:$L$4)+MAX(0,MIN(IF($A$24&gt;$F$23,DCF_Base!$L$19*(1+$F$23/100)/(($A$24-$F$23)/100),DCF_Base!$L$19*DCF_Base!$B$29),DCF_Base!$L$19*DCF_Base!$B$29))/(1+$A$24/100)^DCF_Base!$L$4+Assumptions!$B$5-Assumptions!$B$4)/Assumptions!$B$3*Assumptions!$B$10</f>
        <v>71.1118872623947</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65.7425539567231</v>
      </c>
      <c r="C25" s="0" t="n">
        <f aca="false">(SUMPRODUCT(DCF_Base!$C$19:$L$19/(1+$A$25/100)^DCF_Base!$C$4:$L$4)+MAX(0,MIN(IF($A$25&gt;$C$23,DCF_Base!$L$19*(1+$C$23/100)/(($A$25-$C$23)/100),DCF_Base!$L$19*DCF_Base!$B$29),DCF_Base!$L$19*DCF_Base!$B$29))/(1+$A$25/100)^DCF_Base!$L$4+Assumptions!$B$5-Assumptions!$B$4)/Assumptions!$B$3*Assumptions!$B$10</f>
        <v>65.7425539567231</v>
      </c>
      <c r="D25" s="0" t="n">
        <f aca="false">(SUMPRODUCT(DCF_Base!$C$19:$L$19/(1+$A$25/100)^DCF_Base!$C$4:$L$4)+MAX(0,MIN(IF($A$25&gt;$D$23,DCF_Base!$L$19*(1+$D$23/100)/(($A$25-$D$23)/100),DCF_Base!$L$19*DCF_Base!$B$29),DCF_Base!$L$19*DCF_Base!$B$29))/(1+$A$25/100)^DCF_Base!$L$4+Assumptions!$B$5-Assumptions!$B$4)/Assumptions!$B$3*Assumptions!$B$10</f>
        <v>65.7425539567231</v>
      </c>
      <c r="E25" s="0" t="n">
        <f aca="false">(SUMPRODUCT(DCF_Base!$C$19:$L$19/(1+$A$25/100)^DCF_Base!$C$4:$L$4)+MAX(0,MIN(IF($A$25&gt;$E$23,DCF_Base!$L$19*(1+$E$23/100)/(($A$25-$E$23)/100),DCF_Base!$L$19*DCF_Base!$B$29),DCF_Base!$L$19*DCF_Base!$B$29))/(1+$A$25/100)^DCF_Base!$L$4+Assumptions!$B$5-Assumptions!$B$4)/Assumptions!$B$3*Assumptions!$B$10</f>
        <v>65.7425539567231</v>
      </c>
      <c r="F25" s="0" t="n">
        <f aca="false">(SUMPRODUCT(DCF_Base!$C$19:$L$19/(1+$A$25/100)^DCF_Base!$C$4:$L$4)+MAX(0,MIN(IF($A$25&gt;$F$23,DCF_Base!$L$19*(1+$F$23/100)/(($A$25-$F$23)/100),DCF_Base!$L$19*DCF_Base!$B$29),DCF_Base!$L$19*DCF_Base!$B$29))/(1+$A$25/100)^DCF_Base!$L$4+Assumptions!$B$5-Assumptions!$B$4)/Assumptions!$B$3*Assumptions!$B$10</f>
        <v>65.7425539567231</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60.856077557031</v>
      </c>
      <c r="C26" s="0" t="n">
        <f aca="false">(SUMPRODUCT(DCF_Base!$C$19:$L$19/(1+$A$26/100)^DCF_Base!$C$4:$L$4)+MAX(0,MIN(IF($A$26&gt;$C$23,DCF_Base!$L$19*(1+$C$23/100)/(($A$26-$C$23)/100),DCF_Base!$L$19*DCF_Base!$B$29),DCF_Base!$L$19*DCF_Base!$B$29))/(1+$A$26/100)^DCF_Base!$L$4+Assumptions!$B$5-Assumptions!$B$4)/Assumptions!$B$3*Assumptions!$B$10</f>
        <v>60.856077557031</v>
      </c>
      <c r="D26" s="0" t="n">
        <f aca="false">(SUMPRODUCT(DCF_Base!$C$19:$L$19/(1+$A$26/100)^DCF_Base!$C$4:$L$4)+MAX(0,MIN(IF($A$26&gt;$D$23,DCF_Base!$L$19*(1+$D$23/100)/(($A$26-$D$23)/100),DCF_Base!$L$19*DCF_Base!$B$29),DCF_Base!$L$19*DCF_Base!$B$29))/(1+$A$26/100)^DCF_Base!$L$4+Assumptions!$B$5-Assumptions!$B$4)/Assumptions!$B$3*Assumptions!$B$10</f>
        <v>60.856077557031</v>
      </c>
      <c r="E26" s="0" t="n">
        <f aca="false">(SUMPRODUCT(DCF_Base!$C$19:$L$19/(1+$A$26/100)^DCF_Base!$C$4:$L$4)+MAX(0,MIN(IF($A$26&gt;$E$23,DCF_Base!$L$19*(1+$E$23/100)/(($A$26-$E$23)/100),DCF_Base!$L$19*DCF_Base!$B$29),DCF_Base!$L$19*DCF_Base!$B$29))/(1+$A$26/100)^DCF_Base!$L$4+Assumptions!$B$5-Assumptions!$B$4)/Assumptions!$B$3*Assumptions!$B$10</f>
        <v>60.856077557031</v>
      </c>
      <c r="F26" s="0" t="n">
        <f aca="false">(SUMPRODUCT(DCF_Base!$C$19:$L$19/(1+$A$26/100)^DCF_Base!$C$4:$L$4)+MAX(0,MIN(IF($A$26&gt;$F$23,DCF_Base!$L$19*(1+$F$23/100)/(($A$26-$F$23)/100),DCF_Base!$L$19*DCF_Base!$B$29),DCF_Base!$L$19*DCF_Base!$B$29))/(1+$A$26/100)^DCF_Base!$L$4+Assumptions!$B$5-Assumptions!$B$4)/Assumptions!$B$3*Assumptions!$B$10</f>
        <v>60.856077557031</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53.240039350755</v>
      </c>
      <c r="C27" s="0" t="n">
        <f aca="false">(SUMPRODUCT(DCF_Base!$C$19:$L$19/(1+$A$27/100)^DCF_Base!$C$4:$L$4)+MAX(0,MIN(IF($A$27&gt;$C$23,DCF_Base!$L$19*(1+$C$23/100)/(($A$27-$C$23)/100),DCF_Base!$L$19*DCF_Base!$B$29),DCF_Base!$L$19*DCF_Base!$B$29))/(1+$A$27/100)^DCF_Base!$L$4+Assumptions!$B$5-Assumptions!$B$4)/Assumptions!$B$3*Assumptions!$B$10</f>
        <v>55.4792135622099</v>
      </c>
      <c r="D27" s="0" t="n">
        <f aca="false">(SUMPRODUCT(DCF_Base!$C$19:$L$19/(1+$A$27/100)^DCF_Base!$C$4:$L$4)+MAX(0,MIN(IF($A$27&gt;$D$23,DCF_Base!$L$19*(1+$D$23/100)/(($A$27-$D$23)/100),DCF_Base!$L$19*DCF_Base!$B$29),DCF_Base!$L$19*DCF_Base!$B$29))/(1+$A$27/100)^DCF_Base!$L$4+Assumptions!$B$5-Assumptions!$B$4)/Assumptions!$B$3*Assumptions!$B$10</f>
        <v>56.4036432825353</v>
      </c>
      <c r="E27" s="0" t="n">
        <f aca="false">(SUMPRODUCT(DCF_Base!$C$19:$L$19/(1+$A$27/100)^DCF_Base!$C$4:$L$4)+MAX(0,MIN(IF($A$27&gt;$E$23,DCF_Base!$L$19*(1+$E$23/100)/(($A$27-$E$23)/100),DCF_Base!$L$19*DCF_Base!$B$29),DCF_Base!$L$19*DCF_Base!$B$29))/(1+$A$27/100)^DCF_Base!$L$4+Assumptions!$B$5-Assumptions!$B$4)/Assumptions!$B$3*Assumptions!$B$10</f>
        <v>56.4036432825353</v>
      </c>
      <c r="F27" s="0" t="n">
        <f aca="false">(SUMPRODUCT(DCF_Base!$C$19:$L$19/(1+$A$27/100)^DCF_Base!$C$4:$L$4)+MAX(0,MIN(IF($A$27&gt;$F$23,DCF_Base!$L$19*(1+$F$23/100)/(($A$27-$F$23)/100),DCF_Base!$L$19*DCF_Base!$B$29),DCF_Base!$L$19*DCF_Base!$B$29))/(1+$A$27/100)^DCF_Base!$L$4+Assumptions!$B$5-Assumptions!$B$4)/Assumptions!$B$3*Assumptions!$B$10</f>
        <v>56.4036432825353</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46.3197905495397</v>
      </c>
      <c r="C28" s="0" t="n">
        <f aca="false">(SUMPRODUCT(DCF_Base!$C$19:$L$19/(1+$A$28/100)^DCF_Base!$C$4:$L$4)+MAX(0,MIN(IF($A$28&gt;$C$23,DCF_Base!$L$19*(1+$C$23/100)/(($A$28-$C$23)/100),DCF_Base!$L$19*DCF_Base!$B$29),DCF_Base!$L$19*DCF_Base!$B$29))/(1+$A$28/100)^DCF_Base!$L$4+Assumptions!$B$5-Assumptions!$B$4)/Assumptions!$B$3*Assumptions!$B$10</f>
        <v>47.9121554255709</v>
      </c>
      <c r="D28" s="0" t="n">
        <f aca="false">(SUMPRODUCT(DCF_Base!$C$19:$L$19/(1+$A$28/100)^DCF_Base!$C$4:$L$4)+MAX(0,MIN(IF($A$28&gt;$D$23,DCF_Base!$L$19*(1+$D$23/100)/(($A$28-$D$23)/100),DCF_Base!$L$19*DCF_Base!$B$29),DCF_Base!$L$19*DCF_Base!$B$29))/(1+$A$28/100)^DCF_Base!$L$4+Assumptions!$B$5-Assumptions!$B$4)/Assumptions!$B$3*Assumptions!$B$10</f>
        <v>49.7168356184061</v>
      </c>
      <c r="E28" s="0" t="n">
        <f aca="false">(SUMPRODUCT(DCF_Base!$C$19:$L$19/(1+$A$28/100)^DCF_Base!$C$4:$L$4)+MAX(0,MIN(IF($A$28&gt;$E$23,DCF_Base!$L$19*(1+$E$23/100)/(($A$28-$E$23)/100),DCF_Base!$L$19*DCF_Base!$B$29),DCF_Base!$L$19*DCF_Base!$B$29))/(1+$A$28/100)^DCF_Base!$L$4+Assumptions!$B$5-Assumptions!$B$4)/Assumptions!$B$3*Assumptions!$B$10</f>
        <v>51.7793272673608</v>
      </c>
      <c r="F28" s="0" t="n">
        <f aca="false">(SUMPRODUCT(DCF_Base!$C$19:$L$19/(1+$A$28/100)^DCF_Base!$C$4:$L$4)+MAX(0,MIN(IF($A$28&gt;$F$23,DCF_Base!$L$19*(1+$F$23/100)/(($A$28-$F$23)/100),DCF_Base!$L$19*DCF_Base!$B$29),DCF_Base!$L$19*DCF_Base!$B$29))/(1+$A$28/100)^DCF_Base!$L$4+Assumptions!$B$5-Assumptions!$B$4)/Assumptions!$B$3*Assumptions!$B$10</f>
        <v>52.3418249898029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2026-09-26T01:22:00Z</dcterms:created>
  <dc:creator>openpyxl</dc:creator>
  <dc:description/>
  <dc:language>en-NZ</dc:language>
  <cp:lastModifiedBy/>
  <dcterms:modified xsi:type="dcterms:W3CDTF">2026-09-26T01:22:00Z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