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<sst xmlns="http://schemas.openxmlformats.org/spreadsheetml/2006/main" count="366" uniqueCount="174">
  <si>
    <t xml:space="preserve">Ticker</t>
  </si>
  <si>
    <t xml:space="preserve">2888.HK</t>
  </si>
  <si>
    <t xml:space="preserve">Company</t>
  </si>
  <si>
    <t xml:space="preserve">Standard Chartered PLC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</si>
  <si>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</si>
  <si>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</si>
  <si>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</si>
  <si>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</si>
  <si>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2026-10-22T06:47Z HKEX regular session, live (Yahoo Finance chart API; 5d bars confirm trading through 22-Oct)</t>
  </si>
  <si>
    <t xml:space="preserve">Balance sheet date</t>
  </si>
  <si>
    <t xml:space="preserve">2025-12-31</t>
  </si>
  <si>
    <t xml:space="preserve">Model</t>
  </si>
  <si>
    <t xml:space="preserve">Bank FCFE at cost of equity (engine route): NI to ordinary shareholders less CET1 retention, net debt zero, USD flows bridged to the HKD quote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</si>
  <si>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</si>
  <si>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</si>
  <si>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</si>
  <si>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</si>
  <si>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</si>
  <si>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</si>
  <si>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</si>
  <si>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</si>
  <si>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</si>
  <si>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2026-10-22T06:44:41Z</t>
  </si>
  <si>
    <t xml:space="preserve">Drivers file</t>
  </si>
  <si>
    <t xml:space="preserve">2888.HK_Drivers.json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</si>
  <si>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</si>
  <si>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</si>
  <si>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</si>
  <si>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Standard Chartered is valued as the cash its ordinary shareholders can take out: profit attributable to ordinary shareholders (after AT1/preference coupons and NCI) less the CET1 retained to hold 14% of RWA as the balance sheet grows, discounted at an 11% USD cost of equity. Deposits and MREL are funding, not debt, so net debt is zero and nothing is deducted after the flows. USD per-share values are converted to the HKD quote at spot; the HKEX line is the same ordinary share as STAN.L.
key_risks_to_valuation: Credit cycle: FY2025's 19bp loan-loss rate is a trough for an EM book (65bp in FY2020); every 10bp is ~$0.35bn pre-tax; Rate sensitivity: NII (54% of income) guided flat-to-low-single-digit as global policy rates fall; a faster cutting cycle moves the base toward the bear; US-China / Middle East geopolitics: the network-income model depends on open corridors and the bank carries conflict-risk overlays; Notable items: $937m in FY2025, $797m in FY2024; the base assumes they stop after the final FFG year in 2026; CET1 retention is tied to revenue 1:1 and held at 14.0%; at 13.5% with RWA growing slower than income, value is ~5-8% higher; Data gap: H1-2026 interim and Q3-2026 update not in core_metrics; share count is the 26-Jan-2026 post-buyback count, not today's (~4% lower, value-neutral by construction); FX: HKD quote vs USD flows; the peg makes this a small risk but refresh_price.py does not update fx_rate</t>
  </si>
  <si>
    <t xml:space="preserve">Data sources</t>
  </si>
  <si>
    <t xml:space="preserve">price: Yahoo Finance chart API at inputs.price_as_of; 52-week range 143.0-248.8; parity cross-checked against STAN.L x GBPUSD
financials: Standard Chartered Annual Reports FY2018-FY2025 (research/2888.HK/Extracted), 2888.HK_Metrics.csv and kpis (core_metrics); FY2025 capital section (:4075-4105), summary table (:1260-1300), per-share data (:3655-3672), diluted shares (:23422)
qualitative: 2888.HK_Analysis.json (2026-10-22), including H1-2026 (29-Jul-2026), Q3-2026 trading update (1-Oct-2026) and 19-May-2026 capital markets day headlines</t>
  </si>
  <si>
    <t xml:space="preserve">Scenario narrative: bear</t>
  </si>
  <si>
    <t xml:space="preserve">The super-connector model meets a closed corridor. US-China escalation and a Middle East shock cut trade and flow income in 2027 while rate cuts erode NII; a China/HK CRE and frontier sovereign cycle (Ghana/Nigeria/Pakistan-style devaluations) lifts credit impairment to the FY2020 level and a conduct/AML charge recurs. CEO succession lands badly after the 2026 CFO departure. Returns recover only to ~12% RoTE, roughly the pre-2023 franchise plus the cost savings.</t>
  </si>
  <si>
    <t xml:space="preserve">Scenario narrative: base</t>
  </si>
  <si>
    <t xml:space="preserve">Standard Chartered delivers most, not all, of its May-2026 plan. Income grows 6% in 2026 and ~5% a year to 2028 on Wealth Solutions, network/financial-institution income and digital-asset optionality; NII is flat-to-low-single-digit as global rates fall. Costs are held near $13.3bn and the final Fit for Growth charges roll off, taking the reported margin from 31.6% (FY2025) to 38% by 2029 and RoTE to ~16.5% against the &gt;15% 2028 target. CET1 is held at 14% and ~60-80% of earnings go out as the 30%+ dividend plus rolling buybacks. After 2029 the loan-loss rate normalises toward 30bp and returns fade to ~15%.</t>
  </si>
  <si>
    <t xml:space="preserve">Scenario narrative: bull</t>
  </si>
  <si>
    <t xml:space="preserve">The plan lands in full and the ~18% RoTE 2030 ambition is met and sustained. Affluent net new money reaches $200bn by 2028, Wealth Solutions compounds at double digits, CIB network income reaches ~70% of CIB income, Mox and Trust reach profitability, and the digital-asset/tokenisation franchise becomes a visible fee line. Cost:income falls through 57% on the headcount programme, credit costs stay ~20bp, and the bank keeps buying back 4-5% of its shares a year.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</si>
  <si>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</si>
  <si>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</si>
  <si>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</si>
  <si>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</si>
  <si>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</si>
  <si>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</si>
  <si>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</si>
  <si>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</si>
  <si>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</si>
  <si>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</si>
  <si>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</si>
  <si>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</si>
  <si>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</si>
  <si>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</si>
  <si>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</si>
  <si>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</si>
  <si>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</si>
  <si>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</si>
  <si>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</si>
  <si>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</si>
  <si>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</si>
  <si>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</si>
  <si>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</si>
  <si>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</si>
  <si>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</si>
  <si>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</si>
  <si>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</si>
  <si>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CostToIncomeRatio</t>
  </si>
  <si>
    <t xml:space="preserve">CreditImpairmentCharge</t>
  </si>
  <si>
    <t xml:space="preserve">CustomerDeposits</t>
  </si>
  <si>
    <t xml:space="preserve">EPSBasic</t>
  </si>
  <si>
    <t xml:space="preserve">NetInterestIncome</t>
  </si>
  <si>
    <t xml:space="preserve">NonInterestIncome</t>
  </si>
  <si>
    <t xml:space="preserve">OperatingExpenses</t>
  </si>
  <si>
    <t xml:space="preserve">OtherEquityInstruments</t>
  </si>
  <si>
    <t xml:space="preserve">ProfitForPeriodTotal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</si>
  <si>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</si>
  <si>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</si>
  <si>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</si>
  <si>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</si>
  <si>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</si>
  <si>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</si>
  <si>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</si>
  <si>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</si>
  <si>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</si>
  <si>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</si>
  <si>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</si>
  <si>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</si>
  <si>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</si>
  <si>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</si>
  <si>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</si>
  <si>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</si>
  <si>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</si>
  <si>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</si>
  <si>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</si>
  <si>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</si>
  <si>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</si>
  <si>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</si>
  <si>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</si>
  <si>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</si>
  <si>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</si>
  <si>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</si>
  <si>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</si>
  <si>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</si>
  <si>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</si>
  <si>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</si>
  <si>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</si>
  <si>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</si>
  <si>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</si>
  <si>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</si>
  <si>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</si>
  <si>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</si>
  <si>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</si>
  <si>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</si>
  <si>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</si>
  <si>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</si>
  <si>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</si>
  <si>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</si>
  <si>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</si>
  <si>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</si>
  <si>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</si>
  <si>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</si>
  <si>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</si>
  <si>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2888.HK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</si>
  <si>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</si>
  <si>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</si>
  <si>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</si>
  <si>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</si>
  <si>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</si>
  <si>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</si>
  <si>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</si>
  <si>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</si>
  <si>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</si>
  <si>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</si>
  <si>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</si>
  <si>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</si>
  <si>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</si>
  <si>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</si>
  <si>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</si>
  <si>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</si>
  <si>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</si>
  <si>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</si>
  <si>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</si>
  <si>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</si>
  <si>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</si>
  <si>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</si>
  <si>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</si>
  <si>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</si>
  <si>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</si>
  <si>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</si>
  <si>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</si>
  <si>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</si>
  <si>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</si>
  <si>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</si>
  <si>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2888.HK owner-FCF component DCF: base case (millions, USD)</t>
  </si>
  <si>
    <t xml:space="preserve">2888.HK owner-FCF component DCF: bull case (millions, USD)</t>
  </si>
  <si>
    <t xml:space="preserve">2888.HK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</si>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</sst>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212.8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</row>
    <row r="2" customFormat="false" ht="15" hidden="false" customHeight="false" outlineLevel="0" collapsed="false">
      <c r="A2" s="0" t="s">
        <v>74</v>
      </c>
      <c r="B2" s="0" t="n">
        <v>14425</v>
      </c>
      <c r="F2" s="0" t="n">
        <v>2415</v>
      </c>
      <c r="G2" s="0" t="n">
        <v>16.7</v>
      </c>
      <c r="I2" s="0" t="n">
        <v>1219</v>
      </c>
      <c r="J2" s="0" t="n">
        <v>8.5</v>
      </c>
      <c r="K2" s="0" t="n">
        <v>0.233</v>
      </c>
      <c r="L2" s="0" t="n">
        <v>-3208</v>
      </c>
      <c r="M2" s="0" t="n">
        <v>165</v>
      </c>
      <c r="S2" s="0" t="n">
        <v>87231</v>
      </c>
      <c r="AA2" s="0" t="s">
        <v>18</v>
      </c>
      <c r="AB2" s="0" t="s">
        <v>14</v>
      </c>
      <c r="AC2" s="0" t="n">
        <v>72.2</v>
      </c>
      <c r="AD2" s="0" t="n">
        <v>1362</v>
      </c>
      <c r="AF2" s="0" t="n">
        <v>0.235</v>
      </c>
      <c r="AG2" s="0" t="n">
        <v>8181</v>
      </c>
      <c r="AH2" s="0" t="n">
        <v>6244</v>
      </c>
      <c r="AI2" s="0" t="n">
        <v>10417</v>
      </c>
      <c r="AK2" s="0" t="n">
        <v>1268</v>
      </c>
    </row>
    <row r="3" customFormat="false" ht="15" hidden="false" customHeight="false" outlineLevel="0" collapsed="false">
      <c r="A3" s="0" t="s">
        <v>75</v>
      </c>
      <c r="B3" s="0" t="n">
        <v>14789</v>
      </c>
      <c r="F3" s="0" t="n">
        <v>2548</v>
      </c>
      <c r="G3" s="0" t="n">
        <v>17.2</v>
      </c>
      <c r="I3" s="0" t="n">
        <v>1054</v>
      </c>
      <c r="J3" s="0" t="n">
        <v>7.1</v>
      </c>
      <c r="K3" s="0" t="n">
        <v>0.185</v>
      </c>
      <c r="L3" s="0" t="n">
        <v>25292</v>
      </c>
      <c r="M3" s="0" t="n">
        <v>171</v>
      </c>
      <c r="O3" s="0" t="n">
        <v>45118</v>
      </c>
      <c r="P3" s="0" t="n">
        <v>688762</v>
      </c>
      <c r="Q3" s="0" t="n">
        <v>638410</v>
      </c>
      <c r="R3" s="0" t="n">
        <v>61455</v>
      </c>
      <c r="S3" s="0" t="n">
        <v>97500</v>
      </c>
      <c r="T3" s="0" t="n">
        <v>3340</v>
      </c>
      <c r="U3" s="0" t="n">
        <v>166</v>
      </c>
      <c r="AA3" s="0" t="s">
        <v>18</v>
      </c>
      <c r="AB3" s="0" t="s">
        <v>14</v>
      </c>
      <c r="AC3" s="0" t="n">
        <v>78.8</v>
      </c>
      <c r="AD3" s="0" t="n">
        <v>653</v>
      </c>
      <c r="AE3" s="0" t="n">
        <v>391013</v>
      </c>
      <c r="AF3" s="0" t="n">
        <v>0.187</v>
      </c>
      <c r="AG3" s="0" t="n">
        <v>7795</v>
      </c>
      <c r="AH3" s="0" t="n">
        <v>6994</v>
      </c>
      <c r="AI3" s="0" t="n">
        <v>11647</v>
      </c>
      <c r="AJ3" s="0" t="n">
        <v>4961</v>
      </c>
      <c r="AK3" s="0" t="n">
        <v>1109</v>
      </c>
      <c r="AL3" s="0" t="n">
        <v>50352</v>
      </c>
    </row>
    <row r="4" customFormat="false" ht="15" hidden="false" customHeight="false" outlineLevel="0" collapsed="false">
      <c r="A4" s="0" t="s">
        <v>76</v>
      </c>
      <c r="B4" s="0" t="n">
        <v>15417</v>
      </c>
      <c r="F4" s="0" t="n">
        <v>3713</v>
      </c>
      <c r="G4" s="0" t="n">
        <v>24.1</v>
      </c>
      <c r="I4" s="0" t="n">
        <v>2303</v>
      </c>
      <c r="J4" s="0" t="n">
        <v>14.9</v>
      </c>
      <c r="K4" s="0" t="n">
        <v>0.564</v>
      </c>
      <c r="L4" s="0" t="n">
        <v>-926</v>
      </c>
      <c r="M4" s="0" t="n">
        <v>518</v>
      </c>
      <c r="O4" s="0" t="n">
        <v>44835</v>
      </c>
      <c r="P4" s="0" t="n">
        <v>720398</v>
      </c>
      <c r="Q4" s="0" t="n">
        <v>669737</v>
      </c>
      <c r="R4" s="0" t="n">
        <v>69232</v>
      </c>
      <c r="S4" s="0" t="n">
        <v>77454</v>
      </c>
      <c r="T4" s="0" t="n">
        <v>3290</v>
      </c>
      <c r="U4" s="0" t="n">
        <v>166</v>
      </c>
      <c r="AA4" s="0" t="s">
        <v>18</v>
      </c>
      <c r="AB4" s="0" t="s">
        <v>14</v>
      </c>
      <c r="AC4" s="0" t="n">
        <v>70.9</v>
      </c>
      <c r="AD4" s="0" t="n">
        <v>908</v>
      </c>
      <c r="AE4" s="0" t="n">
        <v>405357</v>
      </c>
      <c r="AF4" s="0" t="n">
        <v>0.57</v>
      </c>
      <c r="AG4" s="0" t="n">
        <v>7667</v>
      </c>
      <c r="AH4" s="0" t="n">
        <v>7750</v>
      </c>
      <c r="AI4" s="0" t="n">
        <v>10933</v>
      </c>
      <c r="AJ4" s="0" t="n">
        <v>5513</v>
      </c>
      <c r="AK4" s="0" t="n">
        <v>2340</v>
      </c>
      <c r="AL4" s="0" t="n">
        <v>50661</v>
      </c>
    </row>
    <row r="5" customFormat="false" ht="15" hidden="false" customHeight="false" outlineLevel="0" collapsed="false">
      <c r="A5" s="0" t="s">
        <v>77</v>
      </c>
      <c r="B5" s="0" t="n">
        <v>14754</v>
      </c>
      <c r="F5" s="0" t="n">
        <v>1613</v>
      </c>
      <c r="G5" s="0" t="n">
        <v>10.9</v>
      </c>
      <c r="I5" s="0" t="n">
        <v>724</v>
      </c>
      <c r="J5" s="0" t="n">
        <v>4.9</v>
      </c>
      <c r="K5" s="0" t="n">
        <v>0.103</v>
      </c>
      <c r="L5" s="0" t="n">
        <v>21234</v>
      </c>
      <c r="M5" s="0" t="n">
        <v>1270</v>
      </c>
      <c r="O5" s="0" t="n">
        <v>45886</v>
      </c>
      <c r="P5" s="0" t="n">
        <v>789050</v>
      </c>
      <c r="Q5" s="0" t="n">
        <v>738321</v>
      </c>
      <c r="R5" s="0" t="n">
        <v>72204</v>
      </c>
      <c r="S5" s="0" t="n">
        <v>97874</v>
      </c>
      <c r="T5" s="0" t="n">
        <v>3199</v>
      </c>
      <c r="U5" s="0" t="n">
        <v>132</v>
      </c>
      <c r="AA5" s="0" t="s">
        <v>18</v>
      </c>
      <c r="AB5" s="0" t="s">
        <v>14</v>
      </c>
      <c r="AC5" s="0" t="n">
        <v>70.4</v>
      </c>
      <c r="AD5" s="0" t="n">
        <v>2325</v>
      </c>
      <c r="AE5" s="0" t="n">
        <v>439339</v>
      </c>
      <c r="AF5" s="0" t="n">
        <v>0.104</v>
      </c>
      <c r="AG5" s="0" t="n">
        <v>6852</v>
      </c>
      <c r="AH5" s="0" t="n">
        <v>7902</v>
      </c>
      <c r="AI5" s="0" t="n">
        <v>10380</v>
      </c>
      <c r="AJ5" s="0" t="n">
        <v>4518</v>
      </c>
      <c r="AK5" s="0" t="n">
        <v>751</v>
      </c>
      <c r="AL5" s="0" t="n">
        <v>50729</v>
      </c>
    </row>
    <row r="6" customFormat="false" ht="15" hidden="false" customHeight="false" outlineLevel="0" collapsed="false">
      <c r="A6" s="0" t="s">
        <v>78</v>
      </c>
      <c r="B6" s="0" t="n">
        <v>14701</v>
      </c>
      <c r="F6" s="0" t="n">
        <v>3347</v>
      </c>
      <c r="G6" s="0" t="n">
        <v>22.8</v>
      </c>
      <c r="I6" s="0" t="n">
        <v>2315</v>
      </c>
      <c r="J6" s="0" t="n">
        <v>15.7</v>
      </c>
      <c r="K6" s="0" t="n">
        <v>0.604</v>
      </c>
      <c r="L6" s="0" t="n">
        <v>12218</v>
      </c>
      <c r="M6" s="0" t="n">
        <v>352</v>
      </c>
      <c r="O6" s="0" t="n">
        <v>46011</v>
      </c>
      <c r="P6" s="0" t="n">
        <v>827818</v>
      </c>
      <c r="Q6" s="0" t="n">
        <v>775182</v>
      </c>
      <c r="R6" s="0" t="n">
        <v>77939</v>
      </c>
      <c r="S6" s="0" t="n">
        <v>99605</v>
      </c>
      <c r="T6" s="0" t="n">
        <v>3154</v>
      </c>
      <c r="U6" s="0" t="n">
        <v>167</v>
      </c>
      <c r="AA6" s="0" t="s">
        <v>18</v>
      </c>
      <c r="AB6" s="0" t="s">
        <v>14</v>
      </c>
      <c r="AC6" s="0" t="n">
        <v>74.3</v>
      </c>
      <c r="AD6" s="0" t="n">
        <v>254</v>
      </c>
      <c r="AE6" s="0" t="n">
        <v>474570</v>
      </c>
      <c r="AF6" s="0" t="n">
        <v>0.613</v>
      </c>
      <c r="AG6" s="0" t="n">
        <v>6798</v>
      </c>
      <c r="AH6" s="0" t="n">
        <v>7903</v>
      </c>
      <c r="AI6" s="0" t="n">
        <v>10924</v>
      </c>
      <c r="AJ6" s="0" t="n">
        <v>6254</v>
      </c>
      <c r="AK6" s="0" t="n">
        <v>2313</v>
      </c>
      <c r="AL6" s="0" t="n">
        <v>52636</v>
      </c>
    </row>
    <row r="7" customFormat="false" ht="15" hidden="false" customHeight="false" outlineLevel="0" collapsed="false">
      <c r="A7" s="0" t="s">
        <v>79</v>
      </c>
      <c r="B7" s="0" t="n">
        <v>16318</v>
      </c>
      <c r="F7" s="0" t="n">
        <v>4286</v>
      </c>
      <c r="G7" s="0" t="n">
        <v>26.3</v>
      </c>
      <c r="I7" s="0" t="n">
        <v>2948</v>
      </c>
      <c r="J7" s="0" t="n">
        <v>18.1</v>
      </c>
      <c r="K7" s="0" t="n">
        <v>0.843</v>
      </c>
      <c r="L7" s="0" t="n">
        <v>28709</v>
      </c>
      <c r="M7" s="0" t="n">
        <v>835</v>
      </c>
      <c r="O7" s="0" t="n">
        <v>43162</v>
      </c>
      <c r="P7" s="0" t="n">
        <v>819922</v>
      </c>
      <c r="Q7" s="0" t="n">
        <v>769906</v>
      </c>
      <c r="R7" s="0" t="n">
        <v>74957</v>
      </c>
      <c r="S7" s="0" t="n">
        <v>97595</v>
      </c>
      <c r="T7" s="0" t="n">
        <v>3021</v>
      </c>
      <c r="U7" s="0" t="n">
        <v>199</v>
      </c>
      <c r="AA7" s="0" t="s">
        <v>18</v>
      </c>
      <c r="AB7" s="0" t="s">
        <v>14</v>
      </c>
      <c r="AC7" s="0" t="n">
        <v>66.9</v>
      </c>
      <c r="AD7" s="0" t="n">
        <v>836</v>
      </c>
      <c r="AE7" s="0" t="n">
        <v>461677</v>
      </c>
      <c r="AF7" s="0" t="n">
        <v>0.859</v>
      </c>
      <c r="AG7" s="0" t="n">
        <v>7593</v>
      </c>
      <c r="AH7" s="0" t="n">
        <v>8725</v>
      </c>
      <c r="AI7" s="0" t="n">
        <v>10913</v>
      </c>
      <c r="AJ7" s="0" t="n">
        <v>6504</v>
      </c>
      <c r="AK7" s="0" t="n">
        <v>2902</v>
      </c>
      <c r="AL7" s="0" t="n">
        <v>50016</v>
      </c>
    </row>
    <row r="8" customFormat="false" ht="15" hidden="false" customHeight="false" outlineLevel="0" collapsed="false">
      <c r="A8" s="0" t="s">
        <v>80</v>
      </c>
      <c r="B8" s="0" t="n">
        <v>18019</v>
      </c>
      <c r="F8" s="0" t="n">
        <v>5093</v>
      </c>
      <c r="G8" s="0" t="n">
        <v>28.3</v>
      </c>
      <c r="I8" s="0" t="n">
        <v>3469</v>
      </c>
      <c r="J8" s="0" t="n">
        <v>19.3</v>
      </c>
      <c r="K8" s="0" t="n">
        <v>1.062</v>
      </c>
      <c r="L8" s="0" t="n">
        <v>-5562</v>
      </c>
      <c r="M8" s="0" t="n">
        <v>159</v>
      </c>
      <c r="O8" s="0" t="n">
        <v>44445</v>
      </c>
      <c r="P8" s="0" t="n">
        <v>822844</v>
      </c>
      <c r="Q8" s="0" t="n">
        <v>772491</v>
      </c>
      <c r="R8" s="0" t="n">
        <v>74582</v>
      </c>
      <c r="S8" s="0" t="n">
        <v>107635</v>
      </c>
      <c r="T8" s="0" t="n">
        <v>2841</v>
      </c>
      <c r="U8" s="0" t="n">
        <v>226</v>
      </c>
      <c r="AA8" s="0" t="s">
        <v>18</v>
      </c>
      <c r="AB8" s="0" t="s">
        <v>14</v>
      </c>
      <c r="AC8" s="0" t="n">
        <v>64.1</v>
      </c>
      <c r="AD8" s="0" t="n">
        <v>508</v>
      </c>
      <c r="AE8" s="0" t="n">
        <v>469418</v>
      </c>
      <c r="AF8" s="0" t="n">
        <v>1.086</v>
      </c>
      <c r="AG8" s="0" t="n">
        <v>7769</v>
      </c>
      <c r="AH8" s="0" t="n">
        <v>10250</v>
      </c>
      <c r="AI8" s="0" t="n">
        <v>11551</v>
      </c>
      <c r="AJ8" s="0" t="n">
        <v>5512</v>
      </c>
      <c r="AK8" s="0" t="n">
        <v>3462</v>
      </c>
      <c r="AL8" s="0" t="n">
        <v>50353</v>
      </c>
    </row>
    <row r="9" customFormat="false" ht="15" hidden="false" customHeight="false" outlineLevel="0" collapsed="false">
      <c r="A9" s="0" t="s">
        <v>81</v>
      </c>
      <c r="B9" s="0" t="n">
        <v>19543</v>
      </c>
      <c r="F9" s="0" t="n">
        <v>6014</v>
      </c>
      <c r="G9" s="0" t="n">
        <v>30.8</v>
      </c>
      <c r="I9" s="0" t="n">
        <v>4050</v>
      </c>
      <c r="J9" s="0" t="n">
        <v>20.7</v>
      </c>
      <c r="K9" s="0" t="n">
        <v>1.377</v>
      </c>
      <c r="L9" s="0" t="n">
        <v>-20489</v>
      </c>
      <c r="M9" s="0" t="n">
        <v>456</v>
      </c>
      <c r="O9" s="0" t="n">
        <v>44388</v>
      </c>
      <c r="P9" s="0" t="n">
        <v>849688</v>
      </c>
      <c r="Q9" s="0" t="n">
        <v>798404</v>
      </c>
      <c r="R9" s="0" t="n">
        <v>74991</v>
      </c>
      <c r="S9" s="0" t="n">
        <v>89928</v>
      </c>
      <c r="T9" s="0" t="n">
        <v>2610</v>
      </c>
      <c r="U9" s="0" t="n">
        <v>334</v>
      </c>
      <c r="AA9" s="0" t="s">
        <v>18</v>
      </c>
      <c r="AB9" s="0" t="s">
        <v>14</v>
      </c>
      <c r="AC9" s="0" t="n">
        <v>64</v>
      </c>
      <c r="AD9" s="0" t="n">
        <v>547</v>
      </c>
      <c r="AE9" s="0" t="n">
        <v>464489</v>
      </c>
      <c r="AF9" s="0" t="n">
        <v>1.413</v>
      </c>
      <c r="AG9" s="0" t="n">
        <v>6366</v>
      </c>
      <c r="AH9" s="0" t="n">
        <v>13177</v>
      </c>
      <c r="AI9" s="0" t="n">
        <v>12502</v>
      </c>
      <c r="AJ9" s="0" t="n">
        <v>6502</v>
      </c>
      <c r="AK9" s="0" t="n">
        <v>4042</v>
      </c>
      <c r="AL9" s="0" t="n">
        <v>51284</v>
      </c>
    </row>
    <row r="10" customFormat="false" ht="15" hidden="false" customHeight="false" outlineLevel="0" collapsed="false">
      <c r="A10" s="0" t="s">
        <v>82</v>
      </c>
      <c r="B10" s="0" t="n">
        <v>20942</v>
      </c>
      <c r="F10" s="0" t="n">
        <v>6963</v>
      </c>
      <c r="G10" s="0" t="n">
        <v>33.2</v>
      </c>
      <c r="I10" s="0" t="n">
        <v>5085</v>
      </c>
      <c r="J10" s="0" t="n">
        <v>24.3</v>
      </c>
      <c r="K10" s="0" t="n">
        <v>1.896</v>
      </c>
      <c r="L10" s="0" t="n">
        <v>36841</v>
      </c>
      <c r="M10" s="0" t="n">
        <v>320</v>
      </c>
      <c r="O10" s="0" t="n">
        <v>46593</v>
      </c>
      <c r="P10" s="0" t="n">
        <v>919955</v>
      </c>
      <c r="Q10" s="0" t="n">
        <v>865369</v>
      </c>
      <c r="R10" s="0" t="n">
        <v>81692</v>
      </c>
      <c r="S10" s="0" t="n">
        <v>104922</v>
      </c>
      <c r="T10" s="0" t="n">
        <v>2404</v>
      </c>
      <c r="U10" s="0" t="n">
        <v>399</v>
      </c>
      <c r="AA10" s="0" t="s">
        <v>18</v>
      </c>
      <c r="AB10" s="0" t="s">
        <v>14</v>
      </c>
      <c r="AC10" s="0" t="n">
        <v>63.5</v>
      </c>
      <c r="AD10" s="0" t="n">
        <v>672</v>
      </c>
      <c r="AE10" s="0" t="n">
        <v>530161</v>
      </c>
      <c r="AF10" s="0" t="n">
        <v>1.954</v>
      </c>
      <c r="AG10" s="0" t="n">
        <v>5955</v>
      </c>
      <c r="AH10" s="0" t="n">
        <v>14987</v>
      </c>
      <c r="AI10" s="0" t="n">
        <v>13304</v>
      </c>
      <c r="AJ10" s="0" t="n">
        <v>7528</v>
      </c>
      <c r="AK10" s="0" t="n">
        <v>5097</v>
      </c>
      <c r="AL10" s="0" t="n">
        <v>54586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212.8</v>
      </c>
    </row>
    <row r="3" customFormat="false" ht="15" hidden="false" customHeight="false" outlineLevel="0" collapsed="false">
      <c r="A3" s="0" t="s">
        <v>86</v>
      </c>
      <c r="B3" s="3" t="n">
        <v>2309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20942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7.843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</v>
      </c>
      <c r="D13" s="3" t="n">
        <v>-3</v>
      </c>
      <c r="E13" s="3" t="n">
        <v>1</v>
      </c>
      <c r="F13" s="3" t="n">
        <v>3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31</v>
      </c>
      <c r="D14" s="3" t="n">
        <v>22</v>
      </c>
      <c r="E14" s="3" t="n">
        <v>26</v>
      </c>
      <c r="F14" s="3" t="n">
        <v>29</v>
      </c>
      <c r="G14" s="3" t="n">
        <v>30</v>
      </c>
      <c r="H14" s="3" t="n">
        <v>30.5</v>
      </c>
      <c r="I14" s="3" t="n">
        <v>30.5</v>
      </c>
      <c r="J14" s="3" t="n">
        <v>30.5</v>
      </c>
      <c r="K14" s="3" t="n">
        <v>30.5</v>
      </c>
      <c r="L14" s="3" t="n">
        <v>30.5</v>
      </c>
    </row>
    <row r="15" customFormat="false" ht="15" hidden="false" customHeight="false" outlineLevel="0" collapsed="false">
      <c r="A15" s="0" t="s">
        <v>108</v>
      </c>
      <c r="C15" s="3" t="n">
        <v>1.9</v>
      </c>
      <c r="D15" s="3" t="n">
        <v>1.9</v>
      </c>
      <c r="E15" s="3" t="n">
        <v>1.9</v>
      </c>
      <c r="F15" s="3" t="n">
        <v>1.9</v>
      </c>
      <c r="G15" s="3" t="n">
        <v>1.9</v>
      </c>
      <c r="H15" s="3" t="n">
        <v>1.9</v>
      </c>
      <c r="I15" s="3" t="n">
        <v>1.9</v>
      </c>
      <c r="J15" s="3" t="n">
        <v>1.9</v>
      </c>
      <c r="K15" s="3" t="n">
        <v>1.9</v>
      </c>
      <c r="L15" s="3" t="n">
        <v>1.9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3.38</v>
      </c>
      <c r="D18" s="3" t="n">
        <v>0</v>
      </c>
      <c r="E18" s="3" t="n">
        <v>1.71</v>
      </c>
      <c r="F18" s="3" t="n">
        <v>5.02</v>
      </c>
      <c r="G18" s="3" t="n">
        <v>5.83</v>
      </c>
      <c r="H18" s="3" t="n">
        <v>5.83</v>
      </c>
      <c r="I18" s="3" t="n">
        <v>5.02</v>
      </c>
      <c r="J18" s="3" t="n">
        <v>5.02</v>
      </c>
      <c r="K18" s="3" t="n">
        <v>4.21</v>
      </c>
      <c r="L18" s="3" t="n">
        <v>4.21</v>
      </c>
    </row>
    <row r="19" customFormat="false" ht="15" hidden="false" customHeight="false" outlineLevel="0" collapsed="false">
      <c r="A19" s="0" t="s">
        <v>112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113</v>
      </c>
      <c r="B20" s="3" t="n">
        <v>11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35</v>
      </c>
      <c r="D28" s="3" t="n">
        <v>36.5</v>
      </c>
      <c r="E28" s="3" t="n">
        <v>37.5</v>
      </c>
      <c r="F28" s="3" t="n">
        <v>38</v>
      </c>
      <c r="G28" s="3" t="n">
        <v>38</v>
      </c>
      <c r="H28" s="3" t="n">
        <v>37.5</v>
      </c>
      <c r="I28" s="3" t="n">
        <v>37</v>
      </c>
      <c r="J28" s="3" t="n">
        <v>36.5</v>
      </c>
      <c r="K28" s="3" t="n">
        <v>36.5</v>
      </c>
      <c r="L28" s="3" t="n">
        <v>36.5</v>
      </c>
    </row>
    <row r="29" customFormat="false" ht="15" hidden="false" customHeight="false" outlineLevel="0" collapsed="false">
      <c r="A29" s="0" t="s">
        <v>108</v>
      </c>
      <c r="C29" s="3" t="n">
        <v>1.9</v>
      </c>
      <c r="D29" s="3" t="n">
        <v>1.9</v>
      </c>
      <c r="E29" s="3" t="n">
        <v>1.9</v>
      </c>
      <c r="F29" s="3" t="n">
        <v>1.9</v>
      </c>
      <c r="G29" s="3" t="n">
        <v>1.9</v>
      </c>
      <c r="H29" s="3" t="n">
        <v>1.9</v>
      </c>
      <c r="I29" s="3" t="n">
        <v>1.9</v>
      </c>
      <c r="J29" s="3" t="n">
        <v>1.9</v>
      </c>
      <c r="K29" s="3" t="n">
        <v>1.9</v>
      </c>
      <c r="L29" s="3" t="n">
        <v>1.9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9.76</v>
      </c>
      <c r="D32" s="3" t="n">
        <v>8.99</v>
      </c>
      <c r="E32" s="3" t="n">
        <v>8.21</v>
      </c>
      <c r="F32" s="3" t="n">
        <v>7.43</v>
      </c>
      <c r="G32" s="3" t="n">
        <v>6.63</v>
      </c>
      <c r="H32" s="3" t="n">
        <v>5.83</v>
      </c>
      <c r="I32" s="3" t="n">
        <v>5.83</v>
      </c>
      <c r="J32" s="3" t="n">
        <v>5.02</v>
      </c>
      <c r="K32" s="3" t="n">
        <v>5.02</v>
      </c>
      <c r="L32" s="3" t="n">
        <v>5.02</v>
      </c>
    </row>
    <row r="33" customFormat="false" ht="15" hidden="false" customHeight="false" outlineLevel="0" collapsed="false">
      <c r="A33" s="0" t="s">
        <v>112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113</v>
      </c>
      <c r="B34" s="3" t="n">
        <v>11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36</v>
      </c>
      <c r="D42" s="3" t="n">
        <v>38.5</v>
      </c>
      <c r="E42" s="3" t="n">
        <v>40</v>
      </c>
      <c r="F42" s="3" t="n">
        <v>41.5</v>
      </c>
      <c r="G42" s="3" t="n">
        <v>42</v>
      </c>
      <c r="H42" s="3" t="n">
        <v>42</v>
      </c>
      <c r="I42" s="3" t="n">
        <v>41.5</v>
      </c>
      <c r="J42" s="3" t="n">
        <v>41</v>
      </c>
      <c r="K42" s="3" t="n">
        <v>41</v>
      </c>
      <c r="L42" s="3" t="n">
        <v>41</v>
      </c>
    </row>
    <row r="43" customFormat="false" ht="15" hidden="false" customHeight="false" outlineLevel="0" collapsed="false">
      <c r="A43" s="0" t="s">
        <v>108</v>
      </c>
      <c r="C43" s="3" t="n">
        <v>1.9</v>
      </c>
      <c r="D43" s="3" t="n">
        <v>1.9</v>
      </c>
      <c r="E43" s="3" t="n">
        <v>1.9</v>
      </c>
      <c r="F43" s="3" t="n">
        <v>1.9</v>
      </c>
      <c r="G43" s="3" t="n">
        <v>1.9</v>
      </c>
      <c r="H43" s="3" t="n">
        <v>1.9</v>
      </c>
      <c r="I43" s="3" t="n">
        <v>1.9</v>
      </c>
      <c r="J43" s="3" t="n">
        <v>1.9</v>
      </c>
      <c r="K43" s="3" t="n">
        <v>1.9</v>
      </c>
      <c r="L43" s="3" t="n">
        <v>1.9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11.29</v>
      </c>
      <c r="D46" s="3" t="n">
        <v>11.29</v>
      </c>
      <c r="E46" s="3" t="n">
        <v>10.53</v>
      </c>
      <c r="F46" s="3" t="n">
        <v>9.76</v>
      </c>
      <c r="G46" s="3" t="n">
        <v>8.99</v>
      </c>
      <c r="H46" s="3" t="n">
        <v>8.21</v>
      </c>
      <c r="I46" s="3" t="n">
        <v>7.43</v>
      </c>
      <c r="J46" s="3" t="n">
        <v>6.63</v>
      </c>
      <c r="K46" s="3" t="n">
        <v>5.83</v>
      </c>
      <c r="L46" s="3" t="n">
        <v>5.02</v>
      </c>
    </row>
    <row r="47" customFormat="false" ht="15" hidden="false" customHeight="false" outlineLevel="0" collapsed="false">
      <c r="A47" s="0" t="s">
        <v>112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113</v>
      </c>
      <c r="B48" s="3" t="n">
        <v>11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3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20942</v>
      </c>
      <c r="C6" s="0" t="n">
        <f aca="false">B6*(1+C5/100)</f>
        <v>21360.84</v>
      </c>
      <c r="D6" s="0" t="n">
        <f aca="false">C6*(1+D5/100)</f>
        <v>20720.0148</v>
      </c>
      <c r="E6" s="0" t="n">
        <f aca="false">D6*(1+E5/100)</f>
        <v>20927.214948</v>
      </c>
      <c r="F6" s="0" t="n">
        <f aca="false">E6*(1+F5/100)</f>
        <v>21555.03139644</v>
      </c>
      <c r="G6" s="0" t="n">
        <f aca="false">F6*(1+G5/100)</f>
        <v>22309.4574953154</v>
      </c>
      <c r="H6" s="0" t="n">
        <f aca="false">G6*(1+H5/100)</f>
        <v>23090.2885076514</v>
      </c>
      <c r="I6" s="0" t="n">
        <f aca="false">H6*(1+I5/100)</f>
        <v>23782.997162881</v>
      </c>
      <c r="J6" s="0" t="n">
        <f aca="false">I6*(1+J5/100)</f>
        <v>24496.4870777674</v>
      </c>
      <c r="K6" s="0" t="n">
        <f aca="false">J6*(1+K5/100)</f>
        <v>25108.8992547116</v>
      </c>
      <c r="L6" s="0" t="n">
        <f aca="false">K6*(1+L5/100)</f>
        <v>25736.6217360794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</v>
      </c>
      <c r="D7" s="4" t="n">
        <f aca="false">Assumptions!D14</f>
        <v>22</v>
      </c>
      <c r="E7" s="4" t="n">
        <f aca="false">Assumptions!E14</f>
        <v>26</v>
      </c>
      <c r="F7" s="4" t="n">
        <f aca="false">Assumptions!F14</f>
        <v>29</v>
      </c>
      <c r="G7" s="4" t="n">
        <f aca="false">Assumptions!G14</f>
        <v>30</v>
      </c>
      <c r="H7" s="4" t="n">
        <f aca="false">Assumptions!H14</f>
        <v>30.5</v>
      </c>
      <c r="I7" s="4" t="n">
        <f aca="false">Assumptions!I14</f>
        <v>30.5</v>
      </c>
      <c r="J7" s="4" t="n">
        <f aca="false">Assumptions!J14</f>
        <v>30.5</v>
      </c>
      <c r="K7" s="4" t="n">
        <f aca="false">Assumptions!K14</f>
        <v>30.5</v>
      </c>
      <c r="L7" s="4" t="n">
        <f aca="false">Assumptions!L14</f>
        <v>30.5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6621.8604</v>
      </c>
      <c r="D8" s="0" t="n">
        <f aca="false">D6*D7/100</f>
        <v>4558.403256</v>
      </c>
      <c r="E8" s="0" t="n">
        <f aca="false">E6*E7/100</f>
        <v>5441.07588648</v>
      </c>
      <c r="F8" s="0" t="n">
        <f aca="false">F6*F7/100</f>
        <v>6250.9591049676</v>
      </c>
      <c r="G8" s="0" t="n">
        <f aca="false">G6*G7/100</f>
        <v>6692.83724859462</v>
      </c>
      <c r="H8" s="0" t="n">
        <f aca="false">H6*H7/100</f>
        <v>7042.53799483369</v>
      </c>
      <c r="I8" s="0" t="n">
        <f aca="false">I6*I7/100</f>
        <v>7253.8141346787</v>
      </c>
      <c r="J8" s="0" t="n">
        <f aca="false">J6*J7/100</f>
        <v>7471.42855871906</v>
      </c>
      <c r="K8" s="0" t="n">
        <f aca="false">K6*K7/100</f>
        <v>7658.21427268704</v>
      </c>
      <c r="L8" s="0" t="n">
        <f aca="false">L6*L7/100</f>
        <v>7849.66962950421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1.9</v>
      </c>
      <c r="D9" s="4" t="n">
        <f aca="false">Assumptions!D15</f>
        <v>1.9</v>
      </c>
      <c r="E9" s="4" t="n">
        <f aca="false">Assumptions!E15</f>
        <v>1.9</v>
      </c>
      <c r="F9" s="4" t="n">
        <f aca="false">Assumptions!F15</f>
        <v>1.9</v>
      </c>
      <c r="G9" s="4" t="n">
        <f aca="false">Assumptions!G15</f>
        <v>1.9</v>
      </c>
      <c r="H9" s="4" t="n">
        <f aca="false">Assumptions!H15</f>
        <v>1.9</v>
      </c>
      <c r="I9" s="4" t="n">
        <f aca="false">Assumptions!I15</f>
        <v>1.9</v>
      </c>
      <c r="J9" s="4" t="n">
        <f aca="false">Assumptions!J15</f>
        <v>1.9</v>
      </c>
      <c r="K9" s="4" t="n">
        <f aca="false">Assumptions!K15</f>
        <v>1.9</v>
      </c>
      <c r="L9" s="4" t="n">
        <f aca="false">Assumptions!L15</f>
        <v>1.9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-405.85596</v>
      </c>
      <c r="D10" s="0" t="n">
        <f aca="false">-D6*D9/100</f>
        <v>-393.6802812</v>
      </c>
      <c r="E10" s="0" t="n">
        <f aca="false">-E6*E9/100</f>
        <v>-397.617084012</v>
      </c>
      <c r="F10" s="0" t="n">
        <f aca="false">-F6*F9/100</f>
        <v>-409.54559653236</v>
      </c>
      <c r="G10" s="0" t="n">
        <f aca="false">-G6*G9/100</f>
        <v>-423.879692410993</v>
      </c>
      <c r="H10" s="0" t="n">
        <f aca="false">-H6*H9/100</f>
        <v>-438.715481645377</v>
      </c>
      <c r="I10" s="0" t="n">
        <f aca="false">-I6*I9/100</f>
        <v>-451.876946094739</v>
      </c>
      <c r="J10" s="0" t="n">
        <f aca="false">-J6*J9/100</f>
        <v>-465.433254477581</v>
      </c>
      <c r="K10" s="0" t="n">
        <f aca="false">-K6*K9/100</f>
        <v>-477.06908583952</v>
      </c>
      <c r="L10" s="0" t="n">
        <f aca="false">-L6*L9/100</f>
        <v>-488.995812985508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6216.00444</v>
      </c>
      <c r="D11" s="0" t="n">
        <f aca="false">D8+D10+D24</f>
        <v>4164.7229748</v>
      </c>
      <c r="E11" s="0" t="n">
        <f aca="false">E8+E10+E24</f>
        <v>5043.458802468</v>
      </c>
      <c r="F11" s="0" t="n">
        <f aca="false">F8+F10+F24</f>
        <v>5841.41350843524</v>
      </c>
      <c r="G11" s="0" t="n">
        <f aca="false">G8+G10+G24</f>
        <v>6268.95755618363</v>
      </c>
      <c r="H11" s="0" t="n">
        <f aca="false">H8+H10+H24</f>
        <v>6603.82251318831</v>
      </c>
      <c r="I11" s="0" t="n">
        <f aca="false">I8+I10+I24</f>
        <v>6801.93718858396</v>
      </c>
      <c r="J11" s="0" t="n">
        <f aca="false">J8+J10+J24</f>
        <v>7005.99530424148</v>
      </c>
      <c r="K11" s="0" t="n">
        <f aca="false">K8+K10+K24</f>
        <v>7181.14518684752</v>
      </c>
      <c r="L11" s="0" t="n">
        <f aca="false">L8+L10+L24</f>
        <v>7360.67381651871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6216.00444</v>
      </c>
      <c r="D13" s="0" t="n">
        <f aca="false">D11+D12</f>
        <v>4164.7229748</v>
      </c>
      <c r="E13" s="0" t="n">
        <f aca="false">E11+E12</f>
        <v>5043.458802468</v>
      </c>
      <c r="F13" s="0" t="n">
        <f aca="false">F11+F12</f>
        <v>5841.41350843524</v>
      </c>
      <c r="G13" s="0" t="n">
        <f aca="false">G11+G12</f>
        <v>6268.95755618363</v>
      </c>
      <c r="H13" s="0" t="n">
        <f aca="false">H11+H12</f>
        <v>6603.82251318831</v>
      </c>
      <c r="I13" s="0" t="n">
        <f aca="false">I11+I12</f>
        <v>6801.93718858396</v>
      </c>
      <c r="J13" s="0" t="n">
        <f aca="false">J11+J12</f>
        <v>7005.99530424148</v>
      </c>
      <c r="K13" s="0" t="n">
        <f aca="false">K11+K12</f>
        <v>7181.14518684752</v>
      </c>
      <c r="L13" s="0" t="n">
        <f aca="false">L11+L12</f>
        <v>7360.67381651871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4537.6832412</v>
      </c>
      <c r="D15" s="0" t="n">
        <f aca="false">D13-MAX(0,D13)*D14/100</f>
        <v>3040.247771604</v>
      </c>
      <c r="E15" s="0" t="n">
        <f aca="false">E13-MAX(0,E13)*E14/100</f>
        <v>3681.72492580164</v>
      </c>
      <c r="F15" s="0" t="n">
        <f aca="false">F13-MAX(0,F13)*F14/100</f>
        <v>4264.23186115773</v>
      </c>
      <c r="G15" s="0" t="n">
        <f aca="false">G13-MAX(0,G13)*G14/100</f>
        <v>4576.33901601405</v>
      </c>
      <c r="H15" s="0" t="n">
        <f aca="false">H13-MAX(0,H13)*H14/100</f>
        <v>4820.79043462747</v>
      </c>
      <c r="I15" s="0" t="n">
        <f aca="false">I13-MAX(0,I13)*I14/100</f>
        <v>4965.41414766629</v>
      </c>
      <c r="J15" s="0" t="n">
        <f aca="false">J13-MAX(0,J13)*J14/100</f>
        <v>5114.37657209628</v>
      </c>
      <c r="K15" s="0" t="n">
        <f aca="false">K13-MAX(0,K13)*K14/100</f>
        <v>5242.23598639869</v>
      </c>
      <c r="L15" s="0" t="n">
        <f aca="false">L13-MAX(0,L13)*L14/100</f>
        <v>5373.29188605866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-721.996392</v>
      </c>
      <c r="D17" s="4" t="n">
        <f aca="false">-D6*Assumptions!D18/100</f>
        <v>-0</v>
      </c>
      <c r="E17" s="4" t="n">
        <f aca="false">-E6*Assumptions!E18/100</f>
        <v>-357.8553756108</v>
      </c>
      <c r="F17" s="4" t="n">
        <f aca="false">-F6*Assumptions!F18/100</f>
        <v>-1082.06257610129</v>
      </c>
      <c r="G17" s="4" t="n">
        <f aca="false">-G6*Assumptions!G18/100</f>
        <v>-1300.64137197689</v>
      </c>
      <c r="H17" s="4" t="n">
        <f aca="false">-H6*Assumptions!H18/100</f>
        <v>-1346.16381999608</v>
      </c>
      <c r="I17" s="4" t="n">
        <f aca="false">-I6*Assumptions!I18/100</f>
        <v>-1193.90645757663</v>
      </c>
      <c r="J17" s="4" t="n">
        <f aca="false">-J6*Assumptions!J18/100</f>
        <v>-1229.72365130392</v>
      </c>
      <c r="K17" s="4" t="n">
        <f aca="false">-K6*Assumptions!K18/100</f>
        <v>-1057.08465862336</v>
      </c>
      <c r="L17" s="4" t="n">
        <f aca="false">-L6*Assumptions!L18/100</f>
        <v>-1083.51177508894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3815.6868492</v>
      </c>
      <c r="D19" s="0" t="n">
        <f aca="false">D15+D16+D17+D18</f>
        <v>3040.247771604</v>
      </c>
      <c r="E19" s="0" t="n">
        <f aca="false">E15+E16+E17+E18</f>
        <v>3323.86955019084</v>
      </c>
      <c r="F19" s="0" t="n">
        <f aca="false">F15+F16+F17+F18</f>
        <v>3182.16928505644</v>
      </c>
      <c r="G19" s="0" t="n">
        <f aca="false">G15+G16+G17+G18</f>
        <v>3275.69764403716</v>
      </c>
      <c r="H19" s="0" t="n">
        <f aca="false">H15+H16+H17+H18</f>
        <v>3474.62661463139</v>
      </c>
      <c r="I19" s="0" t="n">
        <f aca="false">I15+I16+I17+I18</f>
        <v>3771.50769008967</v>
      </c>
      <c r="J19" s="0" t="n">
        <f aca="false">J15+J16+J17+J18</f>
        <v>3884.65292079236</v>
      </c>
      <c r="K19" s="0" t="n">
        <f aca="false">K15+K16+K17+K18</f>
        <v>4185.15132777533</v>
      </c>
      <c r="L19" s="0" t="n">
        <f aca="false">L15+L16+L17+L18</f>
        <v>4289.78011096971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3437.55572</v>
      </c>
      <c r="D21" s="0" t="n">
        <f aca="false">D19*D20</f>
        <v>2467.53329405405</v>
      </c>
      <c r="E21" s="0" t="n">
        <f aca="false">E19*E20</f>
        <v>2430.38476766821</v>
      </c>
      <c r="F21" s="0" t="n">
        <f aca="false">F19*F20</f>
        <v>2096.19347303953</v>
      </c>
      <c r="G21" s="0" t="n">
        <f aca="false">G19*G20</f>
        <v>1943.96711717214</v>
      </c>
      <c r="H21" s="0" t="n">
        <f aca="false">H19*H20</f>
        <v>1857.67727834289</v>
      </c>
      <c r="I21" s="0" t="n">
        <f aca="false">I19*I20</f>
        <v>1816.57840067103</v>
      </c>
      <c r="J21" s="0" t="n">
        <f aca="false">J19*J20</f>
        <v>1685.6538312533</v>
      </c>
      <c r="K21" s="0" t="n">
        <f aca="false">K19*K20</f>
        <v>1636.07932625095</v>
      </c>
      <c r="L21" s="0" t="n">
        <f aca="false">L19*L20</f>
        <v>1510.79397243894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20882.4171808911</v>
      </c>
    </row>
    <row r="31" customFormat="false" ht="15" hidden="false" customHeight="false" outlineLevel="0" collapsed="false">
      <c r="A31" s="0" t="s">
        <v>137</v>
      </c>
      <c r="B31" s="0" t="n">
        <f aca="false">L19</f>
        <v>4289.78011096971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51729.7013381642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47187.5812206668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47187.5812206668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16618.7336968284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37501.1508777194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37501.1508777194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127.380479139867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-0.40140752283897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2510.10649271839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2076.73122243739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142.960629941066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35176.1969099516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89.6233794877878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20942</v>
      </c>
      <c r="C6" s="0" t="n">
        <f aca="false">B6*(1+C5/100)</f>
        <v>22198.52</v>
      </c>
      <c r="D6" s="0" t="n">
        <f aca="false">C6*(1+D5/100)</f>
        <v>23419.4386</v>
      </c>
      <c r="E6" s="0" t="n">
        <f aca="false">D6*(1+E5/100)</f>
        <v>24590.41053</v>
      </c>
      <c r="F6" s="0" t="n">
        <f aca="false">E6*(1+F5/100)</f>
        <v>25696.97900385</v>
      </c>
      <c r="G6" s="0" t="n">
        <f aca="false">F6*(1+G5/100)</f>
        <v>26724.858164004</v>
      </c>
      <c r="H6" s="0" t="n">
        <f aca="false">G6*(1+H5/100)</f>
        <v>27660.2281997441</v>
      </c>
      <c r="I6" s="0" t="n">
        <f aca="false">H6*(1+I5/100)</f>
        <v>28628.3361867352</v>
      </c>
      <c r="J6" s="0" t="n">
        <f aca="false">I6*(1+J5/100)</f>
        <v>29487.1862723372</v>
      </c>
      <c r="K6" s="0" t="n">
        <f aca="false">J6*(1+K5/100)</f>
        <v>30371.8018605074</v>
      </c>
      <c r="L6" s="0" t="n">
        <f aca="false">K6*(1+L5/100)</f>
        <v>31282.9559163226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35</v>
      </c>
      <c r="D7" s="4" t="n">
        <f aca="false">Assumptions!D28</f>
        <v>36.5</v>
      </c>
      <c r="E7" s="4" t="n">
        <f aca="false">Assumptions!E28</f>
        <v>37.5</v>
      </c>
      <c r="F7" s="4" t="n">
        <f aca="false">Assumptions!F28</f>
        <v>38</v>
      </c>
      <c r="G7" s="4" t="n">
        <f aca="false">Assumptions!G28</f>
        <v>38</v>
      </c>
      <c r="H7" s="4" t="n">
        <f aca="false">Assumptions!H28</f>
        <v>37.5</v>
      </c>
      <c r="I7" s="4" t="n">
        <f aca="false">Assumptions!I28</f>
        <v>37</v>
      </c>
      <c r="J7" s="4" t="n">
        <f aca="false">Assumptions!J28</f>
        <v>36.5</v>
      </c>
      <c r="K7" s="4" t="n">
        <f aca="false">Assumptions!K28</f>
        <v>36.5</v>
      </c>
      <c r="L7" s="4" t="n">
        <f aca="false">Assumptions!L28</f>
        <v>36.5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7769.482</v>
      </c>
      <c r="D8" s="0" t="n">
        <f aca="false">D6*D7/100</f>
        <v>8548.095089</v>
      </c>
      <c r="E8" s="0" t="n">
        <f aca="false">E6*E7/100</f>
        <v>9221.40394875</v>
      </c>
      <c r="F8" s="0" t="n">
        <f aca="false">F6*F7/100</f>
        <v>9764.852021463</v>
      </c>
      <c r="G8" s="0" t="n">
        <f aca="false">G6*G7/100</f>
        <v>10155.4461023215</v>
      </c>
      <c r="H8" s="0" t="n">
        <f aca="false">H6*H7/100</f>
        <v>10372.5855749041</v>
      </c>
      <c r="I8" s="0" t="n">
        <f aca="false">I6*I7/100</f>
        <v>10592.484389092</v>
      </c>
      <c r="J8" s="0" t="n">
        <f aca="false">J6*J7/100</f>
        <v>10762.8229894031</v>
      </c>
      <c r="K8" s="0" t="n">
        <f aca="false">K6*K7/100</f>
        <v>11085.7076790852</v>
      </c>
      <c r="L8" s="0" t="n">
        <f aca="false">L6*L7/100</f>
        <v>11418.2789094577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1.9</v>
      </c>
      <c r="D9" s="4" t="n">
        <f aca="false">Assumptions!D29</f>
        <v>1.9</v>
      </c>
      <c r="E9" s="4" t="n">
        <f aca="false">Assumptions!E29</f>
        <v>1.9</v>
      </c>
      <c r="F9" s="4" t="n">
        <f aca="false">Assumptions!F29</f>
        <v>1.9</v>
      </c>
      <c r="G9" s="4" t="n">
        <f aca="false">Assumptions!G29</f>
        <v>1.9</v>
      </c>
      <c r="H9" s="4" t="n">
        <f aca="false">Assumptions!H29</f>
        <v>1.9</v>
      </c>
      <c r="I9" s="4" t="n">
        <f aca="false">Assumptions!I29</f>
        <v>1.9</v>
      </c>
      <c r="J9" s="4" t="n">
        <f aca="false">Assumptions!J29</f>
        <v>1.9</v>
      </c>
      <c r="K9" s="4" t="n">
        <f aca="false">Assumptions!K29</f>
        <v>1.9</v>
      </c>
      <c r="L9" s="4" t="n">
        <f aca="false">Assumptions!L29</f>
        <v>1.9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-421.77188</v>
      </c>
      <c r="D10" s="0" t="n">
        <f aca="false">-D6*D9/100</f>
        <v>-444.9693334</v>
      </c>
      <c r="E10" s="0" t="n">
        <f aca="false">-E6*E9/100</f>
        <v>-467.21780007</v>
      </c>
      <c r="F10" s="0" t="n">
        <f aca="false">-F6*F9/100</f>
        <v>-488.24260107315</v>
      </c>
      <c r="G10" s="0" t="n">
        <f aca="false">-G6*G9/100</f>
        <v>-507.772305116076</v>
      </c>
      <c r="H10" s="0" t="n">
        <f aca="false">-H6*H9/100</f>
        <v>-525.544335795139</v>
      </c>
      <c r="I10" s="0" t="n">
        <f aca="false">-I6*I9/100</f>
        <v>-543.938387547968</v>
      </c>
      <c r="J10" s="0" t="n">
        <f aca="false">-J6*J9/100</f>
        <v>-560.256539174407</v>
      </c>
      <c r="K10" s="0" t="n">
        <f aca="false">-K6*K9/100</f>
        <v>-577.06423534964</v>
      </c>
      <c r="L10" s="0" t="n">
        <f aca="false">-L6*L9/100</f>
        <v>-594.376162410129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7347.71012</v>
      </c>
      <c r="D11" s="0" t="n">
        <f aca="false">D8+D10+D24</f>
        <v>8103.1257556</v>
      </c>
      <c r="E11" s="0" t="n">
        <f aca="false">E8+E10+E24</f>
        <v>8754.18614868</v>
      </c>
      <c r="F11" s="0" t="n">
        <f aca="false">F8+F10+F24</f>
        <v>9276.60942038985</v>
      </c>
      <c r="G11" s="0" t="n">
        <f aca="false">G8+G10+G24</f>
        <v>9647.67379720544</v>
      </c>
      <c r="H11" s="0" t="n">
        <f aca="false">H8+H10+H24</f>
        <v>9847.04123910891</v>
      </c>
      <c r="I11" s="0" t="n">
        <f aca="false">I8+I10+I24</f>
        <v>10048.546001544</v>
      </c>
      <c r="J11" s="0" t="n">
        <f aca="false">J8+J10+J24</f>
        <v>10202.5664502287</v>
      </c>
      <c r="K11" s="0" t="n">
        <f aca="false">K8+K10+K24</f>
        <v>10508.6434437355</v>
      </c>
      <c r="L11" s="0" t="n">
        <f aca="false">L8+L10+L24</f>
        <v>10823.9027470476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7347.71012</v>
      </c>
      <c r="D13" s="0" t="n">
        <f aca="false">D11+D12</f>
        <v>8103.1257556</v>
      </c>
      <c r="E13" s="0" t="n">
        <f aca="false">E11+E12</f>
        <v>8754.18614868</v>
      </c>
      <c r="F13" s="0" t="n">
        <f aca="false">F11+F12</f>
        <v>9276.60942038985</v>
      </c>
      <c r="G13" s="0" t="n">
        <f aca="false">G11+G12</f>
        <v>9647.67379720544</v>
      </c>
      <c r="H13" s="0" t="n">
        <f aca="false">H11+H12</f>
        <v>9847.04123910891</v>
      </c>
      <c r="I13" s="0" t="n">
        <f aca="false">I11+I12</f>
        <v>10048.546001544</v>
      </c>
      <c r="J13" s="0" t="n">
        <f aca="false">J11+J12</f>
        <v>10202.5664502287</v>
      </c>
      <c r="K13" s="0" t="n">
        <f aca="false">K11+K12</f>
        <v>10508.6434437355</v>
      </c>
      <c r="L13" s="0" t="n">
        <f aca="false">L11+L12</f>
        <v>10823.9027470476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5437.3054888</v>
      </c>
      <c r="D15" s="0" t="n">
        <f aca="false">D13-MAX(0,D13)*D14/100</f>
        <v>5996.313059144</v>
      </c>
      <c r="E15" s="0" t="n">
        <f aca="false">E13-MAX(0,E13)*E14/100</f>
        <v>6478.0977500232</v>
      </c>
      <c r="F15" s="0" t="n">
        <f aca="false">F13-MAX(0,F13)*F14/100</f>
        <v>6864.69097108849</v>
      </c>
      <c r="G15" s="0" t="n">
        <f aca="false">G13-MAX(0,G13)*G14/100</f>
        <v>7139.27860993203</v>
      </c>
      <c r="H15" s="0" t="n">
        <f aca="false">H13-MAX(0,H13)*H14/100</f>
        <v>7286.8105169406</v>
      </c>
      <c r="I15" s="0" t="n">
        <f aca="false">I13-MAX(0,I13)*I14/100</f>
        <v>7435.9240411426</v>
      </c>
      <c r="J15" s="0" t="n">
        <f aca="false">J13-MAX(0,J13)*J14/100</f>
        <v>7549.89917316922</v>
      </c>
      <c r="K15" s="0" t="n">
        <f aca="false">K13-MAX(0,K13)*K14/100</f>
        <v>7776.3961483643</v>
      </c>
      <c r="L15" s="0" t="n">
        <f aca="false">L13-MAX(0,L13)*L14/100</f>
        <v>8009.68803281523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-2166.575552</v>
      </c>
      <c r="D17" s="4" t="n">
        <f aca="false">-D6*Assumptions!D32/100</f>
        <v>-2105.40753014</v>
      </c>
      <c r="E17" s="4" t="n">
        <f aca="false">-E6*Assumptions!E32/100</f>
        <v>-2018.872704513</v>
      </c>
      <c r="F17" s="4" t="n">
        <f aca="false">-F6*Assumptions!F32/100</f>
        <v>-1909.28553998605</v>
      </c>
      <c r="G17" s="4" t="n">
        <f aca="false">-G6*Assumptions!G32/100</f>
        <v>-1771.85809627347</v>
      </c>
      <c r="H17" s="4" t="n">
        <f aca="false">-H6*Assumptions!H32/100</f>
        <v>-1612.59130404508</v>
      </c>
      <c r="I17" s="4" t="n">
        <f aca="false">-I6*Assumptions!I32/100</f>
        <v>-1669.03199968666</v>
      </c>
      <c r="J17" s="4" t="n">
        <f aca="false">-J6*Assumptions!J32/100</f>
        <v>-1480.25675087133</v>
      </c>
      <c r="K17" s="4" t="n">
        <f aca="false">-K6*Assumptions!K32/100</f>
        <v>-1524.66445339747</v>
      </c>
      <c r="L17" s="4" t="n">
        <f aca="false">-L6*Assumptions!L32/100</f>
        <v>-1570.40438699939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3270.7299368</v>
      </c>
      <c r="D19" s="0" t="n">
        <f aca="false">D15+D16+D17+D18</f>
        <v>3890.905529004</v>
      </c>
      <c r="E19" s="0" t="n">
        <f aca="false">E15+E16+E17+E18</f>
        <v>4459.2250455102</v>
      </c>
      <c r="F19" s="0" t="n">
        <f aca="false">F15+F16+F17+F18</f>
        <v>4955.40543110243</v>
      </c>
      <c r="G19" s="0" t="n">
        <f aca="false">G15+G16+G17+G18</f>
        <v>5367.42051365856</v>
      </c>
      <c r="H19" s="0" t="n">
        <f aca="false">H15+H16+H17+H18</f>
        <v>5674.21921289551</v>
      </c>
      <c r="I19" s="0" t="n">
        <f aca="false">I15+I16+I17+I18</f>
        <v>5766.89204145593</v>
      </c>
      <c r="J19" s="0" t="n">
        <f aca="false">J15+J16+J17+J18</f>
        <v>6069.6424222979</v>
      </c>
      <c r="K19" s="0" t="n">
        <f aca="false">K15+K16+K17+K18</f>
        <v>6251.73169496683</v>
      </c>
      <c r="L19" s="0" t="n">
        <f aca="false">L15+L16+L17+L18</f>
        <v>6439.28364581584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2946.60354666667</v>
      </c>
      <c r="D21" s="0" t="n">
        <f aca="false">D19*D20</f>
        <v>3157.94621297297</v>
      </c>
      <c r="E21" s="0" t="n">
        <f aca="false">E19*E20</f>
        <v>3260.5469205584</v>
      </c>
      <c r="F21" s="0" t="n">
        <f aca="false">F19*F20</f>
        <v>3264.27904691353</v>
      </c>
      <c r="G21" s="0" t="n">
        <f aca="false">G19*G20</f>
        <v>3185.30283207943</v>
      </c>
      <c r="H21" s="0" t="n">
        <f aca="false">H19*H20</f>
        <v>3033.66930413354</v>
      </c>
      <c r="I21" s="0" t="n">
        <f aca="false">I19*I20</f>
        <v>2777.67205646648</v>
      </c>
      <c r="J21" s="0" t="n">
        <f aca="false">J19*J20</f>
        <v>2633.77867008956</v>
      </c>
      <c r="K21" s="0" t="n">
        <f aca="false">K19*K20</f>
        <v>2443.95678395698</v>
      </c>
      <c r="L21" s="0" t="n">
        <f aca="false">L19*L20</f>
        <v>2267.8157544826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28971.5711283202</v>
      </c>
    </row>
    <row r="31" customFormat="false" ht="15" hidden="false" customHeight="false" outlineLevel="0" collapsed="false">
      <c r="A31" s="0" t="s">
        <v>137</v>
      </c>
      <c r="B31" s="0" t="n">
        <f aca="false">L19</f>
        <v>6439.28364581584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82905.7769398789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90149.9710414217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82905.7769398789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29198.1278389635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58169.6989672836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58169.6989672836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197.585512776269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-0.071496650487457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2926.70494420438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2695.12450903763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216.6812288446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55270.5179599193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128.586387228354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20942</v>
      </c>
      <c r="C6" s="0" t="n">
        <f aca="false">B6*(1+C5/100)</f>
        <v>22407.94</v>
      </c>
      <c r="D6" s="0" t="n">
        <f aca="false">C6*(1+D5/100)</f>
        <v>23976.4958</v>
      </c>
      <c r="E6" s="0" t="n">
        <f aca="false">D6*(1+E5/100)</f>
        <v>25534.968027</v>
      </c>
      <c r="F6" s="0" t="n">
        <f aca="false">E6*(1+F5/100)</f>
        <v>27067.06610862</v>
      </c>
      <c r="G6" s="0" t="n">
        <f aca="false">F6*(1+G5/100)</f>
        <v>28555.7547445941</v>
      </c>
      <c r="H6" s="0" t="n">
        <f aca="false">G6*(1+H5/100)</f>
        <v>29983.5424818238</v>
      </c>
      <c r="I6" s="0" t="n">
        <f aca="false">H6*(1+I5/100)</f>
        <v>31332.8018935059</v>
      </c>
      <c r="J6" s="0" t="n">
        <f aca="false">I6*(1+J5/100)</f>
        <v>32586.1139692461</v>
      </c>
      <c r="K6" s="0" t="n">
        <f aca="false">J6*(1+K5/100)</f>
        <v>33726.6279581697</v>
      </c>
      <c r="L6" s="0" t="n">
        <f aca="false">K6*(1+L5/100)</f>
        <v>34738.4267969148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36</v>
      </c>
      <c r="D7" s="4" t="n">
        <f aca="false">Assumptions!D42</f>
        <v>38.5</v>
      </c>
      <c r="E7" s="4" t="n">
        <f aca="false">Assumptions!E42</f>
        <v>40</v>
      </c>
      <c r="F7" s="4" t="n">
        <f aca="false">Assumptions!F42</f>
        <v>41.5</v>
      </c>
      <c r="G7" s="4" t="n">
        <f aca="false">Assumptions!G42</f>
        <v>42</v>
      </c>
      <c r="H7" s="4" t="n">
        <f aca="false">Assumptions!H42</f>
        <v>42</v>
      </c>
      <c r="I7" s="4" t="n">
        <f aca="false">Assumptions!I42</f>
        <v>41.5</v>
      </c>
      <c r="J7" s="4" t="n">
        <f aca="false">Assumptions!J42</f>
        <v>41</v>
      </c>
      <c r="K7" s="4" t="n">
        <f aca="false">Assumptions!K42</f>
        <v>41</v>
      </c>
      <c r="L7" s="4" t="n">
        <f aca="false">Assumptions!L42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8066.8584</v>
      </c>
      <c r="D8" s="0" t="n">
        <f aca="false">D6*D7/100</f>
        <v>9230.950883</v>
      </c>
      <c r="E8" s="0" t="n">
        <f aca="false">E6*E7/100</f>
        <v>10213.9872108</v>
      </c>
      <c r="F8" s="0" t="n">
        <f aca="false">F6*F7/100</f>
        <v>11232.8324350773</v>
      </c>
      <c r="G8" s="0" t="n">
        <f aca="false">G6*G7/100</f>
        <v>11993.4169927295</v>
      </c>
      <c r="H8" s="0" t="n">
        <f aca="false">H6*H7/100</f>
        <v>12593.087842366</v>
      </c>
      <c r="I8" s="0" t="n">
        <f aca="false">I6*I7/100</f>
        <v>13003.1127858049</v>
      </c>
      <c r="J8" s="0" t="n">
        <f aca="false">J6*J7/100</f>
        <v>13360.3067273909</v>
      </c>
      <c r="K8" s="0" t="n">
        <f aca="false">K6*K7/100</f>
        <v>13827.9174628496</v>
      </c>
      <c r="L8" s="0" t="n">
        <f aca="false">L6*L7/100</f>
        <v>14242.7549867351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1.9</v>
      </c>
      <c r="D9" s="4" t="n">
        <f aca="false">Assumptions!D43</f>
        <v>1.9</v>
      </c>
      <c r="E9" s="4" t="n">
        <f aca="false">Assumptions!E43</f>
        <v>1.9</v>
      </c>
      <c r="F9" s="4" t="n">
        <f aca="false">Assumptions!F43</f>
        <v>1.9</v>
      </c>
      <c r="G9" s="4" t="n">
        <f aca="false">Assumptions!G43</f>
        <v>1.9</v>
      </c>
      <c r="H9" s="4" t="n">
        <f aca="false">Assumptions!H43</f>
        <v>1.9</v>
      </c>
      <c r="I9" s="4" t="n">
        <f aca="false">Assumptions!I43</f>
        <v>1.9</v>
      </c>
      <c r="J9" s="4" t="n">
        <f aca="false">Assumptions!J43</f>
        <v>1.9</v>
      </c>
      <c r="K9" s="4" t="n">
        <f aca="false">Assumptions!K43</f>
        <v>1.9</v>
      </c>
      <c r="L9" s="4" t="n">
        <f aca="false">Assumptions!L43</f>
        <v>1.9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-425.75086</v>
      </c>
      <c r="D10" s="0" t="n">
        <f aca="false">-D6*D9/100</f>
        <v>-455.5534202</v>
      </c>
      <c r="E10" s="0" t="n">
        <f aca="false">-E6*E9/100</f>
        <v>-485.164392513</v>
      </c>
      <c r="F10" s="0" t="n">
        <f aca="false">-F6*F9/100</f>
        <v>-514.27425606378</v>
      </c>
      <c r="G10" s="0" t="n">
        <f aca="false">-G6*G9/100</f>
        <v>-542.559340147288</v>
      </c>
      <c r="H10" s="0" t="n">
        <f aca="false">-H6*H9/100</f>
        <v>-569.687307154652</v>
      </c>
      <c r="I10" s="0" t="n">
        <f aca="false">-I6*I9/100</f>
        <v>-595.323235976612</v>
      </c>
      <c r="J10" s="0" t="n">
        <f aca="false">-J6*J9/100</f>
        <v>-619.136165415676</v>
      </c>
      <c r="K10" s="0" t="n">
        <f aca="false">-K6*K9/100</f>
        <v>-640.805931205225</v>
      </c>
      <c r="L10" s="0" t="n">
        <f aca="false">-L6*L9/100</f>
        <v>-660.030109141382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7641.10754</v>
      </c>
      <c r="D11" s="0" t="n">
        <f aca="false">D8+D10+D24</f>
        <v>8775.3974628</v>
      </c>
      <c r="E11" s="0" t="n">
        <f aca="false">E8+E10+E24</f>
        <v>9728.822818287</v>
      </c>
      <c r="F11" s="0" t="n">
        <f aca="false">F8+F10+F24</f>
        <v>10718.5581790135</v>
      </c>
      <c r="G11" s="0" t="n">
        <f aca="false">G8+G10+G24</f>
        <v>11450.8576525822</v>
      </c>
      <c r="H11" s="0" t="n">
        <f aca="false">H8+H10+H24</f>
        <v>12023.4005352113</v>
      </c>
      <c r="I11" s="0" t="n">
        <f aca="false">I8+I10+I24</f>
        <v>12407.7895498283</v>
      </c>
      <c r="J11" s="0" t="n">
        <f aca="false">J8+J10+J24</f>
        <v>12741.1705619752</v>
      </c>
      <c r="K11" s="0" t="n">
        <f aca="false">K8+K10+K24</f>
        <v>13187.1115316444</v>
      </c>
      <c r="L11" s="0" t="n">
        <f aca="false">L8+L10+L24</f>
        <v>13582.7248775937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7641.10754</v>
      </c>
      <c r="D13" s="0" t="n">
        <f aca="false">D11+D12</f>
        <v>8775.3974628</v>
      </c>
      <c r="E13" s="0" t="n">
        <f aca="false">E11+E12</f>
        <v>9728.822818287</v>
      </c>
      <c r="F13" s="0" t="n">
        <f aca="false">F11+F12</f>
        <v>10718.5581790135</v>
      </c>
      <c r="G13" s="0" t="n">
        <f aca="false">G11+G12</f>
        <v>11450.8576525822</v>
      </c>
      <c r="H13" s="0" t="n">
        <f aca="false">H11+H12</f>
        <v>12023.4005352113</v>
      </c>
      <c r="I13" s="0" t="n">
        <f aca="false">I11+I12</f>
        <v>12407.7895498283</v>
      </c>
      <c r="J13" s="0" t="n">
        <f aca="false">J11+J12</f>
        <v>12741.1705619752</v>
      </c>
      <c r="K13" s="0" t="n">
        <f aca="false">K11+K12</f>
        <v>13187.1115316444</v>
      </c>
      <c r="L13" s="0" t="n">
        <f aca="false">L11+L12</f>
        <v>13582.7248775937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5692.6251173</v>
      </c>
      <c r="D15" s="0" t="n">
        <f aca="false">D13-MAX(0,D13)*D14/100</f>
        <v>6537.671109786</v>
      </c>
      <c r="E15" s="0" t="n">
        <f aca="false">E13-MAX(0,E13)*E14/100</f>
        <v>7247.97299962382</v>
      </c>
      <c r="F15" s="0" t="n">
        <f aca="false">F13-MAX(0,F13)*F14/100</f>
        <v>7985.32584336508</v>
      </c>
      <c r="G15" s="0" t="n">
        <f aca="false">G13-MAX(0,G13)*G14/100</f>
        <v>8530.88895117377</v>
      </c>
      <c r="H15" s="0" t="n">
        <f aca="false">H13-MAX(0,H13)*H14/100</f>
        <v>8957.43339873246</v>
      </c>
      <c r="I15" s="0" t="n">
        <f aca="false">I13-MAX(0,I13)*I14/100</f>
        <v>9243.80321462211</v>
      </c>
      <c r="J15" s="0" t="n">
        <f aca="false">J13-MAX(0,J13)*J14/100</f>
        <v>9492.17206867155</v>
      </c>
      <c r="K15" s="0" t="n">
        <f aca="false">K13-MAX(0,K13)*K14/100</f>
        <v>9824.39809107505</v>
      </c>
      <c r="L15" s="0" t="n">
        <f aca="false">L13-MAX(0,L13)*L14/100</f>
        <v>10119.1300338073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-2529.856426</v>
      </c>
      <c r="D17" s="4" t="n">
        <f aca="false">-D6*Assumptions!D46/100</f>
        <v>-2706.94637582</v>
      </c>
      <c r="E17" s="4" t="n">
        <f aca="false">-E6*Assumptions!E46/100</f>
        <v>-2688.8321332431</v>
      </c>
      <c r="F17" s="4" t="n">
        <f aca="false">-F6*Assumptions!F46/100</f>
        <v>-2641.74565220131</v>
      </c>
      <c r="G17" s="4" t="n">
        <f aca="false">-G6*Assumptions!G46/100</f>
        <v>-2567.16235153901</v>
      </c>
      <c r="H17" s="4" t="n">
        <f aca="false">-H6*Assumptions!H46/100</f>
        <v>-2461.64883775774</v>
      </c>
      <c r="I17" s="4" t="n">
        <f aca="false">-I6*Assumptions!I46/100</f>
        <v>-2328.02718068749</v>
      </c>
      <c r="J17" s="4" t="n">
        <f aca="false">-J6*Assumptions!J46/100</f>
        <v>-2160.45935616102</v>
      </c>
      <c r="K17" s="4" t="n">
        <f aca="false">-K6*Assumptions!K46/100</f>
        <v>-1966.2624099613</v>
      </c>
      <c r="L17" s="4" t="n">
        <f aca="false">-L6*Assumptions!L46/100</f>
        <v>-1743.86902520512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3162.7686913</v>
      </c>
      <c r="D19" s="0" t="n">
        <f aca="false">D15+D16+D17+D18</f>
        <v>3830.724733966</v>
      </c>
      <c r="E19" s="0" t="n">
        <f aca="false">E15+E16+E17+E18</f>
        <v>4559.14086638071</v>
      </c>
      <c r="F19" s="0" t="n">
        <f aca="false">F15+F16+F17+F18</f>
        <v>5343.58019116376</v>
      </c>
      <c r="G19" s="0" t="n">
        <f aca="false">G15+G16+G17+G18</f>
        <v>5963.72659963476</v>
      </c>
      <c r="H19" s="0" t="n">
        <f aca="false">H15+H16+H17+H18</f>
        <v>6495.78456097472</v>
      </c>
      <c r="I19" s="0" t="n">
        <f aca="false">I15+I16+I17+I18</f>
        <v>6915.77603393462</v>
      </c>
      <c r="J19" s="0" t="n">
        <f aca="false">J15+J16+J17+J18</f>
        <v>7331.71271251053</v>
      </c>
      <c r="K19" s="0" t="n">
        <f aca="false">K15+K16+K17+K18</f>
        <v>7858.13568111376</v>
      </c>
      <c r="L19" s="0" t="n">
        <f aca="false">L15+L16+L17+L18</f>
        <v>8375.26100860218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2849.34116333333</v>
      </c>
      <c r="D21" s="0" t="n">
        <f aca="false">D19*D20</f>
        <v>3109.10212966967</v>
      </c>
      <c r="E21" s="0" t="n">
        <f aca="false">E19*E20</f>
        <v>3333.60450763453</v>
      </c>
      <c r="F21" s="0" t="n">
        <f aca="false">F19*F20</f>
        <v>3519.98178474723</v>
      </c>
      <c r="G21" s="0" t="n">
        <f aca="false">G19*G20</f>
        <v>3539.1814707314</v>
      </c>
      <c r="H21" s="0" t="n">
        <f aca="false">H19*H20</f>
        <v>3472.91168873219</v>
      </c>
      <c r="I21" s="0" t="n">
        <f aca="false">I19*I20</f>
        <v>3331.04169458165</v>
      </c>
      <c r="J21" s="0" t="n">
        <f aca="false">J19*J20</f>
        <v>3181.42440920335</v>
      </c>
      <c r="K21" s="0" t="n">
        <f aca="false">K19*K20</f>
        <v>3071.93989508122</v>
      </c>
      <c r="L21" s="0" t="n">
        <f aca="false">L19*L20</f>
        <v>2949.63693291467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32358.1656766292</v>
      </c>
    </row>
    <row r="31" customFormat="false" ht="15" hidden="false" customHeight="false" outlineLevel="0" collapsed="false">
      <c r="A31" s="0" t="s">
        <v>137</v>
      </c>
      <c r="B31" s="0" t="n">
        <f aca="false">L19</f>
        <v>8375.26100860218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107831.485485753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125628.915129033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107831.485485753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37976.5755112764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70334.7411879057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70334.7411879057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238.906615477152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0.122681463708421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3111.73507482431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2992.82413452893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259.642023826636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71887.656990502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151.300430663554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127.380479139867</v>
      </c>
      <c r="C4" s="0" t="n">
        <f aca="false">B4/Assumptions!$B$2-1</f>
        <v>-0.40140752283897</v>
      </c>
      <c r="D4" s="4" t="n">
        <f aca="false">Assumptions!$B$24</f>
        <v>0.25</v>
      </c>
      <c r="E4" s="4" t="n">
        <f aca="false">DCF_Bear!$B$43</f>
        <v>142.960629941066</v>
      </c>
      <c r="F4" s="4" t="n">
        <f aca="false">DCF_Bear!$B$47</f>
        <v>89.6233794877878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197.585512776269</v>
      </c>
      <c r="C5" s="0" t="n">
        <f aca="false">B5/Assumptions!$B$2-1</f>
        <v>-0.071496650487457</v>
      </c>
      <c r="D5" s="4" t="n">
        <f aca="false">Assumptions!$B$38</f>
        <v>0.5</v>
      </c>
      <c r="E5" s="4" t="n">
        <f aca="false">DCF_Base!$B$43</f>
        <v>216.6812288446</v>
      </c>
      <c r="F5" s="4" t="n">
        <f aca="false">DCF_Base!$B$47</f>
        <v>128.586387228354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238.906615477152</v>
      </c>
      <c r="C6" s="0" t="n">
        <f aca="false">B6/Assumptions!$B$2-1</f>
        <v>0.122681463708421</v>
      </c>
      <c r="D6" s="4" t="n">
        <f aca="false">Assumptions!$B$52</f>
        <v>0.25</v>
      </c>
      <c r="E6" s="4" t="n">
        <f aca="false">DCF_Bull!$B$43</f>
        <v>259.642023826636</v>
      </c>
      <c r="F6" s="4" t="n">
        <f aca="false">DCF_Bull!$B$47</f>
        <v>151.300430663554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190.364530042389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208.991277864226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-0.117855306094128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120.447595963636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124.524146152013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237.704719697653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221.265480401637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197.585512776269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174.526235814813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128.586387228354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237.704719697653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237.704719697653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237.704719697653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237.704719697653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237.704719697653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210.724548700102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218.454565281228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221.265480401637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221.265480401637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221.265480401637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185.70988621338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191.298416360622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197.585512776269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204.710888714003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206.251510538377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165.762462722114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169.913723660761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174.526235814813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179.681396457577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185.480952180686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149.496722078717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152.648661534479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156.115794935816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159.947889747821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164.20577287227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2026-10-22T06:44:41Z</dcterms:created>
  <dc:creator>openpyxl</dc:creator>
  <dc:description/>
  <dc:language>en-NZ</dc:language>
  <cp:lastModifiedBy/>
  <dcterms:modified xsi:type="dcterms:W3CDTF">2026-10-22T06:44:41Z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