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FFO Leg" sheetId="2" state="visible" r:id="rId2"/>
    <sheet xmlns:r="http://schemas.openxmlformats.org/officeDocument/2006/relationships" name="NTA Leg" sheetId="3" state="visible" r:id="rId3"/>
    <sheet xmlns:r="http://schemas.openxmlformats.org/officeDocument/2006/relationships" name="Blend &amp; Scenario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Entry Pr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color rgb="009C0006"/>
      <sz val="9"/>
    </font>
    <font>
      <b val="1"/>
      <color rgb="001F3864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5" fillId="0" borderId="1" pivotButton="0" quotePrefix="0" xfId="0"/>
    <xf numFmtId="164" fontId="0" fillId="4" borderId="1" pivotButton="0" quotePrefix="0" xfId="0"/>
    <xf numFmtId="165" fontId="0" fillId="3" borderId="1" pivotButton="0" quotePrefix="0" xfId="0"/>
    <xf numFmtId="49" fontId="0" fillId="3" borderId="1" pivotButton="0" quotePrefix="0" xfId="0"/>
    <xf numFmtId="10" fontId="0" fillId="3" borderId="1" pivotButton="0" quotePrefix="0" xfId="0"/>
    <xf numFmtId="10" fontId="0" fillId="5" borderId="1" pivotButton="0" quotePrefix="0" xfId="0"/>
    <xf numFmtId="10" fontId="4" fillId="6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/>
    </xf>
    <xf numFmtId="165" fontId="0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2" fontId="0" fillId="5" borderId="1" pivotButton="0" quotePrefix="0" xfId="0"/>
    <xf numFmtId="166" fontId="4" fillId="6" borderId="1" pivotButton="0" quotePrefix="0" xfId="0"/>
    <xf numFmtId="167" fontId="0" fillId="5" borderId="1" pivotButton="0" quotePrefix="0" xfId="0"/>
    <xf numFmtId="0" fontId="5" fillId="4" borderId="1" pivotButton="0" quotePrefix="0" xfId="0"/>
    <xf numFmtId="166" fontId="7" fillId="6" borderId="1" pivotButton="0" quotePrefix="0" xfId="0"/>
    <xf numFmtId="167" fontId="0" fillId="6" borderId="1" pivotButton="0" quotePrefix="0" xfId="0"/>
    <xf numFmtId="10" fontId="3" fillId="2" borderId="1" applyAlignment="1" pivotButton="0" quotePrefix="0" xfId="0">
      <alignment horizontal="center"/>
    </xf>
    <xf numFmtId="10" fontId="3" fillId="2" borderId="1" pivotButton="0" quotePrefix="0" xfId="0"/>
    <xf numFmtId="16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10" customWidth="1" min="6" max="6"/>
  </cols>
  <sheetData>
    <row r="1">
      <c r="A1" s="1" t="inlineStr">
        <is>
          <t>PCT.NZ — Precinct Properties: Blended AFFO-Capitalization / NTA Valuation Model</t>
        </is>
      </c>
    </row>
    <row r="2">
      <c r="A2" s="2" t="inlineStr">
        <is>
          <t>REIT model at COST OF EQUITY — NOT a WACC owner-FCF DCF. AFFO is an equity-level, post-interest flow; net debt is NEVER deducted. Final IV = 50/50 blend of (1) AFFO capitalization with exit-AFFO-yield terminal value and (2) NTA leg (PV dividends + PV year-5 NTA x exit P/NTA).</t>
        </is>
      </c>
    </row>
    <row r="3">
      <c r="A3" s="2" t="inlineStr">
        <is>
          <t>Cell colour key: YELLOW = hardcoded input (tie to PCT.NZ_DCF.json) | BLUE = live formula | GREEN = key output. Per-security flows in NZD CENTS; intrinsic values in NZD DOLLARS — units labelled on every row.</t>
        </is>
      </c>
    </row>
    <row r="5">
      <c r="A5" s="3" t="inlineStr">
        <is>
          <t>GENERAL INPUTS</t>
        </is>
      </c>
      <c r="B5" s="3" t="inlineStr">
        <is>
          <t>Value</t>
        </is>
      </c>
      <c r="F5" s="3" t="inlineStr">
        <is>
          <t>Note / source</t>
        </is>
      </c>
    </row>
    <row r="6">
      <c r="A6" s="4" t="inlineStr">
        <is>
          <t>Ticker</t>
        </is>
      </c>
      <c r="B6" s="5" t="inlineStr">
        <is>
          <t>PCT.NZ</t>
        </is>
      </c>
      <c r="F6" s="2" t="inlineStr">
        <is>
          <t>Precinct Properties New Zealand — stapled security (PPNZ + PPIL), NZX premium CBD office REIT</t>
        </is>
      </c>
    </row>
    <row r="7">
      <c r="A7" s="4" t="inlineStr">
        <is>
          <t>Valuation date</t>
        </is>
      </c>
      <c r="B7" s="5" t="inlineStr">
        <is>
          <t>2026-08-24</t>
        </is>
      </c>
      <c r="F7" s="2" t="inlineStr">
        <is>
          <t>Fresh build 24-Aug-2026; FY2026 result due 27-Aug-2026 is the imminent swing factor</t>
        </is>
      </c>
    </row>
    <row r="8">
      <c r="A8" s="4" t="inlineStr">
        <is>
          <t>Current price (NZD per security)</t>
        </is>
      </c>
      <c r="B8" s="6" t="n">
        <v>1.03</v>
      </c>
      <c r="F8" s="2" t="inlineStr">
        <is>
          <t>NZX close Fri 21-Aug-2026 (Yahoo regularMarketTime 2026-08-21T04:59:51Z)</t>
        </is>
      </c>
    </row>
    <row r="9">
      <c r="A9" s="4" t="inlineStr">
        <is>
          <t>Stapled securities on issue (millions)</t>
        </is>
      </c>
      <c r="B9" s="7" t="n">
        <v>1852.8</v>
      </c>
      <c r="F9" s="2" t="inlineStr">
        <is>
          <t>31-Dec-2025 balance sheet, post Oct/Nov-2025 $325m raise (1,587.0m -&gt; 1,852.8m). Held FLAT across projection</t>
        </is>
      </c>
    </row>
    <row r="10">
      <c r="A10" s="4" t="inlineStr">
        <is>
          <t>NTA per security (NZD)</t>
        </is>
      </c>
      <c r="B10" s="6" t="n">
        <v>1.18</v>
      </c>
      <c r="F10" s="2" t="inlineStr">
        <is>
          <t>31-Dec-2025 (H1 FY2026)</t>
        </is>
      </c>
    </row>
    <row r="11">
      <c r="A11" s="8" t="inlineStr">
        <is>
          <t>Net debt (NZ$ millions) — MEMO ONLY</t>
        </is>
      </c>
      <c r="B11" s="9" t="n">
        <v>1503.1</v>
      </c>
      <c r="F11" s="2" t="inlineStr">
        <is>
          <t>AUDIT LINE ONLY — NEVER DEDUCTED. AFFO is post-interest (equity-level); subtracting net debt would double-count leverage. Total debt 1,528.7 less cash 25.6 at 31-Dec-2025</t>
        </is>
      </c>
    </row>
    <row r="12">
      <c r="A12" s="4" t="inlineStr">
        <is>
          <t>FY2025 AFFO per security (NZD cents)</t>
        </is>
      </c>
      <c r="B12" s="10" t="n">
        <v>6.54</v>
      </c>
      <c r="F12" s="2" t="inlineStr">
        <is>
          <t>Company-disclosed AFFO (FFO less maintenance capex and incentives), FY2025</t>
        </is>
      </c>
    </row>
    <row r="13">
      <c r="A13" s="4" t="inlineStr">
        <is>
          <t>TTM AFFO per security (NZD cents)</t>
        </is>
      </c>
      <c r="B13" s="10" t="n">
        <v>6.07</v>
      </c>
      <c r="F13" s="2" t="inlineStr">
        <is>
          <t>FY2025 6.54 + H1 FY2026 2.76 - H1 FY2025 3.23; depressed by the raise (capital in the count, earnings not yet)</t>
        </is>
      </c>
    </row>
    <row r="14">
      <c r="A14" s="4" t="inlineStr">
        <is>
          <t>FY2026 FFO guidance (NZD cents)</t>
        </is>
      </c>
      <c r="B14" s="11" t="inlineStr">
        <is>
          <t>7.30-7.50</t>
        </is>
      </c>
      <c r="F14" s="2" t="inlineStr">
        <is>
          <t>Management guidance, reaffirmed at H1 FY2026</t>
        </is>
      </c>
    </row>
    <row r="15">
      <c r="A15" s="4" t="inlineStr">
        <is>
          <t>FY2026 DPS guidance (NZD cents)</t>
        </is>
      </c>
      <c r="B15" s="10" t="n">
        <v>6.75</v>
      </c>
      <c r="F15" s="2" t="inlineStr">
        <is>
          <t>Dividend has exceeded AFFO every year since FY2021 (103% of FY2025 AFFO)</t>
        </is>
      </c>
    </row>
    <row r="16">
      <c r="A16" s="4" t="inlineStr">
        <is>
          <t>Entry-price hurdle rate</t>
        </is>
      </c>
      <c r="B16" s="12" t="n">
        <v>0.15</v>
      </c>
      <c r="F16" s="2" t="inlineStr">
        <is>
          <t>House 15% IRR hurdle (post-2026-07-21 entry-price formula)</t>
        </is>
      </c>
    </row>
    <row r="18">
      <c r="A18" s="3" t="inlineStr">
        <is>
          <t>COST OF EQUITY BUILD (base scenario)</t>
        </is>
      </c>
      <c r="B18" s="3" t="inlineStr">
        <is>
          <t>Value</t>
        </is>
      </c>
      <c r="F18" s="3" t="inlineStr">
        <is>
          <t>Note</t>
        </is>
      </c>
    </row>
    <row r="19">
      <c r="A19" s="4" t="inlineStr">
        <is>
          <t>Risk-free rate (NZ 10yr govt)</t>
        </is>
      </c>
      <c r="B19" s="12" t="n">
        <v>0.046</v>
      </c>
      <c r="F19" s="2" t="inlineStr">
        <is>
          <t>NZ 10-year ~4.5-4.7%; RBNZ raised the OCR to 2.50% Jul-2026 — long end biased up</t>
        </is>
      </c>
    </row>
    <row r="20">
      <c r="A20" s="4" t="inlineStr">
        <is>
          <t>Equity risk premium</t>
        </is>
      </c>
      <c r="B20" s="12" t="n">
        <v>0.06</v>
      </c>
      <c r="F20" s="2" t="inlineStr">
        <is>
          <t>Standard NZ ERP</t>
        </is>
      </c>
    </row>
    <row r="21">
      <c r="A21" s="4" t="inlineStr">
        <is>
          <t>Beta</t>
        </is>
      </c>
      <c r="B21" s="6" t="n">
        <v>0.8</v>
      </c>
      <c r="F21" s="2" t="inlineStr">
        <is>
          <t>NZ listed-property beta &lt;1.0 (contracted rent, 97% occupancy, 6.1yr WALT) but elevated by 33.7% gearing + pure-play office</t>
        </is>
      </c>
    </row>
    <row r="22">
      <c r="A22" s="4" t="inlineStr">
        <is>
          <t>CAPM base</t>
        </is>
      </c>
      <c r="B22" s="13">
        <f>B19+B21*B20</f>
        <v/>
      </c>
      <c r="F22" s="2" t="inlineStr">
        <is>
          <t>= rf + beta x ERP = 9.40%</t>
        </is>
      </c>
    </row>
    <row r="23">
      <c r="A23" s="4" t="inlineStr">
        <is>
          <t>Office structural premium</t>
        </is>
      </c>
      <c r="B23" s="12" t="n">
        <v>0.0035</v>
      </c>
      <c r="F23" s="2" t="inlineStr">
        <is>
          <t>Only NZX pure-play premium CBD office REIT — hybrid-work / structural demand risk peers don't carry</t>
        </is>
      </c>
    </row>
    <row r="24">
      <c r="A24" s="4" t="inlineStr">
        <is>
          <t>Wellington government premium</t>
        </is>
      </c>
      <c r="B24" s="12" t="n">
        <v>0.0025</v>
      </c>
      <c r="F24" s="2" t="inlineStr">
        <is>
          <t>~25-30% Wellington weighting vs public service targeted to shrink ~14% by Jul-2029; ~172,000 sqm govt leases expire 2026-28</t>
        </is>
      </c>
    </row>
    <row r="25">
      <c r="A25" s="4" t="inlineStr">
        <is>
          <t>Development execution premium</t>
        </is>
      </c>
      <c r="B25" s="12" t="n">
        <v>0.0025</v>
      </c>
      <c r="F25" s="2" t="inlineStr">
        <is>
          <t>Downtown Car Park (still consenting, ~50% NLA in pre-commitment talks) + 1,602-bed student accommodation pipeline</t>
        </is>
      </c>
    </row>
    <row r="26">
      <c r="A26" s="4" t="inlineStr">
        <is>
          <t>Gearing / refinancing premium</t>
        </is>
      </c>
      <c r="B26" s="12" t="n">
        <v>0</v>
      </c>
      <c r="F26" s="2" t="inlineStr">
        <is>
          <t>33.7% pro forma LVR mid-band; ~2.8yr debt maturity captured in beta and the bear scenario, not double-charged</t>
        </is>
      </c>
    </row>
    <row r="27">
      <c r="A27" s="4" t="inlineStr">
        <is>
          <t>Illiquidity premium</t>
        </is>
      </c>
      <c r="B27" s="12" t="n">
        <v>0</v>
      </c>
      <c r="F27" s="2" t="inlineStr">
        <is>
          <t>NZ$1.9bn market cap, S&amp;P/NZX 20 constituent — none</t>
        </is>
      </c>
    </row>
    <row r="28">
      <c r="A28" s="4" t="inlineStr">
        <is>
          <t>BASE COST OF EQUITY</t>
        </is>
      </c>
      <c r="B28" s="14">
        <f>B22+SUM(B23:B27)</f>
        <v/>
      </c>
      <c r="F28" s="2" t="inlineStr">
        <is>
          <t>= 10.25%. Cost of EQUITY, not WACC — debt cost already inside AFFO. Built in NZD off NZ rf, matching NZD flows and quote</t>
        </is>
      </c>
    </row>
    <row r="30">
      <c r="A30" s="3" t="inlineStr">
        <is>
          <t>SCENARIO PARAMETERS</t>
        </is>
      </c>
      <c r="C30" s="3" t="inlineStr">
        <is>
          <t>Bear</t>
        </is>
      </c>
      <c r="D30" s="3" t="inlineStr">
        <is>
          <t>Base</t>
        </is>
      </c>
      <c r="E30" s="3" t="inlineStr">
        <is>
          <t>Bull</t>
        </is>
      </c>
      <c r="F30" s="3" t="inlineStr">
        <is>
          <t>Note</t>
        </is>
      </c>
    </row>
    <row r="31">
      <c r="A31" s="4" t="inlineStr">
        <is>
          <t>Cost of equity</t>
        </is>
      </c>
      <c r="C31" s="12" t="n">
        <v>0.115</v>
      </c>
      <c r="D31" s="13">
        <f>B28</f>
        <v/>
      </c>
      <c r="E31" s="12" t="n">
        <v>0.095</v>
      </c>
      <c r="F31" s="2" t="inlineStr">
        <is>
          <t>Base = CoE build above; bull 9.5% (easing resumes); bear 11.5% (renewed hikes + Wellington stress)</t>
        </is>
      </c>
    </row>
    <row r="32">
      <c r="A32" s="4" t="inlineStr">
        <is>
          <t>FY2026 AFFO anchor (NZD cents/security)</t>
        </is>
      </c>
      <c r="C32" s="10" t="n">
        <v>6.1</v>
      </c>
      <c r="D32" s="10" t="n">
        <v>6.4</v>
      </c>
      <c r="E32" s="10" t="n">
        <v>6.6</v>
      </c>
      <c r="F32" s="2" t="inlineStr">
        <is>
          <t>Base 6.40 = H1 actual 2.76 + guided H2 skew at ~88% AFFO/FFO conversion vs 7.30-7.50 FFO guidance</t>
        </is>
      </c>
    </row>
    <row r="33">
      <c r="A33" s="4" t="inlineStr">
        <is>
          <t>AFFO growth FY2027</t>
        </is>
      </c>
      <c r="C33" s="12" t="n">
        <v>-0.03</v>
      </c>
      <c r="D33" s="12" t="n">
        <v>0.015</v>
      </c>
      <c r="E33" s="12" t="n">
        <v>0.03</v>
      </c>
      <c r="F33" s="2" t="inlineStr">
        <is>
          <t>J-curve: $325m raise deploys through FY2028-29; base fades to +2.0% terminal</t>
        </is>
      </c>
    </row>
    <row r="34">
      <c r="A34" s="4" t="inlineStr">
        <is>
          <t>AFFO growth FY2028</t>
        </is>
      </c>
      <c r="C34" s="12" t="n">
        <v>-0.02</v>
      </c>
      <c r="D34" s="12" t="n">
        <v>0.03</v>
      </c>
      <c r="E34" s="12" t="n">
        <v>0.045</v>
      </c>
    </row>
    <row r="35">
      <c r="A35" s="4" t="inlineStr">
        <is>
          <t>AFFO growth FY2029</t>
        </is>
      </c>
      <c r="C35" s="12" t="n">
        <v>0</v>
      </c>
      <c r="D35" s="12" t="n">
        <v>0.03</v>
      </c>
      <c r="E35" s="12" t="n">
        <v>0.045</v>
      </c>
    </row>
    <row r="36">
      <c r="A36" s="4" t="inlineStr">
        <is>
          <t>AFFO growth FY2030</t>
        </is>
      </c>
      <c r="C36" s="12" t="n">
        <v>0.005</v>
      </c>
      <c r="D36" s="12" t="n">
        <v>0.025</v>
      </c>
      <c r="E36" s="12" t="n">
        <v>0.04</v>
      </c>
    </row>
    <row r="37">
      <c r="A37" s="4" t="inlineStr">
        <is>
          <t>AFFO growth FY2031</t>
        </is>
      </c>
      <c r="C37" s="12" t="n">
        <v>0.005</v>
      </c>
      <c r="D37" s="12" t="n">
        <v>0.02</v>
      </c>
      <c r="E37" s="12" t="n">
        <v>0.035</v>
      </c>
    </row>
    <row r="38">
      <c r="A38" s="4" t="inlineStr">
        <is>
          <t>Exit AFFO yield (terminal)</t>
        </is>
      </c>
      <c r="C38" s="12" t="n">
        <v>0.075</v>
      </c>
      <c r="D38" s="12" t="n">
        <v>0.065</v>
      </c>
      <c r="E38" s="12" t="n">
        <v>0.0575</v>
      </c>
      <c r="F38" s="2" t="inlineStr">
        <is>
          <t>Base 6.5% = 15.4x — below the entire 18.1-24.7x traded FY2021-25 range (conservative)</t>
        </is>
      </c>
    </row>
    <row r="39">
      <c r="A39" s="4" t="inlineStr">
        <is>
          <t>NTA growth (%/yr)</t>
        </is>
      </c>
      <c r="C39" s="12" t="n">
        <v>-0.025</v>
      </c>
      <c r="D39" s="12" t="n">
        <v>0.01</v>
      </c>
      <c r="E39" s="12" t="n">
        <v>0.025</v>
      </c>
      <c r="F39" s="2" t="inlineStr">
        <is>
          <t>Base +1.0%/yr: broadly stable cap rates, PwC JV at book, modest development margin</t>
        </is>
      </c>
    </row>
    <row r="40">
      <c r="A40" s="4" t="inlineStr">
        <is>
          <t>Exit P/NTA multiple</t>
        </is>
      </c>
      <c r="C40" s="6" t="n">
        <v>0.75</v>
      </c>
      <c r="D40" s="6" t="n">
        <v>0.9</v>
      </c>
      <c r="E40" s="6" t="n">
        <v>1.05</v>
      </c>
      <c r="F40" s="2" t="inlineStr">
        <is>
          <t>10yr FY-end average ~1.02x (range 0.87-1.21x); base 0.90x = partial, not full, closure of the current 0.87x discount</t>
        </is>
      </c>
    </row>
    <row r="41">
      <c r="A41" s="4" t="inlineStr">
        <is>
          <t>DPS FY2027 (NZD cents/security)</t>
        </is>
      </c>
      <c r="C41" s="10" t="n">
        <v>6.75</v>
      </c>
      <c r="D41" s="10" t="n">
        <v>6.75</v>
      </c>
      <c r="E41" s="10" t="n">
        <v>6.75</v>
      </c>
      <c r="F41" s="2" t="inlineStr">
        <is>
          <t>Base holds 6.75 flat (uncovered vs AFFO until ~FY2029); bear cuts to 5.5 from FY2028</t>
        </is>
      </c>
    </row>
    <row r="42">
      <c r="A42" s="4" t="inlineStr">
        <is>
          <t>DPS FY2028 (NZD cents/security)</t>
        </is>
      </c>
      <c r="C42" s="10" t="n">
        <v>5.5</v>
      </c>
      <c r="D42" s="10" t="n">
        <v>6.75</v>
      </c>
      <c r="E42" s="10" t="n">
        <v>6.85</v>
      </c>
    </row>
    <row r="43">
      <c r="A43" s="4" t="inlineStr">
        <is>
          <t>DPS FY2029 (NZD cents/security)</t>
        </is>
      </c>
      <c r="C43" s="10" t="n">
        <v>5.5</v>
      </c>
      <c r="D43" s="10" t="n">
        <v>6.75</v>
      </c>
      <c r="E43" s="10" t="n">
        <v>7</v>
      </c>
    </row>
    <row r="44">
      <c r="A44" s="4" t="inlineStr">
        <is>
          <t>DPS FY2030 (NZD cents/security)</t>
        </is>
      </c>
      <c r="C44" s="10" t="n">
        <v>5.5</v>
      </c>
      <c r="D44" s="10" t="n">
        <v>6.75</v>
      </c>
      <c r="E44" s="10" t="n">
        <v>7.2</v>
      </c>
    </row>
    <row r="45">
      <c r="A45" s="4" t="inlineStr">
        <is>
          <t>DPS FY2031 (NZD cents/security)</t>
        </is>
      </c>
      <c r="C45" s="10" t="n">
        <v>5.5</v>
      </c>
      <c r="D45" s="10" t="n">
        <v>6.75</v>
      </c>
      <c r="E45" s="10" t="n">
        <v>7.4</v>
      </c>
    </row>
    <row r="46">
      <c r="A46" s="4" t="inlineStr">
        <is>
          <t>Probability weight</t>
        </is>
      </c>
      <c r="C46" s="12" t="n">
        <v>0.25</v>
      </c>
      <c r="D46" s="12" t="n">
        <v>0.5</v>
      </c>
      <c r="E46" s="12" t="n">
        <v>0.25</v>
      </c>
      <c r="F46" s="2" t="inlineStr">
        <is>
          <t>50/25/25 — bear at a full 25%: FY2026 result in 3 days vs ambitious H2 skew, RBNZ hiking, dividend uncovered, Wellington headwind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0" customWidth="1" min="8" max="8"/>
  </cols>
  <sheetData>
    <row r="1">
      <c r="B1" s="1" t="inlineStr">
        <is>
          <t>AFFO CAPITALIZATION LEG — company-disclosed AFFO per stapled security, capitalized at COST OF EQUITY</t>
        </is>
      </c>
    </row>
    <row r="2">
      <c r="B2" s="2" t="inlineStr">
        <is>
          <t>AFFO is POST-INTEREST (equity-level). Terminal value = year-5 AFFO / exit AFFO yield (capped multiple, no Gordon growth). NET DEBT IS NOT DEDUCTED anywhere on this sheet.</t>
        </is>
      </c>
    </row>
    <row r="4">
      <c r="B4" s="3" t="inlineStr">
        <is>
          <t>BASE SCENARIO</t>
        </is>
      </c>
      <c r="C4" s="15" t="inlineStr">
        <is>
          <t>CoE = 10.25%</t>
        </is>
      </c>
    </row>
    <row r="5">
      <c r="B5" s="4" t="inlineStr">
        <is>
          <t>Fiscal year</t>
        </is>
      </c>
      <c r="C5" s="16" t="inlineStr">
        <is>
          <t>FY2027</t>
        </is>
      </c>
      <c r="D5" s="16" t="inlineStr">
        <is>
          <t>FY2028</t>
        </is>
      </c>
      <c r="E5" s="16" t="inlineStr">
        <is>
          <t>FY2029</t>
        </is>
      </c>
      <c r="F5" s="16" t="inlineStr">
        <is>
          <t>FY2030</t>
        </is>
      </c>
      <c r="G5" s="16" t="inlineStr">
        <is>
          <t>FY2031</t>
        </is>
      </c>
    </row>
    <row r="6">
      <c r="B6" s="4" t="inlineStr">
        <is>
          <t>AFFO per security (NZD cents)</t>
        </is>
      </c>
      <c r="C6" s="17">
        <f>Assumptions!$D$32*(1+Assumptions!$D$33)</f>
        <v/>
      </c>
      <c r="D6" s="17">
        <f>C6*(1+Assumptions!$D$34)</f>
        <v/>
      </c>
      <c r="E6" s="17">
        <f>D6*(1+Assumptions!$D$35)</f>
        <v/>
      </c>
      <c r="F6" s="17">
        <f>E6*(1+Assumptions!$D$36)</f>
        <v/>
      </c>
      <c r="G6" s="17">
        <f>F6*(1+Assumptions!$D$37)</f>
        <v/>
      </c>
    </row>
    <row r="7">
      <c r="B7" s="4" t="inlineStr">
        <is>
          <t>AFFO total (NZ$ millions)</t>
        </is>
      </c>
      <c r="C7" s="18">
        <f>C6*Assumptions!$B$9/100</f>
        <v/>
      </c>
      <c r="D7" s="18">
        <f>D6*Assumptions!$B$9/100</f>
        <v/>
      </c>
      <c r="E7" s="18">
        <f>E6*Assumptions!$B$9/100</f>
        <v/>
      </c>
      <c r="F7" s="18">
        <f>F6*Assumptions!$B$9/100</f>
        <v/>
      </c>
      <c r="G7" s="18">
        <f>G6*Assumptions!$B$9/100</f>
        <v/>
      </c>
    </row>
    <row r="8">
      <c r="B8" s="4" t="inlineStr">
        <is>
          <t>Discount factor @ cost of equity</t>
        </is>
      </c>
      <c r="C8" s="19">
        <f>1/(1+Assumptions!$D$31)^1</f>
        <v/>
      </c>
      <c r="D8" s="19">
        <f>1/(1+Assumptions!$D$31)^2</f>
        <v/>
      </c>
      <c r="E8" s="19">
        <f>1/(1+Assumptions!$D$31)^3</f>
        <v/>
      </c>
      <c r="F8" s="19">
        <f>1/(1+Assumptions!$D$31)^4</f>
        <v/>
      </c>
      <c r="G8" s="19">
        <f>1/(1+Assumptions!$D$31)^5</f>
        <v/>
      </c>
    </row>
    <row r="9">
      <c r="B9" s="4" t="inlineStr">
        <is>
          <t>PV of AFFO (NZD cents)</t>
        </is>
      </c>
      <c r="C9" s="17">
        <f>C6*C8</f>
        <v/>
      </c>
      <c r="D9" s="17">
        <f>D6*D8</f>
        <v/>
      </c>
      <c r="E9" s="17">
        <f>E6*E8</f>
        <v/>
      </c>
      <c r="F9" s="17">
        <f>F6*F8</f>
        <v/>
      </c>
      <c r="G9" s="17">
        <f>G6*G8</f>
        <v/>
      </c>
    </row>
    <row r="10">
      <c r="B10" s="4" t="inlineStr">
        <is>
          <t>Sum PV AFFO FY2027-31 (NZD cents)</t>
        </is>
      </c>
      <c r="C10" s="17">
        <f>SUM(C9:G9)</f>
        <v/>
      </c>
    </row>
    <row r="11">
      <c r="B11" s="4" t="inlineStr">
        <is>
          <t>Terminal AFFO = year-5 AFFO (NZD cents)</t>
        </is>
      </c>
      <c r="C11" s="17">
        <f>G6</f>
        <v/>
      </c>
    </row>
    <row r="12">
      <c r="B12" s="4" t="inlineStr">
        <is>
          <t>Exit AFFO yield</t>
        </is>
      </c>
      <c r="C12" s="13">
        <f>Assumptions!$D$38</f>
        <v/>
      </c>
    </row>
    <row r="13">
      <c r="B13" s="4" t="inlineStr">
        <is>
          <t>Implied exit P/AFFO multiple (x)</t>
        </is>
      </c>
      <c r="C13" s="20">
        <f>1/C12</f>
        <v/>
      </c>
    </row>
    <row r="14">
      <c r="B14" s="4" t="inlineStr">
        <is>
          <t>Terminal value (NZD cents)</t>
        </is>
      </c>
      <c r="C14" s="20">
        <f>C11/C12</f>
        <v/>
      </c>
    </row>
    <row r="15">
      <c r="B15" s="4" t="inlineStr">
        <is>
          <t>PV of terminal value (NZD cents)</t>
        </is>
      </c>
      <c r="C15" s="17">
        <f>C14*G8</f>
        <v/>
      </c>
    </row>
    <row r="16">
      <c r="B16" s="4" t="inlineStr">
        <is>
          <t>Intrinsic value (NZD cents)</t>
        </is>
      </c>
      <c r="C16" s="17">
        <f>C10+C15</f>
        <v/>
      </c>
    </row>
    <row r="17">
      <c r="B17" s="4" t="inlineStr">
        <is>
          <t>INTRINSIC VALUE (NZD per security)</t>
        </is>
      </c>
      <c r="C17" s="21">
        <f>C16/100</f>
        <v/>
      </c>
    </row>
    <row r="18">
      <c r="B18" s="4" t="inlineStr">
        <is>
          <t>Terminal % of leg value</t>
        </is>
      </c>
      <c r="C18" s="22">
        <f>C15/C16</f>
        <v/>
      </c>
    </row>
    <row r="19">
      <c r="B19" s="23" t="inlineStr">
        <is>
          <t>Memo: net debt NZ$1,503.1m NOT deducted — AFFO is post-interest</t>
        </is>
      </c>
      <c r="C19" s="9">
        <f>Assumptions!$B$11</f>
        <v/>
      </c>
    </row>
    <row r="22">
      <c r="B22" s="3" t="inlineStr">
        <is>
          <t>BULL SCENARIO</t>
        </is>
      </c>
      <c r="C22" s="15" t="inlineStr">
        <is>
          <t>CoE = 9.50%</t>
        </is>
      </c>
    </row>
    <row r="23">
      <c r="B23" s="4" t="inlineStr">
        <is>
          <t>Fiscal year</t>
        </is>
      </c>
      <c r="C23" s="16" t="inlineStr">
        <is>
          <t>FY2027</t>
        </is>
      </c>
      <c r="D23" s="16" t="inlineStr">
        <is>
          <t>FY2028</t>
        </is>
      </c>
      <c r="E23" s="16" t="inlineStr">
        <is>
          <t>FY2029</t>
        </is>
      </c>
      <c r="F23" s="16" t="inlineStr">
        <is>
          <t>FY2030</t>
        </is>
      </c>
      <c r="G23" s="16" t="inlineStr">
        <is>
          <t>FY2031</t>
        </is>
      </c>
    </row>
    <row r="24">
      <c r="B24" s="4" t="inlineStr">
        <is>
          <t>AFFO per security (NZD cents)</t>
        </is>
      </c>
      <c r="C24" s="17">
        <f>Assumptions!$E$32*(1+Assumptions!$E$33)</f>
        <v/>
      </c>
      <c r="D24" s="17">
        <f>C24*(1+Assumptions!$E$34)</f>
        <v/>
      </c>
      <c r="E24" s="17">
        <f>D24*(1+Assumptions!$E$35)</f>
        <v/>
      </c>
      <c r="F24" s="17">
        <f>E24*(1+Assumptions!$E$36)</f>
        <v/>
      </c>
      <c r="G24" s="17">
        <f>F24*(1+Assumptions!$E$37)</f>
        <v/>
      </c>
    </row>
    <row r="25">
      <c r="B25" s="4" t="inlineStr">
        <is>
          <t>AFFO total (NZ$ millions)</t>
        </is>
      </c>
      <c r="C25" s="18">
        <f>C24*Assumptions!$B$9/100</f>
        <v/>
      </c>
      <c r="D25" s="18">
        <f>D24*Assumptions!$B$9/100</f>
        <v/>
      </c>
      <c r="E25" s="18">
        <f>E24*Assumptions!$B$9/100</f>
        <v/>
      </c>
      <c r="F25" s="18">
        <f>F24*Assumptions!$B$9/100</f>
        <v/>
      </c>
      <c r="G25" s="18">
        <f>G24*Assumptions!$B$9/100</f>
        <v/>
      </c>
    </row>
    <row r="26">
      <c r="B26" s="4" t="inlineStr">
        <is>
          <t>Discount factor @ cost of equity</t>
        </is>
      </c>
      <c r="C26" s="19">
        <f>1/(1+Assumptions!$E$31)^1</f>
        <v/>
      </c>
      <c r="D26" s="19">
        <f>1/(1+Assumptions!$E$31)^2</f>
        <v/>
      </c>
      <c r="E26" s="19">
        <f>1/(1+Assumptions!$E$31)^3</f>
        <v/>
      </c>
      <c r="F26" s="19">
        <f>1/(1+Assumptions!$E$31)^4</f>
        <v/>
      </c>
      <c r="G26" s="19">
        <f>1/(1+Assumptions!$E$31)^5</f>
        <v/>
      </c>
    </row>
    <row r="27">
      <c r="B27" s="4" t="inlineStr">
        <is>
          <t>PV of AFFO (NZD cents)</t>
        </is>
      </c>
      <c r="C27" s="17">
        <f>C24*C26</f>
        <v/>
      </c>
      <c r="D27" s="17">
        <f>D24*D26</f>
        <v/>
      </c>
      <c r="E27" s="17">
        <f>E24*E26</f>
        <v/>
      </c>
      <c r="F27" s="17">
        <f>F24*F26</f>
        <v/>
      </c>
      <c r="G27" s="17">
        <f>G24*G26</f>
        <v/>
      </c>
    </row>
    <row r="28">
      <c r="B28" s="4" t="inlineStr">
        <is>
          <t>Sum PV AFFO FY2027-31 (NZD cents)</t>
        </is>
      </c>
      <c r="C28" s="17">
        <f>SUM(C27:G27)</f>
        <v/>
      </c>
    </row>
    <row r="29">
      <c r="B29" s="4" t="inlineStr">
        <is>
          <t>Terminal AFFO = year-5 AFFO (NZD cents)</t>
        </is>
      </c>
      <c r="C29" s="17">
        <f>G24</f>
        <v/>
      </c>
    </row>
    <row r="30">
      <c r="B30" s="4" t="inlineStr">
        <is>
          <t>Exit AFFO yield</t>
        </is>
      </c>
      <c r="C30" s="13">
        <f>Assumptions!$E$38</f>
        <v/>
      </c>
    </row>
    <row r="31">
      <c r="B31" s="4" t="inlineStr">
        <is>
          <t>Implied exit P/AFFO multiple (x)</t>
        </is>
      </c>
      <c r="C31" s="20">
        <f>1/C30</f>
        <v/>
      </c>
    </row>
    <row r="32">
      <c r="B32" s="4" t="inlineStr">
        <is>
          <t>Terminal value (NZD cents)</t>
        </is>
      </c>
      <c r="C32" s="20">
        <f>C29/C30</f>
        <v/>
      </c>
    </row>
    <row r="33">
      <c r="B33" s="4" t="inlineStr">
        <is>
          <t>PV of terminal value (NZD cents)</t>
        </is>
      </c>
      <c r="C33" s="17">
        <f>C32*G26</f>
        <v/>
      </c>
    </row>
    <row r="34">
      <c r="B34" s="4" t="inlineStr">
        <is>
          <t>Intrinsic value (NZD cents)</t>
        </is>
      </c>
      <c r="C34" s="17">
        <f>C28+C33</f>
        <v/>
      </c>
    </row>
    <row r="35">
      <c r="B35" s="4" t="inlineStr">
        <is>
          <t>INTRINSIC VALUE (NZD per security)</t>
        </is>
      </c>
      <c r="C35" s="21">
        <f>C34/100</f>
        <v/>
      </c>
    </row>
    <row r="36">
      <c r="B36" s="4" t="inlineStr">
        <is>
          <t>Terminal % of leg value</t>
        </is>
      </c>
      <c r="C36" s="22">
        <f>C33/C34</f>
        <v/>
      </c>
    </row>
    <row r="37">
      <c r="B37" s="23" t="inlineStr">
        <is>
          <t>Memo: net debt NZ$1,503.1m NOT deducted — AFFO is post-interest</t>
        </is>
      </c>
      <c r="C37" s="9">
        <f>Assumptions!$B$11</f>
        <v/>
      </c>
    </row>
    <row r="40">
      <c r="B40" s="3" t="inlineStr">
        <is>
          <t>BEAR SCENARIO</t>
        </is>
      </c>
      <c r="C40" s="15" t="inlineStr">
        <is>
          <t>CoE = 11.50%</t>
        </is>
      </c>
    </row>
    <row r="41">
      <c r="B41" s="4" t="inlineStr">
        <is>
          <t>Fiscal year</t>
        </is>
      </c>
      <c r="C41" s="16" t="inlineStr">
        <is>
          <t>FY2027</t>
        </is>
      </c>
      <c r="D41" s="16" t="inlineStr">
        <is>
          <t>FY2028</t>
        </is>
      </c>
      <c r="E41" s="16" t="inlineStr">
        <is>
          <t>FY2029</t>
        </is>
      </c>
      <c r="F41" s="16" t="inlineStr">
        <is>
          <t>FY2030</t>
        </is>
      </c>
      <c r="G41" s="16" t="inlineStr">
        <is>
          <t>FY2031</t>
        </is>
      </c>
    </row>
    <row r="42">
      <c r="B42" s="4" t="inlineStr">
        <is>
          <t>AFFO per security (NZD cents)</t>
        </is>
      </c>
      <c r="C42" s="17">
        <f>Assumptions!$C$32*(1+Assumptions!$C$33)</f>
        <v/>
      </c>
      <c r="D42" s="17">
        <f>C42*(1+Assumptions!$C$34)</f>
        <v/>
      </c>
      <c r="E42" s="17">
        <f>D42*(1+Assumptions!$C$35)</f>
        <v/>
      </c>
      <c r="F42" s="17">
        <f>E42*(1+Assumptions!$C$36)</f>
        <v/>
      </c>
      <c r="G42" s="17">
        <f>F42*(1+Assumptions!$C$37)</f>
        <v/>
      </c>
    </row>
    <row r="43">
      <c r="B43" s="4" t="inlineStr">
        <is>
          <t>AFFO total (NZ$ millions)</t>
        </is>
      </c>
      <c r="C43" s="18">
        <f>C42*Assumptions!$B$9/100</f>
        <v/>
      </c>
      <c r="D43" s="18">
        <f>D42*Assumptions!$B$9/100</f>
        <v/>
      </c>
      <c r="E43" s="18">
        <f>E42*Assumptions!$B$9/100</f>
        <v/>
      </c>
      <c r="F43" s="18">
        <f>F42*Assumptions!$B$9/100</f>
        <v/>
      </c>
      <c r="G43" s="18">
        <f>G42*Assumptions!$B$9/100</f>
        <v/>
      </c>
    </row>
    <row r="44">
      <c r="B44" s="4" t="inlineStr">
        <is>
          <t>Discount factor @ cost of equity</t>
        </is>
      </c>
      <c r="C44" s="19">
        <f>1/(1+Assumptions!$C$31)^1</f>
        <v/>
      </c>
      <c r="D44" s="19">
        <f>1/(1+Assumptions!$C$31)^2</f>
        <v/>
      </c>
      <c r="E44" s="19">
        <f>1/(1+Assumptions!$C$31)^3</f>
        <v/>
      </c>
      <c r="F44" s="19">
        <f>1/(1+Assumptions!$C$31)^4</f>
        <v/>
      </c>
      <c r="G44" s="19">
        <f>1/(1+Assumptions!$C$31)^5</f>
        <v/>
      </c>
    </row>
    <row r="45">
      <c r="B45" s="4" t="inlineStr">
        <is>
          <t>PV of AFFO (NZD cents)</t>
        </is>
      </c>
      <c r="C45" s="17">
        <f>C42*C44</f>
        <v/>
      </c>
      <c r="D45" s="17">
        <f>D42*D44</f>
        <v/>
      </c>
      <c r="E45" s="17">
        <f>E42*E44</f>
        <v/>
      </c>
      <c r="F45" s="17">
        <f>F42*F44</f>
        <v/>
      </c>
      <c r="G45" s="17">
        <f>G42*G44</f>
        <v/>
      </c>
    </row>
    <row r="46">
      <c r="B46" s="4" t="inlineStr">
        <is>
          <t>Sum PV AFFO FY2027-31 (NZD cents)</t>
        </is>
      </c>
      <c r="C46" s="17">
        <f>SUM(C45:G45)</f>
        <v/>
      </c>
    </row>
    <row r="47">
      <c r="B47" s="4" t="inlineStr">
        <is>
          <t>Terminal AFFO = year-5 AFFO (NZD cents)</t>
        </is>
      </c>
      <c r="C47" s="17">
        <f>G42</f>
        <v/>
      </c>
    </row>
    <row r="48">
      <c r="B48" s="4" t="inlineStr">
        <is>
          <t>Exit AFFO yield</t>
        </is>
      </c>
      <c r="C48" s="13">
        <f>Assumptions!$C$38</f>
        <v/>
      </c>
    </row>
    <row r="49">
      <c r="B49" s="4" t="inlineStr">
        <is>
          <t>Implied exit P/AFFO multiple (x)</t>
        </is>
      </c>
      <c r="C49" s="20">
        <f>1/C48</f>
        <v/>
      </c>
    </row>
    <row r="50">
      <c r="B50" s="4" t="inlineStr">
        <is>
          <t>Terminal value (NZD cents)</t>
        </is>
      </c>
      <c r="C50" s="20">
        <f>C47/C48</f>
        <v/>
      </c>
    </row>
    <row r="51">
      <c r="B51" s="4" t="inlineStr">
        <is>
          <t>PV of terminal value (NZD cents)</t>
        </is>
      </c>
      <c r="C51" s="17">
        <f>C50*G44</f>
        <v/>
      </c>
    </row>
    <row r="52">
      <c r="B52" s="4" t="inlineStr">
        <is>
          <t>Intrinsic value (NZD cents)</t>
        </is>
      </c>
      <c r="C52" s="17">
        <f>C46+C51</f>
        <v/>
      </c>
    </row>
    <row r="53">
      <c r="B53" s="4" t="inlineStr">
        <is>
          <t>INTRINSIC VALUE (NZD per security)</t>
        </is>
      </c>
      <c r="C53" s="21">
        <f>C52/100</f>
        <v/>
      </c>
    </row>
    <row r="54">
      <c r="B54" s="4" t="inlineStr">
        <is>
          <t>Terminal % of leg value</t>
        </is>
      </c>
      <c r="C54" s="22">
        <f>C51/C52</f>
        <v/>
      </c>
    </row>
    <row r="55">
      <c r="B55" s="23" t="inlineStr">
        <is>
          <t>Memo: net debt NZ$1,503.1m NOT deducted — AFFO is post-interest</t>
        </is>
      </c>
      <c r="C55" s="9">
        <f>Assumptions!$B$11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6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0" customWidth="1" min="8" max="8"/>
  </cols>
  <sheetData>
    <row r="1">
      <c r="B1" s="1" t="inlineStr">
        <is>
          <t>NTA LEG — PV of interim cash dividends + PV of year-5 NTA x justified exit P/NTA</t>
        </is>
      </c>
    </row>
    <row r="2">
      <c r="B2" s="2" t="inlineStr">
        <is>
          <t>NTA is post-debt equity book value — no net-debt deduction. Discounted at the same scenario cost of equity as the AFFO leg.</t>
        </is>
      </c>
    </row>
    <row r="4">
      <c r="B4" s="3" t="inlineStr">
        <is>
          <t>BASE SCENARIO</t>
        </is>
      </c>
      <c r="C4" s="15" t="inlineStr">
        <is>
          <t>CoE = 10.25%</t>
        </is>
      </c>
    </row>
    <row r="5">
      <c r="B5" s="4" t="inlineStr">
        <is>
          <t>Fiscal year</t>
        </is>
      </c>
      <c r="C5" s="16" t="inlineStr">
        <is>
          <t>FY2027</t>
        </is>
      </c>
      <c r="D5" s="16" t="inlineStr">
        <is>
          <t>FY2028</t>
        </is>
      </c>
      <c r="E5" s="16" t="inlineStr">
        <is>
          <t>FY2029</t>
        </is>
      </c>
      <c r="F5" s="16" t="inlineStr">
        <is>
          <t>FY2030</t>
        </is>
      </c>
      <c r="G5" s="16" t="inlineStr">
        <is>
          <t>FY2031</t>
        </is>
      </c>
    </row>
    <row r="6">
      <c r="B6" s="4" t="inlineStr">
        <is>
          <t>DPS (NZD cents/security)</t>
        </is>
      </c>
      <c r="C6" s="17">
        <f>Assumptions!$D$41</f>
        <v/>
      </c>
      <c r="D6" s="17">
        <f>Assumptions!$D$42</f>
        <v/>
      </c>
      <c r="E6" s="17">
        <f>Assumptions!$D$43</f>
        <v/>
      </c>
      <c r="F6" s="17">
        <f>Assumptions!$D$44</f>
        <v/>
      </c>
      <c r="G6" s="17">
        <f>Assumptions!$D$45</f>
        <v/>
      </c>
    </row>
    <row r="7">
      <c r="B7" s="4" t="inlineStr">
        <is>
          <t>Discount factor @ cost of equity</t>
        </is>
      </c>
      <c r="C7" s="19">
        <f>1/(1+Assumptions!$D$31)^1</f>
        <v/>
      </c>
      <c r="D7" s="19">
        <f>1/(1+Assumptions!$D$31)^2</f>
        <v/>
      </c>
      <c r="E7" s="19">
        <f>1/(1+Assumptions!$D$31)^3</f>
        <v/>
      </c>
      <c r="F7" s="19">
        <f>1/(1+Assumptions!$D$31)^4</f>
        <v/>
      </c>
      <c r="G7" s="19">
        <f>1/(1+Assumptions!$D$31)^5</f>
        <v/>
      </c>
    </row>
    <row r="8">
      <c r="B8" s="4" t="inlineStr">
        <is>
          <t>PV of DPS (NZD cents)</t>
        </is>
      </c>
      <c r="C8" s="17">
        <f>C6*C7</f>
        <v/>
      </c>
      <c r="D8" s="17">
        <f>D6*D7</f>
        <v/>
      </c>
      <c r="E8" s="17">
        <f>E6*E7</f>
        <v/>
      </c>
      <c r="F8" s="17">
        <f>F6*F7</f>
        <v/>
      </c>
      <c r="G8" s="17">
        <f>G6*G7</f>
        <v/>
      </c>
    </row>
    <row r="9">
      <c r="B9" s="4" t="inlineStr">
        <is>
          <t>NTA per security (NZD)</t>
        </is>
      </c>
      <c r="C9" s="19">
        <f>Assumptions!$B$10*(1+Assumptions!$D$39)</f>
        <v/>
      </c>
      <c r="D9" s="19">
        <f>C9*(1+Assumptions!$D$39)</f>
        <v/>
      </c>
      <c r="E9" s="19">
        <f>D9*(1+Assumptions!$D$39)</f>
        <v/>
      </c>
      <c r="F9" s="19">
        <f>E9*(1+Assumptions!$D$39)</f>
        <v/>
      </c>
      <c r="G9" s="19">
        <f>F9*(1+Assumptions!$D$39)</f>
        <v/>
      </c>
    </row>
    <row r="10">
      <c r="B10" s="4" t="inlineStr">
        <is>
          <t>Sum PV dividends FY2027-31 (NZD cents)</t>
        </is>
      </c>
      <c r="C10" s="17">
        <f>SUM(C8:G8)</f>
        <v/>
      </c>
    </row>
    <row r="11">
      <c r="B11" s="4" t="inlineStr">
        <is>
          <t>Year-5 NTA per security (NZD)</t>
        </is>
      </c>
      <c r="C11" s="19">
        <f>G9</f>
        <v/>
      </c>
    </row>
    <row r="12">
      <c r="B12" s="4" t="inlineStr">
        <is>
          <t>Exit P/NTA multiple (x)</t>
        </is>
      </c>
      <c r="C12" s="20">
        <f>Assumptions!$D$40</f>
        <v/>
      </c>
    </row>
    <row r="13">
      <c r="B13" s="4" t="inlineStr">
        <is>
          <t>Year-5 exit value (NZD/security)</t>
        </is>
      </c>
      <c r="C13" s="19">
        <f>C11*C12</f>
        <v/>
      </c>
    </row>
    <row r="14">
      <c r="B14" s="4" t="inlineStr">
        <is>
          <t>PV of exit value (NZD/security)</t>
        </is>
      </c>
      <c r="C14" s="19">
        <f>C13*G7</f>
        <v/>
      </c>
    </row>
    <row r="15">
      <c r="B15" s="4" t="inlineStr">
        <is>
          <t>INTRINSIC VALUE (NZD per security)</t>
        </is>
      </c>
      <c r="C15" s="21">
        <f>C10/100+C14</f>
        <v/>
      </c>
    </row>
    <row r="16">
      <c r="B16" s="2" t="inlineStr">
        <is>
          <t>No net-debt deduction — NTA is already post-debt equity book value.</t>
        </is>
      </c>
    </row>
    <row r="19">
      <c r="B19" s="3" t="inlineStr">
        <is>
          <t>BULL SCENARIO</t>
        </is>
      </c>
      <c r="C19" s="15" t="inlineStr">
        <is>
          <t>CoE = 9.50%</t>
        </is>
      </c>
    </row>
    <row r="20">
      <c r="B20" s="4" t="inlineStr">
        <is>
          <t>Fiscal year</t>
        </is>
      </c>
      <c r="C20" s="16" t="inlineStr">
        <is>
          <t>FY2027</t>
        </is>
      </c>
      <c r="D20" s="16" t="inlineStr">
        <is>
          <t>FY2028</t>
        </is>
      </c>
      <c r="E20" s="16" t="inlineStr">
        <is>
          <t>FY2029</t>
        </is>
      </c>
      <c r="F20" s="16" t="inlineStr">
        <is>
          <t>FY2030</t>
        </is>
      </c>
      <c r="G20" s="16" t="inlineStr">
        <is>
          <t>FY2031</t>
        </is>
      </c>
    </row>
    <row r="21">
      <c r="B21" s="4" t="inlineStr">
        <is>
          <t>DPS (NZD cents/security)</t>
        </is>
      </c>
      <c r="C21" s="17">
        <f>Assumptions!$E$41</f>
        <v/>
      </c>
      <c r="D21" s="17">
        <f>Assumptions!$E$42</f>
        <v/>
      </c>
      <c r="E21" s="17">
        <f>Assumptions!$E$43</f>
        <v/>
      </c>
      <c r="F21" s="17">
        <f>Assumptions!$E$44</f>
        <v/>
      </c>
      <c r="G21" s="17">
        <f>Assumptions!$E$45</f>
        <v/>
      </c>
    </row>
    <row r="22">
      <c r="B22" s="4" t="inlineStr">
        <is>
          <t>Discount factor @ cost of equity</t>
        </is>
      </c>
      <c r="C22" s="19">
        <f>1/(1+Assumptions!$E$31)^1</f>
        <v/>
      </c>
      <c r="D22" s="19">
        <f>1/(1+Assumptions!$E$31)^2</f>
        <v/>
      </c>
      <c r="E22" s="19">
        <f>1/(1+Assumptions!$E$31)^3</f>
        <v/>
      </c>
      <c r="F22" s="19">
        <f>1/(1+Assumptions!$E$31)^4</f>
        <v/>
      </c>
      <c r="G22" s="19">
        <f>1/(1+Assumptions!$E$31)^5</f>
        <v/>
      </c>
    </row>
    <row r="23">
      <c r="B23" s="4" t="inlineStr">
        <is>
          <t>PV of DPS (NZD cents)</t>
        </is>
      </c>
      <c r="C23" s="17">
        <f>C21*C22</f>
        <v/>
      </c>
      <c r="D23" s="17">
        <f>D21*D22</f>
        <v/>
      </c>
      <c r="E23" s="17">
        <f>E21*E22</f>
        <v/>
      </c>
      <c r="F23" s="17">
        <f>F21*F22</f>
        <v/>
      </c>
      <c r="G23" s="17">
        <f>G21*G22</f>
        <v/>
      </c>
    </row>
    <row r="24">
      <c r="B24" s="4" t="inlineStr">
        <is>
          <t>NTA per security (NZD)</t>
        </is>
      </c>
      <c r="C24" s="19">
        <f>Assumptions!$B$10*(1+Assumptions!$E$39)</f>
        <v/>
      </c>
      <c r="D24" s="19">
        <f>C24*(1+Assumptions!$E$39)</f>
        <v/>
      </c>
      <c r="E24" s="19">
        <f>D24*(1+Assumptions!$E$39)</f>
        <v/>
      </c>
      <c r="F24" s="19">
        <f>E24*(1+Assumptions!$E$39)</f>
        <v/>
      </c>
      <c r="G24" s="19">
        <f>F24*(1+Assumptions!$E$39)</f>
        <v/>
      </c>
    </row>
    <row r="25">
      <c r="B25" s="4" t="inlineStr">
        <is>
          <t>Sum PV dividends FY2027-31 (NZD cents)</t>
        </is>
      </c>
      <c r="C25" s="17">
        <f>SUM(C23:G23)</f>
        <v/>
      </c>
    </row>
    <row r="26">
      <c r="B26" s="4" t="inlineStr">
        <is>
          <t>Year-5 NTA per security (NZD)</t>
        </is>
      </c>
      <c r="C26" s="19">
        <f>G24</f>
        <v/>
      </c>
    </row>
    <row r="27">
      <c r="B27" s="4" t="inlineStr">
        <is>
          <t>Exit P/NTA multiple (x)</t>
        </is>
      </c>
      <c r="C27" s="20">
        <f>Assumptions!$E$40</f>
        <v/>
      </c>
    </row>
    <row r="28">
      <c r="B28" s="4" t="inlineStr">
        <is>
          <t>Year-5 exit value (NZD/security)</t>
        </is>
      </c>
      <c r="C28" s="19">
        <f>C26*C27</f>
        <v/>
      </c>
    </row>
    <row r="29">
      <c r="B29" s="4" t="inlineStr">
        <is>
          <t>PV of exit value (NZD/security)</t>
        </is>
      </c>
      <c r="C29" s="19">
        <f>C28*G22</f>
        <v/>
      </c>
    </row>
    <row r="30">
      <c r="B30" s="4" t="inlineStr">
        <is>
          <t>INTRINSIC VALUE (NZD per security)</t>
        </is>
      </c>
      <c r="C30" s="21">
        <f>C25/100+C29</f>
        <v/>
      </c>
    </row>
    <row r="31">
      <c r="B31" s="2" t="inlineStr">
        <is>
          <t>No net-debt deduction — NTA is already post-debt equity book value.</t>
        </is>
      </c>
    </row>
    <row r="34">
      <c r="B34" s="3" t="inlineStr">
        <is>
          <t>BEAR SCENARIO</t>
        </is>
      </c>
      <c r="C34" s="15" t="inlineStr">
        <is>
          <t>CoE = 11.50%</t>
        </is>
      </c>
    </row>
    <row r="35">
      <c r="B35" s="4" t="inlineStr">
        <is>
          <t>Fiscal year</t>
        </is>
      </c>
      <c r="C35" s="16" t="inlineStr">
        <is>
          <t>FY2027</t>
        </is>
      </c>
      <c r="D35" s="16" t="inlineStr">
        <is>
          <t>FY2028</t>
        </is>
      </c>
      <c r="E35" s="16" t="inlineStr">
        <is>
          <t>FY2029</t>
        </is>
      </c>
      <c r="F35" s="16" t="inlineStr">
        <is>
          <t>FY2030</t>
        </is>
      </c>
      <c r="G35" s="16" t="inlineStr">
        <is>
          <t>FY2031</t>
        </is>
      </c>
    </row>
    <row r="36">
      <c r="B36" s="4" t="inlineStr">
        <is>
          <t>DPS (NZD cents/security)</t>
        </is>
      </c>
      <c r="C36" s="17">
        <f>Assumptions!$C$41</f>
        <v/>
      </c>
      <c r="D36" s="17">
        <f>Assumptions!$C$42</f>
        <v/>
      </c>
      <c r="E36" s="17">
        <f>Assumptions!$C$43</f>
        <v/>
      </c>
      <c r="F36" s="17">
        <f>Assumptions!$C$44</f>
        <v/>
      </c>
      <c r="G36" s="17">
        <f>Assumptions!$C$45</f>
        <v/>
      </c>
    </row>
    <row r="37">
      <c r="B37" s="4" t="inlineStr">
        <is>
          <t>Discount factor @ cost of equity</t>
        </is>
      </c>
      <c r="C37" s="19">
        <f>1/(1+Assumptions!$C$31)^1</f>
        <v/>
      </c>
      <c r="D37" s="19">
        <f>1/(1+Assumptions!$C$31)^2</f>
        <v/>
      </c>
      <c r="E37" s="19">
        <f>1/(1+Assumptions!$C$31)^3</f>
        <v/>
      </c>
      <c r="F37" s="19">
        <f>1/(1+Assumptions!$C$31)^4</f>
        <v/>
      </c>
      <c r="G37" s="19">
        <f>1/(1+Assumptions!$C$31)^5</f>
        <v/>
      </c>
    </row>
    <row r="38">
      <c r="B38" s="4" t="inlineStr">
        <is>
          <t>PV of DPS (NZD cents)</t>
        </is>
      </c>
      <c r="C38" s="17">
        <f>C36*C37</f>
        <v/>
      </c>
      <c r="D38" s="17">
        <f>D36*D37</f>
        <v/>
      </c>
      <c r="E38" s="17">
        <f>E36*E37</f>
        <v/>
      </c>
      <c r="F38" s="17">
        <f>F36*F37</f>
        <v/>
      </c>
      <c r="G38" s="17">
        <f>G36*G37</f>
        <v/>
      </c>
    </row>
    <row r="39">
      <c r="B39" s="4" t="inlineStr">
        <is>
          <t>NTA per security (NZD)</t>
        </is>
      </c>
      <c r="C39" s="19">
        <f>Assumptions!$B$10*(1+Assumptions!$C$39)</f>
        <v/>
      </c>
      <c r="D39" s="19">
        <f>C39*(1+Assumptions!$C$39)</f>
        <v/>
      </c>
      <c r="E39" s="19">
        <f>D39*(1+Assumptions!$C$39)</f>
        <v/>
      </c>
      <c r="F39" s="19">
        <f>E39*(1+Assumptions!$C$39)</f>
        <v/>
      </c>
      <c r="G39" s="19">
        <f>F39*(1+Assumptions!$C$39)</f>
        <v/>
      </c>
    </row>
    <row r="40">
      <c r="B40" s="4" t="inlineStr">
        <is>
          <t>Sum PV dividends FY2027-31 (NZD cents)</t>
        </is>
      </c>
      <c r="C40" s="17">
        <f>SUM(C38:G38)</f>
        <v/>
      </c>
    </row>
    <row r="41">
      <c r="B41" s="4" t="inlineStr">
        <is>
          <t>Year-5 NTA per security (NZD)</t>
        </is>
      </c>
      <c r="C41" s="19">
        <f>G39</f>
        <v/>
      </c>
    </row>
    <row r="42">
      <c r="B42" s="4" t="inlineStr">
        <is>
          <t>Exit P/NTA multiple (x)</t>
        </is>
      </c>
      <c r="C42" s="20">
        <f>Assumptions!$C$40</f>
        <v/>
      </c>
    </row>
    <row r="43">
      <c r="B43" s="4" t="inlineStr">
        <is>
          <t>Year-5 exit value (NZD/security)</t>
        </is>
      </c>
      <c r="C43" s="19">
        <f>C41*C42</f>
        <v/>
      </c>
    </row>
    <row r="44">
      <c r="B44" s="4" t="inlineStr">
        <is>
          <t>PV of exit value (NZD/security)</t>
        </is>
      </c>
      <c r="C44" s="19">
        <f>C43*G37</f>
        <v/>
      </c>
    </row>
    <row r="45">
      <c r="B45" s="4" t="inlineStr">
        <is>
          <t>INTRINSIC VALUE (NZD per security)</t>
        </is>
      </c>
      <c r="C45" s="21">
        <f>C40/100+C44</f>
        <v/>
      </c>
    </row>
    <row r="46">
      <c r="B46" s="2" t="inlineStr">
        <is>
          <t>No net-debt deduction — NTA is already post-debt equity book value.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95" customWidth="1" min="7" max="7"/>
  </cols>
  <sheetData>
    <row r="1">
      <c r="A1" s="1" t="inlineStr">
        <is>
          <t>BLENDED INTRINSIC VALUE — 50/50 AFFO-capitalization leg / NTA leg</t>
        </is>
      </c>
    </row>
    <row r="3">
      <c r="A3" s="3" t="inlineStr">
        <is>
          <t>Scenario</t>
        </is>
      </c>
      <c r="B3" s="3" t="inlineStr">
        <is>
          <t>AFFO leg IV (NZD)</t>
        </is>
      </c>
      <c r="C3" s="3" t="inlineStr">
        <is>
          <t>NTA leg IV (NZD)</t>
        </is>
      </c>
      <c r="D3" s="3" t="inlineStr">
        <is>
          <t>Blended IV (NZD)</t>
        </is>
      </c>
      <c r="E3" s="3" t="inlineStr">
        <is>
          <t>Upside vs price</t>
        </is>
      </c>
      <c r="F3" s="3" t="inlineStr">
        <is>
          <t>Probability weight</t>
        </is>
      </c>
    </row>
    <row r="5">
      <c r="A5" s="4" t="inlineStr">
        <is>
          <t>AFFO leg weight</t>
        </is>
      </c>
      <c r="B5" s="12" t="n">
        <v>0.5</v>
      </c>
    </row>
    <row r="6">
      <c r="A6" s="4" t="inlineStr">
        <is>
          <t>NTA leg weight</t>
        </is>
      </c>
      <c r="B6" s="12" t="n">
        <v>0.5</v>
      </c>
    </row>
    <row r="8">
      <c r="A8" s="4" t="inlineStr">
        <is>
          <t>Bear</t>
        </is>
      </c>
      <c r="B8" s="19">
        <f>'AFFO Leg'!C53</f>
        <v/>
      </c>
      <c r="C8" s="19">
        <f>'NTA Leg'!C45</f>
        <v/>
      </c>
      <c r="D8" s="21">
        <f>$B$5*B8+$B$6*C8</f>
        <v/>
      </c>
      <c r="E8" s="22">
        <f>D8/Assumptions!$B$8-1</f>
        <v/>
      </c>
      <c r="F8" s="13">
        <f>Assumptions!$C$46</f>
        <v/>
      </c>
    </row>
    <row r="9">
      <c r="A9" s="4" t="inlineStr">
        <is>
          <t>Base</t>
        </is>
      </c>
      <c r="B9" s="19">
        <f>'AFFO Leg'!C17</f>
        <v/>
      </c>
      <c r="C9" s="19">
        <f>'NTA Leg'!C15</f>
        <v/>
      </c>
      <c r="D9" s="21">
        <f>$B$5*B9+$B$6*C9</f>
        <v/>
      </c>
      <c r="E9" s="22">
        <f>D9/Assumptions!$B$8-1</f>
        <v/>
      </c>
      <c r="F9" s="13">
        <f>Assumptions!$D$46</f>
        <v/>
      </c>
    </row>
    <row r="10">
      <c r="A10" s="4" t="inlineStr">
        <is>
          <t>Bull</t>
        </is>
      </c>
      <c r="B10" s="19">
        <f>'AFFO Leg'!C35</f>
        <v/>
      </c>
      <c r="C10" s="19">
        <f>'NTA Leg'!C30</f>
        <v/>
      </c>
      <c r="D10" s="21">
        <f>$B$5*B10+$B$6*C10</f>
        <v/>
      </c>
      <c r="E10" s="22">
        <f>D10/Assumptions!$B$8-1</f>
        <v/>
      </c>
      <c r="F10" s="13">
        <f>Assumptions!$E$46</f>
        <v/>
      </c>
    </row>
    <row r="12">
      <c r="A12" s="4" t="inlineStr">
        <is>
          <t>PROBABILITY-WEIGHTED IV (NZD per security)</t>
        </is>
      </c>
      <c r="D12" s="24">
        <f>SUMPRODUCT(D8:D10,F8:F10)</f>
        <v/>
      </c>
      <c r="E12" s="25">
        <f>D12/Assumptions!$B$8-1</f>
        <v/>
      </c>
      <c r="G12" s="2" t="inlineStr">
        <is>
          <t>JSON probability_weighted.weighted_iv = 0.9263 (-10.1% vs $1.03). Weights 25/50/25 — see Assumptions row 46 rationale.</t>
        </is>
      </c>
    </row>
    <row r="15">
      <c r="A15" s="3" t="inlineStr">
        <is>
          <t>AUDIT / CROSS-CHECKS (memo only)</t>
        </is>
      </c>
    </row>
    <row r="16">
      <c r="A16" s="8" t="inlineStr">
        <is>
          <t>Net debt (NZ$m) — NOT deducted anywhere</t>
        </is>
      </c>
      <c r="B16" s="9">
        <f>Assumptions!B11</f>
        <v/>
      </c>
      <c r="G16" s="2" t="inlineStr">
        <is>
          <t>AFFO is post-interest and NTA is post-debt; deducting net debt would double-count leverage (classic REIT error).</t>
        </is>
      </c>
    </row>
    <row r="17">
      <c r="A17" s="4" t="inlineStr">
        <is>
          <t>Zero-growth AFFO perpetuity floor (NZD)</t>
        </is>
      </c>
      <c r="B17" s="19">
        <f>Assumptions!D32/Assumptions!D31/100</f>
        <v/>
      </c>
      <c r="G17" s="2" t="inlineStr">
        <is>
          <t>FY2026e AFFO 6.40 cps / 10.25% CoE = $0.6244 — all scenario IVs sit above this floor.</t>
        </is>
      </c>
    </row>
    <row r="18">
      <c r="A18" s="4" t="inlineStr">
        <is>
          <t>NTA per security anchor (NZD)</t>
        </is>
      </c>
      <c r="B18" s="20">
        <f>Assumptions!B10</f>
        <v/>
      </c>
      <c r="G18" s="2" t="inlineStr">
        <is>
          <t>PCT traded 0.92-1.21x NTA FY2017-25 (avg ~1.02x); NTA is a genuine central anchor, not just a ceiling.</t>
        </is>
      </c>
    </row>
    <row r="19">
      <c r="A19" s="4" t="inlineStr">
        <is>
          <t>Current price implied P/NTA (x)</t>
        </is>
      </c>
      <c r="B19" s="17">
        <f>Assumptions!B8/Assumptions!B10</f>
        <v/>
      </c>
      <c r="G19" s="2" t="inlineStr">
        <is>
          <t>0.873x — the cheapest P/NTA in Precinct's listed history.</t>
        </is>
      </c>
    </row>
    <row r="20">
      <c r="A20" s="4" t="inlineStr">
        <is>
          <t>Base blended IV implied P/NTA (x)</t>
        </is>
      </c>
      <c r="B20" s="17">
        <f>D9/Assumptions!B10</f>
        <v/>
      </c>
      <c r="G20" s="2" t="inlineStr">
        <is>
          <t>~0.80x — below every FY-end observation in the 10-year history: conservative by construction.</t>
        </is>
      </c>
    </row>
    <row r="21">
      <c r="A21" s="4" t="inlineStr">
        <is>
          <t>Current price AFFO yield, TTM</t>
        </is>
      </c>
      <c r="B21" s="13">
        <f>Assumptions!B13/100/Assumptions!B8</f>
        <v/>
      </c>
      <c r="G21" s="2" t="inlineStr">
        <is>
          <t>5.89% TTM AFFO yield / 16.97x P/AFFO at $1.03.</t>
        </is>
      </c>
    </row>
    <row r="22">
      <c r="A22" s="4" t="inlineStr">
        <is>
          <t>Current price dividend yield</t>
        </is>
      </c>
      <c r="B22" s="13">
        <f>Assumptions!B15/100/Assumptions!B8</f>
        <v/>
      </c>
      <c r="G22" s="2" t="inlineStr">
        <is>
          <t>6.55% on the 6.75 cps guided DPS — which exceeds AFFO (uncovered).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inlineStr">
        <is>
          <t>SENSITIVITY — AFFO-capitalization leg only, base AFFO path held constant (NZD per security)</t>
        </is>
      </c>
    </row>
    <row r="2">
      <c r="B2" s="2" t="inlineStr">
        <is>
          <t>Rows = cost of equity; columns = exit AFFO yield. Live formulas over the base AFFO path on 'AFFO Leg'. Matches the JSON sensitivity matrix.</t>
        </is>
      </c>
    </row>
    <row r="4">
      <c r="B4" s="4" t="inlineStr">
        <is>
          <t>CoE \ Exit AFFO yield</t>
        </is>
      </c>
      <c r="C4" s="26" t="n">
        <v>0.055</v>
      </c>
      <c r="D4" s="26" t="n">
        <v>0.06</v>
      </c>
      <c r="E4" s="26" t="n">
        <v>0.065</v>
      </c>
      <c r="F4" s="26" t="n">
        <v>0.07000000000000001</v>
      </c>
      <c r="G4" s="26" t="n">
        <v>0.075</v>
      </c>
    </row>
    <row r="5">
      <c r="B5" s="27" t="n">
        <v>0.0825</v>
      </c>
      <c r="C5" s="19">
        <f>('AFFO Leg'!$C$6/(1+$B5)^1+'AFFO Leg'!$D$6/(1+$B5)^2+'AFFO Leg'!$E$6/(1+$B5)^3+'AFFO Leg'!$F$6/(1+$B5)^4+'AFFO Leg'!$G$6/(1+$B5)^5+('AFFO Leg'!$G$6/C$4)/(1+$B5)^5)/100</f>
        <v/>
      </c>
      <c r="D5" s="19">
        <f>('AFFO Leg'!$C$6/(1+$B5)^1+'AFFO Leg'!$D$6/(1+$B5)^2+'AFFO Leg'!$E$6/(1+$B5)^3+'AFFO Leg'!$F$6/(1+$B5)^4+'AFFO Leg'!$G$6/(1+$B5)^5+('AFFO Leg'!$G$6/D$4)/(1+$B5)^5)/100</f>
        <v/>
      </c>
      <c r="E5" s="19">
        <f>('AFFO Leg'!$C$6/(1+$B5)^1+'AFFO Leg'!$D$6/(1+$B5)^2+'AFFO Leg'!$E$6/(1+$B5)^3+'AFFO Leg'!$F$6/(1+$B5)^4+'AFFO Leg'!$G$6/(1+$B5)^5+('AFFO Leg'!$G$6/E$4)/(1+$B5)^5)/100</f>
        <v/>
      </c>
      <c r="F5" s="19">
        <f>('AFFO Leg'!$C$6/(1+$B5)^1+'AFFO Leg'!$D$6/(1+$B5)^2+'AFFO Leg'!$E$6/(1+$B5)^3+'AFFO Leg'!$F$6/(1+$B5)^4+'AFFO Leg'!$G$6/(1+$B5)^5+('AFFO Leg'!$G$6/F$4)/(1+$B5)^5)/100</f>
        <v/>
      </c>
      <c r="G5" s="19">
        <f>('AFFO Leg'!$C$6/(1+$B5)^1+'AFFO Leg'!$D$6/(1+$B5)^2+'AFFO Leg'!$E$6/(1+$B5)^3+'AFFO Leg'!$F$6/(1+$B5)^4+'AFFO Leg'!$G$6/(1+$B5)^5+('AFFO Leg'!$G$6/G$4)/(1+$B5)^5)/100</f>
        <v/>
      </c>
    </row>
    <row r="6">
      <c r="B6" s="27" t="n">
        <v>0.0925</v>
      </c>
      <c r="C6" s="19">
        <f>('AFFO Leg'!$C$6/(1+$B6)^1+'AFFO Leg'!$D$6/(1+$B6)^2+'AFFO Leg'!$E$6/(1+$B6)^3+'AFFO Leg'!$F$6/(1+$B6)^4+'AFFO Leg'!$G$6/(1+$B6)^5+('AFFO Leg'!$G$6/C$4)/(1+$B6)^5)/100</f>
        <v/>
      </c>
      <c r="D6" s="19">
        <f>('AFFO Leg'!$C$6/(1+$B6)^1+'AFFO Leg'!$D$6/(1+$B6)^2+'AFFO Leg'!$E$6/(1+$B6)^3+'AFFO Leg'!$F$6/(1+$B6)^4+'AFFO Leg'!$G$6/(1+$B6)^5+('AFFO Leg'!$G$6/D$4)/(1+$B6)^5)/100</f>
        <v/>
      </c>
      <c r="E6" s="19">
        <f>('AFFO Leg'!$C$6/(1+$B6)^1+'AFFO Leg'!$D$6/(1+$B6)^2+'AFFO Leg'!$E$6/(1+$B6)^3+'AFFO Leg'!$F$6/(1+$B6)^4+'AFFO Leg'!$G$6/(1+$B6)^5+('AFFO Leg'!$G$6/E$4)/(1+$B6)^5)/100</f>
        <v/>
      </c>
      <c r="F6" s="19">
        <f>('AFFO Leg'!$C$6/(1+$B6)^1+'AFFO Leg'!$D$6/(1+$B6)^2+'AFFO Leg'!$E$6/(1+$B6)^3+'AFFO Leg'!$F$6/(1+$B6)^4+'AFFO Leg'!$G$6/(1+$B6)^5+('AFFO Leg'!$G$6/F$4)/(1+$B6)^5)/100</f>
        <v/>
      </c>
      <c r="G6" s="19">
        <f>('AFFO Leg'!$C$6/(1+$B6)^1+'AFFO Leg'!$D$6/(1+$B6)^2+'AFFO Leg'!$E$6/(1+$B6)^3+'AFFO Leg'!$F$6/(1+$B6)^4+'AFFO Leg'!$G$6/(1+$B6)^5+('AFFO Leg'!$G$6/G$4)/(1+$B6)^5)/100</f>
        <v/>
      </c>
    </row>
    <row r="7">
      <c r="B7" s="27" t="n">
        <v>0.1025</v>
      </c>
      <c r="C7" s="19">
        <f>('AFFO Leg'!$C$6/(1+$B7)^1+'AFFO Leg'!$D$6/(1+$B7)^2+'AFFO Leg'!$E$6/(1+$B7)^3+'AFFO Leg'!$F$6/(1+$B7)^4+'AFFO Leg'!$G$6/(1+$B7)^5+('AFFO Leg'!$G$6/C$4)/(1+$B7)^5)/100</f>
        <v/>
      </c>
      <c r="D7" s="19">
        <f>('AFFO Leg'!$C$6/(1+$B7)^1+'AFFO Leg'!$D$6/(1+$B7)^2+'AFFO Leg'!$E$6/(1+$B7)^3+'AFFO Leg'!$F$6/(1+$B7)^4+'AFFO Leg'!$G$6/(1+$B7)^5+('AFFO Leg'!$G$6/D$4)/(1+$B7)^5)/100</f>
        <v/>
      </c>
      <c r="E7" s="28">
        <f>('AFFO Leg'!$C$6/(1+$B7)^1+'AFFO Leg'!$D$6/(1+$B7)^2+'AFFO Leg'!$E$6/(1+$B7)^3+'AFFO Leg'!$F$6/(1+$B7)^4+'AFFO Leg'!$G$6/(1+$B7)^5+('AFFO Leg'!$G$6/E$4)/(1+$B7)^5)/100</f>
        <v/>
      </c>
      <c r="F7" s="19">
        <f>('AFFO Leg'!$C$6/(1+$B7)^1+'AFFO Leg'!$D$6/(1+$B7)^2+'AFFO Leg'!$E$6/(1+$B7)^3+'AFFO Leg'!$F$6/(1+$B7)^4+'AFFO Leg'!$G$6/(1+$B7)^5+('AFFO Leg'!$G$6/F$4)/(1+$B7)^5)/100</f>
        <v/>
      </c>
      <c r="G7" s="19">
        <f>('AFFO Leg'!$C$6/(1+$B7)^1+'AFFO Leg'!$D$6/(1+$B7)^2+'AFFO Leg'!$E$6/(1+$B7)^3+'AFFO Leg'!$F$6/(1+$B7)^4+'AFFO Leg'!$G$6/(1+$B7)^5+('AFFO Leg'!$G$6/G$4)/(1+$B7)^5)/100</f>
        <v/>
      </c>
    </row>
    <row r="8">
      <c r="B8" s="27" t="n">
        <v>0.1125</v>
      </c>
      <c r="C8" s="19">
        <f>('AFFO Leg'!$C$6/(1+$B8)^1+'AFFO Leg'!$D$6/(1+$B8)^2+'AFFO Leg'!$E$6/(1+$B8)^3+'AFFO Leg'!$F$6/(1+$B8)^4+'AFFO Leg'!$G$6/(1+$B8)^5+('AFFO Leg'!$G$6/C$4)/(1+$B8)^5)/100</f>
        <v/>
      </c>
      <c r="D8" s="19">
        <f>('AFFO Leg'!$C$6/(1+$B8)^1+'AFFO Leg'!$D$6/(1+$B8)^2+'AFFO Leg'!$E$6/(1+$B8)^3+'AFFO Leg'!$F$6/(1+$B8)^4+'AFFO Leg'!$G$6/(1+$B8)^5+('AFFO Leg'!$G$6/D$4)/(1+$B8)^5)/100</f>
        <v/>
      </c>
      <c r="E8" s="19">
        <f>('AFFO Leg'!$C$6/(1+$B8)^1+'AFFO Leg'!$D$6/(1+$B8)^2+'AFFO Leg'!$E$6/(1+$B8)^3+'AFFO Leg'!$F$6/(1+$B8)^4+'AFFO Leg'!$G$6/(1+$B8)^5+('AFFO Leg'!$G$6/E$4)/(1+$B8)^5)/100</f>
        <v/>
      </c>
      <c r="F8" s="19">
        <f>('AFFO Leg'!$C$6/(1+$B8)^1+'AFFO Leg'!$D$6/(1+$B8)^2+'AFFO Leg'!$E$6/(1+$B8)^3+'AFFO Leg'!$F$6/(1+$B8)^4+'AFFO Leg'!$G$6/(1+$B8)^5+('AFFO Leg'!$G$6/F$4)/(1+$B8)^5)/100</f>
        <v/>
      </c>
      <c r="G8" s="19">
        <f>('AFFO Leg'!$C$6/(1+$B8)^1+'AFFO Leg'!$D$6/(1+$B8)^2+'AFFO Leg'!$E$6/(1+$B8)^3+'AFFO Leg'!$F$6/(1+$B8)^4+'AFFO Leg'!$G$6/(1+$B8)^5+('AFFO Leg'!$G$6/G$4)/(1+$B8)^5)/100</f>
        <v/>
      </c>
    </row>
    <row r="9">
      <c r="B9" s="27" t="n">
        <v>0.1225</v>
      </c>
      <c r="C9" s="19">
        <f>('AFFO Leg'!$C$6/(1+$B9)^1+'AFFO Leg'!$D$6/(1+$B9)^2+'AFFO Leg'!$E$6/(1+$B9)^3+'AFFO Leg'!$F$6/(1+$B9)^4+'AFFO Leg'!$G$6/(1+$B9)^5+('AFFO Leg'!$G$6/C$4)/(1+$B9)^5)/100</f>
        <v/>
      </c>
      <c r="D9" s="19">
        <f>('AFFO Leg'!$C$6/(1+$B9)^1+'AFFO Leg'!$D$6/(1+$B9)^2+'AFFO Leg'!$E$6/(1+$B9)^3+'AFFO Leg'!$F$6/(1+$B9)^4+'AFFO Leg'!$G$6/(1+$B9)^5+('AFFO Leg'!$G$6/D$4)/(1+$B9)^5)/100</f>
        <v/>
      </c>
      <c r="E9" s="19">
        <f>('AFFO Leg'!$C$6/(1+$B9)^1+'AFFO Leg'!$D$6/(1+$B9)^2+'AFFO Leg'!$E$6/(1+$B9)^3+'AFFO Leg'!$F$6/(1+$B9)^4+'AFFO Leg'!$G$6/(1+$B9)^5+('AFFO Leg'!$G$6/E$4)/(1+$B9)^5)/100</f>
        <v/>
      </c>
      <c r="F9" s="19">
        <f>('AFFO Leg'!$C$6/(1+$B9)^1+'AFFO Leg'!$D$6/(1+$B9)^2+'AFFO Leg'!$E$6/(1+$B9)^3+'AFFO Leg'!$F$6/(1+$B9)^4+'AFFO Leg'!$G$6/(1+$B9)^5+('AFFO Leg'!$G$6/F$4)/(1+$B9)^5)/100</f>
        <v/>
      </c>
      <c r="G9" s="19">
        <f>('AFFO Leg'!$C$6/(1+$B9)^1+'AFFO Leg'!$D$6/(1+$B9)^2+'AFFO Leg'!$E$6/(1+$B9)^3+'AFFO Leg'!$F$6/(1+$B9)^4+'AFFO Leg'!$G$6/(1+$B9)^5+('AFFO Leg'!$G$6/G$4)/(1+$B9)^5)/100</f>
        <v/>
      </c>
    </row>
    <row r="11">
      <c r="B11" s="2" t="inlineStr">
        <is>
          <t>Green cell = base case (10.25% CoE, 6.5% exit yield) -&gt; $0.9379, the AFFO-leg base IV.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5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0" customWidth="1" min="8" max="8"/>
  </cols>
  <sheetData>
    <row r="1">
      <c r="B1" s="1" t="inlineStr">
        <is>
          <t>ENTRY PRICE — 15% IRR hurdle on the base-case AFFO-capitalization leg</t>
        </is>
      </c>
    </row>
    <row r="2">
      <c r="B2" s="2" t="inlineStr">
        <is>
          <t>Interim AFFO and the exit terminal value discounted at the hurdle rate. TV computed at the base-case 6.5% exit AFFO yield (what a buyer pays at exit). No net-debt adjustment — AFFO is post-interest. (IPL.NZ template, post-2026-07-21 formula.)</t>
        </is>
      </c>
    </row>
    <row r="4">
      <c r="B4" s="4" t="inlineStr">
        <is>
          <t>Hurdle rate</t>
        </is>
      </c>
      <c r="C4" s="13">
        <f>Assumptions!B16</f>
        <v/>
      </c>
    </row>
    <row r="5">
      <c r="B5" s="4" t="inlineStr">
        <is>
          <t>Fiscal year</t>
        </is>
      </c>
      <c r="C5" s="16" t="inlineStr">
        <is>
          <t>FY2027</t>
        </is>
      </c>
      <c r="D5" s="16" t="inlineStr">
        <is>
          <t>FY2028</t>
        </is>
      </c>
      <c r="E5" s="16" t="inlineStr">
        <is>
          <t>FY2029</t>
        </is>
      </c>
      <c r="F5" s="16" t="inlineStr">
        <is>
          <t>FY2030</t>
        </is>
      </c>
      <c r="G5" s="16" t="inlineStr">
        <is>
          <t>FY2031</t>
        </is>
      </c>
    </row>
    <row r="6">
      <c r="B6" s="4" t="inlineStr">
        <is>
          <t>Base AFFO per security (NZD cents)</t>
        </is>
      </c>
      <c r="C6" s="17">
        <f>'AFFO Leg'!C6</f>
        <v/>
      </c>
      <c r="D6" s="17">
        <f>'AFFO Leg'!D6</f>
        <v/>
      </c>
      <c r="E6" s="17">
        <f>'AFFO Leg'!E6</f>
        <v/>
      </c>
      <c r="F6" s="17">
        <f>'AFFO Leg'!F6</f>
        <v/>
      </c>
      <c r="G6" s="17">
        <f>'AFFO Leg'!G6</f>
        <v/>
      </c>
    </row>
    <row r="7">
      <c r="B7" s="4" t="inlineStr">
        <is>
          <t>PV @ hurdle (NZD cents)</t>
        </is>
      </c>
      <c r="C7" s="17">
        <f>C6/(1+$C$4)^1</f>
        <v/>
      </c>
      <c r="D7" s="17">
        <f>D6/(1+$C$4)^2</f>
        <v/>
      </c>
      <c r="E7" s="17">
        <f>E6/(1+$C$4)^3</f>
        <v/>
      </c>
      <c r="F7" s="17">
        <f>F6/(1+$C$4)^4</f>
        <v/>
      </c>
      <c r="G7" s="17">
        <f>G6/(1+$C$4)^5</f>
        <v/>
      </c>
    </row>
    <row r="9">
      <c r="B9" s="4" t="inlineStr">
        <is>
          <t>Sum PV interim AFFO @ hurdle (NZD cents)</t>
        </is>
      </c>
      <c r="C9" s="17">
        <f>SUM(C7:G7)</f>
        <v/>
      </c>
    </row>
    <row r="10">
      <c r="B10" s="4" t="inlineStr">
        <is>
          <t>Terminal value at 6.5% exit AFFO yield (NZD cents)</t>
        </is>
      </c>
      <c r="C10" s="20">
        <f>'AFFO Leg'!C14</f>
        <v/>
      </c>
    </row>
    <row r="11">
      <c r="B11" s="4" t="inlineStr">
        <is>
          <t>PV terminal @ hurdle (NZD cents)</t>
        </is>
      </c>
      <c r="C11" s="17">
        <f>C10/(1+$C$4)^5</f>
        <v/>
      </c>
    </row>
    <row r="12">
      <c r="B12" s="4" t="inlineStr">
        <is>
          <t>ENTRY PRICE (NZD per security)</t>
        </is>
      </c>
      <c r="C12" s="21">
        <f>(C9+C11)/100</f>
        <v/>
      </c>
    </row>
    <row r="13">
      <c r="B13" s="4" t="inlineStr">
        <is>
          <t>Discount from current price</t>
        </is>
      </c>
      <c r="C13" s="22">
        <f>C12/Assumptions!B8-1</f>
        <v/>
      </c>
    </row>
    <row r="15">
      <c r="B15" s="2" t="inlineStr">
        <is>
          <t>JSON entry_price.base: entry $0.7797, -24.3% below the $1.03 price. A buyer at $0.78 earns ~15%/yr on the base AFFO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2026-08-23T22:14:47Z</dcterms:created>
  <dcterms:modified xsi:type="dcterms:W3CDTF">2026-08-23T22:14:47Z</dcterms:modified>
</cp:coreProperties>
</file>