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O 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American Tower Corporation (AMT) -- REIT AFFO Capitalization Model</t>
        </is>
      </c>
    </row>
    <row r="2">
      <c r="A2" t="inlineStr">
        <is>
          <t>Valuation date: 2026-09-25   Current price: $167.26 (2026-09-24 20:00:03Z regular close)</t>
        </is>
      </c>
    </row>
    <row r="3">
      <c r="A3" t="inlineStr">
        <is>
          <t>Model: AFFO per share capitalized at cost of equity (NOT WACC -- AFFO is post-interest; net debt never subtracted)</t>
        </is>
      </c>
    </row>
    <row r="5">
      <c r="A5" s="2" t="inlineStr">
        <is>
          <t>BASE CASE</t>
        </is>
      </c>
    </row>
    <row r="6">
      <c r="A6" t="inlineStr">
        <is>
          <t>Cost of equity</t>
        </is>
      </c>
      <c r="B6" s="3" t="n">
        <v>0.095</v>
      </c>
    </row>
    <row r="7">
      <c r="A7" t="inlineStr">
        <is>
          <t>Terminal growth</t>
        </is>
      </c>
      <c r="B7" s="3" t="n">
        <v>0.032</v>
      </c>
    </row>
    <row r="8">
      <c r="A8" t="inlineStr">
        <is>
          <t>Shares outstanding (M, fully diluted)</t>
        </is>
      </c>
      <c r="B8" t="n">
        <v>468.8</v>
      </c>
    </row>
    <row r="9">
      <c r="A9" s="2" t="inlineStr">
        <is>
          <t>Year</t>
        </is>
      </c>
      <c r="B9" s="2" t="inlineStr">
        <is>
          <t>FY2026</t>
        </is>
      </c>
      <c r="C9" s="2" t="inlineStr">
        <is>
          <t>FY2027</t>
        </is>
      </c>
      <c r="D9" s="2" t="inlineStr">
        <is>
          <t>FY2028</t>
        </is>
      </c>
      <c r="E9" s="2" t="inlineStr">
        <is>
          <t>FY2029</t>
        </is>
      </c>
      <c r="F9" s="2" t="inlineStr">
        <is>
          <t>FY2030</t>
        </is>
      </c>
      <c r="G9" s="2" t="inlineStr">
        <is>
          <t>FY2031</t>
        </is>
      </c>
      <c r="H9" s="2" t="inlineStr">
        <is>
          <t>FY2032</t>
        </is>
      </c>
      <c r="I9" s="2" t="inlineStr">
        <is>
          <t>FY2033</t>
        </is>
      </c>
      <c r="J9" s="2" t="inlineStr">
        <is>
          <t>FY2034</t>
        </is>
      </c>
      <c r="K9" s="2" t="inlineStr">
        <is>
          <t>FY2035</t>
        </is>
      </c>
    </row>
    <row r="10">
      <c r="A10" t="inlineStr">
        <is>
          <t>AFFO/share growth %</t>
        </is>
      </c>
      <c r="B10" s="3" t="n">
        <v>0.065</v>
      </c>
      <c r="C10" s="3" t="n">
        <v>0.075</v>
      </c>
      <c r="D10" s="3" t="n">
        <v>0.075</v>
      </c>
      <c r="E10" s="3" t="n">
        <v>0.07000000000000001</v>
      </c>
      <c r="F10" s="3" t="n">
        <v>0.065</v>
      </c>
      <c r="G10" s="3" t="n">
        <v>0.06</v>
      </c>
      <c r="H10" s="3" t="n">
        <v>0.055</v>
      </c>
      <c r="I10" s="3" t="n">
        <v>0.05</v>
      </c>
      <c r="J10" s="3" t="n">
        <v>0.045</v>
      </c>
      <c r="K10" s="3" t="n">
        <v>0.04</v>
      </c>
    </row>
    <row r="11">
      <c r="A11" t="inlineStr">
        <is>
          <t>AFFO per share ($)</t>
        </is>
      </c>
      <c r="B11" s="4" t="n">
        <v>11.08</v>
      </c>
      <c r="C11" s="4">
        <f>B11*(1+C10)</f>
        <v/>
      </c>
      <c r="D11" s="4">
        <f>C11*(1+D10)</f>
        <v/>
      </c>
      <c r="E11" s="4">
        <f>D11*(1+E10)</f>
        <v/>
      </c>
      <c r="F11" s="4">
        <f>E11*(1+F10)</f>
        <v/>
      </c>
      <c r="G11" s="4">
        <f>F11*(1+G10)</f>
        <v/>
      </c>
      <c r="H11" s="4">
        <f>G11*(1+H10)</f>
        <v/>
      </c>
      <c r="I11" s="4">
        <f>H11*(1+I10)</f>
        <v/>
      </c>
      <c r="J11" s="4">
        <f>I11*(1+J10)</f>
        <v/>
      </c>
      <c r="K11" s="4">
        <f>J11*(1+K10)</f>
        <v/>
      </c>
    </row>
    <row r="12">
      <c r="A12" t="inlineStr">
        <is>
          <t>AFFO total ($M)</t>
        </is>
      </c>
      <c r="B12" s="5">
        <f>B11*$B$8</f>
        <v/>
      </c>
      <c r="C12" s="5">
        <f>C11*$B$8</f>
        <v/>
      </c>
      <c r="D12" s="5">
        <f>D11*$B$8</f>
        <v/>
      </c>
      <c r="E12" s="5">
        <f>E11*$B$8</f>
        <v/>
      </c>
      <c r="F12" s="5">
        <f>F11*$B$8</f>
        <v/>
      </c>
      <c r="G12" s="5">
        <f>G11*$B$8</f>
        <v/>
      </c>
      <c r="H12" s="5">
        <f>H11*$B$8</f>
        <v/>
      </c>
      <c r="I12" s="5">
        <f>I11*$B$8</f>
        <v/>
      </c>
      <c r="J12" s="5">
        <f>J11*$B$8</f>
        <v/>
      </c>
      <c r="K12" s="5">
        <f>K11*$B$8</f>
        <v/>
      </c>
    </row>
    <row r="13">
      <c r="A13" t="inlineStr">
        <is>
          <t>Discount factor</t>
        </is>
      </c>
      <c r="B13" s="6">
        <f>1/(1+$B$6)^1</f>
        <v/>
      </c>
      <c r="C13" s="6">
        <f>1/(1+$B$6)^2</f>
        <v/>
      </c>
      <c r="D13" s="6">
        <f>1/(1+$B$6)^3</f>
        <v/>
      </c>
      <c r="E13" s="6">
        <f>1/(1+$B$6)^4</f>
        <v/>
      </c>
      <c r="F13" s="6">
        <f>1/(1+$B$6)^5</f>
        <v/>
      </c>
      <c r="G13" s="6">
        <f>1/(1+$B$6)^6</f>
        <v/>
      </c>
      <c r="H13" s="6">
        <f>1/(1+$B$6)^7</f>
        <v/>
      </c>
      <c r="I13" s="6">
        <f>1/(1+$B$6)^8</f>
        <v/>
      </c>
      <c r="J13" s="6">
        <f>1/(1+$B$6)^9</f>
        <v/>
      </c>
      <c r="K13" s="6">
        <f>1/(1+$B$6)^10</f>
        <v/>
      </c>
    </row>
    <row r="14">
      <c r="A14" t="inlineStr">
        <is>
          <t>PV of AFFO/share</t>
        </is>
      </c>
      <c r="B14" s="4">
        <f>B11*B13</f>
        <v/>
      </c>
      <c r="C14" s="4">
        <f>C11*C13</f>
        <v/>
      </c>
      <c r="D14" s="4">
        <f>D11*D13</f>
        <v/>
      </c>
      <c r="E14" s="4">
        <f>E11*E13</f>
        <v/>
      </c>
      <c r="F14" s="4">
        <f>F11*F13</f>
        <v/>
      </c>
      <c r="G14" s="4">
        <f>G11*G13</f>
        <v/>
      </c>
      <c r="H14" s="4">
        <f>H11*H13</f>
        <v/>
      </c>
      <c r="I14" s="4">
        <f>I11*I13</f>
        <v/>
      </c>
      <c r="J14" s="4">
        <f>J11*J13</f>
        <v/>
      </c>
      <c r="K14" s="4">
        <f>K11*K13</f>
        <v/>
      </c>
    </row>
    <row r="16">
      <c r="A16" s="2" t="inlineStr">
        <is>
          <t>Sum PV interim AFFO/share</t>
        </is>
      </c>
      <c r="B16" s="4">
        <f>SUM(B14:K14)</f>
        <v/>
      </c>
    </row>
    <row r="17">
      <c r="A17" t="inlineStr">
        <is>
          <t>Terminal AFFO/share (yr N x (1+g))</t>
        </is>
      </c>
      <c r="B17" s="4">
        <f>K11*(1+$B$7)</f>
        <v/>
      </c>
    </row>
    <row r="18">
      <c r="A18" t="inlineStr">
        <is>
          <t>Terminal value per share (Gordon growth)</t>
        </is>
      </c>
      <c r="B18" s="4">
        <f>B17/($B$6-$B$7)</f>
        <v/>
      </c>
    </row>
    <row r="19">
      <c r="A19" t="inlineStr">
        <is>
          <t>PV of terminal value per share</t>
        </is>
      </c>
      <c r="B19" s="4">
        <f>B18*K13</f>
        <v/>
      </c>
    </row>
    <row r="20">
      <c r="A20" s="2" t="inlineStr">
        <is>
          <t>INTRINSIC VALUE PER SHARE</t>
        </is>
      </c>
      <c r="B20" s="7">
        <f>B16+B19</f>
        <v/>
      </c>
    </row>
    <row r="21">
      <c r="A21" t="inlineStr">
        <is>
          <t>Upside/(downside) vs current price</t>
        </is>
      </c>
      <c r="B21" s="3">
        <f>B20/167.26-1</f>
        <v/>
      </c>
    </row>
    <row r="22">
      <c r="A22" t="inlineStr">
        <is>
          <t>Equity value ($M)</t>
        </is>
      </c>
      <c r="B22" s="5">
        <f>B20*468.8</f>
        <v/>
      </c>
    </row>
    <row r="24">
      <c r="A24" s="2" t="inlineStr">
        <is>
          <t>BULL CASE</t>
        </is>
      </c>
    </row>
    <row r="25">
      <c r="A25" t="inlineStr">
        <is>
          <t>Cost of equity</t>
        </is>
      </c>
      <c r="B25" s="3" t="n">
        <v>0.08749999999999999</v>
      </c>
    </row>
    <row r="26">
      <c r="A26" t="inlineStr">
        <is>
          <t>Terminal growth</t>
        </is>
      </c>
      <c r="B26" s="3" t="n">
        <v>0.038</v>
      </c>
    </row>
    <row r="27">
      <c r="A27" t="inlineStr">
        <is>
          <t>Shares outstanding (M, fully diluted)</t>
        </is>
      </c>
      <c r="B27" t="n">
        <v>468.8</v>
      </c>
    </row>
    <row r="28">
      <c r="A28" s="2" t="inlineStr">
        <is>
          <t>Year</t>
        </is>
      </c>
      <c r="B28" s="2" t="inlineStr">
        <is>
          <t>FY2026</t>
        </is>
      </c>
      <c r="C28" s="2" t="inlineStr">
        <is>
          <t>FY2027</t>
        </is>
      </c>
      <c r="D28" s="2" t="inlineStr">
        <is>
          <t>FY2028</t>
        </is>
      </c>
      <c r="E28" s="2" t="inlineStr">
        <is>
          <t>FY2029</t>
        </is>
      </c>
      <c r="F28" s="2" t="inlineStr">
        <is>
          <t>FY2030</t>
        </is>
      </c>
      <c r="G28" s="2" t="inlineStr">
        <is>
          <t>FY2031</t>
        </is>
      </c>
      <c r="H28" s="2" t="inlineStr">
        <is>
          <t>FY2032</t>
        </is>
      </c>
      <c r="I28" s="2" t="inlineStr">
        <is>
          <t>FY2033</t>
        </is>
      </c>
      <c r="J28" s="2" t="inlineStr">
        <is>
          <t>FY2034</t>
        </is>
      </c>
      <c r="K28" s="2" t="inlineStr">
        <is>
          <t>FY2035</t>
        </is>
      </c>
    </row>
    <row r="29">
      <c r="A29" t="inlineStr">
        <is>
          <t>AFFO/share growth %</t>
        </is>
      </c>
      <c r="B29" s="3" t="n">
        <v>0.075</v>
      </c>
      <c r="C29" s="3" t="n">
        <v>0.09</v>
      </c>
      <c r="D29" s="3" t="n">
        <v>0.09</v>
      </c>
      <c r="E29" s="3" t="n">
        <v>0.08500000000000001</v>
      </c>
      <c r="F29" s="3" t="n">
        <v>0.08</v>
      </c>
      <c r="G29" s="3" t="n">
        <v>0.075</v>
      </c>
      <c r="H29" s="3" t="n">
        <v>0.065</v>
      </c>
      <c r="I29" s="3" t="n">
        <v>0.06</v>
      </c>
      <c r="J29" s="3" t="n">
        <v>0.055</v>
      </c>
      <c r="K29" s="3" t="n">
        <v>0.05</v>
      </c>
    </row>
    <row r="30">
      <c r="A30" t="inlineStr">
        <is>
          <t>AFFO per share ($)</t>
        </is>
      </c>
      <c r="B30" s="4" t="n">
        <v>11.3</v>
      </c>
      <c r="C30" s="4">
        <f>B30*(1+C29)</f>
        <v/>
      </c>
      <c r="D30" s="4">
        <f>C30*(1+D29)</f>
        <v/>
      </c>
      <c r="E30" s="4">
        <f>D30*(1+E29)</f>
        <v/>
      </c>
      <c r="F30" s="4">
        <f>E30*(1+F29)</f>
        <v/>
      </c>
      <c r="G30" s="4">
        <f>F30*(1+G29)</f>
        <v/>
      </c>
      <c r="H30" s="4">
        <f>G30*(1+H29)</f>
        <v/>
      </c>
      <c r="I30" s="4">
        <f>H30*(1+I29)</f>
        <v/>
      </c>
      <c r="J30" s="4">
        <f>I30*(1+J29)</f>
        <v/>
      </c>
      <c r="K30" s="4">
        <f>J30*(1+K29)</f>
        <v/>
      </c>
    </row>
    <row r="31">
      <c r="A31" t="inlineStr">
        <is>
          <t>AFFO total ($M)</t>
        </is>
      </c>
      <c r="B31" s="5">
        <f>B30*$B$27</f>
        <v/>
      </c>
      <c r="C31" s="5">
        <f>C30*$B$27</f>
        <v/>
      </c>
      <c r="D31" s="5">
        <f>D30*$B$27</f>
        <v/>
      </c>
      <c r="E31" s="5">
        <f>E30*$B$27</f>
        <v/>
      </c>
      <c r="F31" s="5">
        <f>F30*$B$27</f>
        <v/>
      </c>
      <c r="G31" s="5">
        <f>G30*$B$27</f>
        <v/>
      </c>
      <c r="H31" s="5">
        <f>H30*$B$27</f>
        <v/>
      </c>
      <c r="I31" s="5">
        <f>I30*$B$27</f>
        <v/>
      </c>
      <c r="J31" s="5">
        <f>J30*$B$27</f>
        <v/>
      </c>
      <c r="K31" s="5">
        <f>K30*$B$27</f>
        <v/>
      </c>
    </row>
    <row r="32">
      <c r="A32" t="inlineStr">
        <is>
          <t>Discount factor</t>
        </is>
      </c>
      <c r="B32" s="6">
        <f>1/(1+$B$25)^1</f>
        <v/>
      </c>
      <c r="C32" s="6">
        <f>1/(1+$B$25)^2</f>
        <v/>
      </c>
      <c r="D32" s="6">
        <f>1/(1+$B$25)^3</f>
        <v/>
      </c>
      <c r="E32" s="6">
        <f>1/(1+$B$25)^4</f>
        <v/>
      </c>
      <c r="F32" s="6">
        <f>1/(1+$B$25)^5</f>
        <v/>
      </c>
      <c r="G32" s="6">
        <f>1/(1+$B$25)^6</f>
        <v/>
      </c>
      <c r="H32" s="6">
        <f>1/(1+$B$25)^7</f>
        <v/>
      </c>
      <c r="I32" s="6">
        <f>1/(1+$B$25)^8</f>
        <v/>
      </c>
      <c r="J32" s="6">
        <f>1/(1+$B$25)^9</f>
        <v/>
      </c>
      <c r="K32" s="6">
        <f>1/(1+$B$25)^10</f>
        <v/>
      </c>
    </row>
    <row r="33">
      <c r="A33" t="inlineStr">
        <is>
          <t>PV of AFFO/share</t>
        </is>
      </c>
      <c r="B33" s="4">
        <f>B30*B32</f>
        <v/>
      </c>
      <c r="C33" s="4">
        <f>C30*C32</f>
        <v/>
      </c>
      <c r="D33" s="4">
        <f>D30*D32</f>
        <v/>
      </c>
      <c r="E33" s="4">
        <f>E30*E32</f>
        <v/>
      </c>
      <c r="F33" s="4">
        <f>F30*F32</f>
        <v/>
      </c>
      <c r="G33" s="4">
        <f>G30*G32</f>
        <v/>
      </c>
      <c r="H33" s="4">
        <f>H30*H32</f>
        <v/>
      </c>
      <c r="I33" s="4">
        <f>I30*I32</f>
        <v/>
      </c>
      <c r="J33" s="4">
        <f>J30*J32</f>
        <v/>
      </c>
      <c r="K33" s="4">
        <f>K30*K32</f>
        <v/>
      </c>
    </row>
    <row r="35">
      <c r="A35" s="2" t="inlineStr">
        <is>
          <t>Sum PV interim AFFO/share</t>
        </is>
      </c>
      <c r="B35" s="4">
        <f>SUM(B33:K33)</f>
        <v/>
      </c>
    </row>
    <row r="36">
      <c r="A36" t="inlineStr">
        <is>
          <t>Terminal AFFO/share (yr N x (1+g))</t>
        </is>
      </c>
      <c r="B36" s="4">
        <f>K30*(1+$B$26)</f>
        <v/>
      </c>
    </row>
    <row r="37">
      <c r="A37" t="inlineStr">
        <is>
          <t>Terminal value per share (Gordon growth)</t>
        </is>
      </c>
      <c r="B37" s="4">
        <f>B36/($B$25-$B$26)</f>
        <v/>
      </c>
    </row>
    <row r="38">
      <c r="A38" t="inlineStr">
        <is>
          <t>PV of terminal value per share</t>
        </is>
      </c>
      <c r="B38" s="4">
        <f>B37*K32</f>
        <v/>
      </c>
    </row>
    <row r="39">
      <c r="A39" s="2" t="inlineStr">
        <is>
          <t>INTRINSIC VALUE PER SHARE</t>
        </is>
      </c>
      <c r="B39" s="7">
        <f>B35+B38</f>
        <v/>
      </c>
    </row>
    <row r="40">
      <c r="A40" t="inlineStr">
        <is>
          <t>Upside/(downside) vs current price</t>
        </is>
      </c>
      <c r="B40" s="3">
        <f>B39/167.26-1</f>
        <v/>
      </c>
    </row>
    <row r="41">
      <c r="A41" t="inlineStr">
        <is>
          <t>Equity value ($M)</t>
        </is>
      </c>
      <c r="B41" s="5">
        <f>B39*468.8</f>
        <v/>
      </c>
    </row>
    <row r="43">
      <c r="A43" s="2" t="inlineStr">
        <is>
          <t>BEAR CASE</t>
        </is>
      </c>
    </row>
    <row r="44">
      <c r="A44" t="inlineStr">
        <is>
          <t>Cost of equity</t>
        </is>
      </c>
      <c r="B44" s="3" t="n">
        <v>0.105</v>
      </c>
    </row>
    <row r="45">
      <c r="A45" t="inlineStr">
        <is>
          <t>Terminal growth</t>
        </is>
      </c>
      <c r="B45" s="3" t="n">
        <v>0.025</v>
      </c>
    </row>
    <row r="46">
      <c r="A46" t="inlineStr">
        <is>
          <t>Shares outstanding (M, fully diluted)</t>
        </is>
      </c>
      <c r="B46" t="n">
        <v>468.8</v>
      </c>
    </row>
    <row r="47">
      <c r="A47" s="2" t="inlineStr">
        <is>
          <t>Year</t>
        </is>
      </c>
      <c r="B47" s="2" t="inlineStr">
        <is>
          <t>FY2026</t>
        </is>
      </c>
      <c r="C47" s="2" t="inlineStr">
        <is>
          <t>FY2027</t>
        </is>
      </c>
      <c r="D47" s="2" t="inlineStr">
        <is>
          <t>FY2028</t>
        </is>
      </c>
      <c r="E47" s="2" t="inlineStr">
        <is>
          <t>FY2029</t>
        </is>
      </c>
      <c r="F47" s="2" t="inlineStr">
        <is>
          <t>FY2030</t>
        </is>
      </c>
      <c r="G47" s="2" t="inlineStr">
        <is>
          <t>FY2031</t>
        </is>
      </c>
      <c r="H47" s="2" t="inlineStr">
        <is>
          <t>FY2032</t>
        </is>
      </c>
      <c r="I47" s="2" t="inlineStr">
        <is>
          <t>FY2033</t>
        </is>
      </c>
      <c r="J47" s="2" t="inlineStr">
        <is>
          <t>FY2034</t>
        </is>
      </c>
      <c r="K47" s="2" t="inlineStr">
        <is>
          <t>FY2035</t>
        </is>
      </c>
    </row>
    <row r="48">
      <c r="A48" t="inlineStr">
        <is>
          <t>AFFO/share growth %</t>
        </is>
      </c>
      <c r="B48" s="3" t="n">
        <v>0.02</v>
      </c>
      <c r="C48" s="3" t="n">
        <v>0.025</v>
      </c>
      <c r="D48" s="3" t="n">
        <v>0.03</v>
      </c>
      <c r="E48" s="3" t="n">
        <v>0.03</v>
      </c>
      <c r="F48" s="3" t="n">
        <v>0.035</v>
      </c>
      <c r="G48" s="3" t="n">
        <v>0.035</v>
      </c>
      <c r="H48" s="3" t="n">
        <v>0.035</v>
      </c>
      <c r="I48" s="3" t="n">
        <v>0.035</v>
      </c>
      <c r="J48" s="3" t="n">
        <v>0.03</v>
      </c>
      <c r="K48" s="3" t="n">
        <v>0.03</v>
      </c>
    </row>
    <row r="49">
      <c r="A49" t="inlineStr">
        <is>
          <t>AFFO per share ($)</t>
        </is>
      </c>
      <c r="B49" s="4" t="n">
        <v>10.6</v>
      </c>
      <c r="C49" s="4">
        <f>B49*(1+C48)</f>
        <v/>
      </c>
      <c r="D49" s="4">
        <f>C49*(1+D48)</f>
        <v/>
      </c>
      <c r="E49" s="4">
        <f>D49*(1+E48)</f>
        <v/>
      </c>
      <c r="F49" s="4">
        <f>E49*(1+F48)</f>
        <v/>
      </c>
      <c r="G49" s="4">
        <f>F49*(1+G48)</f>
        <v/>
      </c>
      <c r="H49" s="4">
        <f>G49*(1+H48)</f>
        <v/>
      </c>
      <c r="I49" s="4">
        <f>H49*(1+I48)</f>
        <v/>
      </c>
      <c r="J49" s="4">
        <f>I49*(1+J48)</f>
        <v/>
      </c>
      <c r="K49" s="4">
        <f>J49*(1+K48)</f>
        <v/>
      </c>
    </row>
    <row r="50">
      <c r="A50" t="inlineStr">
        <is>
          <t>AFFO total ($M)</t>
        </is>
      </c>
      <c r="B50" s="5">
        <f>B49*$B$46</f>
        <v/>
      </c>
      <c r="C50" s="5">
        <f>C49*$B$46</f>
        <v/>
      </c>
      <c r="D50" s="5">
        <f>D49*$B$46</f>
        <v/>
      </c>
      <c r="E50" s="5">
        <f>E49*$B$46</f>
        <v/>
      </c>
      <c r="F50" s="5">
        <f>F49*$B$46</f>
        <v/>
      </c>
      <c r="G50" s="5">
        <f>G49*$B$46</f>
        <v/>
      </c>
      <c r="H50" s="5">
        <f>H49*$B$46</f>
        <v/>
      </c>
      <c r="I50" s="5">
        <f>I49*$B$46</f>
        <v/>
      </c>
      <c r="J50" s="5">
        <f>J49*$B$46</f>
        <v/>
      </c>
      <c r="K50" s="5">
        <f>K49*$B$46</f>
        <v/>
      </c>
    </row>
    <row r="51">
      <c r="A51" t="inlineStr">
        <is>
          <t>Discount factor</t>
        </is>
      </c>
      <c r="B51" s="6">
        <f>1/(1+$B$44)^1</f>
        <v/>
      </c>
      <c r="C51" s="6">
        <f>1/(1+$B$44)^2</f>
        <v/>
      </c>
      <c r="D51" s="6">
        <f>1/(1+$B$44)^3</f>
        <v/>
      </c>
      <c r="E51" s="6">
        <f>1/(1+$B$44)^4</f>
        <v/>
      </c>
      <c r="F51" s="6">
        <f>1/(1+$B$44)^5</f>
        <v/>
      </c>
      <c r="G51" s="6">
        <f>1/(1+$B$44)^6</f>
        <v/>
      </c>
      <c r="H51" s="6">
        <f>1/(1+$B$44)^7</f>
        <v/>
      </c>
      <c r="I51" s="6">
        <f>1/(1+$B$44)^8</f>
        <v/>
      </c>
      <c r="J51" s="6">
        <f>1/(1+$B$44)^9</f>
        <v/>
      </c>
      <c r="K51" s="6">
        <f>1/(1+$B$44)^10</f>
        <v/>
      </c>
    </row>
    <row r="52">
      <c r="A52" t="inlineStr">
        <is>
          <t>PV of AFFO/share</t>
        </is>
      </c>
      <c r="B52" s="4">
        <f>B49*B51</f>
        <v/>
      </c>
      <c r="C52" s="4">
        <f>C49*C51</f>
        <v/>
      </c>
      <c r="D52" s="4">
        <f>D49*D51</f>
        <v/>
      </c>
      <c r="E52" s="4">
        <f>E49*E51</f>
        <v/>
      </c>
      <c r="F52" s="4">
        <f>F49*F51</f>
        <v/>
      </c>
      <c r="G52" s="4">
        <f>G49*G51</f>
        <v/>
      </c>
      <c r="H52" s="4">
        <f>H49*H51</f>
        <v/>
      </c>
      <c r="I52" s="4">
        <f>I49*I51</f>
        <v/>
      </c>
      <c r="J52" s="4">
        <f>J49*J51</f>
        <v/>
      </c>
      <c r="K52" s="4">
        <f>K49*K51</f>
        <v/>
      </c>
    </row>
    <row r="54">
      <c r="A54" s="2" t="inlineStr">
        <is>
          <t>Sum PV interim AFFO/share</t>
        </is>
      </c>
      <c r="B54" s="4">
        <f>SUM(B52:K52)</f>
        <v/>
      </c>
    </row>
    <row r="55">
      <c r="A55" t="inlineStr">
        <is>
          <t>Terminal AFFO/share (yr N x (1+g))</t>
        </is>
      </c>
      <c r="B55" s="4">
        <f>K49*(1+$B$45)</f>
        <v/>
      </c>
    </row>
    <row r="56">
      <c r="A56" t="inlineStr">
        <is>
          <t>Terminal value per share (Gordon growth)</t>
        </is>
      </c>
      <c r="B56" s="4">
        <f>B55/($B$44-$B$45)</f>
        <v/>
      </c>
    </row>
    <row r="57">
      <c r="A57" t="inlineStr">
        <is>
          <t>PV of terminal value per share</t>
        </is>
      </c>
      <c r="B57" s="4">
        <f>B56*K51</f>
        <v/>
      </c>
    </row>
    <row r="58">
      <c r="A58" s="2" t="inlineStr">
        <is>
          <t>INTRINSIC VALUE PER SHARE</t>
        </is>
      </c>
      <c r="B58" s="7">
        <f>B54+B57</f>
        <v/>
      </c>
    </row>
    <row r="59">
      <c r="A59" t="inlineStr">
        <is>
          <t>Upside/(downside) vs current price</t>
        </is>
      </c>
      <c r="B59" s="3">
        <f>B58/167.26-1</f>
        <v/>
      </c>
    </row>
    <row r="60">
      <c r="A60" t="inlineStr">
        <is>
          <t>Equity value ($M)</t>
        </is>
      </c>
      <c r="B60" s="5">
        <f>B58*468.8</f>
        <v/>
      </c>
    </row>
    <row r="62">
      <c r="A62" s="2" t="inlineStr">
        <is>
          <t>PROBABILITY-WEIGHTED VALUATION</t>
        </is>
      </c>
    </row>
    <row r="63">
      <c r="A63" t="inlineStr">
        <is>
          <t>Weight: Bear</t>
        </is>
      </c>
      <c r="B63" s="3" t="n">
        <v>0.25</v>
      </c>
    </row>
    <row r="64">
      <c r="A64" t="inlineStr">
        <is>
          <t>Weight: Base</t>
        </is>
      </c>
      <c r="B64" s="3" t="n">
        <v>0.5</v>
      </c>
    </row>
    <row r="65">
      <c r="A65" t="inlineStr">
        <is>
          <t>Weight: Bull</t>
        </is>
      </c>
      <c r="B65" s="3" t="n">
        <v>0.25</v>
      </c>
    </row>
    <row r="66">
      <c r="A66" s="2" t="inlineStr">
        <is>
          <t>Weighted intrinsic value / share</t>
        </is>
      </c>
      <c r="B66" s="7">
        <f>B63*B58+B64*B20+B65*B39</f>
        <v/>
      </c>
    </row>
    <row r="67">
      <c r="A67" t="inlineStr">
        <is>
          <t>Weighted upside vs current price</t>
        </is>
      </c>
      <c r="B67" s="3">
        <f>B66/167.26-1</f>
        <v/>
      </c>
    </row>
    <row r="69">
      <c r="A69" s="2" t="inlineStr">
        <is>
          <t>ENTRY PRICE AT 15% HURDLE (base-case AFFO path)</t>
        </is>
      </c>
    </row>
    <row r="70">
      <c r="A70" t="inlineStr">
        <is>
          <t>Hurdle rate</t>
        </is>
      </c>
      <c r="B70" s="3" t="n">
        <v>0.15</v>
      </c>
    </row>
    <row r="71">
      <c r="A71" t="inlineStr">
        <is>
          <t>Entry price (base case, terminal growth 3.2%)</t>
        </is>
      </c>
      <c r="B71" s="4" t="n">
        <v>110.52</v>
      </c>
    </row>
    <row r="72">
      <c r="A72" t="inlineStr">
        <is>
          <t>Implied forward return at current price ($167.26)</t>
        </is>
      </c>
      <c r="B72" s="3" t="n">
        <v>0.1115</v>
      </c>
    </row>
    <row r="74">
      <c r="A74" s="2" t="inlineStr">
        <is>
          <t>NOTES</t>
        </is>
      </c>
    </row>
    <row r="75">
      <c r="A75" t="inlineStr">
        <is>
          <t>- AFFO/share is management's own non-GAAP measure (FY2026 guidance $11.08, twice-raised in 2026); not a tagged XBRL concept, so no historical series exists in core_metrics.</t>
        </is>
      </c>
    </row>
    <row r="76">
      <c r="A76" t="inlineStr">
        <is>
          <t>- Cost of equity used throughout, NOT WACC -- AFFO is already post-interest expense; net debt is never subtracted from the resulting per-share value.</t>
        </is>
      </c>
    </row>
    <row r="77">
      <c r="A77" t="inlineStr">
        <is>
          <t>- Revenue/RevenueContinuing columns in AMT_Metrics.csv are corrupted from FY2019 onward and were not used anywhere in this model -- see AMT_DCF.json inputs.notes.</t>
        </is>
      </c>
    </row>
    <row r="78">
      <c r="A78" t="inlineStr">
        <is>
          <t>- Weighted IV ($214.03) sits close to the qualitative research's cited Street consensus target (~$215), an external cross-check.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2026-09-25T10:02:32Z</dcterms:created>
  <dcterms:modified xsi:type="dcterms:W3CDTF">2026-09-25T10:02:32Z</dcterms:modified>
</cp:coreProperties>
</file>