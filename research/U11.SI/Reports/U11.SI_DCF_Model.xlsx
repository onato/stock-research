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<sst xmlns="http://schemas.openxmlformats.org/spreadsheetml/2006/main" count="375" uniqueCount="177">
  <si>
    <t xml:space="preserve">Ticker</t>
  </si>
  <si>
    <t xml:space="preserve">U11.SI</t>
  </si>
  <si>
    <t xml:space="preserve">Company</t>
  </si>
  <si>
    <t xml:space="preserve">United Overseas Bank Limited</t>
  </si>
  <si>
    <t xml:space="preserve">Valuation date</t>
  </si>
  <si>
    <t xml:space="preserve">2026-10-24</t>
  </si>
  <si>
    <t xml:space="preserve">Current price</t>
  </si>
  <si>
    <t xml:space="preserve">Price as of</t>
  </si>
  <si>
    <t xml:space="preserve">2026-10-23T09:04:18Z (SGX regular close, Friday 23 Oct 2026 17:04 SGT)</t>
  </si>
  <si>
    <t xml:space="preserve">Balance sheet date</t>
  </si>
  <si>
    <t xml:space="preserve">2026-03-31</t>
  </si>
  <si>
    <t xml:space="preserve">Model</t>
  </si>
  <si>
    <t xml:space="preserve">Bank FCFE capitalisation at cost of equity (engine route; residual income equivalent on book, net debt zero)</t>
  </si>
  <si>
    <t xml:space="preserve">Currency (model)</t>
  </si>
  <si>
    <t xml:space="preserve">SGD</t>
  </si>
  <si>
    <t xml:space="preserve">Currency (quote)</t>
  </si>
  <si>
    <t xml:space="preserve">Units</t>
  </si>
  <si>
    <t xml:space="preserve">millions</t>
  </si>
  <si>
    <t xml:space="preserve">Engine</t>
  </si>
  <si>
    <t xml:space="preserve">dcf_engine v1</t>
  </si>
  <si>
    <t xml:space="preserve">Built at</t>
  </si>
  <si>
    <t xml:space="preserve">2026-10-24T09:31:06Z</t>
  </si>
  <si>
    <t xml:space="preserve">Drivers file</t>
  </si>
  <si>
    <t xml:space="preserve">U11.SI_Drivers.json</t>
  </si>
  <si>
    <t xml:space="preserve">Convention</t>
  </si>
  <si>
    <t xml:space="preserve">Percents stored as percents; formulas divide by 100. Blue = input, green = link, black = formula.</t>
  </si>
  <si>
    <t xml:space="preserve">Methodology</t>
  </si>
  <si>
    <t xml:space="preserve">summary: A bank is valued on what it can distribute after funding the regulatory capital its growth consumes, discounted at an SGD cost of equity -- never on statutory operating cash flow, which is deposit and loan movement, and never with deposits or wholesale funding treated as net debt. Profit attributable to ordinary shareholders is the flow; capital retained at g/ROE is the reinvestment; 8.5% is the owner's required return; capital above a 14.5% CET1 is added back as surplus. This is the residual-income answer in FCFE form. UOB is the cheapest of the three Singapore banks for a reason -- the lowest ROE and highest NPL ratio -- and the question is whether ~1.4x book already prices that.
key_risks_to_valuation: NIM: ~68% of income is NII; every 10bp of NIM on ~S$520bn of interest-earning assets is ~S$0.5bn of pre-tax income (~4% of income). July 2026 exit NIM 1.71% is already below the FY2026 guide of 1.75-1.80%.; Greater China / Hong Kong real estate: NPA coverage in the region fell to 42% in 2Q26 and a single large account drove new NPA formation; Greater China is 13% of loans.; Fee momentum: FY2026 fee growth guidance cut to low single digits from high single digits as investment-banking fees softened.; ROE gap: UOB's ROE (FY2025 9.6%, 1Q26 11.5%) is structurally below DBS (~18%) and OCBC (~14%); the base case needs ~12.8% on required equity to be worth ~1.8x required book.; Cost of equity: at 8.0% (the D05.SI rate) the base case rises materially; at 9.0% it falls -- see the sensitivity grid.; Capital: the S$2.5bn surplus-capital add-back assumes CET1 can run at 14.5%; the Basel III output-floor phase-in to 2029 could absorb part of it.</t>
  </si>
  <si>
    <t xml:space="preserve">Data sources</t>
  </si>
  <si>
    <t xml:space="preserve">price: Yahoo Finance chart API (U11.SI, SGD) at inputs.price_as_of; 52-week range 33.25-45.15.
financials: U11.SI_Metrics.csv (core_metrics, SGD millions) and kpis table; 2Q26/1H26 news release (U11.SI_HalfYear_H1-2026.txt) for the latest P&amp;L, CET1, NPL and dividend; 1Q26 performance highlights (U11.SI_Quarterly_Q1-2026.txt) for equity, NAV/share, RWA and loans; FY2025 annual report for share capital, perpetual securities, intangibles, diluted EPS and the S$2bn buyback.
qualitative: Filings first; U11.SI_Analysis.json for FY2026 guidance (NIM 1.75-1.80%, fee growth cut to low single digits, credit costs 25-30bp, 50% payout) and the DBS/OCBC peer framing.</t>
  </si>
  <si>
    <t xml:space="preserve">Scenario narrative: bear</t>
  </si>
  <si>
    <t xml:space="preserve">Greater China and Hong Kong real estate turns into a full credit cycle (credit costs ~40bp, NPA coverage rebuilt from 42%) while NIM falls to ~1.60% and competition squeezes retail and wholesale income. ROE stalls at ~10.5% and the market re-rates UOB to its 2016-2020 ~1.1x book.</t>
  </si>
  <si>
    <t xml:space="preserve">Scenario narrative: base</t>
  </si>
  <si>
    <t xml:space="preserve">NIM troughs ~1.70% in 2027 and the drag fades as loan growth (~4-5%) and deposit repricing catch up; wealth and trade fees carry non-interest income, cost-income eases to ~44% and credit costs normalise at ~25bp as the single large Greater China account is worked out. ROE on required equity rebuilds from ~12% to ~12.8% -- still the lowest of the three Singapore banks -- with ~60% distributed. Worth ~1.8x required book plus ~S$1.5/share of surplus CET1.</t>
  </si>
  <si>
    <t xml:space="preserve">Scenario narrative: bull</t>
  </si>
  <si>
    <t xml:space="preserve">The post-Citi ASEAN franchise and wealth/trade growth re-rate UOB toward its peers: NIM holds ~1.75%, cost-income falls to ~42%, credit costs ~20bp, income +6% for four years and ROE reaches ~14%.</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</si>
  <si>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</si>
  <si>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</si>
  <si>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</si>
  <si>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</si>
  <si>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</si>
  <si>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</si>
  <si>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</si>
  <si>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</si>
  <si>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</si>
  <si>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</si>
  <si>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</si>
  <si>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</si>
  <si>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</si>
  <si>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</si>
  <si>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</si>
  <si>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</si>
  <si>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</si>
  <si>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</si>
  <si>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</si>
  <si>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</si>
  <si>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</si>
  <si>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</si>
  <si>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</si>
  <si>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</si>
  <si>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</si>
  <si>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</si>
  <si>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</si>
  <si>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CostToIncomeRatio</t>
  </si>
  <si>
    <t xml:space="preserve">CustomerDeposits</t>
  </si>
  <si>
    <t xml:space="preserve">GrossLoansAndAdvances</t>
  </si>
  <si>
    <t xml:space="preserve">NPLRatio</t>
  </si>
  <si>
    <t xml:space="preserve">NetInterestIncome</t>
  </si>
  <si>
    <t xml:space="preserve">NetInterestMargin</t>
  </si>
  <si>
    <t xml:space="preserve">NetLoansAndAdvances</t>
  </si>
  <si>
    <t xml:space="preserve">NonInterestIncome</t>
  </si>
  <si>
    <t xml:space="preserve">ReturnOnEquity</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</si>
  <si>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</si>
  <si>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</si>
  <si>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</si>
  <si>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</si>
  <si>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</si>
  <si>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</si>
  <si>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</si>
  <si>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</si>
  <si>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</si>
  <si>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</si>
  <si>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</si>
  <si>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</si>
  <si>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</si>
  <si>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</si>
  <si>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</si>
  <si>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</si>
  <si>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</si>
  <si>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</si>
  <si>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</si>
  <si>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</si>
  <si>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</si>
  <si>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</si>
  <si>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</si>
  <si>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SGD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</si>
  <si>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</si>
  <si>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</si>
  <si>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</si>
  <si>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</si>
  <si>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</si>
  <si>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</si>
  <si>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</si>
  <si>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</si>
  <si>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</si>
  <si>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</si>
  <si>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</si>
  <si>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</si>
  <si>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</si>
  <si>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</si>
  <si>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</si>
  <si>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</si>
  <si>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</si>
  <si>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</si>
  <si>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</si>
  <si>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</si>
  <si>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</si>
  <si>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</si>
  <si>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</si>
  <si>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</si>
  <si>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</si>
  <si>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</si>
  <si>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U11.SI owner-FCF component DCF: bear case (millions, SGD)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</si>
  <si>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</si>
  <si>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</si>
  <si>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</si>
  <si>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</si>
  <si>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</si>
  <si>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</si>
  <si>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</si>
  <si>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</si>
  <si>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</si>
  <si>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</si>
  <si>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</si>
  <si>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</si>
  <si>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</si>
  <si>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</si>
  <si>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</si>
  <si>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</si>
  <si>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</si>
  <si>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</si>
  <si>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</si>
  <si>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</si>
  <si>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</si>
  <si>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</si>
  <si>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</si>
  <si>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</si>
  <si>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</si>
  <si>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</si>
  <si>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</si>
  <si>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</si>
  <si>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</si>
  <si>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</si>
  <si>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U11.SI owner-FCF component DCF: base case (millions, SGD)</t>
  </si>
  <si>
    <t xml:space="preserve">U11.SI owner-FCF component DCF: bull case (millions, SGD)</t>
  </si>
  <si>
    <t xml:space="preserve">U11.SI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</si>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</sst>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41.59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c r="AK1" s="2" t="s">
        <v>71</v>
      </c>
    </row>
    <row r="2" customFormat="false" ht="15" hidden="false" customHeight="false" outlineLevel="0" collapsed="false">
      <c r="A2" s="0" t="s">
        <v>72</v>
      </c>
      <c r="B2" s="0" t="n">
        <v>7457.3</v>
      </c>
      <c r="F2" s="0" t="n">
        <v>4311</v>
      </c>
      <c r="G2" s="0" t="n">
        <v>57.8</v>
      </c>
      <c r="I2" s="0" t="n">
        <v>3249.1</v>
      </c>
      <c r="J2" s="0" t="n">
        <v>43.6</v>
      </c>
      <c r="K2" s="0" t="n">
        <v>1.97</v>
      </c>
      <c r="L2" s="0" t="n">
        <v>7110.8</v>
      </c>
      <c r="O2" s="0" t="n">
        <v>29569.4</v>
      </c>
      <c r="P2" s="0" t="n">
        <v>306736.1</v>
      </c>
      <c r="Q2" s="0" t="n">
        <v>276964.1</v>
      </c>
      <c r="R2" s="0" t="n">
        <v>20953.3</v>
      </c>
      <c r="S2" s="0" t="n">
        <v>29704.3</v>
      </c>
      <c r="T2" s="0" t="n">
        <v>1596.8</v>
      </c>
      <c r="U2" s="0" t="n">
        <v>32.5</v>
      </c>
      <c r="AA2" s="0" t="s">
        <v>17</v>
      </c>
      <c r="AB2" s="0" t="s">
        <v>14</v>
      </c>
      <c r="AD2" s="0" t="n">
        <v>233749.6</v>
      </c>
      <c r="AG2" s="0" t="n">
        <v>4557.7</v>
      </c>
      <c r="AI2" s="0" t="n">
        <v>195902.6</v>
      </c>
      <c r="AJ2" s="0" t="n">
        <v>2899.6</v>
      </c>
    </row>
    <row r="3" customFormat="false" ht="15" hidden="false" customHeight="false" outlineLevel="0" collapsed="false">
      <c r="A3" s="0" t="s">
        <v>73</v>
      </c>
      <c r="B3" s="0" t="n">
        <v>8047.9</v>
      </c>
      <c r="F3" s="0" t="n">
        <v>4450.9</v>
      </c>
      <c r="G3" s="0" t="n">
        <v>55.3</v>
      </c>
      <c r="I3" s="0" t="n">
        <v>3208.9</v>
      </c>
      <c r="J3" s="0" t="n">
        <v>39.9</v>
      </c>
      <c r="K3" s="0" t="n">
        <v>1.93</v>
      </c>
      <c r="L3" s="0" t="n">
        <v>661.1</v>
      </c>
      <c r="O3" s="0" t="n">
        <v>30768.4</v>
      </c>
      <c r="P3" s="0" t="n">
        <v>316011.2</v>
      </c>
      <c r="Q3" s="0" t="n">
        <v>285087.4</v>
      </c>
      <c r="R3" s="0" t="n">
        <v>20288.3</v>
      </c>
      <c r="S3" s="0" t="n">
        <v>27227.9</v>
      </c>
      <c r="T3" s="0" t="n">
        <v>1606.7</v>
      </c>
      <c r="U3" s="0" t="n">
        <v>41.1</v>
      </c>
      <c r="AA3" s="0" t="s">
        <v>17</v>
      </c>
      <c r="AB3" s="0" t="s">
        <v>14</v>
      </c>
      <c r="AD3" s="0" t="n">
        <v>240524.5</v>
      </c>
      <c r="AG3" s="0" t="n">
        <v>4926.3</v>
      </c>
      <c r="AI3" s="0" t="n">
        <v>203610.9</v>
      </c>
      <c r="AJ3" s="0" t="n">
        <v>3121.6</v>
      </c>
    </row>
    <row r="4" customFormat="false" ht="15" hidden="false" customHeight="false" outlineLevel="0" collapsed="false">
      <c r="A4" s="0" t="s">
        <v>74</v>
      </c>
      <c r="B4" s="0" t="n">
        <v>8061.3</v>
      </c>
      <c r="F4" s="0" t="n">
        <v>4364.8</v>
      </c>
      <c r="G4" s="0" t="n">
        <v>54.1</v>
      </c>
      <c r="I4" s="0" t="n">
        <v>3096.3</v>
      </c>
      <c r="J4" s="0" t="n">
        <v>38.4</v>
      </c>
      <c r="K4" s="0" t="n">
        <v>1.85</v>
      </c>
      <c r="L4" s="0" t="n">
        <v>-13313.5</v>
      </c>
      <c r="O4" s="0" t="n">
        <v>32873.2</v>
      </c>
      <c r="P4" s="0" t="n">
        <v>340027.6</v>
      </c>
      <c r="Q4" s="0" t="n">
        <v>306985.8</v>
      </c>
      <c r="R4" s="0" t="n">
        <v>26142.9</v>
      </c>
      <c r="S4" s="0" t="n">
        <v>18400.8</v>
      </c>
      <c r="T4" s="0" t="n">
        <v>1622.8</v>
      </c>
      <c r="U4" s="0" t="n">
        <v>41.1</v>
      </c>
      <c r="AA4" s="0" t="s">
        <v>17</v>
      </c>
      <c r="AB4" s="0" t="s">
        <v>14</v>
      </c>
      <c r="AD4" s="0" t="n">
        <v>255313.9</v>
      </c>
      <c r="AG4" s="0" t="n">
        <v>4990.8</v>
      </c>
      <c r="AI4" s="0" t="n">
        <v>221733.7</v>
      </c>
      <c r="AJ4" s="0" t="n">
        <v>3070.5</v>
      </c>
    </row>
    <row r="5" customFormat="false" ht="15" hidden="false" customHeight="false" outlineLevel="0" collapsed="false">
      <c r="A5" s="0" t="s">
        <v>75</v>
      </c>
      <c r="B5" s="0" t="n">
        <v>8851.3</v>
      </c>
      <c r="F5" s="0" t="n">
        <v>4824</v>
      </c>
      <c r="G5" s="0" t="n">
        <v>54.5</v>
      </c>
      <c r="I5" s="0" t="n">
        <v>3390.3</v>
      </c>
      <c r="J5" s="0" t="n">
        <v>38.3</v>
      </c>
      <c r="K5" s="0" t="n">
        <v>1.98</v>
      </c>
      <c r="L5" s="0" t="n">
        <v>3908.9</v>
      </c>
      <c r="O5" s="0" t="n">
        <v>36849.9</v>
      </c>
      <c r="P5" s="0" t="n">
        <v>358592.4</v>
      </c>
      <c r="Q5" s="0" t="n">
        <v>321555.8</v>
      </c>
      <c r="R5" s="0" t="n">
        <v>25178.4</v>
      </c>
      <c r="S5" s="0" t="n">
        <v>20975.3</v>
      </c>
      <c r="T5" s="0" t="n">
        <v>1657.1</v>
      </c>
      <c r="U5" s="0" t="n">
        <v>40.7</v>
      </c>
      <c r="AA5" s="0" t="s">
        <v>17</v>
      </c>
      <c r="AB5" s="0" t="s">
        <v>14</v>
      </c>
      <c r="AD5" s="0" t="n">
        <v>272765.1</v>
      </c>
      <c r="AG5" s="0" t="n">
        <v>5528.1</v>
      </c>
      <c r="AI5" s="0" t="n">
        <v>232211.7</v>
      </c>
      <c r="AJ5" s="0" t="n">
        <v>3323.2</v>
      </c>
    </row>
    <row r="6" customFormat="false" ht="15" hidden="false" customHeight="false" outlineLevel="0" collapsed="false">
      <c r="A6" s="0" t="s">
        <v>76</v>
      </c>
      <c r="B6" s="0" t="n">
        <v>9116.3</v>
      </c>
      <c r="F6" s="0" t="n">
        <v>5113</v>
      </c>
      <c r="G6" s="0" t="n">
        <v>56.1</v>
      </c>
      <c r="I6" s="0" t="n">
        <v>4008</v>
      </c>
      <c r="J6" s="0" t="n">
        <v>44</v>
      </c>
      <c r="K6" s="0" t="n">
        <v>2.33</v>
      </c>
      <c r="L6" s="0" t="n">
        <v>-3707.1</v>
      </c>
      <c r="M6" s="0" t="n">
        <v>516.5</v>
      </c>
      <c r="O6" s="0" t="n">
        <v>37623.1</v>
      </c>
      <c r="P6" s="0" t="n">
        <v>388092.4</v>
      </c>
      <c r="Q6" s="0" t="n">
        <v>350279.6</v>
      </c>
      <c r="R6" s="0" t="n">
        <v>30605.6</v>
      </c>
      <c r="S6" s="0" t="n">
        <v>19617.1</v>
      </c>
      <c r="T6" s="0" t="n">
        <v>1671.4</v>
      </c>
      <c r="U6" s="0" t="n">
        <v>39.9</v>
      </c>
      <c r="AA6" s="0" t="s">
        <v>17</v>
      </c>
      <c r="AB6" s="0" t="s">
        <v>14</v>
      </c>
      <c r="AD6" s="0" t="n">
        <v>293185.8</v>
      </c>
      <c r="AG6" s="0" t="n">
        <v>6220</v>
      </c>
      <c r="AI6" s="0" t="n">
        <v>258627.3</v>
      </c>
      <c r="AJ6" s="0" t="n">
        <v>2896.4</v>
      </c>
    </row>
    <row r="7" customFormat="false" ht="15" hidden="false" customHeight="false" outlineLevel="0" collapsed="false">
      <c r="A7" s="0" t="s">
        <v>77</v>
      </c>
      <c r="B7" s="0" t="n">
        <v>10029.8</v>
      </c>
      <c r="F7" s="0" t="n">
        <v>5557.6</v>
      </c>
      <c r="G7" s="0" t="n">
        <v>55.4</v>
      </c>
      <c r="I7" s="0" t="n">
        <v>4343.3</v>
      </c>
      <c r="J7" s="0" t="n">
        <v>43.3</v>
      </c>
      <c r="K7" s="0" t="n">
        <v>2.54</v>
      </c>
      <c r="L7" s="0" t="n">
        <v>8332.7</v>
      </c>
      <c r="M7" s="0" t="n">
        <v>573</v>
      </c>
      <c r="O7" s="0" t="n">
        <v>39636.5</v>
      </c>
      <c r="P7" s="0" t="n">
        <v>404408.6</v>
      </c>
      <c r="Q7" s="0" t="n">
        <v>364544.7</v>
      </c>
      <c r="R7" s="0" t="n">
        <v>25209.4</v>
      </c>
      <c r="S7" s="0" t="n">
        <v>20187.9</v>
      </c>
      <c r="T7" s="0" t="n">
        <v>1673.4</v>
      </c>
      <c r="U7" s="0" t="n">
        <v>52.5</v>
      </c>
      <c r="AA7" s="0" t="s">
        <v>17</v>
      </c>
      <c r="AB7" s="0" t="s">
        <v>14</v>
      </c>
      <c r="AD7" s="0" t="n">
        <v>310726.1</v>
      </c>
      <c r="AG7" s="0" t="n">
        <v>6562.4</v>
      </c>
      <c r="AI7" s="0" t="n">
        <v>265457.9</v>
      </c>
      <c r="AJ7" s="0" t="n">
        <v>3467.4</v>
      </c>
    </row>
    <row r="8" customFormat="false" ht="15" hidden="false" customHeight="false" outlineLevel="0" collapsed="false">
      <c r="A8" s="0" t="s">
        <v>78</v>
      </c>
      <c r="B8" s="0" t="n">
        <v>9176</v>
      </c>
      <c r="F8" s="0" t="n">
        <v>4992</v>
      </c>
      <c r="G8" s="0" t="n">
        <v>54.4</v>
      </c>
      <c r="I8" s="0" t="n">
        <v>2915</v>
      </c>
      <c r="J8" s="0" t="n">
        <v>31.8</v>
      </c>
      <c r="K8" s="0" t="n">
        <v>1.68</v>
      </c>
      <c r="L8" s="0" t="n">
        <v>9623</v>
      </c>
      <c r="M8" s="0" t="n">
        <v>563</v>
      </c>
      <c r="O8" s="0" t="n">
        <v>40901</v>
      </c>
      <c r="P8" s="0" t="n">
        <v>431814</v>
      </c>
      <c r="Q8" s="0" t="n">
        <v>390683</v>
      </c>
      <c r="R8" s="0" t="n">
        <v>29608</v>
      </c>
      <c r="S8" s="0" t="n">
        <v>31364</v>
      </c>
      <c r="T8" s="0" t="n">
        <v>1677</v>
      </c>
      <c r="U8" s="0" t="n">
        <v>58</v>
      </c>
      <c r="AA8" s="0" t="s">
        <v>17</v>
      </c>
      <c r="AB8" s="0" t="s">
        <v>14</v>
      </c>
      <c r="AD8" s="0" t="n">
        <v>324598</v>
      </c>
      <c r="AG8" s="0" t="n">
        <v>6035</v>
      </c>
      <c r="AI8" s="0" t="n">
        <v>277201</v>
      </c>
      <c r="AJ8" s="0" t="n">
        <v>3141</v>
      </c>
    </row>
    <row r="9" customFormat="false" ht="15" hidden="false" customHeight="false" outlineLevel="0" collapsed="false">
      <c r="A9" s="0" t="s">
        <v>79</v>
      </c>
      <c r="B9" s="0" t="n">
        <v>9789</v>
      </c>
      <c r="F9" s="0" t="n">
        <v>5476</v>
      </c>
      <c r="G9" s="0" t="n">
        <v>55.9</v>
      </c>
      <c r="I9" s="0" t="n">
        <v>4075</v>
      </c>
      <c r="J9" s="0" t="n">
        <v>41.6</v>
      </c>
      <c r="K9" s="0" t="n">
        <v>2.38</v>
      </c>
      <c r="L9" s="0" t="n">
        <v>-2809</v>
      </c>
      <c r="M9" s="0" t="n">
        <v>550</v>
      </c>
      <c r="O9" s="0" t="n">
        <v>42633</v>
      </c>
      <c r="P9" s="0" t="n">
        <v>459323</v>
      </c>
      <c r="Q9" s="0" t="n">
        <v>416462</v>
      </c>
      <c r="R9" s="0" t="n">
        <v>34056</v>
      </c>
      <c r="S9" s="0" t="n">
        <v>30972</v>
      </c>
      <c r="T9" s="0" t="n">
        <v>1681.4</v>
      </c>
      <c r="U9" s="0" t="n">
        <v>59</v>
      </c>
      <c r="AA9" s="0" t="s">
        <v>17</v>
      </c>
      <c r="AB9" s="0" t="s">
        <v>14</v>
      </c>
      <c r="AD9" s="0" t="n">
        <v>352633</v>
      </c>
      <c r="AG9" s="0" t="n">
        <v>6388</v>
      </c>
      <c r="AI9" s="0" t="n">
        <v>306713</v>
      </c>
      <c r="AJ9" s="0" t="n">
        <v>3401</v>
      </c>
    </row>
    <row r="10" customFormat="false" ht="15" hidden="false" customHeight="false" outlineLevel="0" collapsed="false">
      <c r="A10" s="0" t="s">
        <v>80</v>
      </c>
      <c r="B10" s="0" t="n">
        <v>11575</v>
      </c>
      <c r="F10" s="0" t="n">
        <v>6294</v>
      </c>
      <c r="G10" s="0" t="n">
        <v>54.4</v>
      </c>
      <c r="I10" s="0" t="n">
        <v>4573</v>
      </c>
      <c r="J10" s="0" t="n">
        <v>39.5</v>
      </c>
      <c r="K10" s="0" t="n">
        <v>2.68</v>
      </c>
      <c r="L10" s="0" t="n">
        <v>10104</v>
      </c>
      <c r="M10" s="0" t="n">
        <v>704</v>
      </c>
      <c r="O10" s="0" t="n">
        <v>43366</v>
      </c>
      <c r="P10" s="0" t="n">
        <v>504260</v>
      </c>
      <c r="Q10" s="0" t="n">
        <v>460654</v>
      </c>
      <c r="R10" s="0" t="n">
        <v>40593</v>
      </c>
      <c r="S10" s="0" t="n">
        <v>43265</v>
      </c>
      <c r="T10" s="0" t="n">
        <v>1680.6</v>
      </c>
      <c r="U10" s="0" t="n">
        <v>61</v>
      </c>
      <c r="AA10" s="0" t="s">
        <v>17</v>
      </c>
      <c r="AB10" s="0" t="s">
        <v>14</v>
      </c>
      <c r="AD10" s="0" t="n">
        <v>368553</v>
      </c>
      <c r="AG10" s="0" t="n">
        <v>8343</v>
      </c>
      <c r="AI10" s="0" t="n">
        <v>315355</v>
      </c>
      <c r="AJ10" s="0" t="n">
        <v>3232</v>
      </c>
    </row>
    <row r="11" customFormat="false" ht="15" hidden="false" customHeight="false" outlineLevel="0" collapsed="false">
      <c r="A11" s="0" t="s">
        <v>81</v>
      </c>
      <c r="B11" s="0" t="n">
        <v>13932</v>
      </c>
      <c r="F11" s="0" t="n">
        <v>7715</v>
      </c>
      <c r="G11" s="0" t="n">
        <v>55.4</v>
      </c>
      <c r="I11" s="0" t="n">
        <v>5711</v>
      </c>
      <c r="J11" s="0" t="n">
        <v>41</v>
      </c>
      <c r="K11" s="0" t="n">
        <v>3.33</v>
      </c>
      <c r="L11" s="0" t="n">
        <v>10766</v>
      </c>
      <c r="M11" s="0" t="n">
        <v>872</v>
      </c>
      <c r="O11" s="0" t="n">
        <v>46226</v>
      </c>
      <c r="P11" s="0" t="n">
        <v>523520</v>
      </c>
      <c r="Q11" s="0" t="n">
        <v>477052</v>
      </c>
      <c r="R11" s="0" t="n">
        <v>36280</v>
      </c>
      <c r="S11" s="0" t="n">
        <v>45731</v>
      </c>
      <c r="T11" s="0" t="n">
        <v>1680.9</v>
      </c>
      <c r="U11" s="0" t="n">
        <v>64</v>
      </c>
      <c r="AA11" s="0" t="s">
        <v>17</v>
      </c>
      <c r="AB11" s="0" t="s">
        <v>14</v>
      </c>
      <c r="AD11" s="0" t="n">
        <v>385469</v>
      </c>
      <c r="AG11" s="0" t="n">
        <v>9679</v>
      </c>
      <c r="AI11" s="0" t="n">
        <v>317005</v>
      </c>
      <c r="AJ11" s="0" t="n">
        <v>4253</v>
      </c>
    </row>
    <row r="12" customFormat="false" ht="15" hidden="false" customHeight="false" outlineLevel="0" collapsed="false">
      <c r="A12" s="0" t="s">
        <v>82</v>
      </c>
      <c r="B12" s="0" t="n">
        <v>14294</v>
      </c>
      <c r="F12" s="0" t="n">
        <v>7984</v>
      </c>
      <c r="G12" s="0" t="n">
        <v>55.9</v>
      </c>
      <c r="I12" s="0" t="n">
        <v>6045</v>
      </c>
      <c r="J12" s="0" t="n">
        <v>42.3</v>
      </c>
      <c r="K12" s="0" t="n">
        <v>3.54</v>
      </c>
      <c r="L12" s="0" t="n">
        <v>-14849</v>
      </c>
      <c r="M12" s="0" t="n">
        <v>867</v>
      </c>
      <c r="O12" s="0" t="n">
        <v>49733</v>
      </c>
      <c r="P12" s="0" t="n">
        <v>537664</v>
      </c>
      <c r="Q12" s="0" t="n">
        <v>487707</v>
      </c>
      <c r="R12" s="0" t="n">
        <v>41367</v>
      </c>
      <c r="S12" s="0" t="n">
        <v>31805</v>
      </c>
      <c r="T12" s="0" t="n">
        <v>1681.2</v>
      </c>
      <c r="U12" s="0" t="n">
        <v>83</v>
      </c>
      <c r="AA12" s="0" t="s">
        <v>17</v>
      </c>
      <c r="AB12" s="0" t="s">
        <v>14</v>
      </c>
      <c r="AD12" s="0" t="n">
        <v>403978</v>
      </c>
      <c r="AG12" s="0" t="n">
        <v>9674</v>
      </c>
      <c r="AI12" s="0" t="n">
        <v>333930</v>
      </c>
      <c r="AJ12" s="0" t="n">
        <v>4620</v>
      </c>
    </row>
    <row r="13" customFormat="false" ht="15" hidden="false" customHeight="false" outlineLevel="0" collapsed="false">
      <c r="A13" s="0" t="s">
        <v>83</v>
      </c>
      <c r="B13" s="0" t="n">
        <v>13808</v>
      </c>
      <c r="F13" s="0" t="n">
        <v>7651</v>
      </c>
      <c r="G13" s="0" t="n">
        <v>55.4</v>
      </c>
      <c r="I13" s="0" t="n">
        <v>4682</v>
      </c>
      <c r="J13" s="0" t="n">
        <v>33.9</v>
      </c>
      <c r="K13" s="0" t="n">
        <v>2.75</v>
      </c>
      <c r="L13" s="0" t="n">
        <v>1318</v>
      </c>
      <c r="M13" s="0" t="n">
        <v>1272</v>
      </c>
      <c r="O13" s="0" t="n">
        <v>51248</v>
      </c>
      <c r="P13" s="0" t="n">
        <v>572061</v>
      </c>
      <c r="Q13" s="0" t="n">
        <v>520568</v>
      </c>
      <c r="R13" s="0" t="n">
        <v>44423</v>
      </c>
      <c r="S13" s="0" t="n">
        <v>28913</v>
      </c>
      <c r="T13" s="0" t="n">
        <v>1671.4</v>
      </c>
      <c r="U13" s="0" t="n">
        <v>80</v>
      </c>
      <c r="AA13" s="0" t="s">
        <v>17</v>
      </c>
      <c r="AB13" s="0" t="s">
        <v>14</v>
      </c>
      <c r="AD13" s="0" t="n">
        <v>425938</v>
      </c>
      <c r="AG13" s="0" t="n">
        <v>9355</v>
      </c>
      <c r="AI13" s="0" t="n">
        <v>347877</v>
      </c>
      <c r="AJ13" s="0" t="n">
        <v>4453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84</v>
      </c>
      <c r="B1" s="2" t="s">
        <v>85</v>
      </c>
    </row>
    <row r="2" customFormat="false" ht="15" hidden="false" customHeight="false" outlineLevel="0" collapsed="false">
      <c r="A2" s="0" t="s">
        <v>86</v>
      </c>
      <c r="B2" s="3" t="n">
        <v>41.59</v>
      </c>
    </row>
    <row r="3" customFormat="false" ht="15" hidden="false" customHeight="false" outlineLevel="0" collapsed="false">
      <c r="A3" s="0" t="s">
        <v>87</v>
      </c>
      <c r="B3" s="3" t="n">
        <v>1656</v>
      </c>
    </row>
    <row r="4" customFormat="false" ht="15" hidden="false" customHeight="false" outlineLevel="0" collapsed="false">
      <c r="A4" s="0" t="s">
        <v>88</v>
      </c>
      <c r="B4" s="3" t="n">
        <v>0</v>
      </c>
    </row>
    <row r="5" customFormat="false" ht="15" hidden="false" customHeight="false" outlineLevel="0" collapsed="false">
      <c r="A5" s="0" t="s">
        <v>89</v>
      </c>
      <c r="B5" s="3" t="n">
        <v>2500</v>
      </c>
    </row>
    <row r="6" customFormat="false" ht="15" hidden="false" customHeight="false" outlineLevel="0" collapsed="false">
      <c r="A6" s="0" t="s">
        <v>90</v>
      </c>
      <c r="B6" s="3" t="n">
        <v>15</v>
      </c>
    </row>
    <row r="7" customFormat="false" ht="15" hidden="false" customHeight="false" outlineLevel="0" collapsed="false">
      <c r="A7" s="0" t="s">
        <v>91</v>
      </c>
      <c r="B7" s="3" t="n">
        <v>13550</v>
      </c>
    </row>
    <row r="8" customFormat="false" ht="15" hidden="false" customHeight="false" outlineLevel="0" collapsed="false">
      <c r="A8" s="0" t="s">
        <v>92</v>
      </c>
      <c r="B8" s="3" t="s">
        <v>93</v>
      </c>
    </row>
    <row r="9" customFormat="false" ht="15" hidden="false" customHeight="false" outlineLevel="0" collapsed="false">
      <c r="A9" s="0" t="s">
        <v>94</v>
      </c>
      <c r="B9" s="3" t="s">
        <v>95</v>
      </c>
    </row>
    <row r="10" customFormat="false" ht="15" hidden="false" customHeight="false" outlineLevel="0" collapsed="false">
      <c r="A10" s="0" t="s">
        <v>96</v>
      </c>
      <c r="B10" s="3" t="n">
        <v>1</v>
      </c>
    </row>
    <row r="12" customFormat="false" ht="15" hidden="false" customHeight="false" outlineLevel="0" collapsed="false">
      <c r="A12" s="2" t="s">
        <v>97</v>
      </c>
      <c r="C12" s="2" t="s">
        <v>98</v>
      </c>
      <c r="D12" s="2" t="s">
        <v>99</v>
      </c>
      <c r="E12" s="2" t="s">
        <v>100</v>
      </c>
      <c r="F12" s="2" t="s">
        <v>101</v>
      </c>
      <c r="G12" s="2" t="s">
        <v>102</v>
      </c>
      <c r="H12" s="2" t="s">
        <v>103</v>
      </c>
      <c r="I12" s="2" t="s">
        <v>104</v>
      </c>
      <c r="J12" s="2" t="s">
        <v>105</v>
      </c>
      <c r="K12" s="2" t="s">
        <v>106</v>
      </c>
      <c r="L12" s="2" t="s">
        <v>107</v>
      </c>
    </row>
    <row r="13" customFormat="false" ht="15" hidden="false" customHeight="false" outlineLevel="0" collapsed="false">
      <c r="A13" s="0" t="s">
        <v>108</v>
      </c>
      <c r="C13" s="3" t="n">
        <v>-3</v>
      </c>
      <c r="D13" s="3" t="n">
        <v>1.5</v>
      </c>
      <c r="E13" s="3" t="n">
        <v>3</v>
      </c>
      <c r="F13" s="3" t="n">
        <v>3.5</v>
      </c>
      <c r="G13" s="3" t="n">
        <v>3.5</v>
      </c>
      <c r="H13" s="3" t="n">
        <v>3</v>
      </c>
      <c r="I13" s="3" t="n">
        <v>3</v>
      </c>
      <c r="J13" s="3" t="n">
        <v>2.5</v>
      </c>
      <c r="K13" s="3" t="n">
        <v>2.5</v>
      </c>
      <c r="L13" s="3" t="n">
        <v>2.5</v>
      </c>
    </row>
    <row r="14" customFormat="false" ht="15" hidden="false" customHeight="false" outlineLevel="0" collapsed="false">
      <c r="A14" s="0" t="s">
        <v>109</v>
      </c>
      <c r="C14" s="3" t="n">
        <v>40.6</v>
      </c>
      <c r="D14" s="3" t="n">
        <v>42.6</v>
      </c>
      <c r="E14" s="3" t="n">
        <v>44.6</v>
      </c>
      <c r="F14" s="3" t="n">
        <v>45.6</v>
      </c>
      <c r="G14" s="3" t="n">
        <v>46.1</v>
      </c>
      <c r="H14" s="3" t="n">
        <v>46.1</v>
      </c>
      <c r="I14" s="3" t="n">
        <v>46.1</v>
      </c>
      <c r="J14" s="3" t="n">
        <v>46.1</v>
      </c>
      <c r="K14" s="3" t="n">
        <v>46.1</v>
      </c>
      <c r="L14" s="3" t="n">
        <v>46.1</v>
      </c>
    </row>
    <row r="15" customFormat="false" ht="15" hidden="false" customHeight="false" outlineLevel="0" collapsed="false">
      <c r="A15" s="0" t="s">
        <v>110</v>
      </c>
      <c r="C15" s="3" t="n">
        <v>0.6</v>
      </c>
      <c r="D15" s="3" t="n">
        <v>0.6</v>
      </c>
      <c r="E15" s="3" t="n">
        <v>0.6</v>
      </c>
      <c r="F15" s="3" t="n">
        <v>0.6</v>
      </c>
      <c r="G15" s="3" t="n">
        <v>0.6</v>
      </c>
      <c r="H15" s="3" t="n">
        <v>0.6</v>
      </c>
      <c r="I15" s="3" t="n">
        <v>0.6</v>
      </c>
      <c r="J15" s="3" t="n">
        <v>0.6</v>
      </c>
      <c r="K15" s="3" t="n">
        <v>0.6</v>
      </c>
      <c r="L15" s="3" t="n">
        <v>0.6</v>
      </c>
    </row>
    <row r="16" customFormat="false" ht="15" hidden="false" customHeight="false" outlineLevel="0" collapsed="false">
      <c r="A16" s="0" t="s">
        <v>111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112</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113</v>
      </c>
      <c r="C18" s="3" t="n">
        <v>0</v>
      </c>
      <c r="D18" s="3" t="n">
        <v>5.1</v>
      </c>
      <c r="E18" s="3" t="n">
        <v>10.3</v>
      </c>
      <c r="F18" s="3" t="n">
        <v>12.2</v>
      </c>
      <c r="G18" s="3" t="n">
        <v>12.4</v>
      </c>
      <c r="H18" s="3" t="n">
        <v>10.6</v>
      </c>
      <c r="I18" s="3" t="n">
        <v>10.6</v>
      </c>
      <c r="J18" s="3" t="n">
        <v>8.8</v>
      </c>
      <c r="K18" s="3" t="n">
        <v>8.8</v>
      </c>
      <c r="L18" s="3" t="n">
        <v>8.8</v>
      </c>
    </row>
    <row r="19" customFormat="false" ht="15" hidden="false" customHeight="false" outlineLevel="0" collapsed="false">
      <c r="A19" s="0" t="s">
        <v>114</v>
      </c>
      <c r="C19" s="3" t="n">
        <v>18.5</v>
      </c>
      <c r="D19" s="3" t="n">
        <v>18.5</v>
      </c>
      <c r="E19" s="3" t="n">
        <v>18.5</v>
      </c>
      <c r="F19" s="3" t="n">
        <v>18.5</v>
      </c>
      <c r="G19" s="3" t="n">
        <v>18.5</v>
      </c>
      <c r="H19" s="3" t="n">
        <v>18.5</v>
      </c>
      <c r="I19" s="3" t="n">
        <v>18.5</v>
      </c>
      <c r="J19" s="3" t="n">
        <v>18.5</v>
      </c>
      <c r="K19" s="3" t="n">
        <v>18.5</v>
      </c>
      <c r="L19" s="3" t="n">
        <v>18.5</v>
      </c>
    </row>
    <row r="20" customFormat="false" ht="15" hidden="false" customHeight="false" outlineLevel="0" collapsed="false">
      <c r="A20" s="0" t="s">
        <v>115</v>
      </c>
      <c r="B20" s="3" t="n">
        <v>8.5</v>
      </c>
    </row>
    <row r="21" customFormat="false" ht="15" hidden="false" customHeight="false" outlineLevel="0" collapsed="false">
      <c r="A21" s="0" t="s">
        <v>116</v>
      </c>
      <c r="B21" s="3" t="n">
        <v>2.5</v>
      </c>
    </row>
    <row r="22" customFormat="false" ht="15" hidden="false" customHeight="false" outlineLevel="0" collapsed="false">
      <c r="A22" s="0" t="s">
        <v>117</v>
      </c>
      <c r="B22" s="3" t="n">
        <v>14</v>
      </c>
    </row>
    <row r="23" customFormat="false" ht="15" hidden="false" customHeight="false" outlineLevel="0" collapsed="false">
      <c r="A23" s="0" t="s">
        <v>118</v>
      </c>
      <c r="B23" s="3" t="n">
        <v>0</v>
      </c>
    </row>
    <row r="24" customFormat="false" ht="15" hidden="false" customHeight="false" outlineLevel="0" collapsed="false">
      <c r="A24" s="0" t="s">
        <v>119</v>
      </c>
      <c r="B24" s="3" t="n">
        <v>0.25</v>
      </c>
    </row>
    <row r="26" customFormat="false" ht="15" hidden="false" customHeight="false" outlineLevel="0" collapsed="false">
      <c r="A26" s="2" t="s">
        <v>120</v>
      </c>
      <c r="C26" s="2" t="s">
        <v>98</v>
      </c>
      <c r="D26" s="2" t="s">
        <v>99</v>
      </c>
      <c r="E26" s="2" t="s">
        <v>100</v>
      </c>
      <c r="F26" s="2" t="s">
        <v>101</v>
      </c>
      <c r="G26" s="2" t="s">
        <v>102</v>
      </c>
      <c r="H26" s="2" t="s">
        <v>103</v>
      </c>
      <c r="I26" s="2" t="s">
        <v>104</v>
      </c>
      <c r="J26" s="2" t="s">
        <v>105</v>
      </c>
      <c r="K26" s="2" t="s">
        <v>106</v>
      </c>
      <c r="L26" s="2" t="s">
        <v>107</v>
      </c>
    </row>
    <row r="27" customFormat="false" ht="15" hidden="false" customHeight="false" outlineLevel="0" collapsed="false">
      <c r="A27" s="0" t="s">
        <v>108</v>
      </c>
      <c r="C27" s="3" t="n">
        <v>2.5</v>
      </c>
      <c r="D27" s="3" t="n">
        <v>5</v>
      </c>
      <c r="E27" s="3" t="n">
        <v>5</v>
      </c>
      <c r="F27" s="3" t="n">
        <v>5</v>
      </c>
      <c r="G27" s="3" t="n">
        <v>4.5</v>
      </c>
      <c r="H27" s="3" t="n">
        <v>4.5</v>
      </c>
      <c r="I27" s="3" t="n">
        <v>4</v>
      </c>
      <c r="J27" s="3" t="n">
        <v>4</v>
      </c>
      <c r="K27" s="3" t="n">
        <v>3.5</v>
      </c>
      <c r="L27" s="3" t="n">
        <v>3</v>
      </c>
    </row>
    <row r="28" customFormat="false" ht="15" hidden="false" customHeight="false" outlineLevel="0" collapsed="false">
      <c r="A28" s="0" t="s">
        <v>109</v>
      </c>
      <c r="C28" s="3" t="n">
        <v>48</v>
      </c>
      <c r="D28" s="3" t="n">
        <v>48.6</v>
      </c>
      <c r="E28" s="3" t="n">
        <v>49.1</v>
      </c>
      <c r="F28" s="3" t="n">
        <v>49.6</v>
      </c>
      <c r="G28" s="3" t="n">
        <v>49.6</v>
      </c>
      <c r="H28" s="3" t="n">
        <v>49.6</v>
      </c>
      <c r="I28" s="3" t="n">
        <v>49.6</v>
      </c>
      <c r="J28" s="3" t="n">
        <v>49.6</v>
      </c>
      <c r="K28" s="3" t="n">
        <v>49.6</v>
      </c>
      <c r="L28" s="3" t="n">
        <v>49.6</v>
      </c>
    </row>
    <row r="29" customFormat="false" ht="15" hidden="false" customHeight="false" outlineLevel="0" collapsed="false">
      <c r="A29" s="0" t="s">
        <v>110</v>
      </c>
      <c r="C29" s="3" t="n">
        <v>0.6</v>
      </c>
      <c r="D29" s="3" t="n">
        <v>0.6</v>
      </c>
      <c r="E29" s="3" t="n">
        <v>0.6</v>
      </c>
      <c r="F29" s="3" t="n">
        <v>0.6</v>
      </c>
      <c r="G29" s="3" t="n">
        <v>0.6</v>
      </c>
      <c r="H29" s="3" t="n">
        <v>0.6</v>
      </c>
      <c r="I29" s="3" t="n">
        <v>0.6</v>
      </c>
      <c r="J29" s="3" t="n">
        <v>0.6</v>
      </c>
      <c r="K29" s="3" t="n">
        <v>0.6</v>
      </c>
      <c r="L29" s="3" t="n">
        <v>0.6</v>
      </c>
    </row>
    <row r="30" customFormat="false" ht="15" hidden="false" customHeight="false" outlineLevel="0" collapsed="false">
      <c r="A30" s="0" t="s">
        <v>111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112</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113</v>
      </c>
      <c r="C32" s="3" t="n">
        <v>8</v>
      </c>
      <c r="D32" s="3" t="n">
        <v>15.9</v>
      </c>
      <c r="E32" s="3" t="n">
        <v>15.8</v>
      </c>
      <c r="F32" s="3" t="n">
        <v>15.6</v>
      </c>
      <c r="G32" s="3" t="n">
        <v>14</v>
      </c>
      <c r="H32" s="3" t="n">
        <v>14</v>
      </c>
      <c r="I32" s="3" t="n">
        <v>12.5</v>
      </c>
      <c r="J32" s="3" t="n">
        <v>12.5</v>
      </c>
      <c r="K32" s="3" t="n">
        <v>10.9</v>
      </c>
      <c r="L32" s="3" t="n">
        <v>9.4</v>
      </c>
    </row>
    <row r="33" customFormat="false" ht="15" hidden="false" customHeight="false" outlineLevel="0" collapsed="false">
      <c r="A33" s="0" t="s">
        <v>114</v>
      </c>
      <c r="C33" s="3" t="n">
        <v>18.5</v>
      </c>
      <c r="D33" s="3" t="n">
        <v>18.5</v>
      </c>
      <c r="E33" s="3" t="n">
        <v>18.5</v>
      </c>
      <c r="F33" s="3" t="n">
        <v>18.5</v>
      </c>
      <c r="G33" s="3" t="n">
        <v>18.5</v>
      </c>
      <c r="H33" s="3" t="n">
        <v>18.5</v>
      </c>
      <c r="I33" s="3" t="n">
        <v>18.5</v>
      </c>
      <c r="J33" s="3" t="n">
        <v>18.5</v>
      </c>
      <c r="K33" s="3" t="n">
        <v>18.5</v>
      </c>
      <c r="L33" s="3" t="n">
        <v>18.5</v>
      </c>
    </row>
    <row r="34" customFormat="false" ht="15" hidden="false" customHeight="false" outlineLevel="0" collapsed="false">
      <c r="A34" s="0" t="s">
        <v>115</v>
      </c>
      <c r="B34" s="3" t="n">
        <v>8.5</v>
      </c>
    </row>
    <row r="35" customFormat="false" ht="15" hidden="false" customHeight="false" outlineLevel="0" collapsed="false">
      <c r="A35" s="0" t="s">
        <v>116</v>
      </c>
      <c r="B35" s="3" t="n">
        <v>3</v>
      </c>
    </row>
    <row r="36" customFormat="false" ht="15" hidden="false" customHeight="false" outlineLevel="0" collapsed="false">
      <c r="A36" s="0" t="s">
        <v>117</v>
      </c>
      <c r="B36" s="3" t="n">
        <v>20</v>
      </c>
    </row>
    <row r="37" customFormat="false" ht="15" hidden="false" customHeight="false" outlineLevel="0" collapsed="false">
      <c r="A37" s="0" t="s">
        <v>118</v>
      </c>
      <c r="B37" s="3" t="n">
        <v>0</v>
      </c>
    </row>
    <row r="38" customFormat="false" ht="15" hidden="false" customHeight="false" outlineLevel="0" collapsed="false">
      <c r="A38" s="0" t="s">
        <v>119</v>
      </c>
      <c r="B38" s="3" t="n">
        <v>0.5</v>
      </c>
    </row>
    <row r="40" customFormat="false" ht="15" hidden="false" customHeight="false" outlineLevel="0" collapsed="false">
      <c r="A40" s="2" t="s">
        <v>121</v>
      </c>
      <c r="C40" s="2" t="s">
        <v>98</v>
      </c>
      <c r="D40" s="2" t="s">
        <v>99</v>
      </c>
      <c r="E40" s="2" t="s">
        <v>100</v>
      </c>
      <c r="F40" s="2" t="s">
        <v>101</v>
      </c>
      <c r="G40" s="2" t="s">
        <v>102</v>
      </c>
      <c r="H40" s="2" t="s">
        <v>103</v>
      </c>
      <c r="I40" s="2" t="s">
        <v>104</v>
      </c>
      <c r="J40" s="2" t="s">
        <v>105</v>
      </c>
      <c r="K40" s="2" t="s">
        <v>106</v>
      </c>
      <c r="L40" s="2" t="s">
        <v>107</v>
      </c>
    </row>
    <row r="41" customFormat="false" ht="15" hidden="false" customHeight="false" outlineLevel="0" collapsed="false">
      <c r="A41" s="0" t="s">
        <v>108</v>
      </c>
      <c r="C41" s="3" t="n">
        <v>4</v>
      </c>
      <c r="D41" s="3" t="n">
        <v>6</v>
      </c>
      <c r="E41" s="3" t="n">
        <v>6</v>
      </c>
      <c r="F41" s="3" t="n">
        <v>6</v>
      </c>
      <c r="G41" s="3" t="n">
        <v>5.5</v>
      </c>
      <c r="H41" s="3" t="n">
        <v>5</v>
      </c>
      <c r="I41" s="3" t="n">
        <v>4.5</v>
      </c>
      <c r="J41" s="3" t="n">
        <v>4</v>
      </c>
      <c r="K41" s="3" t="n">
        <v>3.5</v>
      </c>
      <c r="L41" s="3" t="n">
        <v>3</v>
      </c>
    </row>
    <row r="42" customFormat="false" ht="15" hidden="false" customHeight="false" outlineLevel="0" collapsed="false">
      <c r="A42" s="0" t="s">
        <v>109</v>
      </c>
      <c r="C42" s="3" t="n">
        <v>49.1</v>
      </c>
      <c r="D42" s="3" t="n">
        <v>50.1</v>
      </c>
      <c r="E42" s="3" t="n">
        <v>51.1</v>
      </c>
      <c r="F42" s="3" t="n">
        <v>52.1</v>
      </c>
      <c r="G42" s="3" t="n">
        <v>52.1</v>
      </c>
      <c r="H42" s="3" t="n">
        <v>52.1</v>
      </c>
      <c r="I42" s="3" t="n">
        <v>52.1</v>
      </c>
      <c r="J42" s="3" t="n">
        <v>52.1</v>
      </c>
      <c r="K42" s="3" t="n">
        <v>52.1</v>
      </c>
      <c r="L42" s="3" t="n">
        <v>52.1</v>
      </c>
    </row>
    <row r="43" customFormat="false" ht="15" hidden="false" customHeight="false" outlineLevel="0" collapsed="false">
      <c r="A43" s="0" t="s">
        <v>110</v>
      </c>
      <c r="C43" s="3" t="n">
        <v>0.6</v>
      </c>
      <c r="D43" s="3" t="n">
        <v>0.6</v>
      </c>
      <c r="E43" s="3" t="n">
        <v>0.6</v>
      </c>
      <c r="F43" s="3" t="n">
        <v>0.6</v>
      </c>
      <c r="G43" s="3" t="n">
        <v>0.6</v>
      </c>
      <c r="H43" s="3" t="n">
        <v>0.6</v>
      </c>
      <c r="I43" s="3" t="n">
        <v>0.6</v>
      </c>
      <c r="J43" s="3" t="n">
        <v>0.6</v>
      </c>
      <c r="K43" s="3" t="n">
        <v>0.6</v>
      </c>
      <c r="L43" s="3" t="n">
        <v>0.6</v>
      </c>
    </row>
    <row r="44" customFormat="false" ht="15" hidden="false" customHeight="false" outlineLevel="0" collapsed="false">
      <c r="A44" s="0" t="s">
        <v>111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112</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113</v>
      </c>
      <c r="C46" s="3" t="n">
        <v>12.6</v>
      </c>
      <c r="D46" s="3" t="n">
        <v>18.6</v>
      </c>
      <c r="E46" s="3" t="n">
        <v>18.3</v>
      </c>
      <c r="F46" s="3" t="n">
        <v>18</v>
      </c>
      <c r="G46" s="3" t="n">
        <v>16.5</v>
      </c>
      <c r="H46" s="3" t="n">
        <v>15</v>
      </c>
      <c r="I46" s="3" t="n">
        <v>13.5</v>
      </c>
      <c r="J46" s="3" t="n">
        <v>12</v>
      </c>
      <c r="K46" s="3" t="n">
        <v>10.5</v>
      </c>
      <c r="L46" s="3" t="n">
        <v>9</v>
      </c>
    </row>
    <row r="47" customFormat="false" ht="15" hidden="false" customHeight="false" outlineLevel="0" collapsed="false">
      <c r="A47" s="0" t="s">
        <v>114</v>
      </c>
      <c r="C47" s="3" t="n">
        <v>18.5</v>
      </c>
      <c r="D47" s="3" t="n">
        <v>18.5</v>
      </c>
      <c r="E47" s="3" t="n">
        <v>18.5</v>
      </c>
      <c r="F47" s="3" t="n">
        <v>18.5</v>
      </c>
      <c r="G47" s="3" t="n">
        <v>18.5</v>
      </c>
      <c r="H47" s="3" t="n">
        <v>18.5</v>
      </c>
      <c r="I47" s="3" t="n">
        <v>18.5</v>
      </c>
      <c r="J47" s="3" t="n">
        <v>18.5</v>
      </c>
      <c r="K47" s="3" t="n">
        <v>18.5</v>
      </c>
      <c r="L47" s="3" t="n">
        <v>18.5</v>
      </c>
    </row>
    <row r="48" customFormat="false" ht="15" hidden="false" customHeight="false" outlineLevel="0" collapsed="false">
      <c r="A48" s="0" t="s">
        <v>115</v>
      </c>
      <c r="B48" s="3" t="n">
        <v>8.5</v>
      </c>
    </row>
    <row r="49" customFormat="false" ht="15" hidden="false" customHeight="false" outlineLevel="0" collapsed="false">
      <c r="A49" s="0" t="s">
        <v>116</v>
      </c>
      <c r="B49" s="3" t="n">
        <v>3</v>
      </c>
    </row>
    <row r="50" customFormat="false" ht="15" hidden="false" customHeight="false" outlineLevel="0" collapsed="false">
      <c r="A50" s="0" t="s">
        <v>117</v>
      </c>
      <c r="B50" s="3" t="n">
        <v>21</v>
      </c>
    </row>
    <row r="51" customFormat="false" ht="15" hidden="false" customHeight="false" outlineLevel="0" collapsed="false">
      <c r="A51" s="0" t="s">
        <v>118</v>
      </c>
      <c r="B51" s="3" t="n">
        <v>0</v>
      </c>
    </row>
    <row r="52" customFormat="false" ht="15" hidden="false" customHeight="false" outlineLevel="0" collapsed="false">
      <c r="A52" s="0" t="s">
        <v>119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122</v>
      </c>
    </row>
    <row r="3" customFormat="false" ht="15" hidden="false" customHeight="false" outlineLevel="0" collapsed="false">
      <c r="A3" s="0" t="s">
        <v>123</v>
      </c>
      <c r="B3" s="0" t="s">
        <v>93</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Assumptions!C13</f>
        <v>-3</v>
      </c>
      <c r="D5" s="4" t="n">
        <f aca="false">Assumptions!D13</f>
        <v>1.5</v>
      </c>
      <c r="E5" s="4" t="n">
        <f aca="false">Assumptions!E13</f>
        <v>3</v>
      </c>
      <c r="F5" s="4" t="n">
        <f aca="false">Assumptions!F13</f>
        <v>3.5</v>
      </c>
      <c r="G5" s="4" t="n">
        <f aca="false">Assumptions!G13</f>
        <v>3.5</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13550</v>
      </c>
      <c r="C6" s="0" t="n">
        <f aca="false">B6*(1+C5/100)</f>
        <v>13143.5</v>
      </c>
      <c r="D6" s="0" t="n">
        <f aca="false">C6*(1+D5/100)</f>
        <v>13340.6525</v>
      </c>
      <c r="E6" s="0" t="n">
        <f aca="false">D6*(1+E5/100)</f>
        <v>13740.872075</v>
      </c>
      <c r="F6" s="0" t="n">
        <f aca="false">E6*(1+F5/100)</f>
        <v>14221.802597625</v>
      </c>
      <c r="G6" s="0" t="n">
        <f aca="false">F6*(1+G5/100)</f>
        <v>14719.5656885419</v>
      </c>
      <c r="H6" s="0" t="n">
        <f aca="false">G6*(1+H5/100)</f>
        <v>15161.1526591981</v>
      </c>
      <c r="I6" s="0" t="n">
        <f aca="false">H6*(1+I5/100)</f>
        <v>15615.9872389741</v>
      </c>
      <c r="J6" s="0" t="n">
        <f aca="false">I6*(1+J5/100)</f>
        <v>16006.3869199484</v>
      </c>
      <c r="K6" s="0" t="n">
        <f aca="false">J6*(1+K5/100)</f>
        <v>16406.5465929471</v>
      </c>
      <c r="L6" s="0" t="n">
        <f aca="false">K6*(1+L5/100)</f>
        <v>16816.7102577708</v>
      </c>
    </row>
    <row r="7" customFormat="false" ht="15" hidden="false" customHeight="false" outlineLevel="0" collapsed="false">
      <c r="A7" s="0" t="s">
        <v>109</v>
      </c>
      <c r="C7" s="4" t="n">
        <f aca="false">Assumptions!C14</f>
        <v>40.6</v>
      </c>
      <c r="D7" s="4" t="n">
        <f aca="false">Assumptions!D14</f>
        <v>42.6</v>
      </c>
      <c r="E7" s="4" t="n">
        <f aca="false">Assumptions!E14</f>
        <v>44.6</v>
      </c>
      <c r="F7" s="4" t="n">
        <f aca="false">Assumptions!F14</f>
        <v>45.6</v>
      </c>
      <c r="G7" s="4" t="n">
        <f aca="false">Assumptions!G14</f>
        <v>46.1</v>
      </c>
      <c r="H7" s="4" t="n">
        <f aca="false">Assumptions!H14</f>
        <v>46.1</v>
      </c>
      <c r="I7" s="4" t="n">
        <f aca="false">Assumptions!I14</f>
        <v>46.1</v>
      </c>
      <c r="J7" s="4" t="n">
        <f aca="false">Assumptions!J14</f>
        <v>46.1</v>
      </c>
      <c r="K7" s="4" t="n">
        <f aca="false">Assumptions!K14</f>
        <v>46.1</v>
      </c>
      <c r="L7" s="4" t="n">
        <f aca="false">Assumptions!L14</f>
        <v>46.1</v>
      </c>
    </row>
    <row r="8" customFormat="false" ht="15" hidden="false" customHeight="false" outlineLevel="0" collapsed="false">
      <c r="A8" s="0" t="s">
        <v>43</v>
      </c>
      <c r="C8" s="0" t="n">
        <f aca="false">C6*C7/100</f>
        <v>5336.261</v>
      </c>
      <c r="D8" s="0" t="n">
        <f aca="false">D6*D7/100</f>
        <v>5683.117965</v>
      </c>
      <c r="E8" s="0" t="n">
        <f aca="false">E6*E7/100</f>
        <v>6128.42894545</v>
      </c>
      <c r="F8" s="0" t="n">
        <f aca="false">F6*F7/100</f>
        <v>6485.141984517</v>
      </c>
      <c r="G8" s="0" t="n">
        <f aca="false">G6*G7/100</f>
        <v>6785.7197824178</v>
      </c>
      <c r="H8" s="0" t="n">
        <f aca="false">H6*H7/100</f>
        <v>6989.29137589034</v>
      </c>
      <c r="I8" s="0" t="n">
        <f aca="false">I6*I7/100</f>
        <v>7198.97011716705</v>
      </c>
      <c r="J8" s="0" t="n">
        <f aca="false">J6*J7/100</f>
        <v>7378.94437009622</v>
      </c>
      <c r="K8" s="0" t="n">
        <f aca="false">K6*K7/100</f>
        <v>7563.41797934863</v>
      </c>
      <c r="L8" s="0" t="n">
        <f aca="false">L6*L7/100</f>
        <v>7752.50342883234</v>
      </c>
    </row>
    <row r="9" customFormat="false" ht="15" hidden="false" customHeight="false" outlineLevel="0" collapsed="false">
      <c r="A9" s="0" t="s">
        <v>110</v>
      </c>
      <c r="C9" s="4" t="n">
        <f aca="false">Assumptions!C15</f>
        <v>0.6</v>
      </c>
      <c r="D9" s="4" t="n">
        <f aca="false">Assumptions!D15</f>
        <v>0.6</v>
      </c>
      <c r="E9" s="4" t="n">
        <f aca="false">Assumptions!E15</f>
        <v>0.6</v>
      </c>
      <c r="F9" s="4" t="n">
        <f aca="false">Assumptions!F15</f>
        <v>0.6</v>
      </c>
      <c r="G9" s="4" t="n">
        <f aca="false">Assumptions!G15</f>
        <v>0.6</v>
      </c>
      <c r="H9" s="4" t="n">
        <f aca="false">Assumptions!H15</f>
        <v>0.6</v>
      </c>
      <c r="I9" s="4" t="n">
        <f aca="false">Assumptions!I15</f>
        <v>0.6</v>
      </c>
      <c r="J9" s="4" t="n">
        <f aca="false">Assumptions!J15</f>
        <v>0.6</v>
      </c>
      <c r="K9" s="4" t="n">
        <f aca="false">Assumptions!K15</f>
        <v>0.6</v>
      </c>
      <c r="L9" s="4" t="n">
        <f aca="false">Assumptions!L15</f>
        <v>0.6</v>
      </c>
    </row>
    <row r="10" customFormat="false" ht="15" hidden="false" customHeight="false" outlineLevel="0" collapsed="false">
      <c r="A10" s="0" t="s">
        <v>125</v>
      </c>
      <c r="C10" s="0" t="n">
        <f aca="false">-C6*C9/100</f>
        <v>-78.861</v>
      </c>
      <c r="D10" s="0" t="n">
        <f aca="false">-D6*D9/100</f>
        <v>-80.043915</v>
      </c>
      <c r="E10" s="0" t="n">
        <f aca="false">-E6*E9/100</f>
        <v>-82.44523245</v>
      </c>
      <c r="F10" s="0" t="n">
        <f aca="false">-F6*F9/100</f>
        <v>-85.33081558575</v>
      </c>
      <c r="G10" s="0" t="n">
        <f aca="false">-G6*G9/100</f>
        <v>-88.3173941312512</v>
      </c>
      <c r="H10" s="0" t="n">
        <f aca="false">-H6*H9/100</f>
        <v>-90.9669159551888</v>
      </c>
      <c r="I10" s="0" t="n">
        <f aca="false">-I6*I9/100</f>
        <v>-93.6959234338444</v>
      </c>
      <c r="J10" s="0" t="n">
        <f aca="false">-J6*J9/100</f>
        <v>-96.0383215196905</v>
      </c>
      <c r="K10" s="0" t="n">
        <f aca="false">-K6*K9/100</f>
        <v>-98.4392795576828</v>
      </c>
      <c r="L10" s="0" t="n">
        <f aca="false">-L6*L9/100</f>
        <v>-100.900261546625</v>
      </c>
    </row>
    <row r="11" customFormat="false" ht="15" hidden="false" customHeight="false" outlineLevel="0" collapsed="false">
      <c r="A11" s="0" t="s">
        <v>126</v>
      </c>
      <c r="C11" s="0" t="n">
        <f aca="false">C8+C10+C24</f>
        <v>5257.4</v>
      </c>
      <c r="D11" s="0" t="n">
        <f aca="false">D8+D10+D24</f>
        <v>5603.07405</v>
      </c>
      <c r="E11" s="0" t="n">
        <f aca="false">E8+E10+E24</f>
        <v>6045.983713</v>
      </c>
      <c r="F11" s="0" t="n">
        <f aca="false">F8+F10+F24</f>
        <v>6399.81116893125</v>
      </c>
      <c r="G11" s="0" t="n">
        <f aca="false">G8+G10+G24</f>
        <v>6697.40238828655</v>
      </c>
      <c r="H11" s="0" t="n">
        <f aca="false">H8+H10+H24</f>
        <v>6898.32445993515</v>
      </c>
      <c r="I11" s="0" t="n">
        <f aca="false">I8+I10+I24</f>
        <v>7105.2741937332</v>
      </c>
      <c r="J11" s="0" t="n">
        <f aca="false">J8+J10+J24</f>
        <v>7282.90604857653</v>
      </c>
      <c r="K11" s="0" t="n">
        <f aca="false">K8+K10+K24</f>
        <v>7464.97869979095</v>
      </c>
      <c r="L11" s="0" t="n">
        <f aca="false">L8+L10+L24</f>
        <v>7651.60316728572</v>
      </c>
    </row>
    <row r="12" customFormat="false" ht="15" hidden="false" customHeight="false" outlineLevel="0" collapsed="false">
      <c r="A12" s="0" t="s">
        <v>127</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128</v>
      </c>
      <c r="C13" s="0" t="n">
        <f aca="false">C11+C12</f>
        <v>5257.4</v>
      </c>
      <c r="D13" s="0" t="n">
        <f aca="false">D11+D12</f>
        <v>5603.07405</v>
      </c>
      <c r="E13" s="0" t="n">
        <f aca="false">E11+E12</f>
        <v>6045.983713</v>
      </c>
      <c r="F13" s="0" t="n">
        <f aca="false">F11+F12</f>
        <v>6399.81116893125</v>
      </c>
      <c r="G13" s="0" t="n">
        <f aca="false">G11+G12</f>
        <v>6697.40238828655</v>
      </c>
      <c r="H13" s="0" t="n">
        <f aca="false">H11+H12</f>
        <v>6898.32445993515</v>
      </c>
      <c r="I13" s="0" t="n">
        <f aca="false">I11+I12</f>
        <v>7105.2741937332</v>
      </c>
      <c r="J13" s="0" t="n">
        <f aca="false">J11+J12</f>
        <v>7282.90604857653</v>
      </c>
      <c r="K13" s="0" t="n">
        <f aca="false">K11+K12</f>
        <v>7464.97869979095</v>
      </c>
      <c r="L13" s="0" t="n">
        <f aca="false">L11+L12</f>
        <v>7651.60316728572</v>
      </c>
    </row>
    <row r="14" customFormat="false" ht="15" hidden="false" customHeight="false" outlineLevel="0" collapsed="false">
      <c r="A14" s="0" t="s">
        <v>114</v>
      </c>
      <c r="C14" s="4" t="n">
        <f aca="false">Assumptions!C19</f>
        <v>18.5</v>
      </c>
      <c r="D14" s="4" t="n">
        <f aca="false">Assumptions!D19</f>
        <v>18.5</v>
      </c>
      <c r="E14" s="4" t="n">
        <f aca="false">Assumptions!E19</f>
        <v>18.5</v>
      </c>
      <c r="F14" s="4" t="n">
        <f aca="false">Assumptions!F19</f>
        <v>18.5</v>
      </c>
      <c r="G14" s="4" t="n">
        <f aca="false">Assumptions!G19</f>
        <v>18.5</v>
      </c>
      <c r="H14" s="4" t="n">
        <f aca="false">Assumptions!H19</f>
        <v>18.5</v>
      </c>
      <c r="I14" s="4" t="n">
        <f aca="false">Assumptions!I19</f>
        <v>18.5</v>
      </c>
      <c r="J14" s="4" t="n">
        <f aca="false">Assumptions!J19</f>
        <v>18.5</v>
      </c>
      <c r="K14" s="4" t="n">
        <f aca="false">Assumptions!K19</f>
        <v>18.5</v>
      </c>
      <c r="L14" s="4" t="n">
        <f aca="false">Assumptions!L19</f>
        <v>18.5</v>
      </c>
    </row>
    <row r="15" customFormat="false" ht="15" hidden="false" customHeight="false" outlineLevel="0" collapsed="false">
      <c r="A15" s="0" t="s">
        <v>129</v>
      </c>
      <c r="C15" s="0" t="n">
        <f aca="false">C13-MAX(0,C13)*C14/100</f>
        <v>4284.781</v>
      </c>
      <c r="D15" s="0" t="n">
        <f aca="false">D13-MAX(0,D13)*D14/100</f>
        <v>4566.50535075</v>
      </c>
      <c r="E15" s="0" t="n">
        <f aca="false">E13-MAX(0,E13)*E14/100</f>
        <v>4927.476726095</v>
      </c>
      <c r="F15" s="0" t="n">
        <f aca="false">F13-MAX(0,F13)*F14/100</f>
        <v>5215.84610267897</v>
      </c>
      <c r="G15" s="0" t="n">
        <f aca="false">G13-MAX(0,G13)*G14/100</f>
        <v>5458.38294645354</v>
      </c>
      <c r="H15" s="0" t="n">
        <f aca="false">H13-MAX(0,H13)*H14/100</f>
        <v>5622.13443484715</v>
      </c>
      <c r="I15" s="0" t="n">
        <f aca="false">I13-MAX(0,I13)*I14/100</f>
        <v>5790.79846789256</v>
      </c>
      <c r="J15" s="0" t="n">
        <f aca="false">J13-MAX(0,J13)*J14/100</f>
        <v>5935.56842958987</v>
      </c>
      <c r="K15" s="0" t="n">
        <f aca="false">K13-MAX(0,K13)*K14/100</f>
        <v>6083.95764032962</v>
      </c>
      <c r="L15" s="0" t="n">
        <f aca="false">L13-MAX(0,L13)*L14/100</f>
        <v>6236.05658133786</v>
      </c>
    </row>
    <row r="16" customFormat="false" ht="15" hidden="false" customHeight="false" outlineLevel="0" collapsed="false">
      <c r="A16" s="0" t="s">
        <v>130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131</v>
      </c>
      <c r="C17" s="4" t="n">
        <f aca="false">-C6*Assumptions!C18/100</f>
        <v>-0</v>
      </c>
      <c r="D17" s="4" t="n">
        <f aca="false">-D6*Assumptions!D18/100</f>
        <v>-680.3732775</v>
      </c>
      <c r="E17" s="4" t="n">
        <f aca="false">-E6*Assumptions!E18/100</f>
        <v>-1415.309823725</v>
      </c>
      <c r="F17" s="4" t="n">
        <f aca="false">-F6*Assumptions!F18/100</f>
        <v>-1735.05991691025</v>
      </c>
      <c r="G17" s="4" t="n">
        <f aca="false">-G6*Assumptions!G18/100</f>
        <v>-1825.22614537919</v>
      </c>
      <c r="H17" s="4" t="n">
        <f aca="false">-H6*Assumptions!H18/100</f>
        <v>-1607.082181875</v>
      </c>
      <c r="I17" s="4" t="n">
        <f aca="false">-I6*Assumptions!I18/100</f>
        <v>-1655.29464733125</v>
      </c>
      <c r="J17" s="4" t="n">
        <f aca="false">-J6*Assumptions!J18/100</f>
        <v>-1408.56204895546</v>
      </c>
      <c r="K17" s="4" t="n">
        <f aca="false">-K6*Assumptions!K18/100</f>
        <v>-1443.77610017935</v>
      </c>
      <c r="L17" s="4" t="n">
        <f aca="false">-L6*Assumptions!L18/100</f>
        <v>-1479.87050268383</v>
      </c>
    </row>
    <row r="18" customFormat="false" ht="15" hidden="false" customHeight="false" outlineLevel="0" collapsed="false">
      <c r="A18" s="0" t="s">
        <v>132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133</v>
      </c>
      <c r="C19" s="0" t="n">
        <f aca="false">C15+C16+C17+C18</f>
        <v>4284.781</v>
      </c>
      <c r="D19" s="0" t="n">
        <f aca="false">D15+D16+D17+D18</f>
        <v>3886.13207325</v>
      </c>
      <c r="E19" s="0" t="n">
        <f aca="false">E15+E16+E17+E18</f>
        <v>3512.16690237</v>
      </c>
      <c r="F19" s="0" t="n">
        <f aca="false">F15+F16+F17+F18</f>
        <v>3480.78618576872</v>
      </c>
      <c r="G19" s="0" t="n">
        <f aca="false">G15+G16+G17+G18</f>
        <v>3633.15680107435</v>
      </c>
      <c r="H19" s="0" t="n">
        <f aca="false">H15+H16+H17+H18</f>
        <v>4015.05225297214</v>
      </c>
      <c r="I19" s="0" t="n">
        <f aca="false">I15+I16+I17+I18</f>
        <v>4135.50382056131</v>
      </c>
      <c r="J19" s="0" t="n">
        <f aca="false">J15+J16+J17+J18</f>
        <v>4527.00638063441</v>
      </c>
      <c r="K19" s="0" t="n">
        <f aca="false">K15+K16+K17+K18</f>
        <v>4640.18154015027</v>
      </c>
      <c r="L19" s="0" t="n">
        <f aca="false">L15+L16+L17+L18</f>
        <v>4756.18607865403</v>
      </c>
    </row>
    <row r="20" customFormat="false" ht="15" hidden="false" customHeight="false" outlineLevel="0" collapsed="false">
      <c r="A20" s="0" t="s">
        <v>134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135</v>
      </c>
      <c r="C21" s="0" t="n">
        <f aca="false">C19*C20</f>
        <v>3949.1069124424</v>
      </c>
      <c r="D21" s="0" t="n">
        <f aca="false">D19*D20</f>
        <v>3301.09543481493</v>
      </c>
      <c r="E21" s="0" t="n">
        <f aca="false">E19*E20</f>
        <v>2749.70391090584</v>
      </c>
      <c r="F21" s="0" t="n">
        <f aca="false">F19*F20</f>
        <v>2511.64580068584</v>
      </c>
      <c r="G21" s="0" t="n">
        <f aca="false">G19*G20</f>
        <v>2416.21430264375</v>
      </c>
      <c r="H21" s="0" t="n">
        <f aca="false">H19*H20</f>
        <v>2461.00656691525</v>
      </c>
      <c r="I21" s="0" t="n">
        <f aca="false">I19*I20</f>
        <v>2336.25508195642</v>
      </c>
      <c r="J21" s="0" t="n">
        <f aca="false">J19*J20</f>
        <v>2357.07391201539</v>
      </c>
      <c r="K21" s="0" t="n">
        <f aca="false">K19*K20</f>
        <v>2226.72881089012</v>
      </c>
      <c r="L21" s="0" t="n">
        <f aca="false">L19*L20</f>
        <v>2103.5917337902</v>
      </c>
    </row>
    <row r="23" customFormat="false" ht="15" hidden="false" customHeight="false" outlineLevel="0" collapsed="false">
      <c r="A23" s="0" t="s">
        <v>111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Assumptions!$B$20</f>
        <v>8.5</v>
      </c>
    </row>
    <row r="28" customFormat="false" ht="15" hidden="false" customHeight="false" outlineLevel="0" collapsed="false">
      <c r="A28" s="0" t="s">
        <v>116</v>
      </c>
      <c r="B28" s="4" t="n">
        <f aca="false">Assumptions!$B$21</f>
        <v>2.5</v>
      </c>
    </row>
    <row r="29" customFormat="false" ht="15" hidden="false" customHeight="false" outlineLevel="0" collapsed="false">
      <c r="A29" s="0" t="s">
        <v>117</v>
      </c>
      <c r="B29" s="4" t="n">
        <f aca="false">Assumptions!$B$22</f>
        <v>14</v>
      </c>
    </row>
    <row r="30" customFormat="false" ht="15" hidden="false" customHeight="false" outlineLevel="0" collapsed="false">
      <c r="A30" s="0" t="s">
        <v>138</v>
      </c>
      <c r="B30" s="0" t="n">
        <f aca="false">SUM(C21:L21)</f>
        <v>26412.4224670601</v>
      </c>
    </row>
    <row r="31" customFormat="false" ht="15" hidden="false" customHeight="false" outlineLevel="0" collapsed="false">
      <c r="A31" s="0" t="s">
        <v>139</v>
      </c>
      <c r="B31" s="0" t="n">
        <f aca="false">L19</f>
        <v>4756.18607865403</v>
      </c>
    </row>
    <row r="32" customFormat="false" ht="15" hidden="false" customHeight="false" outlineLevel="0" collapsed="false">
      <c r="A32" s="0" t="s">
        <v>140</v>
      </c>
      <c r="B32" s="0" t="n">
        <f aca="false">IF(B27&gt;B28,B31*(1+B28/100)/((B27-B28)/100),B31*B29)</f>
        <v>81251.5121770063</v>
      </c>
    </row>
    <row r="33" customFormat="false" ht="15" hidden="false" customHeight="false" outlineLevel="0" collapsed="false">
      <c r="A33" s="0" t="s">
        <v>141</v>
      </c>
      <c r="B33" s="0" t="n">
        <f aca="false">B31*B29</f>
        <v>66586.6051011564</v>
      </c>
    </row>
    <row r="34" customFormat="false" ht="15" hidden="false" customHeight="false" outlineLevel="0" collapsed="false">
      <c r="A34" s="0" t="s">
        <v>142</v>
      </c>
      <c r="B34" s="0" t="n">
        <f aca="false">MAX(0,MIN(B32,B33))</f>
        <v>66586.6051011564</v>
      </c>
    </row>
    <row r="35" customFormat="false" ht="15" hidden="false" customHeight="false" outlineLevel="0" collapsed="false">
      <c r="A35" s="0" t="s">
        <v>143</v>
      </c>
      <c r="B35" s="0" t="n">
        <f aca="false">B34/(1+B27/100)^L4</f>
        <v>29450.2842730628</v>
      </c>
    </row>
    <row r="36" customFormat="false" ht="15" hidden="false" customHeight="false" outlineLevel="0" collapsed="false">
      <c r="A36" s="0" t="s">
        <v>144</v>
      </c>
      <c r="B36" s="0" t="n">
        <f aca="false">B30+B35</f>
        <v>55862.7067401229</v>
      </c>
    </row>
    <row r="37" customFormat="false" ht="15" hidden="false" customHeight="false" outlineLevel="0" collapsed="false">
      <c r="A37" s="0" t="s">
        <v>145</v>
      </c>
      <c r="B37" s="0" t="n">
        <f aca="false">B36+Assumptions!$B$5-Assumptions!$B$4</f>
        <v>58362.7067401229</v>
      </c>
    </row>
    <row r="38" customFormat="false" ht="15" hidden="false" customHeight="false" outlineLevel="0" collapsed="false">
      <c r="A38" s="0" t="s">
        <v>146</v>
      </c>
      <c r="B38" s="0" t="n">
        <f aca="false">B37/Assumptions!$B$3*Assumptions!$B$10</f>
        <v>35.243180398625</v>
      </c>
    </row>
    <row r="39" customFormat="false" ht="15" hidden="false" customHeight="false" outlineLevel="0" collapsed="false">
      <c r="A39" s="0" t="s">
        <v>147</v>
      </c>
      <c r="B39" s="4" t="n">
        <f aca="false">B38/Assumptions!$B$2-1</f>
        <v>-0.152604462644266</v>
      </c>
    </row>
    <row r="41" customFormat="false" ht="15" hidden="false" customHeight="false" outlineLevel="0" collapsed="false">
      <c r="A41" s="0" t="s">
        <v>148</v>
      </c>
      <c r="B41" s="0" t="n">
        <f aca="false">SUMPRODUCT(-C10:L10/(1+$B$27/100)^C4:L4)</f>
        <v>576.090281231249</v>
      </c>
    </row>
    <row r="42" customFormat="false" ht="15" hidden="false" customHeight="false" outlineLevel="0" collapsed="false">
      <c r="A42" s="0" t="s">
        <v>149</v>
      </c>
      <c r="B42" s="0" t="n">
        <f aca="false">IF(B27&gt;B28,-L10*(1+B28/100)/((B27-B28)/100),-L10*20)/(1+B27/100)^L4</f>
        <v>762.373031781121</v>
      </c>
    </row>
    <row r="43" customFormat="false" ht="15" hidden="false" customHeight="false" outlineLevel="0" collapsed="false">
      <c r="A43" s="0" t="s">
        <v>150</v>
      </c>
      <c r="B43" s="0" t="n">
        <f aca="false">(B37+B41+B42)/Assumptions!$B$3*Assumptions!$B$10</f>
        <v>36.0514311915068</v>
      </c>
    </row>
    <row r="45" customFormat="false" ht="15" hidden="false" customHeight="false" outlineLevel="0" collapsed="false">
      <c r="A45" s="0" t="s">
        <v>90</v>
      </c>
      <c r="B45" s="4" t="n">
        <f aca="false">Assumptions!$B$6</f>
        <v>15</v>
      </c>
    </row>
    <row r="46" customFormat="false" ht="15" hidden="false" customHeight="false" outlineLevel="0" collapsed="false">
      <c r="A46" s="0" t="s">
        <v>151</v>
      </c>
      <c r="B46" s="0" t="n">
        <f aca="false">MAX(0,MIN(IF(B45&gt;B28,B31*(1+B28/100)/((B45-B28)/100),B31*B29),B31*B29))</f>
        <v>39000.725844963</v>
      </c>
    </row>
    <row r="47" customFormat="false" ht="15" hidden="false" customHeight="false" outlineLevel="0" collapsed="false">
      <c r="A47" s="0" t="s">
        <v>152</v>
      </c>
      <c r="B47" s="0" t="n">
        <f aca="false">(SUMPRODUCT(C19:L19/(1+B45/100)^C4:L4)+B46/(1+B45/100)^L4+Assumptions!$B$5-Assumptions!$B$4)/Assumptions!$B$3*Assumptions!$B$10</f>
        <v>19.4297169354509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123</v>
      </c>
      <c r="B3" s="0" t="s">
        <v>93</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Assumptions!C27</f>
        <v>2.5</v>
      </c>
      <c r="D5" s="4" t="n">
        <f aca="false">Assumptions!D27</f>
        <v>5</v>
      </c>
      <c r="E5" s="4" t="n">
        <f aca="false">Assumptions!E27</f>
        <v>5</v>
      </c>
      <c r="F5" s="4" t="n">
        <f aca="false">Assumptions!F27</f>
        <v>5</v>
      </c>
      <c r="G5" s="4" t="n">
        <f aca="false">Assumptions!G27</f>
        <v>4.5</v>
      </c>
      <c r="H5" s="4" t="n">
        <f aca="false">Assumptions!H27</f>
        <v>4.5</v>
      </c>
      <c r="I5" s="4" t="n">
        <f aca="false">Assumptions!I27</f>
        <v>4</v>
      </c>
      <c r="J5" s="4" t="n">
        <f aca="false">Assumptions!J27</f>
        <v>4</v>
      </c>
      <c r="K5" s="4" t="n">
        <f aca="false">Assumptions!K27</f>
        <v>3.5</v>
      </c>
      <c r="L5" s="4" t="n">
        <f aca="false">Assumptions!L27</f>
        <v>3</v>
      </c>
    </row>
    <row r="6" customFormat="false" ht="15" hidden="false" customHeight="false" outlineLevel="0" collapsed="false">
      <c r="A6" s="0" t="s">
        <v>37</v>
      </c>
      <c r="B6" s="3" t="n">
        <v>13550</v>
      </c>
      <c r="C6" s="0" t="n">
        <f aca="false">B6*(1+C5/100)</f>
        <v>13888.75</v>
      </c>
      <c r="D6" s="0" t="n">
        <f aca="false">C6*(1+D5/100)</f>
        <v>14583.1875</v>
      </c>
      <c r="E6" s="0" t="n">
        <f aca="false">D6*(1+E5/100)</f>
        <v>15312.346875</v>
      </c>
      <c r="F6" s="0" t="n">
        <f aca="false">E6*(1+F5/100)</f>
        <v>16077.96421875</v>
      </c>
      <c r="G6" s="0" t="n">
        <f aca="false">F6*(1+G5/100)</f>
        <v>16801.4726085937</v>
      </c>
      <c r="H6" s="0" t="n">
        <f aca="false">G6*(1+H5/100)</f>
        <v>17557.5388759805</v>
      </c>
      <c r="I6" s="0" t="n">
        <f aca="false">H6*(1+I5/100)</f>
        <v>18259.8404310197</v>
      </c>
      <c r="J6" s="0" t="n">
        <f aca="false">I6*(1+J5/100)</f>
        <v>18990.2340482605</v>
      </c>
      <c r="K6" s="0" t="n">
        <f aca="false">J6*(1+K5/100)</f>
        <v>19654.8922399496</v>
      </c>
      <c r="L6" s="0" t="n">
        <f aca="false">K6*(1+L5/100)</f>
        <v>20244.5390071481</v>
      </c>
    </row>
    <row r="7" customFormat="false" ht="15" hidden="false" customHeight="false" outlineLevel="0" collapsed="false">
      <c r="A7" s="0" t="s">
        <v>109</v>
      </c>
      <c r="C7" s="4" t="n">
        <f aca="false">Assumptions!C28</f>
        <v>48</v>
      </c>
      <c r="D7" s="4" t="n">
        <f aca="false">Assumptions!D28</f>
        <v>48.6</v>
      </c>
      <c r="E7" s="4" t="n">
        <f aca="false">Assumptions!E28</f>
        <v>49.1</v>
      </c>
      <c r="F7" s="4" t="n">
        <f aca="false">Assumptions!F28</f>
        <v>49.6</v>
      </c>
      <c r="G7" s="4" t="n">
        <f aca="false">Assumptions!G28</f>
        <v>49.6</v>
      </c>
      <c r="H7" s="4" t="n">
        <f aca="false">Assumptions!H28</f>
        <v>49.6</v>
      </c>
      <c r="I7" s="4" t="n">
        <f aca="false">Assumptions!I28</f>
        <v>49.6</v>
      </c>
      <c r="J7" s="4" t="n">
        <f aca="false">Assumptions!J28</f>
        <v>49.6</v>
      </c>
      <c r="K7" s="4" t="n">
        <f aca="false">Assumptions!K28</f>
        <v>49.6</v>
      </c>
      <c r="L7" s="4" t="n">
        <f aca="false">Assumptions!L28</f>
        <v>49.6</v>
      </c>
    </row>
    <row r="8" customFormat="false" ht="15" hidden="false" customHeight="false" outlineLevel="0" collapsed="false">
      <c r="A8" s="0" t="s">
        <v>43</v>
      </c>
      <c r="C8" s="0" t="n">
        <f aca="false">C6*C7/100</f>
        <v>6666.6</v>
      </c>
      <c r="D8" s="0" t="n">
        <f aca="false">D6*D7/100</f>
        <v>7087.429125</v>
      </c>
      <c r="E8" s="0" t="n">
        <f aca="false">E6*E7/100</f>
        <v>7518.362315625</v>
      </c>
      <c r="F8" s="0" t="n">
        <f aca="false">F6*F7/100</f>
        <v>7974.6702525</v>
      </c>
      <c r="G8" s="0" t="n">
        <f aca="false">G6*G7/100</f>
        <v>8333.5304138625</v>
      </c>
      <c r="H8" s="0" t="n">
        <f aca="false">H6*H7/100</f>
        <v>8708.53928248631</v>
      </c>
      <c r="I8" s="0" t="n">
        <f aca="false">I6*I7/100</f>
        <v>9056.88085378576</v>
      </c>
      <c r="J8" s="0" t="n">
        <f aca="false">J6*J7/100</f>
        <v>9419.1560879372</v>
      </c>
      <c r="K8" s="0" t="n">
        <f aca="false">K6*K7/100</f>
        <v>9748.826551015</v>
      </c>
      <c r="L8" s="0" t="n">
        <f aca="false">L6*L7/100</f>
        <v>10041.2913475454</v>
      </c>
    </row>
    <row r="9" customFormat="false" ht="15" hidden="false" customHeight="false" outlineLevel="0" collapsed="false">
      <c r="A9" s="0" t="s">
        <v>110</v>
      </c>
      <c r="C9" s="4" t="n">
        <f aca="false">Assumptions!C29</f>
        <v>0.6</v>
      </c>
      <c r="D9" s="4" t="n">
        <f aca="false">Assumptions!D29</f>
        <v>0.6</v>
      </c>
      <c r="E9" s="4" t="n">
        <f aca="false">Assumptions!E29</f>
        <v>0.6</v>
      </c>
      <c r="F9" s="4" t="n">
        <f aca="false">Assumptions!F29</f>
        <v>0.6</v>
      </c>
      <c r="G9" s="4" t="n">
        <f aca="false">Assumptions!G29</f>
        <v>0.6</v>
      </c>
      <c r="H9" s="4" t="n">
        <f aca="false">Assumptions!H29</f>
        <v>0.6</v>
      </c>
      <c r="I9" s="4" t="n">
        <f aca="false">Assumptions!I29</f>
        <v>0.6</v>
      </c>
      <c r="J9" s="4" t="n">
        <f aca="false">Assumptions!J29</f>
        <v>0.6</v>
      </c>
      <c r="K9" s="4" t="n">
        <f aca="false">Assumptions!K29</f>
        <v>0.6</v>
      </c>
      <c r="L9" s="4" t="n">
        <f aca="false">Assumptions!L29</f>
        <v>0.6</v>
      </c>
    </row>
    <row r="10" customFormat="false" ht="15" hidden="false" customHeight="false" outlineLevel="0" collapsed="false">
      <c r="A10" s="0" t="s">
        <v>125</v>
      </c>
      <c r="C10" s="0" t="n">
        <f aca="false">-C6*C9/100</f>
        <v>-83.3325</v>
      </c>
      <c r="D10" s="0" t="n">
        <f aca="false">-D6*D9/100</f>
        <v>-87.499125</v>
      </c>
      <c r="E10" s="0" t="n">
        <f aca="false">-E6*E9/100</f>
        <v>-91.87408125</v>
      </c>
      <c r="F10" s="0" t="n">
        <f aca="false">-F6*F9/100</f>
        <v>-96.4677853125</v>
      </c>
      <c r="G10" s="0" t="n">
        <f aca="false">-G6*G9/100</f>
        <v>-100.808835651562</v>
      </c>
      <c r="H10" s="0" t="n">
        <f aca="false">-H6*H9/100</f>
        <v>-105.345233255883</v>
      </c>
      <c r="I10" s="0" t="n">
        <f aca="false">-I6*I9/100</f>
        <v>-109.559042586118</v>
      </c>
      <c r="J10" s="0" t="n">
        <f aca="false">-J6*J9/100</f>
        <v>-113.941404289563</v>
      </c>
      <c r="K10" s="0" t="n">
        <f aca="false">-K6*K9/100</f>
        <v>-117.929353439698</v>
      </c>
      <c r="L10" s="0" t="n">
        <f aca="false">-L6*L9/100</f>
        <v>-121.467234042888</v>
      </c>
    </row>
    <row r="11" customFormat="false" ht="15" hidden="false" customHeight="false" outlineLevel="0" collapsed="false">
      <c r="A11" s="0" t="s">
        <v>126</v>
      </c>
      <c r="C11" s="0" t="n">
        <f aca="false">C8+C10+C24</f>
        <v>6583.2675</v>
      </c>
      <c r="D11" s="0" t="n">
        <f aca="false">D8+D10+D24</f>
        <v>6999.93</v>
      </c>
      <c r="E11" s="0" t="n">
        <f aca="false">E8+E10+E24</f>
        <v>7426.488234375</v>
      </c>
      <c r="F11" s="0" t="n">
        <f aca="false">F8+F10+F24</f>
        <v>7878.2024671875</v>
      </c>
      <c r="G11" s="0" t="n">
        <f aca="false">G8+G10+G24</f>
        <v>8232.72157821094</v>
      </c>
      <c r="H11" s="0" t="n">
        <f aca="false">H8+H10+H24</f>
        <v>8603.19404923043</v>
      </c>
      <c r="I11" s="0" t="n">
        <f aca="false">I8+I10+I24</f>
        <v>8947.32181119965</v>
      </c>
      <c r="J11" s="0" t="n">
        <f aca="false">J8+J10+J24</f>
        <v>9305.21468364763</v>
      </c>
      <c r="K11" s="0" t="n">
        <f aca="false">K8+K10+K24</f>
        <v>9630.8971975753</v>
      </c>
      <c r="L11" s="0" t="n">
        <f aca="false">L8+L10+L24</f>
        <v>9919.82411350256</v>
      </c>
    </row>
    <row r="12" customFormat="false" ht="15" hidden="false" customHeight="false" outlineLevel="0" collapsed="false">
      <c r="A12" s="0" t="s">
        <v>127</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128</v>
      </c>
      <c r="C13" s="0" t="n">
        <f aca="false">C11+C12</f>
        <v>6583.2675</v>
      </c>
      <c r="D13" s="0" t="n">
        <f aca="false">D11+D12</f>
        <v>6999.93</v>
      </c>
      <c r="E13" s="0" t="n">
        <f aca="false">E11+E12</f>
        <v>7426.488234375</v>
      </c>
      <c r="F13" s="0" t="n">
        <f aca="false">F11+F12</f>
        <v>7878.2024671875</v>
      </c>
      <c r="G13" s="0" t="n">
        <f aca="false">G11+G12</f>
        <v>8232.72157821094</v>
      </c>
      <c r="H13" s="0" t="n">
        <f aca="false">H11+H12</f>
        <v>8603.19404923043</v>
      </c>
      <c r="I13" s="0" t="n">
        <f aca="false">I11+I12</f>
        <v>8947.32181119965</v>
      </c>
      <c r="J13" s="0" t="n">
        <f aca="false">J11+J12</f>
        <v>9305.21468364763</v>
      </c>
      <c r="K13" s="0" t="n">
        <f aca="false">K11+K12</f>
        <v>9630.8971975753</v>
      </c>
      <c r="L13" s="0" t="n">
        <f aca="false">L11+L12</f>
        <v>9919.82411350256</v>
      </c>
    </row>
    <row r="14" customFormat="false" ht="15" hidden="false" customHeight="false" outlineLevel="0" collapsed="false">
      <c r="A14" s="0" t="s">
        <v>114</v>
      </c>
      <c r="C14" s="4" t="n">
        <f aca="false">Assumptions!C33</f>
        <v>18.5</v>
      </c>
      <c r="D14" s="4" t="n">
        <f aca="false">Assumptions!D33</f>
        <v>18.5</v>
      </c>
      <c r="E14" s="4" t="n">
        <f aca="false">Assumptions!E33</f>
        <v>18.5</v>
      </c>
      <c r="F14" s="4" t="n">
        <f aca="false">Assumptions!F33</f>
        <v>18.5</v>
      </c>
      <c r="G14" s="4" t="n">
        <f aca="false">Assumptions!G33</f>
        <v>18.5</v>
      </c>
      <c r="H14" s="4" t="n">
        <f aca="false">Assumptions!H33</f>
        <v>18.5</v>
      </c>
      <c r="I14" s="4" t="n">
        <f aca="false">Assumptions!I33</f>
        <v>18.5</v>
      </c>
      <c r="J14" s="4" t="n">
        <f aca="false">Assumptions!J33</f>
        <v>18.5</v>
      </c>
      <c r="K14" s="4" t="n">
        <f aca="false">Assumptions!K33</f>
        <v>18.5</v>
      </c>
      <c r="L14" s="4" t="n">
        <f aca="false">Assumptions!L33</f>
        <v>18.5</v>
      </c>
    </row>
    <row r="15" customFormat="false" ht="15" hidden="false" customHeight="false" outlineLevel="0" collapsed="false">
      <c r="A15" s="0" t="s">
        <v>129</v>
      </c>
      <c r="C15" s="0" t="n">
        <f aca="false">C13-MAX(0,C13)*C14/100</f>
        <v>5365.3630125</v>
      </c>
      <c r="D15" s="0" t="n">
        <f aca="false">D13-MAX(0,D13)*D14/100</f>
        <v>5704.94295</v>
      </c>
      <c r="E15" s="0" t="n">
        <f aca="false">E13-MAX(0,E13)*E14/100</f>
        <v>6052.58791101563</v>
      </c>
      <c r="F15" s="0" t="n">
        <f aca="false">F13-MAX(0,F13)*F14/100</f>
        <v>6420.73501075781</v>
      </c>
      <c r="G15" s="0" t="n">
        <f aca="false">G13-MAX(0,G13)*G14/100</f>
        <v>6709.66808624191</v>
      </c>
      <c r="H15" s="0" t="n">
        <f aca="false">H13-MAX(0,H13)*H14/100</f>
        <v>7011.6031501228</v>
      </c>
      <c r="I15" s="0" t="n">
        <f aca="false">I13-MAX(0,I13)*I14/100</f>
        <v>7292.06727612771</v>
      </c>
      <c r="J15" s="0" t="n">
        <f aca="false">J13-MAX(0,J13)*J14/100</f>
        <v>7583.74996717282</v>
      </c>
      <c r="K15" s="0" t="n">
        <f aca="false">K13-MAX(0,K13)*K14/100</f>
        <v>7849.18121602387</v>
      </c>
      <c r="L15" s="0" t="n">
        <f aca="false">L13-MAX(0,L13)*L14/100</f>
        <v>8084.65665250459</v>
      </c>
    </row>
    <row r="16" customFormat="false" ht="15" hidden="false" customHeight="false" outlineLevel="0" collapsed="false">
      <c r="A16" s="0" t="s">
        <v>130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131</v>
      </c>
      <c r="C17" s="4" t="n">
        <f aca="false">-C6*Assumptions!C32/100</f>
        <v>-1111.1</v>
      </c>
      <c r="D17" s="4" t="n">
        <f aca="false">-D6*Assumptions!D32/100</f>
        <v>-2318.7268125</v>
      </c>
      <c r="E17" s="4" t="n">
        <f aca="false">-E6*Assumptions!E32/100</f>
        <v>-2419.35080625</v>
      </c>
      <c r="F17" s="4" t="n">
        <f aca="false">-F6*Assumptions!F32/100</f>
        <v>-2508.162418125</v>
      </c>
      <c r="G17" s="4" t="n">
        <f aca="false">-G6*Assumptions!G32/100</f>
        <v>-2352.20616520313</v>
      </c>
      <c r="H17" s="4" t="n">
        <f aca="false">-H6*Assumptions!H32/100</f>
        <v>-2458.05544263727</v>
      </c>
      <c r="I17" s="4" t="n">
        <f aca="false">-I6*Assumptions!I32/100</f>
        <v>-2282.48005387746</v>
      </c>
      <c r="J17" s="4" t="n">
        <f aca="false">-J6*Assumptions!J32/100</f>
        <v>-2373.77925603256</v>
      </c>
      <c r="K17" s="4" t="n">
        <f aca="false">-K6*Assumptions!K32/100</f>
        <v>-2142.38325415451</v>
      </c>
      <c r="L17" s="4" t="n">
        <f aca="false">-L6*Assumptions!L32/100</f>
        <v>-1902.98666667192</v>
      </c>
    </row>
    <row r="18" customFormat="false" ht="15" hidden="false" customHeight="false" outlineLevel="0" collapsed="false">
      <c r="A18" s="0" t="s">
        <v>132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133</v>
      </c>
      <c r="C19" s="0" t="n">
        <f aca="false">C15+C16+C17+C18</f>
        <v>4254.2630125</v>
      </c>
      <c r="D19" s="0" t="n">
        <f aca="false">D15+D16+D17+D18</f>
        <v>3386.2161375</v>
      </c>
      <c r="E19" s="0" t="n">
        <f aca="false">E15+E16+E17+E18</f>
        <v>3633.23710476562</v>
      </c>
      <c r="F19" s="0" t="n">
        <f aca="false">F15+F16+F17+F18</f>
        <v>3912.57259263281</v>
      </c>
      <c r="G19" s="0" t="n">
        <f aca="false">G15+G16+G17+G18</f>
        <v>4357.46192103879</v>
      </c>
      <c r="H19" s="0" t="n">
        <f aca="false">H15+H16+H17+H18</f>
        <v>4553.54770748553</v>
      </c>
      <c r="I19" s="0" t="n">
        <f aca="false">I15+I16+I17+I18</f>
        <v>5009.58722225025</v>
      </c>
      <c r="J19" s="0" t="n">
        <f aca="false">J15+J16+J17+J18</f>
        <v>5209.97071114026</v>
      </c>
      <c r="K19" s="0" t="n">
        <f aca="false">K15+K16+K17+K18</f>
        <v>5706.79796186936</v>
      </c>
      <c r="L19" s="0" t="n">
        <f aca="false">L15+L16+L17+L18</f>
        <v>6181.66998583267</v>
      </c>
    </row>
    <row r="20" customFormat="false" ht="15" hidden="false" customHeight="false" outlineLevel="0" collapsed="false">
      <c r="A20" s="0" t="s">
        <v>134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135</v>
      </c>
      <c r="C21" s="0" t="n">
        <f aca="false">C19*C20</f>
        <v>3920.97973502304</v>
      </c>
      <c r="D21" s="0" t="n">
        <f aca="false">D19*D20</f>
        <v>2876.43920023785</v>
      </c>
      <c r="E21" s="0" t="n">
        <f aca="false">E19*E20</f>
        <v>2844.49075284002</v>
      </c>
      <c r="F21" s="0" t="n">
        <f aca="false">F19*F20</f>
        <v>2823.21176817543</v>
      </c>
      <c r="G21" s="0" t="n">
        <f aca="false">G19*G20</f>
        <v>2897.91010774048</v>
      </c>
      <c r="H21" s="0" t="n">
        <f aca="false">H19*H20</f>
        <v>2791.07471206342</v>
      </c>
      <c r="I21" s="0" t="n">
        <f aca="false">I19*I20</f>
        <v>2830.04782834357</v>
      </c>
      <c r="J21" s="0" t="n">
        <f aca="false">J19*J20</f>
        <v>2712.67257279015</v>
      </c>
      <c r="K21" s="0" t="n">
        <f aca="false">K19*K20</f>
        <v>2738.57635303035</v>
      </c>
      <c r="L21" s="0" t="n">
        <f aca="false">L19*L20</f>
        <v>2734.06247530512</v>
      </c>
    </row>
    <row r="23" customFormat="false" ht="15" hidden="false" customHeight="false" outlineLevel="0" collapsed="false">
      <c r="A23" s="0" t="s">
        <v>111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Assumptions!$B$34</f>
        <v>8.5</v>
      </c>
    </row>
    <row r="28" customFormat="false" ht="15" hidden="false" customHeight="false" outlineLevel="0" collapsed="false">
      <c r="A28" s="0" t="s">
        <v>116</v>
      </c>
      <c r="B28" s="4" t="n">
        <f aca="false">Assumptions!$B$35</f>
        <v>3</v>
      </c>
    </row>
    <row r="29" customFormat="false" ht="15" hidden="false" customHeight="false" outlineLevel="0" collapsed="false">
      <c r="A29" s="0" t="s">
        <v>117</v>
      </c>
      <c r="B29" s="4" t="n">
        <f aca="false">Assumptions!$B$36</f>
        <v>20</v>
      </c>
    </row>
    <row r="30" customFormat="false" ht="15" hidden="false" customHeight="false" outlineLevel="0" collapsed="false">
      <c r="A30" s="0" t="s">
        <v>138</v>
      </c>
      <c r="B30" s="0" t="n">
        <f aca="false">SUM(C21:L21)</f>
        <v>29169.4655055494</v>
      </c>
    </row>
    <row r="31" customFormat="false" ht="15" hidden="false" customHeight="false" outlineLevel="0" collapsed="false">
      <c r="A31" s="0" t="s">
        <v>139</v>
      </c>
      <c r="B31" s="0" t="n">
        <f aca="false">L19</f>
        <v>6181.66998583267</v>
      </c>
    </row>
    <row r="32" customFormat="false" ht="15" hidden="false" customHeight="false" outlineLevel="0" collapsed="false">
      <c r="A32" s="0" t="s">
        <v>140</v>
      </c>
      <c r="B32" s="0" t="n">
        <f aca="false">IF(B27&gt;B28,B31*(1+B28/100)/((B27-B28)/100),B31*B29)</f>
        <v>115765.819734684</v>
      </c>
    </row>
    <row r="33" customFormat="false" ht="15" hidden="false" customHeight="false" outlineLevel="0" collapsed="false">
      <c r="A33" s="0" t="s">
        <v>141</v>
      </c>
      <c r="B33" s="0" t="n">
        <f aca="false">B31*B29</f>
        <v>123633.399716653</v>
      </c>
    </row>
    <row r="34" customFormat="false" ht="15" hidden="false" customHeight="false" outlineLevel="0" collapsed="false">
      <c r="A34" s="0" t="s">
        <v>142</v>
      </c>
      <c r="B34" s="0" t="n">
        <f aca="false">MAX(0,MIN(B32,B33))</f>
        <v>115765.819734684</v>
      </c>
    </row>
    <row r="35" customFormat="false" ht="15" hidden="false" customHeight="false" outlineLevel="0" collapsed="false">
      <c r="A35" s="0" t="s">
        <v>143</v>
      </c>
      <c r="B35" s="0" t="n">
        <f aca="false">B34/(1+B27/100)^L4</f>
        <v>51201.5336284413</v>
      </c>
    </row>
    <row r="36" customFormat="false" ht="15" hidden="false" customHeight="false" outlineLevel="0" collapsed="false">
      <c r="A36" s="0" t="s">
        <v>144</v>
      </c>
      <c r="B36" s="0" t="n">
        <f aca="false">B30+B35</f>
        <v>80370.9991339908</v>
      </c>
    </row>
    <row r="37" customFormat="false" ht="15" hidden="false" customHeight="false" outlineLevel="0" collapsed="false">
      <c r="A37" s="0" t="s">
        <v>145</v>
      </c>
      <c r="B37" s="0" t="n">
        <f aca="false">B36+Assumptions!$B$5-Assumptions!$B$4</f>
        <v>82870.9991339908</v>
      </c>
    </row>
    <row r="38" customFormat="false" ht="15" hidden="false" customHeight="false" outlineLevel="0" collapsed="false">
      <c r="A38" s="0" t="s">
        <v>146</v>
      </c>
      <c r="B38" s="0" t="n">
        <f aca="false">B37/Assumptions!$B$3*Assumptions!$B$10</f>
        <v>50.0428738731828</v>
      </c>
    </row>
    <row r="39" customFormat="false" ht="15" hidden="false" customHeight="false" outlineLevel="0" collapsed="false">
      <c r="A39" s="0" t="s">
        <v>147</v>
      </c>
      <c r="B39" s="4" t="n">
        <f aca="false">B38/Assumptions!$B$2-1</f>
        <v>0.203242939965925</v>
      </c>
    </row>
    <row r="41" customFormat="false" ht="15" hidden="false" customHeight="false" outlineLevel="0" collapsed="false">
      <c r="A41" s="0" t="s">
        <v>148</v>
      </c>
      <c r="B41" s="0" t="n">
        <f aca="false">SUMPRODUCT(-C10:L10/(1+$B$27/100)^C4:L4)</f>
        <v>655.815359519963</v>
      </c>
    </row>
    <row r="42" customFormat="false" ht="15" hidden="false" customHeight="false" outlineLevel="0" collapsed="false">
      <c r="A42" s="0" t="s">
        <v>149</v>
      </c>
      <c r="B42" s="0" t="n">
        <f aca="false">IF(B27&gt;B28,-L10*(1+B28/100)/((B27-B28)/100),-L10*20)/(1+B27/100)^L4</f>
        <v>1006.0887564128</v>
      </c>
    </row>
    <row r="43" customFormat="false" ht="15" hidden="false" customHeight="false" outlineLevel="0" collapsed="false">
      <c r="A43" s="0" t="s">
        <v>150</v>
      </c>
      <c r="B43" s="0" t="n">
        <f aca="false">(B37+B41+B42)/Assumptions!$B$3*Assumptions!$B$10</f>
        <v>51.0464391605818</v>
      </c>
    </row>
    <row r="45" customFormat="false" ht="15" hidden="false" customHeight="false" outlineLevel="0" collapsed="false">
      <c r="A45" s="0" t="s">
        <v>90</v>
      </c>
      <c r="B45" s="4" t="n">
        <f aca="false">Assumptions!$B$6</f>
        <v>15</v>
      </c>
    </row>
    <row r="46" customFormat="false" ht="15" hidden="false" customHeight="false" outlineLevel="0" collapsed="false">
      <c r="A46" s="0" t="s">
        <v>151</v>
      </c>
      <c r="B46" s="0" t="n">
        <f aca="false">MAX(0,MIN(IF(B45&gt;B28,B31*(1+B28/100)/((B45-B28)/100),B31*B29),B31*B29))</f>
        <v>53059.3340450637</v>
      </c>
    </row>
    <row r="47" customFormat="false" ht="15" hidden="false" customHeight="false" outlineLevel="0" collapsed="false">
      <c r="A47" s="0" t="s">
        <v>152</v>
      </c>
      <c r="B47" s="0" t="n">
        <f aca="false">(SUMPRODUCT(C19:L19/(1+B45/100)^C4:L4)+B46/(1+B45/100)^L4+Assumptions!$B$5-Assumptions!$B$4)/Assumptions!$B$3*Assumptions!$B$10</f>
        <v>22.5682082671239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154</v>
      </c>
    </row>
    <row r="3" customFormat="false" ht="15" hidden="false" customHeight="false" outlineLevel="0" collapsed="false">
      <c r="A3" s="0" t="s">
        <v>123</v>
      </c>
      <c r="B3" s="0" t="s">
        <v>93</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Assumptions!C41</f>
        <v>4</v>
      </c>
      <c r="D5" s="4" t="n">
        <f aca="false">Assumptions!D41</f>
        <v>6</v>
      </c>
      <c r="E5" s="4" t="n">
        <f aca="false">Assumptions!E41</f>
        <v>6</v>
      </c>
      <c r="F5" s="4" t="n">
        <f aca="false">Assumptions!F41</f>
        <v>6</v>
      </c>
      <c r="G5" s="4" t="n">
        <f aca="false">Assumptions!G41</f>
        <v>5.5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37</v>
      </c>
      <c r="B6" s="3" t="n">
        <v>13550</v>
      </c>
      <c r="C6" s="0" t="n">
        <f aca="false">B6*(1+C5/100)</f>
        <v>14092</v>
      </c>
      <c r="D6" s="0" t="n">
        <f aca="false">C6*(1+D5/100)</f>
        <v>14937.52</v>
      </c>
      <c r="E6" s="0" t="n">
        <f aca="false">D6*(1+E5/100)</f>
        <v>15833.7712</v>
      </c>
      <c r="F6" s="0" t="n">
        <f aca="false">E6*(1+F5/100)</f>
        <v>16783.797472</v>
      </c>
      <c r="G6" s="0" t="n">
        <f aca="false">F6*(1+G5/100)</f>
        <v>17706.90633296</v>
      </c>
      <c r="H6" s="0" t="n">
        <f aca="false">G6*(1+H5/100)</f>
        <v>18592.251649608</v>
      </c>
      <c r="I6" s="0" t="n">
        <f aca="false">H6*(1+I5/100)</f>
        <v>19428.9029738404</v>
      </c>
      <c r="J6" s="0" t="n">
        <f aca="false">I6*(1+J5/100)</f>
        <v>20206.059092794</v>
      </c>
      <c r="K6" s="0" t="n">
        <f aca="false">J6*(1+K5/100)</f>
        <v>20913.2711610418</v>
      </c>
      <c r="L6" s="0" t="n">
        <f aca="false">K6*(1+L5/100)</f>
        <v>21540.669295873</v>
      </c>
    </row>
    <row r="7" customFormat="false" ht="15" hidden="false" customHeight="false" outlineLevel="0" collapsed="false">
      <c r="A7" s="0" t="s">
        <v>109</v>
      </c>
      <c r="C7" s="4" t="n">
        <f aca="false">Assumptions!C42</f>
        <v>49.1</v>
      </c>
      <c r="D7" s="4" t="n">
        <f aca="false">Assumptions!D42</f>
        <v>50.1</v>
      </c>
      <c r="E7" s="4" t="n">
        <f aca="false">Assumptions!E42</f>
        <v>51.1</v>
      </c>
      <c r="F7" s="4" t="n">
        <f aca="false">Assumptions!F42</f>
        <v>52.1</v>
      </c>
      <c r="G7" s="4" t="n">
        <f aca="false">Assumptions!G42</f>
        <v>52.1</v>
      </c>
      <c r="H7" s="4" t="n">
        <f aca="false">Assumptions!H42</f>
        <v>52.1</v>
      </c>
      <c r="I7" s="4" t="n">
        <f aca="false">Assumptions!I42</f>
        <v>52.1</v>
      </c>
      <c r="J7" s="4" t="n">
        <f aca="false">Assumptions!J42</f>
        <v>52.1</v>
      </c>
      <c r="K7" s="4" t="n">
        <f aca="false">Assumptions!K42</f>
        <v>52.1</v>
      </c>
      <c r="L7" s="4" t="n">
        <f aca="false">Assumptions!L42</f>
        <v>52.1</v>
      </c>
    </row>
    <row r="8" customFormat="false" ht="15" hidden="false" customHeight="false" outlineLevel="0" collapsed="false">
      <c r="A8" s="0" t="s">
        <v>43</v>
      </c>
      <c r="C8" s="0" t="n">
        <f aca="false">C6*C7/100</f>
        <v>6919.172</v>
      </c>
      <c r="D8" s="0" t="n">
        <f aca="false">D6*D7/100</f>
        <v>7483.69752</v>
      </c>
      <c r="E8" s="0" t="n">
        <f aca="false">E6*E7/100</f>
        <v>8091.0570832</v>
      </c>
      <c r="F8" s="0" t="n">
        <f aca="false">F6*F7/100</f>
        <v>8744.358482912</v>
      </c>
      <c r="G8" s="0" t="n">
        <f aca="false">G6*G7/100</f>
        <v>9225.29819947216</v>
      </c>
      <c r="H8" s="0" t="n">
        <f aca="false">H6*H7/100</f>
        <v>9686.56310944577</v>
      </c>
      <c r="I8" s="0" t="n">
        <f aca="false">I6*I7/100</f>
        <v>10122.4584493708</v>
      </c>
      <c r="J8" s="0" t="n">
        <f aca="false">J6*J7/100</f>
        <v>10527.3567873457</v>
      </c>
      <c r="K8" s="0" t="n">
        <f aca="false">K6*K7/100</f>
        <v>10895.8142749028</v>
      </c>
      <c r="L8" s="0" t="n">
        <f aca="false">L6*L7/100</f>
        <v>11222.6887031498</v>
      </c>
    </row>
    <row r="9" customFormat="false" ht="15" hidden="false" customHeight="false" outlineLevel="0" collapsed="false">
      <c r="A9" s="0" t="s">
        <v>110</v>
      </c>
      <c r="C9" s="4" t="n">
        <f aca="false">Assumptions!C43</f>
        <v>0.6</v>
      </c>
      <c r="D9" s="4" t="n">
        <f aca="false">Assumptions!D43</f>
        <v>0.6</v>
      </c>
      <c r="E9" s="4" t="n">
        <f aca="false">Assumptions!E43</f>
        <v>0.6</v>
      </c>
      <c r="F9" s="4" t="n">
        <f aca="false">Assumptions!F43</f>
        <v>0.6</v>
      </c>
      <c r="G9" s="4" t="n">
        <f aca="false">Assumptions!G43</f>
        <v>0.6</v>
      </c>
      <c r="H9" s="4" t="n">
        <f aca="false">Assumptions!H43</f>
        <v>0.6</v>
      </c>
      <c r="I9" s="4" t="n">
        <f aca="false">Assumptions!I43</f>
        <v>0.6</v>
      </c>
      <c r="J9" s="4" t="n">
        <f aca="false">Assumptions!J43</f>
        <v>0.6</v>
      </c>
      <c r="K9" s="4" t="n">
        <f aca="false">Assumptions!K43</f>
        <v>0.6</v>
      </c>
      <c r="L9" s="4" t="n">
        <f aca="false">Assumptions!L43</f>
        <v>0.6</v>
      </c>
    </row>
    <row r="10" customFormat="false" ht="15" hidden="false" customHeight="false" outlineLevel="0" collapsed="false">
      <c r="A10" s="0" t="s">
        <v>125</v>
      </c>
      <c r="C10" s="0" t="n">
        <f aca="false">-C6*C9/100</f>
        <v>-84.552</v>
      </c>
      <c r="D10" s="0" t="n">
        <f aca="false">-D6*D9/100</f>
        <v>-89.62512</v>
      </c>
      <c r="E10" s="0" t="n">
        <f aca="false">-E6*E9/100</f>
        <v>-95.0026272</v>
      </c>
      <c r="F10" s="0" t="n">
        <f aca="false">-F6*F9/100</f>
        <v>-100.702784832</v>
      </c>
      <c r="G10" s="0" t="n">
        <f aca="false">-G6*G9/100</f>
        <v>-106.24143799776</v>
      </c>
      <c r="H10" s="0" t="n">
        <f aca="false">-H6*H9/100</f>
        <v>-111.553509897648</v>
      </c>
      <c r="I10" s="0" t="n">
        <f aca="false">-I6*I9/100</f>
        <v>-116.573417843042</v>
      </c>
      <c r="J10" s="0" t="n">
        <f aca="false">-J6*J9/100</f>
        <v>-121.236354556764</v>
      </c>
      <c r="K10" s="0" t="n">
        <f aca="false">-K6*K9/100</f>
        <v>-125.479626966251</v>
      </c>
      <c r="L10" s="0" t="n">
        <f aca="false">-L6*L9/100</f>
        <v>-129.244015775238</v>
      </c>
    </row>
    <row r="11" customFormat="false" ht="15" hidden="false" customHeight="false" outlineLevel="0" collapsed="false">
      <c r="A11" s="0" t="s">
        <v>126</v>
      </c>
      <c r="C11" s="0" t="n">
        <f aca="false">C8+C10+C24</f>
        <v>6834.62</v>
      </c>
      <c r="D11" s="0" t="n">
        <f aca="false">D8+D10+D24</f>
        <v>7394.0724</v>
      </c>
      <c r="E11" s="0" t="n">
        <f aca="false">E8+E10+E24</f>
        <v>7996.054456</v>
      </c>
      <c r="F11" s="0" t="n">
        <f aca="false">F8+F10+F24</f>
        <v>8643.65569808</v>
      </c>
      <c r="G11" s="0" t="n">
        <f aca="false">G8+G10+G24</f>
        <v>9119.0567614744</v>
      </c>
      <c r="H11" s="0" t="n">
        <f aca="false">H8+H10+H24</f>
        <v>9575.00959954812</v>
      </c>
      <c r="I11" s="0" t="n">
        <f aca="false">I8+I10+I24</f>
        <v>10005.8850315278</v>
      </c>
      <c r="J11" s="0" t="n">
        <f aca="false">J8+J10+J24</f>
        <v>10406.1204327889</v>
      </c>
      <c r="K11" s="0" t="n">
        <f aca="false">K8+K10+K24</f>
        <v>10770.3346479365</v>
      </c>
      <c r="L11" s="0" t="n">
        <f aca="false">L8+L10+L24</f>
        <v>11093.4446873746</v>
      </c>
    </row>
    <row r="12" customFormat="false" ht="15" hidden="false" customHeight="false" outlineLevel="0" collapsed="false">
      <c r="A12" s="0" t="s">
        <v>127</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128</v>
      </c>
      <c r="C13" s="0" t="n">
        <f aca="false">C11+C12</f>
        <v>6834.62</v>
      </c>
      <c r="D13" s="0" t="n">
        <f aca="false">D11+D12</f>
        <v>7394.0724</v>
      </c>
      <c r="E13" s="0" t="n">
        <f aca="false">E11+E12</f>
        <v>7996.054456</v>
      </c>
      <c r="F13" s="0" t="n">
        <f aca="false">F11+F12</f>
        <v>8643.65569808</v>
      </c>
      <c r="G13" s="0" t="n">
        <f aca="false">G11+G12</f>
        <v>9119.0567614744</v>
      </c>
      <c r="H13" s="0" t="n">
        <f aca="false">H11+H12</f>
        <v>9575.00959954812</v>
      </c>
      <c r="I13" s="0" t="n">
        <f aca="false">I11+I12</f>
        <v>10005.8850315278</v>
      </c>
      <c r="J13" s="0" t="n">
        <f aca="false">J11+J12</f>
        <v>10406.1204327889</v>
      </c>
      <c r="K13" s="0" t="n">
        <f aca="false">K11+K12</f>
        <v>10770.3346479365</v>
      </c>
      <c r="L13" s="0" t="n">
        <f aca="false">L11+L12</f>
        <v>11093.4446873746</v>
      </c>
    </row>
    <row r="14" customFormat="false" ht="15" hidden="false" customHeight="false" outlineLevel="0" collapsed="false">
      <c r="A14" s="0" t="s">
        <v>114</v>
      </c>
      <c r="C14" s="4" t="n">
        <f aca="false">Assumptions!C47</f>
        <v>18.5</v>
      </c>
      <c r="D14" s="4" t="n">
        <f aca="false">Assumptions!D47</f>
        <v>18.5</v>
      </c>
      <c r="E14" s="4" t="n">
        <f aca="false">Assumptions!E47</f>
        <v>18.5</v>
      </c>
      <c r="F14" s="4" t="n">
        <f aca="false">Assumptions!F47</f>
        <v>18.5</v>
      </c>
      <c r="G14" s="4" t="n">
        <f aca="false">Assumptions!G47</f>
        <v>18.5</v>
      </c>
      <c r="H14" s="4" t="n">
        <f aca="false">Assumptions!H47</f>
        <v>18.5</v>
      </c>
      <c r="I14" s="4" t="n">
        <f aca="false">Assumptions!I47</f>
        <v>18.5</v>
      </c>
      <c r="J14" s="4" t="n">
        <f aca="false">Assumptions!J47</f>
        <v>18.5</v>
      </c>
      <c r="K14" s="4" t="n">
        <f aca="false">Assumptions!K47</f>
        <v>18.5</v>
      </c>
      <c r="L14" s="4" t="n">
        <f aca="false">Assumptions!L47</f>
        <v>18.5</v>
      </c>
    </row>
    <row r="15" customFormat="false" ht="15" hidden="false" customHeight="false" outlineLevel="0" collapsed="false">
      <c r="A15" s="0" t="s">
        <v>129</v>
      </c>
      <c r="C15" s="0" t="n">
        <f aca="false">C13-MAX(0,C13)*C14/100</f>
        <v>5570.2153</v>
      </c>
      <c r="D15" s="0" t="n">
        <f aca="false">D13-MAX(0,D13)*D14/100</f>
        <v>6026.169006</v>
      </c>
      <c r="E15" s="0" t="n">
        <f aca="false">E13-MAX(0,E13)*E14/100</f>
        <v>6516.78438164</v>
      </c>
      <c r="F15" s="0" t="n">
        <f aca="false">F13-MAX(0,F13)*F14/100</f>
        <v>7044.5793939352</v>
      </c>
      <c r="G15" s="0" t="n">
        <f aca="false">G13-MAX(0,G13)*G14/100</f>
        <v>7432.03126060164</v>
      </c>
      <c r="H15" s="0" t="n">
        <f aca="false">H13-MAX(0,H13)*H14/100</f>
        <v>7803.63282363172</v>
      </c>
      <c r="I15" s="0" t="n">
        <f aca="false">I13-MAX(0,I13)*I14/100</f>
        <v>8154.79630069515</v>
      </c>
      <c r="J15" s="0" t="n">
        <f aca="false">J13-MAX(0,J13)*J14/100</f>
        <v>8480.98815272295</v>
      </c>
      <c r="K15" s="0" t="n">
        <f aca="false">K13-MAX(0,K13)*K14/100</f>
        <v>8777.82273806825</v>
      </c>
      <c r="L15" s="0" t="n">
        <f aca="false">L13-MAX(0,L13)*L14/100</f>
        <v>9041.1574202103</v>
      </c>
    </row>
    <row r="16" customFormat="false" ht="15" hidden="false" customHeight="false" outlineLevel="0" collapsed="false">
      <c r="A16" s="0" t="s">
        <v>130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131</v>
      </c>
      <c r="C17" s="4" t="n">
        <f aca="false">-C6*Assumptions!C46/100</f>
        <v>-1775.592</v>
      </c>
      <c r="D17" s="4" t="n">
        <f aca="false">-D6*Assumptions!D46/100</f>
        <v>-2778.37872</v>
      </c>
      <c r="E17" s="4" t="n">
        <f aca="false">-E6*Assumptions!E46/100</f>
        <v>-2897.5801296</v>
      </c>
      <c r="F17" s="4" t="n">
        <f aca="false">-F6*Assumptions!F46/100</f>
        <v>-3021.08354496</v>
      </c>
      <c r="G17" s="4" t="n">
        <f aca="false">-G6*Assumptions!G46/100</f>
        <v>-2921.6395449384</v>
      </c>
      <c r="H17" s="4" t="n">
        <f aca="false">-H6*Assumptions!H46/100</f>
        <v>-2788.8377474412</v>
      </c>
      <c r="I17" s="4" t="n">
        <f aca="false">-I6*Assumptions!I46/100</f>
        <v>-2622.90190146845</v>
      </c>
      <c r="J17" s="4" t="n">
        <f aca="false">-J6*Assumptions!J46/100</f>
        <v>-2424.72709113528</v>
      </c>
      <c r="K17" s="4" t="n">
        <f aca="false">-K6*Assumptions!K46/100</f>
        <v>-2195.89347190939</v>
      </c>
      <c r="L17" s="4" t="n">
        <f aca="false">-L6*Assumptions!L46/100</f>
        <v>-1938.66023662857</v>
      </c>
    </row>
    <row r="18" customFormat="false" ht="15" hidden="false" customHeight="false" outlineLevel="0" collapsed="false">
      <c r="A18" s="0" t="s">
        <v>132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133</v>
      </c>
      <c r="C19" s="0" t="n">
        <f aca="false">C15+C16+C17+C18</f>
        <v>3794.6233</v>
      </c>
      <c r="D19" s="0" t="n">
        <f aca="false">D15+D16+D17+D18</f>
        <v>3247.790286</v>
      </c>
      <c r="E19" s="0" t="n">
        <f aca="false">E15+E16+E17+E18</f>
        <v>3619.20425204</v>
      </c>
      <c r="F19" s="0" t="n">
        <f aca="false">F15+F16+F17+F18</f>
        <v>4023.4958489752</v>
      </c>
      <c r="G19" s="0" t="n">
        <f aca="false">G15+G16+G17+G18</f>
        <v>4510.39171566324</v>
      </c>
      <c r="H19" s="0" t="n">
        <f aca="false">H15+H16+H17+H18</f>
        <v>5014.79507619052</v>
      </c>
      <c r="I19" s="0" t="n">
        <f aca="false">I15+I16+I17+I18</f>
        <v>5531.8943992267</v>
      </c>
      <c r="J19" s="0" t="n">
        <f aca="false">J15+J16+J17+J18</f>
        <v>6056.26106158768</v>
      </c>
      <c r="K19" s="0" t="n">
        <f aca="false">K15+K16+K17+K18</f>
        <v>6581.92926615887</v>
      </c>
      <c r="L19" s="0" t="n">
        <f aca="false">L15+L16+L17+L18</f>
        <v>7102.49718358173</v>
      </c>
    </row>
    <row r="20" customFormat="false" ht="15" hidden="false" customHeight="false" outlineLevel="0" collapsed="false">
      <c r="A20" s="0" t="s">
        <v>134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135</v>
      </c>
      <c r="C21" s="0" t="n">
        <f aca="false">C19*C20</f>
        <v>3497.34866359447</v>
      </c>
      <c r="D21" s="0" t="n">
        <f aca="false">D19*D20</f>
        <v>2758.85262885175</v>
      </c>
      <c r="E21" s="0" t="n">
        <f aca="false">E19*E20</f>
        <v>2833.50431879705</v>
      </c>
      <c r="F21" s="0" t="n">
        <f aca="false">F19*F20</f>
        <v>2903.25113747936</v>
      </c>
      <c r="G21" s="0" t="n">
        <f aca="false">G19*G20</f>
        <v>2999.61536773991</v>
      </c>
      <c r="H21" s="0" t="n">
        <f aca="false">H19*H20</f>
        <v>3073.79402225796</v>
      </c>
      <c r="I21" s="0" t="n">
        <f aca="false">I19*I20</f>
        <v>3125.11291581528</v>
      </c>
      <c r="J21" s="0" t="n">
        <f aca="false">J19*J20</f>
        <v>3153.31010216567</v>
      </c>
      <c r="K21" s="0" t="n">
        <f aca="false">K19*K20</f>
        <v>3158.53407919082</v>
      </c>
      <c r="L21" s="0" t="n">
        <f aca="false">L19*L20</f>
        <v>3141.33091463883</v>
      </c>
    </row>
    <row r="23" customFormat="false" ht="15" hidden="false" customHeight="false" outlineLevel="0" collapsed="false">
      <c r="A23" s="0" t="s">
        <v>111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Assumptions!$B$48</f>
        <v>8.5</v>
      </c>
    </row>
    <row r="28" customFormat="false" ht="15" hidden="false" customHeight="false" outlineLevel="0" collapsed="false">
      <c r="A28" s="0" t="s">
        <v>116</v>
      </c>
      <c r="B28" s="4" t="n">
        <f aca="false">Assumptions!$B$49</f>
        <v>3</v>
      </c>
    </row>
    <row r="29" customFormat="false" ht="15" hidden="false" customHeight="false" outlineLevel="0" collapsed="false">
      <c r="A29" s="0" t="s">
        <v>117</v>
      </c>
      <c r="B29" s="4" t="n">
        <f aca="false">Assumptions!$B$50</f>
        <v>21</v>
      </c>
    </row>
    <row r="30" customFormat="false" ht="15" hidden="false" customHeight="false" outlineLevel="0" collapsed="false">
      <c r="A30" s="0" t="s">
        <v>138</v>
      </c>
      <c r="B30" s="0" t="n">
        <f aca="false">SUM(C21:L21)</f>
        <v>30644.6541505311</v>
      </c>
    </row>
    <row r="31" customFormat="false" ht="15" hidden="false" customHeight="false" outlineLevel="0" collapsed="false">
      <c r="A31" s="0" t="s">
        <v>139</v>
      </c>
      <c r="B31" s="0" t="n">
        <f aca="false">L19</f>
        <v>7102.49718358173</v>
      </c>
    </row>
    <row r="32" customFormat="false" ht="15" hidden="false" customHeight="false" outlineLevel="0" collapsed="false">
      <c r="A32" s="0" t="s">
        <v>140</v>
      </c>
      <c r="B32" s="0" t="n">
        <f aca="false">IF(B27&gt;B28,B31*(1+B28/100)/((B27-B28)/100),B31*B29)</f>
        <v>133010.401801621</v>
      </c>
    </row>
    <row r="33" customFormat="false" ht="15" hidden="false" customHeight="false" outlineLevel="0" collapsed="false">
      <c r="A33" s="0" t="s">
        <v>141</v>
      </c>
      <c r="B33" s="0" t="n">
        <f aca="false">B31*B29</f>
        <v>149152.440855216</v>
      </c>
    </row>
    <row r="34" customFormat="false" ht="15" hidden="false" customHeight="false" outlineLevel="0" collapsed="false">
      <c r="A34" s="0" t="s">
        <v>142</v>
      </c>
      <c r="B34" s="0" t="n">
        <f aca="false">MAX(0,MIN(B32,B33))</f>
        <v>133010.401801621</v>
      </c>
    </row>
    <row r="35" customFormat="false" ht="15" hidden="false" customHeight="false" outlineLevel="0" collapsed="false">
      <c r="A35" s="0" t="s">
        <v>143</v>
      </c>
      <c r="B35" s="0" t="n">
        <f aca="false">B34/(1+B27/100)^L4</f>
        <v>58828.5607650544</v>
      </c>
    </row>
    <row r="36" customFormat="false" ht="15" hidden="false" customHeight="false" outlineLevel="0" collapsed="false">
      <c r="A36" s="0" t="s">
        <v>144</v>
      </c>
      <c r="B36" s="0" t="n">
        <f aca="false">B30+B35</f>
        <v>89473.2149155855</v>
      </c>
    </row>
    <row r="37" customFormat="false" ht="15" hidden="false" customHeight="false" outlineLevel="0" collapsed="false">
      <c r="A37" s="0" t="s">
        <v>145</v>
      </c>
      <c r="B37" s="0" t="n">
        <f aca="false">B36+Assumptions!$B$5-Assumptions!$B$4</f>
        <v>91973.2149155855</v>
      </c>
    </row>
    <row r="38" customFormat="false" ht="15" hidden="false" customHeight="false" outlineLevel="0" collapsed="false">
      <c r="A38" s="0" t="s">
        <v>146</v>
      </c>
      <c r="B38" s="0" t="n">
        <f aca="false">B37/Assumptions!$B$3*Assumptions!$B$10</f>
        <v>55.5393809876724</v>
      </c>
    </row>
    <row r="39" customFormat="false" ht="15" hidden="false" customHeight="false" outlineLevel="0" collapsed="false">
      <c r="A39" s="0" t="s">
        <v>147</v>
      </c>
      <c r="B39" s="4" t="n">
        <f aca="false">B38/Assumptions!$B$2-1</f>
        <v>0.335402283906525</v>
      </c>
    </row>
    <row r="41" customFormat="false" ht="15" hidden="false" customHeight="false" outlineLevel="0" collapsed="false">
      <c r="A41" s="0" t="s">
        <v>148</v>
      </c>
      <c r="B41" s="0" t="n">
        <f aca="false">SUMPRODUCT(-C10:L10/(1+$B$27/100)^C4:L4)</f>
        <v>686.492394157449</v>
      </c>
    </row>
    <row r="42" customFormat="false" ht="15" hidden="false" customHeight="false" outlineLevel="0" collapsed="false">
      <c r="A42" s="0" t="s">
        <v>149</v>
      </c>
      <c r="B42" s="0" t="n">
        <f aca="false">IF(B27&gt;B28,-L10*(1+B28/100)/((B27-B28)/100),-L10*20)/(1+B27/100)^L4</f>
        <v>1070.5022809624</v>
      </c>
    </row>
    <row r="43" customFormat="false" ht="15" hidden="false" customHeight="false" outlineLevel="0" collapsed="false">
      <c r="A43" s="0" t="s">
        <v>150</v>
      </c>
      <c r="B43" s="0" t="n">
        <f aca="false">(B37+B41+B42)/Assumptions!$B$3*Assumptions!$B$10</f>
        <v>56.6003681103293</v>
      </c>
    </row>
    <row r="45" customFormat="false" ht="15" hidden="false" customHeight="false" outlineLevel="0" collapsed="false">
      <c r="A45" s="0" t="s">
        <v>90</v>
      </c>
      <c r="B45" s="4" t="n">
        <f aca="false">Assumptions!$B$6</f>
        <v>15</v>
      </c>
    </row>
    <row r="46" customFormat="false" ht="15" hidden="false" customHeight="false" outlineLevel="0" collapsed="false">
      <c r="A46" s="0" t="s">
        <v>151</v>
      </c>
      <c r="B46" s="0" t="n">
        <f aca="false">MAX(0,MIN(IF(B45&gt;B28,B31*(1+B28/100)/((B45-B28)/100),B31*B29),B31*B29))</f>
        <v>60963.1008257432</v>
      </c>
    </row>
    <row r="47" customFormat="false" ht="15" hidden="false" customHeight="false" outlineLevel="0" collapsed="false">
      <c r="A47" s="0" t="s">
        <v>152</v>
      </c>
      <c r="B47" s="0" t="n">
        <f aca="false">(SUMPRODUCT(C19:L19/(1+B45/100)^C4:L4)+B46/(1+B45/100)^L4+Assumptions!$B$5-Assumptions!$B$4)/Assumptions!$B$3*Assumptions!$B$10</f>
        <v>24.2157689575264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155</v>
      </c>
    </row>
    <row r="3" customFormat="false" ht="15" hidden="false" customHeight="false" outlineLevel="0" collapsed="false">
      <c r="A3" s="2" t="s">
        <v>156</v>
      </c>
      <c r="B3" s="2" t="s">
        <v>157</v>
      </c>
      <c r="C3" s="2" t="s">
        <v>147</v>
      </c>
      <c r="D3" s="2" t="s">
        <v>158</v>
      </c>
      <c r="E3" s="2" t="s">
        <v>150</v>
      </c>
      <c r="F3" s="2" t="s">
        <v>159</v>
      </c>
    </row>
    <row r="4" customFormat="false" ht="15" hidden="false" customHeight="false" outlineLevel="0" collapsed="false">
      <c r="A4" s="0" t="s">
        <v>160</v>
      </c>
      <c r="B4" s="4" t="n">
        <f aca="false">DCF_Bear!$B$38</f>
        <v>35.243180398625</v>
      </c>
      <c r="C4" s="0" t="n">
        <f aca="false">B4/Assumptions!$B$2-1</f>
        <v>-0.152604462644266</v>
      </c>
      <c r="D4" s="4" t="n">
        <f aca="false">Assumptions!$B$24</f>
        <v>0.25</v>
      </c>
      <c r="E4" s="4" t="n">
        <f aca="false">DCF_Bear!$B$43</f>
        <v>36.0514311915068</v>
      </c>
      <c r="F4" s="4" t="n">
        <f aca="false">DCF_Bear!$B$47</f>
        <v>19.4297169354509</v>
      </c>
    </row>
    <row r="5" customFormat="false" ht="15" hidden="false" customHeight="false" outlineLevel="0" collapsed="false">
      <c r="A5" s="0" t="s">
        <v>161</v>
      </c>
      <c r="B5" s="4" t="n">
        <f aca="false">DCF_Base!$B$38</f>
        <v>50.0428738731828</v>
      </c>
      <c r="C5" s="0" t="n">
        <f aca="false">B5/Assumptions!$B$2-1</f>
        <v>0.203242939965925</v>
      </c>
      <c r="D5" s="4" t="n">
        <f aca="false">Assumptions!$B$38</f>
        <v>0.5</v>
      </c>
      <c r="E5" s="4" t="n">
        <f aca="false">DCF_Base!$B$43</f>
        <v>51.0464391605818</v>
      </c>
      <c r="F5" s="4" t="n">
        <f aca="false">DCF_Base!$B$47</f>
        <v>22.5682082671239</v>
      </c>
    </row>
    <row r="6" customFormat="false" ht="15" hidden="false" customHeight="false" outlineLevel="0" collapsed="false">
      <c r="A6" s="0" t="s">
        <v>162</v>
      </c>
      <c r="B6" s="4" t="n">
        <f aca="false">DCF_Bull!$B$38</f>
        <v>55.5393809876724</v>
      </c>
      <c r="C6" s="0" t="n">
        <f aca="false">B6/Assumptions!$B$2-1</f>
        <v>0.335402283906525</v>
      </c>
      <c r="D6" s="4" t="n">
        <f aca="false">Assumptions!$B$52</f>
        <v>0.25</v>
      </c>
      <c r="E6" s="4" t="n">
        <f aca="false">DCF_Bull!$B$43</f>
        <v>56.6003681103293</v>
      </c>
      <c r="F6" s="4" t="n">
        <f aca="false">DCF_Bull!$B$47</f>
        <v>24.2157689575264</v>
      </c>
    </row>
    <row r="8" customFormat="false" ht="15" hidden="false" customHeight="false" outlineLevel="0" collapsed="false">
      <c r="A8" s="0" t="s">
        <v>163</v>
      </c>
      <c r="B8" s="0" t="n">
        <f aca="false">SUMPRODUCT(B4:B6,D4:D6)</f>
        <v>47.7170772831658</v>
      </c>
    </row>
    <row r="9" customFormat="false" ht="15" hidden="false" customHeight="false" outlineLevel="0" collapsed="false">
      <c r="A9" s="0" t="s">
        <v>164</v>
      </c>
      <c r="B9" s="0" t="n">
        <f aca="false">SUMPRODUCT(E4:E6,D4:D6)</f>
        <v>48.68616940575</v>
      </c>
    </row>
    <row r="10" customFormat="false" ht="15" hidden="false" customHeight="false" outlineLevel="0" collapsed="false">
      <c r="A10" s="0" t="s">
        <v>165</v>
      </c>
      <c r="B10" s="0" t="n">
        <f aca="false">1-Assumptions!$B$2/B8</f>
        <v>0.12840428693497</v>
      </c>
    </row>
    <row r="11" customFormat="false" ht="15" hidden="false" customHeight="false" outlineLevel="0" collapsed="false">
      <c r="A11" s="0" t="s">
        <v>166</v>
      </c>
      <c r="B11" s="0" t="n">
        <f aca="false">IF(ABS(B9-B8)&gt;0.01*ABS(B8),(Assumptions!$B$2-B8)/(B9-B8)*100,"n/a")</f>
        <v>-632.249209376216</v>
      </c>
    </row>
    <row r="12" customFormat="false" ht="15" hidden="false" customHeight="false" outlineLevel="0" collapsed="false">
      <c r="A12" s="0" t="s">
        <v>167</v>
      </c>
      <c r="B12" s="0" t="n">
        <f aca="false">SUMPRODUCT(F4:F6,D4:D6)</f>
        <v>22.1954756068063</v>
      </c>
    </row>
    <row r="14" customFormat="false" ht="15" hidden="false" customHeight="false" outlineLevel="0" collapsed="false">
      <c r="A14" s="2" t="s">
        <v>168</v>
      </c>
      <c r="C14" s="0" t="s">
        <v>169</v>
      </c>
    </row>
    <row r="15" customFormat="false" ht="15" hidden="false" customHeight="false" outlineLevel="0" collapsed="false">
      <c r="A15" s="0" t="s">
        <v>170</v>
      </c>
      <c r="B15" s="0" t="n">
        <f aca="false">(SUMPRODUCT(DCF_Base!$C$19:$L$19/(1+$C$15/100)^DCF_Base!$C$4:$L$4)+MAX(0,MIN(IF($C$15&gt;DCF_Base!$B$28,DCF_Base!$L$19*(1+DCF_Base!$B$28/100)/(($C$15-DCF_Base!$B$28)/100),DCF_Base!$L$19*DCF_Base!$B$29),DCF_Base!$L$19*DCF_Base!$B$29))/(1+$C$15/100)^DCF_Base!$L$4+Assumptions!$B$5-Assumptions!$B$4)/Assumptions!$B$3*Assumptions!$B$10</f>
        <v>50.0428738731828</v>
      </c>
      <c r="C15" s="3" t="n">
        <v>8.5</v>
      </c>
    </row>
    <row r="16" customFormat="false" ht="15" hidden="false" customHeight="false" outlineLevel="0" collapsed="false">
      <c r="A16" s="0" t="s">
        <v>171</v>
      </c>
      <c r="B16" s="0" t="n">
        <f aca="false">(SUMPRODUCT(DCF_Base!$C$19:$L$19/(1+$C$16/100)^DCF_Base!$C$4:$L$4)+MAX(0,MIN(IF($C$16&gt;DCF_Base!$B$28,DCF_Base!$L$19*(1+DCF_Base!$B$28/100)/(($C$16-DCF_Base!$B$28)/100),DCF_Base!$L$19*DCF_Base!$B$29),DCF_Base!$L$19*DCF_Base!$B$29))/(1+$C$16/100)^DCF_Base!$L$4+Assumptions!$B$5-Assumptions!$B$4)/Assumptions!$B$3*Assumptions!$B$10</f>
        <v>45.7712239154902</v>
      </c>
      <c r="C16" s="3" t="n">
        <v>9</v>
      </c>
    </row>
    <row r="17" customFormat="false" ht="15" hidden="false" customHeight="false" outlineLevel="0" collapsed="false">
      <c r="A17" s="0" t="s">
        <v>172</v>
      </c>
      <c r="B17" s="0" t="n">
        <f aca="false">(SUMPRODUCT(DCF_Base!$C$19:$L$19/(1+$C$17/100)^DCF_Base!$C$4:$L$4)+MAX(0,MIN(IF($C$17&gt;DCF_Base!$B$28,DCF_Base!$L$19*(1+DCF_Base!$B$28/100)/(($C$17-DCF_Base!$B$28)/100),DCF_Base!$L$19*DCF_Base!$B$29),DCF_Base!$L$19*DCF_Base!$B$29))/(1+$C$17/100)^DCF_Base!$L$4+Assumptions!$B$5-Assumptions!$B$4)/Assumptions!$B$3*Assumptions!$B$10</f>
        <v>39.0805558528877</v>
      </c>
      <c r="C17" s="3" t="n">
        <v>10</v>
      </c>
    </row>
    <row r="18" customFormat="false" ht="15" hidden="false" customHeight="false" outlineLevel="0" collapsed="false">
      <c r="A18" s="0" t="s">
        <v>173</v>
      </c>
      <c r="B18" s="0" t="n">
        <f aca="false">(SUMPRODUCT(DCF_Base!$C$19:$L$19/(1+$C$18/100)^DCF_Base!$C$4:$L$4)+MAX(0,MIN(IF($C$18&gt;DCF_Base!$B$28,DCF_Base!$L$19*(1+DCF_Base!$B$28/100)/(($C$18-DCF_Base!$B$28)/100),DCF_Base!$L$19*DCF_Base!$B$29),DCF_Base!$L$19*DCF_Base!$B$29))/(1+$C$18/100)^DCF_Base!$L$4+Assumptions!$B$5-Assumptions!$B$4)/Assumptions!$B$3*Assumptions!$B$10</f>
        <v>34.0863881744576</v>
      </c>
      <c r="C18" s="3" t="n">
        <v>11</v>
      </c>
    </row>
    <row r="19" customFormat="false" ht="15" hidden="false" customHeight="false" outlineLevel="0" collapsed="false">
      <c r="A19" s="0" t="s">
        <v>174</v>
      </c>
      <c r="B19" s="0" t="n">
        <f aca="false">(SUMPRODUCT(DCF_Base!$C$19:$L$19/(1+$C$19/100)^DCF_Base!$C$4:$L$4)+MAX(0,MIN(IF($C$19&gt;DCF_Base!$B$28,DCF_Base!$L$19*(1+DCF_Base!$B$28/100)/(($C$19-DCF_Base!$B$28)/100),DCF_Base!$L$19*DCF_Base!$B$29),DCF_Base!$L$19*DCF_Base!$B$29))/(1+$C$19/100)^DCF_Base!$L$4+Assumptions!$B$5-Assumptions!$B$4)/Assumptions!$B$3*Assumptions!$B$10</f>
        <v>30.2215082419709</v>
      </c>
      <c r="C19" s="3" t="n">
        <v>12</v>
      </c>
    </row>
    <row r="20" customFormat="false" ht="15" hidden="false" customHeight="false" outlineLevel="0" collapsed="false">
      <c r="A20" s="0" t="s">
        <v>175</v>
      </c>
      <c r="B20" s="0" t="n">
        <f aca="false">(SUMPRODUCT(DCF_Base!$C$19:$L$19/(1+$C$20/100)^DCF_Base!$C$4:$L$4)+MAX(0,MIN(IF($C$20&gt;DCF_Base!$B$28,DCF_Base!$L$19*(1+DCF_Base!$B$28/100)/(($C$20-DCF_Base!$B$28)/100),DCF_Base!$L$19*DCF_Base!$B$29),DCF_Base!$L$19*DCF_Base!$B$29))/(1+$C$20/100)^DCF_Base!$L$4+Assumptions!$B$5-Assumptions!$B$4)/Assumptions!$B$3*Assumptions!$B$10</f>
        <v>22.5682082671239</v>
      </c>
      <c r="C20" s="3" t="n">
        <v>15</v>
      </c>
    </row>
    <row r="22" customFormat="false" ht="15" hidden="false" customHeight="false" outlineLevel="0" collapsed="false">
      <c r="A22" s="2" t="s">
        <v>176</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60.7461966447805</v>
      </c>
      <c r="C24" s="0" t="n">
        <f aca="false">(SUMPRODUCT(DCF_Base!$C$19:$L$19/(1+$A$24/100)^DCF_Base!$C$4:$L$4)+MAX(0,MIN(IF($A$24&gt;$C$23,DCF_Base!$L$19*(1+$C$23/100)/(($A$24-$C$23)/100),DCF_Base!$L$19*DCF_Base!$B$29),DCF_Base!$L$19*DCF_Base!$B$29))/(1+$A$24/100)^DCF_Base!$L$4+Assumptions!$B$5-Assumptions!$B$4)/Assumptions!$B$3*Assumptions!$B$10</f>
        <v>60.7461966447805</v>
      </c>
      <c r="D24" s="0" t="n">
        <f aca="false">(SUMPRODUCT(DCF_Base!$C$19:$L$19/(1+$A$24/100)^DCF_Base!$C$4:$L$4)+MAX(0,MIN(IF($A$24&gt;$D$23,DCF_Base!$L$19*(1+$D$23/100)/(($A$24-$D$23)/100),DCF_Base!$L$19*DCF_Base!$B$29),DCF_Base!$L$19*DCF_Base!$B$29))/(1+$A$24/100)^DCF_Base!$L$4+Assumptions!$B$5-Assumptions!$B$4)/Assumptions!$B$3*Assumptions!$B$10</f>
        <v>60.7461966447805</v>
      </c>
      <c r="E24" s="0" t="n">
        <f aca="false">(SUMPRODUCT(DCF_Base!$C$19:$L$19/(1+$A$24/100)^DCF_Base!$C$4:$L$4)+MAX(0,MIN(IF($A$24&gt;$E$23,DCF_Base!$L$19*(1+$E$23/100)/(($A$24-$E$23)/100),DCF_Base!$L$19*DCF_Base!$B$29),DCF_Base!$L$19*DCF_Base!$B$29))/(1+$A$24/100)^DCF_Base!$L$4+Assumptions!$B$5-Assumptions!$B$4)/Assumptions!$B$3*Assumptions!$B$10</f>
        <v>60.7461966447805</v>
      </c>
      <c r="F24" s="0" t="n">
        <f aca="false">(SUMPRODUCT(DCF_Base!$C$19:$L$19/(1+$A$24/100)^DCF_Base!$C$4:$L$4)+MAX(0,MIN(IF($A$24&gt;$F$23,DCF_Base!$L$19*(1+$F$23/100)/(($A$24-$F$23)/100),DCF_Base!$L$19*DCF_Base!$B$29),DCF_Base!$L$19*DCF_Base!$B$29))/(1+$A$24/100)^DCF_Base!$L$4+Assumptions!$B$5-Assumptions!$B$4)/Assumptions!$B$3*Assumptions!$B$10</f>
        <v>60.7461966447805</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53.603851055749</v>
      </c>
      <c r="C25" s="0" t="n">
        <f aca="false">(SUMPRODUCT(DCF_Base!$C$19:$L$19/(1+$A$25/100)^DCF_Base!$C$4:$L$4)+MAX(0,MIN(IF($A$25&gt;$C$23,DCF_Base!$L$19*(1+$C$23/100)/(($A$25-$C$23)/100),DCF_Base!$L$19*DCF_Base!$B$29),DCF_Base!$L$19*DCF_Base!$B$29))/(1+$A$25/100)^DCF_Base!$L$4+Assumptions!$B$5-Assumptions!$B$4)/Assumptions!$B$3*Assumptions!$B$10</f>
        <v>56.2382900051468</v>
      </c>
      <c r="D25" s="0" t="n">
        <f aca="false">(SUMPRODUCT(DCF_Base!$C$19:$L$19/(1+$A$25/100)^DCF_Base!$C$4:$L$4)+MAX(0,MIN(IF($A$25&gt;$D$23,DCF_Base!$L$19*(1+$D$23/100)/(($A$25-$D$23)/100),DCF_Base!$L$19*DCF_Base!$B$29),DCF_Base!$L$19*DCF_Base!$B$29))/(1+$A$25/100)^DCF_Base!$L$4+Assumptions!$B$5-Assumptions!$B$4)/Assumptions!$B$3*Assumptions!$B$10</f>
        <v>56.2382900051468</v>
      </c>
      <c r="E25" s="0" t="n">
        <f aca="false">(SUMPRODUCT(DCF_Base!$C$19:$L$19/(1+$A$25/100)^DCF_Base!$C$4:$L$4)+MAX(0,MIN(IF($A$25&gt;$E$23,DCF_Base!$L$19*(1+$E$23/100)/(($A$25-$E$23)/100),DCF_Base!$L$19*DCF_Base!$B$29),DCF_Base!$L$19*DCF_Base!$B$29))/(1+$A$25/100)^DCF_Base!$L$4+Assumptions!$B$5-Assumptions!$B$4)/Assumptions!$B$3*Assumptions!$B$10</f>
        <v>56.2382900051468</v>
      </c>
      <c r="F25" s="0" t="n">
        <f aca="false">(SUMPRODUCT(DCF_Base!$C$19:$L$19/(1+$A$25/100)^DCF_Base!$C$4:$L$4)+MAX(0,MIN(IF($A$25&gt;$F$23,DCF_Base!$L$19*(1+$F$23/100)/(($A$25-$F$23)/100),DCF_Base!$L$19*DCF_Base!$B$29),DCF_Base!$L$19*DCF_Base!$B$29))/(1+$A$25/100)^DCF_Base!$L$4+Assumptions!$B$5-Assumptions!$B$4)/Assumptions!$B$3*Assumptions!$B$10</f>
        <v>56.2382900051468</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45.0321347331098</v>
      </c>
      <c r="C26" s="0" t="n">
        <f aca="false">(SUMPRODUCT(DCF_Base!$C$19:$L$19/(1+$A$26/100)^DCF_Base!$C$4:$L$4)+MAX(0,MIN(IF($A$26&gt;$C$23,DCF_Base!$L$19*(1+$C$23/100)/(($A$26-$C$23)/100),DCF_Base!$L$19*DCF_Base!$B$29),DCF_Base!$L$19*DCF_Base!$B$29))/(1+$A$26/100)^DCF_Base!$L$4+Assumptions!$B$5-Assumptions!$B$4)/Assumptions!$B$3*Assumptions!$B$10</f>
        <v>47.3287235056433</v>
      </c>
      <c r="D26" s="0" t="n">
        <f aca="false">(SUMPRODUCT(DCF_Base!$C$19:$L$19/(1+$A$26/100)^DCF_Base!$C$4:$L$4)+MAX(0,MIN(IF($A$26&gt;$D$23,DCF_Base!$L$19*(1+$D$23/100)/(($A$26-$D$23)/100),DCF_Base!$L$19*DCF_Base!$B$29),DCF_Base!$L$19*DCF_Base!$B$29))/(1+$A$26/100)^DCF_Base!$L$4+Assumptions!$B$5-Assumptions!$B$4)/Assumptions!$B$3*Assumptions!$B$10</f>
        <v>50.0428738731828</v>
      </c>
      <c r="E26" s="0" t="n">
        <f aca="false">(SUMPRODUCT(DCF_Base!$C$19:$L$19/(1+$A$26/100)^DCF_Base!$C$4:$L$4)+MAX(0,MIN(IF($A$26&gt;$E$23,DCF_Base!$L$19*(1+$E$23/100)/(($A$26-$E$23)/100),DCF_Base!$L$19*DCF_Base!$B$29),DCF_Base!$L$19*DCF_Base!$B$29))/(1+$A$26/100)^DCF_Base!$L$4+Assumptions!$B$5-Assumptions!$B$4)/Assumptions!$B$3*Assumptions!$B$10</f>
        <v>52.1441515770844</v>
      </c>
      <c r="F26" s="0" t="n">
        <f aca="false">(SUMPRODUCT(DCF_Base!$C$19:$L$19/(1+$A$26/100)^DCF_Base!$C$4:$L$4)+MAX(0,MIN(IF($A$26&gt;$F$23,DCF_Base!$L$19*(1+$F$23/100)/(($A$26-$F$23)/100),DCF_Base!$L$19*DCF_Base!$B$29),DCF_Base!$L$19*DCF_Base!$B$29))/(1+$A$26/100)^DCF_Base!$L$4+Assumptions!$B$5-Assumptions!$B$4)/Assumptions!$B$3*Assumptions!$B$10</f>
        <v>52.1441515770844</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38.7814070255467</v>
      </c>
      <c r="C27" s="0" t="n">
        <f aca="false">(SUMPRODUCT(DCF_Base!$C$19:$L$19/(1+$A$27/100)^DCF_Base!$C$4:$L$4)+MAX(0,MIN(IF($A$27&gt;$C$23,DCF_Base!$L$19*(1+$C$23/100)/(($A$27-$C$23)/100),DCF_Base!$L$19*DCF_Base!$B$29),DCF_Base!$L$19*DCF_Base!$B$29))/(1+$A$27/100)^DCF_Base!$L$4+Assumptions!$B$5-Assumptions!$B$4)/Assumptions!$B$3*Assumptions!$B$10</f>
        <v>40.3522367546946</v>
      </c>
      <c r="D27" s="0" t="n">
        <f aca="false">(SUMPRODUCT(DCF_Base!$C$19:$L$19/(1+$A$27/100)^DCF_Base!$C$4:$L$4)+MAX(0,MIN(IF($A$27&gt;$D$23,DCF_Base!$L$19*(1+$D$23/100)/(($A$27-$D$23)/100),DCF_Base!$L$19*DCF_Base!$B$29),DCF_Base!$L$19*DCF_Base!$B$29))/(1+$A$27/100)^DCF_Base!$L$4+Assumptions!$B$5-Assumptions!$B$4)/Assumptions!$B$3*Assumptions!$B$10</f>
        <v>42.164732596019</v>
      </c>
      <c r="E27" s="0" t="n">
        <f aca="false">(SUMPRODUCT(DCF_Base!$C$19:$L$19/(1+$A$27/100)^DCF_Base!$C$4:$L$4)+MAX(0,MIN(IF($A$27&gt;$E$23,DCF_Base!$L$19*(1+$E$23/100)/(($A$27-$E$23)/100),DCF_Base!$L$19*DCF_Base!$B$29),DCF_Base!$L$19*DCF_Base!$B$29))/(1+$A$27/100)^DCF_Base!$L$4+Assumptions!$B$5-Assumptions!$B$4)/Assumptions!$B$3*Assumptions!$B$10</f>
        <v>44.2793110775642</v>
      </c>
      <c r="F27" s="0" t="n">
        <f aca="false">(SUMPRODUCT(DCF_Base!$C$19:$L$19/(1+$A$27/100)^DCF_Base!$C$4:$L$4)+MAX(0,MIN(IF($A$27&gt;$F$23,DCF_Base!$L$19*(1+$F$23/100)/(($A$27-$F$23)/100),DCF_Base!$L$19*DCF_Base!$B$29),DCF_Base!$L$19*DCF_Base!$B$29))/(1+$A$27/100)^DCF_Base!$L$4+Assumptions!$B$5-Assumptions!$B$4)/Assumptions!$B$3*Assumptions!$B$10</f>
        <v>46.7783583739357</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34.0299630169954</v>
      </c>
      <c r="C28" s="0" t="n">
        <f aca="false">(SUMPRODUCT(DCF_Base!$C$19:$L$19/(1+$A$28/100)^DCF_Base!$C$4:$L$4)+MAX(0,MIN(IF($A$28&gt;$C$23,DCF_Base!$L$19*(1+$C$23/100)/(($A$28-$C$23)/100),DCF_Base!$L$19*DCF_Base!$B$29),DCF_Base!$L$19*DCF_Base!$B$29))/(1+$A$28/100)^DCF_Base!$L$4+Assumptions!$B$5-Assumptions!$B$4)/Assumptions!$B$3*Assumptions!$B$10</f>
        <v>35.1474592636168</v>
      </c>
      <c r="D28" s="0" t="n">
        <f aca="false">(SUMPRODUCT(DCF_Base!$C$19:$L$19/(1+$A$28/100)^DCF_Base!$C$4:$L$4)+MAX(0,MIN(IF($A$28&gt;$D$23,DCF_Base!$L$19*(1+$D$23/100)/(($A$28-$D$23)/100),DCF_Base!$L$19*DCF_Base!$B$29),DCF_Base!$L$19*DCF_Base!$B$29))/(1+$A$28/100)^DCF_Base!$L$4+Assumptions!$B$5-Assumptions!$B$4)/Assumptions!$B$3*Assumptions!$B$10</f>
        <v>36.4139550097878</v>
      </c>
      <c r="E28" s="0" t="n">
        <f aca="false">(SUMPRODUCT(DCF_Base!$C$19:$L$19/(1+$A$28/100)^DCF_Base!$C$4:$L$4)+MAX(0,MIN(IF($A$28&gt;$E$23,DCF_Base!$L$19*(1+$E$23/100)/(($A$28-$E$23)/100),DCF_Base!$L$19*DCF_Base!$B$29),DCF_Base!$L$19*DCF_Base!$B$29))/(1+$A$28/100)^DCF_Base!$L$4+Assumptions!$B$5-Assumptions!$B$4)/Assumptions!$B$3*Assumptions!$B$10</f>
        <v>37.8613787196974</v>
      </c>
      <c r="F28" s="0" t="n">
        <f aca="false">(SUMPRODUCT(DCF_Base!$C$19:$L$19/(1+$A$28/100)^DCF_Base!$C$4:$L$4)+MAX(0,MIN(IF($A$28&gt;$F$23,DCF_Base!$L$19*(1+$F$23/100)/(($A$28-$F$23)/100),DCF_Base!$L$19*DCF_Base!$B$29),DCF_Base!$L$19*DCF_Base!$B$29))/(1+$A$28/100)^DCF_Base!$L$4+Assumptions!$B$5-Assumptions!$B$4)/Assumptions!$B$3*Assumptions!$B$10</f>
        <v>39.5314830003624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2026-10-24T09:31:06Z</dcterms:created>
  <dc:creator>openpyxl</dc:creator>
  <dc:description/>
  <dc:language>en-NZ</dc:language>
  <cp:lastModifiedBy/>
  <dcterms:modified xsi:type="dcterms:W3CDTF">2026-10-24T09:31:06Z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