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<sst xmlns="http://schemas.openxmlformats.org/spreadsheetml/2006/main" count="390" uniqueCount="175">
  <si>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</si>
  <si>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L</t>
  </si>
  <si>
    <t xml:space="preserve">Company</t>
  </si>
  <si>
    <t xml:space="preserve">Loews Corporation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</si>
  <si>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</si>
  <si>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</si>
  <si>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</si>
  <si>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</si>
  <si>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2026-10-01T20:00:02Z regular close</t>
  </si>
  <si>
    <t xml:space="preserve">Balance sheet date</t>
  </si>
  <si>
    <t xml:space="preserve">2026-06-30</t>
  </si>
  <si>
    <t xml:space="preserve">Model</t>
  </si>
  <si>
    <t xml:space="preserve">Sum-of-the-parts: owner-FCF DCF on Boardwalk Pipelines and Loews Hotels plus CNA stake at book-value multiple (engine route)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</si>
  <si>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</si>
  <si>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</si>
  <si>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</si>
  <si>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</si>
  <si>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</si>
  <si>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</si>
  <si>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</si>
  <si>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</si>
  <si>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2026-10-02T00:23:43Z</t>
  </si>
  <si>
    <t xml:space="preserve">Drivers file</t>
  </si>
  <si>
    <t xml:space="preserve">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</si>
  <si>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</si>
  <si>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</si>
  <si>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</si>
  <si>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Loews is a holding company, so the value is the sum of what each subsidiary is worth to Loews less parent net debt, not a multiple on consolidated earnings that blend an insurer's premiums with pipeline tariffs and hotel rooms. The cash-flow businesses (Boardwalk, Hotels) are run through the house owner-FCF engine with a 10-year explicit build because the pipeline capex supercycle keeps owner FCF depressed until ~2030; the listed insurer stake is marked at ex-AOCI book because CNA's normalised ROE is about its cost of equity, and the market agrees (CNA trades at 1.0x ex-AOCI book). No conglomerate discount is applied to intrinsic value; the gap between price and value is the finding, and the 15% hurdle entry price is the margin of safety. Parent buybacks at a discount to this value are accretive to it but are not modelled as a source of value (the share count is held flat).
key_risks_to_valuation: CNA mark: every 0.1x on ex-AOCI book is ~$5.6/share (12,402 x 0.918 x 0.1 / 204.5); continued adverse casualty development or an LTC reserve charge would cut both book and the multiple; Backlog execution: the base case assumes ~$1B/yr of capex converts to ~$450-500M/yr of contracted revenue by 2030; a one-year slip costs roughly $4-5/share of PV and cost overruns are borne by Boardwalk, not customers; Hotel concentration in the Universal Orlando ecosystem; the JVs carry non-recourse debt not in net debt, so a downturn shows up as lower equity income rather than a balance-sheet hit; Interest rates: a lower rate path reduces CNA's reinvestment yield and the parent's investment income (both outside the modelled flows but inside the bridge values); Terminal cap at 15x owner FCF binds in the base case; the valuation is ~60% terminal value and is sensitive to the midstream exit multiple; Altium Packaging carried at zero; a recovery there is upside not modelled</t>
  </si>
  <si>
    <t xml:space="preserve">Data sources</t>
  </si>
  <si>
    <t xml:space="preserve">price: Yahoo Finance chart API at inputs.price_as_of; 52-week range 97.38-121.01. CNA price from the same endpoint on the same date.
financials: Loews 10-K FY2025 (filed 2026-02-10, accession 0000060086-26-000008): Note 19 segment table, Boardwalk and Hotels MD&amp;A results tables, Note 11 debt by subsidiary, Schedule I parent-only, Liquidity section. Loews 10-Q Q2 2026 (filed 2026-08-03, accession 0000060086-26-000047): six-month segment table, Boardwalk EBITDA reconciliation, Hotels results, Parent liquidity, cover share count. CNA Financial XBRL companyfacts (CIK 21175) for equity, AOCI, dividends and shares. L_Metrics.csv for consolidated history.
qualitative: L_Analysis.json (2026-10-02): segment mix, Boardwalk backlog and in-service dates, Epic Universe hotel ramp, CNA reserve development, buyback authorisation.</t>
  </si>
  <si>
    <t xml:space="preserve">Scenario narrative: bear</t>
  </si>
  <si>
    <t xml:space="preserve">Backlog slips a year with cost overruns and a tougher FERC rate outcome; Orlando leisure demand softens and the new hotels miss plan; at CNA, excess casualty and professional E&amp;O reserve strengthening continues (191 of adverse development in H1 2026 alone) and the run-off long-term care block needs a top-up, so CNA is worth 0.85x ex-AOCI book (about -$8/share versus the engine's bear value, see sum_of_parts).</t>
  </si>
  <si>
    <t xml:space="preserve">Scenario narrative: base</t>
  </si>
  <si>
    <t xml:space="preserve">Boardwalk executes the $3.4B contracted backlog on schedule (Eunice-Iowa Q3 2026, Carnation and NE Texas Power Plant Q4 2027, Kosciusko Junction H1 2028), with ~$9.4B of long-term contracted revenue phasing in 2028-2030 at ~75% incremental margins; capex runs at ~32% of perimeter revenue for two years and normalises to ~14.5% by 2030. Loews Hotels completes the Epic Universe ramp (JV equity income 35 -&gt; 85 in H1 2026 YoY) and funds Americana Arlington from operations. CNA earns ~10% on ex-AOCI book and is worth book; it keeps upstreaming ~$0.7-0.95B/yr including $2.00 specials, which the parent recycles into buybacks at a discount to this value.</t>
  </si>
  <si>
    <t xml:space="preserve">Scenario narrative: bull</t>
  </si>
  <si>
    <t xml:space="preserve">Texas Gateway and Petal storage expansion reach FID, extending the contracted growth runway past 2030 on LNG and data-centre gas demand; hotel segment EBITDA approaches 400 at mature Orlando occupancy; CNA's casualty rate actions outrun social inflation and its ROE recovers to 11-12% (a 1.2x mark adds ~$12/share on top of the engine's bull value, see sum_of_parts).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</si>
  <si>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</si>
  <si>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</si>
  <si>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</si>
  <si>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</si>
  <si>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</si>
  <si>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</si>
  <si>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</si>
  <si>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</si>
  <si>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</si>
  <si>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</si>
  <si>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</si>
  <si>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</si>
  <si>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</si>
  <si>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</si>
  <si>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</si>
  <si>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</si>
  <si>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</si>
  <si>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</si>
  <si>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</si>
  <si>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</si>
  <si>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</si>
  <si>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</si>
  <si>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</si>
  <si>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</si>
  <si>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</si>
  <si>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</si>
  <si>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</si>
  <si>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</si>
  <si>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</si>
  <si>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</si>
  <si>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</si>
  <si>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</si>
  <si>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</si>
  <si>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</si>
  <si>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</si>
  <si>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</si>
  <si>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</si>
  <si>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</si>
  <si>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</si>
  <si>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</si>
  <si>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</si>
  <si>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</si>
  <si>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</si>
  <si>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</si>
  <si>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</si>
  <si>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</si>
  <si>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</si>
  <si>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</si>
  <si>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</si>
  <si>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</si>
  <si>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</si>
  <si>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</si>
  <si>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</si>
  <si>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</si>
  <si>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</si>
  <si>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</si>
  <si>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</si>
  <si>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</si>
  <si>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</si>
  <si>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</si>
  <si>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</si>
  <si>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</si>
  <si>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</si>
  <si>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</si>
  <si>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</si>
  <si>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</si>
  <si>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</si>
  <si>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</si>
  <si>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</si>
  <si>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</si>
  <si>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</si>
  <si>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</si>
  <si>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</si>
  <si>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</si>
  <si>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</si>
  <si>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</si>
  <si>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</si>
  <si>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</si>
  <si>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</si>
  <si>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</si>
  <si>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</si>
  <si>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</si>
  <si>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</si>
  <si>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</si>
  <si>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</si>
  <si>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</si>
  <si>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</si>
  <si>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</si>
  <si>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</si>
  <si>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</si>
  <si>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</si>
  <si>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</si>
  <si>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</si>
  <si>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</si>
  <si>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</si>
  <si>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</si>
  <si>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</si>
  <si>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</si>
  <si>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</si>
  <si>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</si>
  <si>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</si>
  <si>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</si>
  <si>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</si>
  <si>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</si>
  <si>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</si>
  <si>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</si>
  <si>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</si>
  <si>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</si>
  <si>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</si>
  <si>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</si>
  <si>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</si>
  <si>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</si>
  <si>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</si>
  <si>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</si>
  <si>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</si>
  <si>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L owner-FCF component DCF: base case (millions, USD)</t>
  </si>
  <si>
    <t xml:space="preserve">L owner-FCF component DCF: bull case (millions, USD)</t>
  </si>
  <si>
    <t xml:space="preserve">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</si>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</sst>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105.05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19387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14302</v>
      </c>
      <c r="I3" s="0" t="n">
        <v>3100</v>
      </c>
      <c r="J3" s="0" t="n">
        <v>21.6752901692071</v>
      </c>
      <c r="L3" s="0" t="n">
        <v>5671</v>
      </c>
      <c r="M3" s="0" t="n">
        <v>2247</v>
      </c>
      <c r="N3" s="0" t="n">
        <v>3424</v>
      </c>
      <c r="O3" s="0" t="n">
        <v>21502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13247</v>
      </c>
      <c r="I4" s="0" t="n">
        <v>5293</v>
      </c>
      <c r="J4" s="0" t="n">
        <v>39.9562165018495</v>
      </c>
      <c r="L4" s="0" t="n">
        <v>3371</v>
      </c>
      <c r="M4" s="0" t="n">
        <v>3997</v>
      </c>
      <c r="N4" s="0" t="n">
        <v>-626</v>
      </c>
      <c r="O4" s="0" t="n">
        <v>16929</v>
      </c>
      <c r="P4" s="0" t="n">
        <v>69870</v>
      </c>
      <c r="Q4" s="0" t="n">
        <v>52735</v>
      </c>
      <c r="R4" s="0" t="n">
        <v>8187</v>
      </c>
      <c r="U4" s="0" t="n">
        <v>12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14117</v>
      </c>
      <c r="I5" s="0" t="n">
        <v>1383</v>
      </c>
      <c r="J5" s="0" t="n">
        <v>9.79669901537154</v>
      </c>
      <c r="K5" s="0" t="n">
        <v>1.3</v>
      </c>
      <c r="L5" s="0" t="n">
        <v>4591</v>
      </c>
      <c r="M5" s="0" t="n">
        <v>2529</v>
      </c>
      <c r="N5" s="0" t="n">
        <v>2062</v>
      </c>
      <c r="O5" s="0" t="n">
        <v>21085</v>
      </c>
      <c r="P5" s="0" t="n">
        <v>74070</v>
      </c>
      <c r="Q5" s="0" t="n">
        <v>52985</v>
      </c>
      <c r="R5" s="0" t="n">
        <v>9495</v>
      </c>
      <c r="T5" s="0" t="n">
        <v>433.45</v>
      </c>
      <c r="U5" s="0" t="n">
        <v>13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14615</v>
      </c>
      <c r="I6" s="0" t="n">
        <v>1988</v>
      </c>
      <c r="J6" s="0" t="n">
        <v>13.6024632227164</v>
      </c>
      <c r="K6" s="0" t="n">
        <v>3.08</v>
      </c>
      <c r="L6" s="0" t="n">
        <v>-47</v>
      </c>
      <c r="M6" s="0" t="n">
        <v>917</v>
      </c>
      <c r="N6" s="0" t="n">
        <v>-964</v>
      </c>
      <c r="O6" s="0" t="n">
        <v>23028</v>
      </c>
      <c r="P6" s="0" t="n">
        <v>76277</v>
      </c>
      <c r="Q6" s="0" t="n">
        <v>53171</v>
      </c>
      <c r="R6" s="0" t="n">
        <v>10124</v>
      </c>
      <c r="T6" s="0" t="n">
        <v>419.52</v>
      </c>
      <c r="U6" s="0" t="n">
        <v>12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14129</v>
      </c>
      <c r="I7" s="0" t="n">
        <v>1694</v>
      </c>
      <c r="J7" s="0" t="n">
        <v>11.9895250902399</v>
      </c>
      <c r="K7" s="0" t="n">
        <v>2.62</v>
      </c>
      <c r="L7" s="0" t="n">
        <v>3965</v>
      </c>
      <c r="M7" s="0" t="n">
        <v>1335</v>
      </c>
      <c r="N7" s="0" t="n">
        <v>2630</v>
      </c>
      <c r="O7" s="0" t="n">
        <v>23203</v>
      </c>
      <c r="P7" s="0" t="n">
        <v>75268</v>
      </c>
      <c r="Q7" s="0" t="n">
        <v>52065</v>
      </c>
      <c r="R7" s="0" t="n">
        <v>9089</v>
      </c>
      <c r="T7" s="0" t="n">
        <v>405.32</v>
      </c>
      <c r="U7" s="0" t="n">
        <v>12</v>
      </c>
      <c r="V7" s="0" t="n">
        <v>0.25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14072</v>
      </c>
      <c r="I8" s="0" t="n">
        <v>1110</v>
      </c>
      <c r="J8" s="0" t="n">
        <v>7.88800454803866</v>
      </c>
      <c r="K8" s="0" t="n">
        <v>1.44</v>
      </c>
      <c r="L8" s="0" t="n">
        <v>2854</v>
      </c>
      <c r="M8" s="0" t="n">
        <v>1405</v>
      </c>
      <c r="N8" s="0" t="n">
        <v>1449</v>
      </c>
      <c r="O8" s="0" t="n">
        <v>24676</v>
      </c>
      <c r="P8" s="0" t="n">
        <v>80021</v>
      </c>
      <c r="Q8" s="0" t="n">
        <v>55345</v>
      </c>
      <c r="R8" s="0" t="n">
        <v>9210</v>
      </c>
      <c r="T8" s="0" t="n">
        <v>395.87</v>
      </c>
      <c r="U8" s="0" t="n">
        <v>13</v>
      </c>
      <c r="V8" s="0" t="n">
        <v>0.25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14613</v>
      </c>
      <c r="I9" s="0" t="n">
        <v>1069</v>
      </c>
      <c r="J9" s="0" t="n">
        <v>7.31540409224663</v>
      </c>
      <c r="K9" s="0" t="n">
        <v>1.53</v>
      </c>
      <c r="L9" s="0" t="n">
        <v>2097</v>
      </c>
      <c r="M9" s="0" t="n">
        <v>1737</v>
      </c>
      <c r="N9" s="0" t="n">
        <v>360</v>
      </c>
      <c r="O9" s="0" t="n">
        <v>24906</v>
      </c>
      <c r="P9" s="0" t="n">
        <v>79939</v>
      </c>
      <c r="Q9" s="0" t="n">
        <v>55033</v>
      </c>
      <c r="R9" s="0" t="n">
        <v>10344</v>
      </c>
      <c r="T9" s="0" t="n">
        <v>387.210096</v>
      </c>
      <c r="U9" s="0" t="n">
        <v>11</v>
      </c>
      <c r="V9" s="0" t="n">
        <v>0.25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14325</v>
      </c>
      <c r="I10" s="0" t="n">
        <v>962</v>
      </c>
      <c r="J10" s="0" t="n">
        <v>6.71553228621292</v>
      </c>
      <c r="K10" s="0" t="n">
        <v>1.55</v>
      </c>
      <c r="M10" s="0" t="n">
        <v>2753</v>
      </c>
      <c r="O10" s="0" t="n">
        <v>24650</v>
      </c>
      <c r="P10" s="0" t="n">
        <v>78367</v>
      </c>
      <c r="Q10" s="0" t="n">
        <v>53717</v>
      </c>
      <c r="R10" s="0" t="n">
        <v>10668</v>
      </c>
      <c r="T10" s="0" t="n">
        <v>382.55</v>
      </c>
      <c r="U10" s="0" t="n">
        <v>12</v>
      </c>
      <c r="V10" s="0" t="n">
        <v>0.25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13415</v>
      </c>
      <c r="I11" s="0" t="n">
        <v>287</v>
      </c>
      <c r="J11" s="0" t="n">
        <v>2.1393961982855</v>
      </c>
      <c r="K11" s="0" t="n">
        <v>0.72</v>
      </c>
      <c r="M11" s="0" t="n">
        <v>1555</v>
      </c>
      <c r="O11" s="0" t="n">
        <v>22810</v>
      </c>
      <c r="P11" s="0" t="n">
        <v>76006</v>
      </c>
      <c r="Q11" s="0" t="n">
        <v>53196</v>
      </c>
      <c r="R11" s="0" t="n">
        <v>10560</v>
      </c>
      <c r="T11" s="0" t="n">
        <v>362.69</v>
      </c>
      <c r="U11" s="0" t="n">
        <v>14</v>
      </c>
      <c r="V11" s="0" t="n">
        <v>0.25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13105</v>
      </c>
      <c r="C12" s="0" t="n">
        <v>271</v>
      </c>
      <c r="I12" s="0" t="n">
        <v>716</v>
      </c>
      <c r="J12" s="0" t="n">
        <v>5.463563525372</v>
      </c>
      <c r="K12" s="0" t="n">
        <v>1.93</v>
      </c>
      <c r="L12" s="0" t="n">
        <v>2253</v>
      </c>
      <c r="M12" s="0" t="n">
        <v>1450</v>
      </c>
      <c r="N12" s="0" t="n">
        <v>803</v>
      </c>
      <c r="O12" s="0" t="n">
        <v>23361</v>
      </c>
      <c r="P12" s="0" t="n">
        <v>76594</v>
      </c>
      <c r="Q12" s="0" t="n">
        <v>53233</v>
      </c>
      <c r="R12" s="0" t="n">
        <v>10778</v>
      </c>
      <c r="T12" s="0" t="n">
        <v>338.31</v>
      </c>
      <c r="U12" s="0" t="n">
        <v>32</v>
      </c>
      <c r="V12" s="0" t="n">
        <v>0.25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13735</v>
      </c>
      <c r="C13" s="0" t="n">
        <v>299</v>
      </c>
      <c r="I13" s="0" t="n">
        <v>1412</v>
      </c>
      <c r="J13" s="0" t="n">
        <v>10.2803057881325</v>
      </c>
      <c r="K13" s="0" t="n">
        <v>3.46</v>
      </c>
      <c r="L13" s="0" t="n">
        <v>2590</v>
      </c>
      <c r="M13" s="0" t="n">
        <v>1031</v>
      </c>
      <c r="N13" s="0" t="n">
        <v>1559</v>
      </c>
      <c r="O13" s="0" t="n">
        <v>24566</v>
      </c>
      <c r="P13" s="0" t="n">
        <v>79586</v>
      </c>
      <c r="Q13" s="0" t="n">
        <v>55020</v>
      </c>
      <c r="R13" s="0" t="n">
        <v>11533</v>
      </c>
      <c r="T13" s="0" t="n">
        <v>337.5</v>
      </c>
      <c r="U13" s="0" t="n">
        <v>33</v>
      </c>
      <c r="V13" s="0" t="n">
        <v>0.25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14066</v>
      </c>
      <c r="C14" s="0" t="n">
        <v>923</v>
      </c>
      <c r="I14" s="0" t="n">
        <v>706</v>
      </c>
      <c r="J14" s="0" t="n">
        <v>5.01919522252239</v>
      </c>
      <c r="K14" s="0" t="n">
        <v>1.99</v>
      </c>
      <c r="L14" s="0" t="n">
        <v>4222</v>
      </c>
      <c r="M14" s="0" t="n">
        <v>995</v>
      </c>
      <c r="N14" s="0" t="n">
        <v>3227</v>
      </c>
      <c r="O14" s="0" t="n">
        <v>21386</v>
      </c>
      <c r="P14" s="0" t="n">
        <v>78316</v>
      </c>
      <c r="Q14" s="0" t="n">
        <v>56930</v>
      </c>
      <c r="R14" s="0" t="n">
        <v>11376</v>
      </c>
      <c r="T14" s="0" t="n">
        <v>319.93</v>
      </c>
      <c r="U14" s="0" t="n">
        <v>35</v>
      </c>
      <c r="V14" s="0" t="n">
        <v>0.25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14931</v>
      </c>
      <c r="C15" s="0" t="n">
        <v>1082</v>
      </c>
      <c r="I15" s="0" t="n">
        <v>932</v>
      </c>
      <c r="J15" s="0" t="n">
        <v>6.24204674837586</v>
      </c>
      <c r="K15" s="0" t="n">
        <v>3.08</v>
      </c>
      <c r="L15" s="0" t="n">
        <v>1741</v>
      </c>
      <c r="M15" s="0" t="n">
        <v>1041</v>
      </c>
      <c r="N15" s="0" t="n">
        <v>700</v>
      </c>
      <c r="O15" s="0" t="n">
        <v>21930</v>
      </c>
      <c r="P15" s="0" t="n">
        <v>82243</v>
      </c>
      <c r="Q15" s="0" t="n">
        <v>60313</v>
      </c>
      <c r="R15" s="0" t="n">
        <v>11533</v>
      </c>
      <c r="T15" s="0" t="n">
        <v>303.35</v>
      </c>
      <c r="U15" s="0" t="n">
        <v>37</v>
      </c>
      <c r="V15" s="0" t="n">
        <v>0.25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12583</v>
      </c>
      <c r="I16" s="0" t="n">
        <v>-1291</v>
      </c>
      <c r="J16" s="0" t="n">
        <v>-10.2598744337598</v>
      </c>
      <c r="K16" s="0" t="n">
        <v>-3.32</v>
      </c>
      <c r="L16" s="0" t="n">
        <v>1745</v>
      </c>
      <c r="M16" s="0" t="n">
        <v>710</v>
      </c>
      <c r="N16" s="0" t="n">
        <v>1035</v>
      </c>
      <c r="O16" s="0" t="n">
        <v>16835</v>
      </c>
      <c r="P16" s="0" t="n">
        <v>80236</v>
      </c>
      <c r="Q16" s="0" t="n">
        <v>61055</v>
      </c>
      <c r="R16" s="0" t="n">
        <v>10109</v>
      </c>
      <c r="T16" s="0" t="n">
        <v>280.32</v>
      </c>
      <c r="U16" s="0" t="n">
        <v>37</v>
      </c>
      <c r="V16" s="0" t="n">
        <v>0.25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14657</v>
      </c>
      <c r="I17" s="0" t="n">
        <v>1685</v>
      </c>
      <c r="J17" s="0" t="n">
        <v>11.4962134133861</v>
      </c>
      <c r="K17" s="0" t="n">
        <v>6.02</v>
      </c>
      <c r="L17" s="0" t="n">
        <v>2623</v>
      </c>
      <c r="M17" s="0" t="n">
        <v>482</v>
      </c>
      <c r="N17" s="0" t="n">
        <v>2141</v>
      </c>
      <c r="O17" s="0" t="n">
        <v>17471</v>
      </c>
      <c r="P17" s="0" t="n">
        <v>81626</v>
      </c>
      <c r="Q17" s="0" t="n">
        <v>62451</v>
      </c>
      <c r="R17" s="0" t="n">
        <v>9079</v>
      </c>
      <c r="T17" s="0" t="n">
        <v>260.2</v>
      </c>
      <c r="U17" s="0" t="n">
        <v>33</v>
      </c>
      <c r="V17" s="0" t="n">
        <v>0.25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14044</v>
      </c>
      <c r="I18" s="0" t="n">
        <v>891</v>
      </c>
      <c r="J18" s="0" t="n">
        <v>6.34434634007405</v>
      </c>
      <c r="K18" s="0" t="n">
        <v>3.39</v>
      </c>
      <c r="L18" s="0" t="n">
        <v>3314</v>
      </c>
      <c r="M18" s="0" t="n">
        <v>660</v>
      </c>
      <c r="N18" s="0" t="n">
        <v>2654</v>
      </c>
      <c r="O18" s="0" t="n">
        <v>15201</v>
      </c>
      <c r="P18" s="0" t="n">
        <v>75567</v>
      </c>
      <c r="Q18" s="0" t="n">
        <v>60366</v>
      </c>
      <c r="R18" s="0" t="n">
        <v>9019</v>
      </c>
      <c r="T18" s="0" t="n">
        <v>243.28</v>
      </c>
      <c r="U18" s="0" t="n">
        <v>34</v>
      </c>
      <c r="V18" s="0" t="n">
        <v>0.25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15901</v>
      </c>
      <c r="I19" s="0" t="n">
        <v>1545</v>
      </c>
      <c r="J19" s="0" t="n">
        <v>9.71637003962015</v>
      </c>
      <c r="K19" s="0" t="n">
        <v>6.3</v>
      </c>
      <c r="L19" s="0" t="n">
        <v>3907</v>
      </c>
      <c r="M19" s="0" t="n">
        <v>686</v>
      </c>
      <c r="N19" s="0" t="n">
        <v>3221</v>
      </c>
      <c r="O19" s="0" t="n">
        <v>16525</v>
      </c>
      <c r="P19" s="0" t="n">
        <v>79197</v>
      </c>
      <c r="Q19" s="0" t="n">
        <v>62672</v>
      </c>
      <c r="R19" s="0" t="n">
        <v>9003</v>
      </c>
      <c r="T19" s="0" t="n">
        <v>227.81</v>
      </c>
      <c r="U19" s="0" t="n">
        <v>36</v>
      </c>
      <c r="V19" s="0" t="n">
        <v>0.25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17510</v>
      </c>
      <c r="I20" s="0" t="n">
        <v>1494</v>
      </c>
      <c r="J20" s="0" t="n">
        <v>8.53226727584238</v>
      </c>
      <c r="K20" s="0" t="n">
        <v>6.42</v>
      </c>
      <c r="L20" s="0" t="n">
        <v>3025</v>
      </c>
      <c r="M20" s="0" t="n">
        <v>632</v>
      </c>
      <c r="N20" s="0" t="n">
        <v>2393</v>
      </c>
      <c r="O20" s="0" t="n">
        <v>17937</v>
      </c>
      <c r="P20" s="0" t="n">
        <v>81943</v>
      </c>
      <c r="Q20" s="0" t="n">
        <v>64006</v>
      </c>
      <c r="R20" s="0" t="n">
        <v>8944</v>
      </c>
      <c r="T20" s="0" t="n">
        <v>220.53</v>
      </c>
      <c r="U20" s="0" t="n">
        <v>39</v>
      </c>
      <c r="V20" s="0" t="n">
        <v>0.25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18454</v>
      </c>
      <c r="I21" s="0" t="n">
        <v>1772</v>
      </c>
      <c r="J21" s="0" t="n">
        <v>9.60225425382031</v>
      </c>
      <c r="K21" s="0" t="n">
        <v>7.98</v>
      </c>
      <c r="L21" s="0" t="n">
        <v>3279</v>
      </c>
      <c r="M21" s="0" t="n">
        <v>579</v>
      </c>
      <c r="N21" s="0" t="n">
        <v>2700</v>
      </c>
      <c r="O21" s="0" t="n">
        <v>19641</v>
      </c>
      <c r="P21" s="0" t="n">
        <v>86348</v>
      </c>
      <c r="Q21" s="0" t="n">
        <v>66707</v>
      </c>
      <c r="R21" s="0" t="n">
        <v>9489</v>
      </c>
      <c r="T21" s="0" t="n">
        <v>209.1</v>
      </c>
      <c r="U21" s="0" t="n">
        <v>41</v>
      </c>
      <c r="V21" s="0" t="n">
        <v>0.25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105.05</v>
      </c>
    </row>
    <row r="3" customFormat="false" ht="15" hidden="false" customHeight="false" outlineLevel="0" collapsed="false">
      <c r="A3" s="0" t="s">
        <v>86</v>
      </c>
      <c r="B3" s="3" t="n">
        <v>204.5</v>
      </c>
    </row>
    <row r="4" customFormat="false" ht="15" hidden="false" customHeight="false" outlineLevel="0" collapsed="false">
      <c r="A4" s="0" t="s">
        <v>87</v>
      </c>
      <c r="B4" s="3" t="n">
        <v>1653</v>
      </c>
    </row>
    <row r="5" customFormat="false" ht="15" hidden="false" customHeight="false" outlineLevel="0" collapsed="false">
      <c r="A5" s="0" t="s">
        <v>88</v>
      </c>
      <c r="B5" s="3" t="n">
        <v>11385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3128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2</v>
      </c>
      <c r="E13" s="3" t="n">
        <v>4</v>
      </c>
      <c r="F13" s="3" t="n">
        <v>4</v>
      </c>
      <c r="G13" s="3" t="n">
        <v>3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44</v>
      </c>
      <c r="D14" s="3" t="n">
        <v>43.5</v>
      </c>
      <c r="E14" s="3" t="n">
        <v>44.5</v>
      </c>
      <c r="F14" s="3" t="n">
        <v>45</v>
      </c>
      <c r="G14" s="3" t="n">
        <v>45.5</v>
      </c>
      <c r="H14" s="3" t="n">
        <v>45.5</v>
      </c>
      <c r="I14" s="3" t="n">
        <v>45.5</v>
      </c>
      <c r="J14" s="3" t="n">
        <v>45.5</v>
      </c>
      <c r="K14" s="3" t="n">
        <v>45.5</v>
      </c>
      <c r="L14" s="3" t="n">
        <v>45.5</v>
      </c>
    </row>
    <row r="15" customFormat="false" ht="15" hidden="false" customHeight="false" outlineLevel="0" collapsed="false">
      <c r="A15" s="0" t="s">
        <v>108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17.2</v>
      </c>
      <c r="D17" s="3" t="n">
        <v>17.5</v>
      </c>
      <c r="E17" s="3" t="n">
        <v>18</v>
      </c>
      <c r="F17" s="3" t="n">
        <v>18.5</v>
      </c>
      <c r="G17" s="3" t="n">
        <v>19</v>
      </c>
      <c r="H17" s="3" t="n">
        <v>19</v>
      </c>
      <c r="I17" s="3" t="n">
        <v>18.5</v>
      </c>
      <c r="J17" s="3" t="n">
        <v>18.5</v>
      </c>
      <c r="K17" s="3" t="n">
        <v>18.5</v>
      </c>
      <c r="L17" s="3" t="n">
        <v>18.5</v>
      </c>
    </row>
    <row r="18" customFormat="false" ht="15" hidden="false" customHeight="false" outlineLevel="0" collapsed="false">
      <c r="A18" s="0" t="s">
        <v>111</v>
      </c>
      <c r="C18" s="3" t="n">
        <v>31.7</v>
      </c>
      <c r="D18" s="3" t="n">
        <v>33</v>
      </c>
      <c r="E18" s="3" t="n">
        <v>30</v>
      </c>
      <c r="F18" s="3" t="n">
        <v>24</v>
      </c>
      <c r="G18" s="3" t="n">
        <v>16</v>
      </c>
      <c r="H18" s="3" t="n">
        <v>15</v>
      </c>
      <c r="I18" s="3" t="n">
        <v>15</v>
      </c>
      <c r="J18" s="3" t="n">
        <v>15</v>
      </c>
      <c r="K18" s="3" t="n">
        <v>15</v>
      </c>
      <c r="L18" s="3" t="n">
        <v>15</v>
      </c>
    </row>
    <row r="19" customFormat="false" ht="15" hidden="false" customHeight="false" outlineLevel="0" collapsed="false">
      <c r="A19" s="0" t="s">
        <v>112</v>
      </c>
      <c r="C19" s="3" t="n">
        <v>21</v>
      </c>
      <c r="D19" s="3" t="n">
        <v>21</v>
      </c>
      <c r="E19" s="3" t="n">
        <v>22</v>
      </c>
      <c r="F19" s="3" t="n">
        <v>23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7.5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13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4.5</v>
      </c>
      <c r="D27" s="3" t="n">
        <v>5</v>
      </c>
      <c r="E27" s="3" t="n">
        <v>9</v>
      </c>
      <c r="F27" s="3" t="n">
        <v>8</v>
      </c>
      <c r="G27" s="3" t="n">
        <v>6</v>
      </c>
      <c r="H27" s="3" t="n">
        <v>3.5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45.5</v>
      </c>
      <c r="D28" s="3" t="n">
        <v>46</v>
      </c>
      <c r="E28" s="3" t="n">
        <v>47.5</v>
      </c>
      <c r="F28" s="3" t="n">
        <v>48.5</v>
      </c>
      <c r="G28" s="3" t="n">
        <v>49</v>
      </c>
      <c r="H28" s="3" t="n">
        <v>49</v>
      </c>
      <c r="I28" s="3" t="n">
        <v>49</v>
      </c>
      <c r="J28" s="3" t="n">
        <v>49</v>
      </c>
      <c r="K28" s="3" t="n">
        <v>49</v>
      </c>
      <c r="L28" s="3" t="n">
        <v>49</v>
      </c>
    </row>
    <row r="29" customFormat="false" ht="15" hidden="false" customHeight="false" outlineLevel="0" collapsed="false">
      <c r="A29" s="0" t="s">
        <v>108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17.2</v>
      </c>
      <c r="D31" s="3" t="n">
        <v>17</v>
      </c>
      <c r="E31" s="3" t="n">
        <v>17.5</v>
      </c>
      <c r="F31" s="3" t="n">
        <v>18</v>
      </c>
      <c r="G31" s="3" t="n">
        <v>18.5</v>
      </c>
      <c r="H31" s="3" t="n">
        <v>18.5</v>
      </c>
      <c r="I31" s="3" t="n">
        <v>18</v>
      </c>
      <c r="J31" s="3" t="n">
        <v>17.5</v>
      </c>
      <c r="K31" s="3" t="n">
        <v>17.5</v>
      </c>
      <c r="L31" s="3" t="n">
        <v>17.5</v>
      </c>
    </row>
    <row r="32" customFormat="false" ht="15" hidden="false" customHeight="false" outlineLevel="0" collapsed="false">
      <c r="A32" s="0" t="s">
        <v>111</v>
      </c>
      <c r="C32" s="3" t="n">
        <v>31.7</v>
      </c>
      <c r="D32" s="3" t="n">
        <v>32.5</v>
      </c>
      <c r="E32" s="3" t="n">
        <v>29</v>
      </c>
      <c r="F32" s="3" t="n">
        <v>21</v>
      </c>
      <c r="G32" s="3" t="n">
        <v>14</v>
      </c>
      <c r="H32" s="3" t="n">
        <v>14.5</v>
      </c>
      <c r="I32" s="3" t="n">
        <v>14.5</v>
      </c>
      <c r="J32" s="3" t="n">
        <v>14.5</v>
      </c>
      <c r="K32" s="3" t="n">
        <v>14.5</v>
      </c>
      <c r="L32" s="3" t="n">
        <v>14.5</v>
      </c>
    </row>
    <row r="33" customFormat="false" ht="15" hidden="false" customHeight="false" outlineLevel="0" collapsed="false">
      <c r="A33" s="0" t="s">
        <v>112</v>
      </c>
      <c r="C33" s="3" t="n">
        <v>21</v>
      </c>
      <c r="D33" s="3" t="n">
        <v>21</v>
      </c>
      <c r="E33" s="3" t="n">
        <v>22</v>
      </c>
      <c r="F33" s="3" t="n">
        <v>23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7.5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15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5.5</v>
      </c>
      <c r="D41" s="3" t="n">
        <v>7</v>
      </c>
      <c r="E41" s="3" t="n">
        <v>12</v>
      </c>
      <c r="F41" s="3" t="n">
        <v>11</v>
      </c>
      <c r="G41" s="3" t="n">
        <v>8</v>
      </c>
      <c r="H41" s="3" t="n">
        <v>5</v>
      </c>
      <c r="I41" s="3" t="n">
        <v>4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46</v>
      </c>
      <c r="D42" s="3" t="n">
        <v>47.5</v>
      </c>
      <c r="E42" s="3" t="n">
        <v>49.5</v>
      </c>
      <c r="F42" s="3" t="n">
        <v>51</v>
      </c>
      <c r="G42" s="3" t="n">
        <v>52</v>
      </c>
      <c r="H42" s="3" t="n">
        <v>52</v>
      </c>
      <c r="I42" s="3" t="n">
        <v>52</v>
      </c>
      <c r="J42" s="3" t="n">
        <v>52</v>
      </c>
      <c r="K42" s="3" t="n">
        <v>52</v>
      </c>
      <c r="L42" s="3" t="n">
        <v>52</v>
      </c>
    </row>
    <row r="43" customFormat="false" ht="15" hidden="false" customHeight="false" outlineLevel="0" collapsed="false">
      <c r="A43" s="0" t="s">
        <v>108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17.2</v>
      </c>
      <c r="D45" s="3" t="n">
        <v>17</v>
      </c>
      <c r="E45" s="3" t="n">
        <v>17.5</v>
      </c>
      <c r="F45" s="3" t="n">
        <v>18</v>
      </c>
      <c r="G45" s="3" t="n">
        <v>18.5</v>
      </c>
      <c r="H45" s="3" t="n">
        <v>18.5</v>
      </c>
      <c r="I45" s="3" t="n">
        <v>18</v>
      </c>
      <c r="J45" s="3" t="n">
        <v>17.5</v>
      </c>
      <c r="K45" s="3" t="n">
        <v>17.5</v>
      </c>
      <c r="L45" s="3" t="n">
        <v>17.5</v>
      </c>
    </row>
    <row r="46" customFormat="false" ht="15" hidden="false" customHeight="false" outlineLevel="0" collapsed="false">
      <c r="A46" s="0" t="s">
        <v>111</v>
      </c>
      <c r="C46" s="3" t="n">
        <v>31.7</v>
      </c>
      <c r="D46" s="3" t="n">
        <v>34</v>
      </c>
      <c r="E46" s="3" t="n">
        <v>32</v>
      </c>
      <c r="F46" s="3" t="n">
        <v>25</v>
      </c>
      <c r="G46" s="3" t="n">
        <v>17</v>
      </c>
      <c r="H46" s="3" t="n">
        <v>15</v>
      </c>
      <c r="I46" s="3" t="n">
        <v>14.5</v>
      </c>
      <c r="J46" s="3" t="n">
        <v>14.5</v>
      </c>
      <c r="K46" s="3" t="n">
        <v>14.5</v>
      </c>
      <c r="L46" s="3" t="n">
        <v>14.5</v>
      </c>
    </row>
    <row r="47" customFormat="false" ht="15" hidden="false" customHeight="false" outlineLevel="0" collapsed="false">
      <c r="A47" s="0" t="s">
        <v>112</v>
      </c>
      <c r="C47" s="3" t="n">
        <v>21</v>
      </c>
      <c r="D47" s="3" t="n">
        <v>21</v>
      </c>
      <c r="E47" s="3" t="n">
        <v>22</v>
      </c>
      <c r="F47" s="3" t="n">
        <v>23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7.5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2</v>
      </c>
      <c r="E5" s="4" t="n">
        <f aca="false">Assumptions!E13</f>
        <v>4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3128</v>
      </c>
      <c r="C6" s="0" t="n">
        <f aca="false">B6*(1+C5/100)</f>
        <v>3221.84</v>
      </c>
      <c r="D6" s="0" t="n">
        <f aca="false">C6*(1+D5/100)</f>
        <v>3286.2768</v>
      </c>
      <c r="E6" s="0" t="n">
        <f aca="false">D6*(1+E5/100)</f>
        <v>3417.727872</v>
      </c>
      <c r="F6" s="0" t="n">
        <f aca="false">E6*(1+F5/100)</f>
        <v>3554.43698688</v>
      </c>
      <c r="G6" s="0" t="n">
        <f aca="false">F6*(1+G5/100)</f>
        <v>3661.0700964864</v>
      </c>
      <c r="H6" s="0" t="n">
        <f aca="false">G6*(1+H5/100)</f>
        <v>3734.29149841613</v>
      </c>
      <c r="I6" s="0" t="n">
        <f aca="false">H6*(1+I5/100)</f>
        <v>3808.97732838445</v>
      </c>
      <c r="J6" s="0" t="n">
        <f aca="false">I6*(1+J5/100)</f>
        <v>3885.15687495214</v>
      </c>
      <c r="K6" s="0" t="n">
        <f aca="false">J6*(1+K5/100)</f>
        <v>3962.86001245118</v>
      </c>
      <c r="L6" s="0" t="n">
        <f aca="false">K6*(1+L5/100)</f>
        <v>4042.11721270021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44</v>
      </c>
      <c r="D7" s="4" t="n">
        <f aca="false">Assumptions!D14</f>
        <v>43.5</v>
      </c>
      <c r="E7" s="4" t="n">
        <f aca="false">Assumptions!E14</f>
        <v>44.5</v>
      </c>
      <c r="F7" s="4" t="n">
        <f aca="false">Assumptions!F14</f>
        <v>45</v>
      </c>
      <c r="G7" s="4" t="n">
        <f aca="false">Assumptions!G14</f>
        <v>45.5</v>
      </c>
      <c r="H7" s="4" t="n">
        <f aca="false">Assumptions!H14</f>
        <v>45.5</v>
      </c>
      <c r="I7" s="4" t="n">
        <f aca="false">Assumptions!I14</f>
        <v>45.5</v>
      </c>
      <c r="J7" s="4" t="n">
        <f aca="false">Assumptions!J14</f>
        <v>45.5</v>
      </c>
      <c r="K7" s="4" t="n">
        <f aca="false">Assumptions!K14</f>
        <v>45.5</v>
      </c>
      <c r="L7" s="4" t="n">
        <f aca="false">Assumptions!L14</f>
        <v>45.5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1417.6096</v>
      </c>
      <c r="D8" s="0" t="n">
        <f aca="false">D6*D7/100</f>
        <v>1429.530408</v>
      </c>
      <c r="E8" s="0" t="n">
        <f aca="false">E6*E7/100</f>
        <v>1520.88890304</v>
      </c>
      <c r="F8" s="0" t="n">
        <f aca="false">F6*F7/100</f>
        <v>1599.496644096</v>
      </c>
      <c r="G8" s="0" t="n">
        <f aca="false">G6*G7/100</f>
        <v>1665.78689390131</v>
      </c>
      <c r="H8" s="0" t="n">
        <f aca="false">H6*H7/100</f>
        <v>1699.10263177934</v>
      </c>
      <c r="I8" s="0" t="n">
        <f aca="false">I6*I7/100</f>
        <v>1733.08468441493</v>
      </c>
      <c r="J8" s="0" t="n">
        <f aca="false">J6*J7/100</f>
        <v>1767.74637810322</v>
      </c>
      <c r="K8" s="0" t="n">
        <f aca="false">K6*K7/100</f>
        <v>1803.10130566529</v>
      </c>
      <c r="L8" s="0" t="n">
        <f aca="false">L6*L7/100</f>
        <v>1839.16333177859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-16.1092</v>
      </c>
      <c r="D10" s="0" t="n">
        <f aca="false">-D6*D9/100</f>
        <v>-16.431384</v>
      </c>
      <c r="E10" s="0" t="n">
        <f aca="false">-E6*E9/100</f>
        <v>-17.08863936</v>
      </c>
      <c r="F10" s="0" t="n">
        <f aca="false">-F6*F9/100</f>
        <v>-17.7721849344</v>
      </c>
      <c r="G10" s="0" t="n">
        <f aca="false">-G6*G9/100</f>
        <v>-18.305350482432</v>
      </c>
      <c r="H10" s="0" t="n">
        <f aca="false">-H6*H9/100</f>
        <v>-18.6714574920806</v>
      </c>
      <c r="I10" s="0" t="n">
        <f aca="false">-I6*I9/100</f>
        <v>-19.0448866419223</v>
      </c>
      <c r="J10" s="0" t="n">
        <f aca="false">-J6*J9/100</f>
        <v>-19.4257843747607</v>
      </c>
      <c r="K10" s="0" t="n">
        <f aca="false">-K6*K9/100</f>
        <v>-19.8143000622559</v>
      </c>
      <c r="L10" s="0" t="n">
        <f aca="false">-L6*L9/100</f>
        <v>-20.210586063501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1401.5004</v>
      </c>
      <c r="D11" s="0" t="n">
        <f aca="false">D8+D10+D24</f>
        <v>1413.099024</v>
      </c>
      <c r="E11" s="0" t="n">
        <f aca="false">E8+E10+E24</f>
        <v>1503.80026368</v>
      </c>
      <c r="F11" s="0" t="n">
        <f aca="false">F8+F10+F24</f>
        <v>1581.7244591616</v>
      </c>
      <c r="G11" s="0" t="n">
        <f aca="false">G8+G10+G24</f>
        <v>1647.48154341888</v>
      </c>
      <c r="H11" s="0" t="n">
        <f aca="false">H8+H10+H24</f>
        <v>1680.43117428726</v>
      </c>
      <c r="I11" s="0" t="n">
        <f aca="false">I8+I10+I24</f>
        <v>1714.039797773</v>
      </c>
      <c r="J11" s="0" t="n">
        <f aca="false">J8+J10+J24</f>
        <v>1748.32059372846</v>
      </c>
      <c r="K11" s="0" t="n">
        <f aca="false">K8+K10+K24</f>
        <v>1783.28700560303</v>
      </c>
      <c r="L11" s="0" t="n">
        <f aca="false">L8+L10+L24</f>
        <v>1818.95274571509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-554.15648</v>
      </c>
      <c r="D12" s="4" t="n">
        <f aca="false">-D6*Assumptions!D17/100</f>
        <v>-575.09844</v>
      </c>
      <c r="E12" s="4" t="n">
        <f aca="false">-E6*Assumptions!E17/100</f>
        <v>-615.19101696</v>
      </c>
      <c r="F12" s="4" t="n">
        <f aca="false">-F6*Assumptions!F17/100</f>
        <v>-657.5708425728</v>
      </c>
      <c r="G12" s="4" t="n">
        <f aca="false">-G6*Assumptions!G17/100</f>
        <v>-695.603318332416</v>
      </c>
      <c r="H12" s="4" t="n">
        <f aca="false">-H6*Assumptions!H17/100</f>
        <v>-709.515384699065</v>
      </c>
      <c r="I12" s="4" t="n">
        <f aca="false">-I6*Assumptions!I17/100</f>
        <v>-704.660805751124</v>
      </c>
      <c r="J12" s="4" t="n">
        <f aca="false">-J6*Assumptions!J17/100</f>
        <v>-718.754021866146</v>
      </c>
      <c r="K12" s="4" t="n">
        <f aca="false">-K6*Assumptions!K17/100</f>
        <v>-733.129102303469</v>
      </c>
      <c r="L12" s="4" t="n">
        <f aca="false">-L6*Assumptions!L17/100</f>
        <v>-747.791684349538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847.34392</v>
      </c>
      <c r="D13" s="0" t="n">
        <f aca="false">D11+D12</f>
        <v>838.000584</v>
      </c>
      <c r="E13" s="0" t="n">
        <f aca="false">E11+E12</f>
        <v>888.60924672</v>
      </c>
      <c r="F13" s="0" t="n">
        <f aca="false">F11+F12</f>
        <v>924.1536165888</v>
      </c>
      <c r="G13" s="0" t="n">
        <f aca="false">G11+G12</f>
        <v>951.878225086464</v>
      </c>
      <c r="H13" s="0" t="n">
        <f aca="false">H11+H12</f>
        <v>970.915789588193</v>
      </c>
      <c r="I13" s="0" t="n">
        <f aca="false">I11+I12</f>
        <v>1009.37899202188</v>
      </c>
      <c r="J13" s="0" t="n">
        <f aca="false">J11+J12</f>
        <v>1029.56657186232</v>
      </c>
      <c r="K13" s="0" t="n">
        <f aca="false">K11+K12</f>
        <v>1050.15790329956</v>
      </c>
      <c r="L13" s="0" t="n">
        <f aca="false">L11+L12</f>
        <v>1071.16106136555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21</v>
      </c>
      <c r="D14" s="4" t="n">
        <f aca="false">Assumptions!D19</f>
        <v>21</v>
      </c>
      <c r="E14" s="4" t="n">
        <f aca="false">Assumptions!E19</f>
        <v>22</v>
      </c>
      <c r="F14" s="4" t="n">
        <f aca="false">Assumptions!F19</f>
        <v>23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669.4016968</v>
      </c>
      <c r="D15" s="0" t="n">
        <f aca="false">D13-MAX(0,D13)*D14/100</f>
        <v>662.02046136</v>
      </c>
      <c r="E15" s="0" t="n">
        <f aca="false">E13-MAX(0,E13)*E14/100</f>
        <v>693.1152124416</v>
      </c>
      <c r="F15" s="0" t="n">
        <f aca="false">F13-MAX(0,F13)*F14/100</f>
        <v>711.598284773376</v>
      </c>
      <c r="G15" s="0" t="n">
        <f aca="false">G13-MAX(0,G13)*G14/100</f>
        <v>723.427451065713</v>
      </c>
      <c r="H15" s="0" t="n">
        <f aca="false">H13-MAX(0,H13)*H14/100</f>
        <v>737.896000087027</v>
      </c>
      <c r="I15" s="0" t="n">
        <f aca="false">I13-MAX(0,I13)*I14/100</f>
        <v>767.128033936629</v>
      </c>
      <c r="J15" s="0" t="n">
        <f aca="false">J13-MAX(0,J13)*J14/100</f>
        <v>782.470594615361</v>
      </c>
      <c r="K15" s="0" t="n">
        <f aca="false">K13-MAX(0,K13)*K14/100</f>
        <v>798.120006507668</v>
      </c>
      <c r="L15" s="0" t="n">
        <f aca="false">L13-MAX(0,L13)*L14/100</f>
        <v>814.082406637822</v>
      </c>
    </row>
    <row r="16" customFormat="false" ht="15" hidden="false" customHeight="false" outlineLevel="0" collapsed="false">
      <c r="A16" s="0" t="s">
        <v>128</v>
      </c>
      <c r="C16" s="0" t="n">
        <f aca="false">-C12</f>
        <v>554.15648</v>
      </c>
      <c r="D16" s="0" t="n">
        <f aca="false">-D12</f>
        <v>575.09844</v>
      </c>
      <c r="E16" s="0" t="n">
        <f aca="false">-E12</f>
        <v>615.19101696</v>
      </c>
      <c r="F16" s="0" t="n">
        <f aca="false">-F12</f>
        <v>657.5708425728</v>
      </c>
      <c r="G16" s="0" t="n">
        <f aca="false">-G12</f>
        <v>695.603318332416</v>
      </c>
      <c r="H16" s="0" t="n">
        <f aca="false">-H12</f>
        <v>709.515384699065</v>
      </c>
      <c r="I16" s="0" t="n">
        <f aca="false">-I12</f>
        <v>704.660805751124</v>
      </c>
      <c r="J16" s="0" t="n">
        <f aca="false">-J12</f>
        <v>718.754021866146</v>
      </c>
      <c r="K16" s="0" t="n">
        <f aca="false">-K12</f>
        <v>733.129102303469</v>
      </c>
      <c r="L16" s="0" t="n">
        <f aca="false">-L12</f>
        <v>747.791684349538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-1021.32328</v>
      </c>
      <c r="D17" s="4" t="n">
        <f aca="false">-D6*Assumptions!D18/100</f>
        <v>-1084.471344</v>
      </c>
      <c r="E17" s="4" t="n">
        <f aca="false">-E6*Assumptions!E18/100</f>
        <v>-1025.3183616</v>
      </c>
      <c r="F17" s="4" t="n">
        <f aca="false">-F6*Assumptions!F18/100</f>
        <v>-853.0648768512</v>
      </c>
      <c r="G17" s="4" t="n">
        <f aca="false">-G6*Assumptions!G18/100</f>
        <v>-585.771215437824</v>
      </c>
      <c r="H17" s="4" t="n">
        <f aca="false">-H6*Assumptions!H18/100</f>
        <v>-560.143724762419</v>
      </c>
      <c r="I17" s="4" t="n">
        <f aca="false">-I6*Assumptions!I18/100</f>
        <v>-571.346599257668</v>
      </c>
      <c r="J17" s="4" t="n">
        <f aca="false">-J6*Assumptions!J18/100</f>
        <v>-582.773531242821</v>
      </c>
      <c r="K17" s="4" t="n">
        <f aca="false">-K6*Assumptions!K18/100</f>
        <v>-594.429001867678</v>
      </c>
      <c r="L17" s="4" t="n">
        <f aca="false">-L6*Assumptions!L18/100</f>
        <v>-606.317581905031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202.2348968</v>
      </c>
      <c r="D19" s="0" t="n">
        <f aca="false">D15+D16+D17+D18</f>
        <v>152.64755736</v>
      </c>
      <c r="E19" s="0" t="n">
        <f aca="false">E15+E16+E17+E18</f>
        <v>282.9878678016</v>
      </c>
      <c r="F19" s="0" t="n">
        <f aca="false">F15+F16+F17+F18</f>
        <v>516.104250494976</v>
      </c>
      <c r="G19" s="0" t="n">
        <f aca="false">G15+G16+G17+G18</f>
        <v>833.259553960305</v>
      </c>
      <c r="H19" s="0" t="n">
        <f aca="false">H15+H16+H17+H18</f>
        <v>887.267660023672</v>
      </c>
      <c r="I19" s="0" t="n">
        <f aca="false">I15+I16+I17+I18</f>
        <v>900.442240430084</v>
      </c>
      <c r="J19" s="0" t="n">
        <f aca="false">J15+J16+J17+J18</f>
        <v>918.451085238686</v>
      </c>
      <c r="K19" s="0" t="n">
        <f aca="false">K15+K16+K17+K18</f>
        <v>936.82010694346</v>
      </c>
      <c r="L19" s="0" t="n">
        <f aca="false">L15+L16+L17+L18</f>
        <v>955.556509082329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188.125485395349</v>
      </c>
      <c r="D21" s="0" t="n">
        <f aca="false">D19*D20</f>
        <v>132.090909559762</v>
      </c>
      <c r="E21" s="0" t="n">
        <f aca="false">E19*E20</f>
        <v>227.794075229884</v>
      </c>
      <c r="F21" s="0" t="n">
        <f aca="false">F19*F20</f>
        <v>386.459136190477</v>
      </c>
      <c r="G21" s="0" t="n">
        <f aca="false">G19*G20</f>
        <v>580.414135299258</v>
      </c>
      <c r="H21" s="0" t="n">
        <f aca="false">H19*H20</f>
        <v>574.915300274025</v>
      </c>
      <c r="I21" s="0" t="n">
        <f aca="false">I19*I20</f>
        <v>542.745973394703</v>
      </c>
      <c r="J21" s="0" t="n">
        <f aca="false">J19*J20</f>
        <v>514.977574755905</v>
      </c>
      <c r="K21" s="0" t="n">
        <f aca="false">K19*K20</f>
        <v>488.629884884673</v>
      </c>
      <c r="L21" s="0" t="n">
        <f aca="false">L19*L20</f>
        <v>463.630216355689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13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4099.78269133973</v>
      </c>
    </row>
    <row r="31" customFormat="false" ht="15" hidden="false" customHeight="false" outlineLevel="0" collapsed="false">
      <c r="A31" s="0" t="s">
        <v>137</v>
      </c>
      <c r="B31" s="0" t="n">
        <f aca="false">L19</f>
        <v>955.556509082329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17721.2298047996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12422.2346180703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12422.2346180703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6027.19281262396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10126.9755039637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19858.9755039637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97.1099046648591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-0.0755839632093376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123.628897505796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181.857722151516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98.6037267658728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7497.44337895366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69.9110454167153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4.5</v>
      </c>
      <c r="D5" s="4" t="n">
        <f aca="false">Assumptions!D27</f>
        <v>5</v>
      </c>
      <c r="E5" s="4" t="n">
        <f aca="false">Assumptions!E27</f>
        <v>9</v>
      </c>
      <c r="F5" s="4" t="n">
        <f aca="false">Assumptions!F27</f>
        <v>8</v>
      </c>
      <c r="G5" s="4" t="n">
        <f aca="false">Assumptions!G27</f>
        <v>6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3128</v>
      </c>
      <c r="C6" s="0" t="n">
        <f aca="false">B6*(1+C5/100)</f>
        <v>3268.76</v>
      </c>
      <c r="D6" s="0" t="n">
        <f aca="false">C6*(1+D5/100)</f>
        <v>3432.198</v>
      </c>
      <c r="E6" s="0" t="n">
        <f aca="false">D6*(1+E5/100)</f>
        <v>3741.09582</v>
      </c>
      <c r="F6" s="0" t="n">
        <f aca="false">E6*(1+F5/100)</f>
        <v>4040.3834856</v>
      </c>
      <c r="G6" s="0" t="n">
        <f aca="false">F6*(1+G5/100)</f>
        <v>4282.806494736</v>
      </c>
      <c r="H6" s="0" t="n">
        <f aca="false">G6*(1+H5/100)</f>
        <v>4432.70472205176</v>
      </c>
      <c r="I6" s="0" t="n">
        <f aca="false">H6*(1+I5/100)</f>
        <v>4565.68586371331</v>
      </c>
      <c r="J6" s="0" t="n">
        <f aca="false">I6*(1+J5/100)</f>
        <v>4679.82801030615</v>
      </c>
      <c r="K6" s="0" t="n">
        <f aca="false">J6*(1+K5/100)</f>
        <v>4796.8237105638</v>
      </c>
      <c r="L6" s="0" t="n">
        <f aca="false">K6*(1+L5/100)</f>
        <v>4916.74430332789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45.5</v>
      </c>
      <c r="D7" s="4" t="n">
        <f aca="false">Assumptions!D28</f>
        <v>46</v>
      </c>
      <c r="E7" s="4" t="n">
        <f aca="false">Assumptions!E28</f>
        <v>47.5</v>
      </c>
      <c r="F7" s="4" t="n">
        <f aca="false">Assumptions!F28</f>
        <v>48.5</v>
      </c>
      <c r="G7" s="4" t="n">
        <f aca="false">Assumptions!G28</f>
        <v>49</v>
      </c>
      <c r="H7" s="4" t="n">
        <f aca="false">Assumptions!H28</f>
        <v>49</v>
      </c>
      <c r="I7" s="4" t="n">
        <f aca="false">Assumptions!I28</f>
        <v>49</v>
      </c>
      <c r="J7" s="4" t="n">
        <f aca="false">Assumptions!J28</f>
        <v>49</v>
      </c>
      <c r="K7" s="4" t="n">
        <f aca="false">Assumptions!K28</f>
        <v>49</v>
      </c>
      <c r="L7" s="4" t="n">
        <f aca="false">Assumptions!L28</f>
        <v>49</v>
      </c>
    </row>
    <row r="8" customFormat="false" ht="15" hidden="false" customHeight="false" outlineLevel="0" collapsed="false">
      <c r="A8" s="0" t="s">
        <v>43</v>
      </c>
      <c r="C8" s="0" t="n">
        <f aca="false">C6*C7/100</f>
        <v>1487.2858</v>
      </c>
      <c r="D8" s="0" t="n">
        <f aca="false">D6*D7/100</f>
        <v>1578.81108</v>
      </c>
      <c r="E8" s="0" t="n">
        <f aca="false">E6*E7/100</f>
        <v>1777.0205145</v>
      </c>
      <c r="F8" s="0" t="n">
        <f aca="false">F6*F7/100</f>
        <v>1959.585990516</v>
      </c>
      <c r="G8" s="0" t="n">
        <f aca="false">G6*G7/100</f>
        <v>2098.57518242064</v>
      </c>
      <c r="H8" s="0" t="n">
        <f aca="false">H6*H7/100</f>
        <v>2172.02531380536</v>
      </c>
      <c r="I8" s="0" t="n">
        <f aca="false">I6*I7/100</f>
        <v>2237.18607321952</v>
      </c>
      <c r="J8" s="0" t="n">
        <f aca="false">J6*J7/100</f>
        <v>2293.11572505001</v>
      </c>
      <c r="K8" s="0" t="n">
        <f aca="false">K6*K7/100</f>
        <v>2350.44361817626</v>
      </c>
      <c r="L8" s="0" t="n">
        <f aca="false">L6*L7/100</f>
        <v>2409.20470863067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-16.3438</v>
      </c>
      <c r="D10" s="0" t="n">
        <f aca="false">-D6*D9/100</f>
        <v>-17.16099</v>
      </c>
      <c r="E10" s="0" t="n">
        <f aca="false">-E6*E9/100</f>
        <v>-18.7054791</v>
      </c>
      <c r="F10" s="0" t="n">
        <f aca="false">-F6*F9/100</f>
        <v>-20.201917428</v>
      </c>
      <c r="G10" s="0" t="n">
        <f aca="false">-G6*G9/100</f>
        <v>-21.41403247368</v>
      </c>
      <c r="H10" s="0" t="n">
        <f aca="false">-H6*H9/100</f>
        <v>-22.1635236102588</v>
      </c>
      <c r="I10" s="0" t="n">
        <f aca="false">-I6*I9/100</f>
        <v>-22.8284293185666</v>
      </c>
      <c r="J10" s="0" t="n">
        <f aca="false">-J6*J9/100</f>
        <v>-23.3991400515307</v>
      </c>
      <c r="K10" s="0" t="n">
        <f aca="false">-K6*K9/100</f>
        <v>-23.984118552819</v>
      </c>
      <c r="L10" s="0" t="n">
        <f aca="false">-L6*L9/100</f>
        <v>-24.5837215166395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1470.942</v>
      </c>
      <c r="D11" s="0" t="n">
        <f aca="false">D8+D10+D24</f>
        <v>1561.65009</v>
      </c>
      <c r="E11" s="0" t="n">
        <f aca="false">E8+E10+E24</f>
        <v>1758.3150354</v>
      </c>
      <c r="F11" s="0" t="n">
        <f aca="false">F8+F10+F24</f>
        <v>1939.384073088</v>
      </c>
      <c r="G11" s="0" t="n">
        <f aca="false">G8+G10+G24</f>
        <v>2077.16114994696</v>
      </c>
      <c r="H11" s="0" t="n">
        <f aca="false">H8+H10+H24</f>
        <v>2149.8617901951</v>
      </c>
      <c r="I11" s="0" t="n">
        <f aca="false">I8+I10+I24</f>
        <v>2214.35764390096</v>
      </c>
      <c r="J11" s="0" t="n">
        <f aca="false">J8+J10+J24</f>
        <v>2269.71658499848</v>
      </c>
      <c r="K11" s="0" t="n">
        <f aca="false">K8+K10+K24</f>
        <v>2326.45949962344</v>
      </c>
      <c r="L11" s="0" t="n">
        <f aca="false">L8+L10+L24</f>
        <v>2384.62098711403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-562.22672</v>
      </c>
      <c r="D12" s="4" t="n">
        <f aca="false">-D6*Assumptions!D31/100</f>
        <v>-583.47366</v>
      </c>
      <c r="E12" s="4" t="n">
        <f aca="false">-E6*Assumptions!E31/100</f>
        <v>-654.6917685</v>
      </c>
      <c r="F12" s="4" t="n">
        <f aca="false">-F6*Assumptions!F31/100</f>
        <v>-727.269027408</v>
      </c>
      <c r="G12" s="4" t="n">
        <f aca="false">-G6*Assumptions!G31/100</f>
        <v>-792.31920152616</v>
      </c>
      <c r="H12" s="4" t="n">
        <f aca="false">-H6*Assumptions!H31/100</f>
        <v>-820.050373579576</v>
      </c>
      <c r="I12" s="4" t="n">
        <f aca="false">-I6*Assumptions!I31/100</f>
        <v>-821.823455468396</v>
      </c>
      <c r="J12" s="4" t="n">
        <f aca="false">-J6*Assumptions!J31/100</f>
        <v>-818.969901803576</v>
      </c>
      <c r="K12" s="4" t="n">
        <f aca="false">-K6*Assumptions!K31/100</f>
        <v>-839.444149348665</v>
      </c>
      <c r="L12" s="4" t="n">
        <f aca="false">-L6*Assumptions!L31/100</f>
        <v>-860.430253082381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908.71528</v>
      </c>
      <c r="D13" s="0" t="n">
        <f aca="false">D11+D12</f>
        <v>978.17643</v>
      </c>
      <c r="E13" s="0" t="n">
        <f aca="false">E11+E12</f>
        <v>1103.6232669</v>
      </c>
      <c r="F13" s="0" t="n">
        <f aca="false">F11+F12</f>
        <v>1212.11504568</v>
      </c>
      <c r="G13" s="0" t="n">
        <f aca="false">G11+G12</f>
        <v>1284.8419484208</v>
      </c>
      <c r="H13" s="0" t="n">
        <f aca="false">H11+H12</f>
        <v>1329.81141661553</v>
      </c>
      <c r="I13" s="0" t="n">
        <f aca="false">I11+I12</f>
        <v>1392.53418843256</v>
      </c>
      <c r="J13" s="0" t="n">
        <f aca="false">J11+J12</f>
        <v>1450.74668319491</v>
      </c>
      <c r="K13" s="0" t="n">
        <f aca="false">K11+K12</f>
        <v>1487.01535027478</v>
      </c>
      <c r="L13" s="0" t="n">
        <f aca="false">L11+L12</f>
        <v>1524.19073403165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23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717.8850712</v>
      </c>
      <c r="D15" s="0" t="n">
        <f aca="false">D13-MAX(0,D13)*D14/100</f>
        <v>772.7593797</v>
      </c>
      <c r="E15" s="0" t="n">
        <f aca="false">E13-MAX(0,E13)*E14/100</f>
        <v>860.826148182</v>
      </c>
      <c r="F15" s="0" t="n">
        <f aca="false">F13-MAX(0,F13)*F14/100</f>
        <v>933.3285851736</v>
      </c>
      <c r="G15" s="0" t="n">
        <f aca="false">G13-MAX(0,G13)*G14/100</f>
        <v>976.479880799808</v>
      </c>
      <c r="H15" s="0" t="n">
        <f aca="false">H13-MAX(0,H13)*H14/100</f>
        <v>1010.6566766278</v>
      </c>
      <c r="I15" s="0" t="n">
        <f aca="false">I13-MAX(0,I13)*I14/100</f>
        <v>1058.32598320875</v>
      </c>
      <c r="J15" s="0" t="n">
        <f aca="false">J13-MAX(0,J13)*J14/100</f>
        <v>1102.56747922813</v>
      </c>
      <c r="K15" s="0" t="n">
        <f aca="false">K13-MAX(0,K13)*K14/100</f>
        <v>1130.13166620883</v>
      </c>
      <c r="L15" s="0" t="n">
        <f aca="false">L13-MAX(0,L13)*L14/100</f>
        <v>1158.38495786405</v>
      </c>
    </row>
    <row r="16" customFormat="false" ht="15" hidden="false" customHeight="false" outlineLevel="0" collapsed="false">
      <c r="A16" s="0" t="s">
        <v>128</v>
      </c>
      <c r="C16" s="0" t="n">
        <f aca="false">-C12</f>
        <v>562.22672</v>
      </c>
      <c r="D16" s="0" t="n">
        <f aca="false">-D12</f>
        <v>583.47366</v>
      </c>
      <c r="E16" s="0" t="n">
        <f aca="false">-E12</f>
        <v>654.6917685</v>
      </c>
      <c r="F16" s="0" t="n">
        <f aca="false">-F12</f>
        <v>727.269027408</v>
      </c>
      <c r="G16" s="0" t="n">
        <f aca="false">-G12</f>
        <v>792.31920152616</v>
      </c>
      <c r="H16" s="0" t="n">
        <f aca="false">-H12</f>
        <v>820.050373579576</v>
      </c>
      <c r="I16" s="0" t="n">
        <f aca="false">-I12</f>
        <v>821.823455468396</v>
      </c>
      <c r="J16" s="0" t="n">
        <f aca="false">-J12</f>
        <v>818.969901803576</v>
      </c>
      <c r="K16" s="0" t="n">
        <f aca="false">-K12</f>
        <v>839.444149348665</v>
      </c>
      <c r="L16" s="0" t="n">
        <f aca="false">-L12</f>
        <v>860.430253082381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-1036.19692</v>
      </c>
      <c r="D17" s="4" t="n">
        <f aca="false">-D6*Assumptions!D32/100</f>
        <v>-1115.46435</v>
      </c>
      <c r="E17" s="4" t="n">
        <f aca="false">-E6*Assumptions!E32/100</f>
        <v>-1084.9177878</v>
      </c>
      <c r="F17" s="4" t="n">
        <f aca="false">-F6*Assumptions!F32/100</f>
        <v>-848.480531976</v>
      </c>
      <c r="G17" s="4" t="n">
        <f aca="false">-G6*Assumptions!G32/100</f>
        <v>-599.59290926304</v>
      </c>
      <c r="H17" s="4" t="n">
        <f aca="false">-H6*Assumptions!H32/100</f>
        <v>-642.742184697505</v>
      </c>
      <c r="I17" s="4" t="n">
        <f aca="false">-I6*Assumptions!I32/100</f>
        <v>-662.02445023843</v>
      </c>
      <c r="J17" s="4" t="n">
        <f aca="false">-J6*Assumptions!J32/100</f>
        <v>-678.575061494391</v>
      </c>
      <c r="K17" s="4" t="n">
        <f aca="false">-K6*Assumptions!K32/100</f>
        <v>-695.539438031751</v>
      </c>
      <c r="L17" s="4" t="n">
        <f aca="false">-L6*Assumptions!L32/100</f>
        <v>-712.927923982545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243.9148712</v>
      </c>
      <c r="D19" s="0" t="n">
        <f aca="false">D15+D16+D17+D18</f>
        <v>240.7686897</v>
      </c>
      <c r="E19" s="0" t="n">
        <f aca="false">E15+E16+E17+E18</f>
        <v>430.600128882</v>
      </c>
      <c r="F19" s="0" t="n">
        <f aca="false">F15+F16+F17+F18</f>
        <v>812.1170806056</v>
      </c>
      <c r="G19" s="0" t="n">
        <f aca="false">G15+G16+G17+G18</f>
        <v>1169.20617306293</v>
      </c>
      <c r="H19" s="0" t="n">
        <f aca="false">H15+H16+H17+H18</f>
        <v>1187.96486550987</v>
      </c>
      <c r="I19" s="0" t="n">
        <f aca="false">I15+I16+I17+I18</f>
        <v>1218.12498843871</v>
      </c>
      <c r="J19" s="0" t="n">
        <f aca="false">J15+J16+J17+J18</f>
        <v>1242.96231953731</v>
      </c>
      <c r="K19" s="0" t="n">
        <f aca="false">K15+K16+K17+K18</f>
        <v>1274.03637752575</v>
      </c>
      <c r="L19" s="0" t="n">
        <f aca="false">L15+L16+L17+L18</f>
        <v>1305.88728696389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226.897554604651</v>
      </c>
      <c r="D21" s="0" t="n">
        <f aca="false">D19*D20</f>
        <v>208.344999199567</v>
      </c>
      <c r="E21" s="0" t="n">
        <f aca="false">E19*E20</f>
        <v>346.616124975763</v>
      </c>
      <c r="F21" s="0" t="n">
        <f aca="false">F19*F20</f>
        <v>608.113700197916</v>
      </c>
      <c r="G21" s="0" t="n">
        <f aca="false">G19*G20</f>
        <v>814.420652844027</v>
      </c>
      <c r="H21" s="0" t="n">
        <f aca="false">H19*H20</f>
        <v>769.755518139113</v>
      </c>
      <c r="I21" s="0" t="n">
        <f aca="false">I19*I20</f>
        <v>734.230806687611</v>
      </c>
      <c r="J21" s="0" t="n">
        <f aca="false">J19*J20</f>
        <v>696.931748588387</v>
      </c>
      <c r="K21" s="0" t="n">
        <f aca="false">K19*K20</f>
        <v>664.516318421485</v>
      </c>
      <c r="L21" s="0" t="n">
        <f aca="false">L19*L20</f>
        <v>633.608582680951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5703.43600633947</v>
      </c>
    </row>
    <row r="31" customFormat="false" ht="15" hidden="false" customHeight="false" outlineLevel="0" collapsed="false">
      <c r="A31" s="0" t="s">
        <v>137</v>
      </c>
      <c r="B31" s="0" t="n">
        <f aca="false">L19</f>
        <v>1305.88728696389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26770.6893827597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19588.3093044583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19588.3093044583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9504.12874021426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15207.5647465537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24939.5647465537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121.953861841339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0.160912535376854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140.832608359307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244.521384506015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123.838233444592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10708.2757531039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79.0447323470157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5.5</v>
      </c>
      <c r="D5" s="4" t="n">
        <f aca="false">Assumptions!D41</f>
        <v>7</v>
      </c>
      <c r="E5" s="4" t="n">
        <f aca="false">Assumptions!E41</f>
        <v>12</v>
      </c>
      <c r="F5" s="4" t="n">
        <f aca="false">Assumptions!F41</f>
        <v>11</v>
      </c>
      <c r="G5" s="4" t="n">
        <f aca="false">Assumptions!G41</f>
        <v>8</v>
      </c>
      <c r="H5" s="4" t="n">
        <f aca="false">Assumptions!H41</f>
        <v>5</v>
      </c>
      <c r="I5" s="4" t="n">
        <f aca="false">Assumptions!I41</f>
        <v>4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3128</v>
      </c>
      <c r="C6" s="0" t="n">
        <f aca="false">B6*(1+C5/100)</f>
        <v>3300.04</v>
      </c>
      <c r="D6" s="0" t="n">
        <f aca="false">C6*(1+D5/100)</f>
        <v>3531.0428</v>
      </c>
      <c r="E6" s="0" t="n">
        <f aca="false">D6*(1+E5/100)</f>
        <v>3954.767936</v>
      </c>
      <c r="F6" s="0" t="n">
        <f aca="false">E6*(1+F5/100)</f>
        <v>4389.79240896</v>
      </c>
      <c r="G6" s="0" t="n">
        <f aca="false">F6*(1+G5/100)</f>
        <v>4740.9758016768</v>
      </c>
      <c r="H6" s="0" t="n">
        <f aca="false">G6*(1+H5/100)</f>
        <v>4978.02459176064</v>
      </c>
      <c r="I6" s="0" t="n">
        <f aca="false">H6*(1+I5/100)</f>
        <v>5177.14557543107</v>
      </c>
      <c r="J6" s="0" t="n">
        <f aca="false">I6*(1+J5/100)</f>
        <v>5332.459942694</v>
      </c>
      <c r="K6" s="0" t="n">
        <f aca="false">J6*(1+K5/100)</f>
        <v>5492.43374097482</v>
      </c>
      <c r="L6" s="0" t="n">
        <f aca="false">K6*(1+L5/100)</f>
        <v>5657.20675320407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46</v>
      </c>
      <c r="D7" s="4" t="n">
        <f aca="false">Assumptions!D42</f>
        <v>47.5</v>
      </c>
      <c r="E7" s="4" t="n">
        <f aca="false">Assumptions!E42</f>
        <v>49.5</v>
      </c>
      <c r="F7" s="4" t="n">
        <f aca="false">Assumptions!F42</f>
        <v>51</v>
      </c>
      <c r="G7" s="4" t="n">
        <f aca="false">Assumptions!G42</f>
        <v>52</v>
      </c>
      <c r="H7" s="4" t="n">
        <f aca="false">Assumptions!H42</f>
        <v>52</v>
      </c>
      <c r="I7" s="4" t="n">
        <f aca="false">Assumptions!I42</f>
        <v>52</v>
      </c>
      <c r="J7" s="4" t="n">
        <f aca="false">Assumptions!J42</f>
        <v>52</v>
      </c>
      <c r="K7" s="4" t="n">
        <f aca="false">Assumptions!K42</f>
        <v>52</v>
      </c>
      <c r="L7" s="4" t="n">
        <f aca="false">Assumptions!L42</f>
        <v>52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1518.0184</v>
      </c>
      <c r="D8" s="0" t="n">
        <f aca="false">D6*D7/100</f>
        <v>1677.24533</v>
      </c>
      <c r="E8" s="0" t="n">
        <f aca="false">E6*E7/100</f>
        <v>1957.61012832</v>
      </c>
      <c r="F8" s="0" t="n">
        <f aca="false">F6*F7/100</f>
        <v>2238.7941285696</v>
      </c>
      <c r="G8" s="0" t="n">
        <f aca="false">G6*G7/100</f>
        <v>2465.30741687194</v>
      </c>
      <c r="H8" s="0" t="n">
        <f aca="false">H6*H7/100</f>
        <v>2588.57278771553</v>
      </c>
      <c r="I8" s="0" t="n">
        <f aca="false">I6*I7/100</f>
        <v>2692.11569922416</v>
      </c>
      <c r="J8" s="0" t="n">
        <f aca="false">J6*J7/100</f>
        <v>2772.87917020088</v>
      </c>
      <c r="K8" s="0" t="n">
        <f aca="false">K6*K7/100</f>
        <v>2856.06554530691</v>
      </c>
      <c r="L8" s="0" t="n">
        <f aca="false">L6*L7/100</f>
        <v>2941.74751166611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-16.5002</v>
      </c>
      <c r="D10" s="0" t="n">
        <f aca="false">-D6*D9/100</f>
        <v>-17.655214</v>
      </c>
      <c r="E10" s="0" t="n">
        <f aca="false">-E6*E9/100</f>
        <v>-19.77383968</v>
      </c>
      <c r="F10" s="0" t="n">
        <f aca="false">-F6*F9/100</f>
        <v>-21.9489620448</v>
      </c>
      <c r="G10" s="0" t="n">
        <f aca="false">-G6*G9/100</f>
        <v>-23.704879008384</v>
      </c>
      <c r="H10" s="0" t="n">
        <f aca="false">-H6*H9/100</f>
        <v>-24.8901229588032</v>
      </c>
      <c r="I10" s="0" t="n">
        <f aca="false">-I6*I9/100</f>
        <v>-25.8857278771553</v>
      </c>
      <c r="J10" s="0" t="n">
        <f aca="false">-J6*J9/100</f>
        <v>-26.66229971347</v>
      </c>
      <c r="K10" s="0" t="n">
        <f aca="false">-K6*K9/100</f>
        <v>-27.4621687048741</v>
      </c>
      <c r="L10" s="0" t="n">
        <f aca="false">-L6*L9/100</f>
        <v>-28.2860337660203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1501.5182</v>
      </c>
      <c r="D11" s="0" t="n">
        <f aca="false">D8+D10+D24</f>
        <v>1659.590116</v>
      </c>
      <c r="E11" s="0" t="n">
        <f aca="false">E8+E10+E24</f>
        <v>1937.83628864</v>
      </c>
      <c r="F11" s="0" t="n">
        <f aca="false">F8+F10+F24</f>
        <v>2216.8451665248</v>
      </c>
      <c r="G11" s="0" t="n">
        <f aca="false">G8+G10+G24</f>
        <v>2441.60253786355</v>
      </c>
      <c r="H11" s="0" t="n">
        <f aca="false">H8+H10+H24</f>
        <v>2563.68266475673</v>
      </c>
      <c r="I11" s="0" t="n">
        <f aca="false">I8+I10+I24</f>
        <v>2666.229971347</v>
      </c>
      <c r="J11" s="0" t="n">
        <f aca="false">J8+J10+J24</f>
        <v>2746.21687048741</v>
      </c>
      <c r="K11" s="0" t="n">
        <f aca="false">K8+K10+K24</f>
        <v>2828.60337660203</v>
      </c>
      <c r="L11" s="0" t="n">
        <f aca="false">L8+L10+L24</f>
        <v>2913.46147790009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-567.60688</v>
      </c>
      <c r="D12" s="4" t="n">
        <f aca="false">-D6*Assumptions!D45/100</f>
        <v>-600.277276</v>
      </c>
      <c r="E12" s="4" t="n">
        <f aca="false">-E6*Assumptions!E45/100</f>
        <v>-692.0843888</v>
      </c>
      <c r="F12" s="4" t="n">
        <f aca="false">-F6*Assumptions!F45/100</f>
        <v>-790.1626336128</v>
      </c>
      <c r="G12" s="4" t="n">
        <f aca="false">-G6*Assumptions!G45/100</f>
        <v>-877.080523310208</v>
      </c>
      <c r="H12" s="4" t="n">
        <f aca="false">-H6*Assumptions!H45/100</f>
        <v>-920.934549475719</v>
      </c>
      <c r="I12" s="4" t="n">
        <f aca="false">-I6*Assumptions!I45/100</f>
        <v>-931.886203577592</v>
      </c>
      <c r="J12" s="4" t="n">
        <f aca="false">-J6*Assumptions!J45/100</f>
        <v>-933.18048997145</v>
      </c>
      <c r="K12" s="4" t="n">
        <f aca="false">-K6*Assumptions!K45/100</f>
        <v>-961.175904670594</v>
      </c>
      <c r="L12" s="4" t="n">
        <f aca="false">-L6*Assumptions!L45/100</f>
        <v>-990.011181810711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933.91132</v>
      </c>
      <c r="D13" s="0" t="n">
        <f aca="false">D11+D12</f>
        <v>1059.31284</v>
      </c>
      <c r="E13" s="0" t="n">
        <f aca="false">E11+E12</f>
        <v>1245.75189984</v>
      </c>
      <c r="F13" s="0" t="n">
        <f aca="false">F11+F12</f>
        <v>1426.682532912</v>
      </c>
      <c r="G13" s="0" t="n">
        <f aca="false">G11+G12</f>
        <v>1564.52201455334</v>
      </c>
      <c r="H13" s="0" t="n">
        <f aca="false">H11+H12</f>
        <v>1642.74811528101</v>
      </c>
      <c r="I13" s="0" t="n">
        <f aca="false">I11+I12</f>
        <v>1734.34376776941</v>
      </c>
      <c r="J13" s="0" t="n">
        <f aca="false">J11+J12</f>
        <v>1813.03638051596</v>
      </c>
      <c r="K13" s="0" t="n">
        <f aca="false">K11+K12</f>
        <v>1867.42747193144</v>
      </c>
      <c r="L13" s="0" t="n">
        <f aca="false">L11+L12</f>
        <v>1923.45029608938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22</v>
      </c>
      <c r="F14" s="4" t="n">
        <f aca="false">Assumptions!F47</f>
        <v>23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737.7899428</v>
      </c>
      <c r="D15" s="0" t="n">
        <f aca="false">D13-MAX(0,D13)*D14/100</f>
        <v>836.8571436</v>
      </c>
      <c r="E15" s="0" t="n">
        <f aca="false">E13-MAX(0,E13)*E14/100</f>
        <v>971.6864818752</v>
      </c>
      <c r="F15" s="0" t="n">
        <f aca="false">F13-MAX(0,F13)*F14/100</f>
        <v>1098.54555034224</v>
      </c>
      <c r="G15" s="0" t="n">
        <f aca="false">G13-MAX(0,G13)*G14/100</f>
        <v>1189.03673106054</v>
      </c>
      <c r="H15" s="0" t="n">
        <f aca="false">H13-MAX(0,H13)*H14/100</f>
        <v>1248.48856761357</v>
      </c>
      <c r="I15" s="0" t="n">
        <f aca="false">I13-MAX(0,I13)*I14/100</f>
        <v>1318.10126350475</v>
      </c>
      <c r="J15" s="0" t="n">
        <f aca="false">J13-MAX(0,J13)*J14/100</f>
        <v>1377.90764919213</v>
      </c>
      <c r="K15" s="0" t="n">
        <f aca="false">K13-MAX(0,K13)*K14/100</f>
        <v>1419.24487866789</v>
      </c>
      <c r="L15" s="0" t="n">
        <f aca="false">L13-MAX(0,L13)*L14/100</f>
        <v>1461.82222502793</v>
      </c>
    </row>
    <row r="16" customFormat="false" ht="15" hidden="false" customHeight="false" outlineLevel="0" collapsed="false">
      <c r="A16" s="0" t="s">
        <v>128</v>
      </c>
      <c r="C16" s="0" t="n">
        <f aca="false">-C12</f>
        <v>567.60688</v>
      </c>
      <c r="D16" s="0" t="n">
        <f aca="false">-D12</f>
        <v>600.277276</v>
      </c>
      <c r="E16" s="0" t="n">
        <f aca="false">-E12</f>
        <v>692.0843888</v>
      </c>
      <c r="F16" s="0" t="n">
        <f aca="false">-F12</f>
        <v>790.1626336128</v>
      </c>
      <c r="G16" s="0" t="n">
        <f aca="false">-G12</f>
        <v>877.080523310208</v>
      </c>
      <c r="H16" s="0" t="n">
        <f aca="false">-H12</f>
        <v>920.934549475719</v>
      </c>
      <c r="I16" s="0" t="n">
        <f aca="false">-I12</f>
        <v>931.886203577592</v>
      </c>
      <c r="J16" s="0" t="n">
        <f aca="false">-J12</f>
        <v>933.18048997145</v>
      </c>
      <c r="K16" s="0" t="n">
        <f aca="false">-K12</f>
        <v>961.175904670594</v>
      </c>
      <c r="L16" s="0" t="n">
        <f aca="false">-L12</f>
        <v>990.011181810711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-1046.11268</v>
      </c>
      <c r="D17" s="4" t="n">
        <f aca="false">-D6*Assumptions!D46/100</f>
        <v>-1200.554552</v>
      </c>
      <c r="E17" s="4" t="n">
        <f aca="false">-E6*Assumptions!E46/100</f>
        <v>-1265.52573952</v>
      </c>
      <c r="F17" s="4" t="n">
        <f aca="false">-F6*Assumptions!F46/100</f>
        <v>-1097.44810224</v>
      </c>
      <c r="G17" s="4" t="n">
        <f aca="false">-G6*Assumptions!G46/100</f>
        <v>-805.965886285056</v>
      </c>
      <c r="H17" s="4" t="n">
        <f aca="false">-H6*Assumptions!H46/100</f>
        <v>-746.703688764096</v>
      </c>
      <c r="I17" s="4" t="n">
        <f aca="false">-I6*Assumptions!I46/100</f>
        <v>-750.686108437505</v>
      </c>
      <c r="J17" s="4" t="n">
        <f aca="false">-J6*Assumptions!J46/100</f>
        <v>-773.20669169063</v>
      </c>
      <c r="K17" s="4" t="n">
        <f aca="false">-K6*Assumptions!K46/100</f>
        <v>-796.402892441349</v>
      </c>
      <c r="L17" s="4" t="n">
        <f aca="false">-L6*Assumptions!L46/100</f>
        <v>-820.294979214589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259.2841428</v>
      </c>
      <c r="D19" s="0" t="n">
        <f aca="false">D15+D16+D17+D18</f>
        <v>236.5798676</v>
      </c>
      <c r="E19" s="0" t="n">
        <f aca="false">E15+E16+E17+E18</f>
        <v>398.2451311552</v>
      </c>
      <c r="F19" s="0" t="n">
        <f aca="false">F15+F16+F17+F18</f>
        <v>791.26008171504</v>
      </c>
      <c r="G19" s="0" t="n">
        <f aca="false">G15+G16+G17+G18</f>
        <v>1260.15136808569</v>
      </c>
      <c r="H19" s="0" t="n">
        <f aca="false">H15+H16+H17+H18</f>
        <v>1422.71942832519</v>
      </c>
      <c r="I19" s="0" t="n">
        <f aca="false">I15+I16+I17+I18</f>
        <v>1499.30135864484</v>
      </c>
      <c r="J19" s="0" t="n">
        <f aca="false">J15+J16+J17+J18</f>
        <v>1537.88144747295</v>
      </c>
      <c r="K19" s="0" t="n">
        <f aca="false">K15+K16+K17+K18</f>
        <v>1584.01789089714</v>
      </c>
      <c r="L19" s="0" t="n">
        <f aca="false">L15+L16+L17+L18</f>
        <v>1631.53842762405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241.19455144186</v>
      </c>
      <c r="D21" s="0" t="n">
        <f aca="false">D19*D20</f>
        <v>204.720274829638</v>
      </c>
      <c r="E21" s="0" t="n">
        <f aca="false">E19*E20</f>
        <v>320.571627579116</v>
      </c>
      <c r="F21" s="0" t="n">
        <f aca="false">F19*F20</f>
        <v>592.49596837912</v>
      </c>
      <c r="G21" s="0" t="n">
        <f aca="false">G19*G20</f>
        <v>877.769313507899</v>
      </c>
      <c r="H21" s="0" t="n">
        <f aca="false">H19*H20</f>
        <v>921.867441127567</v>
      </c>
      <c r="I21" s="0" t="n">
        <f aca="false">I19*I20</f>
        <v>903.711241846031</v>
      </c>
      <c r="J21" s="0" t="n">
        <f aca="false">J19*J20</f>
        <v>862.293562292326</v>
      </c>
      <c r="K21" s="0" t="n">
        <f aca="false">K19*K20</f>
        <v>826.197552707997</v>
      </c>
      <c r="L21" s="0" t="n">
        <f aca="false">L19*L20</f>
        <v>791.612538873709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6542.43407258526</v>
      </c>
    </row>
    <row r="31" customFormat="false" ht="15" hidden="false" customHeight="false" outlineLevel="0" collapsed="false">
      <c r="A31" s="0" t="s">
        <v>137</v>
      </c>
      <c r="B31" s="0" t="n">
        <f aca="false">L19</f>
        <v>1631.53842762405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37344.1017878394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24473.0764143608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24473.0764143608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11874.1880831056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18416.6221556909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28148.6221556909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137.646074110958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0.31029104341702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154.219276836585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314.131959870519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139.936300207325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14004.0381704398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85.4461665168808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97.1099046648591</v>
      </c>
      <c r="C4" s="0" t="n">
        <f aca="false">B4/Assumptions!$B$2-1</f>
        <v>-0.0755839632093376</v>
      </c>
      <c r="D4" s="4" t="n">
        <f aca="false">Assumptions!$B$24</f>
        <v>0.25</v>
      </c>
      <c r="E4" s="4" t="n">
        <f aca="false">DCF_Bear!$B$43</f>
        <v>98.6037267658728</v>
      </c>
      <c r="F4" s="4" t="n">
        <f aca="false">DCF_Bear!$B$47</f>
        <v>69.9110454167153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121.953861841339</v>
      </c>
      <c r="C5" s="0" t="n">
        <f aca="false">B5/Assumptions!$B$2-1</f>
        <v>0.160912535376854</v>
      </c>
      <c r="D5" s="4" t="n">
        <f aca="false">Assumptions!$B$38</f>
        <v>0.5</v>
      </c>
      <c r="E5" s="4" t="n">
        <f aca="false">DCF_Base!$B$43</f>
        <v>123.838233444592</v>
      </c>
      <c r="F5" s="4" t="n">
        <f aca="false">DCF_Base!$B$47</f>
        <v>79.0447323470157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137.646074110958</v>
      </c>
      <c r="C6" s="0" t="n">
        <f aca="false">B6/Assumptions!$B$2-1</f>
        <v>0.31029104341702</v>
      </c>
      <c r="D6" s="4" t="n">
        <f aca="false">Assumptions!$B$52</f>
        <v>0.25</v>
      </c>
      <c r="E6" s="4" t="n">
        <f aca="false">DCF_Bull!$B$43</f>
        <v>139.936300207325</v>
      </c>
      <c r="F6" s="4" t="n">
        <f aca="false">DCF_Bull!$B$47</f>
        <v>85.4461665168808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119.665925614624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121.554123465595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0.122139410526044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-774.067484882482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78.3616691569069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121.953861841339</v>
      </c>
      <c r="C15" s="3" t="n">
        <v>7.5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113.629307503687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105.413496445721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97.5844901030961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91.4381320140983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79.0447323470157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135.08178259058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135.08178259058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135.08178259058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135.08178259058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135.08178259058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128.201496737869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128.201496737869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128.201496737869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128.201496737869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128.201496737869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121.953861841339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121.953861841339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121.953861841339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121.953861841339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121.953861841339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114.862115784822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116.274279356231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116.274279356231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116.274279356231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116.274279356231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105.146608681207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107.497887128628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110.185062497109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111.10532803426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111.10532803426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2026-10-02T00:23:43Z</dcterms:created>
  <dc:creator>openpyxl</dc:creator>
  <dc:description/>
  <dc:language>en-NZ</dc:language>
  <cp:lastModifiedBy/>
  <dcterms:modified xsi:type="dcterms:W3CDTF">2026-10-02T00:23:43Z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