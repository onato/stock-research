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<sst xmlns="http://schemas.openxmlformats.org/spreadsheetml/2006/main" count="390" uniqueCount="175">
  <si>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</si>
  <si>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INTU</t>
  </si>
  <si>
    <t xml:space="preserve">Company</t>
  </si>
  <si>
    <t xml:space="preserve">Intuit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</si>
  <si>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</si>
  <si>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</si>
  <si>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</si>
  <si>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</si>
  <si>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2026-09-28T20:00:01Z regular close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</si>
  <si>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</si>
  <si>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</si>
  <si>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</si>
  <si>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</si>
  <si>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</si>
  <si>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</si>
  <si>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</si>
  <si>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</si>
  <si>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</si>
  <si>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</si>
  <si>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</si>
  <si>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</si>
  <si>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2026-09-28T21:56:56Z</t>
  </si>
  <si>
    <t xml:space="preserve">Drivers file</t>
  </si>
  <si>
    <t xml:space="preserve">INTU_Drivers.json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</si>
  <si>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</si>
  <si>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</si>
  <si>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</si>
  <si>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with SBC and equity-award withholding fully expensed and the share count held flat; the FY26 cash-tax windfall (~$1.1B, OBBBA R&amp;D expensing catch-up) is normalised away rather than capitalised; margins are built from guided FY27 GAAP operating income plus D&amp;A and SBC, then ramped modestly; acquired-intangible amortisation is allowed to roll off. Three scenarios are weighted 25/50/25 with a single 9.5% WACC. The house (SBC-expensed) value is the headline; the street (SBC as non-cash) value is reported as the upper bound of the accounting-regime band.
key_risks_to_valuation: AI agents / free tools commoditising DIY tax prep and simple SMB bookkeeping -- the single axis that separates bear from base and the one the market is currently pricing; Revival of an IRS Direct File or state free-file programme capping TurboTax pricing and low-end share; Credit Karma revenue (~13% of total) is tied to lender/insurer marketing budgets and consumer credit conditions; Restructuring execution: a 17% workforce cut during an AI product transition can hit product delivery and support quality; SBC + withholding is the largest single deduction (~$2.8B FY26, 12.9% of revenue); if a depressed share price forces larger grants the glide to 8.5% does not happen; Cash tax normalisation: the model assumes the OBBBA benefit is largely spent by FY28; if it persists longer the near-term flows are understated, if the FY27 residual is smaller than 17% they are overstated; Terminal value is ~60% of EV at a 9.5% WACC; each 1pp of WACC moves base value roughly 15-20%</t>
  </si>
  <si>
    <t xml:space="preserve">Data sources</t>
  </si>
  <si>
    <t xml:space="preserve">price: Yahoo Finance chart API regular close at inputs.price_as_of; 52-week range 252.84-703.96.
financials: research/INTU/Reports/INTU_Metrics.csv (SEC XBRL-derived, FY2008-FY2026, July fiscal year) for revenue, operating income, net income, EPS, OCF, capex, SBC, equity, cash, shares; SEC XBRL companyfacts (CIK 896878) FY2024-FY2026 for depreciation, acquired-intangible amortisation, income tax expense and cash taxes paid, deferred tax, tax-withholding payments, buybacks, dividends, LongTermDebt split, operating lease liabilities, shares outstanding; Q4 FY2026 earnings press release (8-K exhibit, 2026-08-25) for FY2027 guidance, total debt ($7.7B) and cash-and-investments ($7.2B).
qualitative: research/INTU/Reports/INTU_Analysis.json (2026-09-29) for business model, segment mix, moat, risks and bull/bear points; its EPS guidance items were cross-checked against the 8-K (non-GAAP now includes SBC from FY27).</t>
  </si>
  <si>
    <t xml:space="preserve">Scenario narrative: bear</t>
  </si>
  <si>
    <t xml:space="preserve">The market's current thesis plays out: AI assistants and free tools commoditise DIY tax filing and simple SMB accounting, a revived government free-file option caps TurboTax pricing, Mailchimp declines, and Credit Karma turns down with a consumer-credit cycle. Growth fades to ~1.5% after FY29, pre-SBC EBITDA compresses to 38%, and a depressed share price keeps SBC above 10% of revenue as grants are sized to hold dollar comp. FTC 'free' order and privacy/AI regulation add cost. Terminal value is capped at 15x on 2% growth.</t>
  </si>
  <si>
    <t xml:space="preserve">Scenario narrative: base</t>
  </si>
  <si>
    <t xml:space="preserve">Intuit compounds revenue at high single digits: Global Business Solutions (QuickBooks Online, payments, payroll, the mid-market Enterprise Suite cohort growing ~38%) carries the growth at 13-14%, Consumer grows low-to-mid single digits with Credit Karma (+11-13%) offsetting a mature TurboTax (+2-3%), and Mailchimp is flat. The 2026 restructuring (~3,000 roles) lifts GAAP operating margin ~4pp in FY27 per guidance and pre-SBC EBITDA ramps from 44% to 46% over five years. SBC plus withholding glides from 11.2% to 8.5% of revenue, acquired-intangible amortisation rolls off, and cash tax normalises to 24% after the FY26-27 OBBBA deferral. Owner FCF grows from ~$6.3B in FY27 toward ~$11B by FY36. Value is derived from the guided FY27 cost base and the component build; the current price implies the bear path.</t>
  </si>
  <si>
    <t xml:space="preserve">Scenario narrative: bull</t>
  </si>
  <si>
    <t xml:space="preserve">The AI-native product strategy works in Intuit's favour rather than against it: Intuit Assist and agentic bookkeeping raise QuickBooks ARPU and attach rates, Enterprise Suite opens the $89B mid-market, TurboTax Live/Full Service keep taking share from assisted filers, and Credit Karma's cross-sell with TurboTax lifts blended monetisation. Revenue compounds at ~11% for three years, decelerating to 4.5% by year 10, and margins reach 48% as AI lowers service and support cost. SBC falls to 7.5% of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</si>
  <si>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</si>
  <si>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</si>
  <si>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</si>
  <si>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</si>
  <si>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</si>
  <si>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</si>
  <si>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</si>
  <si>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</si>
  <si>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</si>
  <si>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</si>
  <si>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</si>
  <si>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</si>
  <si>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</si>
  <si>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</si>
  <si>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</si>
  <si>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</si>
  <si>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</si>
  <si>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</si>
  <si>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</si>
  <si>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</si>
  <si>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</si>
  <si>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</si>
  <si>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</si>
  <si>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</si>
  <si>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</si>
  <si>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</si>
  <si>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</si>
  <si>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</si>
  <si>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</si>
  <si>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</si>
  <si>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</si>
  <si>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</si>
  <si>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</si>
  <si>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</si>
  <si>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</si>
  <si>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</si>
  <si>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</si>
  <si>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</si>
  <si>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</si>
  <si>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</si>
  <si>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</si>
  <si>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</si>
  <si>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</si>
  <si>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</si>
  <si>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</si>
  <si>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</si>
  <si>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</si>
  <si>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</si>
  <si>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</si>
  <si>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</si>
  <si>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</si>
  <si>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</si>
  <si>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</si>
  <si>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</si>
  <si>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</si>
  <si>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</si>
  <si>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</si>
  <si>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</si>
  <si>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</si>
  <si>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</si>
  <si>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</si>
  <si>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</si>
  <si>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</si>
  <si>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</si>
  <si>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</si>
  <si>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</si>
  <si>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</si>
  <si>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</si>
  <si>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</si>
  <si>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</si>
  <si>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</si>
  <si>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</si>
  <si>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</si>
  <si>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</si>
  <si>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</si>
  <si>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</si>
  <si>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</si>
  <si>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</si>
  <si>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</si>
  <si>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</si>
  <si>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</si>
  <si>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</si>
  <si>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</si>
  <si>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</si>
  <si>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INTU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</si>
  <si>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</si>
  <si>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</si>
  <si>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</si>
  <si>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</si>
  <si>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</si>
  <si>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</si>
  <si>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</si>
  <si>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</si>
  <si>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</si>
  <si>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</si>
  <si>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</si>
  <si>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</si>
  <si>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</si>
  <si>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</si>
  <si>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</si>
  <si>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</si>
  <si>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</si>
  <si>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</si>
  <si>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</si>
  <si>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</si>
  <si>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</si>
  <si>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</si>
  <si>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</si>
  <si>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</si>
  <si>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</si>
  <si>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</si>
  <si>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</si>
  <si>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</si>
  <si>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</si>
  <si>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</si>
  <si>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INTU owner-FCF component DCF: base case (millions, USD)</t>
  </si>
  <si>
    <t xml:space="preserve">INTU owner-FCF component DCF: bull case (millions, USD)</t>
  </si>
  <si>
    <t xml:space="preserve">INTU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</si>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</sst>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269.4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2036</v>
      </c>
      <c r="S2" s="0" t="n">
        <v>255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2993</v>
      </c>
      <c r="F3" s="0" t="n">
        <v>644</v>
      </c>
      <c r="G3" s="0" t="n">
        <v>21.5168727029736</v>
      </c>
      <c r="I3" s="0" t="n">
        <v>477</v>
      </c>
      <c r="J3" s="0" t="n">
        <v>15.937186769128</v>
      </c>
      <c r="K3" s="0" t="n">
        <v>1.45</v>
      </c>
      <c r="L3" s="0" t="n">
        <v>830</v>
      </c>
      <c r="M3" s="0" t="n">
        <v>262</v>
      </c>
      <c r="N3" s="0" t="n">
        <v>568</v>
      </c>
      <c r="O3" s="0" t="n">
        <v>2080</v>
      </c>
      <c r="S3" s="0" t="n">
        <v>413</v>
      </c>
      <c r="T3" s="0" t="n">
        <v>339</v>
      </c>
      <c r="U3" s="0" t="n">
        <v>113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3109</v>
      </c>
      <c r="F4" s="0" t="n">
        <v>683</v>
      </c>
      <c r="G4" s="0" t="n">
        <v>21.9684786104857</v>
      </c>
      <c r="I4" s="0" t="n">
        <v>447</v>
      </c>
      <c r="J4" s="0" t="n">
        <v>14.3776133805082</v>
      </c>
      <c r="K4" s="0" t="n">
        <v>1.39</v>
      </c>
      <c r="L4" s="0" t="n">
        <v>812</v>
      </c>
      <c r="M4" s="0" t="n">
        <v>131</v>
      </c>
      <c r="N4" s="0" t="n">
        <v>681</v>
      </c>
      <c r="O4" s="0" t="n">
        <v>2557</v>
      </c>
      <c r="P4" s="0" t="n">
        <v>4826</v>
      </c>
      <c r="Q4" s="0" t="n">
        <v>2269</v>
      </c>
      <c r="S4" s="0" t="n">
        <v>679</v>
      </c>
      <c r="T4" s="0" t="n">
        <v>330</v>
      </c>
      <c r="U4" s="0" t="n">
        <v>133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3403</v>
      </c>
      <c r="F5" s="0" t="n">
        <v>904</v>
      </c>
      <c r="G5" s="0" t="n">
        <v>26.5647957684396</v>
      </c>
      <c r="I5" s="0" t="n">
        <v>574</v>
      </c>
      <c r="J5" s="0" t="n">
        <v>16.8674698795181</v>
      </c>
      <c r="K5" s="0" t="n">
        <v>1.82</v>
      </c>
      <c r="L5" s="0" t="n">
        <v>998</v>
      </c>
      <c r="M5" s="0" t="n">
        <v>74</v>
      </c>
      <c r="N5" s="0" t="n">
        <v>924</v>
      </c>
      <c r="O5" s="0" t="n">
        <v>2821</v>
      </c>
      <c r="P5" s="0" t="n">
        <v>5198</v>
      </c>
      <c r="Q5" s="0" t="n">
        <v>2377</v>
      </c>
      <c r="R5" s="0" t="n">
        <v>998</v>
      </c>
      <c r="S5" s="0" t="n">
        <v>214</v>
      </c>
      <c r="T5" s="0" t="n">
        <v>325</v>
      </c>
      <c r="U5" s="0" t="n">
        <v>135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3449</v>
      </c>
      <c r="F6" s="0" t="n">
        <v>1082</v>
      </c>
      <c r="G6" s="0" t="n">
        <v>31.3714120034793</v>
      </c>
      <c r="I6" s="0" t="n">
        <v>634</v>
      </c>
      <c r="J6" s="0" t="n">
        <v>18.3821397506524</v>
      </c>
      <c r="K6" s="0" t="n">
        <v>2.06</v>
      </c>
      <c r="L6" s="0" t="n">
        <v>1013</v>
      </c>
      <c r="M6" s="0" t="n">
        <v>114</v>
      </c>
      <c r="N6" s="0" t="n">
        <v>899</v>
      </c>
      <c r="O6" s="0" t="n">
        <v>2616</v>
      </c>
      <c r="P6" s="0" t="n">
        <v>5110</v>
      </c>
      <c r="Q6" s="0" t="n">
        <v>2494</v>
      </c>
      <c r="R6" s="0" t="n">
        <v>999</v>
      </c>
      <c r="S6" s="0" t="n">
        <v>722</v>
      </c>
      <c r="T6" s="0" t="n">
        <v>317</v>
      </c>
      <c r="U6" s="0" t="n">
        <v>153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3808</v>
      </c>
      <c r="F7" s="0" t="n">
        <v>1168</v>
      </c>
      <c r="G7" s="0" t="n">
        <v>30.672268907563</v>
      </c>
      <c r="I7" s="0" t="n">
        <v>792</v>
      </c>
      <c r="J7" s="0" t="n">
        <v>20.7983193277311</v>
      </c>
      <c r="K7" s="0" t="n">
        <v>2.67</v>
      </c>
      <c r="L7" s="0" t="n">
        <v>1246</v>
      </c>
      <c r="M7" s="0" t="n">
        <v>135</v>
      </c>
      <c r="N7" s="0" t="n">
        <v>1111</v>
      </c>
      <c r="O7" s="0" t="n">
        <v>2744</v>
      </c>
      <c r="P7" s="0" t="n">
        <v>4684</v>
      </c>
      <c r="Q7" s="0" t="n">
        <v>1940</v>
      </c>
      <c r="R7" s="0" t="n">
        <v>499</v>
      </c>
      <c r="S7" s="0" t="n">
        <v>393</v>
      </c>
      <c r="T7" s="0" t="n">
        <v>305</v>
      </c>
      <c r="U7" s="0" t="n">
        <v>169</v>
      </c>
      <c r="V7" s="0" t="n">
        <v>0.6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3946</v>
      </c>
      <c r="F8" s="0" t="n">
        <v>1208</v>
      </c>
      <c r="G8" s="0" t="n">
        <v>30.613279270147</v>
      </c>
      <c r="I8" s="0" t="n">
        <v>858</v>
      </c>
      <c r="J8" s="0" t="n">
        <v>21.7435377597567</v>
      </c>
      <c r="K8" s="0" t="n">
        <v>2.89</v>
      </c>
      <c r="L8" s="0" t="n">
        <v>1366</v>
      </c>
      <c r="M8" s="0" t="n">
        <v>129</v>
      </c>
      <c r="N8" s="0" t="n">
        <v>1237</v>
      </c>
      <c r="O8" s="0" t="n">
        <v>3531</v>
      </c>
      <c r="P8" s="0" t="n">
        <v>5486</v>
      </c>
      <c r="Q8" s="0" t="n">
        <v>1955</v>
      </c>
      <c r="R8" s="0" t="n">
        <v>499</v>
      </c>
      <c r="S8" s="0" t="n">
        <v>1009</v>
      </c>
      <c r="T8" s="0" t="n">
        <v>303</v>
      </c>
      <c r="U8" s="0" t="n">
        <v>195</v>
      </c>
      <c r="V8" s="0" t="n">
        <v>0.68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4243</v>
      </c>
      <c r="F9" s="0" t="n">
        <v>1300</v>
      </c>
      <c r="G9" s="0" t="n">
        <v>30.6386990337026</v>
      </c>
      <c r="I9" s="0" t="n">
        <v>907</v>
      </c>
      <c r="J9" s="0" t="n">
        <v>21.376384633514</v>
      </c>
      <c r="K9" s="0" t="n">
        <v>3.18</v>
      </c>
      <c r="L9" s="0" t="n">
        <v>1446</v>
      </c>
      <c r="M9" s="0" t="n">
        <v>104</v>
      </c>
      <c r="N9" s="0" t="n">
        <v>1342</v>
      </c>
      <c r="O9" s="0" t="n">
        <v>3078</v>
      </c>
      <c r="P9" s="0" t="n">
        <v>5201</v>
      </c>
      <c r="Q9" s="0" t="n">
        <v>2123</v>
      </c>
      <c r="R9" s="0" t="n">
        <v>499</v>
      </c>
      <c r="S9" s="0" t="n">
        <v>849</v>
      </c>
      <c r="T9" s="0" t="n">
        <v>291</v>
      </c>
      <c r="U9" s="0" t="n">
        <v>204</v>
      </c>
      <c r="V9" s="0" t="n">
        <v>0.76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4192</v>
      </c>
      <c r="F10" s="0" t="n">
        <v>738</v>
      </c>
      <c r="G10" s="0" t="n">
        <v>17.6049618320611</v>
      </c>
      <c r="I10" s="0" t="n">
        <v>365</v>
      </c>
      <c r="J10" s="0" t="n">
        <v>8.70706106870229</v>
      </c>
      <c r="K10" s="0" t="n">
        <v>1.3</v>
      </c>
      <c r="L10" s="0" t="n">
        <v>1589</v>
      </c>
      <c r="M10" s="0" t="n">
        <v>142</v>
      </c>
      <c r="N10" s="0" t="n">
        <v>1447</v>
      </c>
      <c r="O10" s="0" t="n">
        <v>2332</v>
      </c>
      <c r="P10" s="0" t="n">
        <v>4968</v>
      </c>
      <c r="Q10" s="0" t="n">
        <v>2636</v>
      </c>
      <c r="R10" s="0" t="n">
        <v>500</v>
      </c>
      <c r="S10" s="0" t="n">
        <v>808</v>
      </c>
      <c r="T10" s="0" t="n">
        <v>286</v>
      </c>
      <c r="U10" s="0" t="n">
        <v>257</v>
      </c>
      <c r="V10" s="0" t="n">
        <v>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4694</v>
      </c>
      <c r="F11" s="0" t="n">
        <v>1242</v>
      </c>
      <c r="G11" s="0" t="n">
        <v>26.4593097571368</v>
      </c>
      <c r="I11" s="0" t="n">
        <v>979</v>
      </c>
      <c r="J11" s="0" t="n">
        <v>20.8564124414146</v>
      </c>
      <c r="K11" s="0" t="n">
        <v>3.73</v>
      </c>
      <c r="L11" s="0" t="n">
        <v>1460</v>
      </c>
      <c r="M11" s="0" t="n">
        <v>416</v>
      </c>
      <c r="N11" s="0" t="n">
        <v>1044</v>
      </c>
      <c r="O11" s="0" t="n">
        <v>1492</v>
      </c>
      <c r="P11" s="0" t="n">
        <v>4250</v>
      </c>
      <c r="Q11" s="0" t="n">
        <v>3089</v>
      </c>
      <c r="R11" s="0" t="n">
        <v>1000</v>
      </c>
      <c r="S11" s="0" t="n">
        <v>638</v>
      </c>
      <c r="T11" s="0" t="n">
        <v>265</v>
      </c>
      <c r="U11" s="0" t="n">
        <v>281</v>
      </c>
      <c r="V11" s="0" t="n">
        <v>1.2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5196</v>
      </c>
      <c r="F12" s="0" t="n">
        <v>1418</v>
      </c>
      <c r="G12" s="0" t="n">
        <v>27.2902232486528</v>
      </c>
      <c r="I12" s="0" t="n">
        <v>985</v>
      </c>
      <c r="J12" s="0" t="n">
        <v>18.9568899153195</v>
      </c>
      <c r="K12" s="0" t="n">
        <v>3.83</v>
      </c>
      <c r="L12" s="0" t="n">
        <v>1599</v>
      </c>
      <c r="M12" s="0" t="n">
        <v>102</v>
      </c>
      <c r="N12" s="0" t="n">
        <v>1497</v>
      </c>
      <c r="O12" s="0" t="n">
        <v>1699</v>
      </c>
      <c r="P12" s="0" t="n">
        <v>4068</v>
      </c>
      <c r="Q12" s="0" t="n">
        <v>2714</v>
      </c>
      <c r="R12" s="0" t="n">
        <v>488</v>
      </c>
      <c r="S12" s="0" t="n">
        <v>529</v>
      </c>
      <c r="T12" s="0" t="n">
        <v>261</v>
      </c>
      <c r="U12" s="0" t="n">
        <v>326</v>
      </c>
      <c r="V12" s="0" t="n">
        <v>1.36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6025</v>
      </c>
      <c r="F13" s="0" t="n">
        <v>1560</v>
      </c>
      <c r="G13" s="0" t="n">
        <v>25.8921161825726</v>
      </c>
      <c r="I13" s="0" t="n">
        <v>1329</v>
      </c>
      <c r="J13" s="0" t="n">
        <v>22.0580912863071</v>
      </c>
      <c r="K13" s="0" t="n">
        <v>5.18</v>
      </c>
      <c r="L13" s="0" t="n">
        <v>2112</v>
      </c>
      <c r="M13" s="0" t="n">
        <v>38</v>
      </c>
      <c r="N13" s="0" t="n">
        <v>2074</v>
      </c>
      <c r="O13" s="0" t="n">
        <v>2816</v>
      </c>
      <c r="P13" s="0" t="n">
        <v>5134</v>
      </c>
      <c r="Q13" s="0" t="n">
        <v>2318</v>
      </c>
      <c r="R13" s="0" t="n">
        <v>438</v>
      </c>
      <c r="S13" s="0" t="n">
        <v>1464</v>
      </c>
      <c r="T13" s="0" t="n">
        <v>261</v>
      </c>
      <c r="U13" s="0" t="n">
        <v>382</v>
      </c>
      <c r="V13" s="0" t="n">
        <v>1.56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6784</v>
      </c>
      <c r="F14" s="0" t="n">
        <v>1854</v>
      </c>
      <c r="G14" s="0" t="n">
        <v>27.3290094339623</v>
      </c>
      <c r="I14" s="0" t="n">
        <v>1557</v>
      </c>
      <c r="J14" s="0" t="n">
        <v>22.9510613207547</v>
      </c>
      <c r="K14" s="0" t="n">
        <v>5.99</v>
      </c>
      <c r="L14" s="0" t="n">
        <v>2324</v>
      </c>
      <c r="M14" s="0" t="n">
        <v>76</v>
      </c>
      <c r="N14" s="0" t="n">
        <v>2248</v>
      </c>
      <c r="O14" s="0" t="n">
        <v>3749</v>
      </c>
      <c r="P14" s="0" t="n">
        <v>6283</v>
      </c>
      <c r="Q14" s="0" t="n">
        <v>2534</v>
      </c>
      <c r="R14" s="0" t="n">
        <v>436</v>
      </c>
      <c r="S14" s="0" t="n">
        <v>2116</v>
      </c>
      <c r="T14" s="0" t="n">
        <v>264</v>
      </c>
      <c r="U14" s="0" t="n">
        <v>401</v>
      </c>
      <c r="V14" s="0" t="n">
        <v>1.88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7679</v>
      </c>
      <c r="F15" s="0" t="n">
        <v>2176</v>
      </c>
      <c r="G15" s="0" t="n">
        <v>28.3370230498763</v>
      </c>
      <c r="I15" s="0" t="n">
        <v>1826</v>
      </c>
      <c r="J15" s="0" t="n">
        <v>23.7791379085818</v>
      </c>
      <c r="K15" s="0" t="n">
        <v>6.99</v>
      </c>
      <c r="L15" s="0" t="n">
        <v>2414</v>
      </c>
      <c r="M15" s="0" t="n">
        <v>59</v>
      </c>
      <c r="N15" s="0" t="n">
        <v>2355</v>
      </c>
      <c r="O15" s="0" t="n">
        <v>5106</v>
      </c>
      <c r="P15" s="0" t="n">
        <v>10931</v>
      </c>
      <c r="Q15" s="0" t="n">
        <v>5825</v>
      </c>
      <c r="R15" s="0" t="n">
        <v>3369</v>
      </c>
      <c r="S15" s="0" t="n">
        <v>6442</v>
      </c>
      <c r="T15" s="0" t="n">
        <v>264</v>
      </c>
      <c r="U15" s="0" t="n">
        <v>435</v>
      </c>
      <c r="V15" s="0" t="n">
        <v>2.12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9633</v>
      </c>
      <c r="F16" s="0" t="n">
        <v>2500</v>
      </c>
      <c r="G16" s="0" t="n">
        <v>25.9524551022527</v>
      </c>
      <c r="I16" s="0" t="n">
        <v>2062</v>
      </c>
      <c r="J16" s="0" t="n">
        <v>21.405584968338</v>
      </c>
      <c r="K16" s="0" t="n">
        <v>7.65</v>
      </c>
      <c r="L16" s="0" t="n">
        <v>3250</v>
      </c>
      <c r="M16" s="0" t="n">
        <v>53</v>
      </c>
      <c r="N16" s="0" t="n">
        <v>3197</v>
      </c>
      <c r="O16" s="0" t="n">
        <v>9869</v>
      </c>
      <c r="P16" s="0" t="n">
        <v>15516</v>
      </c>
      <c r="Q16" s="0" t="n">
        <v>5647</v>
      </c>
      <c r="R16" s="0" t="n">
        <v>2034</v>
      </c>
      <c r="S16" s="0" t="n">
        <v>2562</v>
      </c>
      <c r="T16" s="0" t="n">
        <v>273.235</v>
      </c>
      <c r="U16" s="0" t="n">
        <v>753</v>
      </c>
      <c r="V16" s="0" t="n">
        <v>2.36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12726</v>
      </c>
      <c r="F17" s="0" t="n">
        <v>2571</v>
      </c>
      <c r="G17" s="0" t="n">
        <v>20.2027345591702</v>
      </c>
      <c r="I17" s="0" t="n">
        <v>2066</v>
      </c>
      <c r="J17" s="0" t="n">
        <v>16.2344805909162</v>
      </c>
      <c r="K17" s="0" t="n">
        <v>7.38</v>
      </c>
      <c r="L17" s="0" t="n">
        <v>3889</v>
      </c>
      <c r="M17" s="0" t="n">
        <v>157</v>
      </c>
      <c r="N17" s="0" t="n">
        <v>3732</v>
      </c>
      <c r="O17" s="0" t="n">
        <v>16441</v>
      </c>
      <c r="P17" s="0" t="n">
        <v>27734</v>
      </c>
      <c r="Q17" s="0" t="n">
        <v>11293</v>
      </c>
      <c r="R17" s="0" t="n">
        <v>7413</v>
      </c>
      <c r="S17" s="0" t="n">
        <v>2796</v>
      </c>
      <c r="T17" s="0" t="n">
        <v>284</v>
      </c>
      <c r="U17" s="0" t="n">
        <v>1308</v>
      </c>
      <c r="V17" s="0" t="n">
        <v>2.72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14368</v>
      </c>
      <c r="F18" s="0" t="n">
        <v>3141</v>
      </c>
      <c r="G18" s="0" t="n">
        <v>21.8610801781737</v>
      </c>
      <c r="I18" s="0" t="n">
        <v>2384</v>
      </c>
      <c r="J18" s="0" t="n">
        <v>16.5924276169265</v>
      </c>
      <c r="K18" s="0" t="n">
        <v>8.49</v>
      </c>
      <c r="L18" s="0" t="n">
        <v>5046</v>
      </c>
      <c r="M18" s="0" t="n">
        <v>210</v>
      </c>
      <c r="N18" s="0" t="n">
        <v>4836</v>
      </c>
      <c r="O18" s="0" t="n">
        <v>17269</v>
      </c>
      <c r="P18" s="0" t="n">
        <v>27780</v>
      </c>
      <c r="Q18" s="0" t="n">
        <v>10511</v>
      </c>
      <c r="R18" s="0" t="n">
        <v>6120</v>
      </c>
      <c r="S18" s="0" t="n">
        <v>2848</v>
      </c>
      <c r="T18" s="0" t="n">
        <v>283</v>
      </c>
      <c r="U18" s="0" t="n">
        <v>1712</v>
      </c>
      <c r="V18" s="0" t="n">
        <v>3.12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16285</v>
      </c>
      <c r="F19" s="0" t="n">
        <v>3630</v>
      </c>
      <c r="G19" s="0" t="n">
        <v>22.2904513355849</v>
      </c>
      <c r="I19" s="0" t="n">
        <v>2963</v>
      </c>
      <c r="J19" s="0" t="n">
        <v>18.1946576604237</v>
      </c>
      <c r="K19" s="0" t="n">
        <v>10.58</v>
      </c>
      <c r="L19" s="0" t="n">
        <v>4884</v>
      </c>
      <c r="M19" s="0" t="n">
        <v>191</v>
      </c>
      <c r="N19" s="0" t="n">
        <v>4693</v>
      </c>
      <c r="O19" s="0" t="n">
        <v>18436</v>
      </c>
      <c r="P19" s="0" t="n">
        <v>32132</v>
      </c>
      <c r="Q19" s="0" t="n">
        <v>13696</v>
      </c>
      <c r="R19" s="0" t="n">
        <v>6537</v>
      </c>
      <c r="S19" s="0" t="n">
        <v>3609</v>
      </c>
      <c r="T19" s="0" t="n">
        <v>284</v>
      </c>
      <c r="U19" s="0" t="n">
        <v>1940</v>
      </c>
      <c r="V19" s="0" t="n">
        <v>3.6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18831</v>
      </c>
      <c r="F20" s="0" t="n">
        <v>4923</v>
      </c>
      <c r="G20" s="0" t="n">
        <v>26.1430619722798</v>
      </c>
      <c r="I20" s="0" t="n">
        <v>3869</v>
      </c>
      <c r="J20" s="0" t="n">
        <v>20.5459083426265</v>
      </c>
      <c r="K20" s="0" t="n">
        <v>13.82</v>
      </c>
      <c r="L20" s="0" t="n">
        <v>6207</v>
      </c>
      <c r="M20" s="0" t="n">
        <v>84</v>
      </c>
      <c r="N20" s="0" t="n">
        <v>6123</v>
      </c>
      <c r="O20" s="0" t="n">
        <v>19710</v>
      </c>
      <c r="P20" s="0" t="n">
        <v>36958</v>
      </c>
      <c r="Q20" s="0" t="n">
        <v>17248</v>
      </c>
      <c r="R20" s="0" t="n">
        <v>5973</v>
      </c>
      <c r="S20" s="0" t="n">
        <v>2884</v>
      </c>
      <c r="T20" s="0" t="n">
        <v>283</v>
      </c>
      <c r="U20" s="0" t="n">
        <v>1968</v>
      </c>
      <c r="V20" s="0" t="n">
        <v>4.16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21448</v>
      </c>
      <c r="F21" s="0" t="n">
        <v>5884</v>
      </c>
      <c r="G21" s="0" t="n">
        <v>27.4337933606863</v>
      </c>
      <c r="I21" s="0" t="n">
        <v>4566</v>
      </c>
      <c r="J21" s="0" t="n">
        <v>21.2886982469228</v>
      </c>
      <c r="K21" s="0" t="n">
        <v>16.53</v>
      </c>
      <c r="L21" s="0" t="n">
        <v>8838</v>
      </c>
      <c r="M21" s="0" t="n">
        <v>175</v>
      </c>
      <c r="N21" s="0" t="n">
        <v>8663</v>
      </c>
      <c r="O21" s="0" t="n">
        <v>18992</v>
      </c>
      <c r="P21" s="0" t="n">
        <v>36786</v>
      </c>
      <c r="Q21" s="0" t="n">
        <v>17794</v>
      </c>
      <c r="R21" s="0" t="n">
        <v>8918</v>
      </c>
      <c r="S21" s="0" t="n">
        <v>4705</v>
      </c>
      <c r="T21" s="0" t="n">
        <v>277</v>
      </c>
      <c r="U21" s="0" t="n">
        <v>2056</v>
      </c>
      <c r="V21" s="0" t="n">
        <v>4.8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269.4</v>
      </c>
    </row>
    <row r="3" customFormat="false" ht="15" hidden="false" customHeight="false" outlineLevel="0" collapsed="false">
      <c r="A3" s="0" t="s">
        <v>86</v>
      </c>
      <c r="B3" s="3" t="n">
        <v>269.4</v>
      </c>
    </row>
    <row r="4" customFormat="false" ht="15" hidden="false" customHeight="false" outlineLevel="0" collapsed="false">
      <c r="A4" s="0" t="s">
        <v>87</v>
      </c>
      <c r="B4" s="3" t="n">
        <v>469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21448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8</v>
      </c>
      <c r="D13" s="3" t="n">
        <v>5</v>
      </c>
      <c r="E13" s="3" t="n">
        <v>3.5</v>
      </c>
      <c r="F13" s="3" t="n">
        <v>2.5</v>
      </c>
      <c r="G13" s="3" t="n">
        <v>2</v>
      </c>
      <c r="H13" s="3" t="n">
        <v>2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43</v>
      </c>
      <c r="D14" s="3" t="n">
        <v>42</v>
      </c>
      <c r="E14" s="3" t="n">
        <v>41</v>
      </c>
      <c r="F14" s="3" t="n">
        <v>40</v>
      </c>
      <c r="G14" s="3" t="n">
        <v>39</v>
      </c>
      <c r="H14" s="3" t="n">
        <v>38.5</v>
      </c>
      <c r="I14" s="3" t="n">
        <v>38</v>
      </c>
      <c r="J14" s="3" t="n">
        <v>38</v>
      </c>
      <c r="K14" s="3" t="n">
        <v>38</v>
      </c>
      <c r="L14" s="3" t="n">
        <v>38</v>
      </c>
    </row>
    <row r="15" customFormat="false" ht="15" hidden="false" customHeight="false" outlineLevel="0" collapsed="false">
      <c r="A15" s="0" t="s">
        <v>108</v>
      </c>
      <c r="C15" s="3" t="n">
        <v>11.5</v>
      </c>
      <c r="D15" s="3" t="n">
        <v>11.5</v>
      </c>
      <c r="E15" s="3" t="n">
        <v>11.3</v>
      </c>
      <c r="F15" s="3" t="n">
        <v>11</v>
      </c>
      <c r="G15" s="3" t="n">
        <v>11</v>
      </c>
      <c r="H15" s="3" t="n">
        <v>10.8</v>
      </c>
      <c r="I15" s="3" t="n">
        <v>10.6</v>
      </c>
      <c r="J15" s="3" t="n">
        <v>10.4</v>
      </c>
      <c r="K15" s="3" t="n">
        <v>10.2</v>
      </c>
      <c r="L15" s="3" t="n">
        <v>10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2.9</v>
      </c>
      <c r="D17" s="3" t="n">
        <v>2.7</v>
      </c>
      <c r="E17" s="3" t="n">
        <v>2.4</v>
      </c>
      <c r="F17" s="3" t="n">
        <v>2.1</v>
      </c>
      <c r="G17" s="3" t="n">
        <v>1.8</v>
      </c>
      <c r="H17" s="3" t="n">
        <v>1.6</v>
      </c>
      <c r="I17" s="3" t="n">
        <v>1.5</v>
      </c>
      <c r="J17" s="3" t="n">
        <v>1.4</v>
      </c>
      <c r="K17" s="3" t="n">
        <v>1.4</v>
      </c>
      <c r="L17" s="3" t="n">
        <v>1.4</v>
      </c>
    </row>
    <row r="18" customFormat="false" ht="15" hidden="false" customHeight="false" outlineLevel="0" collapsed="false">
      <c r="A18" s="0" t="s">
        <v>111</v>
      </c>
      <c r="C18" s="3" t="n">
        <v>1.2</v>
      </c>
      <c r="D18" s="3" t="n">
        <v>1.2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22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9.5</v>
      </c>
      <c r="D27" s="3" t="n">
        <v>9</v>
      </c>
      <c r="E27" s="3" t="n">
        <v>8.5</v>
      </c>
      <c r="F27" s="3" t="n">
        <v>8</v>
      </c>
      <c r="G27" s="3" t="n">
        <v>7.5</v>
      </c>
      <c r="H27" s="3" t="n">
        <v>6.5</v>
      </c>
      <c r="I27" s="3" t="n">
        <v>6</v>
      </c>
      <c r="J27" s="3" t="n">
        <v>5.5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107</v>
      </c>
      <c r="C28" s="3" t="n">
        <v>44</v>
      </c>
      <c r="D28" s="3" t="n">
        <v>44.5</v>
      </c>
      <c r="E28" s="3" t="n">
        <v>45</v>
      </c>
      <c r="F28" s="3" t="n">
        <v>45.5</v>
      </c>
      <c r="G28" s="3" t="n">
        <v>46</v>
      </c>
      <c r="H28" s="3" t="n">
        <v>46</v>
      </c>
      <c r="I28" s="3" t="n">
        <v>46</v>
      </c>
      <c r="J28" s="3" t="n">
        <v>46</v>
      </c>
      <c r="K28" s="3" t="n">
        <v>46</v>
      </c>
      <c r="L28" s="3" t="n">
        <v>46</v>
      </c>
    </row>
    <row r="29" customFormat="false" ht="15" hidden="false" customHeight="false" outlineLevel="0" collapsed="false">
      <c r="A29" s="0" t="s">
        <v>108</v>
      </c>
      <c r="C29" s="3" t="n">
        <v>11.2</v>
      </c>
      <c r="D29" s="3" t="n">
        <v>10.9</v>
      </c>
      <c r="E29" s="3" t="n">
        <v>10.6</v>
      </c>
      <c r="F29" s="3" t="n">
        <v>10.3</v>
      </c>
      <c r="G29" s="3" t="n">
        <v>10</v>
      </c>
      <c r="H29" s="3" t="n">
        <v>9.7</v>
      </c>
      <c r="I29" s="3" t="n">
        <v>9.4</v>
      </c>
      <c r="J29" s="3" t="n">
        <v>9.1</v>
      </c>
      <c r="K29" s="3" t="n">
        <v>8.8</v>
      </c>
      <c r="L29" s="3" t="n">
        <v>8.5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2.9</v>
      </c>
      <c r="D31" s="3" t="n">
        <v>2.7</v>
      </c>
      <c r="E31" s="3" t="n">
        <v>2.4</v>
      </c>
      <c r="F31" s="3" t="n">
        <v>2.1</v>
      </c>
      <c r="G31" s="3" t="n">
        <v>1.8</v>
      </c>
      <c r="H31" s="3" t="n">
        <v>1.6</v>
      </c>
      <c r="I31" s="3" t="n">
        <v>1.5</v>
      </c>
      <c r="J31" s="3" t="n">
        <v>1.4</v>
      </c>
      <c r="K31" s="3" t="n">
        <v>1.4</v>
      </c>
      <c r="L31" s="3" t="n">
        <v>1.4</v>
      </c>
    </row>
    <row r="32" customFormat="false" ht="15" hidden="false" customHeight="false" outlineLevel="0" collapsed="false">
      <c r="A32" s="0" t="s">
        <v>111</v>
      </c>
      <c r="C32" s="3" t="n">
        <v>1.1</v>
      </c>
      <c r="D32" s="3" t="n">
        <v>1.1</v>
      </c>
      <c r="E32" s="3" t="n">
        <v>1.1</v>
      </c>
      <c r="F32" s="3" t="n">
        <v>1.1</v>
      </c>
      <c r="G32" s="3" t="n">
        <v>1.1</v>
      </c>
      <c r="H32" s="3" t="n">
        <v>1.1</v>
      </c>
      <c r="I32" s="3" t="n">
        <v>1.1</v>
      </c>
      <c r="J32" s="3" t="n">
        <v>1.1</v>
      </c>
      <c r="K32" s="3" t="n">
        <v>1.1</v>
      </c>
      <c r="L32" s="3" t="n">
        <v>1.1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22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2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11</v>
      </c>
      <c r="D41" s="3" t="n">
        <v>11</v>
      </c>
      <c r="E41" s="3" t="n">
        <v>10.5</v>
      </c>
      <c r="F41" s="3" t="n">
        <v>10</v>
      </c>
      <c r="G41" s="3" t="n">
        <v>9.5</v>
      </c>
      <c r="H41" s="3" t="n">
        <v>8.5</v>
      </c>
      <c r="I41" s="3" t="n">
        <v>7.5</v>
      </c>
      <c r="J41" s="3" t="n">
        <v>6.5</v>
      </c>
      <c r="K41" s="3" t="n">
        <v>5.5</v>
      </c>
      <c r="L41" s="3" t="n">
        <v>4.5</v>
      </c>
    </row>
    <row r="42" customFormat="false" ht="15" hidden="false" customHeight="false" outlineLevel="0" collapsed="false">
      <c r="A42" s="0" t="s">
        <v>107</v>
      </c>
      <c r="C42" s="3" t="n">
        <v>44.5</v>
      </c>
      <c r="D42" s="3" t="n">
        <v>45.5</v>
      </c>
      <c r="E42" s="3" t="n">
        <v>46.5</v>
      </c>
      <c r="F42" s="3" t="n">
        <v>47</v>
      </c>
      <c r="G42" s="3" t="n">
        <v>47.5</v>
      </c>
      <c r="H42" s="3" t="n">
        <v>48</v>
      </c>
      <c r="I42" s="3" t="n">
        <v>48</v>
      </c>
      <c r="J42" s="3" t="n">
        <v>48</v>
      </c>
      <c r="K42" s="3" t="n">
        <v>48</v>
      </c>
      <c r="L42" s="3" t="n">
        <v>48</v>
      </c>
    </row>
    <row r="43" customFormat="false" ht="15" hidden="false" customHeight="false" outlineLevel="0" collapsed="false">
      <c r="A43" s="0" t="s">
        <v>108</v>
      </c>
      <c r="C43" s="3" t="n">
        <v>11</v>
      </c>
      <c r="D43" s="3" t="n">
        <v>10.5</v>
      </c>
      <c r="E43" s="3" t="n">
        <v>10</v>
      </c>
      <c r="F43" s="3" t="n">
        <v>9.5</v>
      </c>
      <c r="G43" s="3" t="n">
        <v>9</v>
      </c>
      <c r="H43" s="3" t="n">
        <v>8.5</v>
      </c>
      <c r="I43" s="3" t="n">
        <v>8.2</v>
      </c>
      <c r="J43" s="3" t="n">
        <v>8</v>
      </c>
      <c r="K43" s="3" t="n">
        <v>7.8</v>
      </c>
      <c r="L43" s="3" t="n">
        <v>7.5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2.9</v>
      </c>
      <c r="D45" s="3" t="n">
        <v>2.7</v>
      </c>
      <c r="E45" s="3" t="n">
        <v>2.4</v>
      </c>
      <c r="F45" s="3" t="n">
        <v>2.1</v>
      </c>
      <c r="G45" s="3" t="n">
        <v>1.8</v>
      </c>
      <c r="H45" s="3" t="n">
        <v>1.6</v>
      </c>
      <c r="I45" s="3" t="n">
        <v>1.5</v>
      </c>
      <c r="J45" s="3" t="n">
        <v>1.4</v>
      </c>
      <c r="K45" s="3" t="n">
        <v>1.4</v>
      </c>
      <c r="L45" s="3" t="n">
        <v>1.4</v>
      </c>
    </row>
    <row r="46" customFormat="false" ht="15" hidden="false" customHeight="false" outlineLevel="0" collapsed="false">
      <c r="A46" s="0" t="s">
        <v>111</v>
      </c>
      <c r="C46" s="3" t="n">
        <v>1.1</v>
      </c>
      <c r="D46" s="3" t="n">
        <v>1.1</v>
      </c>
      <c r="E46" s="3" t="n">
        <v>1.1</v>
      </c>
      <c r="F46" s="3" t="n">
        <v>1.1</v>
      </c>
      <c r="G46" s="3" t="n">
        <v>1.1</v>
      </c>
      <c r="H46" s="3" t="n">
        <v>1.1</v>
      </c>
      <c r="I46" s="3" t="n">
        <v>1.1</v>
      </c>
      <c r="J46" s="3" t="n">
        <v>1.1</v>
      </c>
      <c r="K46" s="3" t="n">
        <v>1.1</v>
      </c>
      <c r="L46" s="3" t="n">
        <v>1.1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22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3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8</v>
      </c>
      <c r="D5" s="4" t="n">
        <f aca="false">Assumptions!D13</f>
        <v>5</v>
      </c>
      <c r="E5" s="4" t="n">
        <f aca="false">Assumptions!E13</f>
        <v>3.5</v>
      </c>
      <c r="F5" s="4" t="n">
        <f aca="false">Assumptions!F13</f>
        <v>2.5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21448</v>
      </c>
      <c r="C6" s="0" t="n">
        <f aca="false">B6*(1+C5/100)</f>
        <v>23163.84</v>
      </c>
      <c r="D6" s="0" t="n">
        <f aca="false">C6*(1+D5/100)</f>
        <v>24322.032</v>
      </c>
      <c r="E6" s="0" t="n">
        <f aca="false">D6*(1+E5/100)</f>
        <v>25173.30312</v>
      </c>
      <c r="F6" s="0" t="n">
        <f aca="false">E6*(1+F5/100)</f>
        <v>25802.635698</v>
      </c>
      <c r="G6" s="0" t="n">
        <f aca="false">F6*(1+G5/100)</f>
        <v>26318.68841196</v>
      </c>
      <c r="H6" s="0" t="n">
        <f aca="false">G6*(1+H5/100)</f>
        <v>26845.0621801992</v>
      </c>
      <c r="I6" s="0" t="n">
        <f aca="false">H6*(1+I5/100)</f>
        <v>27247.7381129022</v>
      </c>
      <c r="J6" s="0" t="n">
        <f aca="false">I6*(1+J5/100)</f>
        <v>27656.4541845957</v>
      </c>
      <c r="K6" s="0" t="n">
        <f aca="false">J6*(1+K5/100)</f>
        <v>28071.3009973647</v>
      </c>
      <c r="L6" s="0" t="n">
        <f aca="false">K6*(1+L5/100)</f>
        <v>28492.3705123251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43</v>
      </c>
      <c r="D7" s="4" t="n">
        <f aca="false">Assumptions!D14</f>
        <v>42</v>
      </c>
      <c r="E7" s="4" t="n">
        <f aca="false">Assumptions!E14</f>
        <v>41</v>
      </c>
      <c r="F7" s="4" t="n">
        <f aca="false">Assumptions!F14</f>
        <v>40</v>
      </c>
      <c r="G7" s="4" t="n">
        <f aca="false">Assumptions!G14</f>
        <v>39</v>
      </c>
      <c r="H7" s="4" t="n">
        <f aca="false">Assumptions!H14</f>
        <v>38.5</v>
      </c>
      <c r="I7" s="4" t="n">
        <f aca="false">Assumptions!I14</f>
        <v>38</v>
      </c>
      <c r="J7" s="4" t="n">
        <f aca="false">Assumptions!J14</f>
        <v>38</v>
      </c>
      <c r="K7" s="4" t="n">
        <f aca="false">Assumptions!K14</f>
        <v>38</v>
      </c>
      <c r="L7" s="4" t="n">
        <f aca="false">Assumptions!L14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9960.4512</v>
      </c>
      <c r="D8" s="0" t="n">
        <f aca="false">D6*D7/100</f>
        <v>10215.25344</v>
      </c>
      <c r="E8" s="0" t="n">
        <f aca="false">E6*E7/100</f>
        <v>10321.0542792</v>
      </c>
      <c r="F8" s="0" t="n">
        <f aca="false">F6*F7/100</f>
        <v>10321.0542792</v>
      </c>
      <c r="G8" s="0" t="n">
        <f aca="false">G6*G7/100</f>
        <v>10264.2884806644</v>
      </c>
      <c r="H8" s="0" t="n">
        <f aca="false">H6*H7/100</f>
        <v>10335.3489393767</v>
      </c>
      <c r="I8" s="0" t="n">
        <f aca="false">I6*I7/100</f>
        <v>10354.1404829028</v>
      </c>
      <c r="J8" s="0" t="n">
        <f aca="false">J6*J7/100</f>
        <v>10509.4525901464</v>
      </c>
      <c r="K8" s="0" t="n">
        <f aca="false">K6*K7/100</f>
        <v>10667.0943789986</v>
      </c>
      <c r="L8" s="0" t="n">
        <f aca="false">L6*L7/100</f>
        <v>10827.1007946835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11.5</v>
      </c>
      <c r="D9" s="4" t="n">
        <f aca="false">Assumptions!D15</f>
        <v>11.5</v>
      </c>
      <c r="E9" s="4" t="n">
        <f aca="false">Assumptions!E15</f>
        <v>11.3</v>
      </c>
      <c r="F9" s="4" t="n">
        <f aca="false">Assumptions!F15</f>
        <v>11</v>
      </c>
      <c r="G9" s="4" t="n">
        <f aca="false">Assumptions!G15</f>
        <v>11</v>
      </c>
      <c r="H9" s="4" t="n">
        <f aca="false">Assumptions!H15</f>
        <v>10.8</v>
      </c>
      <c r="I9" s="4" t="n">
        <f aca="false">Assumptions!I15</f>
        <v>10.6</v>
      </c>
      <c r="J9" s="4" t="n">
        <f aca="false">Assumptions!J15</f>
        <v>10.4</v>
      </c>
      <c r="K9" s="4" t="n">
        <f aca="false">Assumptions!K15</f>
        <v>10.2</v>
      </c>
      <c r="L9" s="4" t="n">
        <f aca="false">Assumptions!L15</f>
        <v>10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-2663.8416</v>
      </c>
      <c r="D10" s="0" t="n">
        <f aca="false">-D6*D9/100</f>
        <v>-2797.03368</v>
      </c>
      <c r="E10" s="0" t="n">
        <f aca="false">-E6*E9/100</f>
        <v>-2844.58325256</v>
      </c>
      <c r="F10" s="0" t="n">
        <f aca="false">-F6*F9/100</f>
        <v>-2838.28992678</v>
      </c>
      <c r="G10" s="0" t="n">
        <f aca="false">-G6*G9/100</f>
        <v>-2895.0557253156</v>
      </c>
      <c r="H10" s="0" t="n">
        <f aca="false">-H6*H9/100</f>
        <v>-2899.26671546151</v>
      </c>
      <c r="I10" s="0" t="n">
        <f aca="false">-I6*I9/100</f>
        <v>-2888.26023996763</v>
      </c>
      <c r="J10" s="0" t="n">
        <f aca="false">-J6*J9/100</f>
        <v>-2876.27123519796</v>
      </c>
      <c r="K10" s="0" t="n">
        <f aca="false">-K6*K9/100</f>
        <v>-2863.27270173119</v>
      </c>
      <c r="L10" s="0" t="n">
        <f aca="false">-L6*L9/100</f>
        <v>-2849.23705123251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7296.6096</v>
      </c>
      <c r="D11" s="0" t="n">
        <f aca="false">D8+D10+D24</f>
        <v>7418.21976</v>
      </c>
      <c r="E11" s="0" t="n">
        <f aca="false">E8+E10+E24</f>
        <v>7476.47102664</v>
      </c>
      <c r="F11" s="0" t="n">
        <f aca="false">F8+F10+F24</f>
        <v>7482.76435242</v>
      </c>
      <c r="G11" s="0" t="n">
        <f aca="false">G8+G10+G24</f>
        <v>7369.2327553488</v>
      </c>
      <c r="H11" s="0" t="n">
        <f aca="false">H8+H10+H24</f>
        <v>7436.08222391518</v>
      </c>
      <c r="I11" s="0" t="n">
        <f aca="false">I8+I10+I24</f>
        <v>7465.8802429352</v>
      </c>
      <c r="J11" s="0" t="n">
        <f aca="false">J8+J10+J24</f>
        <v>7633.18135494842</v>
      </c>
      <c r="K11" s="0" t="n">
        <f aca="false">K8+K10+K24</f>
        <v>7803.82167726737</v>
      </c>
      <c r="L11" s="0" t="n">
        <f aca="false">L8+L10+L24</f>
        <v>7977.86374345103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-671.75136</v>
      </c>
      <c r="D12" s="4" t="n">
        <f aca="false">-D6*Assumptions!D17/100</f>
        <v>-656.694864</v>
      </c>
      <c r="E12" s="4" t="n">
        <f aca="false">-E6*Assumptions!E17/100</f>
        <v>-604.15927488</v>
      </c>
      <c r="F12" s="4" t="n">
        <f aca="false">-F6*Assumptions!F17/100</f>
        <v>-541.855349658</v>
      </c>
      <c r="G12" s="4" t="n">
        <f aca="false">-G6*Assumptions!G17/100</f>
        <v>-473.73639141528</v>
      </c>
      <c r="H12" s="4" t="n">
        <f aca="false">-H6*Assumptions!H17/100</f>
        <v>-429.520994883187</v>
      </c>
      <c r="I12" s="4" t="n">
        <f aca="false">-I6*Assumptions!I17/100</f>
        <v>-408.716071693533</v>
      </c>
      <c r="J12" s="4" t="n">
        <f aca="false">-J6*Assumptions!J17/100</f>
        <v>-387.19035858434</v>
      </c>
      <c r="K12" s="4" t="n">
        <f aca="false">-K6*Assumptions!K17/100</f>
        <v>-392.998213963105</v>
      </c>
      <c r="L12" s="4" t="n">
        <f aca="false">-L6*Assumptions!L17/100</f>
        <v>-398.893187172552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6624.85824</v>
      </c>
      <c r="D13" s="0" t="n">
        <f aca="false">D11+D12</f>
        <v>6761.524896</v>
      </c>
      <c r="E13" s="0" t="n">
        <f aca="false">E11+E12</f>
        <v>6872.31175176</v>
      </c>
      <c r="F13" s="0" t="n">
        <f aca="false">F11+F12</f>
        <v>6940.909002762</v>
      </c>
      <c r="G13" s="0" t="n">
        <f aca="false">G11+G12</f>
        <v>6895.49636393352</v>
      </c>
      <c r="H13" s="0" t="n">
        <f aca="false">H11+H12</f>
        <v>7006.56122903199</v>
      </c>
      <c r="I13" s="0" t="n">
        <f aca="false">I11+I12</f>
        <v>7057.16417124167</v>
      </c>
      <c r="J13" s="0" t="n">
        <f aca="false">J11+J12</f>
        <v>7245.99099636408</v>
      </c>
      <c r="K13" s="0" t="n">
        <f aca="false">K11+K12</f>
        <v>7410.82346330427</v>
      </c>
      <c r="L13" s="0" t="n">
        <f aca="false">L11+L12</f>
        <v>7578.97055627848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22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5498.6323392</v>
      </c>
      <c r="D15" s="0" t="n">
        <f aca="false">D13-MAX(0,D13)*D14/100</f>
        <v>5273.98941888</v>
      </c>
      <c r="E15" s="0" t="n">
        <f aca="false">E13-MAX(0,E13)*E14/100</f>
        <v>5222.9569313376</v>
      </c>
      <c r="F15" s="0" t="n">
        <f aca="false">F13-MAX(0,F13)*F14/100</f>
        <v>5275.09084209912</v>
      </c>
      <c r="G15" s="0" t="n">
        <f aca="false">G13-MAX(0,G13)*G14/100</f>
        <v>5240.57723658947</v>
      </c>
      <c r="H15" s="0" t="n">
        <f aca="false">H13-MAX(0,H13)*H14/100</f>
        <v>5324.98653406431</v>
      </c>
      <c r="I15" s="0" t="n">
        <f aca="false">I13-MAX(0,I13)*I14/100</f>
        <v>5363.44477014367</v>
      </c>
      <c r="J15" s="0" t="n">
        <f aca="false">J13-MAX(0,J13)*J14/100</f>
        <v>5506.9531572367</v>
      </c>
      <c r="K15" s="0" t="n">
        <f aca="false">K13-MAX(0,K13)*K14/100</f>
        <v>5632.22583211125</v>
      </c>
      <c r="L15" s="0" t="n">
        <f aca="false">L13-MAX(0,L13)*L14/100</f>
        <v>5760.01762277164</v>
      </c>
    </row>
    <row r="16" customFormat="false" ht="15" hidden="false" customHeight="false" outlineLevel="0" collapsed="false">
      <c r="A16" s="0" t="s">
        <v>128</v>
      </c>
      <c r="C16" s="0" t="n">
        <f aca="false">-C12</f>
        <v>671.75136</v>
      </c>
      <c r="D16" s="0" t="n">
        <f aca="false">-D12</f>
        <v>656.694864</v>
      </c>
      <c r="E16" s="0" t="n">
        <f aca="false">-E12</f>
        <v>604.15927488</v>
      </c>
      <c r="F16" s="0" t="n">
        <f aca="false">-F12</f>
        <v>541.855349658</v>
      </c>
      <c r="G16" s="0" t="n">
        <f aca="false">-G12</f>
        <v>473.73639141528</v>
      </c>
      <c r="H16" s="0" t="n">
        <f aca="false">-H12</f>
        <v>429.520994883187</v>
      </c>
      <c r="I16" s="0" t="n">
        <f aca="false">-I12</f>
        <v>408.716071693533</v>
      </c>
      <c r="J16" s="0" t="n">
        <f aca="false">-J12</f>
        <v>387.19035858434</v>
      </c>
      <c r="K16" s="0" t="n">
        <f aca="false">-K12</f>
        <v>392.998213963105</v>
      </c>
      <c r="L16" s="0" t="n">
        <f aca="false">-L12</f>
        <v>398.893187172552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-277.96608</v>
      </c>
      <c r="D17" s="4" t="n">
        <f aca="false">-D6*Assumptions!D18/100</f>
        <v>-291.864384</v>
      </c>
      <c r="E17" s="4" t="n">
        <f aca="false">-E6*Assumptions!E18/100</f>
        <v>-302.07963744</v>
      </c>
      <c r="F17" s="4" t="n">
        <f aca="false">-F6*Assumptions!F18/100</f>
        <v>-309.631628376</v>
      </c>
      <c r="G17" s="4" t="n">
        <f aca="false">-G6*Assumptions!G18/100</f>
        <v>-315.82426094352</v>
      </c>
      <c r="H17" s="4" t="n">
        <f aca="false">-H6*Assumptions!H18/100</f>
        <v>-322.14074616239</v>
      </c>
      <c r="I17" s="4" t="n">
        <f aca="false">-I6*Assumptions!I18/100</f>
        <v>-326.972857354826</v>
      </c>
      <c r="J17" s="4" t="n">
        <f aca="false">-J6*Assumptions!J18/100</f>
        <v>-331.877450215149</v>
      </c>
      <c r="K17" s="4" t="n">
        <f aca="false">-K6*Assumptions!K18/100</f>
        <v>-336.855611968376</v>
      </c>
      <c r="L17" s="4" t="n">
        <f aca="false">-L6*Assumptions!L18/100</f>
        <v>-341.908446147901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5892.4176192</v>
      </c>
      <c r="D19" s="0" t="n">
        <f aca="false">D15+D16+D17+D18</f>
        <v>5638.81989888</v>
      </c>
      <c r="E19" s="0" t="n">
        <f aca="false">E15+E16+E17+E18</f>
        <v>5525.0365687776</v>
      </c>
      <c r="F19" s="0" t="n">
        <f aca="false">F15+F16+F17+F18</f>
        <v>5507.31456338112</v>
      </c>
      <c r="G19" s="0" t="n">
        <f aca="false">G15+G16+G17+G18</f>
        <v>5398.48936706124</v>
      </c>
      <c r="H19" s="0" t="n">
        <f aca="false">H15+H16+H17+H18</f>
        <v>5432.36678278511</v>
      </c>
      <c r="I19" s="0" t="n">
        <f aca="false">I15+I16+I17+I18</f>
        <v>5445.18798448237</v>
      </c>
      <c r="J19" s="0" t="n">
        <f aca="false">J15+J16+J17+J18</f>
        <v>5562.26606560589</v>
      </c>
      <c r="K19" s="0" t="n">
        <f aca="false">K15+K16+K17+K18</f>
        <v>5688.36843410597</v>
      </c>
      <c r="L19" s="0" t="n">
        <f aca="false">L15+L16+L17+L18</f>
        <v>5817.00236379629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5381.20330520548</v>
      </c>
      <c r="D21" s="0" t="n">
        <f aca="false">D19*D20</f>
        <v>4702.83763798086</v>
      </c>
      <c r="E21" s="0" t="n">
        <f aca="false">E19*E20</f>
        <v>4208.16538153963</v>
      </c>
      <c r="F21" s="0" t="n">
        <f aca="false">F19*F20</f>
        <v>3830.74643641597</v>
      </c>
      <c r="G21" s="0" t="n">
        <f aca="false">G19*G20</f>
        <v>3429.26979668726</v>
      </c>
      <c r="H21" s="0" t="n">
        <f aca="false">H19*H20</f>
        <v>3151.40608984778</v>
      </c>
      <c r="I21" s="0" t="n">
        <f aca="false">I19*I20</f>
        <v>2884.78893301106</v>
      </c>
      <c r="J21" s="0" t="n">
        <f aca="false">J19*J20</f>
        <v>2691.15557953345</v>
      </c>
      <c r="K21" s="0" t="n">
        <f aca="false">K19*K20</f>
        <v>2513.39441200605</v>
      </c>
      <c r="L21" s="0" t="n">
        <f aca="false">L19*L20</f>
        <v>2347.24297808869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35140.2105503162</v>
      </c>
    </row>
    <row r="31" customFormat="false" ht="15" hidden="false" customHeight="false" outlineLevel="0" collapsed="false">
      <c r="A31" s="0" t="s">
        <v>137</v>
      </c>
      <c r="B31" s="0" t="n">
        <f aca="false">L19</f>
        <v>5817.00236379629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79111.2321476296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87255.0354569444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79111.2321476296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31922.5045020062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67062.7150523224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66593.7150523224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247.192706207581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-0.0824324194224896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17763.8594761566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15636.0229731613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371.171482931107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45641.0954697863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144.524118705269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9.5</v>
      </c>
      <c r="D5" s="4" t="n">
        <f aca="false">Assumptions!D27</f>
        <v>9</v>
      </c>
      <c r="E5" s="4" t="n">
        <f aca="false">Assumptions!E27</f>
        <v>8.5</v>
      </c>
      <c r="F5" s="4" t="n">
        <f aca="false">Assumptions!F27</f>
        <v>8</v>
      </c>
      <c r="G5" s="4" t="n">
        <f aca="false">Assumptions!G27</f>
        <v>7.5</v>
      </c>
      <c r="H5" s="4" t="n">
        <f aca="false">Assumptions!H27</f>
        <v>6.5</v>
      </c>
      <c r="I5" s="4" t="n">
        <f aca="false">Assumptions!I27</f>
        <v>6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37</v>
      </c>
      <c r="B6" s="3" t="n">
        <v>21448</v>
      </c>
      <c r="C6" s="0" t="n">
        <f aca="false">B6*(1+C5/100)</f>
        <v>23485.56</v>
      </c>
      <c r="D6" s="0" t="n">
        <f aca="false">C6*(1+D5/100)</f>
        <v>25599.2604</v>
      </c>
      <c r="E6" s="0" t="n">
        <f aca="false">D6*(1+E5/100)</f>
        <v>27775.197534</v>
      </c>
      <c r="F6" s="0" t="n">
        <f aca="false">E6*(1+F5/100)</f>
        <v>29997.21333672</v>
      </c>
      <c r="G6" s="0" t="n">
        <f aca="false">F6*(1+G5/100)</f>
        <v>32247.004336974</v>
      </c>
      <c r="H6" s="0" t="n">
        <f aca="false">G6*(1+H5/100)</f>
        <v>34343.0596188773</v>
      </c>
      <c r="I6" s="0" t="n">
        <f aca="false">H6*(1+I5/100)</f>
        <v>36403.6431960099</v>
      </c>
      <c r="J6" s="0" t="n">
        <f aca="false">I6*(1+J5/100)</f>
        <v>38405.8435717905</v>
      </c>
      <c r="K6" s="0" t="n">
        <f aca="false">J6*(1+K5/100)</f>
        <v>40326.13575038</v>
      </c>
      <c r="L6" s="0" t="n">
        <f aca="false">K6*(1+L5/100)</f>
        <v>42140.8118591471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44</v>
      </c>
      <c r="D7" s="4" t="n">
        <f aca="false">Assumptions!D28</f>
        <v>44.5</v>
      </c>
      <c r="E7" s="4" t="n">
        <f aca="false">Assumptions!E28</f>
        <v>45</v>
      </c>
      <c r="F7" s="4" t="n">
        <f aca="false">Assumptions!F28</f>
        <v>45.5</v>
      </c>
      <c r="G7" s="4" t="n">
        <f aca="false">Assumptions!G28</f>
        <v>46</v>
      </c>
      <c r="H7" s="4" t="n">
        <f aca="false">Assumptions!H28</f>
        <v>46</v>
      </c>
      <c r="I7" s="4" t="n">
        <f aca="false">Assumptions!I28</f>
        <v>46</v>
      </c>
      <c r="J7" s="4" t="n">
        <f aca="false">Assumptions!J28</f>
        <v>46</v>
      </c>
      <c r="K7" s="4" t="n">
        <f aca="false">Assumptions!K28</f>
        <v>46</v>
      </c>
      <c r="L7" s="4" t="n">
        <f aca="false">Assumptions!L28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10333.6464</v>
      </c>
      <c r="D8" s="0" t="n">
        <f aca="false">D6*D7/100</f>
        <v>11391.670878</v>
      </c>
      <c r="E8" s="0" t="n">
        <f aca="false">E6*E7/100</f>
        <v>12498.8388903</v>
      </c>
      <c r="F8" s="0" t="n">
        <f aca="false">F6*F7/100</f>
        <v>13648.7320682076</v>
      </c>
      <c r="G8" s="0" t="n">
        <f aca="false">G6*G7/100</f>
        <v>14833.621995008</v>
      </c>
      <c r="H8" s="0" t="n">
        <f aca="false">H6*H7/100</f>
        <v>15797.8074246836</v>
      </c>
      <c r="I8" s="0" t="n">
        <f aca="false">I6*I7/100</f>
        <v>16745.6758701646</v>
      </c>
      <c r="J8" s="0" t="n">
        <f aca="false">J6*J7/100</f>
        <v>17666.6880430236</v>
      </c>
      <c r="K8" s="0" t="n">
        <f aca="false">K6*K7/100</f>
        <v>18550.0224451748</v>
      </c>
      <c r="L8" s="0" t="n">
        <f aca="false">L6*L7/100</f>
        <v>19384.7734552077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11.2</v>
      </c>
      <c r="D9" s="4" t="n">
        <f aca="false">Assumptions!D29</f>
        <v>10.9</v>
      </c>
      <c r="E9" s="4" t="n">
        <f aca="false">Assumptions!E29</f>
        <v>10.6</v>
      </c>
      <c r="F9" s="4" t="n">
        <f aca="false">Assumptions!F29</f>
        <v>10.3</v>
      </c>
      <c r="G9" s="4" t="n">
        <f aca="false">Assumptions!G29</f>
        <v>10</v>
      </c>
      <c r="H9" s="4" t="n">
        <f aca="false">Assumptions!H29</f>
        <v>9.7</v>
      </c>
      <c r="I9" s="4" t="n">
        <f aca="false">Assumptions!I29</f>
        <v>9.4</v>
      </c>
      <c r="J9" s="4" t="n">
        <f aca="false">Assumptions!J29</f>
        <v>9.1</v>
      </c>
      <c r="K9" s="4" t="n">
        <f aca="false">Assumptions!K29</f>
        <v>8.8</v>
      </c>
      <c r="L9" s="4" t="n">
        <f aca="false">Assumptions!L29</f>
        <v>8.5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-2630.38272</v>
      </c>
      <c r="D10" s="0" t="n">
        <f aca="false">-D6*D9/100</f>
        <v>-2790.3193836</v>
      </c>
      <c r="E10" s="0" t="n">
        <f aca="false">-E6*E9/100</f>
        <v>-2944.170938604</v>
      </c>
      <c r="F10" s="0" t="n">
        <f aca="false">-F6*F9/100</f>
        <v>-3089.71297368216</v>
      </c>
      <c r="G10" s="0" t="n">
        <f aca="false">-G6*G9/100</f>
        <v>-3224.7004336974</v>
      </c>
      <c r="H10" s="0" t="n">
        <f aca="false">-H6*H9/100</f>
        <v>-3331.2767830311</v>
      </c>
      <c r="I10" s="0" t="n">
        <f aca="false">-I6*I9/100</f>
        <v>-3421.94246042494</v>
      </c>
      <c r="J10" s="0" t="n">
        <f aca="false">-J6*J9/100</f>
        <v>-3494.93176503293</v>
      </c>
      <c r="K10" s="0" t="n">
        <f aca="false">-K6*K9/100</f>
        <v>-3548.69994603344</v>
      </c>
      <c r="L10" s="0" t="n">
        <f aca="false">-L6*L9/100</f>
        <v>-3581.9690080275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7703.26368</v>
      </c>
      <c r="D11" s="0" t="n">
        <f aca="false">D8+D10+D24</f>
        <v>8601.3514944</v>
      </c>
      <c r="E11" s="0" t="n">
        <f aca="false">E8+E10+E24</f>
        <v>9554.667951696</v>
      </c>
      <c r="F11" s="0" t="n">
        <f aca="false">F8+F10+F24</f>
        <v>10559.0190945254</v>
      </c>
      <c r="G11" s="0" t="n">
        <f aca="false">G8+G10+G24</f>
        <v>11608.9215613106</v>
      </c>
      <c r="H11" s="0" t="n">
        <f aca="false">H8+H10+H24</f>
        <v>12466.5306416525</v>
      </c>
      <c r="I11" s="0" t="n">
        <f aca="false">I8+I10+I24</f>
        <v>13323.7334097396</v>
      </c>
      <c r="J11" s="0" t="n">
        <f aca="false">J8+J10+J24</f>
        <v>14171.7562779907</v>
      </c>
      <c r="K11" s="0" t="n">
        <f aca="false">K8+K10+K24</f>
        <v>15001.3224991414</v>
      </c>
      <c r="L11" s="0" t="n">
        <f aca="false">L8+L10+L24</f>
        <v>15802.8044471802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-681.08124</v>
      </c>
      <c r="D12" s="4" t="n">
        <f aca="false">-D6*Assumptions!D31/100</f>
        <v>-691.1800308</v>
      </c>
      <c r="E12" s="4" t="n">
        <f aca="false">-E6*Assumptions!E31/100</f>
        <v>-666.604740816</v>
      </c>
      <c r="F12" s="4" t="n">
        <f aca="false">-F6*Assumptions!F31/100</f>
        <v>-629.94148007112</v>
      </c>
      <c r="G12" s="4" t="n">
        <f aca="false">-G6*Assumptions!G31/100</f>
        <v>-580.446078065532</v>
      </c>
      <c r="H12" s="4" t="n">
        <f aca="false">-H6*Assumptions!H31/100</f>
        <v>-549.488953902037</v>
      </c>
      <c r="I12" s="4" t="n">
        <f aca="false">-I6*Assumptions!I31/100</f>
        <v>-546.054647940149</v>
      </c>
      <c r="J12" s="4" t="n">
        <f aca="false">-J6*Assumptions!J31/100</f>
        <v>-537.681810005067</v>
      </c>
      <c r="K12" s="4" t="n">
        <f aca="false">-K6*Assumptions!K31/100</f>
        <v>-564.56590050532</v>
      </c>
      <c r="L12" s="4" t="n">
        <f aca="false">-L6*Assumptions!L31/100</f>
        <v>-589.971366028059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7022.18244</v>
      </c>
      <c r="D13" s="0" t="n">
        <f aca="false">D11+D12</f>
        <v>7910.1714636</v>
      </c>
      <c r="E13" s="0" t="n">
        <f aca="false">E11+E12</f>
        <v>8888.06321088</v>
      </c>
      <c r="F13" s="0" t="n">
        <f aca="false">F11+F12</f>
        <v>9929.07761445432</v>
      </c>
      <c r="G13" s="0" t="n">
        <f aca="false">G11+G12</f>
        <v>11028.4754832451</v>
      </c>
      <c r="H13" s="0" t="n">
        <f aca="false">H11+H12</f>
        <v>11917.0416877504</v>
      </c>
      <c r="I13" s="0" t="n">
        <f aca="false">I11+I12</f>
        <v>12777.6787617995</v>
      </c>
      <c r="J13" s="0" t="n">
        <f aca="false">J11+J12</f>
        <v>13634.0744679856</v>
      </c>
      <c r="K13" s="0" t="n">
        <f aca="false">K11+K12</f>
        <v>14436.756598636</v>
      </c>
      <c r="L13" s="0" t="n">
        <f aca="false">L11+L12</f>
        <v>15212.8330811521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22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5828.4114252</v>
      </c>
      <c r="D15" s="0" t="n">
        <f aca="false">D13-MAX(0,D13)*D14/100</f>
        <v>6169.933741608</v>
      </c>
      <c r="E15" s="0" t="n">
        <f aca="false">E13-MAX(0,E13)*E14/100</f>
        <v>6754.9280402688</v>
      </c>
      <c r="F15" s="0" t="n">
        <f aca="false">F13-MAX(0,F13)*F14/100</f>
        <v>7546.09898698528</v>
      </c>
      <c r="G15" s="0" t="n">
        <f aca="false">G13-MAX(0,G13)*G14/100</f>
        <v>8381.64136726628</v>
      </c>
      <c r="H15" s="0" t="n">
        <f aca="false">H13-MAX(0,H13)*H14/100</f>
        <v>9056.95168269032</v>
      </c>
      <c r="I15" s="0" t="n">
        <f aca="false">I13-MAX(0,I13)*I14/100</f>
        <v>9711.03585896761</v>
      </c>
      <c r="J15" s="0" t="n">
        <f aca="false">J13-MAX(0,J13)*J14/100</f>
        <v>10361.8965956691</v>
      </c>
      <c r="K15" s="0" t="n">
        <f aca="false">K13-MAX(0,K13)*K14/100</f>
        <v>10971.9350149634</v>
      </c>
      <c r="L15" s="0" t="n">
        <f aca="false">L13-MAX(0,L13)*L14/100</f>
        <v>11561.7531416756</v>
      </c>
    </row>
    <row r="16" customFormat="false" ht="15" hidden="false" customHeight="false" outlineLevel="0" collapsed="false">
      <c r="A16" s="0" t="s">
        <v>128</v>
      </c>
      <c r="C16" s="0" t="n">
        <f aca="false">-C12</f>
        <v>681.08124</v>
      </c>
      <c r="D16" s="0" t="n">
        <f aca="false">-D12</f>
        <v>691.1800308</v>
      </c>
      <c r="E16" s="0" t="n">
        <f aca="false">-E12</f>
        <v>666.604740816</v>
      </c>
      <c r="F16" s="0" t="n">
        <f aca="false">-F12</f>
        <v>629.94148007112</v>
      </c>
      <c r="G16" s="0" t="n">
        <f aca="false">-G12</f>
        <v>580.446078065532</v>
      </c>
      <c r="H16" s="0" t="n">
        <f aca="false">-H12</f>
        <v>549.488953902037</v>
      </c>
      <c r="I16" s="0" t="n">
        <f aca="false">-I12</f>
        <v>546.054647940149</v>
      </c>
      <c r="J16" s="0" t="n">
        <f aca="false">-J12</f>
        <v>537.681810005067</v>
      </c>
      <c r="K16" s="0" t="n">
        <f aca="false">-K12</f>
        <v>564.56590050532</v>
      </c>
      <c r="L16" s="0" t="n">
        <f aca="false">-L12</f>
        <v>589.971366028059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-258.34116</v>
      </c>
      <c r="D17" s="4" t="n">
        <f aca="false">-D6*Assumptions!D32/100</f>
        <v>-281.5918644</v>
      </c>
      <c r="E17" s="4" t="n">
        <f aca="false">-E6*Assumptions!E32/100</f>
        <v>-305.527172874</v>
      </c>
      <c r="F17" s="4" t="n">
        <f aca="false">-F6*Assumptions!F32/100</f>
        <v>-329.96934670392</v>
      </c>
      <c r="G17" s="4" t="n">
        <f aca="false">-G6*Assumptions!G32/100</f>
        <v>-354.717047706714</v>
      </c>
      <c r="H17" s="4" t="n">
        <f aca="false">-H6*Assumptions!H32/100</f>
        <v>-377.77365580765</v>
      </c>
      <c r="I17" s="4" t="n">
        <f aca="false">-I6*Assumptions!I32/100</f>
        <v>-400.440075156109</v>
      </c>
      <c r="J17" s="4" t="n">
        <f aca="false">-J6*Assumptions!J32/100</f>
        <v>-422.464279289695</v>
      </c>
      <c r="K17" s="4" t="n">
        <f aca="false">-K6*Assumptions!K32/100</f>
        <v>-443.58749325418</v>
      </c>
      <c r="L17" s="4" t="n">
        <f aca="false">-L6*Assumptions!L32/100</f>
        <v>-463.548930450618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40.7512</v>
      </c>
      <c r="D18" s="4" t="n">
        <f aca="false">(D6-C6)*Assumptions!$B$37/100</f>
        <v>42.274008</v>
      </c>
      <c r="E18" s="4" t="n">
        <f aca="false">(E6-D6)*Assumptions!$B$37/100</f>
        <v>43.51874268</v>
      </c>
      <c r="F18" s="4" t="n">
        <f aca="false">(F6-E6)*Assumptions!$B$37/100</f>
        <v>44.4403160544</v>
      </c>
      <c r="G18" s="4" t="n">
        <f aca="false">(G6-F6)*Assumptions!$B$37/100</f>
        <v>44.99582000508</v>
      </c>
      <c r="H18" s="4" t="n">
        <f aca="false">(H6-G6)*Assumptions!$B$37/100</f>
        <v>41.9211056380661</v>
      </c>
      <c r="I18" s="4" t="n">
        <f aca="false">(I6-H6)*Assumptions!$B$37/100</f>
        <v>41.2116715426528</v>
      </c>
      <c r="J18" s="4" t="n">
        <f aca="false">(J6-I6)*Assumptions!$B$37/100</f>
        <v>40.0440075156109</v>
      </c>
      <c r="K18" s="4" t="n">
        <f aca="false">(K6-J6)*Assumptions!$B$37/100</f>
        <v>38.4058435717905</v>
      </c>
      <c r="L18" s="4" t="n">
        <f aca="false">(L6-K6)*Assumptions!$B$37/100</f>
        <v>36.2935221753419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6291.9027052</v>
      </c>
      <c r="D19" s="0" t="n">
        <f aca="false">D15+D16+D17+D18</f>
        <v>6621.795916008</v>
      </c>
      <c r="E19" s="0" t="n">
        <f aca="false">E15+E16+E17+E18</f>
        <v>7159.5243508908</v>
      </c>
      <c r="F19" s="0" t="n">
        <f aca="false">F15+F16+F17+F18</f>
        <v>7890.51143640688</v>
      </c>
      <c r="G19" s="0" t="n">
        <f aca="false">G15+G16+G17+G18</f>
        <v>8652.36621763018</v>
      </c>
      <c r="H19" s="0" t="n">
        <f aca="false">H15+H16+H17+H18</f>
        <v>9270.58808642278</v>
      </c>
      <c r="I19" s="0" t="n">
        <f aca="false">I15+I16+I17+I18</f>
        <v>9897.86210329431</v>
      </c>
      <c r="J19" s="0" t="n">
        <f aca="false">J15+J16+J17+J18</f>
        <v>10517.1581339001</v>
      </c>
      <c r="K19" s="0" t="n">
        <f aca="false">K15+K16+K17+K18</f>
        <v>11131.3192657863</v>
      </c>
      <c r="L19" s="0" t="n">
        <f aca="false">L15+L16+L17+L18</f>
        <v>11724.4690994284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5746.02986776256</v>
      </c>
      <c r="D21" s="0" t="n">
        <f aca="false">D19*D20</f>
        <v>5522.65041680365</v>
      </c>
      <c r="E21" s="0" t="n">
        <f aca="false">E19*E20</f>
        <v>5453.0792957945</v>
      </c>
      <c r="F21" s="0" t="n">
        <f aca="false">F19*F20</f>
        <v>5488.43691760329</v>
      </c>
      <c r="G21" s="0" t="n">
        <f aca="false">G19*G20</f>
        <v>5496.22239158887</v>
      </c>
      <c r="H21" s="0" t="n">
        <f aca="false">H19*H20</f>
        <v>5378.02194148692</v>
      </c>
      <c r="I21" s="0" t="n">
        <f aca="false">I19*I20</f>
        <v>5243.75708192695</v>
      </c>
      <c r="J21" s="0" t="n">
        <f aca="false">J19*J20</f>
        <v>5088.44928650455</v>
      </c>
      <c r="K21" s="0" t="n">
        <f aca="false">K19*K20</f>
        <v>4918.35153875361</v>
      </c>
      <c r="L21" s="0" t="n">
        <f aca="false">L19*L20</f>
        <v>4730.98961360759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53065.9883518325</v>
      </c>
    </row>
    <row r="31" customFormat="false" ht="15" hidden="false" customHeight="false" outlineLevel="0" collapsed="false">
      <c r="A31" s="0" t="s">
        <v>137</v>
      </c>
      <c r="B31" s="0" t="n">
        <f aca="false">L19</f>
        <v>11724.4690994284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185787.741114019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234489.381988568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185787.741114019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74967.9892617818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128033.977613614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127564.977613614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473.515135907997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0.757665686369698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19619.0368233322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22903.6395467095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631.357290214016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100635.02643676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243.632810761225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11</v>
      </c>
      <c r="D5" s="4" t="n">
        <f aca="false">Assumptions!D41</f>
        <v>11</v>
      </c>
      <c r="E5" s="4" t="n">
        <f aca="false">Assumptions!E41</f>
        <v>10.5</v>
      </c>
      <c r="F5" s="4" t="n">
        <f aca="false">Assumptions!F41</f>
        <v>10</v>
      </c>
      <c r="G5" s="4" t="n">
        <f aca="false">Assumptions!G41</f>
        <v>9.5</v>
      </c>
      <c r="H5" s="4" t="n">
        <f aca="false">Assumptions!H41</f>
        <v>8.5</v>
      </c>
      <c r="I5" s="4" t="n">
        <f aca="false">Assumptions!I41</f>
        <v>7.5</v>
      </c>
      <c r="J5" s="4" t="n">
        <f aca="false">Assumptions!J41</f>
        <v>6.5</v>
      </c>
      <c r="K5" s="4" t="n">
        <f aca="false">Assumptions!K41</f>
        <v>5.5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21448</v>
      </c>
      <c r="C6" s="0" t="n">
        <f aca="false">B6*(1+C5/100)</f>
        <v>23807.28</v>
      </c>
      <c r="D6" s="0" t="n">
        <f aca="false">C6*(1+D5/100)</f>
        <v>26426.0808</v>
      </c>
      <c r="E6" s="0" t="n">
        <f aca="false">D6*(1+E5/100)</f>
        <v>29200.819284</v>
      </c>
      <c r="F6" s="0" t="n">
        <f aca="false">E6*(1+F5/100)</f>
        <v>32120.9012124</v>
      </c>
      <c r="G6" s="0" t="n">
        <f aca="false">F6*(1+G5/100)</f>
        <v>35172.386827578</v>
      </c>
      <c r="H6" s="0" t="n">
        <f aca="false">G6*(1+H5/100)</f>
        <v>38162.0397079221</v>
      </c>
      <c r="I6" s="0" t="n">
        <f aca="false">H6*(1+I5/100)</f>
        <v>41024.1926860163</v>
      </c>
      <c r="J6" s="0" t="n">
        <f aca="false">I6*(1+J5/100)</f>
        <v>43690.7652106074</v>
      </c>
      <c r="K6" s="0" t="n">
        <f aca="false">J6*(1+K5/100)</f>
        <v>46093.7572971908</v>
      </c>
      <c r="L6" s="0" t="n">
        <f aca="false">K6*(1+L5/100)</f>
        <v>48167.9763755643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44.5</v>
      </c>
      <c r="D7" s="4" t="n">
        <f aca="false">Assumptions!D42</f>
        <v>45.5</v>
      </c>
      <c r="E7" s="4" t="n">
        <f aca="false">Assumptions!E42</f>
        <v>46.5</v>
      </c>
      <c r="F7" s="4" t="n">
        <f aca="false">Assumptions!F42</f>
        <v>47</v>
      </c>
      <c r="G7" s="4" t="n">
        <f aca="false">Assumptions!G42</f>
        <v>47.5</v>
      </c>
      <c r="H7" s="4" t="n">
        <f aca="false">Assumptions!H42</f>
        <v>48</v>
      </c>
      <c r="I7" s="4" t="n">
        <f aca="false">Assumptions!I42</f>
        <v>48</v>
      </c>
      <c r="J7" s="4" t="n">
        <f aca="false">Assumptions!J42</f>
        <v>48</v>
      </c>
      <c r="K7" s="4" t="n">
        <f aca="false">Assumptions!K42</f>
        <v>48</v>
      </c>
      <c r="L7" s="4" t="n">
        <f aca="false">Assumptions!L42</f>
        <v>48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10594.2396</v>
      </c>
      <c r="D8" s="0" t="n">
        <f aca="false">D6*D7/100</f>
        <v>12023.866764</v>
      </c>
      <c r="E8" s="0" t="n">
        <f aca="false">E6*E7/100</f>
        <v>13578.38096706</v>
      </c>
      <c r="F8" s="0" t="n">
        <f aca="false">F6*F7/100</f>
        <v>15096.823569828</v>
      </c>
      <c r="G8" s="0" t="n">
        <f aca="false">G6*G7/100</f>
        <v>16706.8837430996</v>
      </c>
      <c r="H8" s="0" t="n">
        <f aca="false">H6*H7/100</f>
        <v>18317.7790598026</v>
      </c>
      <c r="I8" s="0" t="n">
        <f aca="false">I6*I7/100</f>
        <v>19691.6124892878</v>
      </c>
      <c r="J8" s="0" t="n">
        <f aca="false">J6*J7/100</f>
        <v>20971.5673010915</v>
      </c>
      <c r="K8" s="0" t="n">
        <f aca="false">K6*K7/100</f>
        <v>22125.0035026516</v>
      </c>
      <c r="L8" s="0" t="n">
        <f aca="false">L6*L7/100</f>
        <v>23120.6286602709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11</v>
      </c>
      <c r="D9" s="4" t="n">
        <f aca="false">Assumptions!D43</f>
        <v>10.5</v>
      </c>
      <c r="E9" s="4" t="n">
        <f aca="false">Assumptions!E43</f>
        <v>10</v>
      </c>
      <c r="F9" s="4" t="n">
        <f aca="false">Assumptions!F43</f>
        <v>9.5</v>
      </c>
      <c r="G9" s="4" t="n">
        <f aca="false">Assumptions!G43</f>
        <v>9</v>
      </c>
      <c r="H9" s="4" t="n">
        <f aca="false">Assumptions!H43</f>
        <v>8.5</v>
      </c>
      <c r="I9" s="4" t="n">
        <f aca="false">Assumptions!I43</f>
        <v>8.2</v>
      </c>
      <c r="J9" s="4" t="n">
        <f aca="false">Assumptions!J43</f>
        <v>8</v>
      </c>
      <c r="K9" s="4" t="n">
        <f aca="false">Assumptions!K43</f>
        <v>7.8</v>
      </c>
      <c r="L9" s="4" t="n">
        <f aca="false">Assumptions!L43</f>
        <v>7.5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-2618.8008</v>
      </c>
      <c r="D10" s="0" t="n">
        <f aca="false">-D6*D9/100</f>
        <v>-2774.738484</v>
      </c>
      <c r="E10" s="0" t="n">
        <f aca="false">-E6*E9/100</f>
        <v>-2920.0819284</v>
      </c>
      <c r="F10" s="0" t="n">
        <f aca="false">-F6*F9/100</f>
        <v>-3051.485615178</v>
      </c>
      <c r="G10" s="0" t="n">
        <f aca="false">-G6*G9/100</f>
        <v>-3165.51481448202</v>
      </c>
      <c r="H10" s="0" t="n">
        <f aca="false">-H6*H9/100</f>
        <v>-3243.77337517338</v>
      </c>
      <c r="I10" s="0" t="n">
        <f aca="false">-I6*I9/100</f>
        <v>-3363.98380025334</v>
      </c>
      <c r="J10" s="0" t="n">
        <f aca="false">-J6*J9/100</f>
        <v>-3495.26121684859</v>
      </c>
      <c r="K10" s="0" t="n">
        <f aca="false">-K6*K9/100</f>
        <v>-3595.31306918088</v>
      </c>
      <c r="L10" s="0" t="n">
        <f aca="false">-L6*L9/100</f>
        <v>-3612.59822816732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7975.4388</v>
      </c>
      <c r="D11" s="0" t="n">
        <f aca="false">D8+D10+D24</f>
        <v>9249.12828</v>
      </c>
      <c r="E11" s="0" t="n">
        <f aca="false">E8+E10+E24</f>
        <v>10658.29903866</v>
      </c>
      <c r="F11" s="0" t="n">
        <f aca="false">F8+F10+F24</f>
        <v>12045.33795465</v>
      </c>
      <c r="G11" s="0" t="n">
        <f aca="false">G8+G10+G24</f>
        <v>13541.3689286175</v>
      </c>
      <c r="H11" s="0" t="n">
        <f aca="false">H8+H10+H24</f>
        <v>15074.0056846292</v>
      </c>
      <c r="I11" s="0" t="n">
        <f aca="false">I8+I10+I24</f>
        <v>16327.6286890345</v>
      </c>
      <c r="J11" s="0" t="n">
        <f aca="false">J8+J10+J24</f>
        <v>17476.3060842429</v>
      </c>
      <c r="K11" s="0" t="n">
        <f aca="false">K8+K10+K24</f>
        <v>18529.6904334707</v>
      </c>
      <c r="L11" s="0" t="n">
        <f aca="false">L8+L10+L24</f>
        <v>19508.0304321036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-690.41112</v>
      </c>
      <c r="D12" s="4" t="n">
        <f aca="false">-D6*Assumptions!D45/100</f>
        <v>-713.5041816</v>
      </c>
      <c r="E12" s="4" t="n">
        <f aca="false">-E6*Assumptions!E45/100</f>
        <v>-700.819662816</v>
      </c>
      <c r="F12" s="4" t="n">
        <f aca="false">-F6*Assumptions!F45/100</f>
        <v>-674.5389254604</v>
      </c>
      <c r="G12" s="4" t="n">
        <f aca="false">-G6*Assumptions!G45/100</f>
        <v>-633.102962896404</v>
      </c>
      <c r="H12" s="4" t="n">
        <f aca="false">-H6*Assumptions!H45/100</f>
        <v>-610.592635326754</v>
      </c>
      <c r="I12" s="4" t="n">
        <f aca="false">-I6*Assumptions!I45/100</f>
        <v>-615.362890290244</v>
      </c>
      <c r="J12" s="4" t="n">
        <f aca="false">-J6*Assumptions!J45/100</f>
        <v>-611.670712948503</v>
      </c>
      <c r="K12" s="4" t="n">
        <f aca="false">-K6*Assumptions!K45/100</f>
        <v>-645.31260216067</v>
      </c>
      <c r="L12" s="4" t="n">
        <f aca="false">-L6*Assumptions!L45/100</f>
        <v>-674.351669257901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7285.02768</v>
      </c>
      <c r="D13" s="0" t="n">
        <f aca="false">D11+D12</f>
        <v>8535.6240984</v>
      </c>
      <c r="E13" s="0" t="n">
        <f aca="false">E11+E12</f>
        <v>9957.479375844</v>
      </c>
      <c r="F13" s="0" t="n">
        <f aca="false">F11+F12</f>
        <v>11370.7990291896</v>
      </c>
      <c r="G13" s="0" t="n">
        <f aca="false">G11+G12</f>
        <v>12908.2659657211</v>
      </c>
      <c r="H13" s="0" t="n">
        <f aca="false">H11+H12</f>
        <v>14463.4130493025</v>
      </c>
      <c r="I13" s="0" t="n">
        <f aca="false">I11+I12</f>
        <v>15712.2657987442</v>
      </c>
      <c r="J13" s="0" t="n">
        <f aca="false">J11+J12</f>
        <v>16864.6353712944</v>
      </c>
      <c r="K13" s="0" t="n">
        <f aca="false">K11+K12</f>
        <v>17884.37783131</v>
      </c>
      <c r="L13" s="0" t="n">
        <f aca="false">L11+L12</f>
        <v>18833.6787628457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22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6046.5729744</v>
      </c>
      <c r="D15" s="0" t="n">
        <f aca="false">D13-MAX(0,D13)*D14/100</f>
        <v>6657.786796752</v>
      </c>
      <c r="E15" s="0" t="n">
        <f aca="false">E13-MAX(0,E13)*E14/100</f>
        <v>7567.68432564144</v>
      </c>
      <c r="F15" s="0" t="n">
        <f aca="false">F13-MAX(0,F13)*F14/100</f>
        <v>8641.8072621841</v>
      </c>
      <c r="G15" s="0" t="n">
        <f aca="false">G13-MAX(0,G13)*G14/100</f>
        <v>9810.28213394806</v>
      </c>
      <c r="H15" s="0" t="n">
        <f aca="false">H13-MAX(0,H13)*H14/100</f>
        <v>10992.1939174699</v>
      </c>
      <c r="I15" s="0" t="n">
        <f aca="false">I13-MAX(0,I13)*I14/100</f>
        <v>11941.3220070456</v>
      </c>
      <c r="J15" s="0" t="n">
        <f aca="false">J13-MAX(0,J13)*J14/100</f>
        <v>12817.1228821838</v>
      </c>
      <c r="K15" s="0" t="n">
        <f aca="false">K13-MAX(0,K13)*K14/100</f>
        <v>13592.1271517956</v>
      </c>
      <c r="L15" s="0" t="n">
        <f aca="false">L13-MAX(0,L13)*L14/100</f>
        <v>14313.5958597627</v>
      </c>
    </row>
    <row r="16" customFormat="false" ht="15" hidden="false" customHeight="false" outlineLevel="0" collapsed="false">
      <c r="A16" s="0" t="s">
        <v>128</v>
      </c>
      <c r="C16" s="0" t="n">
        <f aca="false">-C12</f>
        <v>690.41112</v>
      </c>
      <c r="D16" s="0" t="n">
        <f aca="false">-D12</f>
        <v>713.5041816</v>
      </c>
      <c r="E16" s="0" t="n">
        <f aca="false">-E12</f>
        <v>700.819662816</v>
      </c>
      <c r="F16" s="0" t="n">
        <f aca="false">-F12</f>
        <v>674.5389254604</v>
      </c>
      <c r="G16" s="0" t="n">
        <f aca="false">-G12</f>
        <v>633.102962896404</v>
      </c>
      <c r="H16" s="0" t="n">
        <f aca="false">-H12</f>
        <v>610.592635326754</v>
      </c>
      <c r="I16" s="0" t="n">
        <f aca="false">-I12</f>
        <v>615.362890290244</v>
      </c>
      <c r="J16" s="0" t="n">
        <f aca="false">-J12</f>
        <v>611.670712948503</v>
      </c>
      <c r="K16" s="0" t="n">
        <f aca="false">-K12</f>
        <v>645.31260216067</v>
      </c>
      <c r="L16" s="0" t="n">
        <f aca="false">-L12</f>
        <v>674.351669257901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-261.88008</v>
      </c>
      <c r="D17" s="4" t="n">
        <f aca="false">-D6*Assumptions!D46/100</f>
        <v>-290.6868888</v>
      </c>
      <c r="E17" s="4" t="n">
        <f aca="false">-E6*Assumptions!E46/100</f>
        <v>-321.209012124</v>
      </c>
      <c r="F17" s="4" t="n">
        <f aca="false">-F6*Assumptions!F46/100</f>
        <v>-353.3299133364</v>
      </c>
      <c r="G17" s="4" t="n">
        <f aca="false">-G6*Assumptions!G46/100</f>
        <v>-386.896255103358</v>
      </c>
      <c r="H17" s="4" t="n">
        <f aca="false">-H6*Assumptions!H46/100</f>
        <v>-419.782436787144</v>
      </c>
      <c r="I17" s="4" t="n">
        <f aca="false">-I6*Assumptions!I46/100</f>
        <v>-451.266119546179</v>
      </c>
      <c r="J17" s="4" t="n">
        <f aca="false">-J6*Assumptions!J46/100</f>
        <v>-480.598417316681</v>
      </c>
      <c r="K17" s="4" t="n">
        <f aca="false">-K6*Assumptions!K46/100</f>
        <v>-507.031330269098</v>
      </c>
      <c r="L17" s="4" t="n">
        <f aca="false">-L6*Assumptions!L46/100</f>
        <v>-529.847740131208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70.7784000000001</v>
      </c>
      <c r="D18" s="4" t="n">
        <f aca="false">(D6-C6)*Assumptions!$B$51/100</f>
        <v>78.564024</v>
      </c>
      <c r="E18" s="4" t="n">
        <f aca="false">(E6-D6)*Assumptions!$B$51/100</f>
        <v>83.24215452</v>
      </c>
      <c r="F18" s="4" t="n">
        <f aca="false">(F6-E6)*Assumptions!$B$51/100</f>
        <v>87.6024578520001</v>
      </c>
      <c r="G18" s="4" t="n">
        <f aca="false">(G6-F6)*Assumptions!$B$51/100</f>
        <v>91.5445684553399</v>
      </c>
      <c r="H18" s="4" t="n">
        <f aca="false">(H6-G6)*Assumptions!$B$51/100</f>
        <v>89.689586410324</v>
      </c>
      <c r="I18" s="4" t="n">
        <f aca="false">(I6-H6)*Assumptions!$B$51/100</f>
        <v>85.8645893428247</v>
      </c>
      <c r="J18" s="4" t="n">
        <f aca="false">(J6-I6)*Assumptions!$B$51/100</f>
        <v>79.9971757377317</v>
      </c>
      <c r="K18" s="4" t="n">
        <f aca="false">(K6-J6)*Assumptions!$B$51/100</f>
        <v>72.089762597502</v>
      </c>
      <c r="L18" s="4" t="n">
        <f aca="false">(L6-K6)*Assumptions!$B$51/100</f>
        <v>62.2265723512074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6545.8824144</v>
      </c>
      <c r="D19" s="0" t="n">
        <f aca="false">D15+D16+D17+D18</f>
        <v>7159.168113552</v>
      </c>
      <c r="E19" s="0" t="n">
        <f aca="false">E15+E16+E17+E18</f>
        <v>8030.53713085344</v>
      </c>
      <c r="F19" s="0" t="n">
        <f aca="false">F15+F16+F17+F18</f>
        <v>9050.6187321601</v>
      </c>
      <c r="G19" s="0" t="n">
        <f aca="false">G15+G16+G17+G18</f>
        <v>10148.0334101964</v>
      </c>
      <c r="H19" s="0" t="n">
        <f aca="false">H15+H16+H17+H18</f>
        <v>11272.6937024198</v>
      </c>
      <c r="I19" s="0" t="n">
        <f aca="false">I15+I16+I17+I18</f>
        <v>12191.2833671325</v>
      </c>
      <c r="J19" s="0" t="n">
        <f aca="false">J15+J16+J17+J18</f>
        <v>13028.1923535533</v>
      </c>
      <c r="K19" s="0" t="n">
        <f aca="false">K15+K16+K17+K18</f>
        <v>13802.4981862847</v>
      </c>
      <c r="L19" s="0" t="n">
        <f aca="false">L15+L16+L17+L18</f>
        <v>14520.3263612406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5977.97480767124</v>
      </c>
      <c r="D21" s="0" t="n">
        <f aca="false">D19*D20</f>
        <v>5970.82472304748</v>
      </c>
      <c r="E21" s="0" t="n">
        <f aca="false">E19*E20</f>
        <v>6116.48953424082</v>
      </c>
      <c r="F21" s="0" t="n">
        <f aca="false">F19*F20</f>
        <v>6295.37773021204</v>
      </c>
      <c r="G21" s="0" t="n">
        <f aca="false">G19*G20</f>
        <v>6446.31157036141</v>
      </c>
      <c r="H21" s="0" t="n">
        <f aca="false">H19*H20</f>
        <v>6539.47662285451</v>
      </c>
      <c r="I21" s="0" t="n">
        <f aca="false">I19*I20</f>
        <v>6458.78148503424</v>
      </c>
      <c r="J21" s="0" t="n">
        <f aca="false">J19*J20</f>
        <v>6303.34689674377</v>
      </c>
      <c r="K21" s="0" t="n">
        <f aca="false">K19*K20</f>
        <v>6098.6066945194</v>
      </c>
      <c r="L21" s="0" t="n">
        <f aca="false">L19*L20</f>
        <v>5859.15768284732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62066.3477475322</v>
      </c>
    </row>
    <row r="31" customFormat="false" ht="15" hidden="false" customHeight="false" outlineLevel="0" collapsed="false">
      <c r="A31" s="0" t="s">
        <v>137</v>
      </c>
      <c r="B31" s="0" t="n">
        <f aca="false">L19</f>
        <v>14520.3263612406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230091.325416582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290406.527224812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230091.325416582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92845.1140512729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154911.461798805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154442.461798805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573.283080173738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1.12799955521061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19464.5780126494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23099.4873097993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731.27886830458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124632.801267315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290.172136957653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247.192706207581</v>
      </c>
      <c r="C4" s="0" t="n">
        <f aca="false">B4/Assumptions!$B$2-1</f>
        <v>-0.0824324194224896</v>
      </c>
      <c r="D4" s="4" t="n">
        <f aca="false">Assumptions!$B$24</f>
        <v>0.25</v>
      </c>
      <c r="E4" s="4" t="n">
        <f aca="false">DCF_Bear!$B$43</f>
        <v>371.171482931107</v>
      </c>
      <c r="F4" s="4" t="n">
        <f aca="false">DCF_Bear!$B$47</f>
        <v>144.524118705269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473.515135907997</v>
      </c>
      <c r="C5" s="0" t="n">
        <f aca="false">B5/Assumptions!$B$2-1</f>
        <v>0.757665686369698</v>
      </c>
      <c r="D5" s="4" t="n">
        <f aca="false">Assumptions!$B$38</f>
        <v>0.5</v>
      </c>
      <c r="E5" s="4" t="n">
        <f aca="false">DCF_Base!$B$43</f>
        <v>631.357290214016</v>
      </c>
      <c r="F5" s="4" t="n">
        <f aca="false">DCF_Base!$B$47</f>
        <v>243.632810761225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573.283080173738</v>
      </c>
      <c r="C6" s="0" t="n">
        <f aca="false">B6/Assumptions!$B$2-1</f>
        <v>1.12799955521061</v>
      </c>
      <c r="D6" s="4" t="n">
        <f aca="false">Assumptions!$B$52</f>
        <v>0.25</v>
      </c>
      <c r="E6" s="4" t="n">
        <f aca="false">DCF_Bull!$B$43</f>
        <v>731.27886830458</v>
      </c>
      <c r="F6" s="4" t="n">
        <f aca="false">DCF_Bull!$B$47</f>
        <v>290.172136957653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441.876514549328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591.29123291593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0.390327407930331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-115.434755313826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230.490469296343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515.72142093997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473.515135907997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437.404220445732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378.88851889646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333.559592650691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243.632810761225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607.555222167037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638.269354418374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638.269354418374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638.269354418374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638.269354418374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507.269996371241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534.04523491023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565.688698638126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590.186864104884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590.186864104884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434.069959528195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452.383791418817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473.515135907997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498.168371145373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527.304012789545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378.373075516725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391.401628528724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406.167321942322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423.042400129291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442.513644191179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334.633599847229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344.18848955002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354.867483923728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366.881352594149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380.497070420626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2026-09-28T21:56:56Z</dcterms:created>
  <dc:creator>openpyxl</dc:creator>
  <dc:description/>
  <dc:language>en-NZ</dc:language>
  <cp:lastModifiedBy/>
  <dcterms:modified xsi:type="dcterms:W3CDTF">2026-09-28T21:56:56Z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