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<sst xmlns="http://schemas.openxmlformats.org/spreadsheetml/2006/main" count="343" uniqueCount="162">
  <si>
    <t xml:space="preserve">Ticker</t>
  </si>
  <si>
    <t xml:space="preserve">1318.HK</t>
  </si>
  <si>
    <t xml:space="preserve">Company</t>
  </si>
  <si>
    <t xml:space="preserve">Mao Geping Cosmetics Co., Ltd.</t>
  </si>
  <si>
    <t xml:space="preserve">Valuation date</t>
  </si>
  <si>
    <t xml:space="preserve">2026-10-16</t>
  </si>
  <si>
    <t xml:space="preserve">Current price</t>
  </si>
  <si>
    <t xml:space="preserve">Price as of</t>
  </si>
  <si>
    <t xml:space="preserve">2026-10-16T08:08:14Z (16:08 HKT regular close; 52-week range 42.92-111.90)</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</si>
  <si>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</si>
  <si>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</si>
  <si>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</si>
  <si>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</si>
  <si>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</si>
  <si>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</si>
  <si>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</si>
  <si>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</si>
  <si>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</si>
  <si>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</si>
  <si>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</si>
  <si>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</si>
  <si>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</si>
  <si>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2026-10-16T09:07:48Z</t>
  </si>
  <si>
    <t xml:space="preserve">Drivers file</t>
  </si>
  <si>
    <t xml:space="preserve">1318.HK_Drivers.json</t>
  </si>
  <si>
    <t xml:space="preserve">Convention</t>
  </si>
  <si>
    <t xml:space="preserve">Percents stored as percents; formulas divide by 100. Blue = input, green = link, black = formula.</t>
  </si>
  <si>
    <t xml:space="preserve">Methodology</t>
  </si>
  <si>
    <t xml:space="preserve">summary: Value the company on fully-taxed, lease-charged, SBC-charged, interest-stripped owner free cash flow in RMB, discounted at a CNY cost of equity, with the RMB3.7bn net cash added once in the bridge, then translated to HKD at the spot rate for comparison with the HKEX quote. The question the model is answering is how much growth deceleration and margin compression the de-rated price already discounts.
key_risks_to_valuation: Margin path: every 1pp of permanent EBITDA margin is worth roughly 3% of the base value; the H1 FY2026 selling-expense ratio jump is the live datapoint.; Growth deceleration speed: the base assumes 22% fading to 8% by year 5; a faster fade toward the bear path halves the value.; Key-person and single-brand concentration: a reputational or succession event has no analogue in the driver paths beyond the bear weight.; CNY/HKD translation: a 5% RMB move shifts the HKD value 5% with no change in the business.; Platform concentration: half of product sales run through Tmall/Douyin/Xiaohongshu/JD, exposed to fee and algorithm changes.; Terminal value is the majority of EV in all scenarios; the Gordon value at 9.5%/3% (15.9x) sits below the 18x cap so the cap does not bind in the base case.</t>
  </si>
  <si>
    <t xml:space="preserve">Data sources</t>
  </si>
  <si>
    <t xml:space="preserve">price: Yahoo Finance chart API at inputs.price_as_of; 52-week range 42.92-111.90 HKD; FX from Yahoo HKDCNY=X at the time in inputs.fx_note
financials: 1318.HK_Metrics.csv (FY2022-FY2025, H1 FY2024-H1 FY2026) from the FY2024/FY2025 annual reports and H1 FY2025/H1 FY2026 interim reports; owner-FCF component lines (SBC, interest income, lease principal and interest, PPE capex, D&amp;A split, time deposits, FVTPL assets, share count) read from 1318.HK_HalfYear_H1-2026.txt and 1318.HK_Annual_FY2025.txt
qualitative: 1318.HK_Analysis.json (2026-10-16): competitive position, growth drivers, risks, FY2026 guidance (~30% sales/profit target, H1 FY2026 +26.2%/+20.3%), Morgan Stanley May-2026 margin commentary</t>
  </si>
  <si>
    <t xml:space="preserve">Scenario narrative: bear</t>
  </si>
  <si>
    <t xml:space="preserve">The premium price band becomes contested as Proya, Botanee and discounting international houses converge on it, Chinese discretionary spending stays weak, and Mao Geping has to spend its way to flat share: EBITDA margin falls to 25% and growth stalls at ~2% from year 4. Founder/key-person and single-brand concentration cap any re-rating; terminal growth 2% and a 15x cap. Cash flow stays positive - the stock's 60% fall from its 52-week high is pricing something close to this path.</t>
  </si>
  <si>
    <t xml:space="preserve">Scenario narrative: base</t>
  </si>
  <si>
    <t xml:space="preserve">Mao Geping keeps compounding as the leading China-founded premium beauty brand, with revenue growth decelerating from the mid-20s to single digits over five years as counter expansion saturates and online growth normalises, while EBITDA margin drifts from 33% toward 30% because advertising intensity (selling expense already 47% of revenue) has to stay high against Proya/Botanee premium entrants - the H1 FY2026 pattern of profit growing slower than sales persists. Factory and R&amp;D-centre capex rolls off after 2027, and the business remains a net-cash, ~25%-tax, SBC-free cash generator. The axes are (1) the rate of growth deceleration as the domestic premium segment matures and (2) whether marketing intensity stabilises or keeps rising.</t>
  </si>
  <si>
    <t xml:space="preserve">Scenario narrative: bull</t>
  </si>
  <si>
    <t xml:space="preserve">Management's ~30% growth target is close to delivered in FY2026 and the deceleration is slower, carried by skincare and fragrance scaling as second and third categories, the membership base (22m+, 33% repurchase rate) lifting lifetime value, and a credible overseas start from the Harbour City counter and Hong Kong institute. The in-house Hangzhou factory lowers COGS enough to hold EBITDA margin at ~34% despite marketing spend. Terminal growth 3.5% and a 20x cap reflect a durable premium brand.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</si>
  <si>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</si>
  <si>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</si>
  <si>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</si>
  <si>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</si>
  <si>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</si>
  <si>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</si>
  <si>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</si>
  <si>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</si>
  <si>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</si>
  <si>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</si>
  <si>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</si>
  <si>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</si>
  <si>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</si>
  <si>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</si>
  <si>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</si>
  <si>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</si>
  <si>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</si>
  <si>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</si>
  <si>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</si>
  <si>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</si>
  <si>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</si>
  <si>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</si>
  <si>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</si>
  <si>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</si>
  <si>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</si>
  <si>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</si>
  <si>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</si>
  <si>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TimeDeposits</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</si>
  <si>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</si>
  <si>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</si>
  <si>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</si>
  <si>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</si>
  <si>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</si>
  <si>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</si>
  <si>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</si>
  <si>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</si>
  <si>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</si>
  <si>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</si>
  <si>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</si>
  <si>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</si>
  <si>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</si>
  <si>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30 June 2026 (FY2025 + H1 FY2026 - H1 FY2025)</t>
  </si>
  <si>
    <t xml:space="preserve">Currency / units</t>
  </si>
  <si>
    <t xml:space="preserve">CNY millions</t>
  </si>
  <si>
    <t xml:space="preserve">FX rate (model -&gt; quote)</t>
  </si>
  <si>
    <t xml:space="preserve">BEAR</t>
  </si>
  <si>
    <t xml:space="preserve">TTM to 30 June 2027</t>
  </si>
  <si>
    <t xml:space="preserve">TTM to 30 June 2028</t>
  </si>
  <si>
    <t xml:space="preserve">TTM to 30 June 2029</t>
  </si>
  <si>
    <t xml:space="preserve">TTM to 30 June 2030</t>
  </si>
  <si>
    <t xml:space="preserve">TTM to 30 June 2031</t>
  </si>
  <si>
    <t xml:space="preserve">TTM to 30 June 2032</t>
  </si>
  <si>
    <t xml:space="preserve">TTM to 30 June 2033</t>
  </si>
  <si>
    <t xml:space="preserve">TTM to 30 June 2034</t>
  </si>
  <si>
    <t xml:space="preserve">TTM to 30 June 2035</t>
  </si>
  <si>
    <t xml:space="preserve">TTM to 30 June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</si>
  <si>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</si>
  <si>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</si>
  <si>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</si>
  <si>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</si>
  <si>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</si>
  <si>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</si>
  <si>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</si>
  <si>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</si>
  <si>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</si>
  <si>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</si>
  <si>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</si>
  <si>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</si>
  <si>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</si>
  <si>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</si>
  <si>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1318.HK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</si>
  <si>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</si>
  <si>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</si>
  <si>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</si>
  <si>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</si>
  <si>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</si>
  <si>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</si>
  <si>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</si>
  <si>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</si>
  <si>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</si>
  <si>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</si>
  <si>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</si>
  <si>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</si>
  <si>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</si>
  <si>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</si>
  <si>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</si>
  <si>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</si>
  <si>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</si>
  <si>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</si>
  <si>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</si>
  <si>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</si>
  <si>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</si>
  <si>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</si>
  <si>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</si>
  <si>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</si>
  <si>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</si>
  <si>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</si>
  <si>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</si>
  <si>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</si>
  <si>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</si>
  <si>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</si>
  <si>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1318.HK owner-FCF component DCF: base case (millions, CNY)</t>
  </si>
  <si>
    <t xml:space="preserve">1318.HK owner-FCF component DCF: bull case (millions, CNY)</t>
  </si>
  <si>
    <t xml:space="preserve">1318.HK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</si>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</sst>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43.82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1829.112</v>
      </c>
      <c r="C2" s="0" t="n">
        <v>295.834</v>
      </c>
      <c r="D2" s="0" t="n">
        <v>1533.278</v>
      </c>
      <c r="E2" s="0" t="n">
        <v>83.8</v>
      </c>
      <c r="I2" s="0" t="n">
        <v>352.095</v>
      </c>
      <c r="J2" s="0" t="n">
        <v>19.2</v>
      </c>
      <c r="K2" s="0" t="n">
        <v>1.76</v>
      </c>
      <c r="O2" s="0" t="n">
        <v>1134.516</v>
      </c>
      <c r="P2" s="0" t="n">
        <v>1555.91</v>
      </c>
      <c r="Q2" s="0" t="n">
        <v>421.394</v>
      </c>
      <c r="V2" s="0" t="n">
        <v>0</v>
      </c>
      <c r="AA2" s="0" t="s">
        <v>18</v>
      </c>
      <c r="AB2" s="0" t="s">
        <v>14</v>
      </c>
    </row>
    <row r="3" customFormat="false" ht="15" hidden="false" customHeight="false" outlineLevel="0" collapsed="false">
      <c r="A3" s="0" t="s">
        <v>66</v>
      </c>
      <c r="B3" s="0" t="n">
        <v>2885.964</v>
      </c>
      <c r="C3" s="0" t="n">
        <v>437.719</v>
      </c>
      <c r="D3" s="0" t="n">
        <v>2448.245</v>
      </c>
      <c r="E3" s="0" t="n">
        <v>84.8</v>
      </c>
      <c r="F3" s="0" t="n">
        <v>889.897</v>
      </c>
      <c r="G3" s="0" t="n">
        <v>30.8</v>
      </c>
      <c r="H3" s="0" t="n">
        <v>960.058</v>
      </c>
      <c r="I3" s="0" t="n">
        <v>661.928</v>
      </c>
      <c r="J3" s="0" t="n">
        <v>22.9</v>
      </c>
      <c r="K3" s="0" t="n">
        <v>3.31</v>
      </c>
      <c r="L3" s="0" t="n">
        <v>699.708</v>
      </c>
      <c r="M3" s="0" t="n">
        <v>204.699</v>
      </c>
      <c r="N3" s="0" t="n">
        <v>495.009</v>
      </c>
      <c r="O3" s="0" t="n">
        <v>1545.67</v>
      </c>
      <c r="P3" s="0" t="n">
        <v>2094.568</v>
      </c>
      <c r="Q3" s="0" t="n">
        <v>546.582</v>
      </c>
      <c r="R3" s="0" t="n">
        <v>0</v>
      </c>
      <c r="S3" s="0" t="n">
        <v>1137.894</v>
      </c>
      <c r="T3" s="0" t="n">
        <v>200</v>
      </c>
      <c r="U3" s="0" t="n">
        <v>0</v>
      </c>
      <c r="V3" s="0" t="n">
        <v>1.25</v>
      </c>
      <c r="AA3" s="0" t="s">
        <v>18</v>
      </c>
      <c r="AB3" s="0" t="s">
        <v>14</v>
      </c>
    </row>
    <row r="4" customFormat="false" ht="15" hidden="false" customHeight="false" outlineLevel="0" collapsed="false">
      <c r="A4" s="0" t="s">
        <v>67</v>
      </c>
      <c r="B4" s="0" t="n">
        <v>3884.694</v>
      </c>
      <c r="C4" s="0" t="n">
        <v>607.176</v>
      </c>
      <c r="D4" s="0" t="n">
        <v>3277.518</v>
      </c>
      <c r="E4" s="0" t="n">
        <v>84.4</v>
      </c>
      <c r="F4" s="0" t="n">
        <v>1182.04</v>
      </c>
      <c r="G4" s="0" t="n">
        <v>30.4</v>
      </c>
      <c r="H4" s="0" t="n">
        <v>1260.537</v>
      </c>
      <c r="I4" s="0" t="n">
        <v>880.611</v>
      </c>
      <c r="J4" s="0" t="n">
        <v>22.7</v>
      </c>
      <c r="K4" s="0" t="n">
        <v>2.18</v>
      </c>
      <c r="L4" s="0" t="n">
        <v>968.596</v>
      </c>
      <c r="M4" s="0" t="n">
        <v>615.907</v>
      </c>
      <c r="N4" s="0" t="n">
        <v>352.689</v>
      </c>
      <c r="O4" s="0" t="n">
        <v>3501.308</v>
      </c>
      <c r="P4" s="0" t="n">
        <v>4473.469</v>
      </c>
      <c r="Q4" s="0" t="n">
        <v>969.946</v>
      </c>
      <c r="R4" s="0" t="n">
        <v>320</v>
      </c>
      <c r="S4" s="0" t="n">
        <v>2796.456</v>
      </c>
      <c r="T4" s="0" t="n">
        <v>404.714</v>
      </c>
      <c r="U4" s="0" t="n">
        <v>15.024</v>
      </c>
      <c r="V4" s="0" t="n">
        <v>2.47</v>
      </c>
      <c r="AA4" s="0" t="s">
        <v>18</v>
      </c>
      <c r="AB4" s="0" t="s">
        <v>14</v>
      </c>
    </row>
    <row r="5" customFormat="false" ht="15" hidden="false" customHeight="false" outlineLevel="0" collapsed="false">
      <c r="A5" s="0" t="s">
        <v>68</v>
      </c>
      <c r="B5" s="0" t="n">
        <v>5050.455</v>
      </c>
      <c r="C5" s="0" t="n">
        <v>796.77</v>
      </c>
      <c r="D5" s="0" t="n">
        <v>4253.685</v>
      </c>
      <c r="E5" s="0" t="n">
        <v>84.2</v>
      </c>
      <c r="F5" s="0" t="n">
        <v>1609.473</v>
      </c>
      <c r="G5" s="0" t="n">
        <v>31.9</v>
      </c>
      <c r="H5" s="0" t="n">
        <v>1700.318</v>
      </c>
      <c r="I5" s="0" t="n">
        <v>1204.094</v>
      </c>
      <c r="J5" s="0" t="n">
        <v>23.8</v>
      </c>
      <c r="K5" s="0" t="n">
        <v>2.46</v>
      </c>
      <c r="L5" s="0" t="n">
        <v>1199.426</v>
      </c>
      <c r="M5" s="0" t="n">
        <v>187</v>
      </c>
      <c r="N5" s="0" t="n">
        <v>1012.426</v>
      </c>
      <c r="O5" s="0" t="n">
        <v>4666.363</v>
      </c>
      <c r="P5" s="0" t="n">
        <v>5532.985</v>
      </c>
      <c r="Q5" s="0" t="n">
        <v>863.061</v>
      </c>
      <c r="R5" s="0" t="n">
        <v>0</v>
      </c>
      <c r="S5" s="0" t="n">
        <v>3433.923</v>
      </c>
      <c r="T5" s="0" t="n">
        <v>489.961</v>
      </c>
      <c r="U5" s="0" t="n">
        <v>3.654</v>
      </c>
      <c r="V5" s="0" t="n">
        <v>0.72</v>
      </c>
      <c r="AA5" s="0" t="s">
        <v>18</v>
      </c>
      <c r="AB5" s="0" t="s">
        <v>14</v>
      </c>
      <c r="AC5" s="0" t="n">
        <v>992.638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69</v>
      </c>
      <c r="B1" s="2" t="s">
        <v>70</v>
      </c>
    </row>
    <row r="2" customFormat="false" ht="15" hidden="false" customHeight="false" outlineLevel="0" collapsed="false">
      <c r="A2" s="0" t="s">
        <v>71</v>
      </c>
      <c r="B2" s="3" t="n">
        <v>43.82</v>
      </c>
    </row>
    <row r="3" customFormat="false" ht="15" hidden="false" customHeight="false" outlineLevel="0" collapsed="false">
      <c r="A3" s="0" t="s">
        <v>72</v>
      </c>
      <c r="B3" s="3" t="n">
        <v>490.2</v>
      </c>
    </row>
    <row r="4" customFormat="false" ht="15" hidden="false" customHeight="false" outlineLevel="0" collapsed="false">
      <c r="A4" s="0" t="s">
        <v>73</v>
      </c>
      <c r="B4" s="3" t="n">
        <v>-3659.4</v>
      </c>
    </row>
    <row r="5" customFormat="false" ht="15" hidden="false" customHeight="false" outlineLevel="0" collapsed="false">
      <c r="A5" s="0" t="s">
        <v>74</v>
      </c>
      <c r="B5" s="3" t="n">
        <v>0</v>
      </c>
    </row>
    <row r="6" customFormat="false" ht="15" hidden="false" customHeight="false" outlineLevel="0" collapsed="false">
      <c r="A6" s="0" t="s">
        <v>75</v>
      </c>
      <c r="B6" s="3" t="n">
        <v>15</v>
      </c>
    </row>
    <row r="7" customFormat="false" ht="15" hidden="false" customHeight="false" outlineLevel="0" collapsed="false">
      <c r="A7" s="0" t="s">
        <v>76</v>
      </c>
      <c r="B7" s="3" t="n">
        <v>5729.5</v>
      </c>
    </row>
    <row r="8" customFormat="false" ht="15" hidden="false" customHeight="false" outlineLevel="0" collapsed="false">
      <c r="A8" s="0" t="s">
        <v>77</v>
      </c>
      <c r="B8" s="3" t="s">
        <v>78</v>
      </c>
    </row>
    <row r="9" customFormat="false" ht="15" hidden="false" customHeight="false" outlineLevel="0" collapsed="false">
      <c r="A9" s="0" t="s">
        <v>79</v>
      </c>
      <c r="B9" s="3" t="s">
        <v>80</v>
      </c>
    </row>
    <row r="10" customFormat="false" ht="15" hidden="false" customHeight="false" outlineLevel="0" collapsed="false">
      <c r="A10" s="0" t="s">
        <v>81</v>
      </c>
      <c r="B10" s="3" t="n">
        <v>1.1744</v>
      </c>
    </row>
    <row r="12" customFormat="false" ht="15" hidden="false" customHeight="false" outlineLevel="0" collapsed="false">
      <c r="A12" s="2" t="s">
        <v>82</v>
      </c>
      <c r="C12" s="2" t="s">
        <v>83</v>
      </c>
      <c r="D12" s="2" t="s">
        <v>84</v>
      </c>
      <c r="E12" s="2" t="s">
        <v>85</v>
      </c>
      <c r="F12" s="2" t="s">
        <v>86</v>
      </c>
      <c r="G12" s="2" t="s">
        <v>87</v>
      </c>
      <c r="H12" s="2" t="s">
        <v>88</v>
      </c>
      <c r="I12" s="2" t="s">
        <v>89</v>
      </c>
      <c r="J12" s="2" t="s">
        <v>90</v>
      </c>
      <c r="K12" s="2" t="s">
        <v>91</v>
      </c>
      <c r="L12" s="2" t="s">
        <v>92</v>
      </c>
    </row>
    <row r="13" customFormat="false" ht="15" hidden="false" customHeight="false" outlineLevel="0" collapsed="false">
      <c r="A13" s="0" t="s">
        <v>93</v>
      </c>
      <c r="C13" s="3" t="n">
        <v>14</v>
      </c>
      <c r="D13" s="3" t="n">
        <v>7</v>
      </c>
      <c r="E13" s="3" t="n">
        <v>3</v>
      </c>
      <c r="F13" s="3" t="n">
        <v>2</v>
      </c>
      <c r="G13" s="3" t="n">
        <v>2</v>
      </c>
      <c r="H13" s="3" t="n">
        <v>2</v>
      </c>
      <c r="I13" s="3" t="n">
        <v>2</v>
      </c>
      <c r="J13" s="3" t="n">
        <v>2</v>
      </c>
      <c r="K13" s="3" t="n">
        <v>2</v>
      </c>
      <c r="L13" s="3" t="n">
        <v>2</v>
      </c>
    </row>
    <row r="14" customFormat="false" ht="15" hidden="false" customHeight="false" outlineLevel="0" collapsed="false">
      <c r="A14" s="0" t="s">
        <v>94</v>
      </c>
      <c r="C14" s="3" t="n">
        <v>30</v>
      </c>
      <c r="D14" s="3" t="n">
        <v>28</v>
      </c>
      <c r="E14" s="3" t="n">
        <v>26.5</v>
      </c>
      <c r="F14" s="3" t="n">
        <v>25.5</v>
      </c>
      <c r="G14" s="3" t="n">
        <v>25</v>
      </c>
      <c r="H14" s="3" t="n">
        <v>25</v>
      </c>
      <c r="I14" s="3" t="n">
        <v>25</v>
      </c>
      <c r="J14" s="3" t="n">
        <v>25</v>
      </c>
      <c r="K14" s="3" t="n">
        <v>25</v>
      </c>
      <c r="L14" s="3" t="n">
        <v>25</v>
      </c>
    </row>
    <row r="15" customFormat="false" ht="15" hidden="false" customHeight="false" outlineLevel="0" collapsed="false">
      <c r="A15" s="0" t="s">
        <v>95</v>
      </c>
      <c r="C15" s="3" t="n">
        <v>0.25</v>
      </c>
      <c r="D15" s="3" t="n">
        <v>0.25</v>
      </c>
      <c r="E15" s="3" t="n">
        <v>0.2</v>
      </c>
      <c r="F15" s="3" t="n">
        <v>0.2</v>
      </c>
      <c r="G15" s="3" t="n">
        <v>0.2</v>
      </c>
      <c r="H15" s="3" t="n">
        <v>0.2</v>
      </c>
      <c r="I15" s="3" t="n">
        <v>0.2</v>
      </c>
      <c r="J15" s="3" t="n">
        <v>0.2</v>
      </c>
      <c r="K15" s="3" t="n">
        <v>0.2</v>
      </c>
      <c r="L15" s="3" t="n">
        <v>0.2</v>
      </c>
    </row>
    <row r="16" customFormat="false" ht="15" hidden="false" customHeight="false" outlineLevel="0" collapsed="false">
      <c r="A16" s="0" t="s">
        <v>96</v>
      </c>
      <c r="C16" s="3" t="n">
        <v>1</v>
      </c>
      <c r="D16" s="3" t="n">
        <v>1</v>
      </c>
      <c r="E16" s="3" t="n">
        <v>1</v>
      </c>
      <c r="F16" s="3" t="n">
        <v>1</v>
      </c>
      <c r="G16" s="3" t="n">
        <v>1</v>
      </c>
      <c r="H16" s="3" t="n">
        <v>1</v>
      </c>
      <c r="I16" s="3" t="n">
        <v>1</v>
      </c>
      <c r="J16" s="3" t="n">
        <v>1</v>
      </c>
      <c r="K16" s="3" t="n">
        <v>1</v>
      </c>
      <c r="L16" s="3" t="n">
        <v>1</v>
      </c>
    </row>
    <row r="17" customFormat="false" ht="15" hidden="false" customHeight="false" outlineLevel="0" collapsed="false">
      <c r="A17" s="0" t="s">
        <v>97</v>
      </c>
      <c r="C17" s="3" t="n">
        <v>1.1</v>
      </c>
      <c r="D17" s="3" t="n">
        <v>1.2</v>
      </c>
      <c r="E17" s="3" t="n">
        <v>1.3</v>
      </c>
      <c r="F17" s="3" t="n">
        <v>1.4</v>
      </c>
      <c r="G17" s="3" t="n">
        <v>1.5</v>
      </c>
      <c r="H17" s="3" t="n">
        <v>1.5</v>
      </c>
      <c r="I17" s="3" t="n">
        <v>1.5</v>
      </c>
      <c r="J17" s="3" t="n">
        <v>1.5</v>
      </c>
      <c r="K17" s="3" t="n">
        <v>1.5</v>
      </c>
      <c r="L17" s="3" t="n">
        <v>1.5</v>
      </c>
    </row>
    <row r="18" customFormat="false" ht="15" hidden="false" customHeight="false" outlineLevel="0" collapsed="false">
      <c r="A18" s="0" t="s">
        <v>98</v>
      </c>
      <c r="C18" s="3" t="n">
        <v>3.5</v>
      </c>
      <c r="D18" s="3" t="n">
        <v>3</v>
      </c>
      <c r="E18" s="3" t="n">
        <v>2.5</v>
      </c>
      <c r="F18" s="3" t="n">
        <v>2.2</v>
      </c>
      <c r="G18" s="3" t="n">
        <v>2</v>
      </c>
      <c r="H18" s="3" t="n">
        <v>2</v>
      </c>
      <c r="I18" s="3" t="n">
        <v>2</v>
      </c>
      <c r="J18" s="3" t="n">
        <v>2</v>
      </c>
      <c r="K18" s="3" t="n">
        <v>2</v>
      </c>
      <c r="L18" s="3" t="n">
        <v>2</v>
      </c>
    </row>
    <row r="19" customFormat="false" ht="15" hidden="false" customHeight="false" outlineLevel="0" collapsed="false">
      <c r="A19" s="0" t="s">
        <v>99</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100</v>
      </c>
      <c r="B20" s="3" t="n">
        <v>9.5</v>
      </c>
    </row>
    <row r="21" customFormat="false" ht="15" hidden="false" customHeight="false" outlineLevel="0" collapsed="false">
      <c r="A21" s="0" t="s">
        <v>101</v>
      </c>
      <c r="B21" s="3" t="n">
        <v>2</v>
      </c>
    </row>
    <row r="22" customFormat="false" ht="15" hidden="false" customHeight="false" outlineLevel="0" collapsed="false">
      <c r="A22" s="0" t="s">
        <v>102</v>
      </c>
      <c r="B22" s="3" t="n">
        <v>15</v>
      </c>
    </row>
    <row r="23" customFormat="false" ht="15" hidden="false" customHeight="false" outlineLevel="0" collapsed="false">
      <c r="A23" s="0" t="s">
        <v>103</v>
      </c>
      <c r="B23" s="3" t="n">
        <v>-10</v>
      </c>
    </row>
    <row r="24" customFormat="false" ht="15" hidden="false" customHeight="false" outlineLevel="0" collapsed="false">
      <c r="A24" s="0" t="s">
        <v>104</v>
      </c>
      <c r="B24" s="3" t="n">
        <v>0.25</v>
      </c>
    </row>
    <row r="26" customFormat="false" ht="15" hidden="false" customHeight="false" outlineLevel="0" collapsed="false">
      <c r="A26" s="2" t="s">
        <v>105</v>
      </c>
      <c r="C26" s="2" t="s">
        <v>83</v>
      </c>
      <c r="D26" s="2" t="s">
        <v>84</v>
      </c>
      <c r="E26" s="2" t="s">
        <v>85</v>
      </c>
      <c r="F26" s="2" t="s">
        <v>86</v>
      </c>
      <c r="G26" s="2" t="s">
        <v>87</v>
      </c>
      <c r="H26" s="2" t="s">
        <v>88</v>
      </c>
      <c r="I26" s="2" t="s">
        <v>89</v>
      </c>
      <c r="J26" s="2" t="s">
        <v>90</v>
      </c>
      <c r="K26" s="2" t="s">
        <v>91</v>
      </c>
      <c r="L26" s="2" t="s">
        <v>92</v>
      </c>
    </row>
    <row r="27" customFormat="false" ht="15" hidden="false" customHeight="false" outlineLevel="0" collapsed="false">
      <c r="A27" s="0" t="s">
        <v>93</v>
      </c>
      <c r="C27" s="3" t="n">
        <v>22</v>
      </c>
      <c r="D27" s="3" t="n">
        <v>17</v>
      </c>
      <c r="E27" s="3" t="n">
        <v>13</v>
      </c>
      <c r="F27" s="3" t="n">
        <v>10</v>
      </c>
      <c r="G27" s="3" t="n">
        <v>8</v>
      </c>
      <c r="H27" s="3" t="n">
        <v>6</v>
      </c>
      <c r="I27" s="3" t="n">
        <v>5</v>
      </c>
      <c r="J27" s="3" t="n">
        <v>4</v>
      </c>
      <c r="K27" s="3" t="n">
        <v>3.5</v>
      </c>
      <c r="L27" s="3" t="n">
        <v>3</v>
      </c>
    </row>
    <row r="28" customFormat="false" ht="15" hidden="false" customHeight="false" outlineLevel="0" collapsed="false">
      <c r="A28" s="0" t="s">
        <v>94</v>
      </c>
      <c r="C28" s="3" t="n">
        <v>32</v>
      </c>
      <c r="D28" s="3" t="n">
        <v>31.5</v>
      </c>
      <c r="E28" s="3" t="n">
        <v>31</v>
      </c>
      <c r="F28" s="3" t="n">
        <v>30.5</v>
      </c>
      <c r="G28" s="3" t="n">
        <v>30</v>
      </c>
      <c r="H28" s="3" t="n">
        <v>30</v>
      </c>
      <c r="I28" s="3" t="n">
        <v>30</v>
      </c>
      <c r="J28" s="3" t="n">
        <v>30</v>
      </c>
      <c r="K28" s="3" t="n">
        <v>30</v>
      </c>
      <c r="L28" s="3" t="n">
        <v>30</v>
      </c>
    </row>
    <row r="29" customFormat="false" ht="15" hidden="false" customHeight="false" outlineLevel="0" collapsed="false">
      <c r="A29" s="0" t="s">
        <v>95</v>
      </c>
      <c r="C29" s="3" t="n">
        <v>0.25</v>
      </c>
      <c r="D29" s="3" t="n">
        <v>0.25</v>
      </c>
      <c r="E29" s="3" t="n">
        <v>0.2</v>
      </c>
      <c r="F29" s="3" t="n">
        <v>0.2</v>
      </c>
      <c r="G29" s="3" t="n">
        <v>0.2</v>
      </c>
      <c r="H29" s="3" t="n">
        <v>0.2</v>
      </c>
      <c r="I29" s="3" t="n">
        <v>0.2</v>
      </c>
      <c r="J29" s="3" t="n">
        <v>0.2</v>
      </c>
      <c r="K29" s="3" t="n">
        <v>0.2</v>
      </c>
      <c r="L29" s="3" t="n">
        <v>0.2</v>
      </c>
    </row>
    <row r="30" customFormat="false" ht="15" hidden="false" customHeight="false" outlineLevel="0" collapsed="false">
      <c r="A30" s="0" t="s">
        <v>96</v>
      </c>
      <c r="C30" s="3" t="n">
        <v>0.9</v>
      </c>
      <c r="D30" s="3" t="n">
        <v>0.9</v>
      </c>
      <c r="E30" s="3" t="n">
        <v>0.9</v>
      </c>
      <c r="F30" s="3" t="n">
        <v>0.9</v>
      </c>
      <c r="G30" s="3" t="n">
        <v>0.9</v>
      </c>
      <c r="H30" s="3" t="n">
        <v>0.9</v>
      </c>
      <c r="I30" s="3" t="n">
        <v>0.9</v>
      </c>
      <c r="J30" s="3" t="n">
        <v>0.9</v>
      </c>
      <c r="K30" s="3" t="n">
        <v>0.9</v>
      </c>
      <c r="L30" s="3" t="n">
        <v>0.9</v>
      </c>
    </row>
    <row r="31" customFormat="false" ht="15" hidden="false" customHeight="false" outlineLevel="0" collapsed="false">
      <c r="A31" s="0" t="s">
        <v>97</v>
      </c>
      <c r="C31" s="3" t="n">
        <v>1.1</v>
      </c>
      <c r="D31" s="3" t="n">
        <v>1.2</v>
      </c>
      <c r="E31" s="3" t="n">
        <v>1.3</v>
      </c>
      <c r="F31" s="3" t="n">
        <v>1.4</v>
      </c>
      <c r="G31" s="3" t="n">
        <v>1.5</v>
      </c>
      <c r="H31" s="3" t="n">
        <v>1.5</v>
      </c>
      <c r="I31" s="3" t="n">
        <v>1.5</v>
      </c>
      <c r="J31" s="3" t="n">
        <v>1.5</v>
      </c>
      <c r="K31" s="3" t="n">
        <v>1.5</v>
      </c>
      <c r="L31" s="3" t="n">
        <v>1.5</v>
      </c>
    </row>
    <row r="32" customFormat="false" ht="15" hidden="false" customHeight="false" outlineLevel="0" collapsed="false">
      <c r="A32" s="0" t="s">
        <v>98</v>
      </c>
      <c r="C32" s="3" t="n">
        <v>3.5</v>
      </c>
      <c r="D32" s="3" t="n">
        <v>3.2</v>
      </c>
      <c r="E32" s="3" t="n">
        <v>2.8</v>
      </c>
      <c r="F32" s="3" t="n">
        <v>2.5</v>
      </c>
      <c r="G32" s="3" t="n">
        <v>2.3</v>
      </c>
      <c r="H32" s="3" t="n">
        <v>2.2</v>
      </c>
      <c r="I32" s="3" t="n">
        <v>2.1</v>
      </c>
      <c r="J32" s="3" t="n">
        <v>2</v>
      </c>
      <c r="K32" s="3" t="n">
        <v>2</v>
      </c>
      <c r="L32" s="3" t="n">
        <v>2</v>
      </c>
    </row>
    <row r="33" customFormat="false" ht="15" hidden="false" customHeight="false" outlineLevel="0" collapsed="false">
      <c r="A33" s="0" t="s">
        <v>99</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100</v>
      </c>
      <c r="B34" s="3" t="n">
        <v>9.5</v>
      </c>
    </row>
    <row r="35" customFormat="false" ht="15" hidden="false" customHeight="false" outlineLevel="0" collapsed="false">
      <c r="A35" s="0" t="s">
        <v>101</v>
      </c>
      <c r="B35" s="3" t="n">
        <v>3</v>
      </c>
    </row>
    <row r="36" customFormat="false" ht="15" hidden="false" customHeight="false" outlineLevel="0" collapsed="false">
      <c r="A36" s="0" t="s">
        <v>102</v>
      </c>
      <c r="B36" s="3" t="n">
        <v>18</v>
      </c>
    </row>
    <row r="37" customFormat="false" ht="15" hidden="false" customHeight="false" outlineLevel="0" collapsed="false">
      <c r="A37" s="0" t="s">
        <v>103</v>
      </c>
      <c r="B37" s="3" t="n">
        <v>-10</v>
      </c>
    </row>
    <row r="38" customFormat="false" ht="15" hidden="false" customHeight="false" outlineLevel="0" collapsed="false">
      <c r="A38" s="0" t="s">
        <v>104</v>
      </c>
      <c r="B38" s="3" t="n">
        <v>0.5</v>
      </c>
    </row>
    <row r="40" customFormat="false" ht="15" hidden="false" customHeight="false" outlineLevel="0" collapsed="false">
      <c r="A40" s="2" t="s">
        <v>106</v>
      </c>
      <c r="C40" s="2" t="s">
        <v>83</v>
      </c>
      <c r="D40" s="2" t="s">
        <v>84</v>
      </c>
      <c r="E40" s="2" t="s">
        <v>85</v>
      </c>
      <c r="F40" s="2" t="s">
        <v>86</v>
      </c>
      <c r="G40" s="2" t="s">
        <v>87</v>
      </c>
      <c r="H40" s="2" t="s">
        <v>88</v>
      </c>
      <c r="I40" s="2" t="s">
        <v>89</v>
      </c>
      <c r="J40" s="2" t="s">
        <v>90</v>
      </c>
      <c r="K40" s="2" t="s">
        <v>91</v>
      </c>
      <c r="L40" s="2" t="s">
        <v>92</v>
      </c>
    </row>
    <row r="41" customFormat="false" ht="15" hidden="false" customHeight="false" outlineLevel="0" collapsed="false">
      <c r="A41" s="0" t="s">
        <v>93</v>
      </c>
      <c r="C41" s="3" t="n">
        <v>27</v>
      </c>
      <c r="D41" s="3" t="n">
        <v>23</v>
      </c>
      <c r="E41" s="3" t="n">
        <v>18</v>
      </c>
      <c r="F41" s="3" t="n">
        <v>14</v>
      </c>
      <c r="G41" s="3" t="n">
        <v>11</v>
      </c>
      <c r="H41" s="3" t="n">
        <v>9</v>
      </c>
      <c r="I41" s="3" t="n">
        <v>7</v>
      </c>
      <c r="J41" s="3" t="n">
        <v>5</v>
      </c>
      <c r="K41" s="3" t="n">
        <v>4</v>
      </c>
      <c r="L41" s="3" t="n">
        <v>3.5</v>
      </c>
    </row>
    <row r="42" customFormat="false" ht="15" hidden="false" customHeight="false" outlineLevel="0" collapsed="false">
      <c r="A42" s="0" t="s">
        <v>94</v>
      </c>
      <c r="C42" s="3" t="n">
        <v>33</v>
      </c>
      <c r="D42" s="3" t="n">
        <v>33</v>
      </c>
      <c r="E42" s="3" t="n">
        <v>33.5</v>
      </c>
      <c r="F42" s="3" t="n">
        <v>34</v>
      </c>
      <c r="G42" s="3" t="n">
        <v>34</v>
      </c>
      <c r="H42" s="3" t="n">
        <v>34</v>
      </c>
      <c r="I42" s="3" t="n">
        <v>34</v>
      </c>
      <c r="J42" s="3" t="n">
        <v>34</v>
      </c>
      <c r="K42" s="3" t="n">
        <v>34</v>
      </c>
      <c r="L42" s="3" t="n">
        <v>34</v>
      </c>
    </row>
    <row r="43" customFormat="false" ht="15" hidden="false" customHeight="false" outlineLevel="0" collapsed="false">
      <c r="A43" s="0" t="s">
        <v>95</v>
      </c>
      <c r="C43" s="3" t="n">
        <v>0.25</v>
      </c>
      <c r="D43" s="3" t="n">
        <v>0.25</v>
      </c>
      <c r="E43" s="3" t="n">
        <v>0.2</v>
      </c>
      <c r="F43" s="3" t="n">
        <v>0.2</v>
      </c>
      <c r="G43" s="3" t="n">
        <v>0.2</v>
      </c>
      <c r="H43" s="3" t="n">
        <v>0.2</v>
      </c>
      <c r="I43" s="3" t="n">
        <v>0.2</v>
      </c>
      <c r="J43" s="3" t="n">
        <v>0.2</v>
      </c>
      <c r="K43" s="3" t="n">
        <v>0.2</v>
      </c>
      <c r="L43" s="3" t="n">
        <v>0.2</v>
      </c>
    </row>
    <row r="44" customFormat="false" ht="15" hidden="false" customHeight="false" outlineLevel="0" collapsed="false">
      <c r="A44" s="0" t="s">
        <v>96</v>
      </c>
      <c r="C44" s="3" t="n">
        <v>0.9</v>
      </c>
      <c r="D44" s="3" t="n">
        <v>0.9</v>
      </c>
      <c r="E44" s="3" t="n">
        <v>0.9</v>
      </c>
      <c r="F44" s="3" t="n">
        <v>0.9</v>
      </c>
      <c r="G44" s="3" t="n">
        <v>0.9</v>
      </c>
      <c r="H44" s="3" t="n">
        <v>0.9</v>
      </c>
      <c r="I44" s="3" t="n">
        <v>0.9</v>
      </c>
      <c r="J44" s="3" t="n">
        <v>0.9</v>
      </c>
      <c r="K44" s="3" t="n">
        <v>0.9</v>
      </c>
      <c r="L44" s="3" t="n">
        <v>0.9</v>
      </c>
    </row>
    <row r="45" customFormat="false" ht="15" hidden="false" customHeight="false" outlineLevel="0" collapsed="false">
      <c r="A45" s="0" t="s">
        <v>97</v>
      </c>
      <c r="C45" s="3" t="n">
        <v>1.1</v>
      </c>
      <c r="D45" s="3" t="n">
        <v>1.2</v>
      </c>
      <c r="E45" s="3" t="n">
        <v>1.3</v>
      </c>
      <c r="F45" s="3" t="n">
        <v>1.4</v>
      </c>
      <c r="G45" s="3" t="n">
        <v>1.5</v>
      </c>
      <c r="H45" s="3" t="n">
        <v>1.5</v>
      </c>
      <c r="I45" s="3" t="n">
        <v>1.5</v>
      </c>
      <c r="J45" s="3" t="n">
        <v>1.5</v>
      </c>
      <c r="K45" s="3" t="n">
        <v>1.5</v>
      </c>
      <c r="L45" s="3" t="n">
        <v>1.5</v>
      </c>
    </row>
    <row r="46" customFormat="false" ht="15" hidden="false" customHeight="false" outlineLevel="0" collapsed="false">
      <c r="A46" s="0" t="s">
        <v>98</v>
      </c>
      <c r="C46" s="3" t="n">
        <v>3.5</v>
      </c>
      <c r="D46" s="3" t="n">
        <v>3.2</v>
      </c>
      <c r="E46" s="3" t="n">
        <v>2.8</v>
      </c>
      <c r="F46" s="3" t="n">
        <v>2.5</v>
      </c>
      <c r="G46" s="3" t="n">
        <v>2.3</v>
      </c>
      <c r="H46" s="3" t="n">
        <v>2.2</v>
      </c>
      <c r="I46" s="3" t="n">
        <v>2.1</v>
      </c>
      <c r="J46" s="3" t="n">
        <v>2</v>
      </c>
      <c r="K46" s="3" t="n">
        <v>2</v>
      </c>
      <c r="L46" s="3" t="n">
        <v>2</v>
      </c>
    </row>
    <row r="47" customFormat="false" ht="15" hidden="false" customHeight="false" outlineLevel="0" collapsed="false">
      <c r="A47" s="0" t="s">
        <v>99</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100</v>
      </c>
      <c r="B48" s="3" t="n">
        <v>9.5</v>
      </c>
    </row>
    <row r="49" customFormat="false" ht="15" hidden="false" customHeight="false" outlineLevel="0" collapsed="false">
      <c r="A49" s="0" t="s">
        <v>101</v>
      </c>
      <c r="B49" s="3" t="n">
        <v>3.5</v>
      </c>
    </row>
    <row r="50" customFormat="false" ht="15" hidden="false" customHeight="false" outlineLevel="0" collapsed="false">
      <c r="A50" s="0" t="s">
        <v>102</v>
      </c>
      <c r="B50" s="3" t="n">
        <v>20</v>
      </c>
    </row>
    <row r="51" customFormat="false" ht="15" hidden="false" customHeight="false" outlineLevel="0" collapsed="false">
      <c r="A51" s="0" t="s">
        <v>103</v>
      </c>
      <c r="B51" s="3" t="n">
        <v>-10</v>
      </c>
    </row>
    <row r="52" customFormat="false" ht="15" hidden="false" customHeight="false" outlineLevel="0" collapsed="false">
      <c r="A52" s="0" t="s">
        <v>104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107</v>
      </c>
    </row>
    <row r="3" customFormat="false" ht="15" hidden="false" customHeight="false" outlineLevel="0" collapsed="false">
      <c r="A3" s="0" t="s">
        <v>108</v>
      </c>
      <c r="B3" s="0" t="s">
        <v>78</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Assumptions!C13</f>
        <v>14</v>
      </c>
      <c r="D5" s="4" t="n">
        <f aca="false">Assumptions!D13</f>
        <v>7</v>
      </c>
      <c r="E5" s="4" t="n">
        <f aca="false">Assumptions!E13</f>
        <v>3</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5729.5</v>
      </c>
      <c r="C6" s="0" t="n">
        <f aca="false">B6*(1+C5/100)</f>
        <v>6531.63</v>
      </c>
      <c r="D6" s="0" t="n">
        <f aca="false">C6*(1+D5/100)</f>
        <v>6988.8441</v>
      </c>
      <c r="E6" s="0" t="n">
        <f aca="false">D6*(1+E5/100)</f>
        <v>7198.509423</v>
      </c>
      <c r="F6" s="0" t="n">
        <f aca="false">E6*(1+F5/100)</f>
        <v>7342.47961146</v>
      </c>
      <c r="G6" s="0" t="n">
        <f aca="false">F6*(1+G5/100)</f>
        <v>7489.3292036892</v>
      </c>
      <c r="H6" s="0" t="n">
        <f aca="false">G6*(1+H5/100)</f>
        <v>7639.11578776299</v>
      </c>
      <c r="I6" s="0" t="n">
        <f aca="false">H6*(1+I5/100)</f>
        <v>7791.89810351825</v>
      </c>
      <c r="J6" s="0" t="n">
        <f aca="false">I6*(1+J5/100)</f>
        <v>7947.73606558861</v>
      </c>
      <c r="K6" s="0" t="n">
        <f aca="false">J6*(1+K5/100)</f>
        <v>8106.69078690038</v>
      </c>
      <c r="L6" s="0" t="n">
        <f aca="false">K6*(1+L5/100)</f>
        <v>8268.82460263839</v>
      </c>
    </row>
    <row r="7" customFormat="false" ht="15" hidden="false" customHeight="false" outlineLevel="0" collapsed="false">
      <c r="A7" s="0" t="s">
        <v>94</v>
      </c>
      <c r="C7" s="4" t="n">
        <f aca="false">Assumptions!C14</f>
        <v>30</v>
      </c>
      <c r="D7" s="4" t="n">
        <f aca="false">Assumptions!D14</f>
        <v>28</v>
      </c>
      <c r="E7" s="4" t="n">
        <f aca="false">Assumptions!E14</f>
        <v>26.5</v>
      </c>
      <c r="F7" s="4" t="n">
        <f aca="false">Assumptions!F14</f>
        <v>25.5</v>
      </c>
      <c r="G7" s="4" t="n">
        <f aca="false">Assumptions!G14</f>
        <v>25</v>
      </c>
      <c r="H7" s="4" t="n">
        <f aca="false">Assumptions!H14</f>
        <v>25</v>
      </c>
      <c r="I7" s="4" t="n">
        <f aca="false">Assumptions!I14</f>
        <v>25</v>
      </c>
      <c r="J7" s="4" t="n">
        <f aca="false">Assumptions!J14</f>
        <v>25</v>
      </c>
      <c r="K7" s="4" t="n">
        <f aca="false">Assumptions!K14</f>
        <v>25</v>
      </c>
      <c r="L7" s="4" t="n">
        <f aca="false">Assumptions!L14</f>
        <v>25</v>
      </c>
    </row>
    <row r="8" customFormat="false" ht="15" hidden="false" customHeight="false" outlineLevel="0" collapsed="false">
      <c r="A8" s="0" t="s">
        <v>44</v>
      </c>
      <c r="C8" s="0" t="n">
        <f aca="false">C6*C7/100</f>
        <v>1959.489</v>
      </c>
      <c r="D8" s="0" t="n">
        <f aca="false">D6*D7/100</f>
        <v>1956.876348</v>
      </c>
      <c r="E8" s="0" t="n">
        <f aca="false">E6*E7/100</f>
        <v>1907.604997095</v>
      </c>
      <c r="F8" s="0" t="n">
        <f aca="false">F6*F7/100</f>
        <v>1872.3323009223</v>
      </c>
      <c r="G8" s="0" t="n">
        <f aca="false">G6*G7/100</f>
        <v>1872.3323009223</v>
      </c>
      <c r="H8" s="0" t="n">
        <f aca="false">H6*H7/100</f>
        <v>1909.77894694075</v>
      </c>
      <c r="I8" s="0" t="n">
        <f aca="false">I6*I7/100</f>
        <v>1947.97452587956</v>
      </c>
      <c r="J8" s="0" t="n">
        <f aca="false">J6*J7/100</f>
        <v>1986.93401639715</v>
      </c>
      <c r="K8" s="0" t="n">
        <f aca="false">K6*K7/100</f>
        <v>2026.6726967251</v>
      </c>
      <c r="L8" s="0" t="n">
        <f aca="false">L6*L7/100</f>
        <v>2067.2061506596</v>
      </c>
    </row>
    <row r="9" customFormat="false" ht="15" hidden="false" customHeight="false" outlineLevel="0" collapsed="false">
      <c r="A9" s="0" t="s">
        <v>95</v>
      </c>
      <c r="C9" s="4" t="n">
        <f aca="false">Assumptions!C15</f>
        <v>0.25</v>
      </c>
      <c r="D9" s="4" t="n">
        <f aca="false">Assumptions!D15</f>
        <v>0.25</v>
      </c>
      <c r="E9" s="4" t="n">
        <f aca="false">Assumptions!E15</f>
        <v>0.2</v>
      </c>
      <c r="F9" s="4" t="n">
        <f aca="false">Assumptions!F15</f>
        <v>0.2</v>
      </c>
      <c r="G9" s="4" t="n">
        <f aca="false">Assumptions!G15</f>
        <v>0.2</v>
      </c>
      <c r="H9" s="4" t="n">
        <f aca="false">Assumptions!H15</f>
        <v>0.2</v>
      </c>
      <c r="I9" s="4" t="n">
        <f aca="false">Assumptions!I15</f>
        <v>0.2</v>
      </c>
      <c r="J9" s="4" t="n">
        <f aca="false">Assumptions!J15</f>
        <v>0.2</v>
      </c>
      <c r="K9" s="4" t="n">
        <f aca="false">Assumptions!K15</f>
        <v>0.2</v>
      </c>
      <c r="L9" s="4" t="n">
        <f aca="false">Assumptions!L15</f>
        <v>0.2</v>
      </c>
    </row>
    <row r="10" customFormat="false" ht="15" hidden="false" customHeight="false" outlineLevel="0" collapsed="false">
      <c r="A10" s="0" t="s">
        <v>110</v>
      </c>
      <c r="C10" s="0" t="n">
        <f aca="false">-C6*C9/100</f>
        <v>-16.329075</v>
      </c>
      <c r="D10" s="0" t="n">
        <f aca="false">-D6*D9/100</f>
        <v>-17.47211025</v>
      </c>
      <c r="E10" s="0" t="n">
        <f aca="false">-E6*E9/100</f>
        <v>-14.397018846</v>
      </c>
      <c r="F10" s="0" t="n">
        <f aca="false">-F6*F9/100</f>
        <v>-14.68495922292</v>
      </c>
      <c r="G10" s="0" t="n">
        <f aca="false">-G6*G9/100</f>
        <v>-14.9786584073784</v>
      </c>
      <c r="H10" s="0" t="n">
        <f aca="false">-H6*H9/100</f>
        <v>-15.278231575526</v>
      </c>
      <c r="I10" s="0" t="n">
        <f aca="false">-I6*I9/100</f>
        <v>-15.5837962070365</v>
      </c>
      <c r="J10" s="0" t="n">
        <f aca="false">-J6*J9/100</f>
        <v>-15.8954721311772</v>
      </c>
      <c r="K10" s="0" t="n">
        <f aca="false">-K6*K9/100</f>
        <v>-16.2133815738008</v>
      </c>
      <c r="L10" s="0" t="n">
        <f aca="false">-L6*L9/100</f>
        <v>-16.5376492052768</v>
      </c>
    </row>
    <row r="11" customFormat="false" ht="15" hidden="false" customHeight="false" outlineLevel="0" collapsed="false">
      <c r="A11" s="0" t="s">
        <v>111</v>
      </c>
      <c r="C11" s="0" t="n">
        <f aca="false">C8+C10+C24</f>
        <v>1877.843625</v>
      </c>
      <c r="D11" s="0" t="n">
        <f aca="false">D8+D10+D24</f>
        <v>1869.51579675</v>
      </c>
      <c r="E11" s="0" t="n">
        <f aca="false">E8+E10+E24</f>
        <v>1821.222884019</v>
      </c>
      <c r="F11" s="0" t="n">
        <f aca="false">F8+F10+F24</f>
        <v>1784.22254558478</v>
      </c>
      <c r="G11" s="0" t="n">
        <f aca="false">G8+G10+G24</f>
        <v>1782.46035047803</v>
      </c>
      <c r="H11" s="0" t="n">
        <f aca="false">H8+H10+H24</f>
        <v>1818.10955748759</v>
      </c>
      <c r="I11" s="0" t="n">
        <f aca="false">I8+I10+I24</f>
        <v>1854.47174863734</v>
      </c>
      <c r="J11" s="0" t="n">
        <f aca="false">J8+J10+J24</f>
        <v>1891.56118361009</v>
      </c>
      <c r="K11" s="0" t="n">
        <f aca="false">K8+K10+K24</f>
        <v>1929.39240728229</v>
      </c>
      <c r="L11" s="0" t="n">
        <f aca="false">L8+L10+L24</f>
        <v>1967.98025542794</v>
      </c>
    </row>
    <row r="12" customFormat="false" ht="15" hidden="false" customHeight="false" outlineLevel="0" collapsed="false">
      <c r="A12" s="0" t="s">
        <v>112</v>
      </c>
      <c r="C12" s="4" t="n">
        <f aca="false">-C6*Assumptions!C17/100</f>
        <v>-71.84793</v>
      </c>
      <c r="D12" s="4" t="n">
        <f aca="false">-D6*Assumptions!D17/100</f>
        <v>-83.8661292</v>
      </c>
      <c r="E12" s="4" t="n">
        <f aca="false">-E6*Assumptions!E17/100</f>
        <v>-93.580622499</v>
      </c>
      <c r="F12" s="4" t="n">
        <f aca="false">-F6*Assumptions!F17/100</f>
        <v>-102.79471456044</v>
      </c>
      <c r="G12" s="4" t="n">
        <f aca="false">-G6*Assumptions!G17/100</f>
        <v>-112.339938055338</v>
      </c>
      <c r="H12" s="4" t="n">
        <f aca="false">-H6*Assumptions!H17/100</f>
        <v>-114.586736816445</v>
      </c>
      <c r="I12" s="4" t="n">
        <f aca="false">-I6*Assumptions!I17/100</f>
        <v>-116.878471552774</v>
      </c>
      <c r="J12" s="4" t="n">
        <f aca="false">-J6*Assumptions!J17/100</f>
        <v>-119.216040983829</v>
      </c>
      <c r="K12" s="4" t="n">
        <f aca="false">-K6*Assumptions!K17/100</f>
        <v>-121.600361803506</v>
      </c>
      <c r="L12" s="4" t="n">
        <f aca="false">-L6*Assumptions!L17/100</f>
        <v>-124.032369039576</v>
      </c>
    </row>
    <row r="13" customFormat="false" ht="15" hidden="false" customHeight="false" outlineLevel="0" collapsed="false">
      <c r="A13" s="0" t="s">
        <v>113</v>
      </c>
      <c r="C13" s="0" t="n">
        <f aca="false">C11+C12</f>
        <v>1805.995695</v>
      </c>
      <c r="D13" s="0" t="n">
        <f aca="false">D11+D12</f>
        <v>1785.64966755</v>
      </c>
      <c r="E13" s="0" t="n">
        <f aca="false">E11+E12</f>
        <v>1727.64226152</v>
      </c>
      <c r="F13" s="0" t="n">
        <f aca="false">F11+F12</f>
        <v>1681.42783102434</v>
      </c>
      <c r="G13" s="0" t="n">
        <f aca="false">G11+G12</f>
        <v>1670.12041242269</v>
      </c>
      <c r="H13" s="0" t="n">
        <f aca="false">H11+H12</f>
        <v>1703.52282067115</v>
      </c>
      <c r="I13" s="0" t="n">
        <f aca="false">I11+I12</f>
        <v>1737.59327708457</v>
      </c>
      <c r="J13" s="0" t="n">
        <f aca="false">J11+J12</f>
        <v>1772.34514262626</v>
      </c>
      <c r="K13" s="0" t="n">
        <f aca="false">K11+K12</f>
        <v>1807.79204547879</v>
      </c>
      <c r="L13" s="0" t="n">
        <f aca="false">L11+L12</f>
        <v>1843.94788638836</v>
      </c>
    </row>
    <row r="14" customFormat="false" ht="15" hidden="false" customHeight="false" outlineLevel="0" collapsed="false">
      <c r="A14" s="0" t="s">
        <v>99</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114</v>
      </c>
      <c r="C15" s="0" t="n">
        <f aca="false">C13-MAX(0,C13)*C14/100</f>
        <v>1354.49677125</v>
      </c>
      <c r="D15" s="0" t="n">
        <f aca="false">D13-MAX(0,D13)*D14/100</f>
        <v>1339.2372506625</v>
      </c>
      <c r="E15" s="0" t="n">
        <f aca="false">E13-MAX(0,E13)*E14/100</f>
        <v>1295.73169614</v>
      </c>
      <c r="F15" s="0" t="n">
        <f aca="false">F13-MAX(0,F13)*F14/100</f>
        <v>1261.07087326826</v>
      </c>
      <c r="G15" s="0" t="n">
        <f aca="false">G13-MAX(0,G13)*G14/100</f>
        <v>1252.59030931702</v>
      </c>
      <c r="H15" s="0" t="n">
        <f aca="false">H13-MAX(0,H13)*H14/100</f>
        <v>1277.64211550336</v>
      </c>
      <c r="I15" s="0" t="n">
        <f aca="false">I13-MAX(0,I13)*I14/100</f>
        <v>1303.19495781343</v>
      </c>
      <c r="J15" s="0" t="n">
        <f aca="false">J13-MAX(0,J13)*J14/100</f>
        <v>1329.2588569697</v>
      </c>
      <c r="K15" s="0" t="n">
        <f aca="false">K13-MAX(0,K13)*K14/100</f>
        <v>1355.84403410909</v>
      </c>
      <c r="L15" s="0" t="n">
        <f aca="false">L13-MAX(0,L13)*L14/100</f>
        <v>1382.96091479127</v>
      </c>
    </row>
    <row r="16" customFormat="false" ht="15" hidden="false" customHeight="false" outlineLevel="0" collapsed="false">
      <c r="A16" s="0" t="s">
        <v>115</v>
      </c>
      <c r="C16" s="0" t="n">
        <f aca="false">-C12</f>
        <v>71.84793</v>
      </c>
      <c r="D16" s="0" t="n">
        <f aca="false">-D12</f>
        <v>83.8661292</v>
      </c>
      <c r="E16" s="0" t="n">
        <f aca="false">-E12</f>
        <v>93.580622499</v>
      </c>
      <c r="F16" s="0" t="n">
        <f aca="false">-F12</f>
        <v>102.79471456044</v>
      </c>
      <c r="G16" s="0" t="n">
        <f aca="false">-G12</f>
        <v>112.339938055338</v>
      </c>
      <c r="H16" s="0" t="n">
        <f aca="false">-H12</f>
        <v>114.586736816445</v>
      </c>
      <c r="I16" s="0" t="n">
        <f aca="false">-I12</f>
        <v>116.878471552774</v>
      </c>
      <c r="J16" s="0" t="n">
        <f aca="false">-J12</f>
        <v>119.216040983829</v>
      </c>
      <c r="K16" s="0" t="n">
        <f aca="false">-K12</f>
        <v>121.600361803506</v>
      </c>
      <c r="L16" s="0" t="n">
        <f aca="false">-L12</f>
        <v>124.032369039576</v>
      </c>
    </row>
    <row r="17" customFormat="false" ht="15" hidden="false" customHeight="false" outlineLevel="0" collapsed="false">
      <c r="A17" s="0" t="s">
        <v>116</v>
      </c>
      <c r="C17" s="4" t="n">
        <f aca="false">-C6*Assumptions!C18/100</f>
        <v>-228.60705</v>
      </c>
      <c r="D17" s="4" t="n">
        <f aca="false">-D6*Assumptions!D18/100</f>
        <v>-209.665323</v>
      </c>
      <c r="E17" s="4" t="n">
        <f aca="false">-E6*Assumptions!E18/100</f>
        <v>-179.962735575</v>
      </c>
      <c r="F17" s="4" t="n">
        <f aca="false">-F6*Assumptions!F18/100</f>
        <v>-161.53455145212</v>
      </c>
      <c r="G17" s="4" t="n">
        <f aca="false">-G6*Assumptions!G18/100</f>
        <v>-149.786584073784</v>
      </c>
      <c r="H17" s="4" t="n">
        <f aca="false">-H6*Assumptions!H18/100</f>
        <v>-152.78231575526</v>
      </c>
      <c r="I17" s="4" t="n">
        <f aca="false">-I6*Assumptions!I18/100</f>
        <v>-155.837962070365</v>
      </c>
      <c r="J17" s="4" t="n">
        <f aca="false">-J6*Assumptions!J18/100</f>
        <v>-158.954721311772</v>
      </c>
      <c r="K17" s="4" t="n">
        <f aca="false">-K6*Assumptions!K18/100</f>
        <v>-162.133815738008</v>
      </c>
      <c r="L17" s="4" t="n">
        <f aca="false">-L6*Assumptions!L18/100</f>
        <v>-165.376492052768</v>
      </c>
    </row>
    <row r="18" customFormat="false" ht="15" hidden="false" customHeight="false" outlineLevel="0" collapsed="false">
      <c r="A18" s="0" t="s">
        <v>117</v>
      </c>
      <c r="C18" s="4" t="n">
        <f aca="false">(C6-B6)*Assumptions!$B$23/100</f>
        <v>-80.2130000000001</v>
      </c>
      <c r="D18" s="4" t="n">
        <f aca="false">(D6-C6)*Assumptions!$B$23/100</f>
        <v>-45.72141</v>
      </c>
      <c r="E18" s="4" t="n">
        <f aca="false">(E6-D6)*Assumptions!$B$23/100</f>
        <v>-20.9665323</v>
      </c>
      <c r="F18" s="4" t="n">
        <f aca="false">(F6-E6)*Assumptions!$B$23/100</f>
        <v>-14.397018846</v>
      </c>
      <c r="G18" s="4" t="n">
        <f aca="false">(G6-F6)*Assumptions!$B$23/100</f>
        <v>-14.68495922292</v>
      </c>
      <c r="H18" s="4" t="n">
        <f aca="false">(H6-G6)*Assumptions!$B$23/100</f>
        <v>-14.9786584073784</v>
      </c>
      <c r="I18" s="4" t="n">
        <f aca="false">(I6-H6)*Assumptions!$B$23/100</f>
        <v>-15.278231575526</v>
      </c>
      <c r="J18" s="4" t="n">
        <f aca="false">(J6-I6)*Assumptions!$B$23/100</f>
        <v>-15.5837962070365</v>
      </c>
      <c r="K18" s="4" t="n">
        <f aca="false">(K6-J6)*Assumptions!$B$23/100</f>
        <v>-15.8954721311772</v>
      </c>
      <c r="L18" s="4" t="n">
        <f aca="false">(L6-K6)*Assumptions!$B$23/100</f>
        <v>-16.2133815738008</v>
      </c>
    </row>
    <row r="19" customFormat="false" ht="15" hidden="false" customHeight="false" outlineLevel="0" collapsed="false">
      <c r="A19" s="0" t="s">
        <v>118</v>
      </c>
      <c r="C19" s="0" t="n">
        <f aca="false">C15+C16+C17+C18</f>
        <v>1117.52465125</v>
      </c>
      <c r="D19" s="0" t="n">
        <f aca="false">D15+D16+D17+D18</f>
        <v>1167.7166468625</v>
      </c>
      <c r="E19" s="0" t="n">
        <f aca="false">E15+E16+E17+E18</f>
        <v>1188.383050764</v>
      </c>
      <c r="F19" s="0" t="n">
        <f aca="false">F15+F16+F17+F18</f>
        <v>1187.93401753058</v>
      </c>
      <c r="G19" s="0" t="n">
        <f aca="false">G15+G16+G17+G18</f>
        <v>1200.45870407565</v>
      </c>
      <c r="H19" s="0" t="n">
        <f aca="false">H15+H16+H17+H18</f>
        <v>1224.46787815717</v>
      </c>
      <c r="I19" s="0" t="n">
        <f aca="false">I15+I16+I17+I18</f>
        <v>1248.95723572031</v>
      </c>
      <c r="J19" s="0" t="n">
        <f aca="false">J15+J16+J17+J18</f>
        <v>1273.93638043472</v>
      </c>
      <c r="K19" s="0" t="n">
        <f aca="false">K15+K16+K17+K18</f>
        <v>1299.41510804341</v>
      </c>
      <c r="L19" s="0" t="n">
        <f aca="false">L15+L16+L17+L18</f>
        <v>1325.40341020428</v>
      </c>
    </row>
    <row r="20" customFormat="false" ht="15" hidden="false" customHeight="false" outlineLevel="0" collapsed="false">
      <c r="A20" s="0" t="s">
        <v>119</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120</v>
      </c>
      <c r="C21" s="0" t="n">
        <f aca="false">C19*C20</f>
        <v>1020.57045776256</v>
      </c>
      <c r="D21" s="0" t="n">
        <f aca="false">D19*D20</f>
        <v>973.88849011697</v>
      </c>
      <c r="E21" s="0" t="n">
        <f aca="false">E19*E20</f>
        <v>905.136527510795</v>
      </c>
      <c r="F21" s="0" t="n">
        <f aca="false">F19*F20</f>
        <v>826.29636494901</v>
      </c>
      <c r="G21" s="0" t="n">
        <f aca="false">G19*G20</f>
        <v>762.564579857266</v>
      </c>
      <c r="H21" s="0" t="n">
        <f aca="false">H19*H20</f>
        <v>710.334129182111</v>
      </c>
      <c r="I21" s="0" t="n">
        <f aca="false">I19*I20</f>
        <v>661.681106635391</v>
      </c>
      <c r="J21" s="0" t="n">
        <f aca="false">J19*J20</f>
        <v>616.360482893241</v>
      </c>
      <c r="K21" s="0" t="n">
        <f aca="false">K19*K20</f>
        <v>574.144011462197</v>
      </c>
      <c r="L21" s="0" t="n">
        <f aca="false">L19*L20</f>
        <v>534.819079170266</v>
      </c>
    </row>
    <row r="23" customFormat="false" ht="15" hidden="false" customHeight="false" outlineLevel="0" collapsed="false">
      <c r="A23" s="0" t="s">
        <v>96</v>
      </c>
      <c r="C23" s="4" t="n">
        <f aca="false">Assumptions!C16</f>
        <v>1</v>
      </c>
      <c r="D23" s="4" t="n">
        <f aca="false">Assumptions!D16</f>
        <v>1</v>
      </c>
      <c r="E23" s="4" t="n">
        <f aca="false">Assumptions!E16</f>
        <v>1</v>
      </c>
      <c r="F23" s="4" t="n">
        <f aca="false">Assumptions!F16</f>
        <v>1</v>
      </c>
      <c r="G23" s="4" t="n">
        <f aca="false">Assumptions!G16</f>
        <v>1</v>
      </c>
      <c r="H23" s="4" t="n">
        <f aca="false">Assumptions!H16</f>
        <v>1</v>
      </c>
      <c r="I23" s="4" t="n">
        <f aca="false">Assumptions!I16</f>
        <v>1</v>
      </c>
      <c r="J23" s="4" t="n">
        <f aca="false">Assumptions!J16</f>
        <v>1</v>
      </c>
      <c r="K23" s="4" t="n">
        <f aca="false">Assumptions!K16</f>
        <v>1</v>
      </c>
      <c r="L23" s="4" t="n">
        <f aca="false">Assumptions!L16</f>
        <v>1</v>
      </c>
    </row>
    <row r="24" customFormat="false" ht="15" hidden="false" customHeight="false" outlineLevel="0" collapsed="false">
      <c r="A24" s="0" t="s">
        <v>121</v>
      </c>
      <c r="C24" s="0" t="n">
        <f aca="false">-C6*C23/100</f>
        <v>-65.3163</v>
      </c>
      <c r="D24" s="0" t="n">
        <f aca="false">-D6*D23/100</f>
        <v>-69.888441</v>
      </c>
      <c r="E24" s="0" t="n">
        <f aca="false">-E6*E23/100</f>
        <v>-71.98509423</v>
      </c>
      <c r="F24" s="0" t="n">
        <f aca="false">-F6*F23/100</f>
        <v>-73.4247961146</v>
      </c>
      <c r="G24" s="0" t="n">
        <f aca="false">-G6*G23/100</f>
        <v>-74.893292036892</v>
      </c>
      <c r="H24" s="0" t="n">
        <f aca="false">-H6*H23/100</f>
        <v>-76.3911578776299</v>
      </c>
      <c r="I24" s="0" t="n">
        <f aca="false">-I6*I23/100</f>
        <v>-77.9189810351825</v>
      </c>
      <c r="J24" s="0" t="n">
        <f aca="false">-J6*J23/100</f>
        <v>-79.4773606558861</v>
      </c>
      <c r="K24" s="0" t="n">
        <f aca="false">-K6*K23/100</f>
        <v>-81.0669078690038</v>
      </c>
      <c r="L24" s="0" t="n">
        <f aca="false">-L6*L23/100</f>
        <v>-82.6882460263839</v>
      </c>
    </row>
    <row r="26" customFormat="false" ht="15" hidden="false" customHeight="false" outlineLevel="0" collapsed="false">
      <c r="A26" s="2" t="s">
        <v>122</v>
      </c>
    </row>
    <row r="27" customFormat="false" ht="15" hidden="false" customHeight="false" outlineLevel="0" collapsed="false">
      <c r="A27" s="0" t="s">
        <v>100</v>
      </c>
      <c r="B27" s="4" t="n">
        <f aca="false">Assumptions!$B$20</f>
        <v>9.5</v>
      </c>
    </row>
    <row r="28" customFormat="false" ht="15" hidden="false" customHeight="false" outlineLevel="0" collapsed="false">
      <c r="A28" s="0" t="s">
        <v>101</v>
      </c>
      <c r="B28" s="4" t="n">
        <f aca="false">Assumptions!$B$21</f>
        <v>2</v>
      </c>
    </row>
    <row r="29" customFormat="false" ht="15" hidden="false" customHeight="false" outlineLevel="0" collapsed="false">
      <c r="A29" s="0" t="s">
        <v>102</v>
      </c>
      <c r="B29" s="4" t="n">
        <f aca="false">Assumptions!$B$22</f>
        <v>15</v>
      </c>
    </row>
    <row r="30" customFormat="false" ht="15" hidden="false" customHeight="false" outlineLevel="0" collapsed="false">
      <c r="A30" s="0" t="s">
        <v>123</v>
      </c>
      <c r="B30" s="0" t="n">
        <f aca="false">SUM(C21:L21)</f>
        <v>7585.7952295398</v>
      </c>
    </row>
    <row r="31" customFormat="false" ht="15" hidden="false" customHeight="false" outlineLevel="0" collapsed="false">
      <c r="A31" s="0" t="s">
        <v>124</v>
      </c>
      <c r="B31" s="0" t="n">
        <f aca="false">L19</f>
        <v>1325.40341020428</v>
      </c>
    </row>
    <row r="32" customFormat="false" ht="15" hidden="false" customHeight="false" outlineLevel="0" collapsed="false">
      <c r="A32" s="0" t="s">
        <v>125</v>
      </c>
      <c r="B32" s="0" t="n">
        <f aca="false">IF(B27&gt;B28,B31*(1+B28/100)/((B27-B28)/100),B31*B29)</f>
        <v>18025.4863787782</v>
      </c>
    </row>
    <row r="33" customFormat="false" ht="15" hidden="false" customHeight="false" outlineLevel="0" collapsed="false">
      <c r="A33" s="0" t="s">
        <v>126</v>
      </c>
      <c r="B33" s="0" t="n">
        <f aca="false">B31*B29</f>
        <v>19881.0511530642</v>
      </c>
    </row>
    <row r="34" customFormat="false" ht="15" hidden="false" customHeight="false" outlineLevel="0" collapsed="false">
      <c r="A34" s="0" t="s">
        <v>127</v>
      </c>
      <c r="B34" s="0" t="n">
        <f aca="false">MAX(0,MIN(B32,B33))</f>
        <v>18025.4863787782</v>
      </c>
    </row>
    <row r="35" customFormat="false" ht="15" hidden="false" customHeight="false" outlineLevel="0" collapsed="false">
      <c r="A35" s="0" t="s">
        <v>128</v>
      </c>
      <c r="B35" s="0" t="n">
        <f aca="false">B34/(1+B27/100)^L4</f>
        <v>7273.53947671561</v>
      </c>
    </row>
    <row r="36" customFormat="false" ht="15" hidden="false" customHeight="false" outlineLevel="0" collapsed="false">
      <c r="A36" s="0" t="s">
        <v>129</v>
      </c>
      <c r="B36" s="0" t="n">
        <f aca="false">B30+B35</f>
        <v>14859.3347062554</v>
      </c>
    </row>
    <row r="37" customFormat="false" ht="15" hidden="false" customHeight="false" outlineLevel="0" collapsed="false">
      <c r="A37" s="0" t="s">
        <v>130</v>
      </c>
      <c r="B37" s="0" t="n">
        <f aca="false">B36+Assumptions!$B$5-Assumptions!$B$4</f>
        <v>18518.7347062554</v>
      </c>
    </row>
    <row r="38" customFormat="false" ht="15" hidden="false" customHeight="false" outlineLevel="0" collapsed="false">
      <c r="A38" s="0" t="s">
        <v>131</v>
      </c>
      <c r="B38" s="0" t="n">
        <f aca="false">B37/Assumptions!$B$3*Assumptions!$B$10</f>
        <v>44.366385228532</v>
      </c>
    </row>
    <row r="39" customFormat="false" ht="15" hidden="false" customHeight="false" outlineLevel="0" collapsed="false">
      <c r="A39" s="0" t="s">
        <v>132</v>
      </c>
      <c r="B39" s="4" t="n">
        <f aca="false">B38/Assumptions!$B$2-1</f>
        <v>0.0124688550554988</v>
      </c>
    </row>
    <row r="41" customFormat="false" ht="15" hidden="false" customHeight="false" outlineLevel="0" collapsed="false">
      <c r="A41" s="0" t="s">
        <v>133</v>
      </c>
      <c r="B41" s="0" t="n">
        <f aca="false">SUMPRODUCT(-C10:L10/(1+$B$27/100)^C4:L4)</f>
        <v>98.8260891249174</v>
      </c>
    </row>
    <row r="42" customFormat="false" ht="15" hidden="false" customHeight="false" outlineLevel="0" collapsed="false">
      <c r="A42" s="0" t="s">
        <v>134</v>
      </c>
      <c r="B42" s="0" t="n">
        <f aca="false">IF(B27&gt;B28,-L10*(1+B28/100)/((B27-B28)/100),-L10*20)/(1+B27/100)^L4</f>
        <v>90.755194547233</v>
      </c>
    </row>
    <row r="43" customFormat="false" ht="15" hidden="false" customHeight="false" outlineLevel="0" collapsed="false">
      <c r="A43" s="0" t="s">
        <v>135</v>
      </c>
      <c r="B43" s="0" t="n">
        <f aca="false">(B37+B41+B42)/Assumptions!$B$3*Assumptions!$B$10</f>
        <v>44.8205758844776</v>
      </c>
    </row>
    <row r="45" customFormat="false" ht="15" hidden="false" customHeight="false" outlineLevel="0" collapsed="false">
      <c r="A45" s="0" t="s">
        <v>75</v>
      </c>
      <c r="B45" s="4" t="n">
        <f aca="false">Assumptions!$B$6</f>
        <v>15</v>
      </c>
    </row>
    <row r="46" customFormat="false" ht="15" hidden="false" customHeight="false" outlineLevel="0" collapsed="false">
      <c r="A46" s="0" t="s">
        <v>136</v>
      </c>
      <c r="B46" s="0" t="n">
        <f aca="false">MAX(0,MIN(IF(B45&gt;B28,B31*(1+B28/100)/((B45-B28)/100),B31*B29),B31*B29))</f>
        <v>10399.3190646797</v>
      </c>
    </row>
    <row r="47" customFormat="false" ht="15" hidden="false" customHeight="false" outlineLevel="0" collapsed="false">
      <c r="A47" s="0" t="s">
        <v>137</v>
      </c>
      <c r="B47" s="0" t="n">
        <f aca="false">(SUMPRODUCT(C19:L19/(1+B45/100)^C4:L4)+B46/(1+B45/100)^L4+Assumptions!$B$5-Assumptions!$B$4)/Assumptions!$B$3*Assumptions!$B$10</f>
        <v>29.3586777449054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138</v>
      </c>
    </row>
    <row r="3" customFormat="false" ht="15" hidden="false" customHeight="false" outlineLevel="0" collapsed="false">
      <c r="A3" s="0" t="s">
        <v>108</v>
      </c>
      <c r="B3" s="0" t="s">
        <v>78</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Assumptions!C27</f>
        <v>22</v>
      </c>
      <c r="D5" s="4" t="n">
        <f aca="false">Assumptions!D27</f>
        <v>17</v>
      </c>
      <c r="E5" s="4" t="n">
        <f aca="false">Assumptions!E27</f>
        <v>13</v>
      </c>
      <c r="F5" s="4" t="n">
        <f aca="false">Assumptions!F27</f>
        <v>10</v>
      </c>
      <c r="G5" s="4" t="n">
        <f aca="false">Assumptions!G27</f>
        <v>8</v>
      </c>
      <c r="H5" s="4" t="n">
        <f aca="false">Assumptions!H27</f>
        <v>6</v>
      </c>
      <c r="I5" s="4" t="n">
        <f aca="false">Assumptions!I27</f>
        <v>5</v>
      </c>
      <c r="J5" s="4" t="n">
        <f aca="false">Assumptions!J27</f>
        <v>4</v>
      </c>
      <c r="K5" s="4" t="n">
        <f aca="false">Assumptions!K27</f>
        <v>3.5</v>
      </c>
      <c r="L5" s="4" t="n">
        <f aca="false">Assumptions!L27</f>
        <v>3</v>
      </c>
    </row>
    <row r="6" customFormat="false" ht="15" hidden="false" customHeight="false" outlineLevel="0" collapsed="false">
      <c r="A6" s="0" t="s">
        <v>38</v>
      </c>
      <c r="B6" s="3" t="n">
        <v>5729.5</v>
      </c>
      <c r="C6" s="0" t="n">
        <f aca="false">B6*(1+C5/100)</f>
        <v>6989.99</v>
      </c>
      <c r="D6" s="0" t="n">
        <f aca="false">C6*(1+D5/100)</f>
        <v>8178.2883</v>
      </c>
      <c r="E6" s="0" t="n">
        <f aca="false">D6*(1+E5/100)</f>
        <v>9241.465779</v>
      </c>
      <c r="F6" s="0" t="n">
        <f aca="false">E6*(1+F5/100)</f>
        <v>10165.6123569</v>
      </c>
      <c r="G6" s="0" t="n">
        <f aca="false">F6*(1+G5/100)</f>
        <v>10978.861345452</v>
      </c>
      <c r="H6" s="0" t="n">
        <f aca="false">G6*(1+H5/100)</f>
        <v>11637.5930261791</v>
      </c>
      <c r="I6" s="0" t="n">
        <f aca="false">H6*(1+I5/100)</f>
        <v>12219.4726774881</v>
      </c>
      <c r="J6" s="0" t="n">
        <f aca="false">I6*(1+J5/100)</f>
        <v>12708.2515845876</v>
      </c>
      <c r="K6" s="0" t="n">
        <f aca="false">J6*(1+K5/100)</f>
        <v>13153.0403900482</v>
      </c>
      <c r="L6" s="0" t="n">
        <f aca="false">K6*(1+L5/100)</f>
        <v>13547.6316017496</v>
      </c>
    </row>
    <row r="7" customFormat="false" ht="15" hidden="false" customHeight="false" outlineLevel="0" collapsed="false">
      <c r="A7" s="0" t="s">
        <v>94</v>
      </c>
      <c r="C7" s="4" t="n">
        <f aca="false">Assumptions!C28</f>
        <v>32</v>
      </c>
      <c r="D7" s="4" t="n">
        <f aca="false">Assumptions!D28</f>
        <v>31.5</v>
      </c>
      <c r="E7" s="4" t="n">
        <f aca="false">Assumptions!E28</f>
        <v>31</v>
      </c>
      <c r="F7" s="4" t="n">
        <f aca="false">Assumptions!F28</f>
        <v>30.5</v>
      </c>
      <c r="G7" s="4" t="n">
        <f aca="false">Assumptions!G28</f>
        <v>30</v>
      </c>
      <c r="H7" s="4" t="n">
        <f aca="false">Assumptions!H28</f>
        <v>30</v>
      </c>
      <c r="I7" s="4" t="n">
        <f aca="false">Assumptions!I28</f>
        <v>30</v>
      </c>
      <c r="J7" s="4" t="n">
        <f aca="false">Assumptions!J28</f>
        <v>30</v>
      </c>
      <c r="K7" s="4" t="n">
        <f aca="false">Assumptions!K28</f>
        <v>30</v>
      </c>
      <c r="L7" s="4" t="n">
        <f aca="false">Assumptions!L28</f>
        <v>30</v>
      </c>
    </row>
    <row r="8" customFormat="false" ht="15" hidden="false" customHeight="false" outlineLevel="0" collapsed="false">
      <c r="A8" s="0" t="s">
        <v>44</v>
      </c>
      <c r="C8" s="0" t="n">
        <f aca="false">C6*C7/100</f>
        <v>2236.7968</v>
      </c>
      <c r="D8" s="0" t="n">
        <f aca="false">D6*D7/100</f>
        <v>2576.1608145</v>
      </c>
      <c r="E8" s="0" t="n">
        <f aca="false">E6*E7/100</f>
        <v>2864.85439149</v>
      </c>
      <c r="F8" s="0" t="n">
        <f aca="false">F6*F7/100</f>
        <v>3100.5117688545</v>
      </c>
      <c r="G8" s="0" t="n">
        <f aca="false">G6*G7/100</f>
        <v>3293.6584036356</v>
      </c>
      <c r="H8" s="0" t="n">
        <f aca="false">H6*H7/100</f>
        <v>3491.27790785374</v>
      </c>
      <c r="I8" s="0" t="n">
        <f aca="false">I6*I7/100</f>
        <v>3665.84180324642</v>
      </c>
      <c r="J8" s="0" t="n">
        <f aca="false">J6*J7/100</f>
        <v>3812.47547537628</v>
      </c>
      <c r="K8" s="0" t="n">
        <f aca="false">K6*K7/100</f>
        <v>3945.91211701445</v>
      </c>
      <c r="L8" s="0" t="n">
        <f aca="false">L6*L7/100</f>
        <v>4064.28948052488</v>
      </c>
    </row>
    <row r="9" customFormat="false" ht="15" hidden="false" customHeight="false" outlineLevel="0" collapsed="false">
      <c r="A9" s="0" t="s">
        <v>95</v>
      </c>
      <c r="C9" s="4" t="n">
        <f aca="false">Assumptions!C29</f>
        <v>0.25</v>
      </c>
      <c r="D9" s="4" t="n">
        <f aca="false">Assumptions!D29</f>
        <v>0.25</v>
      </c>
      <c r="E9" s="4" t="n">
        <f aca="false">Assumptions!E29</f>
        <v>0.2</v>
      </c>
      <c r="F9" s="4" t="n">
        <f aca="false">Assumptions!F29</f>
        <v>0.2</v>
      </c>
      <c r="G9" s="4" t="n">
        <f aca="false">Assumptions!G29</f>
        <v>0.2</v>
      </c>
      <c r="H9" s="4" t="n">
        <f aca="false">Assumptions!H29</f>
        <v>0.2</v>
      </c>
      <c r="I9" s="4" t="n">
        <f aca="false">Assumptions!I29</f>
        <v>0.2</v>
      </c>
      <c r="J9" s="4" t="n">
        <f aca="false">Assumptions!J29</f>
        <v>0.2</v>
      </c>
      <c r="K9" s="4" t="n">
        <f aca="false">Assumptions!K29</f>
        <v>0.2</v>
      </c>
      <c r="L9" s="4" t="n">
        <f aca="false">Assumptions!L29</f>
        <v>0.2</v>
      </c>
    </row>
    <row r="10" customFormat="false" ht="15" hidden="false" customHeight="false" outlineLevel="0" collapsed="false">
      <c r="A10" s="0" t="s">
        <v>110</v>
      </c>
      <c r="C10" s="0" t="n">
        <f aca="false">-C6*C9/100</f>
        <v>-17.474975</v>
      </c>
      <c r="D10" s="0" t="n">
        <f aca="false">-D6*D9/100</f>
        <v>-20.44572075</v>
      </c>
      <c r="E10" s="0" t="n">
        <f aca="false">-E6*E9/100</f>
        <v>-18.482931558</v>
      </c>
      <c r="F10" s="0" t="n">
        <f aca="false">-F6*F9/100</f>
        <v>-20.3312247138</v>
      </c>
      <c r="G10" s="0" t="n">
        <f aca="false">-G6*G9/100</f>
        <v>-21.957722690904</v>
      </c>
      <c r="H10" s="0" t="n">
        <f aca="false">-H6*H9/100</f>
        <v>-23.2751860523582</v>
      </c>
      <c r="I10" s="0" t="n">
        <f aca="false">-I6*I9/100</f>
        <v>-24.4389453549762</v>
      </c>
      <c r="J10" s="0" t="n">
        <f aca="false">-J6*J9/100</f>
        <v>-25.4165031691752</v>
      </c>
      <c r="K10" s="0" t="n">
        <f aca="false">-K6*K9/100</f>
        <v>-26.3060807800963</v>
      </c>
      <c r="L10" s="0" t="n">
        <f aca="false">-L6*L9/100</f>
        <v>-27.0952632034992</v>
      </c>
    </row>
    <row r="11" customFormat="false" ht="15" hidden="false" customHeight="false" outlineLevel="0" collapsed="false">
      <c r="A11" s="0" t="s">
        <v>111</v>
      </c>
      <c r="C11" s="0" t="n">
        <f aca="false">C8+C10+C24</f>
        <v>2156.411915</v>
      </c>
      <c r="D11" s="0" t="n">
        <f aca="false">D8+D10+D24</f>
        <v>2482.11049905</v>
      </c>
      <c r="E11" s="0" t="n">
        <f aca="false">E8+E10+E24</f>
        <v>2763.198267921</v>
      </c>
      <c r="F11" s="0" t="n">
        <f aca="false">F8+F10+F24</f>
        <v>2988.6900329286</v>
      </c>
      <c r="G11" s="0" t="n">
        <f aca="false">G8+G10+G24</f>
        <v>3172.89092883563</v>
      </c>
      <c r="H11" s="0" t="n">
        <f aca="false">H8+H10+H24</f>
        <v>3363.26438456577</v>
      </c>
      <c r="I11" s="0" t="n">
        <f aca="false">I8+I10+I24</f>
        <v>3531.42760379405</v>
      </c>
      <c r="J11" s="0" t="n">
        <f aca="false">J8+J10+J24</f>
        <v>3672.68470794582</v>
      </c>
      <c r="K11" s="0" t="n">
        <f aca="false">K8+K10+K24</f>
        <v>3801.22867272392</v>
      </c>
      <c r="L11" s="0" t="n">
        <f aca="false">L8+L10+L24</f>
        <v>3915.26553290564</v>
      </c>
    </row>
    <row r="12" customFormat="false" ht="15" hidden="false" customHeight="false" outlineLevel="0" collapsed="false">
      <c r="A12" s="0" t="s">
        <v>112</v>
      </c>
      <c r="C12" s="4" t="n">
        <f aca="false">-C6*Assumptions!C31/100</f>
        <v>-76.88989</v>
      </c>
      <c r="D12" s="4" t="n">
        <f aca="false">-D6*Assumptions!D31/100</f>
        <v>-98.1394596</v>
      </c>
      <c r="E12" s="4" t="n">
        <f aca="false">-E6*Assumptions!E31/100</f>
        <v>-120.139055127</v>
      </c>
      <c r="F12" s="4" t="n">
        <f aca="false">-F6*Assumptions!F31/100</f>
        <v>-142.3185729966</v>
      </c>
      <c r="G12" s="4" t="n">
        <f aca="false">-G6*Assumptions!G31/100</f>
        <v>-164.68292018178</v>
      </c>
      <c r="H12" s="4" t="n">
        <f aca="false">-H6*Assumptions!H31/100</f>
        <v>-174.563895392687</v>
      </c>
      <c r="I12" s="4" t="n">
        <f aca="false">-I6*Assumptions!I31/100</f>
        <v>-183.292090162321</v>
      </c>
      <c r="J12" s="4" t="n">
        <f aca="false">-J6*Assumptions!J31/100</f>
        <v>-190.623773768814</v>
      </c>
      <c r="K12" s="4" t="n">
        <f aca="false">-K6*Assumptions!K31/100</f>
        <v>-197.295605850723</v>
      </c>
      <c r="L12" s="4" t="n">
        <f aca="false">-L6*Assumptions!L31/100</f>
        <v>-203.214474026244</v>
      </c>
    </row>
    <row r="13" customFormat="false" ht="15" hidden="false" customHeight="false" outlineLevel="0" collapsed="false">
      <c r="A13" s="0" t="s">
        <v>113</v>
      </c>
      <c r="C13" s="0" t="n">
        <f aca="false">C11+C12</f>
        <v>2079.522025</v>
      </c>
      <c r="D13" s="0" t="n">
        <f aca="false">D11+D12</f>
        <v>2383.97103945</v>
      </c>
      <c r="E13" s="0" t="n">
        <f aca="false">E11+E12</f>
        <v>2643.059212794</v>
      </c>
      <c r="F13" s="0" t="n">
        <f aca="false">F11+F12</f>
        <v>2846.371459932</v>
      </c>
      <c r="G13" s="0" t="n">
        <f aca="false">G11+G12</f>
        <v>3008.20800865385</v>
      </c>
      <c r="H13" s="0" t="n">
        <f aca="false">H11+H12</f>
        <v>3188.70048917308</v>
      </c>
      <c r="I13" s="0" t="n">
        <f aca="false">I11+I12</f>
        <v>3348.13551363173</v>
      </c>
      <c r="J13" s="0" t="n">
        <f aca="false">J11+J12</f>
        <v>3482.060934177</v>
      </c>
      <c r="K13" s="0" t="n">
        <f aca="false">K11+K12</f>
        <v>3603.9330668732</v>
      </c>
      <c r="L13" s="0" t="n">
        <f aca="false">L11+L12</f>
        <v>3712.05105887939</v>
      </c>
    </row>
    <row r="14" customFormat="false" ht="15" hidden="false" customHeight="false" outlineLevel="0" collapsed="false">
      <c r="A14" s="0" t="s">
        <v>99</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114</v>
      </c>
      <c r="C15" s="0" t="n">
        <f aca="false">C13-MAX(0,C13)*C14/100</f>
        <v>1559.64151875</v>
      </c>
      <c r="D15" s="0" t="n">
        <f aca="false">D13-MAX(0,D13)*D14/100</f>
        <v>1787.9782795875</v>
      </c>
      <c r="E15" s="0" t="n">
        <f aca="false">E13-MAX(0,E13)*E14/100</f>
        <v>1982.2944095955</v>
      </c>
      <c r="F15" s="0" t="n">
        <f aca="false">F13-MAX(0,F13)*F14/100</f>
        <v>2134.778594949</v>
      </c>
      <c r="G15" s="0" t="n">
        <f aca="false">G13-MAX(0,G13)*G14/100</f>
        <v>2256.15600649039</v>
      </c>
      <c r="H15" s="0" t="n">
        <f aca="false">H13-MAX(0,H13)*H14/100</f>
        <v>2391.52536687981</v>
      </c>
      <c r="I15" s="0" t="n">
        <f aca="false">I13-MAX(0,I13)*I14/100</f>
        <v>2511.1016352238</v>
      </c>
      <c r="J15" s="0" t="n">
        <f aca="false">J13-MAX(0,J13)*J14/100</f>
        <v>2611.54570063275</v>
      </c>
      <c r="K15" s="0" t="n">
        <f aca="false">K13-MAX(0,K13)*K14/100</f>
        <v>2702.9498001549</v>
      </c>
      <c r="L15" s="0" t="n">
        <f aca="false">L13-MAX(0,L13)*L14/100</f>
        <v>2784.03829415955</v>
      </c>
    </row>
    <row r="16" customFormat="false" ht="15" hidden="false" customHeight="false" outlineLevel="0" collapsed="false">
      <c r="A16" s="0" t="s">
        <v>115</v>
      </c>
      <c r="C16" s="0" t="n">
        <f aca="false">-C12</f>
        <v>76.88989</v>
      </c>
      <c r="D16" s="0" t="n">
        <f aca="false">-D12</f>
        <v>98.1394596</v>
      </c>
      <c r="E16" s="0" t="n">
        <f aca="false">-E12</f>
        <v>120.139055127</v>
      </c>
      <c r="F16" s="0" t="n">
        <f aca="false">-F12</f>
        <v>142.3185729966</v>
      </c>
      <c r="G16" s="0" t="n">
        <f aca="false">-G12</f>
        <v>164.68292018178</v>
      </c>
      <c r="H16" s="0" t="n">
        <f aca="false">-H12</f>
        <v>174.563895392687</v>
      </c>
      <c r="I16" s="0" t="n">
        <f aca="false">-I12</f>
        <v>183.292090162321</v>
      </c>
      <c r="J16" s="0" t="n">
        <f aca="false">-J12</f>
        <v>190.623773768814</v>
      </c>
      <c r="K16" s="0" t="n">
        <f aca="false">-K12</f>
        <v>197.295605850723</v>
      </c>
      <c r="L16" s="0" t="n">
        <f aca="false">-L12</f>
        <v>203.214474026244</v>
      </c>
    </row>
    <row r="17" customFormat="false" ht="15" hidden="false" customHeight="false" outlineLevel="0" collapsed="false">
      <c r="A17" s="0" t="s">
        <v>116</v>
      </c>
      <c r="C17" s="4" t="n">
        <f aca="false">-C6*Assumptions!C32/100</f>
        <v>-244.64965</v>
      </c>
      <c r="D17" s="4" t="n">
        <f aca="false">-D6*Assumptions!D32/100</f>
        <v>-261.7052256</v>
      </c>
      <c r="E17" s="4" t="n">
        <f aca="false">-E6*Assumptions!E32/100</f>
        <v>-258.761041812</v>
      </c>
      <c r="F17" s="4" t="n">
        <f aca="false">-F6*Assumptions!F32/100</f>
        <v>-254.1403089225</v>
      </c>
      <c r="G17" s="4" t="n">
        <f aca="false">-G6*Assumptions!G32/100</f>
        <v>-252.513810945396</v>
      </c>
      <c r="H17" s="4" t="n">
        <f aca="false">-H6*Assumptions!H32/100</f>
        <v>-256.027046575941</v>
      </c>
      <c r="I17" s="4" t="n">
        <f aca="false">-I6*Assumptions!I32/100</f>
        <v>-256.60892622725</v>
      </c>
      <c r="J17" s="4" t="n">
        <f aca="false">-J6*Assumptions!J32/100</f>
        <v>-254.165031691752</v>
      </c>
      <c r="K17" s="4" t="n">
        <f aca="false">-K6*Assumptions!K32/100</f>
        <v>-263.060807800963</v>
      </c>
      <c r="L17" s="4" t="n">
        <f aca="false">-L6*Assumptions!L32/100</f>
        <v>-270.952632034992</v>
      </c>
    </row>
    <row r="18" customFormat="false" ht="15" hidden="false" customHeight="false" outlineLevel="0" collapsed="false">
      <c r="A18" s="0" t="s">
        <v>117</v>
      </c>
      <c r="C18" s="4" t="n">
        <f aca="false">(C6-B6)*Assumptions!$B$37/100</f>
        <v>-126.049</v>
      </c>
      <c r="D18" s="4" t="n">
        <f aca="false">(D6-C6)*Assumptions!$B$37/100</f>
        <v>-118.82983</v>
      </c>
      <c r="E18" s="4" t="n">
        <f aca="false">(E6-D6)*Assumptions!$B$37/100</f>
        <v>-106.3177479</v>
      </c>
      <c r="F18" s="4" t="n">
        <f aca="false">(F6-E6)*Assumptions!$B$37/100</f>
        <v>-92.4146577900001</v>
      </c>
      <c r="G18" s="4" t="n">
        <f aca="false">(G6-F6)*Assumptions!$B$37/100</f>
        <v>-81.3248988552001</v>
      </c>
      <c r="H18" s="4" t="n">
        <f aca="false">(H6-G6)*Assumptions!$B$37/100</f>
        <v>-65.873168072712</v>
      </c>
      <c r="I18" s="4" t="n">
        <f aca="false">(I6-H6)*Assumptions!$B$37/100</f>
        <v>-58.1879651308957</v>
      </c>
      <c r="J18" s="4" t="n">
        <f aca="false">(J6-I6)*Assumptions!$B$37/100</f>
        <v>-48.8778907099524</v>
      </c>
      <c r="K18" s="4" t="n">
        <f aca="false">(K6-J6)*Assumptions!$B$37/100</f>
        <v>-44.4788805460565</v>
      </c>
      <c r="L18" s="4" t="n">
        <f aca="false">(L6-K6)*Assumptions!$B$37/100</f>
        <v>-39.4591211701445</v>
      </c>
    </row>
    <row r="19" customFormat="false" ht="15" hidden="false" customHeight="false" outlineLevel="0" collapsed="false">
      <c r="A19" s="0" t="s">
        <v>118</v>
      </c>
      <c r="C19" s="0" t="n">
        <f aca="false">C15+C16+C17+C18</f>
        <v>1265.83275875</v>
      </c>
      <c r="D19" s="0" t="n">
        <f aca="false">D15+D16+D17+D18</f>
        <v>1505.5826835875</v>
      </c>
      <c r="E19" s="0" t="n">
        <f aca="false">E15+E16+E17+E18</f>
        <v>1737.3546750105</v>
      </c>
      <c r="F19" s="0" t="n">
        <f aca="false">F15+F16+F17+F18</f>
        <v>1930.5422012331</v>
      </c>
      <c r="G19" s="0" t="n">
        <f aca="false">G15+G16+G17+G18</f>
        <v>2087.00021687157</v>
      </c>
      <c r="H19" s="0" t="n">
        <f aca="false">H15+H16+H17+H18</f>
        <v>2244.18904762384</v>
      </c>
      <c r="I19" s="0" t="n">
        <f aca="false">I15+I16+I17+I18</f>
        <v>2379.59683402798</v>
      </c>
      <c r="J19" s="0" t="n">
        <f aca="false">J15+J16+J17+J18</f>
        <v>2499.12655199986</v>
      </c>
      <c r="K19" s="0" t="n">
        <f aca="false">K15+K16+K17+K18</f>
        <v>2592.7057176586</v>
      </c>
      <c r="L19" s="0" t="n">
        <f aca="false">L15+L16+L17+L18</f>
        <v>2676.84101498065</v>
      </c>
    </row>
    <row r="20" customFormat="false" ht="15" hidden="false" customHeight="false" outlineLevel="0" collapsed="false">
      <c r="A20" s="0" t="s">
        <v>119</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120</v>
      </c>
      <c r="C21" s="0" t="n">
        <f aca="false">C19*C20</f>
        <v>1156.01165182648</v>
      </c>
      <c r="D21" s="0" t="n">
        <f aca="false">D19*D20</f>
        <v>1255.67247020496</v>
      </c>
      <c r="E21" s="0" t="n">
        <f aca="false">E19*E20</f>
        <v>1323.26287940801</v>
      </c>
      <c r="F21" s="0" t="n">
        <f aca="false">F19*F20</f>
        <v>1342.83552766306</v>
      </c>
      <c r="G21" s="0" t="n">
        <f aca="false">G19*G20</f>
        <v>1325.72027520607</v>
      </c>
      <c r="H21" s="0" t="n">
        <f aca="false">H19*H20</f>
        <v>1301.8912960486</v>
      </c>
      <c r="I21" s="0" t="n">
        <f aca="false">I19*I20</f>
        <v>1260.67908608386</v>
      </c>
      <c r="J21" s="0" t="n">
        <f aca="false">J19*J20</f>
        <v>1209.13639963428</v>
      </c>
      <c r="K21" s="0" t="n">
        <f aca="false">K19*K20</f>
        <v>1145.58192533171</v>
      </c>
      <c r="L21" s="0" t="n">
        <f aca="false">L19*L20</f>
        <v>1080.14332519071</v>
      </c>
    </row>
    <row r="23" customFormat="false" ht="15" hidden="false" customHeight="false" outlineLevel="0" collapsed="false">
      <c r="A23" s="0" t="s">
        <v>96</v>
      </c>
      <c r="C23" s="4" t="n">
        <f aca="false">Assumptions!C30</f>
        <v>0.9</v>
      </c>
      <c r="D23" s="4" t="n">
        <f aca="false">Assumptions!D30</f>
        <v>0.9</v>
      </c>
      <c r="E23" s="4" t="n">
        <f aca="false">Assumptions!E30</f>
        <v>0.9</v>
      </c>
      <c r="F23" s="4" t="n">
        <f aca="false">Assumptions!F30</f>
        <v>0.9</v>
      </c>
      <c r="G23" s="4" t="n">
        <f aca="false">Assumptions!G30</f>
        <v>0.9</v>
      </c>
      <c r="H23" s="4" t="n">
        <f aca="false">Assumptions!H30</f>
        <v>0.9</v>
      </c>
      <c r="I23" s="4" t="n">
        <f aca="false">Assumptions!I30</f>
        <v>0.9</v>
      </c>
      <c r="J23" s="4" t="n">
        <f aca="false">Assumptions!J30</f>
        <v>0.9</v>
      </c>
      <c r="K23" s="4" t="n">
        <f aca="false">Assumptions!K30</f>
        <v>0.9</v>
      </c>
      <c r="L23" s="4" t="n">
        <f aca="false">Assumptions!L30</f>
        <v>0.9</v>
      </c>
    </row>
    <row r="24" customFormat="false" ht="15" hidden="false" customHeight="false" outlineLevel="0" collapsed="false">
      <c r="A24" s="0" t="s">
        <v>121</v>
      </c>
      <c r="C24" s="0" t="n">
        <f aca="false">-C6*C23/100</f>
        <v>-62.90991</v>
      </c>
      <c r="D24" s="0" t="n">
        <f aca="false">-D6*D23/100</f>
        <v>-73.6045947</v>
      </c>
      <c r="E24" s="0" t="n">
        <f aca="false">-E6*E23/100</f>
        <v>-83.173192011</v>
      </c>
      <c r="F24" s="0" t="n">
        <f aca="false">-F6*F23/100</f>
        <v>-91.4905112121</v>
      </c>
      <c r="G24" s="0" t="n">
        <f aca="false">-G6*G23/100</f>
        <v>-98.809752109068</v>
      </c>
      <c r="H24" s="0" t="n">
        <f aca="false">-H6*H23/100</f>
        <v>-104.738337235612</v>
      </c>
      <c r="I24" s="0" t="n">
        <f aca="false">-I6*I23/100</f>
        <v>-109.975254097393</v>
      </c>
      <c r="J24" s="0" t="n">
        <f aca="false">-J6*J23/100</f>
        <v>-114.374264261288</v>
      </c>
      <c r="K24" s="0" t="n">
        <f aca="false">-K6*K23/100</f>
        <v>-118.377363510434</v>
      </c>
      <c r="L24" s="0" t="n">
        <f aca="false">-L6*L23/100</f>
        <v>-121.928684415747</v>
      </c>
    </row>
    <row r="26" customFormat="false" ht="15" hidden="false" customHeight="false" outlineLevel="0" collapsed="false">
      <c r="A26" s="2" t="s">
        <v>122</v>
      </c>
    </row>
    <row r="27" customFormat="false" ht="15" hidden="false" customHeight="false" outlineLevel="0" collapsed="false">
      <c r="A27" s="0" t="s">
        <v>100</v>
      </c>
      <c r="B27" s="4" t="n">
        <f aca="false">Assumptions!$B$34</f>
        <v>9.5</v>
      </c>
    </row>
    <row r="28" customFormat="false" ht="15" hidden="false" customHeight="false" outlineLevel="0" collapsed="false">
      <c r="A28" s="0" t="s">
        <v>101</v>
      </c>
      <c r="B28" s="4" t="n">
        <f aca="false">Assumptions!$B$35</f>
        <v>3</v>
      </c>
    </row>
    <row r="29" customFormat="false" ht="15" hidden="false" customHeight="false" outlineLevel="0" collapsed="false">
      <c r="A29" s="0" t="s">
        <v>102</v>
      </c>
      <c r="B29" s="4" t="n">
        <f aca="false">Assumptions!$B$36</f>
        <v>18</v>
      </c>
    </row>
    <row r="30" customFormat="false" ht="15" hidden="false" customHeight="false" outlineLevel="0" collapsed="false">
      <c r="A30" s="0" t="s">
        <v>123</v>
      </c>
      <c r="B30" s="0" t="n">
        <f aca="false">SUM(C21:L21)</f>
        <v>12400.9348365977</v>
      </c>
    </row>
    <row r="31" customFormat="false" ht="15" hidden="false" customHeight="false" outlineLevel="0" collapsed="false">
      <c r="A31" s="0" t="s">
        <v>124</v>
      </c>
      <c r="B31" s="0" t="n">
        <f aca="false">L19</f>
        <v>2676.84101498065</v>
      </c>
    </row>
    <row r="32" customFormat="false" ht="15" hidden="false" customHeight="false" outlineLevel="0" collapsed="false">
      <c r="A32" s="0" t="s">
        <v>125</v>
      </c>
      <c r="B32" s="0" t="n">
        <f aca="false">IF(B27&gt;B28,B31*(1+B28/100)/((B27-B28)/100),B31*B29)</f>
        <v>42417.634545078</v>
      </c>
    </row>
    <row r="33" customFormat="false" ht="15" hidden="false" customHeight="false" outlineLevel="0" collapsed="false">
      <c r="A33" s="0" t="s">
        <v>126</v>
      </c>
      <c r="B33" s="0" t="n">
        <f aca="false">B31*B29</f>
        <v>48183.1382696518</v>
      </c>
    </row>
    <row r="34" customFormat="false" ht="15" hidden="false" customHeight="false" outlineLevel="0" collapsed="false">
      <c r="A34" s="0" t="s">
        <v>127</v>
      </c>
      <c r="B34" s="0" t="n">
        <f aca="false">MAX(0,MIN(B32,B33))</f>
        <v>42417.634545078</v>
      </c>
    </row>
    <row r="35" customFormat="false" ht="15" hidden="false" customHeight="false" outlineLevel="0" collapsed="false">
      <c r="A35" s="0" t="s">
        <v>128</v>
      </c>
      <c r="B35" s="0" t="n">
        <f aca="false">B34/(1+B27/100)^L4</f>
        <v>17116.1173068681</v>
      </c>
    </row>
    <row r="36" customFormat="false" ht="15" hidden="false" customHeight="false" outlineLevel="0" collapsed="false">
      <c r="A36" s="0" t="s">
        <v>129</v>
      </c>
      <c r="B36" s="0" t="n">
        <f aca="false">B30+B35</f>
        <v>29517.0521434659</v>
      </c>
    </row>
    <row r="37" customFormat="false" ht="15" hidden="false" customHeight="false" outlineLevel="0" collapsed="false">
      <c r="A37" s="0" t="s">
        <v>130</v>
      </c>
      <c r="B37" s="0" t="n">
        <f aca="false">B36+Assumptions!$B$5-Assumptions!$B$4</f>
        <v>33176.4521434659</v>
      </c>
    </row>
    <row r="38" customFormat="false" ht="15" hidden="false" customHeight="false" outlineLevel="0" collapsed="false">
      <c r="A38" s="0" t="s">
        <v>131</v>
      </c>
      <c r="B38" s="0" t="n">
        <f aca="false">B37/Assumptions!$B$3*Assumptions!$B$10</f>
        <v>79.4827119487685</v>
      </c>
    </row>
    <row r="39" customFormat="false" ht="15" hidden="false" customHeight="false" outlineLevel="0" collapsed="false">
      <c r="A39" s="0" t="s">
        <v>132</v>
      </c>
      <c r="B39" s="4" t="n">
        <f aca="false">B38/Assumptions!$B$2-1</f>
        <v>0.813845548808045</v>
      </c>
    </row>
    <row r="41" customFormat="false" ht="15" hidden="false" customHeight="false" outlineLevel="0" collapsed="false">
      <c r="A41" s="0" t="s">
        <v>133</v>
      </c>
      <c r="B41" s="0" t="n">
        <f aca="false">SUMPRODUCT(-C10:L10/(1+$B$27/100)^C4:L4)</f>
        <v>136.481933167322</v>
      </c>
    </row>
    <row r="42" customFormat="false" ht="15" hidden="false" customHeight="false" outlineLevel="0" collapsed="false">
      <c r="A42" s="0" t="s">
        <v>134</v>
      </c>
      <c r="B42" s="0" t="n">
        <f aca="false">IF(B27&gt;B28,-L10*(1+B28/100)/((B27-B28)/100),-L10*20)/(1+B27/100)^L4</f>
        <v>173.251119829734</v>
      </c>
    </row>
    <row r="43" customFormat="false" ht="15" hidden="false" customHeight="false" outlineLevel="0" collapsed="false">
      <c r="A43" s="0" t="s">
        <v>135</v>
      </c>
      <c r="B43" s="0" t="n">
        <f aca="false">(B37+B41+B42)/Assumptions!$B$3*Assumptions!$B$10</f>
        <v>80.224757027185</v>
      </c>
    </row>
    <row r="45" customFormat="false" ht="15" hidden="false" customHeight="false" outlineLevel="0" collapsed="false">
      <c r="A45" s="0" t="s">
        <v>75</v>
      </c>
      <c r="B45" s="4" t="n">
        <f aca="false">Assumptions!$B$6</f>
        <v>15</v>
      </c>
    </row>
    <row r="46" customFormat="false" ht="15" hidden="false" customHeight="false" outlineLevel="0" collapsed="false">
      <c r="A46" s="0" t="s">
        <v>136</v>
      </c>
      <c r="B46" s="0" t="n">
        <f aca="false">MAX(0,MIN(IF(B45&gt;B28,B31*(1+B28/100)/((B45-B28)/100),B31*B29),B31*B29))</f>
        <v>22976.2187119173</v>
      </c>
    </row>
    <row r="47" customFormat="false" ht="15" hidden="false" customHeight="false" outlineLevel="0" collapsed="false">
      <c r="A47" s="0" t="s">
        <v>137</v>
      </c>
      <c r="B47" s="0" t="n">
        <f aca="false">(SUMPRODUCT(C19:L19/(1+B45/100)^C4:L4)+B46/(1+B45/100)^L4+Assumptions!$B$5-Assumptions!$B$4)/Assumptions!$B$3*Assumptions!$B$10</f>
        <v>45.3807295705536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108</v>
      </c>
      <c r="B3" s="0" t="s">
        <v>78</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Assumptions!C41</f>
        <v>27</v>
      </c>
      <c r="D5" s="4" t="n">
        <f aca="false">Assumptions!D41</f>
        <v>23</v>
      </c>
      <c r="E5" s="4" t="n">
        <f aca="false">Assumptions!E41</f>
        <v>18</v>
      </c>
      <c r="F5" s="4" t="n">
        <f aca="false">Assumptions!F41</f>
        <v>14</v>
      </c>
      <c r="G5" s="4" t="n">
        <f aca="false">Assumptions!G41</f>
        <v>11</v>
      </c>
      <c r="H5" s="4" t="n">
        <f aca="false">Assumptions!H41</f>
        <v>9</v>
      </c>
      <c r="I5" s="4" t="n">
        <f aca="false">Assumptions!I41</f>
        <v>7</v>
      </c>
      <c r="J5" s="4" t="n">
        <f aca="false">Assumptions!J41</f>
        <v>5</v>
      </c>
      <c r="K5" s="4" t="n">
        <f aca="false">Assumptions!K41</f>
        <v>4</v>
      </c>
      <c r="L5" s="4" t="n">
        <f aca="false">Assumptions!L41</f>
        <v>3.5</v>
      </c>
    </row>
    <row r="6" customFormat="false" ht="15" hidden="false" customHeight="false" outlineLevel="0" collapsed="false">
      <c r="A6" s="0" t="s">
        <v>38</v>
      </c>
      <c r="B6" s="3" t="n">
        <v>5729.5</v>
      </c>
      <c r="C6" s="0" t="n">
        <f aca="false">B6*(1+C5/100)</f>
        <v>7276.465</v>
      </c>
      <c r="D6" s="0" t="n">
        <f aca="false">C6*(1+D5/100)</f>
        <v>8950.05195</v>
      </c>
      <c r="E6" s="0" t="n">
        <f aca="false">D6*(1+E5/100)</f>
        <v>10561.061301</v>
      </c>
      <c r="F6" s="0" t="n">
        <f aca="false">E6*(1+F5/100)</f>
        <v>12039.60988314</v>
      </c>
      <c r="G6" s="0" t="n">
        <f aca="false">F6*(1+G5/100)</f>
        <v>13363.9669702854</v>
      </c>
      <c r="H6" s="0" t="n">
        <f aca="false">G6*(1+H5/100)</f>
        <v>14566.7239976111</v>
      </c>
      <c r="I6" s="0" t="n">
        <f aca="false">H6*(1+I5/100)</f>
        <v>15586.3946774439</v>
      </c>
      <c r="J6" s="0" t="n">
        <f aca="false">I6*(1+J5/100)</f>
        <v>16365.7144113161</v>
      </c>
      <c r="K6" s="0" t="n">
        <f aca="false">J6*(1+K5/100)</f>
        <v>17020.3429877687</v>
      </c>
      <c r="L6" s="0" t="n">
        <f aca="false">K6*(1+L5/100)</f>
        <v>17616.0549923406</v>
      </c>
    </row>
    <row r="7" customFormat="false" ht="15" hidden="false" customHeight="false" outlineLevel="0" collapsed="false">
      <c r="A7" s="0" t="s">
        <v>94</v>
      </c>
      <c r="C7" s="4" t="n">
        <f aca="false">Assumptions!C42</f>
        <v>33</v>
      </c>
      <c r="D7" s="4" t="n">
        <f aca="false">Assumptions!D42</f>
        <v>33</v>
      </c>
      <c r="E7" s="4" t="n">
        <f aca="false">Assumptions!E42</f>
        <v>33.5</v>
      </c>
      <c r="F7" s="4" t="n">
        <f aca="false">Assumptions!F42</f>
        <v>34</v>
      </c>
      <c r="G7" s="4" t="n">
        <f aca="false">Assumptions!G42</f>
        <v>34</v>
      </c>
      <c r="H7" s="4" t="n">
        <f aca="false">Assumptions!H42</f>
        <v>34</v>
      </c>
      <c r="I7" s="4" t="n">
        <f aca="false">Assumptions!I42</f>
        <v>34</v>
      </c>
      <c r="J7" s="4" t="n">
        <f aca="false">Assumptions!J42</f>
        <v>34</v>
      </c>
      <c r="K7" s="4" t="n">
        <f aca="false">Assumptions!K42</f>
        <v>34</v>
      </c>
      <c r="L7" s="4" t="n">
        <f aca="false">Assumptions!L42</f>
        <v>34</v>
      </c>
    </row>
    <row r="8" customFormat="false" ht="15" hidden="false" customHeight="false" outlineLevel="0" collapsed="false">
      <c r="A8" s="0" t="s">
        <v>44</v>
      </c>
      <c r="C8" s="0" t="n">
        <f aca="false">C6*C7/100</f>
        <v>2401.23345</v>
      </c>
      <c r="D8" s="0" t="n">
        <f aca="false">D6*D7/100</f>
        <v>2953.5171435</v>
      </c>
      <c r="E8" s="0" t="n">
        <f aca="false">E6*E7/100</f>
        <v>3537.955535835</v>
      </c>
      <c r="F8" s="0" t="n">
        <f aca="false">F6*F7/100</f>
        <v>4093.4673602676</v>
      </c>
      <c r="G8" s="0" t="n">
        <f aca="false">G6*G7/100</f>
        <v>4543.74876989704</v>
      </c>
      <c r="H8" s="0" t="n">
        <f aca="false">H6*H7/100</f>
        <v>4952.68615918777</v>
      </c>
      <c r="I8" s="0" t="n">
        <f aca="false">I6*I7/100</f>
        <v>5299.37419033092</v>
      </c>
      <c r="J8" s="0" t="n">
        <f aca="false">J6*J7/100</f>
        <v>5564.34289984746</v>
      </c>
      <c r="K8" s="0" t="n">
        <f aca="false">K6*K7/100</f>
        <v>5786.91661584136</v>
      </c>
      <c r="L8" s="0" t="n">
        <f aca="false">L6*L7/100</f>
        <v>5989.45869739581</v>
      </c>
    </row>
    <row r="9" customFormat="false" ht="15" hidden="false" customHeight="false" outlineLevel="0" collapsed="false">
      <c r="A9" s="0" t="s">
        <v>95</v>
      </c>
      <c r="C9" s="4" t="n">
        <f aca="false">Assumptions!C43</f>
        <v>0.25</v>
      </c>
      <c r="D9" s="4" t="n">
        <f aca="false">Assumptions!D43</f>
        <v>0.25</v>
      </c>
      <c r="E9" s="4" t="n">
        <f aca="false">Assumptions!E43</f>
        <v>0.2</v>
      </c>
      <c r="F9" s="4" t="n">
        <f aca="false">Assumptions!F43</f>
        <v>0.2</v>
      </c>
      <c r="G9" s="4" t="n">
        <f aca="false">Assumptions!G43</f>
        <v>0.2</v>
      </c>
      <c r="H9" s="4" t="n">
        <f aca="false">Assumptions!H43</f>
        <v>0.2</v>
      </c>
      <c r="I9" s="4" t="n">
        <f aca="false">Assumptions!I43</f>
        <v>0.2</v>
      </c>
      <c r="J9" s="4" t="n">
        <f aca="false">Assumptions!J43</f>
        <v>0.2</v>
      </c>
      <c r="K9" s="4" t="n">
        <f aca="false">Assumptions!K43</f>
        <v>0.2</v>
      </c>
      <c r="L9" s="4" t="n">
        <f aca="false">Assumptions!L43</f>
        <v>0.2</v>
      </c>
    </row>
    <row r="10" customFormat="false" ht="15" hidden="false" customHeight="false" outlineLevel="0" collapsed="false">
      <c r="A10" s="0" t="s">
        <v>110</v>
      </c>
      <c r="C10" s="0" t="n">
        <f aca="false">-C6*C9/100</f>
        <v>-18.1911625</v>
      </c>
      <c r="D10" s="0" t="n">
        <f aca="false">-D6*D9/100</f>
        <v>-22.375129875</v>
      </c>
      <c r="E10" s="0" t="n">
        <f aca="false">-E6*E9/100</f>
        <v>-21.122122602</v>
      </c>
      <c r="F10" s="0" t="n">
        <f aca="false">-F6*F9/100</f>
        <v>-24.07921976628</v>
      </c>
      <c r="G10" s="0" t="n">
        <f aca="false">-G6*G9/100</f>
        <v>-26.7279339405708</v>
      </c>
      <c r="H10" s="0" t="n">
        <f aca="false">-H6*H9/100</f>
        <v>-29.1334479952222</v>
      </c>
      <c r="I10" s="0" t="n">
        <f aca="false">-I6*I9/100</f>
        <v>-31.1727893548877</v>
      </c>
      <c r="J10" s="0" t="n">
        <f aca="false">-J6*J9/100</f>
        <v>-32.7314288226321</v>
      </c>
      <c r="K10" s="0" t="n">
        <f aca="false">-K6*K9/100</f>
        <v>-34.0406859755374</v>
      </c>
      <c r="L10" s="0" t="n">
        <f aca="false">-L6*L9/100</f>
        <v>-35.2321099846812</v>
      </c>
    </row>
    <row r="11" customFormat="false" ht="15" hidden="false" customHeight="false" outlineLevel="0" collapsed="false">
      <c r="A11" s="0" t="s">
        <v>111</v>
      </c>
      <c r="C11" s="0" t="n">
        <f aca="false">C8+C10+C24</f>
        <v>2317.5541025</v>
      </c>
      <c r="D11" s="0" t="n">
        <f aca="false">D8+D10+D24</f>
        <v>2850.591546075</v>
      </c>
      <c r="E11" s="0" t="n">
        <f aca="false">E8+E10+E24</f>
        <v>3421.783861524</v>
      </c>
      <c r="F11" s="0" t="n">
        <f aca="false">F8+F10+F24</f>
        <v>3961.03165155306</v>
      </c>
      <c r="G11" s="0" t="n">
        <f aca="false">G8+G10+G24</f>
        <v>4396.7451332239</v>
      </c>
      <c r="H11" s="0" t="n">
        <f aca="false">H8+H10+H24</f>
        <v>4792.45219521405</v>
      </c>
      <c r="I11" s="0" t="n">
        <f aca="false">I8+I10+I24</f>
        <v>5127.92384887903</v>
      </c>
      <c r="J11" s="0" t="n">
        <f aca="false">J8+J10+J24</f>
        <v>5384.32004132298</v>
      </c>
      <c r="K11" s="0" t="n">
        <f aca="false">K8+K10+K24</f>
        <v>5599.6928429759</v>
      </c>
      <c r="L11" s="0" t="n">
        <f aca="false">L8+L10+L24</f>
        <v>5795.68209248006</v>
      </c>
    </row>
    <row r="12" customFormat="false" ht="15" hidden="false" customHeight="false" outlineLevel="0" collapsed="false">
      <c r="A12" s="0" t="s">
        <v>112</v>
      </c>
      <c r="C12" s="4" t="n">
        <f aca="false">-C6*Assumptions!C45/100</f>
        <v>-80.041115</v>
      </c>
      <c r="D12" s="4" t="n">
        <f aca="false">-D6*Assumptions!D45/100</f>
        <v>-107.4006234</v>
      </c>
      <c r="E12" s="4" t="n">
        <f aca="false">-E6*Assumptions!E45/100</f>
        <v>-137.293796913</v>
      </c>
      <c r="F12" s="4" t="n">
        <f aca="false">-F6*Assumptions!F45/100</f>
        <v>-168.55453836396</v>
      </c>
      <c r="G12" s="4" t="n">
        <f aca="false">-G6*Assumptions!G45/100</f>
        <v>-200.459504554281</v>
      </c>
      <c r="H12" s="4" t="n">
        <f aca="false">-H6*Assumptions!H45/100</f>
        <v>-218.500859964166</v>
      </c>
      <c r="I12" s="4" t="n">
        <f aca="false">-I6*Assumptions!I45/100</f>
        <v>-233.795920161658</v>
      </c>
      <c r="J12" s="4" t="n">
        <f aca="false">-J6*Assumptions!J45/100</f>
        <v>-245.485716169741</v>
      </c>
      <c r="K12" s="4" t="n">
        <f aca="false">-K6*Assumptions!K45/100</f>
        <v>-255.305144816531</v>
      </c>
      <c r="L12" s="4" t="n">
        <f aca="false">-L6*Assumptions!L45/100</f>
        <v>-264.240824885109</v>
      </c>
    </row>
    <row r="13" customFormat="false" ht="15" hidden="false" customHeight="false" outlineLevel="0" collapsed="false">
      <c r="A13" s="0" t="s">
        <v>113</v>
      </c>
      <c r="C13" s="0" t="n">
        <f aca="false">C11+C12</f>
        <v>2237.5129875</v>
      </c>
      <c r="D13" s="0" t="n">
        <f aca="false">D11+D12</f>
        <v>2743.190922675</v>
      </c>
      <c r="E13" s="0" t="n">
        <f aca="false">E11+E12</f>
        <v>3284.490064611</v>
      </c>
      <c r="F13" s="0" t="n">
        <f aca="false">F11+F12</f>
        <v>3792.4771131891</v>
      </c>
      <c r="G13" s="0" t="n">
        <f aca="false">G11+G12</f>
        <v>4196.28562866962</v>
      </c>
      <c r="H13" s="0" t="n">
        <f aca="false">H11+H12</f>
        <v>4573.95133524988</v>
      </c>
      <c r="I13" s="0" t="n">
        <f aca="false">I11+I12</f>
        <v>4894.12792871738</v>
      </c>
      <c r="J13" s="0" t="n">
        <f aca="false">J11+J12</f>
        <v>5138.83432515324</v>
      </c>
      <c r="K13" s="0" t="n">
        <f aca="false">K11+K12</f>
        <v>5344.38769815937</v>
      </c>
      <c r="L13" s="0" t="n">
        <f aca="false">L11+L12</f>
        <v>5531.44126759495</v>
      </c>
    </row>
    <row r="14" customFormat="false" ht="15" hidden="false" customHeight="false" outlineLevel="0" collapsed="false">
      <c r="A14" s="0" t="s">
        <v>99</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114</v>
      </c>
      <c r="C15" s="0" t="n">
        <f aca="false">C13-MAX(0,C13)*C14/100</f>
        <v>1678.134740625</v>
      </c>
      <c r="D15" s="0" t="n">
        <f aca="false">D13-MAX(0,D13)*D14/100</f>
        <v>2057.39319200625</v>
      </c>
      <c r="E15" s="0" t="n">
        <f aca="false">E13-MAX(0,E13)*E14/100</f>
        <v>2463.36754845825</v>
      </c>
      <c r="F15" s="0" t="n">
        <f aca="false">F13-MAX(0,F13)*F14/100</f>
        <v>2844.35783489183</v>
      </c>
      <c r="G15" s="0" t="n">
        <f aca="false">G13-MAX(0,G13)*G14/100</f>
        <v>3147.21422150221</v>
      </c>
      <c r="H15" s="0" t="n">
        <f aca="false">H13-MAX(0,H13)*H14/100</f>
        <v>3430.46350143741</v>
      </c>
      <c r="I15" s="0" t="n">
        <f aca="false">I13-MAX(0,I13)*I14/100</f>
        <v>3670.59594653803</v>
      </c>
      <c r="J15" s="0" t="n">
        <f aca="false">J13-MAX(0,J13)*J14/100</f>
        <v>3854.12574386493</v>
      </c>
      <c r="K15" s="0" t="n">
        <f aca="false">K13-MAX(0,K13)*K14/100</f>
        <v>4008.29077361953</v>
      </c>
      <c r="L15" s="0" t="n">
        <f aca="false">L13-MAX(0,L13)*L14/100</f>
        <v>4148.58095069621</v>
      </c>
    </row>
    <row r="16" customFormat="false" ht="15" hidden="false" customHeight="false" outlineLevel="0" collapsed="false">
      <c r="A16" s="0" t="s">
        <v>115</v>
      </c>
      <c r="C16" s="0" t="n">
        <f aca="false">-C12</f>
        <v>80.041115</v>
      </c>
      <c r="D16" s="0" t="n">
        <f aca="false">-D12</f>
        <v>107.4006234</v>
      </c>
      <c r="E16" s="0" t="n">
        <f aca="false">-E12</f>
        <v>137.293796913</v>
      </c>
      <c r="F16" s="0" t="n">
        <f aca="false">-F12</f>
        <v>168.55453836396</v>
      </c>
      <c r="G16" s="0" t="n">
        <f aca="false">-G12</f>
        <v>200.459504554281</v>
      </c>
      <c r="H16" s="0" t="n">
        <f aca="false">-H12</f>
        <v>218.500859964166</v>
      </c>
      <c r="I16" s="0" t="n">
        <f aca="false">-I12</f>
        <v>233.795920161658</v>
      </c>
      <c r="J16" s="0" t="n">
        <f aca="false">-J12</f>
        <v>245.485716169741</v>
      </c>
      <c r="K16" s="0" t="n">
        <f aca="false">-K12</f>
        <v>255.305144816531</v>
      </c>
      <c r="L16" s="0" t="n">
        <f aca="false">-L12</f>
        <v>264.240824885109</v>
      </c>
    </row>
    <row r="17" customFormat="false" ht="15" hidden="false" customHeight="false" outlineLevel="0" collapsed="false">
      <c r="A17" s="0" t="s">
        <v>116</v>
      </c>
      <c r="C17" s="4" t="n">
        <f aca="false">-C6*Assumptions!C46/100</f>
        <v>-254.676275</v>
      </c>
      <c r="D17" s="4" t="n">
        <f aca="false">-D6*Assumptions!D46/100</f>
        <v>-286.4016624</v>
      </c>
      <c r="E17" s="4" t="n">
        <f aca="false">-E6*Assumptions!E46/100</f>
        <v>-295.709716428</v>
      </c>
      <c r="F17" s="4" t="n">
        <f aca="false">-F6*Assumptions!F46/100</f>
        <v>-300.9902470785</v>
      </c>
      <c r="G17" s="4" t="n">
        <f aca="false">-G6*Assumptions!G46/100</f>
        <v>-307.371240316564</v>
      </c>
      <c r="H17" s="4" t="n">
        <f aca="false">-H6*Assumptions!H46/100</f>
        <v>-320.467927947444</v>
      </c>
      <c r="I17" s="4" t="n">
        <f aca="false">-I6*Assumptions!I46/100</f>
        <v>-327.314288226321</v>
      </c>
      <c r="J17" s="4" t="n">
        <f aca="false">-J6*Assumptions!J46/100</f>
        <v>-327.314288226321</v>
      </c>
      <c r="K17" s="4" t="n">
        <f aca="false">-K6*Assumptions!K46/100</f>
        <v>-340.406859755374</v>
      </c>
      <c r="L17" s="4" t="n">
        <f aca="false">-L6*Assumptions!L46/100</f>
        <v>-352.321099846812</v>
      </c>
    </row>
    <row r="18" customFormat="false" ht="15" hidden="false" customHeight="false" outlineLevel="0" collapsed="false">
      <c r="A18" s="0" t="s">
        <v>117</v>
      </c>
      <c r="C18" s="4" t="n">
        <f aca="false">(C6-B6)*Assumptions!$B$51/100</f>
        <v>-154.6965</v>
      </c>
      <c r="D18" s="4" t="n">
        <f aca="false">(D6-C6)*Assumptions!$B$51/100</f>
        <v>-167.358695</v>
      </c>
      <c r="E18" s="4" t="n">
        <f aca="false">(E6-D6)*Assumptions!$B$51/100</f>
        <v>-161.1009351</v>
      </c>
      <c r="F18" s="4" t="n">
        <f aca="false">(F6-E6)*Assumptions!$B$51/100</f>
        <v>-147.854858214</v>
      </c>
      <c r="G18" s="4" t="n">
        <f aca="false">(G6-F6)*Assumptions!$B$51/100</f>
        <v>-132.43570871454</v>
      </c>
      <c r="H18" s="4" t="n">
        <f aca="false">(H6-G6)*Assumptions!$B$51/100</f>
        <v>-120.275702732569</v>
      </c>
      <c r="I18" s="4" t="n">
        <f aca="false">(I6-H6)*Assumptions!$B$51/100</f>
        <v>-101.967067983278</v>
      </c>
      <c r="J18" s="4" t="n">
        <f aca="false">(J6-I6)*Assumptions!$B$51/100</f>
        <v>-77.9319733872195</v>
      </c>
      <c r="K18" s="4" t="n">
        <f aca="false">(K6-J6)*Assumptions!$B$51/100</f>
        <v>-65.4628576452642</v>
      </c>
      <c r="L18" s="4" t="n">
        <f aca="false">(L6-K6)*Assumptions!$B$51/100</f>
        <v>-59.5712004571902</v>
      </c>
    </row>
    <row r="19" customFormat="false" ht="15" hidden="false" customHeight="false" outlineLevel="0" collapsed="false">
      <c r="A19" s="0" t="s">
        <v>118</v>
      </c>
      <c r="C19" s="0" t="n">
        <f aca="false">C15+C16+C17+C18</f>
        <v>1348.803080625</v>
      </c>
      <c r="D19" s="0" t="n">
        <f aca="false">D15+D16+D17+D18</f>
        <v>1711.03345800625</v>
      </c>
      <c r="E19" s="0" t="n">
        <f aca="false">E15+E16+E17+E18</f>
        <v>2143.85069384325</v>
      </c>
      <c r="F19" s="0" t="n">
        <f aca="false">F15+F16+F17+F18</f>
        <v>2564.06726796329</v>
      </c>
      <c r="G19" s="0" t="n">
        <f aca="false">G15+G16+G17+G18</f>
        <v>2907.86677702539</v>
      </c>
      <c r="H19" s="0" t="n">
        <f aca="false">H15+H16+H17+H18</f>
        <v>3208.22073072157</v>
      </c>
      <c r="I19" s="0" t="n">
        <f aca="false">I15+I16+I17+I18</f>
        <v>3475.11051049009</v>
      </c>
      <c r="J19" s="0" t="n">
        <f aca="false">J15+J16+J17+J18</f>
        <v>3694.36519842113</v>
      </c>
      <c r="K19" s="0" t="n">
        <f aca="false">K15+K16+K17+K18</f>
        <v>3857.72620103542</v>
      </c>
      <c r="L19" s="0" t="n">
        <f aca="false">L15+L16+L17+L18</f>
        <v>4000.92947527732</v>
      </c>
    </row>
    <row r="20" customFormat="false" ht="15" hidden="false" customHeight="false" outlineLevel="0" collapsed="false">
      <c r="A20" s="0" t="s">
        <v>119</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120</v>
      </c>
      <c r="C21" s="0" t="n">
        <f aca="false">C19*C20</f>
        <v>1231.78363527397</v>
      </c>
      <c r="D21" s="0" t="n">
        <f aca="false">D19*D20</f>
        <v>1427.02066929901</v>
      </c>
      <c r="E21" s="0" t="n">
        <f aca="false">E19*E20</f>
        <v>1632.87213771635</v>
      </c>
      <c r="F21" s="0" t="n">
        <f aca="false">F19*F20</f>
        <v>1783.49927835809</v>
      </c>
      <c r="G21" s="0" t="n">
        <f aca="false">G19*G20</f>
        <v>1847.15742372053</v>
      </c>
      <c r="H21" s="0" t="n">
        <f aca="false">H19*H20</f>
        <v>1861.14206802295</v>
      </c>
      <c r="I21" s="0" t="n">
        <f aca="false">I19*I20</f>
        <v>1841.06781441177</v>
      </c>
      <c r="J21" s="0" t="n">
        <f aca="false">J19*J20</f>
        <v>1787.42106172195</v>
      </c>
      <c r="K21" s="0" t="n">
        <f aca="false">K19*K20</f>
        <v>1704.52873948831</v>
      </c>
      <c r="L21" s="0" t="n">
        <f aca="false">L19*L20</f>
        <v>1614.4318034184</v>
      </c>
    </row>
    <row r="23" customFormat="false" ht="15" hidden="false" customHeight="false" outlineLevel="0" collapsed="false">
      <c r="A23" s="0" t="s">
        <v>96</v>
      </c>
      <c r="C23" s="4" t="n">
        <f aca="false">Assumptions!C44</f>
        <v>0.9</v>
      </c>
      <c r="D23" s="4" t="n">
        <f aca="false">Assumptions!D44</f>
        <v>0.9</v>
      </c>
      <c r="E23" s="4" t="n">
        <f aca="false">Assumptions!E44</f>
        <v>0.9</v>
      </c>
      <c r="F23" s="4" t="n">
        <f aca="false">Assumptions!F44</f>
        <v>0.9</v>
      </c>
      <c r="G23" s="4" t="n">
        <f aca="false">Assumptions!G44</f>
        <v>0.9</v>
      </c>
      <c r="H23" s="4" t="n">
        <f aca="false">Assumptions!H44</f>
        <v>0.9</v>
      </c>
      <c r="I23" s="4" t="n">
        <f aca="false">Assumptions!I44</f>
        <v>0.9</v>
      </c>
      <c r="J23" s="4" t="n">
        <f aca="false">Assumptions!J44</f>
        <v>0.9</v>
      </c>
      <c r="K23" s="4" t="n">
        <f aca="false">Assumptions!K44</f>
        <v>0.9</v>
      </c>
      <c r="L23" s="4" t="n">
        <f aca="false">Assumptions!L44</f>
        <v>0.9</v>
      </c>
    </row>
    <row r="24" customFormat="false" ht="15" hidden="false" customHeight="false" outlineLevel="0" collapsed="false">
      <c r="A24" s="0" t="s">
        <v>121</v>
      </c>
      <c r="C24" s="0" t="n">
        <f aca="false">-C6*C23/100</f>
        <v>-65.488185</v>
      </c>
      <c r="D24" s="0" t="n">
        <f aca="false">-D6*D23/100</f>
        <v>-80.55046755</v>
      </c>
      <c r="E24" s="0" t="n">
        <f aca="false">-E6*E23/100</f>
        <v>-95.049551709</v>
      </c>
      <c r="F24" s="0" t="n">
        <f aca="false">-F6*F23/100</f>
        <v>-108.35648894826</v>
      </c>
      <c r="G24" s="0" t="n">
        <f aca="false">-G6*G23/100</f>
        <v>-120.275702732569</v>
      </c>
      <c r="H24" s="0" t="n">
        <f aca="false">-H6*H23/100</f>
        <v>-131.1005159785</v>
      </c>
      <c r="I24" s="0" t="n">
        <f aca="false">-I6*I23/100</f>
        <v>-140.277552096995</v>
      </c>
      <c r="J24" s="0" t="n">
        <f aca="false">-J6*J23/100</f>
        <v>-147.291429701845</v>
      </c>
      <c r="K24" s="0" t="n">
        <f aca="false">-K6*K23/100</f>
        <v>-153.183086889918</v>
      </c>
      <c r="L24" s="0" t="n">
        <f aca="false">-L6*L23/100</f>
        <v>-158.544494931066</v>
      </c>
    </row>
    <row r="26" customFormat="false" ht="15" hidden="false" customHeight="false" outlineLevel="0" collapsed="false">
      <c r="A26" s="2" t="s">
        <v>122</v>
      </c>
    </row>
    <row r="27" customFormat="false" ht="15" hidden="false" customHeight="false" outlineLevel="0" collapsed="false">
      <c r="A27" s="0" t="s">
        <v>100</v>
      </c>
      <c r="B27" s="4" t="n">
        <f aca="false">Assumptions!$B$48</f>
        <v>9.5</v>
      </c>
    </row>
    <row r="28" customFormat="false" ht="15" hidden="false" customHeight="false" outlineLevel="0" collapsed="false">
      <c r="A28" s="0" t="s">
        <v>101</v>
      </c>
      <c r="B28" s="4" t="n">
        <f aca="false">Assumptions!$B$49</f>
        <v>3.5</v>
      </c>
    </row>
    <row r="29" customFormat="false" ht="15" hidden="false" customHeight="false" outlineLevel="0" collapsed="false">
      <c r="A29" s="0" t="s">
        <v>102</v>
      </c>
      <c r="B29" s="4" t="n">
        <f aca="false">Assumptions!$B$50</f>
        <v>20</v>
      </c>
    </row>
    <row r="30" customFormat="false" ht="15" hidden="false" customHeight="false" outlineLevel="0" collapsed="false">
      <c r="A30" s="0" t="s">
        <v>123</v>
      </c>
      <c r="B30" s="0" t="n">
        <f aca="false">SUM(C21:L21)</f>
        <v>16730.9246314313</v>
      </c>
    </row>
    <row r="31" customFormat="false" ht="15" hidden="false" customHeight="false" outlineLevel="0" collapsed="false">
      <c r="A31" s="0" t="s">
        <v>124</v>
      </c>
      <c r="B31" s="0" t="n">
        <f aca="false">L19</f>
        <v>4000.92947527732</v>
      </c>
    </row>
    <row r="32" customFormat="false" ht="15" hidden="false" customHeight="false" outlineLevel="0" collapsed="false">
      <c r="A32" s="0" t="s">
        <v>125</v>
      </c>
      <c r="B32" s="0" t="n">
        <f aca="false">IF(B27&gt;B28,B31*(1+B28/100)/((B27-B28)/100),B31*B29)</f>
        <v>69016.0334485338</v>
      </c>
    </row>
    <row r="33" customFormat="false" ht="15" hidden="false" customHeight="false" outlineLevel="0" collapsed="false">
      <c r="A33" s="0" t="s">
        <v>126</v>
      </c>
      <c r="B33" s="0" t="n">
        <f aca="false">B31*B29</f>
        <v>80018.5895055464</v>
      </c>
    </row>
    <row r="34" customFormat="false" ht="15" hidden="false" customHeight="false" outlineLevel="0" collapsed="false">
      <c r="A34" s="0" t="s">
        <v>127</v>
      </c>
      <c r="B34" s="0" t="n">
        <f aca="false">MAX(0,MIN(B32,B33))</f>
        <v>69016.0334485338</v>
      </c>
    </row>
    <row r="35" customFormat="false" ht="15" hidden="false" customHeight="false" outlineLevel="0" collapsed="false">
      <c r="A35" s="0" t="s">
        <v>128</v>
      </c>
      <c r="B35" s="0" t="n">
        <f aca="false">B34/(1+B27/100)^L4</f>
        <v>27848.9486089674</v>
      </c>
    </row>
    <row r="36" customFormat="false" ht="15" hidden="false" customHeight="false" outlineLevel="0" collapsed="false">
      <c r="A36" s="0" t="s">
        <v>129</v>
      </c>
      <c r="B36" s="0" t="n">
        <f aca="false">B30+B35</f>
        <v>44579.8732403987</v>
      </c>
    </row>
    <row r="37" customFormat="false" ht="15" hidden="false" customHeight="false" outlineLevel="0" collapsed="false">
      <c r="A37" s="0" t="s">
        <v>130</v>
      </c>
      <c r="B37" s="0" t="n">
        <f aca="false">B36+Assumptions!$B$5-Assumptions!$B$4</f>
        <v>48239.2732403987</v>
      </c>
    </row>
    <row r="38" customFormat="false" ht="15" hidden="false" customHeight="false" outlineLevel="0" collapsed="false">
      <c r="A38" s="0" t="s">
        <v>131</v>
      </c>
      <c r="B38" s="0" t="n">
        <f aca="false">B37/Assumptions!$B$3*Assumptions!$B$10</f>
        <v>115.569568530241</v>
      </c>
    </row>
    <row r="39" customFormat="false" ht="15" hidden="false" customHeight="false" outlineLevel="0" collapsed="false">
      <c r="A39" s="0" t="s">
        <v>132</v>
      </c>
      <c r="B39" s="4" t="n">
        <f aca="false">B38/Assumptions!$B$2-1</f>
        <v>1.63737034528164</v>
      </c>
    </row>
    <row r="41" customFormat="false" ht="15" hidden="false" customHeight="false" outlineLevel="0" collapsed="false">
      <c r="A41" s="0" t="s">
        <v>133</v>
      </c>
      <c r="B41" s="0" t="n">
        <f aca="false">SUMPRODUCT(-C10:L10/(1+$B$27/100)^C4:L4)</f>
        <v>163.59842696785</v>
      </c>
    </row>
    <row r="42" customFormat="false" ht="15" hidden="false" customHeight="false" outlineLevel="0" collapsed="false">
      <c r="A42" s="0" t="s">
        <v>134</v>
      </c>
      <c r="B42" s="0" t="n">
        <f aca="false">IF(B27&gt;B28,-L10*(1+B28/100)/((B27-B28)/100),-L10*20)/(1+B27/100)^L4</f>
        <v>245.237319580812</v>
      </c>
    </row>
    <row r="43" customFormat="false" ht="15" hidden="false" customHeight="false" outlineLevel="0" collapsed="false">
      <c r="A43" s="0" t="s">
        <v>135</v>
      </c>
      <c r="B43" s="0" t="n">
        <f aca="false">(B37+B41+B42)/Assumptions!$B$3*Assumptions!$B$10</f>
        <v>116.549039563996</v>
      </c>
    </row>
    <row r="45" customFormat="false" ht="15" hidden="false" customHeight="false" outlineLevel="0" collapsed="false">
      <c r="A45" s="0" t="s">
        <v>75</v>
      </c>
      <c r="B45" s="4" t="n">
        <f aca="false">Assumptions!$B$6</f>
        <v>15</v>
      </c>
    </row>
    <row r="46" customFormat="false" ht="15" hidden="false" customHeight="false" outlineLevel="0" collapsed="false">
      <c r="A46" s="0" t="s">
        <v>136</v>
      </c>
      <c r="B46" s="0" t="n">
        <f aca="false">MAX(0,MIN(IF(B45&gt;B28,B31*(1+B28/100)/((B45-B28)/100),B31*B29),B31*B29))</f>
        <v>36008.3652774959</v>
      </c>
    </row>
    <row r="47" customFormat="false" ht="15" hidden="false" customHeight="false" outlineLevel="0" collapsed="false">
      <c r="A47" s="0" t="s">
        <v>137</v>
      </c>
      <c r="B47" s="0" t="n">
        <f aca="false">(SUMPRODUCT(C19:L19/(1+B45/100)^C4:L4)+B46/(1+B45/100)^L4+Assumptions!$B$5-Assumptions!$B$4)/Assumptions!$B$3*Assumptions!$B$10</f>
        <v>60.6960812174866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140</v>
      </c>
    </row>
    <row r="3" customFormat="false" ht="15" hidden="false" customHeight="false" outlineLevel="0" collapsed="false">
      <c r="A3" s="2" t="s">
        <v>141</v>
      </c>
      <c r="B3" s="2" t="s">
        <v>142</v>
      </c>
      <c r="C3" s="2" t="s">
        <v>132</v>
      </c>
      <c r="D3" s="2" t="s">
        <v>143</v>
      </c>
      <c r="E3" s="2" t="s">
        <v>135</v>
      </c>
      <c r="F3" s="2" t="s">
        <v>144</v>
      </c>
    </row>
    <row r="4" customFormat="false" ht="15" hidden="false" customHeight="false" outlineLevel="0" collapsed="false">
      <c r="A4" s="0" t="s">
        <v>145</v>
      </c>
      <c r="B4" s="4" t="n">
        <f aca="false">DCF_Bear!$B$38</f>
        <v>44.366385228532</v>
      </c>
      <c r="C4" s="0" t="n">
        <f aca="false">B4/Assumptions!$B$2-1</f>
        <v>0.0124688550554988</v>
      </c>
      <c r="D4" s="4" t="n">
        <f aca="false">Assumptions!$B$24</f>
        <v>0.25</v>
      </c>
      <c r="E4" s="4" t="n">
        <f aca="false">DCF_Bear!$B$43</f>
        <v>44.8205758844776</v>
      </c>
      <c r="F4" s="4" t="n">
        <f aca="false">DCF_Bear!$B$47</f>
        <v>29.3586777449054</v>
      </c>
    </row>
    <row r="5" customFormat="false" ht="15" hidden="false" customHeight="false" outlineLevel="0" collapsed="false">
      <c r="A5" s="0" t="s">
        <v>146</v>
      </c>
      <c r="B5" s="4" t="n">
        <f aca="false">DCF_Base!$B$38</f>
        <v>79.4827119487685</v>
      </c>
      <c r="C5" s="0" t="n">
        <f aca="false">B5/Assumptions!$B$2-1</f>
        <v>0.813845548808045</v>
      </c>
      <c r="D5" s="4" t="n">
        <f aca="false">Assumptions!$B$38</f>
        <v>0.5</v>
      </c>
      <c r="E5" s="4" t="n">
        <f aca="false">DCF_Base!$B$43</f>
        <v>80.224757027185</v>
      </c>
      <c r="F5" s="4" t="n">
        <f aca="false">DCF_Base!$B$47</f>
        <v>45.3807295705536</v>
      </c>
    </row>
    <row r="6" customFormat="false" ht="15" hidden="false" customHeight="false" outlineLevel="0" collapsed="false">
      <c r="A6" s="0" t="s">
        <v>147</v>
      </c>
      <c r="B6" s="4" t="n">
        <f aca="false">DCF_Bull!$B$38</f>
        <v>115.569568530241</v>
      </c>
      <c r="C6" s="0" t="n">
        <f aca="false">B6/Assumptions!$B$2-1</f>
        <v>1.63737034528164</v>
      </c>
      <c r="D6" s="4" t="n">
        <f aca="false">Assumptions!$B$52</f>
        <v>0.25</v>
      </c>
      <c r="E6" s="4" t="n">
        <f aca="false">DCF_Bull!$B$43</f>
        <v>116.549039563996</v>
      </c>
      <c r="F6" s="4" t="n">
        <f aca="false">DCF_Bull!$B$47</f>
        <v>60.6960812174866</v>
      </c>
    </row>
    <row r="8" customFormat="false" ht="15" hidden="false" customHeight="false" outlineLevel="0" collapsed="false">
      <c r="A8" s="0" t="s">
        <v>148</v>
      </c>
      <c r="B8" s="0" t="n">
        <f aca="false">SUMPRODUCT(B4:B6,D4:D6)</f>
        <v>79.7253444140776</v>
      </c>
    </row>
    <row r="9" customFormat="false" ht="15" hidden="false" customHeight="false" outlineLevel="0" collapsed="false">
      <c r="A9" s="0" t="s">
        <v>149</v>
      </c>
      <c r="B9" s="0" t="n">
        <f aca="false">SUMPRODUCT(E4:E6,D4:D6)</f>
        <v>80.454782375711</v>
      </c>
    </row>
    <row r="10" customFormat="false" ht="15" hidden="false" customHeight="false" outlineLevel="0" collapsed="false">
      <c r="A10" s="0" t="s">
        <v>150</v>
      </c>
      <c r="B10" s="0" t="n">
        <f aca="false">1-Assumptions!$B$2/B8</f>
        <v>0.450362989058942</v>
      </c>
    </row>
    <row r="11" customFormat="false" ht="15" hidden="false" customHeight="false" outlineLevel="0" collapsed="false">
      <c r="A11" s="0" t="s">
        <v>151</v>
      </c>
      <c r="B11" s="0" t="str">
        <f aca="false">IF(ABS(B9-B8)&gt;0.01*ABS(B8),(Assumptions!$B$2-B8)/(B9-B8)*100,"n/a")</f>
        <v>n/a</v>
      </c>
    </row>
    <row r="12" customFormat="false" ht="15" hidden="false" customHeight="false" outlineLevel="0" collapsed="false">
      <c r="A12" s="0" t="s">
        <v>152</v>
      </c>
      <c r="B12" s="0" t="n">
        <f aca="false">SUMPRODUCT(F4:F6,D4:D6)</f>
        <v>45.2040545258748</v>
      </c>
    </row>
    <row r="14" customFormat="false" ht="15" hidden="false" customHeight="false" outlineLevel="0" collapsed="false">
      <c r="A14" s="2" t="s">
        <v>153</v>
      </c>
      <c r="C14" s="0" t="s">
        <v>154</v>
      </c>
    </row>
    <row r="15" customFormat="false" ht="15" hidden="false" customHeight="false" outlineLevel="0" collapsed="false">
      <c r="A15" s="0" t="s">
        <v>155</v>
      </c>
      <c r="B15" s="0" t="n">
        <f aca="false">(SUMPRODUCT(DCF_Base!$C$19:$L$19/(1+$C$15/100)^DCF_Base!$C$4:$L$4)+MAX(0,MIN(IF($C$15&gt;DCF_Base!$B$28,DCF_Base!$L$19*(1+DCF_Base!$B$28/100)/(($C$15-DCF_Base!$B$28)/100),DCF_Base!$L$19*DCF_Base!$B$29),DCF_Base!$L$19*DCF_Base!$B$29))/(1+$C$15/100)^DCF_Base!$L$4+Assumptions!$B$5-Assumptions!$B$4)/Assumptions!$B$3*Assumptions!$B$10</f>
        <v>85.7271582561854</v>
      </c>
      <c r="C15" s="3" t="n">
        <v>9</v>
      </c>
    </row>
    <row r="16" customFormat="false" ht="15" hidden="false" customHeight="false" outlineLevel="0" collapsed="false">
      <c r="A16" s="0" t="s">
        <v>156</v>
      </c>
      <c r="B16" s="0" t="n">
        <f aca="false">(SUMPRODUCT(DCF_Base!$C$19:$L$19/(1+$C$16/100)^DCF_Base!$C$4:$L$4)+MAX(0,MIN(IF($C$16&gt;DCF_Base!$B$28,DCF_Base!$L$19*(1+DCF_Base!$B$28/100)/(($C$16-DCF_Base!$B$28)/100),DCF_Base!$L$19*DCF_Base!$B$29),DCF_Base!$L$19*DCF_Base!$B$29))/(1+$C$16/100)^DCF_Base!$L$4+Assumptions!$B$5-Assumptions!$B$4)/Assumptions!$B$3*Assumptions!$B$10</f>
        <v>79.4827119487685</v>
      </c>
      <c r="C16" s="3" t="n">
        <v>9.5</v>
      </c>
    </row>
    <row r="17" customFormat="false" ht="15" hidden="false" customHeight="false" outlineLevel="0" collapsed="false">
      <c r="A17" s="0" t="s">
        <v>157</v>
      </c>
      <c r="B17" s="0" t="n">
        <f aca="false">(SUMPRODUCT(DCF_Base!$C$19:$L$19/(1+$C$17/100)^DCF_Base!$C$4:$L$4)+MAX(0,MIN(IF($C$17&gt;DCF_Base!$B$28,DCF_Base!$L$19*(1+DCF_Base!$B$28/100)/(($C$17-DCF_Base!$B$28)/100),DCF_Base!$L$19*DCF_Base!$B$29),DCF_Base!$L$19*DCF_Base!$B$29))/(1+$C$17/100)^DCF_Base!$L$4+Assumptions!$B$5-Assumptions!$B$4)/Assumptions!$B$3*Assumptions!$B$10</f>
        <v>74.1372897170877</v>
      </c>
      <c r="C17" s="3" t="n">
        <v>10</v>
      </c>
    </row>
    <row r="18" customFormat="false" ht="15" hidden="false" customHeight="false" outlineLevel="0" collapsed="false">
      <c r="A18" s="0" t="s">
        <v>158</v>
      </c>
      <c r="B18" s="0" t="n">
        <f aca="false">(SUMPRODUCT(DCF_Base!$C$19:$L$19/(1+$C$18/100)^DCF_Base!$C$4:$L$4)+MAX(0,MIN(IF($C$18&gt;DCF_Base!$B$28,DCF_Base!$L$19*(1+DCF_Base!$B$28/100)/(($C$18-DCF_Base!$B$28)/100),DCF_Base!$L$19*DCF_Base!$B$29),DCF_Base!$L$19*DCF_Base!$B$29))/(1+$C$18/100)^DCF_Base!$L$4+Assumptions!$B$5-Assumptions!$B$4)/Assumptions!$B$3*Assumptions!$B$10</f>
        <v>65.4685011622528</v>
      </c>
      <c r="C18" s="3" t="n">
        <v>11</v>
      </c>
    </row>
    <row r="19" customFormat="false" ht="15" hidden="false" customHeight="false" outlineLevel="0" collapsed="false">
      <c r="A19" s="0" t="s">
        <v>159</v>
      </c>
      <c r="B19" s="0" t="n">
        <f aca="false">(SUMPRODUCT(DCF_Base!$C$19:$L$19/(1+$C$19/100)^DCF_Base!$C$4:$L$4)+MAX(0,MIN(IF($C$19&gt;DCF_Base!$B$28,DCF_Base!$L$19*(1+DCF_Base!$B$28/100)/(($C$19-DCF_Base!$B$28)/100),DCF_Base!$L$19*DCF_Base!$B$29),DCF_Base!$L$19*DCF_Base!$B$29))/(1+$C$19/100)^DCF_Base!$L$4+Assumptions!$B$5-Assumptions!$B$4)/Assumptions!$B$3*Assumptions!$B$10</f>
        <v>58.7458307697841</v>
      </c>
      <c r="C19" s="3" t="n">
        <v>12</v>
      </c>
    </row>
    <row r="20" customFormat="false" ht="15" hidden="false" customHeight="false" outlineLevel="0" collapsed="false">
      <c r="A20" s="0" t="s">
        <v>160</v>
      </c>
      <c r="B20" s="0" t="n">
        <f aca="false">(SUMPRODUCT(DCF_Base!$C$19:$L$19/(1+$C$20/100)^DCF_Base!$C$4:$L$4)+MAX(0,MIN(IF($C$20&gt;DCF_Base!$B$28,DCF_Base!$L$19*(1+DCF_Base!$B$28/100)/(($C$20-DCF_Base!$B$28)/100),DCF_Base!$L$19*DCF_Base!$B$29),DCF_Base!$L$19*DCF_Base!$B$29))/(1+$C$20/100)^DCF_Base!$L$4+Assumptions!$B$5-Assumptions!$B$4)/Assumptions!$B$3*Assumptions!$B$10</f>
        <v>45.3807295705536</v>
      </c>
      <c r="C20" s="3" t="n">
        <v>15</v>
      </c>
    </row>
    <row r="22" customFormat="false" ht="15" hidden="false" customHeight="false" outlineLevel="0" collapsed="false">
      <c r="A22" s="2" t="s">
        <v>161</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97.6427901894251</v>
      </c>
      <c r="C24" s="0" t="n">
        <f aca="false">(SUMPRODUCT(DCF_Base!$C$19:$L$19/(1+$A$24/100)^DCF_Base!$C$4:$L$4)+MAX(0,MIN(IF($A$24&gt;$C$23,DCF_Base!$L$19*(1+$C$23/100)/(($A$24-$C$23)/100),DCF_Base!$L$19*DCF_Base!$B$29),DCF_Base!$L$19*DCF_Base!$B$29))/(1+$A$24/100)^DCF_Base!$L$4+Assumptions!$B$5-Assumptions!$B$4)/Assumptions!$B$3*Assumptions!$B$10</f>
        <v>97.6427901894251</v>
      </c>
      <c r="D24" s="0" t="n">
        <f aca="false">(SUMPRODUCT(DCF_Base!$C$19:$L$19/(1+$A$24/100)^DCF_Base!$C$4:$L$4)+MAX(0,MIN(IF($A$24&gt;$D$23,DCF_Base!$L$19*(1+$D$23/100)/(($A$24-$D$23)/100),DCF_Base!$L$19*DCF_Base!$B$29),DCF_Base!$L$19*DCF_Base!$B$29))/(1+$A$24/100)^DCF_Base!$L$4+Assumptions!$B$5-Assumptions!$B$4)/Assumptions!$B$3*Assumptions!$B$10</f>
        <v>97.6427901894251</v>
      </c>
      <c r="E24" s="0" t="n">
        <f aca="false">(SUMPRODUCT(DCF_Base!$C$19:$L$19/(1+$A$24/100)^DCF_Base!$C$4:$L$4)+MAX(0,MIN(IF($A$24&gt;$E$23,DCF_Base!$L$19*(1+$E$23/100)/(($A$24-$E$23)/100),DCF_Base!$L$19*DCF_Base!$B$29),DCF_Base!$L$19*DCF_Base!$B$29))/(1+$A$24/100)^DCF_Base!$L$4+Assumptions!$B$5-Assumptions!$B$4)/Assumptions!$B$3*Assumptions!$B$10</f>
        <v>97.6427901894251</v>
      </c>
      <c r="F24" s="0" t="n">
        <f aca="false">(SUMPRODUCT(DCF_Base!$C$19:$L$19/(1+$A$24/100)^DCF_Base!$C$4:$L$4)+MAX(0,MIN(IF($A$24&gt;$F$23,DCF_Base!$L$19*(1+$F$23/100)/(($A$24-$F$23)/100),DCF_Base!$L$19*DCF_Base!$B$29),DCF_Base!$L$19*DCF_Base!$B$29))/(1+$A$24/100)^DCF_Base!$L$4+Assumptions!$B$5-Assumptions!$B$4)/Assumptions!$B$3*Assumptions!$B$10</f>
        <v>97.6427901894251</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84.5077187197958</v>
      </c>
      <c r="C25" s="0" t="n">
        <f aca="false">(SUMPRODUCT(DCF_Base!$C$19:$L$19/(1+$A$25/100)^DCF_Base!$C$4:$L$4)+MAX(0,MIN(IF($A$25&gt;$C$23,DCF_Base!$L$19*(1+$C$23/100)/(($A$25-$C$23)/100),DCF_Base!$L$19*DCF_Base!$B$29),DCF_Base!$L$19*DCF_Base!$B$29))/(1+$A$25/100)^DCF_Base!$L$4+Assumptions!$B$5-Assumptions!$B$4)/Assumptions!$B$3*Assumptions!$B$10</f>
        <v>88.4532279825768</v>
      </c>
      <c r="D25" s="0" t="n">
        <f aca="false">(SUMPRODUCT(DCF_Base!$C$19:$L$19/(1+$A$25/100)^DCF_Base!$C$4:$L$4)+MAX(0,MIN(IF($A$25&gt;$D$23,DCF_Base!$L$19*(1+$D$23/100)/(($A$25-$D$23)/100),DCF_Base!$L$19*DCF_Base!$B$29),DCF_Base!$L$19*DCF_Base!$B$29))/(1+$A$25/100)^DCF_Base!$L$4+Assumptions!$B$5-Assumptions!$B$4)/Assumptions!$B$3*Assumptions!$B$10</f>
        <v>91.0532640405384</v>
      </c>
      <c r="E25" s="0" t="n">
        <f aca="false">(SUMPRODUCT(DCF_Base!$C$19:$L$19/(1+$A$25/100)^DCF_Base!$C$4:$L$4)+MAX(0,MIN(IF($A$25&gt;$E$23,DCF_Base!$L$19*(1+$E$23/100)/(($A$25-$E$23)/100),DCF_Base!$L$19*DCF_Base!$B$29),DCF_Base!$L$19*DCF_Base!$B$29))/(1+$A$25/100)^DCF_Base!$L$4+Assumptions!$B$5-Assumptions!$B$4)/Assumptions!$B$3*Assumptions!$B$10</f>
        <v>91.0532640405384</v>
      </c>
      <c r="F25" s="0" t="n">
        <f aca="false">(SUMPRODUCT(DCF_Base!$C$19:$L$19/(1+$A$25/100)^DCF_Base!$C$4:$L$4)+MAX(0,MIN(IF($A$25&gt;$F$23,DCF_Base!$L$19*(1+$F$23/100)/(($A$25-$F$23)/100),DCF_Base!$L$19*DCF_Base!$B$29),DCF_Base!$L$19*DCF_Base!$B$29))/(1+$A$25/100)^DCF_Base!$L$4+Assumptions!$B$5-Assumptions!$B$4)/Assumptions!$B$3*Assumptions!$B$10</f>
        <v>91.0532640405384</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73.6702031805678</v>
      </c>
      <c r="C26" s="0" t="n">
        <f aca="false">(SUMPRODUCT(DCF_Base!$C$19:$L$19/(1+$A$26/100)^DCF_Base!$C$4:$L$4)+MAX(0,MIN(IF($A$26&gt;$C$23,DCF_Base!$L$19*(1+$C$23/100)/(($A$26-$C$23)/100),DCF_Base!$L$19*DCF_Base!$B$29),DCF_Base!$L$19*DCF_Base!$B$29))/(1+$A$26/100)^DCF_Base!$L$4+Assumptions!$B$5-Assumptions!$B$4)/Assumptions!$B$3*Assumptions!$B$10</f>
        <v>76.3688679658039</v>
      </c>
      <c r="D26" s="0" t="n">
        <f aca="false">(SUMPRODUCT(DCF_Base!$C$19:$L$19/(1+$A$26/100)^DCF_Base!$C$4:$L$4)+MAX(0,MIN(IF($A$26&gt;$D$23,DCF_Base!$L$19*(1+$D$23/100)/(($A$26-$D$23)/100),DCF_Base!$L$19*DCF_Base!$B$29),DCF_Base!$L$19*DCF_Base!$B$29))/(1+$A$26/100)^DCF_Base!$L$4+Assumptions!$B$5-Assumptions!$B$4)/Assumptions!$B$3*Assumptions!$B$10</f>
        <v>79.4827119487685</v>
      </c>
      <c r="E26" s="0" t="n">
        <f aca="false">(SUMPRODUCT(DCF_Base!$C$19:$L$19/(1+$A$26/100)^DCF_Base!$C$4:$L$4)+MAX(0,MIN(IF($A$26&gt;$E$23,DCF_Base!$L$19*(1+$E$23/100)/(($A$26-$E$23)/100),DCF_Base!$L$19*DCF_Base!$B$29),DCF_Base!$L$19*DCF_Base!$B$29))/(1+$A$26/100)^DCF_Base!$L$4+Assumptions!$B$5-Assumptions!$B$4)/Assumptions!$B$3*Assumptions!$B$10</f>
        <v>83.115529928894</v>
      </c>
      <c r="F26" s="0" t="n">
        <f aca="false">(SUMPRODUCT(DCF_Base!$C$19:$L$19/(1+$A$26/100)^DCF_Base!$C$4:$L$4)+MAX(0,MIN(IF($A$26&gt;$F$23,DCF_Base!$L$19*(1+$F$23/100)/(($A$26-$F$23)/100),DCF_Base!$L$19*DCF_Base!$B$29),DCF_Base!$L$19*DCF_Base!$B$29))/(1+$A$26/100)^DCF_Base!$L$4+Assumptions!$B$5-Assumptions!$B$4)/Assumptions!$B$3*Assumptions!$B$10</f>
        <v>85.0563504936185</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65.4152184634235</v>
      </c>
      <c r="C27" s="0" t="n">
        <f aca="false">(SUMPRODUCT(DCF_Base!$C$19:$L$19/(1+$A$27/100)^DCF_Base!$C$4:$L$4)+MAX(0,MIN(IF($A$27&gt;$C$23,DCF_Base!$L$19*(1+$C$23/100)/(($A$27-$C$23)/100),DCF_Base!$L$19*DCF_Base!$B$29),DCF_Base!$L$19*DCF_Base!$B$29))/(1+$A$27/100)^DCF_Base!$L$4+Assumptions!$B$5-Assumptions!$B$4)/Assumptions!$B$3*Assumptions!$B$10</f>
        <v>67.3350622965464</v>
      </c>
      <c r="D27" s="0" t="n">
        <f aca="false">(SUMPRODUCT(DCF_Base!$C$19:$L$19/(1+$A$27/100)^DCF_Base!$C$4:$L$4)+MAX(0,MIN(IF($A$27&gt;$D$23,DCF_Base!$L$19*(1+$D$23/100)/(($A$27-$D$23)/100),DCF_Base!$L$19*DCF_Base!$B$29),DCF_Base!$L$19*DCF_Base!$B$29))/(1+$A$27/100)^DCF_Base!$L$4+Assumptions!$B$5-Assumptions!$B$4)/Assumptions!$B$3*Assumptions!$B$10</f>
        <v>69.510885307419</v>
      </c>
      <c r="E27" s="0" t="n">
        <f aca="false">(SUMPRODUCT(DCF_Base!$C$19:$L$19/(1+$A$27/100)^DCF_Base!$C$4:$L$4)+MAX(0,MIN(IF($A$27&gt;$E$23,DCF_Base!$L$19*(1+$E$23/100)/(($A$27-$E$23)/100),DCF_Base!$L$19*DCF_Base!$B$29),DCF_Base!$L$19*DCF_Base!$B$29))/(1+$A$27/100)^DCF_Base!$L$4+Assumptions!$B$5-Assumptions!$B$4)/Assumptions!$B$3*Assumptions!$B$10</f>
        <v>71.9975401769878</v>
      </c>
      <c r="F27" s="0" t="n">
        <f aca="false">(SUMPRODUCT(DCF_Base!$C$19:$L$19/(1+$A$27/100)^DCF_Base!$C$4:$L$4)+MAX(0,MIN(IF($A$27&gt;$F$23,DCF_Base!$L$19*(1+$F$23/100)/(($A$27-$F$23)/100),DCF_Base!$L$19*DCF_Base!$B$29),DCF_Base!$L$19*DCF_Base!$B$29))/(1+$A$27/100)^DCF_Base!$L$4+Assumptions!$B$5-Assumptions!$B$4)/Assumptions!$B$3*Assumptions!$B$10</f>
        <v>74.8667573341825</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58.9253130448863</v>
      </c>
      <c r="C28" s="0" t="n">
        <f aca="false">(SUMPRODUCT(DCF_Base!$C$19:$L$19/(1+$A$28/100)^DCF_Base!$C$4:$L$4)+MAX(0,MIN(IF($A$28&gt;$C$23,DCF_Base!$L$19*(1+$C$23/100)/(($A$28-$C$23)/100),DCF_Base!$L$19*DCF_Base!$B$29),DCF_Base!$L$19*DCF_Base!$B$29))/(1+$A$28/100)^DCF_Base!$L$4+Assumptions!$B$5-Assumptions!$B$4)/Assumptions!$B$3*Assumptions!$B$10</f>
        <v>60.3332895143515</v>
      </c>
      <c r="D28" s="0" t="n">
        <f aca="false">(SUMPRODUCT(DCF_Base!$C$19:$L$19/(1+$A$28/100)^DCF_Base!$C$4:$L$4)+MAX(0,MIN(IF($A$28&gt;$D$23,DCF_Base!$L$19*(1+$D$23/100)/(($A$28-$D$23)/100),DCF_Base!$L$19*DCF_Base!$B$29),DCF_Base!$L$19*DCF_Base!$B$29))/(1+$A$28/100)^DCF_Base!$L$4+Assumptions!$B$5-Assumptions!$B$4)/Assumptions!$B$3*Assumptions!$B$10</f>
        <v>61.906910274342</v>
      </c>
      <c r="E28" s="0" t="n">
        <f aca="false">(SUMPRODUCT(DCF_Base!$C$19:$L$19/(1+$A$28/100)^DCF_Base!$C$4:$L$4)+MAX(0,MIN(IF($A$28&gt;$E$23,DCF_Base!$L$19*(1+$E$23/100)/(($A$28-$E$23)/100),DCF_Base!$L$19*DCF_Base!$B$29),DCF_Base!$L$19*DCF_Base!$B$29))/(1+$A$28/100)^DCF_Base!$L$4+Assumptions!$B$5-Assumptions!$B$4)/Assumptions!$B$3*Assumptions!$B$10</f>
        <v>63.6772336293312</v>
      </c>
      <c r="F28" s="0" t="n">
        <f aca="false">(SUMPRODUCT(DCF_Base!$C$19:$L$19/(1+$A$28/100)^DCF_Base!$C$4:$L$4)+MAX(0,MIN(IF($A$28&gt;$F$23,DCF_Base!$L$19*(1+$F$23/100)/(($A$28-$F$23)/100),DCF_Base!$L$19*DCF_Base!$B$29),DCF_Base!$L$19*DCF_Base!$B$29))/(1+$A$28/100)^DCF_Base!$L$4+Assumptions!$B$5-Assumptions!$B$4)/Assumptions!$B$3*Assumptions!$B$10</f>
        <v>65.6836000983191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2026-10-16T09:07:48Z</dcterms:created>
  <dc:creator>openpyxl</dc:creator>
  <dc:description/>
  <dc:language>en-NZ</dc:language>
  <cp:lastModifiedBy/>
  <dcterms:modified xsi:type="dcterms:W3CDTF">2026-10-16T09:07:48Z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