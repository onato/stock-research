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<sst xmlns="http://schemas.openxmlformats.org/spreadsheetml/2006/main" count="369" uniqueCount="172">
  <si>
    <t xml:space="preserve">Ticker</t>
  </si>
  <si>
    <t xml:space="preserve">4272.T</t>
  </si>
  <si>
    <t xml:space="preserve">Company</t>
  </si>
  <si>
    <t xml:space="preserve">Nippon Kayaku Co., Ltd.</t>
  </si>
  <si>
    <t xml:space="preserve">Valuation date</t>
  </si>
  <si>
    <t xml:space="preserve">2026-10-31</t>
  </si>
  <si>
    <t xml:space="preserve">Current price</t>
  </si>
  <si>
    <t xml:space="preserve">Price as of</t>
  </si>
  <si>
    <t xml:space="preserve">2026-10-30T06:30:00Z (TSE regular close)</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</si>
  <si>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</si>
  <si>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</si>
  <si>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</si>
  <si>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</si>
  <si>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</si>
  <si>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</si>
  <si>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</si>
  <si>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</si>
  <si>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</si>
  <si>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</si>
  <si>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</si>
  <si>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</si>
  <si>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2026-10-31T02:00:10Z</t>
  </si>
  <si>
    <t xml:space="preserve">Drivers file</t>
  </si>
  <si>
    <t xml:space="preserve">4272.T_Drivers.json</t>
  </si>
  <si>
    <t xml:space="preserve">Convention</t>
  </si>
  <si>
    <t xml:space="preserve">Percents stored as percents; formulas divide by 100. Blue = input, green = link, black = formula.</t>
  </si>
  <si>
    <t xml:space="preserve">Methodology</t>
  </si>
  <si>
    <t xml:space="preserve">summary: Value Nippon Kayaku as a mid-cycle diversified chemicals group: anchor the near term to the raised FY2027 guidance, give partial credit to the Evolution2035 margin targets, and capitalise a mature 17.5% EBITDA margin that is the company's own ten-year average rather than either the FY2024 trough or the FY2017-18 peak. Charge the full Phase-1 investment programme (capex plus in-licensing) before letting capex normalise, charge the cross-shareholdings' income out of the flows and add the portfolio back in the bridge, and shrink the share count only for the buyback whose cash is also deducted. Discount in JPY at 8.0% with no per-scenario WACC premium; cyclicality lives in the bear path and its 20% weight.
key_risks_to_valuation: Raw-material (naphtha-derivative) cost inflation outrunning price pass-through in Mobility &amp; Imaging, as in FY2026 (segment profit -20%); Global auto production and US tariff policy -- the largest segment sells into OEMs/Tier-1s; a production slowdown or tariff escalation hits volumes directly; Semiconductor/AI-materials cycle turning (Fine Chemicals fell to JPY5.2bn segment profit in FY2024 from JPY10.6bn); Japan NHI drug-price revisions compressing Life Science margins faster than IBTROZI/biosimilar launches offset; Evolution2035 inorganic spend (licences such as the JPY15.6bn long-term prepaid booked in Q1 FY2027, M&amp;A) consuming cash without returns -- the model charges Phase-1 capex but cannot see the returns on licences; Terminal value is ~60% of EV; each 1pp of WACC is worth ~JPY250-300/share; Investment-securities bridge (JPY25.6bn after haircut, ~JPY180/share) depends on disposal proceeds and tax; the company plans only ~JPY18bn of sales over three years</t>
  </si>
  <si>
    <t xml:space="preserve">Data sources</t>
  </si>
  <si>
    <t xml:space="preserve">price: Yahoo Finance chart API at inputs.price_as_of (TSE regular close 30 Oct 2026); 52-week range 1378-2192.5
financials: 4272.T_Metrics.csv (FY2017-FY2026 annual, halves, Q1/9M) built from the annual/quarterly tanshin in Extracted/; Q1 FY2027 tanshin (30 June 2026) for cash, debt, investment securities, NCI and share count; FY2026 annual tanshin for SBC, interest/dividend income, capex, D&amp;A, tax; Evolution2035 Phase-1 slides for the FY2027-29 cash allocation (OCF JPY115bn, capex JPY90bn, returns JPY44bn, cross-shareholding sales JPY18bn)
qualitative: 4272.T_Analysis.json (2026-10-31): segments, guidance (FY2027 raised Aug 2026), Evolution2035 targets, bull/bear axes</t>
  </si>
  <si>
    <t xml:space="preserve">Scenario narrative: bear</t>
  </si>
  <si>
    <t xml:space="preserve">Auto downturn plus tariffs and a semiconductor inventory correction in FY2028-29 with raw-material inflation unrecovered; EBITDA margin troughs 13.5% and plateaus at 15.0%; growth 1-2%; Evolution2035 inorganic spend earns nothing; terminal growth 0.5%.</t>
  </si>
  <si>
    <t xml:space="preserve">Scenario narrative: base</t>
  </si>
  <si>
    <t xml:space="preserve">Guidance-year FY2027 as raised (sales JPY270.9bn, OI JPY27.3bn); sales reach the JPY300bn Evolution2035 Phase-1 target by repo FY2029 but OI margin gets ~75% of the way to the 12% target; mature EBITDA margin 17.5% (10-year average ex-FY2024); capex at the Phase-1 plan (~JPY30bn/yr incl. licensing) then normalising to 7.5% of sales; growth decaying to 1.5%; WACC 8.0% JPY; terminal growth 1.0%, cap 15x.</t>
  </si>
  <si>
    <t xml:space="preserve">Scenario narrative: bull</t>
  </si>
  <si>
    <t xml:space="preserve">Phase 1 met in full (JPY300bn / JPY36bn OI by repo FY2029) on the AI-materials cycle, inflator share gains and pricing recovery in Mobility &amp; Imaging plus new oncology/biosimilar launches; mature EBITDA margin 19.0%; terminal growth 1.5%.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</si>
  <si>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</si>
  <si>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</si>
  <si>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</si>
  <si>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</si>
  <si>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</si>
  <si>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</si>
  <si>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</si>
  <si>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</si>
  <si>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</si>
  <si>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</si>
  <si>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</si>
  <si>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</si>
  <si>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</si>
  <si>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</si>
  <si>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</si>
  <si>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</si>
  <si>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</si>
  <si>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</si>
  <si>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</si>
  <si>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</si>
  <si>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</si>
  <si>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</si>
  <si>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</si>
  <si>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</si>
  <si>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</si>
  <si>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</si>
  <si>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</si>
  <si>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NonControllingInterests</t>
  </si>
  <si>
    <t xml:space="preserve">SegmentOperatingProfitOther</t>
  </si>
  <si>
    <t xml:space="preserve">SegmentOperatingProfitPharmaceuticals</t>
  </si>
  <si>
    <t xml:space="preserve">SegmentRevenueLifeScience</t>
  </si>
  <si>
    <t xml:space="preserve">SegmentRevenueOther</t>
  </si>
  <si>
    <t xml:space="preserve">SegmentRevenuePharmaceuticals</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</si>
  <si>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</si>
  <si>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</si>
  <si>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</si>
  <si>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</si>
  <si>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</si>
  <si>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</si>
  <si>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</si>
  <si>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</si>
  <si>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</si>
  <si>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</si>
  <si>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</si>
  <si>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</si>
  <si>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</si>
  <si>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</si>
  <si>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</si>
  <si>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</si>
  <si>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</si>
  <si>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</si>
  <si>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</si>
  <si>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</si>
  <si>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</si>
  <si>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</si>
  <si>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</si>
  <si>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</si>
  <si>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</si>
  <si>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</si>
  <si>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</si>
  <si>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</si>
  <si>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</si>
  <si>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</si>
  <si>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</si>
  <si>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</si>
  <si>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</si>
  <si>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</si>
  <si>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</si>
  <si>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</si>
  <si>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</si>
  <si>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</si>
  <si>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</si>
  <si>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</si>
  <si>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</si>
  <si>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</si>
  <si>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</si>
  <si>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</si>
  <si>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</si>
  <si>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</si>
  <si>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</si>
  <si>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</si>
  <si>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4272.T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</si>
  <si>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</si>
  <si>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</si>
  <si>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</si>
  <si>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</si>
  <si>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</si>
  <si>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</si>
  <si>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</si>
  <si>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</si>
  <si>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</si>
  <si>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</si>
  <si>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</si>
  <si>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</si>
  <si>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</si>
  <si>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</si>
  <si>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</si>
  <si>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</si>
  <si>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</si>
  <si>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</si>
  <si>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</si>
  <si>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</si>
  <si>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</si>
  <si>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</si>
  <si>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</si>
  <si>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</si>
  <si>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</si>
  <si>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</si>
  <si>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</si>
  <si>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</si>
  <si>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</si>
  <si>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</si>
  <si>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4272.T owner-FCF component DCF: base case (millions, JPY)</t>
  </si>
  <si>
    <t xml:space="preserve">4272.T owner-FCF component DCF: bull case (millions, JPY)</t>
  </si>
  <si>
    <t xml:space="preserve">4272.T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</si>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</sst>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2000</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row>
    <row r="2" customFormat="false" ht="15" hidden="false" customHeight="false" outlineLevel="0" collapsed="false">
      <c r="A2" s="0" t="s">
        <v>69</v>
      </c>
      <c r="B2" s="0" t="n">
        <v>162922</v>
      </c>
      <c r="C2" s="0" t="n">
        <v>96653</v>
      </c>
      <c r="D2" s="0" t="n">
        <v>66268</v>
      </c>
      <c r="E2" s="0" t="n">
        <v>40.6747</v>
      </c>
      <c r="F2" s="0" t="n">
        <v>21713</v>
      </c>
      <c r="G2" s="0" t="n">
        <v>13.3272</v>
      </c>
      <c r="H2" s="0" t="n">
        <v>32951</v>
      </c>
      <c r="I2" s="0" t="n">
        <v>17291</v>
      </c>
      <c r="J2" s="0" t="n">
        <v>10.6131</v>
      </c>
      <c r="L2" s="0" t="n">
        <v>19603</v>
      </c>
      <c r="M2" s="0" t="n">
        <v>14506</v>
      </c>
      <c r="N2" s="0" t="n">
        <v>5097</v>
      </c>
      <c r="O2" s="0" t="n">
        <v>188919</v>
      </c>
      <c r="P2" s="0" t="n">
        <v>272679</v>
      </c>
      <c r="Q2" s="0" t="n">
        <v>72186</v>
      </c>
      <c r="R2" s="0" t="n">
        <v>19441</v>
      </c>
      <c r="S2" s="0" t="n">
        <v>47464</v>
      </c>
      <c r="AA2" s="0" t="s">
        <v>17</v>
      </c>
      <c r="AB2" s="0" t="s">
        <v>14</v>
      </c>
      <c r="AC2" s="0" t="n">
        <v>11573</v>
      </c>
    </row>
    <row r="3" customFormat="false" ht="15" hidden="false" customHeight="false" outlineLevel="0" collapsed="false">
      <c r="A3" s="0" t="s">
        <v>70</v>
      </c>
      <c r="B3" s="0" t="n">
        <v>159117</v>
      </c>
      <c r="C3" s="0" t="n">
        <v>95253</v>
      </c>
      <c r="D3" s="0" t="n">
        <v>63864</v>
      </c>
      <c r="E3" s="0" t="n">
        <v>40.1365</v>
      </c>
      <c r="F3" s="0" t="n">
        <v>19646</v>
      </c>
      <c r="G3" s="0" t="n">
        <v>12.3469</v>
      </c>
      <c r="H3" s="0" t="n">
        <v>30989</v>
      </c>
      <c r="I3" s="0" t="n">
        <v>15635</v>
      </c>
      <c r="J3" s="0" t="n">
        <v>9.8261</v>
      </c>
      <c r="K3" s="0" t="n">
        <v>90.2248</v>
      </c>
      <c r="L3" s="0" t="n">
        <v>31390</v>
      </c>
      <c r="M3" s="0" t="n">
        <v>14110</v>
      </c>
      <c r="N3" s="0" t="n">
        <v>17280</v>
      </c>
      <c r="O3" s="0" t="n">
        <v>194063</v>
      </c>
      <c r="P3" s="0" t="n">
        <v>272791</v>
      </c>
      <c r="Q3" s="0" t="n">
        <v>66924</v>
      </c>
      <c r="R3" s="0" t="n">
        <v>14507</v>
      </c>
      <c r="S3" s="0" t="n">
        <v>51785</v>
      </c>
      <c r="T3" s="0" t="n">
        <v>173.1568</v>
      </c>
      <c r="AA3" s="0" t="s">
        <v>17</v>
      </c>
      <c r="AB3" s="0" t="s">
        <v>14</v>
      </c>
      <c r="AC3" s="0" t="n">
        <v>11803</v>
      </c>
      <c r="AD3" s="0" t="n">
        <v>1579</v>
      </c>
      <c r="AE3" s="0" t="n">
        <v>4814</v>
      </c>
      <c r="AG3" s="0" t="n">
        <v>8657</v>
      </c>
      <c r="AH3" s="0" t="n">
        <v>47648</v>
      </c>
    </row>
    <row r="4" customFormat="false" ht="15" hidden="false" customHeight="false" outlineLevel="0" collapsed="false">
      <c r="A4" s="0" t="s">
        <v>71</v>
      </c>
      <c r="B4" s="0" t="n">
        <v>167888</v>
      </c>
      <c r="C4" s="0" t="n">
        <v>102475</v>
      </c>
      <c r="D4" s="0" t="n">
        <v>65413</v>
      </c>
      <c r="E4" s="0" t="n">
        <v>38.9623</v>
      </c>
      <c r="F4" s="0" t="n">
        <v>22606</v>
      </c>
      <c r="G4" s="0" t="n">
        <v>13.4649</v>
      </c>
      <c r="H4" s="0" t="n">
        <v>34262</v>
      </c>
      <c r="I4" s="0" t="n">
        <v>15472</v>
      </c>
      <c r="J4" s="0" t="n">
        <v>9.2157</v>
      </c>
      <c r="K4" s="0" t="n">
        <v>89.3562</v>
      </c>
      <c r="L4" s="0" t="n">
        <v>20121</v>
      </c>
      <c r="M4" s="0" t="n">
        <v>12542</v>
      </c>
      <c r="N4" s="0" t="n">
        <v>7579</v>
      </c>
      <c r="O4" s="0" t="n">
        <v>208315</v>
      </c>
      <c r="P4" s="0" t="n">
        <v>287565</v>
      </c>
      <c r="Q4" s="0" t="n">
        <v>66962</v>
      </c>
      <c r="R4" s="0" t="n">
        <v>14291</v>
      </c>
      <c r="S4" s="0" t="n">
        <v>50532</v>
      </c>
      <c r="T4" s="0" t="n">
        <v>173.1458</v>
      </c>
      <c r="AA4" s="0" t="s">
        <v>17</v>
      </c>
      <c r="AB4" s="0" t="s">
        <v>14</v>
      </c>
      <c r="AC4" s="0" t="n">
        <v>12287</v>
      </c>
      <c r="AD4" s="0" t="n">
        <v>1175</v>
      </c>
      <c r="AE4" s="0" t="n">
        <v>6401</v>
      </c>
      <c r="AG4" s="0" t="n">
        <v>8800</v>
      </c>
      <c r="AH4" s="0" t="n">
        <v>47485</v>
      </c>
    </row>
    <row r="5" customFormat="false" ht="15" hidden="false" customHeight="false" outlineLevel="0" collapsed="false">
      <c r="A5" s="0" t="s">
        <v>72</v>
      </c>
      <c r="B5" s="0" t="n">
        <v>172639</v>
      </c>
      <c r="C5" s="0" t="n">
        <v>109461</v>
      </c>
      <c r="D5" s="0" t="n">
        <v>63177</v>
      </c>
      <c r="E5" s="0" t="n">
        <v>36.5949</v>
      </c>
      <c r="F5" s="0" t="n">
        <v>19939</v>
      </c>
      <c r="G5" s="0" t="n">
        <v>11.5495</v>
      </c>
      <c r="H5" s="0" t="n">
        <v>31908</v>
      </c>
      <c r="I5" s="0" t="n">
        <v>14851</v>
      </c>
      <c r="J5" s="0" t="n">
        <v>8.6023</v>
      </c>
      <c r="K5" s="0" t="n">
        <v>85.7719</v>
      </c>
      <c r="L5" s="0" t="n">
        <v>26803</v>
      </c>
      <c r="M5" s="0" t="n">
        <v>15750</v>
      </c>
      <c r="N5" s="0" t="n">
        <v>11053</v>
      </c>
      <c r="O5" s="0" t="n">
        <v>216041</v>
      </c>
      <c r="P5" s="0" t="n">
        <v>293571</v>
      </c>
      <c r="Q5" s="0" t="n">
        <v>64528</v>
      </c>
      <c r="R5" s="0" t="n">
        <v>14250</v>
      </c>
      <c r="S5" s="0" t="n">
        <v>52697</v>
      </c>
      <c r="T5" s="0" t="n">
        <v>173.1448</v>
      </c>
      <c r="AA5" s="0" t="s">
        <v>17</v>
      </c>
      <c r="AB5" s="0" t="s">
        <v>14</v>
      </c>
      <c r="AC5" s="0" t="n">
        <v>13002</v>
      </c>
      <c r="AD5" s="0" t="n">
        <v>1588</v>
      </c>
      <c r="AE5" s="0" t="n">
        <v>4061</v>
      </c>
      <c r="AG5" s="0" t="n">
        <v>9500</v>
      </c>
      <c r="AH5" s="0" t="n">
        <v>46231</v>
      </c>
    </row>
    <row r="6" customFormat="false" ht="15" hidden="false" customHeight="false" outlineLevel="0" collapsed="false">
      <c r="A6" s="0" t="s">
        <v>73</v>
      </c>
      <c r="B6" s="0" t="n">
        <v>175123</v>
      </c>
      <c r="C6" s="0" t="n">
        <v>117059</v>
      </c>
      <c r="D6" s="0" t="n">
        <v>58063</v>
      </c>
      <c r="E6" s="0" t="n">
        <v>33.1556</v>
      </c>
      <c r="F6" s="0" t="n">
        <v>17485</v>
      </c>
      <c r="G6" s="0" t="n">
        <v>9.9844</v>
      </c>
      <c r="H6" s="0" t="n">
        <v>29869</v>
      </c>
      <c r="I6" s="0" t="n">
        <v>12815</v>
      </c>
      <c r="J6" s="0" t="n">
        <v>7.3177</v>
      </c>
      <c r="K6" s="0" t="n">
        <v>74.248</v>
      </c>
      <c r="L6" s="0" t="n">
        <v>27281</v>
      </c>
      <c r="M6" s="0" t="n">
        <v>16089</v>
      </c>
      <c r="N6" s="0" t="n">
        <v>11192</v>
      </c>
      <c r="O6" s="0" t="n">
        <v>209344</v>
      </c>
      <c r="P6" s="0" t="n">
        <v>278496</v>
      </c>
      <c r="Q6" s="0" t="n">
        <v>68477</v>
      </c>
      <c r="R6" s="0" t="n">
        <v>22541</v>
      </c>
      <c r="S6" s="0" t="n">
        <v>46663</v>
      </c>
      <c r="T6" s="0" t="n">
        <v>170.7937</v>
      </c>
      <c r="AA6" s="0" t="s">
        <v>17</v>
      </c>
      <c r="AB6" s="0" t="s">
        <v>14</v>
      </c>
      <c r="AC6" s="0" t="n">
        <v>675</v>
      </c>
      <c r="AD6" s="0" t="n">
        <v>1543</v>
      </c>
      <c r="AE6" s="0" t="n">
        <v>4135</v>
      </c>
      <c r="AG6" s="0" t="n">
        <v>8817</v>
      </c>
      <c r="AH6" s="0" t="n">
        <v>47774</v>
      </c>
    </row>
    <row r="7" customFormat="false" ht="15" hidden="false" customHeight="false" outlineLevel="0" collapsed="false">
      <c r="A7" s="0" t="s">
        <v>74</v>
      </c>
      <c r="B7" s="0" t="n">
        <v>173381</v>
      </c>
      <c r="C7" s="0" t="n">
        <v>117067</v>
      </c>
      <c r="D7" s="0" t="n">
        <v>56314</v>
      </c>
      <c r="E7" s="0" t="n">
        <v>32.4799</v>
      </c>
      <c r="F7" s="0" t="n">
        <v>15194</v>
      </c>
      <c r="G7" s="0" t="n">
        <v>8.7634</v>
      </c>
      <c r="H7" s="0" t="n">
        <v>28004</v>
      </c>
      <c r="I7" s="0" t="n">
        <v>12574</v>
      </c>
      <c r="J7" s="0" t="n">
        <v>7.2522</v>
      </c>
      <c r="K7" s="0" t="n">
        <v>73.6211</v>
      </c>
      <c r="L7" s="0" t="n">
        <v>24408</v>
      </c>
      <c r="M7" s="0" t="n">
        <v>13187</v>
      </c>
      <c r="N7" s="0" t="n">
        <v>11221</v>
      </c>
      <c r="O7" s="0" t="n">
        <v>227506</v>
      </c>
      <c r="P7" s="0" t="n">
        <v>294535</v>
      </c>
      <c r="Q7" s="0" t="n">
        <v>66261</v>
      </c>
      <c r="R7" s="0" t="n">
        <v>19402</v>
      </c>
      <c r="S7" s="0" t="n">
        <v>47483</v>
      </c>
      <c r="T7" s="0" t="n">
        <v>170.7929</v>
      </c>
      <c r="AA7" s="0" t="s">
        <v>17</v>
      </c>
      <c r="AB7" s="0" t="s">
        <v>14</v>
      </c>
      <c r="AC7" s="0" t="n">
        <v>767</v>
      </c>
      <c r="AD7" s="0" t="n">
        <v>1821</v>
      </c>
      <c r="AE7" s="0" t="n">
        <v>7443</v>
      </c>
      <c r="AG7" s="0" t="n">
        <v>8477</v>
      </c>
      <c r="AH7" s="0" t="n">
        <v>50441</v>
      </c>
    </row>
    <row r="8" customFormat="false" ht="15" hidden="false" customHeight="false" outlineLevel="0" collapsed="false">
      <c r="A8" s="0" t="s">
        <v>75</v>
      </c>
      <c r="B8" s="0" t="n">
        <v>184805</v>
      </c>
      <c r="C8" s="0" t="n">
        <v>120837</v>
      </c>
      <c r="D8" s="0" t="n">
        <v>63967</v>
      </c>
      <c r="E8" s="0" t="n">
        <v>34.6132</v>
      </c>
      <c r="F8" s="0" t="n">
        <v>21050</v>
      </c>
      <c r="G8" s="0" t="n">
        <v>11.3904</v>
      </c>
      <c r="H8" s="0" t="n">
        <v>34620</v>
      </c>
      <c r="I8" s="0" t="n">
        <v>17181</v>
      </c>
      <c r="J8" s="0" t="n">
        <v>9.2968</v>
      </c>
      <c r="K8" s="0" t="n">
        <v>101.6975</v>
      </c>
      <c r="L8" s="0" t="n">
        <v>23141</v>
      </c>
      <c r="M8" s="0" t="n">
        <v>9108</v>
      </c>
      <c r="N8" s="0" t="n">
        <v>14033</v>
      </c>
      <c r="O8" s="0" t="n">
        <v>245480</v>
      </c>
      <c r="P8" s="0" t="n">
        <v>315459</v>
      </c>
      <c r="Q8" s="0" t="n">
        <v>69034</v>
      </c>
      <c r="R8" s="0" t="n">
        <v>16650</v>
      </c>
      <c r="S8" s="0" t="n">
        <v>52962</v>
      </c>
      <c r="T8" s="0" t="n">
        <v>168.2456</v>
      </c>
      <c r="AA8" s="0" t="s">
        <v>17</v>
      </c>
      <c r="AB8" s="0" t="s">
        <v>14</v>
      </c>
      <c r="AC8" s="0" t="n">
        <v>945</v>
      </c>
      <c r="AD8" s="0" t="n">
        <v>1842</v>
      </c>
      <c r="AE8" s="0" t="n">
        <v>8645</v>
      </c>
      <c r="AG8" s="0" t="n">
        <v>9456</v>
      </c>
      <c r="AH8" s="0" t="n">
        <v>52083</v>
      </c>
    </row>
    <row r="9" customFormat="false" ht="15" hidden="false" customHeight="false" outlineLevel="0" collapsed="false">
      <c r="A9" s="0" t="s">
        <v>76</v>
      </c>
      <c r="B9" s="0" t="n">
        <v>198380</v>
      </c>
      <c r="C9" s="0" t="n">
        <v>131627</v>
      </c>
      <c r="D9" s="0" t="n">
        <v>66752</v>
      </c>
      <c r="E9" s="0" t="n">
        <v>33.6486</v>
      </c>
      <c r="F9" s="0" t="n">
        <v>21505</v>
      </c>
      <c r="G9" s="0" t="n">
        <v>10.8403</v>
      </c>
      <c r="H9" s="0" t="n">
        <v>35199</v>
      </c>
      <c r="I9" s="0" t="n">
        <v>14984</v>
      </c>
      <c r="J9" s="0" t="n">
        <v>7.5532</v>
      </c>
      <c r="K9" s="0" t="n">
        <v>89.3594</v>
      </c>
      <c r="L9" s="0" t="n">
        <v>20039</v>
      </c>
      <c r="M9" s="0" t="n">
        <v>12550</v>
      </c>
      <c r="N9" s="0" t="n">
        <v>7489</v>
      </c>
      <c r="O9" s="0" t="n">
        <v>254019</v>
      </c>
      <c r="P9" s="0" t="n">
        <v>322858</v>
      </c>
      <c r="Q9" s="0" t="n">
        <v>67831</v>
      </c>
      <c r="R9" s="0" t="n">
        <v>19580</v>
      </c>
      <c r="S9" s="0" t="n">
        <v>53096</v>
      </c>
      <c r="T9" s="0" t="n">
        <v>165.7706</v>
      </c>
      <c r="AA9" s="0" t="s">
        <v>17</v>
      </c>
      <c r="AB9" s="0" t="s">
        <v>14</v>
      </c>
      <c r="AC9" s="0" t="n">
        <v>1008</v>
      </c>
      <c r="AD9" s="0" t="n">
        <v>1980</v>
      </c>
      <c r="AE9" s="0" t="n">
        <v>8696</v>
      </c>
      <c r="AG9" s="0" t="n">
        <v>10751</v>
      </c>
      <c r="AH9" s="0" t="n">
        <v>51711</v>
      </c>
    </row>
    <row r="10" customFormat="false" ht="15" hidden="false" customHeight="false" outlineLevel="0" collapsed="false">
      <c r="A10" s="0" t="s">
        <v>77</v>
      </c>
      <c r="B10" s="0" t="n">
        <v>201791</v>
      </c>
      <c r="C10" s="0" t="n">
        <v>140490</v>
      </c>
      <c r="D10" s="0" t="n">
        <v>61301</v>
      </c>
      <c r="E10" s="0" t="n">
        <v>30.3785</v>
      </c>
      <c r="F10" s="0" t="n">
        <v>7337</v>
      </c>
      <c r="G10" s="0" t="n">
        <v>3.6359</v>
      </c>
      <c r="H10" s="0" t="n">
        <v>21210</v>
      </c>
      <c r="I10" s="0" t="n">
        <v>4113</v>
      </c>
      <c r="J10" s="0" t="n">
        <v>2.0382</v>
      </c>
      <c r="K10" s="0" t="n">
        <v>24.8014</v>
      </c>
      <c r="L10" s="0" t="n">
        <v>23242</v>
      </c>
      <c r="M10" s="0" t="n">
        <v>15464</v>
      </c>
      <c r="N10" s="0" t="n">
        <v>7778</v>
      </c>
      <c r="O10" s="0" t="n">
        <v>269561</v>
      </c>
      <c r="P10" s="0" t="n">
        <v>363173</v>
      </c>
      <c r="Q10" s="0" t="n">
        <v>92624</v>
      </c>
      <c r="R10" s="0" t="n">
        <v>31450</v>
      </c>
      <c r="S10" s="0" t="n">
        <v>64777</v>
      </c>
      <c r="T10" s="0" t="n">
        <v>165.8649</v>
      </c>
      <c r="AA10" s="0" t="s">
        <v>17</v>
      </c>
      <c r="AB10" s="0" t="s">
        <v>14</v>
      </c>
      <c r="AC10" s="0" t="n">
        <v>987</v>
      </c>
      <c r="AF10" s="0" t="n">
        <v>63518</v>
      </c>
    </row>
    <row r="11" customFormat="false" ht="15" hidden="false" customHeight="false" outlineLevel="0" collapsed="false">
      <c r="A11" s="0" t="s">
        <v>78</v>
      </c>
      <c r="B11" s="0" t="n">
        <v>222584</v>
      </c>
      <c r="C11" s="0" t="n">
        <v>151102</v>
      </c>
      <c r="D11" s="0" t="n">
        <v>71482</v>
      </c>
      <c r="E11" s="0" t="n">
        <v>32.1146</v>
      </c>
      <c r="F11" s="0" t="n">
        <v>20401</v>
      </c>
      <c r="G11" s="0" t="n">
        <v>9.1655</v>
      </c>
      <c r="H11" s="0" t="n">
        <v>34336</v>
      </c>
      <c r="I11" s="0" t="n">
        <v>17508</v>
      </c>
      <c r="J11" s="0" t="n">
        <v>7.8658</v>
      </c>
      <c r="K11" s="0" t="n">
        <v>107.1673</v>
      </c>
      <c r="L11" s="0" t="n">
        <v>25530</v>
      </c>
      <c r="M11" s="0" t="n">
        <v>30399</v>
      </c>
      <c r="N11" s="0" t="n">
        <v>-4869</v>
      </c>
      <c r="O11" s="0" t="n">
        <v>267528</v>
      </c>
      <c r="P11" s="0" t="n">
        <v>373708</v>
      </c>
      <c r="Q11" s="0" t="n">
        <v>105188</v>
      </c>
      <c r="R11" s="0" t="n">
        <v>42096</v>
      </c>
      <c r="S11" s="0" t="n">
        <v>57926</v>
      </c>
      <c r="T11" s="0" t="n">
        <v>159.8863</v>
      </c>
      <c r="AA11" s="0" t="s">
        <v>17</v>
      </c>
      <c r="AB11" s="0" t="s">
        <v>14</v>
      </c>
      <c r="AC11" s="0" t="n">
        <v>992</v>
      </c>
      <c r="AF11" s="0" t="n">
        <v>65001</v>
      </c>
    </row>
    <row r="12" customFormat="false" ht="15" hidden="false" customHeight="false" outlineLevel="0" collapsed="false">
      <c r="A12" s="0" t="s">
        <v>79</v>
      </c>
      <c r="B12" s="0" t="n">
        <v>241851</v>
      </c>
      <c r="C12" s="0" t="n">
        <v>168971</v>
      </c>
      <c r="D12" s="0" t="n">
        <v>72880</v>
      </c>
      <c r="E12" s="0" t="n">
        <v>30.1343</v>
      </c>
      <c r="F12" s="0" t="n">
        <v>22454</v>
      </c>
      <c r="G12" s="0" t="n">
        <v>9.2842</v>
      </c>
      <c r="H12" s="0" t="n">
        <v>38072</v>
      </c>
      <c r="I12" s="0" t="n">
        <v>24641</v>
      </c>
      <c r="J12" s="0" t="n">
        <v>10.1885</v>
      </c>
      <c r="K12" s="0" t="n">
        <v>161.1825</v>
      </c>
      <c r="L12" s="0" t="n">
        <v>28784</v>
      </c>
      <c r="M12" s="0" t="n">
        <v>24864</v>
      </c>
      <c r="N12" s="0" t="n">
        <v>3920</v>
      </c>
      <c r="O12" s="0" t="n">
        <v>279002</v>
      </c>
      <c r="P12" s="0" t="n">
        <v>398736</v>
      </c>
      <c r="Q12" s="0" t="n">
        <v>118631</v>
      </c>
      <c r="R12" s="0" t="n">
        <v>49184</v>
      </c>
      <c r="S12" s="0" t="n">
        <v>53368</v>
      </c>
      <c r="T12" s="0" t="n">
        <v>148.4948</v>
      </c>
      <c r="AA12" s="0" t="s">
        <v>17</v>
      </c>
      <c r="AB12" s="0" t="s">
        <v>14</v>
      </c>
      <c r="AC12" s="0" t="n">
        <v>1102</v>
      </c>
      <c r="AF12" s="0" t="n">
        <v>72994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2000</v>
      </c>
    </row>
    <row r="3" customFormat="false" ht="15" hidden="false" customHeight="false" outlineLevel="0" collapsed="false">
      <c r="A3" s="0" t="s">
        <v>83</v>
      </c>
      <c r="B3" s="3" t="n">
        <v>141</v>
      </c>
    </row>
    <row r="4" customFormat="false" ht="15" hidden="false" customHeight="false" outlineLevel="0" collapsed="false">
      <c r="A4" s="0" t="s">
        <v>84</v>
      </c>
      <c r="B4" s="3" t="n">
        <v>17130</v>
      </c>
    </row>
    <row r="5" customFormat="false" ht="15" hidden="false" customHeight="false" outlineLevel="0" collapsed="false">
      <c r="A5" s="0" t="s">
        <v>85</v>
      </c>
      <c r="B5" s="3" t="n">
        <v>11897</v>
      </c>
    </row>
    <row r="6" customFormat="false" ht="15" hidden="false" customHeight="false" outlineLevel="0" collapsed="false">
      <c r="A6" s="0" t="s">
        <v>86</v>
      </c>
      <c r="B6" s="3" t="n">
        <v>15</v>
      </c>
    </row>
    <row r="7" customFormat="false" ht="15" hidden="false" customHeight="false" outlineLevel="0" collapsed="false">
      <c r="A7" s="0" t="s">
        <v>87</v>
      </c>
      <c r="B7" s="3" t="n">
        <v>241851</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8</v>
      </c>
      <c r="D13" s="3" t="n">
        <v>1</v>
      </c>
      <c r="E13" s="3" t="n">
        <v>0</v>
      </c>
      <c r="F13" s="3" t="n">
        <v>2</v>
      </c>
      <c r="G13" s="3" t="n">
        <v>2</v>
      </c>
      <c r="H13" s="3" t="n">
        <v>2</v>
      </c>
      <c r="I13" s="3" t="n">
        <v>1.5</v>
      </c>
      <c r="J13" s="3" t="n">
        <v>1.5</v>
      </c>
      <c r="K13" s="3" t="n">
        <v>1.5</v>
      </c>
      <c r="L13" s="3" t="n">
        <v>1</v>
      </c>
    </row>
    <row r="14" customFormat="false" ht="15" hidden="false" customHeight="false" outlineLevel="0" collapsed="false">
      <c r="A14" s="0" t="s">
        <v>104</v>
      </c>
      <c r="C14" s="3" t="n">
        <v>15</v>
      </c>
      <c r="D14" s="3" t="n">
        <v>14</v>
      </c>
      <c r="E14" s="3" t="n">
        <v>13.5</v>
      </c>
      <c r="F14" s="3" t="n">
        <v>14</v>
      </c>
      <c r="G14" s="3" t="n">
        <v>14.5</v>
      </c>
      <c r="H14" s="3" t="n">
        <v>15</v>
      </c>
      <c r="I14" s="3" t="n">
        <v>15</v>
      </c>
      <c r="J14" s="3" t="n">
        <v>15</v>
      </c>
      <c r="K14" s="3" t="n">
        <v>15</v>
      </c>
      <c r="L14" s="3" t="n">
        <v>15</v>
      </c>
    </row>
    <row r="15" customFormat="false" ht="15" hidden="false" customHeight="false" outlineLevel="0" collapsed="false">
      <c r="A15" s="0" t="s">
        <v>105</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107</v>
      </c>
      <c r="C17" s="3" t="n">
        <v>6</v>
      </c>
      <c r="D17" s="3" t="n">
        <v>6.3</v>
      </c>
      <c r="E17" s="3" t="n">
        <v>6.5</v>
      </c>
      <c r="F17" s="3" t="n">
        <v>6.5</v>
      </c>
      <c r="G17" s="3" t="n">
        <v>6.5</v>
      </c>
      <c r="H17" s="3" t="n">
        <v>6.5</v>
      </c>
      <c r="I17" s="3" t="n">
        <v>6.5</v>
      </c>
      <c r="J17" s="3" t="n">
        <v>6.5</v>
      </c>
      <c r="K17" s="3" t="n">
        <v>6.5</v>
      </c>
      <c r="L17" s="3" t="n">
        <v>6.5</v>
      </c>
    </row>
    <row r="18" customFormat="false" ht="15" hidden="false" customHeight="false" outlineLevel="0" collapsed="false">
      <c r="A18" s="0" t="s">
        <v>108</v>
      </c>
      <c r="C18" s="3" t="n">
        <v>12</v>
      </c>
      <c r="D18" s="3" t="n">
        <v>10.5</v>
      </c>
      <c r="E18" s="3" t="n">
        <v>9</v>
      </c>
      <c r="F18" s="3" t="n">
        <v>8</v>
      </c>
      <c r="G18" s="3" t="n">
        <v>7.5</v>
      </c>
      <c r="H18" s="3" t="n">
        <v>7</v>
      </c>
      <c r="I18" s="3" t="n">
        <v>7</v>
      </c>
      <c r="J18" s="3" t="n">
        <v>7</v>
      </c>
      <c r="K18" s="3" t="n">
        <v>7</v>
      </c>
      <c r="L18" s="3" t="n">
        <v>7</v>
      </c>
    </row>
    <row r="19" customFormat="false" ht="15" hidden="false" customHeight="false" outlineLevel="0" collapsed="false">
      <c r="A19" s="0" t="s">
        <v>109</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110</v>
      </c>
      <c r="B20" s="3" t="n">
        <v>8</v>
      </c>
    </row>
    <row r="21" customFormat="false" ht="15" hidden="false" customHeight="false" outlineLevel="0" collapsed="false">
      <c r="A21" s="0" t="s">
        <v>111</v>
      </c>
      <c r="B21" s="3" t="n">
        <v>0.5</v>
      </c>
    </row>
    <row r="22" customFormat="false" ht="15" hidden="false" customHeight="false" outlineLevel="0" collapsed="false">
      <c r="A22" s="0" t="s">
        <v>112</v>
      </c>
      <c r="B22" s="3" t="n">
        <v>15</v>
      </c>
    </row>
    <row r="23" customFormat="false" ht="15" hidden="false" customHeight="false" outlineLevel="0" collapsed="false">
      <c r="A23" s="0" t="s">
        <v>113</v>
      </c>
      <c r="B23" s="3" t="n">
        <v>-20</v>
      </c>
    </row>
    <row r="24" customFormat="false" ht="15" hidden="false" customHeight="false" outlineLevel="0" collapsed="false">
      <c r="A24" s="0" t="s">
        <v>114</v>
      </c>
      <c r="B24" s="3" t="n">
        <v>0.2</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12</v>
      </c>
      <c r="D27" s="3" t="n">
        <v>5.5</v>
      </c>
      <c r="E27" s="3" t="n">
        <v>5</v>
      </c>
      <c r="F27" s="3" t="n">
        <v>4</v>
      </c>
      <c r="G27" s="3" t="n">
        <v>3.5</v>
      </c>
      <c r="H27" s="3" t="n">
        <v>3</v>
      </c>
      <c r="I27" s="3" t="n">
        <v>2.5</v>
      </c>
      <c r="J27" s="3" t="n">
        <v>2</v>
      </c>
      <c r="K27" s="3" t="n">
        <v>2</v>
      </c>
      <c r="L27" s="3" t="n">
        <v>1.5</v>
      </c>
    </row>
    <row r="28" customFormat="false" ht="15" hidden="false" customHeight="false" outlineLevel="0" collapsed="false">
      <c r="A28" s="0" t="s">
        <v>104</v>
      </c>
      <c r="C28" s="3" t="n">
        <v>15.9</v>
      </c>
      <c r="D28" s="3" t="n">
        <v>16.4</v>
      </c>
      <c r="E28" s="3" t="n">
        <v>16.9</v>
      </c>
      <c r="F28" s="3" t="n">
        <v>17.2</v>
      </c>
      <c r="G28" s="3" t="n">
        <v>17.4</v>
      </c>
      <c r="H28" s="3" t="n">
        <v>17.5</v>
      </c>
      <c r="I28" s="3" t="n">
        <v>17.5</v>
      </c>
      <c r="J28" s="3" t="n">
        <v>17.5</v>
      </c>
      <c r="K28" s="3" t="n">
        <v>17.5</v>
      </c>
      <c r="L28" s="3" t="n">
        <v>17.5</v>
      </c>
    </row>
    <row r="29" customFormat="false" ht="15" hidden="false" customHeight="false" outlineLevel="0" collapsed="false">
      <c r="A29" s="0" t="s">
        <v>105</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107</v>
      </c>
      <c r="C31" s="3" t="n">
        <v>6</v>
      </c>
      <c r="D31" s="3" t="n">
        <v>6.1</v>
      </c>
      <c r="E31" s="3" t="n">
        <v>6.2</v>
      </c>
      <c r="F31" s="3" t="n">
        <v>6.3</v>
      </c>
      <c r="G31" s="3" t="n">
        <v>6.4</v>
      </c>
      <c r="H31" s="3" t="n">
        <v>6.5</v>
      </c>
      <c r="I31" s="3" t="n">
        <v>6.5</v>
      </c>
      <c r="J31" s="3" t="n">
        <v>6.5</v>
      </c>
      <c r="K31" s="3" t="n">
        <v>6.5</v>
      </c>
      <c r="L31" s="3" t="n">
        <v>6.5</v>
      </c>
    </row>
    <row r="32" customFormat="false" ht="15" hidden="false" customHeight="false" outlineLevel="0" collapsed="false">
      <c r="A32" s="0" t="s">
        <v>108</v>
      </c>
      <c r="C32" s="3" t="n">
        <v>12</v>
      </c>
      <c r="D32" s="3" t="n">
        <v>11</v>
      </c>
      <c r="E32" s="3" t="n">
        <v>10</v>
      </c>
      <c r="F32" s="3" t="n">
        <v>9</v>
      </c>
      <c r="G32" s="3" t="n">
        <v>8.5</v>
      </c>
      <c r="H32" s="3" t="n">
        <v>8</v>
      </c>
      <c r="I32" s="3" t="n">
        <v>7.5</v>
      </c>
      <c r="J32" s="3" t="n">
        <v>7.5</v>
      </c>
      <c r="K32" s="3" t="n">
        <v>7.5</v>
      </c>
      <c r="L32" s="3" t="n">
        <v>7.5</v>
      </c>
    </row>
    <row r="33" customFormat="false" ht="15" hidden="false" customHeight="false" outlineLevel="0" collapsed="false">
      <c r="A33" s="0" t="s">
        <v>109</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110</v>
      </c>
      <c r="B34" s="3" t="n">
        <v>8</v>
      </c>
    </row>
    <row r="35" customFormat="false" ht="15" hidden="false" customHeight="false" outlineLevel="0" collapsed="false">
      <c r="A35" s="0" t="s">
        <v>111</v>
      </c>
      <c r="B35" s="3" t="n">
        <v>1</v>
      </c>
    </row>
    <row r="36" customFormat="false" ht="15" hidden="false" customHeight="false" outlineLevel="0" collapsed="false">
      <c r="A36" s="0" t="s">
        <v>112</v>
      </c>
      <c r="B36" s="3" t="n">
        <v>15</v>
      </c>
    </row>
    <row r="37" customFormat="false" ht="15" hidden="false" customHeight="false" outlineLevel="0" collapsed="false">
      <c r="A37" s="0" t="s">
        <v>113</v>
      </c>
      <c r="B37" s="3" t="n">
        <v>-20</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13</v>
      </c>
      <c r="D41" s="3" t="n">
        <v>8</v>
      </c>
      <c r="E41" s="3" t="n">
        <v>7</v>
      </c>
      <c r="F41" s="3" t="n">
        <v>5</v>
      </c>
      <c r="G41" s="3" t="n">
        <v>4.5</v>
      </c>
      <c r="H41" s="3" t="n">
        <v>4</v>
      </c>
      <c r="I41" s="3" t="n">
        <v>3.5</v>
      </c>
      <c r="J41" s="3" t="n">
        <v>3</v>
      </c>
      <c r="K41" s="3" t="n">
        <v>2.5</v>
      </c>
      <c r="L41" s="3" t="n">
        <v>2</v>
      </c>
    </row>
    <row r="42" customFormat="false" ht="15" hidden="false" customHeight="false" outlineLevel="0" collapsed="false">
      <c r="A42" s="0" t="s">
        <v>104</v>
      </c>
      <c r="C42" s="3" t="n">
        <v>16.2</v>
      </c>
      <c r="D42" s="3" t="n">
        <v>17.2</v>
      </c>
      <c r="E42" s="3" t="n">
        <v>18</v>
      </c>
      <c r="F42" s="3" t="n">
        <v>18.5</v>
      </c>
      <c r="G42" s="3" t="n">
        <v>18.8</v>
      </c>
      <c r="H42" s="3" t="n">
        <v>19</v>
      </c>
      <c r="I42" s="3" t="n">
        <v>19</v>
      </c>
      <c r="J42" s="3" t="n">
        <v>19</v>
      </c>
      <c r="K42" s="3" t="n">
        <v>19</v>
      </c>
      <c r="L42" s="3" t="n">
        <v>19</v>
      </c>
    </row>
    <row r="43" customFormat="false" ht="15" hidden="false" customHeight="false" outlineLevel="0" collapsed="false">
      <c r="A43" s="0" t="s">
        <v>105</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107</v>
      </c>
      <c r="C45" s="3" t="n">
        <v>6</v>
      </c>
      <c r="D45" s="3" t="n">
        <v>6.1</v>
      </c>
      <c r="E45" s="3" t="n">
        <v>6.2</v>
      </c>
      <c r="F45" s="3" t="n">
        <v>6.3</v>
      </c>
      <c r="G45" s="3" t="n">
        <v>6.4</v>
      </c>
      <c r="H45" s="3" t="n">
        <v>6.5</v>
      </c>
      <c r="I45" s="3" t="n">
        <v>6.5</v>
      </c>
      <c r="J45" s="3" t="n">
        <v>6.5</v>
      </c>
      <c r="K45" s="3" t="n">
        <v>6.5</v>
      </c>
      <c r="L45" s="3" t="n">
        <v>6.5</v>
      </c>
    </row>
    <row r="46" customFormat="false" ht="15" hidden="false" customHeight="false" outlineLevel="0" collapsed="false">
      <c r="A46" s="0" t="s">
        <v>108</v>
      </c>
      <c r="C46" s="3" t="n">
        <v>12</v>
      </c>
      <c r="D46" s="3" t="n">
        <v>11</v>
      </c>
      <c r="E46" s="3" t="n">
        <v>10</v>
      </c>
      <c r="F46" s="3" t="n">
        <v>9</v>
      </c>
      <c r="G46" s="3" t="n">
        <v>8.5</v>
      </c>
      <c r="H46" s="3" t="n">
        <v>8</v>
      </c>
      <c r="I46" s="3" t="n">
        <v>7.5</v>
      </c>
      <c r="J46" s="3" t="n">
        <v>7.5</v>
      </c>
      <c r="K46" s="3" t="n">
        <v>7.5</v>
      </c>
      <c r="L46" s="3" t="n">
        <v>7.5</v>
      </c>
    </row>
    <row r="47" customFormat="false" ht="15" hidden="false" customHeight="false" outlineLevel="0" collapsed="false">
      <c r="A47" s="0" t="s">
        <v>109</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110</v>
      </c>
      <c r="B48" s="3" t="n">
        <v>8</v>
      </c>
    </row>
    <row r="49" customFormat="false" ht="15" hidden="false" customHeight="false" outlineLevel="0" collapsed="false">
      <c r="A49" s="0" t="s">
        <v>111</v>
      </c>
      <c r="B49" s="3" t="n">
        <v>1.5</v>
      </c>
    </row>
    <row r="50" customFormat="false" ht="15" hidden="false" customHeight="false" outlineLevel="0" collapsed="false">
      <c r="A50" s="0" t="s">
        <v>112</v>
      </c>
      <c r="B50" s="3" t="n">
        <v>15</v>
      </c>
    </row>
    <row r="51" customFormat="false" ht="15" hidden="false" customHeight="false" outlineLevel="0" collapsed="false">
      <c r="A51" s="0" t="s">
        <v>113</v>
      </c>
      <c r="B51" s="3" t="n">
        <v>-20</v>
      </c>
    </row>
    <row r="52" customFormat="false" ht="15" hidden="false" customHeight="false" outlineLevel="0" collapsed="false">
      <c r="A52" s="0" t="s">
        <v>114</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8</v>
      </c>
      <c r="D5" s="4" t="n">
        <f aca="false">Assumptions!D13</f>
        <v>1</v>
      </c>
      <c r="E5" s="4" t="n">
        <f aca="false">Assumptions!E13</f>
        <v>0</v>
      </c>
      <c r="F5" s="4" t="n">
        <f aca="false">Assumptions!F13</f>
        <v>2</v>
      </c>
      <c r="G5" s="4" t="n">
        <f aca="false">Assumptions!G13</f>
        <v>2</v>
      </c>
      <c r="H5" s="4" t="n">
        <f aca="false">Assumptions!H13</f>
        <v>2</v>
      </c>
      <c r="I5" s="4" t="n">
        <f aca="false">Assumptions!I13</f>
        <v>1.5</v>
      </c>
      <c r="J5" s="4" t="n">
        <f aca="false">Assumptions!J13</f>
        <v>1.5</v>
      </c>
      <c r="K5" s="4" t="n">
        <f aca="false">Assumptions!K13</f>
        <v>1.5</v>
      </c>
      <c r="L5" s="4" t="n">
        <f aca="false">Assumptions!L13</f>
        <v>1</v>
      </c>
    </row>
    <row r="6" customFormat="false" ht="15" hidden="false" customHeight="false" outlineLevel="0" collapsed="false">
      <c r="A6" s="0" t="s">
        <v>37</v>
      </c>
      <c r="B6" s="3" t="n">
        <v>241851</v>
      </c>
      <c r="C6" s="0" t="n">
        <f aca="false">B6*(1+C5/100)</f>
        <v>261199.08</v>
      </c>
      <c r="D6" s="0" t="n">
        <f aca="false">C6*(1+D5/100)</f>
        <v>263811.0708</v>
      </c>
      <c r="E6" s="0" t="n">
        <f aca="false">D6*(1+E5/100)</f>
        <v>263811.0708</v>
      </c>
      <c r="F6" s="0" t="n">
        <f aca="false">E6*(1+F5/100)</f>
        <v>269087.292216</v>
      </c>
      <c r="G6" s="0" t="n">
        <f aca="false">F6*(1+G5/100)</f>
        <v>274469.03806032</v>
      </c>
      <c r="H6" s="0" t="n">
        <f aca="false">G6*(1+H5/100)</f>
        <v>279958.418821526</v>
      </c>
      <c r="I6" s="0" t="n">
        <f aca="false">H6*(1+I5/100)</f>
        <v>284157.795103849</v>
      </c>
      <c r="J6" s="0" t="n">
        <f aca="false">I6*(1+J5/100)</f>
        <v>288420.162030407</v>
      </c>
      <c r="K6" s="0" t="n">
        <f aca="false">J6*(1+K5/100)</f>
        <v>292746.464460863</v>
      </c>
      <c r="L6" s="0" t="n">
        <f aca="false">K6*(1+L5/100)</f>
        <v>295673.929105472</v>
      </c>
    </row>
    <row r="7" customFormat="false" ht="15" hidden="false" customHeight="false" outlineLevel="0" collapsed="false">
      <c r="A7" s="0" t="s">
        <v>104</v>
      </c>
      <c r="C7" s="4" t="n">
        <f aca="false">Assumptions!C14</f>
        <v>15</v>
      </c>
      <c r="D7" s="4" t="n">
        <f aca="false">Assumptions!D14</f>
        <v>14</v>
      </c>
      <c r="E7" s="4" t="n">
        <f aca="false">Assumptions!E14</f>
        <v>13.5</v>
      </c>
      <c r="F7" s="4" t="n">
        <f aca="false">Assumptions!F14</f>
        <v>14</v>
      </c>
      <c r="G7" s="4" t="n">
        <f aca="false">Assumptions!G14</f>
        <v>14.5</v>
      </c>
      <c r="H7" s="4" t="n">
        <f aca="false">Assumptions!H14</f>
        <v>15</v>
      </c>
      <c r="I7" s="4" t="n">
        <f aca="false">Assumptions!I14</f>
        <v>15</v>
      </c>
      <c r="J7" s="4" t="n">
        <f aca="false">Assumptions!J14</f>
        <v>15</v>
      </c>
      <c r="K7" s="4" t="n">
        <f aca="false">Assumptions!K14</f>
        <v>15</v>
      </c>
      <c r="L7" s="4" t="n">
        <f aca="false">Assumptions!L14</f>
        <v>15</v>
      </c>
    </row>
    <row r="8" customFormat="false" ht="15" hidden="false" customHeight="false" outlineLevel="0" collapsed="false">
      <c r="A8" s="0" t="s">
        <v>43</v>
      </c>
      <c r="C8" s="0" t="n">
        <f aca="false">C6*C7/100</f>
        <v>39179.862</v>
      </c>
      <c r="D8" s="0" t="n">
        <f aca="false">D6*D7/100</f>
        <v>36933.549912</v>
      </c>
      <c r="E8" s="0" t="n">
        <f aca="false">E6*E7/100</f>
        <v>35614.494558</v>
      </c>
      <c r="F8" s="0" t="n">
        <f aca="false">F6*F7/100</f>
        <v>37672.22091024</v>
      </c>
      <c r="G8" s="0" t="n">
        <f aca="false">G6*G7/100</f>
        <v>39798.0105187464</v>
      </c>
      <c r="H8" s="0" t="n">
        <f aca="false">H6*H7/100</f>
        <v>41993.762823229</v>
      </c>
      <c r="I8" s="0" t="n">
        <f aca="false">I6*I7/100</f>
        <v>42623.6692655774</v>
      </c>
      <c r="J8" s="0" t="n">
        <f aca="false">J6*J7/100</f>
        <v>43263.0243045611</v>
      </c>
      <c r="K8" s="0" t="n">
        <f aca="false">K6*K7/100</f>
        <v>43911.9696691295</v>
      </c>
      <c r="L8" s="0" t="n">
        <f aca="false">L6*L7/100</f>
        <v>44351.0893658208</v>
      </c>
    </row>
    <row r="9" customFormat="false" ht="15" hidden="false" customHeight="false" outlineLevel="0" collapsed="false">
      <c r="A9" s="0" t="s">
        <v>105</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39179.862</v>
      </c>
      <c r="D11" s="0" t="n">
        <f aca="false">D8+D10+D24</f>
        <v>36933.549912</v>
      </c>
      <c r="E11" s="0" t="n">
        <f aca="false">E8+E10+E24</f>
        <v>35614.494558</v>
      </c>
      <c r="F11" s="0" t="n">
        <f aca="false">F8+F10+F24</f>
        <v>37672.22091024</v>
      </c>
      <c r="G11" s="0" t="n">
        <f aca="false">G8+G10+G24</f>
        <v>39798.0105187464</v>
      </c>
      <c r="H11" s="0" t="n">
        <f aca="false">H8+H10+H24</f>
        <v>41993.762823229</v>
      </c>
      <c r="I11" s="0" t="n">
        <f aca="false">I8+I10+I24</f>
        <v>42623.6692655774</v>
      </c>
      <c r="J11" s="0" t="n">
        <f aca="false">J8+J10+J24</f>
        <v>43263.0243045611</v>
      </c>
      <c r="K11" s="0" t="n">
        <f aca="false">K8+K10+K24</f>
        <v>43911.9696691295</v>
      </c>
      <c r="L11" s="0" t="n">
        <f aca="false">L8+L10+L24</f>
        <v>44351.0893658208</v>
      </c>
    </row>
    <row r="12" customFormat="false" ht="15" hidden="false" customHeight="false" outlineLevel="0" collapsed="false">
      <c r="A12" s="0" t="s">
        <v>122</v>
      </c>
      <c r="C12" s="4" t="n">
        <f aca="false">-C6*Assumptions!C17/100</f>
        <v>-15671.9448</v>
      </c>
      <c r="D12" s="4" t="n">
        <f aca="false">-D6*Assumptions!D17/100</f>
        <v>-16620.0974604</v>
      </c>
      <c r="E12" s="4" t="n">
        <f aca="false">-E6*Assumptions!E17/100</f>
        <v>-17147.719602</v>
      </c>
      <c r="F12" s="4" t="n">
        <f aca="false">-F6*Assumptions!F17/100</f>
        <v>-17490.67399404</v>
      </c>
      <c r="G12" s="4" t="n">
        <f aca="false">-G6*Assumptions!G17/100</f>
        <v>-17840.4874739208</v>
      </c>
      <c r="H12" s="4" t="n">
        <f aca="false">-H6*Assumptions!H17/100</f>
        <v>-18197.2972233992</v>
      </c>
      <c r="I12" s="4" t="n">
        <f aca="false">-I6*Assumptions!I17/100</f>
        <v>-18470.2566817502</v>
      </c>
      <c r="J12" s="4" t="n">
        <f aca="false">-J6*Assumptions!J17/100</f>
        <v>-18747.3105319765</v>
      </c>
      <c r="K12" s="4" t="n">
        <f aca="false">-K6*Assumptions!K17/100</f>
        <v>-19028.5201899561</v>
      </c>
      <c r="L12" s="4" t="n">
        <f aca="false">-L6*Assumptions!L17/100</f>
        <v>-19218.8053918557</v>
      </c>
    </row>
    <row r="13" customFormat="false" ht="15" hidden="false" customHeight="false" outlineLevel="0" collapsed="false">
      <c r="A13" s="0" t="s">
        <v>123</v>
      </c>
      <c r="C13" s="0" t="n">
        <f aca="false">C11+C12</f>
        <v>23507.9172</v>
      </c>
      <c r="D13" s="0" t="n">
        <f aca="false">D11+D12</f>
        <v>20313.4524516</v>
      </c>
      <c r="E13" s="0" t="n">
        <f aca="false">E11+E12</f>
        <v>18466.774956</v>
      </c>
      <c r="F13" s="0" t="n">
        <f aca="false">F11+F12</f>
        <v>20181.5469162</v>
      </c>
      <c r="G13" s="0" t="n">
        <f aca="false">G11+G12</f>
        <v>21957.5230448256</v>
      </c>
      <c r="H13" s="0" t="n">
        <f aca="false">H11+H12</f>
        <v>23796.4655998297</v>
      </c>
      <c r="I13" s="0" t="n">
        <f aca="false">I11+I12</f>
        <v>24153.4125838272</v>
      </c>
      <c r="J13" s="0" t="n">
        <f aca="false">J11+J12</f>
        <v>24515.7137725846</v>
      </c>
      <c r="K13" s="0" t="n">
        <f aca="false">K11+K12</f>
        <v>24883.4494791734</v>
      </c>
      <c r="L13" s="0" t="n">
        <f aca="false">L11+L12</f>
        <v>25132.2839739651</v>
      </c>
    </row>
    <row r="14" customFormat="false" ht="15" hidden="false" customHeight="false" outlineLevel="0" collapsed="false">
      <c r="A14" s="0" t="s">
        <v>109</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124</v>
      </c>
      <c r="C15" s="0" t="n">
        <f aca="false">C13-MAX(0,C13)*C14/100</f>
        <v>16455.54204</v>
      </c>
      <c r="D15" s="0" t="n">
        <f aca="false">D13-MAX(0,D13)*D14/100</f>
        <v>14219.41671612</v>
      </c>
      <c r="E15" s="0" t="n">
        <f aca="false">E13-MAX(0,E13)*E14/100</f>
        <v>12926.7424692</v>
      </c>
      <c r="F15" s="0" t="n">
        <f aca="false">F13-MAX(0,F13)*F14/100</f>
        <v>14127.08284134</v>
      </c>
      <c r="G15" s="0" t="n">
        <f aca="false">G13-MAX(0,G13)*G14/100</f>
        <v>15370.2661313779</v>
      </c>
      <c r="H15" s="0" t="n">
        <f aca="false">H13-MAX(0,H13)*H14/100</f>
        <v>16657.5259198808</v>
      </c>
      <c r="I15" s="0" t="n">
        <f aca="false">I13-MAX(0,I13)*I14/100</f>
        <v>16907.388808679</v>
      </c>
      <c r="J15" s="0" t="n">
        <f aca="false">J13-MAX(0,J13)*J14/100</f>
        <v>17160.9996408092</v>
      </c>
      <c r="K15" s="0" t="n">
        <f aca="false">K13-MAX(0,K13)*K14/100</f>
        <v>17418.4146354214</v>
      </c>
      <c r="L15" s="0" t="n">
        <f aca="false">L13-MAX(0,L13)*L14/100</f>
        <v>17592.5987817756</v>
      </c>
    </row>
    <row r="16" customFormat="false" ht="15" hidden="false" customHeight="false" outlineLevel="0" collapsed="false">
      <c r="A16" s="0" t="s">
        <v>125</v>
      </c>
      <c r="C16" s="0" t="n">
        <f aca="false">-C12</f>
        <v>15671.9448</v>
      </c>
      <c r="D16" s="0" t="n">
        <f aca="false">-D12</f>
        <v>16620.0974604</v>
      </c>
      <c r="E16" s="0" t="n">
        <f aca="false">-E12</f>
        <v>17147.719602</v>
      </c>
      <c r="F16" s="0" t="n">
        <f aca="false">-F12</f>
        <v>17490.67399404</v>
      </c>
      <c r="G16" s="0" t="n">
        <f aca="false">-G12</f>
        <v>17840.4874739208</v>
      </c>
      <c r="H16" s="0" t="n">
        <f aca="false">-H12</f>
        <v>18197.2972233992</v>
      </c>
      <c r="I16" s="0" t="n">
        <f aca="false">-I12</f>
        <v>18470.2566817502</v>
      </c>
      <c r="J16" s="0" t="n">
        <f aca="false">-J12</f>
        <v>18747.3105319765</v>
      </c>
      <c r="K16" s="0" t="n">
        <f aca="false">-K12</f>
        <v>19028.5201899561</v>
      </c>
      <c r="L16" s="0" t="n">
        <f aca="false">-L12</f>
        <v>19218.8053918557</v>
      </c>
    </row>
    <row r="17" customFormat="false" ht="15" hidden="false" customHeight="false" outlineLevel="0" collapsed="false">
      <c r="A17" s="0" t="s">
        <v>126</v>
      </c>
      <c r="C17" s="4" t="n">
        <f aca="false">-C6*Assumptions!C18/100</f>
        <v>-31343.8896</v>
      </c>
      <c r="D17" s="4" t="n">
        <f aca="false">-D6*Assumptions!D18/100</f>
        <v>-27700.162434</v>
      </c>
      <c r="E17" s="4" t="n">
        <f aca="false">-E6*Assumptions!E18/100</f>
        <v>-23742.996372</v>
      </c>
      <c r="F17" s="4" t="n">
        <f aca="false">-F6*Assumptions!F18/100</f>
        <v>-21526.98337728</v>
      </c>
      <c r="G17" s="4" t="n">
        <f aca="false">-G6*Assumptions!G18/100</f>
        <v>-20585.177854524</v>
      </c>
      <c r="H17" s="4" t="n">
        <f aca="false">-H6*Assumptions!H18/100</f>
        <v>-19597.0893175069</v>
      </c>
      <c r="I17" s="4" t="n">
        <f aca="false">-I6*Assumptions!I18/100</f>
        <v>-19891.0456572694</v>
      </c>
      <c r="J17" s="4" t="n">
        <f aca="false">-J6*Assumptions!J18/100</f>
        <v>-20189.4113421285</v>
      </c>
      <c r="K17" s="4" t="n">
        <f aca="false">-K6*Assumptions!K18/100</f>
        <v>-20492.2525122604</v>
      </c>
      <c r="L17" s="4" t="n">
        <f aca="false">-L6*Assumptions!L18/100</f>
        <v>-20697.175037383</v>
      </c>
    </row>
    <row r="18" customFormat="false" ht="15" hidden="false" customHeight="false" outlineLevel="0" collapsed="false">
      <c r="A18" s="0" t="s">
        <v>127</v>
      </c>
      <c r="C18" s="4" t="n">
        <f aca="false">(C6-B6)*Assumptions!$B$23/100</f>
        <v>-3869.616</v>
      </c>
      <c r="D18" s="4" t="n">
        <f aca="false">(D6-C6)*Assumptions!$B$23/100</f>
        <v>-522.398160000006</v>
      </c>
      <c r="E18" s="4" t="n">
        <f aca="false">(E6-D6)*Assumptions!$B$23/100</f>
        <v>-0</v>
      </c>
      <c r="F18" s="4" t="n">
        <f aca="false">(F6-E6)*Assumptions!$B$23/100</f>
        <v>-1055.2442832</v>
      </c>
      <c r="G18" s="4" t="n">
        <f aca="false">(G6-F6)*Assumptions!$B$23/100</f>
        <v>-1076.349168864</v>
      </c>
      <c r="H18" s="4" t="n">
        <f aca="false">(H6-G6)*Assumptions!$B$23/100</f>
        <v>-1097.87615224128</v>
      </c>
      <c r="I18" s="4" t="n">
        <f aca="false">(I6-H6)*Assumptions!$B$23/100</f>
        <v>-839.875256464572</v>
      </c>
      <c r="J18" s="4" t="n">
        <f aca="false">(J6-I6)*Assumptions!$B$23/100</f>
        <v>-852.473385311547</v>
      </c>
      <c r="K18" s="4" t="n">
        <f aca="false">(K6-J6)*Assumptions!$B$23/100</f>
        <v>-865.260486091219</v>
      </c>
      <c r="L18" s="4" t="n">
        <f aca="false">(L6-K6)*Assumptions!$B$23/100</f>
        <v>-585.492928921722</v>
      </c>
    </row>
    <row r="19" customFormat="false" ht="15" hidden="false" customHeight="false" outlineLevel="0" collapsed="false">
      <c r="A19" s="0" t="s">
        <v>128</v>
      </c>
      <c r="C19" s="0" t="n">
        <f aca="false">C15+C16+C17+C18</f>
        <v>-3086.01876</v>
      </c>
      <c r="D19" s="0" t="n">
        <f aca="false">D15+D16+D17+D18</f>
        <v>2616.95358251999</v>
      </c>
      <c r="E19" s="0" t="n">
        <f aca="false">E15+E16+E17+E18</f>
        <v>6331.4656992</v>
      </c>
      <c r="F19" s="0" t="n">
        <f aca="false">F15+F16+F17+F18</f>
        <v>9035.5291749</v>
      </c>
      <c r="G19" s="0" t="n">
        <f aca="false">G15+G16+G17+G18</f>
        <v>11549.2265819107</v>
      </c>
      <c r="H19" s="0" t="n">
        <f aca="false">H15+H16+H17+H18</f>
        <v>14159.8576735319</v>
      </c>
      <c r="I19" s="0" t="n">
        <f aca="false">I15+I16+I17+I18</f>
        <v>14646.7245766952</v>
      </c>
      <c r="J19" s="0" t="n">
        <f aca="false">J15+J16+J17+J18</f>
        <v>14866.4254453456</v>
      </c>
      <c r="K19" s="0" t="n">
        <f aca="false">K15+K16+K17+K18</f>
        <v>15089.4218270258</v>
      </c>
      <c r="L19" s="0" t="n">
        <f aca="false">L15+L16+L17+L18</f>
        <v>15528.7362073265</v>
      </c>
    </row>
    <row r="20" customFormat="false" ht="15" hidden="false" customHeight="false" outlineLevel="0" collapsed="false">
      <c r="A20" s="0" t="s">
        <v>129</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130</v>
      </c>
      <c r="C21" s="0" t="n">
        <f aca="false">C19*C20</f>
        <v>-2857.42477777777</v>
      </c>
      <c r="D21" s="0" t="n">
        <f aca="false">D19*D20</f>
        <v>2243.61589722221</v>
      </c>
      <c r="E21" s="0" t="n">
        <f aca="false">E19*E20</f>
        <v>5026.12160493827</v>
      </c>
      <c r="F21" s="0" t="n">
        <f aca="false">F19*F20</f>
        <v>6641.38367936481</v>
      </c>
      <c r="G21" s="0" t="n">
        <f aca="false">G19*G20</f>
        <v>7860.20955038401</v>
      </c>
      <c r="H21" s="0" t="n">
        <f aca="false">H19*H20</f>
        <v>8923.11222684747</v>
      </c>
      <c r="I21" s="0" t="n">
        <f aca="false">I19*I20</f>
        <v>8546.2231125515</v>
      </c>
      <c r="J21" s="0" t="n">
        <f aca="false">J19*J20</f>
        <v>8031.86709188867</v>
      </c>
      <c r="K21" s="0" t="n">
        <f aca="false">K19*K20</f>
        <v>7548.46768358056</v>
      </c>
      <c r="L21" s="0" t="n">
        <f aca="false">L19*L20</f>
        <v>7192.80948941849</v>
      </c>
    </row>
    <row r="23" customFormat="false" ht="15" hidden="false" customHeight="false" outlineLevel="0" collapsed="false">
      <c r="A23" s="0" t="s">
        <v>106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Assumptions!$B$20</f>
        <v>8</v>
      </c>
    </row>
    <row r="28" customFormat="false" ht="15" hidden="false" customHeight="false" outlineLevel="0" collapsed="false">
      <c r="A28" s="0" t="s">
        <v>111</v>
      </c>
      <c r="B28" s="4" t="n">
        <f aca="false">Assumptions!$B$21</f>
        <v>0.5</v>
      </c>
    </row>
    <row r="29" customFormat="false" ht="15" hidden="false" customHeight="false" outlineLevel="0" collapsed="false">
      <c r="A29" s="0" t="s">
        <v>112</v>
      </c>
      <c r="B29" s="4" t="n">
        <f aca="false">Assumptions!$B$22</f>
        <v>15</v>
      </c>
    </row>
    <row r="30" customFormat="false" ht="15" hidden="false" customHeight="false" outlineLevel="0" collapsed="false">
      <c r="A30" s="0" t="s">
        <v>133</v>
      </c>
      <c r="B30" s="0" t="n">
        <f aca="false">SUM(C21:L21)</f>
        <v>59156.3855584182</v>
      </c>
    </row>
    <row r="31" customFormat="false" ht="15" hidden="false" customHeight="false" outlineLevel="0" collapsed="false">
      <c r="A31" s="0" t="s">
        <v>134</v>
      </c>
      <c r="B31" s="0" t="n">
        <f aca="false">L19</f>
        <v>15528.7362073265</v>
      </c>
    </row>
    <row r="32" customFormat="false" ht="15" hidden="false" customHeight="false" outlineLevel="0" collapsed="false">
      <c r="A32" s="0" t="s">
        <v>135</v>
      </c>
      <c r="B32" s="0" t="n">
        <f aca="false">IF(B27&gt;B28,B31*(1+B28/100)/((B27-B28)/100),B31*B29)</f>
        <v>208085.065178175</v>
      </c>
    </row>
    <row r="33" customFormat="false" ht="15" hidden="false" customHeight="false" outlineLevel="0" collapsed="false">
      <c r="A33" s="0" t="s">
        <v>136</v>
      </c>
      <c r="B33" s="0" t="n">
        <f aca="false">B31*B29</f>
        <v>232931.043109897</v>
      </c>
    </row>
    <row r="34" customFormat="false" ht="15" hidden="false" customHeight="false" outlineLevel="0" collapsed="false">
      <c r="A34" s="0" t="s">
        <v>137</v>
      </c>
      <c r="B34" s="0" t="n">
        <f aca="false">MAX(0,MIN(B32,B33))</f>
        <v>208085.065178175</v>
      </c>
    </row>
    <row r="35" customFormat="false" ht="15" hidden="false" customHeight="false" outlineLevel="0" collapsed="false">
      <c r="A35" s="0" t="s">
        <v>138</v>
      </c>
      <c r="B35" s="0" t="n">
        <f aca="false">B34/(1+B27/100)^L4</f>
        <v>96383.6471582077</v>
      </c>
    </row>
    <row r="36" customFormat="false" ht="15" hidden="false" customHeight="false" outlineLevel="0" collapsed="false">
      <c r="A36" s="0" t="s">
        <v>139</v>
      </c>
      <c r="B36" s="0" t="n">
        <f aca="false">B30+B35</f>
        <v>155540.032716626</v>
      </c>
    </row>
    <row r="37" customFormat="false" ht="15" hidden="false" customHeight="false" outlineLevel="0" collapsed="false">
      <c r="A37" s="0" t="s">
        <v>140</v>
      </c>
      <c r="B37" s="0" t="n">
        <f aca="false">B36+Assumptions!$B$5-Assumptions!$B$4</f>
        <v>150307.032716626</v>
      </c>
    </row>
    <row r="38" customFormat="false" ht="15" hidden="false" customHeight="false" outlineLevel="0" collapsed="false">
      <c r="A38" s="0" t="s">
        <v>141</v>
      </c>
      <c r="B38" s="0" t="n">
        <f aca="false">B37/Assumptions!$B$3*Assumptions!$B$10</f>
        <v>1066.00732423139</v>
      </c>
    </row>
    <row r="39" customFormat="false" ht="15" hidden="false" customHeight="false" outlineLevel="0" collapsed="false">
      <c r="A39" s="0" t="s">
        <v>142</v>
      </c>
      <c r="B39" s="4" t="n">
        <f aca="false">B38/Assumptions!$B$2-1</f>
        <v>-0.466996337884305</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1066.00732423139</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107630.206126642</v>
      </c>
    </row>
    <row r="47" customFormat="false" ht="15" hidden="false" customHeight="false" outlineLevel="0" collapsed="false">
      <c r="A47" s="0" t="s">
        <v>147</v>
      </c>
      <c r="B47" s="0" t="n">
        <f aca="false">(SUMPRODUCT(C19:L19/(1+B45/100)^C4:L4)+B46/(1+B45/100)^L4+Assumptions!$B$5-Assumptions!$B$4)/Assumptions!$B$3*Assumptions!$B$10</f>
        <v>428.039762022708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12</v>
      </c>
      <c r="D5" s="4" t="n">
        <f aca="false">Assumptions!D27</f>
        <v>5.5</v>
      </c>
      <c r="E5" s="4" t="n">
        <f aca="false">Assumptions!E27</f>
        <v>5</v>
      </c>
      <c r="F5" s="4" t="n">
        <f aca="false">Assumptions!F27</f>
        <v>4</v>
      </c>
      <c r="G5" s="4" t="n">
        <f aca="false">Assumptions!G27</f>
        <v>3.5</v>
      </c>
      <c r="H5" s="4" t="n">
        <f aca="false">Assumptions!H27</f>
        <v>3</v>
      </c>
      <c r="I5" s="4" t="n">
        <f aca="false">Assumptions!I27</f>
        <v>2.5</v>
      </c>
      <c r="J5" s="4" t="n">
        <f aca="false">Assumptions!J27</f>
        <v>2</v>
      </c>
      <c r="K5" s="4" t="n">
        <f aca="false">Assumptions!K27</f>
        <v>2</v>
      </c>
      <c r="L5" s="4" t="n">
        <f aca="false">Assumptions!L27</f>
        <v>1.5</v>
      </c>
    </row>
    <row r="6" customFormat="false" ht="15" hidden="false" customHeight="false" outlineLevel="0" collapsed="false">
      <c r="A6" s="0" t="s">
        <v>37</v>
      </c>
      <c r="B6" s="3" t="n">
        <v>241851</v>
      </c>
      <c r="C6" s="0" t="n">
        <f aca="false">B6*(1+C5/100)</f>
        <v>270873.12</v>
      </c>
      <c r="D6" s="0" t="n">
        <f aca="false">C6*(1+D5/100)</f>
        <v>285771.1416</v>
      </c>
      <c r="E6" s="0" t="n">
        <f aca="false">D6*(1+E5/100)</f>
        <v>300059.69868</v>
      </c>
      <c r="F6" s="0" t="n">
        <f aca="false">E6*(1+F5/100)</f>
        <v>312062.0866272</v>
      </c>
      <c r="G6" s="0" t="n">
        <f aca="false">F6*(1+G5/100)</f>
        <v>322984.259659152</v>
      </c>
      <c r="H6" s="0" t="n">
        <f aca="false">G6*(1+H5/100)</f>
        <v>332673.787448927</v>
      </c>
      <c r="I6" s="0" t="n">
        <f aca="false">H6*(1+I5/100)</f>
        <v>340990.63213515</v>
      </c>
      <c r="J6" s="0" t="n">
        <f aca="false">I6*(1+J5/100)</f>
        <v>347810.444777853</v>
      </c>
      <c r="K6" s="0" t="n">
        <f aca="false">J6*(1+K5/100)</f>
        <v>354766.65367341</v>
      </c>
      <c r="L6" s="0" t="n">
        <f aca="false">K6*(1+L5/100)</f>
        <v>360088.153478511</v>
      </c>
    </row>
    <row r="7" customFormat="false" ht="15" hidden="false" customHeight="false" outlineLevel="0" collapsed="false">
      <c r="A7" s="0" t="s">
        <v>104</v>
      </c>
      <c r="C7" s="4" t="n">
        <f aca="false">Assumptions!C28</f>
        <v>15.9</v>
      </c>
      <c r="D7" s="4" t="n">
        <f aca="false">Assumptions!D28</f>
        <v>16.4</v>
      </c>
      <c r="E7" s="4" t="n">
        <f aca="false">Assumptions!E28</f>
        <v>16.9</v>
      </c>
      <c r="F7" s="4" t="n">
        <f aca="false">Assumptions!F28</f>
        <v>17.2</v>
      </c>
      <c r="G7" s="4" t="n">
        <f aca="false">Assumptions!G28</f>
        <v>17.4</v>
      </c>
      <c r="H7" s="4" t="n">
        <f aca="false">Assumptions!H28</f>
        <v>17.5</v>
      </c>
      <c r="I7" s="4" t="n">
        <f aca="false">Assumptions!I28</f>
        <v>17.5</v>
      </c>
      <c r="J7" s="4" t="n">
        <f aca="false">Assumptions!J28</f>
        <v>17.5</v>
      </c>
      <c r="K7" s="4" t="n">
        <f aca="false">Assumptions!K28</f>
        <v>17.5</v>
      </c>
      <c r="L7" s="4" t="n">
        <f aca="false">Assumptions!L28</f>
        <v>17.5</v>
      </c>
    </row>
    <row r="8" customFormat="false" ht="15" hidden="false" customHeight="false" outlineLevel="0" collapsed="false">
      <c r="A8" s="0" t="s">
        <v>43</v>
      </c>
      <c r="C8" s="0" t="n">
        <f aca="false">C6*C7/100</f>
        <v>43068.82608</v>
      </c>
      <c r="D8" s="0" t="n">
        <f aca="false">D6*D7/100</f>
        <v>46866.4672224</v>
      </c>
      <c r="E8" s="0" t="n">
        <f aca="false">E6*E7/100</f>
        <v>50710.08907692</v>
      </c>
      <c r="F8" s="0" t="n">
        <f aca="false">F6*F7/100</f>
        <v>53674.6788998784</v>
      </c>
      <c r="G8" s="0" t="n">
        <f aca="false">G6*G7/100</f>
        <v>56199.2611806925</v>
      </c>
      <c r="H8" s="0" t="n">
        <f aca="false">H6*H7/100</f>
        <v>58217.9128035622</v>
      </c>
      <c r="I8" s="0" t="n">
        <f aca="false">I6*I7/100</f>
        <v>59673.3606236512</v>
      </c>
      <c r="J8" s="0" t="n">
        <f aca="false">J6*J7/100</f>
        <v>60866.8278361242</v>
      </c>
      <c r="K8" s="0" t="n">
        <f aca="false">K6*K7/100</f>
        <v>62084.1643928467</v>
      </c>
      <c r="L8" s="0" t="n">
        <f aca="false">L6*L7/100</f>
        <v>63015.4268587394</v>
      </c>
    </row>
    <row r="9" customFormat="false" ht="15" hidden="false" customHeight="false" outlineLevel="0" collapsed="false">
      <c r="A9" s="0" t="s">
        <v>105</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43068.82608</v>
      </c>
      <c r="D11" s="0" t="n">
        <f aca="false">D8+D10+D24</f>
        <v>46866.4672224</v>
      </c>
      <c r="E11" s="0" t="n">
        <f aca="false">E8+E10+E24</f>
        <v>50710.08907692</v>
      </c>
      <c r="F11" s="0" t="n">
        <f aca="false">F8+F10+F24</f>
        <v>53674.6788998784</v>
      </c>
      <c r="G11" s="0" t="n">
        <f aca="false">G8+G10+G24</f>
        <v>56199.2611806925</v>
      </c>
      <c r="H11" s="0" t="n">
        <f aca="false">H8+H10+H24</f>
        <v>58217.9128035622</v>
      </c>
      <c r="I11" s="0" t="n">
        <f aca="false">I8+I10+I24</f>
        <v>59673.3606236512</v>
      </c>
      <c r="J11" s="0" t="n">
        <f aca="false">J8+J10+J24</f>
        <v>60866.8278361242</v>
      </c>
      <c r="K11" s="0" t="n">
        <f aca="false">K8+K10+K24</f>
        <v>62084.1643928467</v>
      </c>
      <c r="L11" s="0" t="n">
        <f aca="false">L8+L10+L24</f>
        <v>63015.4268587394</v>
      </c>
    </row>
    <row r="12" customFormat="false" ht="15" hidden="false" customHeight="false" outlineLevel="0" collapsed="false">
      <c r="A12" s="0" t="s">
        <v>122</v>
      </c>
      <c r="C12" s="4" t="n">
        <f aca="false">-C6*Assumptions!C31/100</f>
        <v>-16252.3872</v>
      </c>
      <c r="D12" s="4" t="n">
        <f aca="false">-D6*Assumptions!D31/100</f>
        <v>-17432.0396376</v>
      </c>
      <c r="E12" s="4" t="n">
        <f aca="false">-E6*Assumptions!E31/100</f>
        <v>-18603.70131816</v>
      </c>
      <c r="F12" s="4" t="n">
        <f aca="false">-F6*Assumptions!F31/100</f>
        <v>-19659.9114575136</v>
      </c>
      <c r="G12" s="4" t="n">
        <f aca="false">-G6*Assumptions!G31/100</f>
        <v>-20670.9926181857</v>
      </c>
      <c r="H12" s="4" t="n">
        <f aca="false">-H6*Assumptions!H31/100</f>
        <v>-21623.7961841802</v>
      </c>
      <c r="I12" s="4" t="n">
        <f aca="false">-I6*Assumptions!I31/100</f>
        <v>-22164.3910887847</v>
      </c>
      <c r="J12" s="4" t="n">
        <f aca="false">-J6*Assumptions!J31/100</f>
        <v>-22607.6789105604</v>
      </c>
      <c r="K12" s="4" t="n">
        <f aca="false">-K6*Assumptions!K31/100</f>
        <v>-23059.8324887716</v>
      </c>
      <c r="L12" s="4" t="n">
        <f aca="false">-L6*Assumptions!L31/100</f>
        <v>-23405.7299761032</v>
      </c>
    </row>
    <row r="13" customFormat="false" ht="15" hidden="false" customHeight="false" outlineLevel="0" collapsed="false">
      <c r="A13" s="0" t="s">
        <v>123</v>
      </c>
      <c r="C13" s="0" t="n">
        <f aca="false">C11+C12</f>
        <v>26816.43888</v>
      </c>
      <c r="D13" s="0" t="n">
        <f aca="false">D11+D12</f>
        <v>29434.4275848</v>
      </c>
      <c r="E13" s="0" t="n">
        <f aca="false">E11+E12</f>
        <v>32106.38775876</v>
      </c>
      <c r="F13" s="0" t="n">
        <f aca="false">F11+F12</f>
        <v>34014.7674423648</v>
      </c>
      <c r="G13" s="0" t="n">
        <f aca="false">G11+G12</f>
        <v>35528.2685625067</v>
      </c>
      <c r="H13" s="0" t="n">
        <f aca="false">H11+H12</f>
        <v>36594.1166193819</v>
      </c>
      <c r="I13" s="0" t="n">
        <f aca="false">I11+I12</f>
        <v>37508.9695348665</v>
      </c>
      <c r="J13" s="0" t="n">
        <f aca="false">J11+J12</f>
        <v>38259.1489255638</v>
      </c>
      <c r="K13" s="0" t="n">
        <f aca="false">K11+K12</f>
        <v>39024.3319040751</v>
      </c>
      <c r="L13" s="0" t="n">
        <f aca="false">L11+L12</f>
        <v>39609.6968826362</v>
      </c>
    </row>
    <row r="14" customFormat="false" ht="15" hidden="false" customHeight="false" outlineLevel="0" collapsed="false">
      <c r="A14" s="0" t="s">
        <v>109</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124</v>
      </c>
      <c r="C15" s="0" t="n">
        <f aca="false">C13-MAX(0,C13)*C14/100</f>
        <v>18771.507216</v>
      </c>
      <c r="D15" s="0" t="n">
        <f aca="false">D13-MAX(0,D13)*D14/100</f>
        <v>20604.09930936</v>
      </c>
      <c r="E15" s="0" t="n">
        <f aca="false">E13-MAX(0,E13)*E14/100</f>
        <v>22474.471431132</v>
      </c>
      <c r="F15" s="0" t="n">
        <f aca="false">F13-MAX(0,F13)*F14/100</f>
        <v>23810.3372096554</v>
      </c>
      <c r="G15" s="0" t="n">
        <f aca="false">G13-MAX(0,G13)*G14/100</f>
        <v>24869.7879937547</v>
      </c>
      <c r="H15" s="0" t="n">
        <f aca="false">H13-MAX(0,H13)*H14/100</f>
        <v>25615.8816335673</v>
      </c>
      <c r="I15" s="0" t="n">
        <f aca="false">I13-MAX(0,I13)*I14/100</f>
        <v>26256.2786744065</v>
      </c>
      <c r="J15" s="0" t="n">
        <f aca="false">J13-MAX(0,J13)*J14/100</f>
        <v>26781.4042478947</v>
      </c>
      <c r="K15" s="0" t="n">
        <f aca="false">K13-MAX(0,K13)*K14/100</f>
        <v>27317.0323328526</v>
      </c>
      <c r="L15" s="0" t="n">
        <f aca="false">L13-MAX(0,L13)*L14/100</f>
        <v>27726.7878178453</v>
      </c>
    </row>
    <row r="16" customFormat="false" ht="15" hidden="false" customHeight="false" outlineLevel="0" collapsed="false">
      <c r="A16" s="0" t="s">
        <v>125</v>
      </c>
      <c r="C16" s="0" t="n">
        <f aca="false">-C12</f>
        <v>16252.3872</v>
      </c>
      <c r="D16" s="0" t="n">
        <f aca="false">-D12</f>
        <v>17432.0396376</v>
      </c>
      <c r="E16" s="0" t="n">
        <f aca="false">-E12</f>
        <v>18603.70131816</v>
      </c>
      <c r="F16" s="0" t="n">
        <f aca="false">-F12</f>
        <v>19659.9114575136</v>
      </c>
      <c r="G16" s="0" t="n">
        <f aca="false">-G12</f>
        <v>20670.9926181857</v>
      </c>
      <c r="H16" s="0" t="n">
        <f aca="false">-H12</f>
        <v>21623.7961841802</v>
      </c>
      <c r="I16" s="0" t="n">
        <f aca="false">-I12</f>
        <v>22164.3910887847</v>
      </c>
      <c r="J16" s="0" t="n">
        <f aca="false">-J12</f>
        <v>22607.6789105604</v>
      </c>
      <c r="K16" s="0" t="n">
        <f aca="false">-K12</f>
        <v>23059.8324887716</v>
      </c>
      <c r="L16" s="0" t="n">
        <f aca="false">-L12</f>
        <v>23405.7299761032</v>
      </c>
    </row>
    <row r="17" customFormat="false" ht="15" hidden="false" customHeight="false" outlineLevel="0" collapsed="false">
      <c r="A17" s="0" t="s">
        <v>126</v>
      </c>
      <c r="C17" s="4" t="n">
        <f aca="false">-C6*Assumptions!C32/100</f>
        <v>-32504.7744</v>
      </c>
      <c r="D17" s="4" t="n">
        <f aca="false">-D6*Assumptions!D32/100</f>
        <v>-31434.825576</v>
      </c>
      <c r="E17" s="4" t="n">
        <f aca="false">-E6*Assumptions!E32/100</f>
        <v>-30005.969868</v>
      </c>
      <c r="F17" s="4" t="n">
        <f aca="false">-F6*Assumptions!F32/100</f>
        <v>-28085.587796448</v>
      </c>
      <c r="G17" s="4" t="n">
        <f aca="false">-G6*Assumptions!G32/100</f>
        <v>-27453.6620710279</v>
      </c>
      <c r="H17" s="4" t="n">
        <f aca="false">-H6*Assumptions!H32/100</f>
        <v>-26613.9029959141</v>
      </c>
      <c r="I17" s="4" t="n">
        <f aca="false">-I6*Assumptions!I32/100</f>
        <v>-25574.2974101362</v>
      </c>
      <c r="J17" s="4" t="n">
        <f aca="false">-J6*Assumptions!J32/100</f>
        <v>-26085.783358339</v>
      </c>
      <c r="K17" s="4" t="n">
        <f aca="false">-K6*Assumptions!K32/100</f>
        <v>-26607.4990255057</v>
      </c>
      <c r="L17" s="4" t="n">
        <f aca="false">-L6*Assumptions!L32/100</f>
        <v>-27006.6115108883</v>
      </c>
    </row>
    <row r="18" customFormat="false" ht="15" hidden="false" customHeight="false" outlineLevel="0" collapsed="false">
      <c r="A18" s="0" t="s">
        <v>127</v>
      </c>
      <c r="C18" s="4" t="n">
        <f aca="false">(C6-B6)*Assumptions!$B$37/100</f>
        <v>-5804.42400000001</v>
      </c>
      <c r="D18" s="4" t="n">
        <f aca="false">(D6-C6)*Assumptions!$B$37/100</f>
        <v>-2979.60432</v>
      </c>
      <c r="E18" s="4" t="n">
        <f aca="false">(E6-D6)*Assumptions!$B$37/100</f>
        <v>-2857.711416</v>
      </c>
      <c r="F18" s="4" t="n">
        <f aca="false">(F6-E6)*Assumptions!$B$37/100</f>
        <v>-2400.47758944001</v>
      </c>
      <c r="G18" s="4" t="n">
        <f aca="false">(G6-F6)*Assumptions!$B$37/100</f>
        <v>-2184.4346063904</v>
      </c>
      <c r="H18" s="4" t="n">
        <f aca="false">(H6-G6)*Assumptions!$B$37/100</f>
        <v>-1937.90555795492</v>
      </c>
      <c r="I18" s="4" t="n">
        <f aca="false">(I6-H6)*Assumptions!$B$37/100</f>
        <v>-1663.36893724463</v>
      </c>
      <c r="J18" s="4" t="n">
        <f aca="false">(J6-I6)*Assumptions!$B$37/100</f>
        <v>-1363.9625285406</v>
      </c>
      <c r="K18" s="4" t="n">
        <f aca="false">(K6-J6)*Assumptions!$B$37/100</f>
        <v>-1391.24177911141</v>
      </c>
      <c r="L18" s="4" t="n">
        <f aca="false">(L6-K6)*Assumptions!$B$37/100</f>
        <v>-1064.29996102023</v>
      </c>
    </row>
    <row r="19" customFormat="false" ht="15" hidden="false" customHeight="false" outlineLevel="0" collapsed="false">
      <c r="A19" s="0" t="s">
        <v>128</v>
      </c>
      <c r="C19" s="0" t="n">
        <f aca="false">C15+C16+C17+C18</f>
        <v>-3285.30398400001</v>
      </c>
      <c r="D19" s="0" t="n">
        <f aca="false">D15+D16+D17+D18</f>
        <v>3621.70905096</v>
      </c>
      <c r="E19" s="0" t="n">
        <f aca="false">E15+E16+E17+E18</f>
        <v>8214.491465292</v>
      </c>
      <c r="F19" s="0" t="n">
        <f aca="false">F15+F16+F17+F18</f>
        <v>12984.183281281</v>
      </c>
      <c r="G19" s="0" t="n">
        <f aca="false">G15+G16+G17+G18</f>
        <v>15902.6839345221</v>
      </c>
      <c r="H19" s="0" t="n">
        <f aca="false">H15+H16+H17+H18</f>
        <v>18687.8692638785</v>
      </c>
      <c r="I19" s="0" t="n">
        <f aca="false">I15+I16+I17+I18</f>
        <v>21183.0034158104</v>
      </c>
      <c r="J19" s="0" t="n">
        <f aca="false">J15+J16+J17+J18</f>
        <v>21939.3372715755</v>
      </c>
      <c r="K19" s="0" t="n">
        <f aca="false">K15+K16+K17+K18</f>
        <v>22378.1240170071</v>
      </c>
      <c r="L19" s="0" t="n">
        <f aca="false">L15+L16+L17+L18</f>
        <v>23061.60632204</v>
      </c>
    </row>
    <row r="20" customFormat="false" ht="15" hidden="false" customHeight="false" outlineLevel="0" collapsed="false">
      <c r="A20" s="0" t="s">
        <v>129</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130</v>
      </c>
      <c r="C21" s="0" t="n">
        <f aca="false">C19*C20</f>
        <v>-3041.94813333335</v>
      </c>
      <c r="D21" s="0" t="n">
        <f aca="false">D19*D20</f>
        <v>3105.03176522634</v>
      </c>
      <c r="E21" s="0" t="n">
        <f aca="false">E19*E20</f>
        <v>6520.92816873381</v>
      </c>
      <c r="F21" s="0" t="n">
        <f aca="false">F19*F20</f>
        <v>9543.76232592211</v>
      </c>
      <c r="G21" s="0" t="n">
        <f aca="false">G19*G20</f>
        <v>10823.0994735744</v>
      </c>
      <c r="H21" s="0" t="n">
        <f aca="false">H19*H20</f>
        <v>11776.5276012586</v>
      </c>
      <c r="I21" s="0" t="n">
        <f aca="false">I19*I20</f>
        <v>12360.0790359303</v>
      </c>
      <c r="J21" s="0" t="n">
        <f aca="false">J19*J20</f>
        <v>11853.1412744267</v>
      </c>
      <c r="K21" s="0" t="n">
        <f aca="false">K19*K20</f>
        <v>11194.6334258475</v>
      </c>
      <c r="L21" s="0" t="n">
        <f aca="false">L19*L20</f>
        <v>10681.9858731415</v>
      </c>
    </row>
    <row r="23" customFormat="false" ht="15" hidden="false" customHeight="false" outlineLevel="0" collapsed="false">
      <c r="A23" s="0" t="s">
        <v>106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Assumptions!$B$34</f>
        <v>8</v>
      </c>
    </row>
    <row r="28" customFormat="false" ht="15" hidden="false" customHeight="false" outlineLevel="0" collapsed="false">
      <c r="A28" s="0" t="s">
        <v>111</v>
      </c>
      <c r="B28" s="4" t="n">
        <f aca="false">Assumptions!$B$35</f>
        <v>1</v>
      </c>
    </row>
    <row r="29" customFormat="false" ht="15" hidden="false" customHeight="false" outlineLevel="0" collapsed="false">
      <c r="A29" s="0" t="s">
        <v>112</v>
      </c>
      <c r="B29" s="4" t="n">
        <f aca="false">Assumptions!$B$36</f>
        <v>15</v>
      </c>
    </row>
    <row r="30" customFormat="false" ht="15" hidden="false" customHeight="false" outlineLevel="0" collapsed="false">
      <c r="A30" s="0" t="s">
        <v>133</v>
      </c>
      <c r="B30" s="0" t="n">
        <f aca="false">SUM(C21:L21)</f>
        <v>84817.2408107279</v>
      </c>
    </row>
    <row r="31" customFormat="false" ht="15" hidden="false" customHeight="false" outlineLevel="0" collapsed="false">
      <c r="A31" s="0" t="s">
        <v>134</v>
      </c>
      <c r="B31" s="0" t="n">
        <f aca="false">L19</f>
        <v>23061.60632204</v>
      </c>
    </row>
    <row r="32" customFormat="false" ht="15" hidden="false" customHeight="false" outlineLevel="0" collapsed="false">
      <c r="A32" s="0" t="s">
        <v>135</v>
      </c>
      <c r="B32" s="0" t="n">
        <f aca="false">IF(B27&gt;B28,B31*(1+B28/100)/((B27-B28)/100),B31*B29)</f>
        <v>332746.034075149</v>
      </c>
    </row>
    <row r="33" customFormat="false" ht="15" hidden="false" customHeight="false" outlineLevel="0" collapsed="false">
      <c r="A33" s="0" t="s">
        <v>136</v>
      </c>
      <c r="B33" s="0" t="n">
        <f aca="false">B31*B29</f>
        <v>345924.0948306</v>
      </c>
    </row>
    <row r="34" customFormat="false" ht="15" hidden="false" customHeight="false" outlineLevel="0" collapsed="false">
      <c r="A34" s="0" t="s">
        <v>137</v>
      </c>
      <c r="B34" s="0" t="n">
        <f aca="false">MAX(0,MIN(B32,B33))</f>
        <v>332746.034075149</v>
      </c>
    </row>
    <row r="35" customFormat="false" ht="15" hidden="false" customHeight="false" outlineLevel="0" collapsed="false">
      <c r="A35" s="0" t="s">
        <v>138</v>
      </c>
      <c r="B35" s="0" t="n">
        <f aca="false">B34/(1+B27/100)^L4</f>
        <v>154125.796169613</v>
      </c>
    </row>
    <row r="36" customFormat="false" ht="15" hidden="false" customHeight="false" outlineLevel="0" collapsed="false">
      <c r="A36" s="0" t="s">
        <v>139</v>
      </c>
      <c r="B36" s="0" t="n">
        <f aca="false">B30+B35</f>
        <v>238943.036980341</v>
      </c>
    </row>
    <row r="37" customFormat="false" ht="15" hidden="false" customHeight="false" outlineLevel="0" collapsed="false">
      <c r="A37" s="0" t="s">
        <v>140</v>
      </c>
      <c r="B37" s="0" t="n">
        <f aca="false">B36+Assumptions!$B$5-Assumptions!$B$4</f>
        <v>233710.036980341</v>
      </c>
    </row>
    <row r="38" customFormat="false" ht="15" hidden="false" customHeight="false" outlineLevel="0" collapsed="false">
      <c r="A38" s="0" t="s">
        <v>141</v>
      </c>
      <c r="B38" s="0" t="n">
        <f aca="false">B37/Assumptions!$B$3*Assumptions!$B$10</f>
        <v>1657.51799276838</v>
      </c>
    </row>
    <row r="39" customFormat="false" ht="15" hidden="false" customHeight="false" outlineLevel="0" collapsed="false">
      <c r="A39" s="0" t="s">
        <v>142</v>
      </c>
      <c r="B39" s="4" t="n">
        <f aca="false">B38/Assumptions!$B$2-1</f>
        <v>-0.171241003615811</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1657.51799276838</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166373.017037574</v>
      </c>
    </row>
    <row r="47" customFormat="false" ht="15" hidden="false" customHeight="false" outlineLevel="0" collapsed="false">
      <c r="A47" s="0" t="s">
        <v>147</v>
      </c>
      <c r="B47" s="0" t="n">
        <f aca="false">(SUMPRODUCT(C19:L19/(1+B45/100)^C4:L4)+B46/(1+B45/100)^L4+Assumptions!$B$5-Assumptions!$B$4)/Assumptions!$B$3*Assumptions!$B$10</f>
        <v>650.932396181978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13</v>
      </c>
      <c r="D5" s="4" t="n">
        <f aca="false">Assumptions!D41</f>
        <v>8</v>
      </c>
      <c r="E5" s="4" t="n">
        <f aca="false">Assumptions!E41</f>
        <v>7</v>
      </c>
      <c r="F5" s="4" t="n">
        <f aca="false">Assumptions!F41</f>
        <v>5</v>
      </c>
      <c r="G5" s="4" t="n">
        <f aca="false">Assumptions!G41</f>
        <v>4.5</v>
      </c>
      <c r="H5" s="4" t="n">
        <f aca="false">Assumptions!H41</f>
        <v>4</v>
      </c>
      <c r="I5" s="4" t="n">
        <f aca="false">Assumptions!I41</f>
        <v>3.5</v>
      </c>
      <c r="J5" s="4" t="n">
        <f aca="false">Assumptions!J41</f>
        <v>3</v>
      </c>
      <c r="K5" s="4" t="n">
        <f aca="false">Assumptions!K41</f>
        <v>2.5</v>
      </c>
      <c r="L5" s="4" t="n">
        <f aca="false">Assumptions!L41</f>
        <v>2</v>
      </c>
    </row>
    <row r="6" customFormat="false" ht="15" hidden="false" customHeight="false" outlineLevel="0" collapsed="false">
      <c r="A6" s="0" t="s">
        <v>37</v>
      </c>
      <c r="B6" s="3" t="n">
        <v>241851</v>
      </c>
      <c r="C6" s="0" t="n">
        <f aca="false">B6*(1+C5/100)</f>
        <v>273291.63</v>
      </c>
      <c r="D6" s="0" t="n">
        <f aca="false">C6*(1+D5/100)</f>
        <v>295154.9604</v>
      </c>
      <c r="E6" s="0" t="n">
        <f aca="false">D6*(1+E5/100)</f>
        <v>315815.807628</v>
      </c>
      <c r="F6" s="0" t="n">
        <f aca="false">E6*(1+F5/100)</f>
        <v>331606.5980094</v>
      </c>
      <c r="G6" s="0" t="n">
        <f aca="false">F6*(1+G5/100)</f>
        <v>346528.894919823</v>
      </c>
      <c r="H6" s="0" t="n">
        <f aca="false">G6*(1+H5/100)</f>
        <v>360390.050716616</v>
      </c>
      <c r="I6" s="0" t="n">
        <f aca="false">H6*(1+I5/100)</f>
        <v>373003.702491697</v>
      </c>
      <c r="J6" s="0" t="n">
        <f aca="false">I6*(1+J5/100)</f>
        <v>384193.813566448</v>
      </c>
      <c r="K6" s="0" t="n">
        <f aca="false">J6*(1+K5/100)</f>
        <v>393798.65890561</v>
      </c>
      <c r="L6" s="0" t="n">
        <f aca="false">K6*(1+L5/100)</f>
        <v>401674.632083722</v>
      </c>
    </row>
    <row r="7" customFormat="false" ht="15" hidden="false" customHeight="false" outlineLevel="0" collapsed="false">
      <c r="A7" s="0" t="s">
        <v>104</v>
      </c>
      <c r="C7" s="4" t="n">
        <f aca="false">Assumptions!C42</f>
        <v>16.2</v>
      </c>
      <c r="D7" s="4" t="n">
        <f aca="false">Assumptions!D42</f>
        <v>17.2</v>
      </c>
      <c r="E7" s="4" t="n">
        <f aca="false">Assumptions!E42</f>
        <v>18</v>
      </c>
      <c r="F7" s="4" t="n">
        <f aca="false">Assumptions!F42</f>
        <v>18.5</v>
      </c>
      <c r="G7" s="4" t="n">
        <f aca="false">Assumptions!G42</f>
        <v>18.8</v>
      </c>
      <c r="H7" s="4" t="n">
        <f aca="false">Assumptions!H42</f>
        <v>19</v>
      </c>
      <c r="I7" s="4" t="n">
        <f aca="false">Assumptions!I42</f>
        <v>19</v>
      </c>
      <c r="J7" s="4" t="n">
        <f aca="false">Assumptions!J42</f>
        <v>19</v>
      </c>
      <c r="K7" s="4" t="n">
        <f aca="false">Assumptions!K42</f>
        <v>19</v>
      </c>
      <c r="L7" s="4" t="n">
        <f aca="false">Assumptions!L42</f>
        <v>19</v>
      </c>
    </row>
    <row r="8" customFormat="false" ht="15" hidden="false" customHeight="false" outlineLevel="0" collapsed="false">
      <c r="A8" s="0" t="s">
        <v>43</v>
      </c>
      <c r="C8" s="0" t="n">
        <f aca="false">C6*C7/100</f>
        <v>44273.24406</v>
      </c>
      <c r="D8" s="0" t="n">
        <f aca="false">D6*D7/100</f>
        <v>50766.6531888</v>
      </c>
      <c r="E8" s="0" t="n">
        <f aca="false">E6*E7/100</f>
        <v>56846.84537304</v>
      </c>
      <c r="F8" s="0" t="n">
        <f aca="false">F6*F7/100</f>
        <v>61347.220631739</v>
      </c>
      <c r="G8" s="0" t="n">
        <f aca="false">G6*G7/100</f>
        <v>65147.4322449267</v>
      </c>
      <c r="H8" s="0" t="n">
        <f aca="false">H6*H7/100</f>
        <v>68474.109636157</v>
      </c>
      <c r="I8" s="0" t="n">
        <f aca="false">I6*I7/100</f>
        <v>70870.7034734225</v>
      </c>
      <c r="J8" s="0" t="n">
        <f aca="false">J6*J7/100</f>
        <v>72996.8245776252</v>
      </c>
      <c r="K8" s="0" t="n">
        <f aca="false">K6*K7/100</f>
        <v>74821.7451920658</v>
      </c>
      <c r="L8" s="0" t="n">
        <f aca="false">L6*L7/100</f>
        <v>76318.1800959071</v>
      </c>
    </row>
    <row r="9" customFormat="false" ht="15" hidden="false" customHeight="false" outlineLevel="0" collapsed="false">
      <c r="A9" s="0" t="s">
        <v>105</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44273.24406</v>
      </c>
      <c r="D11" s="0" t="n">
        <f aca="false">D8+D10+D24</f>
        <v>50766.6531888</v>
      </c>
      <c r="E11" s="0" t="n">
        <f aca="false">E8+E10+E24</f>
        <v>56846.84537304</v>
      </c>
      <c r="F11" s="0" t="n">
        <f aca="false">F8+F10+F24</f>
        <v>61347.220631739</v>
      </c>
      <c r="G11" s="0" t="n">
        <f aca="false">G8+G10+G24</f>
        <v>65147.4322449267</v>
      </c>
      <c r="H11" s="0" t="n">
        <f aca="false">H8+H10+H24</f>
        <v>68474.109636157</v>
      </c>
      <c r="I11" s="0" t="n">
        <f aca="false">I8+I10+I24</f>
        <v>70870.7034734225</v>
      </c>
      <c r="J11" s="0" t="n">
        <f aca="false">J8+J10+J24</f>
        <v>72996.8245776252</v>
      </c>
      <c r="K11" s="0" t="n">
        <f aca="false">K8+K10+K24</f>
        <v>74821.7451920658</v>
      </c>
      <c r="L11" s="0" t="n">
        <f aca="false">L8+L10+L24</f>
        <v>76318.1800959071</v>
      </c>
    </row>
    <row r="12" customFormat="false" ht="15" hidden="false" customHeight="false" outlineLevel="0" collapsed="false">
      <c r="A12" s="0" t="s">
        <v>122</v>
      </c>
      <c r="C12" s="4" t="n">
        <f aca="false">-C6*Assumptions!C45/100</f>
        <v>-16397.4978</v>
      </c>
      <c r="D12" s="4" t="n">
        <f aca="false">-D6*Assumptions!D45/100</f>
        <v>-18004.4525844</v>
      </c>
      <c r="E12" s="4" t="n">
        <f aca="false">-E6*Assumptions!E45/100</f>
        <v>-19580.580072936</v>
      </c>
      <c r="F12" s="4" t="n">
        <f aca="false">-F6*Assumptions!F45/100</f>
        <v>-20891.2156745922</v>
      </c>
      <c r="G12" s="4" t="n">
        <f aca="false">-G6*Assumptions!G45/100</f>
        <v>-22177.8492748687</v>
      </c>
      <c r="H12" s="4" t="n">
        <f aca="false">-H6*Assumptions!H45/100</f>
        <v>-23425.35329658</v>
      </c>
      <c r="I12" s="4" t="n">
        <f aca="false">-I6*Assumptions!I45/100</f>
        <v>-24245.2406619603</v>
      </c>
      <c r="J12" s="4" t="n">
        <f aca="false">-J6*Assumptions!J45/100</f>
        <v>-24972.5978818191</v>
      </c>
      <c r="K12" s="4" t="n">
        <f aca="false">-K6*Assumptions!K45/100</f>
        <v>-25596.9128288646</v>
      </c>
      <c r="L12" s="4" t="n">
        <f aca="false">-L6*Assumptions!L45/100</f>
        <v>-26108.8510854419</v>
      </c>
    </row>
    <row r="13" customFormat="false" ht="15" hidden="false" customHeight="false" outlineLevel="0" collapsed="false">
      <c r="A13" s="0" t="s">
        <v>123</v>
      </c>
      <c r="C13" s="0" t="n">
        <f aca="false">C11+C12</f>
        <v>27875.74626</v>
      </c>
      <c r="D13" s="0" t="n">
        <f aca="false">D11+D12</f>
        <v>32762.2006044</v>
      </c>
      <c r="E13" s="0" t="n">
        <f aca="false">E11+E12</f>
        <v>37266.265300104</v>
      </c>
      <c r="F13" s="0" t="n">
        <f aca="false">F11+F12</f>
        <v>40456.0049571468</v>
      </c>
      <c r="G13" s="0" t="n">
        <f aca="false">G11+G12</f>
        <v>42969.5829700581</v>
      </c>
      <c r="H13" s="0" t="n">
        <f aca="false">H11+H12</f>
        <v>45048.756339577</v>
      </c>
      <c r="I13" s="0" t="n">
        <f aca="false">I11+I12</f>
        <v>46625.4628114622</v>
      </c>
      <c r="J13" s="0" t="n">
        <f aca="false">J11+J12</f>
        <v>48024.2266958061</v>
      </c>
      <c r="K13" s="0" t="n">
        <f aca="false">K11+K12</f>
        <v>49224.8323632012</v>
      </c>
      <c r="L13" s="0" t="n">
        <f aca="false">L11+L12</f>
        <v>50209.3290104652</v>
      </c>
    </row>
    <row r="14" customFormat="false" ht="15" hidden="false" customHeight="false" outlineLevel="0" collapsed="false">
      <c r="A14" s="0" t="s">
        <v>109</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124</v>
      </c>
      <c r="C15" s="0" t="n">
        <f aca="false">C13-MAX(0,C13)*C14/100</f>
        <v>19513.022382</v>
      </c>
      <c r="D15" s="0" t="n">
        <f aca="false">D13-MAX(0,D13)*D14/100</f>
        <v>22933.54042308</v>
      </c>
      <c r="E15" s="0" t="n">
        <f aca="false">E13-MAX(0,E13)*E14/100</f>
        <v>26086.3857100728</v>
      </c>
      <c r="F15" s="0" t="n">
        <f aca="false">F13-MAX(0,F13)*F14/100</f>
        <v>28319.2034700028</v>
      </c>
      <c r="G15" s="0" t="n">
        <f aca="false">G13-MAX(0,G13)*G14/100</f>
        <v>30078.7080790406</v>
      </c>
      <c r="H15" s="0" t="n">
        <f aca="false">H13-MAX(0,H13)*H14/100</f>
        <v>31534.1294377039</v>
      </c>
      <c r="I15" s="0" t="n">
        <f aca="false">I13-MAX(0,I13)*I14/100</f>
        <v>32637.8239680235</v>
      </c>
      <c r="J15" s="0" t="n">
        <f aca="false">J13-MAX(0,J13)*J14/100</f>
        <v>33616.9586870642</v>
      </c>
      <c r="K15" s="0" t="n">
        <f aca="false">K13-MAX(0,K13)*K14/100</f>
        <v>34457.3826542408</v>
      </c>
      <c r="L15" s="0" t="n">
        <f aca="false">L13-MAX(0,L13)*L14/100</f>
        <v>35146.5303073257</v>
      </c>
    </row>
    <row r="16" customFormat="false" ht="15" hidden="false" customHeight="false" outlineLevel="0" collapsed="false">
      <c r="A16" s="0" t="s">
        <v>125</v>
      </c>
      <c r="C16" s="0" t="n">
        <f aca="false">-C12</f>
        <v>16397.4978</v>
      </c>
      <c r="D16" s="0" t="n">
        <f aca="false">-D12</f>
        <v>18004.4525844</v>
      </c>
      <c r="E16" s="0" t="n">
        <f aca="false">-E12</f>
        <v>19580.580072936</v>
      </c>
      <c r="F16" s="0" t="n">
        <f aca="false">-F12</f>
        <v>20891.2156745922</v>
      </c>
      <c r="G16" s="0" t="n">
        <f aca="false">-G12</f>
        <v>22177.8492748687</v>
      </c>
      <c r="H16" s="0" t="n">
        <f aca="false">-H12</f>
        <v>23425.35329658</v>
      </c>
      <c r="I16" s="0" t="n">
        <f aca="false">-I12</f>
        <v>24245.2406619603</v>
      </c>
      <c r="J16" s="0" t="n">
        <f aca="false">-J12</f>
        <v>24972.5978818191</v>
      </c>
      <c r="K16" s="0" t="n">
        <f aca="false">-K12</f>
        <v>25596.9128288646</v>
      </c>
      <c r="L16" s="0" t="n">
        <f aca="false">-L12</f>
        <v>26108.8510854419</v>
      </c>
    </row>
    <row r="17" customFormat="false" ht="15" hidden="false" customHeight="false" outlineLevel="0" collapsed="false">
      <c r="A17" s="0" t="s">
        <v>126</v>
      </c>
      <c r="C17" s="4" t="n">
        <f aca="false">-C6*Assumptions!C46/100</f>
        <v>-32794.9956</v>
      </c>
      <c r="D17" s="4" t="n">
        <f aca="false">-D6*Assumptions!D46/100</f>
        <v>-32467.045644</v>
      </c>
      <c r="E17" s="4" t="n">
        <f aca="false">-E6*Assumptions!E46/100</f>
        <v>-31581.5807628</v>
      </c>
      <c r="F17" s="4" t="n">
        <f aca="false">-F6*Assumptions!F46/100</f>
        <v>-29844.593820846</v>
      </c>
      <c r="G17" s="4" t="n">
        <f aca="false">-G6*Assumptions!G46/100</f>
        <v>-29454.956068185</v>
      </c>
      <c r="H17" s="4" t="n">
        <f aca="false">-H6*Assumptions!H46/100</f>
        <v>-28831.2040573293</v>
      </c>
      <c r="I17" s="4" t="n">
        <f aca="false">-I6*Assumptions!I46/100</f>
        <v>-27975.2776868773</v>
      </c>
      <c r="J17" s="4" t="n">
        <f aca="false">-J6*Assumptions!J46/100</f>
        <v>-28814.5360174836</v>
      </c>
      <c r="K17" s="4" t="n">
        <f aca="false">-K6*Assumptions!K46/100</f>
        <v>-29534.8994179207</v>
      </c>
      <c r="L17" s="4" t="n">
        <f aca="false">-L6*Assumptions!L46/100</f>
        <v>-30125.5974062791</v>
      </c>
    </row>
    <row r="18" customFormat="false" ht="15" hidden="false" customHeight="false" outlineLevel="0" collapsed="false">
      <c r="A18" s="0" t="s">
        <v>127</v>
      </c>
      <c r="C18" s="4" t="n">
        <f aca="false">(C6-B6)*Assumptions!$B$51/100</f>
        <v>-6288.12599999999</v>
      </c>
      <c r="D18" s="4" t="n">
        <f aca="false">(D6-C6)*Assumptions!$B$51/100</f>
        <v>-4372.66608000001</v>
      </c>
      <c r="E18" s="4" t="n">
        <f aca="false">(E6-D6)*Assumptions!$B$51/100</f>
        <v>-4132.1694456</v>
      </c>
      <c r="F18" s="4" t="n">
        <f aca="false">(F6-E6)*Assumptions!$B$51/100</f>
        <v>-3158.15807628001</v>
      </c>
      <c r="G18" s="4" t="n">
        <f aca="false">(G6-F6)*Assumptions!$B$51/100</f>
        <v>-2984.45938208459</v>
      </c>
      <c r="H18" s="4" t="n">
        <f aca="false">(H6-G6)*Assumptions!$B$51/100</f>
        <v>-2772.23115935859</v>
      </c>
      <c r="I18" s="4" t="n">
        <f aca="false">(I6-H6)*Assumptions!$B$51/100</f>
        <v>-2522.73035501631</v>
      </c>
      <c r="J18" s="4" t="n">
        <f aca="false">(J6-I6)*Assumptions!$B$51/100</f>
        <v>-2238.02221495019</v>
      </c>
      <c r="K18" s="4" t="n">
        <f aca="false">(K6-J6)*Assumptions!$B$51/100</f>
        <v>-1920.96906783223</v>
      </c>
      <c r="L18" s="4" t="n">
        <f aca="false">(L6-K6)*Assumptions!$B$51/100</f>
        <v>-1575.19463562244</v>
      </c>
    </row>
    <row r="19" customFormat="false" ht="15" hidden="false" customHeight="false" outlineLevel="0" collapsed="false">
      <c r="A19" s="0" t="s">
        <v>128</v>
      </c>
      <c r="C19" s="0" t="n">
        <f aca="false">C15+C16+C17+C18</f>
        <v>-3172.601418</v>
      </c>
      <c r="D19" s="0" t="n">
        <f aca="false">D15+D16+D17+D18</f>
        <v>4098.28128347999</v>
      </c>
      <c r="E19" s="0" t="n">
        <f aca="false">E15+E16+E17+E18</f>
        <v>9953.2155746088</v>
      </c>
      <c r="F19" s="0" t="n">
        <f aca="false">F15+F16+F17+F18</f>
        <v>16207.6672474689</v>
      </c>
      <c r="G19" s="0" t="n">
        <f aca="false">G15+G16+G17+G18</f>
        <v>19817.1419036398</v>
      </c>
      <c r="H19" s="0" t="n">
        <f aca="false">H15+H16+H17+H18</f>
        <v>23356.0475175961</v>
      </c>
      <c r="I19" s="0" t="n">
        <f aca="false">I15+I16+I17+I18</f>
        <v>26385.0565880903</v>
      </c>
      <c r="J19" s="0" t="n">
        <f aca="false">J15+J16+J17+J18</f>
        <v>27536.9983364496</v>
      </c>
      <c r="K19" s="0" t="n">
        <f aca="false">K15+K16+K17+K18</f>
        <v>28598.4269973525</v>
      </c>
      <c r="L19" s="0" t="n">
        <f aca="false">L15+L16+L17+L18</f>
        <v>29554.589350866</v>
      </c>
    </row>
    <row r="20" customFormat="false" ht="15" hidden="false" customHeight="false" outlineLevel="0" collapsed="false">
      <c r="A20" s="0" t="s">
        <v>129</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130</v>
      </c>
      <c r="C21" s="0" t="n">
        <f aca="false">C19*C20</f>
        <v>-2937.59390555555</v>
      </c>
      <c r="D21" s="0" t="n">
        <f aca="false">D19*D20</f>
        <v>3513.61564084361</v>
      </c>
      <c r="E21" s="0" t="n">
        <f aca="false">E19*E20</f>
        <v>7901.18342494856</v>
      </c>
      <c r="F21" s="0" t="n">
        <f aca="false">F19*F20</f>
        <v>11913.119271081</v>
      </c>
      <c r="G21" s="0" t="n">
        <f aca="false">G19*G20</f>
        <v>13487.2137928507</v>
      </c>
      <c r="H21" s="0" t="n">
        <f aca="false">H19*H20</f>
        <v>14718.2717496276</v>
      </c>
      <c r="I21" s="0" t="n">
        <f aca="false">I19*I20</f>
        <v>15395.4270975986</v>
      </c>
      <c r="J21" s="0" t="n">
        <f aca="false">J19*J20</f>
        <v>14877.3833737664</v>
      </c>
      <c r="K21" s="0" t="n">
        <f aca="false">K19*K20</f>
        <v>14306.33356701</v>
      </c>
      <c r="L21" s="0" t="n">
        <f aca="false">L19*L20</f>
        <v>13689.4933303381</v>
      </c>
    </row>
    <row r="23" customFormat="false" ht="15" hidden="false" customHeight="false" outlineLevel="0" collapsed="false">
      <c r="A23" s="0" t="s">
        <v>106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Assumptions!$B$48</f>
        <v>8</v>
      </c>
    </row>
    <row r="28" customFormat="false" ht="15" hidden="false" customHeight="false" outlineLevel="0" collapsed="false">
      <c r="A28" s="0" t="s">
        <v>111</v>
      </c>
      <c r="B28" s="4" t="n">
        <f aca="false">Assumptions!$B$49</f>
        <v>1.5</v>
      </c>
    </row>
    <row r="29" customFormat="false" ht="15" hidden="false" customHeight="false" outlineLevel="0" collapsed="false">
      <c r="A29" s="0" t="s">
        <v>112</v>
      </c>
      <c r="B29" s="4" t="n">
        <f aca="false">Assumptions!$B$50</f>
        <v>15</v>
      </c>
    </row>
    <row r="30" customFormat="false" ht="15" hidden="false" customHeight="false" outlineLevel="0" collapsed="false">
      <c r="A30" s="0" t="s">
        <v>133</v>
      </c>
      <c r="B30" s="0" t="n">
        <f aca="false">SUM(C21:L21)</f>
        <v>106864.447342509</v>
      </c>
    </row>
    <row r="31" customFormat="false" ht="15" hidden="false" customHeight="false" outlineLevel="0" collapsed="false">
      <c r="A31" s="0" t="s">
        <v>134</v>
      </c>
      <c r="B31" s="0" t="n">
        <f aca="false">L19</f>
        <v>29554.589350866</v>
      </c>
    </row>
    <row r="32" customFormat="false" ht="15" hidden="false" customHeight="false" outlineLevel="0" collapsed="false">
      <c r="A32" s="0" t="s">
        <v>135</v>
      </c>
      <c r="B32" s="0" t="n">
        <f aca="false">IF(B27&gt;B28,B31*(1+B28/100)/((B27-B28)/100),B31*B29)</f>
        <v>461506.279863523</v>
      </c>
    </row>
    <row r="33" customFormat="false" ht="15" hidden="false" customHeight="false" outlineLevel="0" collapsed="false">
      <c r="A33" s="0" t="s">
        <v>136</v>
      </c>
      <c r="B33" s="0" t="n">
        <f aca="false">B31*B29</f>
        <v>443318.84026299</v>
      </c>
    </row>
    <row r="34" customFormat="false" ht="15" hidden="false" customHeight="false" outlineLevel="0" collapsed="false">
      <c r="A34" s="0" t="s">
        <v>137</v>
      </c>
      <c r="B34" s="0" t="n">
        <f aca="false">MAX(0,MIN(B32,B33))</f>
        <v>443318.84026299</v>
      </c>
    </row>
    <row r="35" customFormat="false" ht="15" hidden="false" customHeight="false" outlineLevel="0" collapsed="false">
      <c r="A35" s="0" t="s">
        <v>138</v>
      </c>
      <c r="B35" s="0" t="n">
        <f aca="false">B34/(1+B27/100)^L4</f>
        <v>205342.399955071</v>
      </c>
    </row>
    <row r="36" customFormat="false" ht="15" hidden="false" customHeight="false" outlineLevel="0" collapsed="false">
      <c r="A36" s="0" t="s">
        <v>139</v>
      </c>
      <c r="B36" s="0" t="n">
        <f aca="false">B30+B35</f>
        <v>312206.84729758</v>
      </c>
    </row>
    <row r="37" customFormat="false" ht="15" hidden="false" customHeight="false" outlineLevel="0" collapsed="false">
      <c r="A37" s="0" t="s">
        <v>140</v>
      </c>
      <c r="B37" s="0" t="n">
        <f aca="false">B36+Assumptions!$B$5-Assumptions!$B$4</f>
        <v>306973.84729758</v>
      </c>
    </row>
    <row r="38" customFormat="false" ht="15" hidden="false" customHeight="false" outlineLevel="0" collapsed="false">
      <c r="A38" s="0" t="s">
        <v>141</v>
      </c>
      <c r="B38" s="0" t="n">
        <f aca="false">B37/Assumptions!$B$3*Assumptions!$B$10</f>
        <v>2177.11948438</v>
      </c>
    </row>
    <row r="39" customFormat="false" ht="15" hidden="false" customHeight="false" outlineLevel="0" collapsed="false">
      <c r="A39" s="0" t="s">
        <v>142</v>
      </c>
      <c r="B39" s="4" t="n">
        <f aca="false">B38/Assumptions!$B$2-1</f>
        <v>0.0885597421900006</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2177.11948438</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222206.727341696</v>
      </c>
    </row>
    <row r="47" customFormat="false" ht="15" hidden="false" customHeight="false" outlineLevel="0" collapsed="false">
      <c r="A47" s="0" t="s">
        <v>147</v>
      </c>
      <c r="B47" s="0" t="n">
        <f aca="false">(SUMPRODUCT(C19:L19/(1+B45/100)^C4:L4)+B46/(1+B45/100)^L4+Assumptions!$B$5-Assumptions!$B$4)/Assumptions!$B$3*Assumptions!$B$10</f>
        <v>852.130476139796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1066.00732423139</v>
      </c>
      <c r="C4" s="0" t="n">
        <f aca="false">B4/Assumptions!$B$2-1</f>
        <v>-0.466996337884305</v>
      </c>
      <c r="D4" s="4" t="n">
        <f aca="false">Assumptions!$B$24</f>
        <v>0.2</v>
      </c>
      <c r="E4" s="4" t="n">
        <f aca="false">DCF_Bear!$B$43</f>
        <v>1066.00732423139</v>
      </c>
      <c r="F4" s="4" t="n">
        <f aca="false">DCF_Bear!$B$47</f>
        <v>428.039762022708</v>
      </c>
    </row>
    <row r="5" customFormat="false" ht="15" hidden="false" customHeight="false" outlineLevel="0" collapsed="false">
      <c r="A5" s="0" t="s">
        <v>156</v>
      </c>
      <c r="B5" s="4" t="n">
        <f aca="false">DCF_Base!$B$38</f>
        <v>1657.51799276838</v>
      </c>
      <c r="C5" s="0" t="n">
        <f aca="false">B5/Assumptions!$B$2-1</f>
        <v>-0.171241003615811</v>
      </c>
      <c r="D5" s="4" t="n">
        <f aca="false">Assumptions!$B$38</f>
        <v>0.5</v>
      </c>
      <c r="E5" s="4" t="n">
        <f aca="false">DCF_Base!$B$43</f>
        <v>1657.51799276838</v>
      </c>
      <c r="F5" s="4" t="n">
        <f aca="false">DCF_Base!$B$47</f>
        <v>650.932396181978</v>
      </c>
    </row>
    <row r="6" customFormat="false" ht="15" hidden="false" customHeight="false" outlineLevel="0" collapsed="false">
      <c r="A6" s="0" t="s">
        <v>157</v>
      </c>
      <c r="B6" s="4" t="n">
        <f aca="false">DCF_Bull!$B$38</f>
        <v>2177.11948438</v>
      </c>
      <c r="C6" s="0" t="n">
        <f aca="false">B6/Assumptions!$B$2-1</f>
        <v>0.0885597421900006</v>
      </c>
      <c r="D6" s="4" t="n">
        <f aca="false">Assumptions!$B$52</f>
        <v>0.3</v>
      </c>
      <c r="E6" s="4" t="n">
        <f aca="false">DCF_Bull!$B$43</f>
        <v>2177.11948438</v>
      </c>
      <c r="F6" s="4" t="n">
        <f aca="false">DCF_Bull!$B$47</f>
        <v>852.130476139796</v>
      </c>
    </row>
    <row r="8" customFormat="false" ht="15" hidden="false" customHeight="false" outlineLevel="0" collapsed="false">
      <c r="A8" s="0" t="s">
        <v>158</v>
      </c>
      <c r="B8" s="0" t="n">
        <f aca="false">SUMPRODUCT(B4:B6,D4:D6)</f>
        <v>1695.09630654447</v>
      </c>
    </row>
    <row r="9" customFormat="false" ht="15" hidden="false" customHeight="false" outlineLevel="0" collapsed="false">
      <c r="A9" s="0" t="s">
        <v>159</v>
      </c>
      <c r="B9" s="0" t="n">
        <f aca="false">SUMPRODUCT(E4:E6,D4:D6)</f>
        <v>1695.09630654447</v>
      </c>
    </row>
    <row r="10" customFormat="false" ht="15" hidden="false" customHeight="false" outlineLevel="0" collapsed="false">
      <c r="A10" s="0" t="s">
        <v>160</v>
      </c>
      <c r="B10" s="0" t="n">
        <f aca="false">1-Assumptions!$B$2/B8</f>
        <v>-0.179873964846926</v>
      </c>
    </row>
    <row r="11" customFormat="false" ht="15" hidden="false" customHeight="false" outlineLevel="0" collapsed="false">
      <c r="A11" s="0" t="s">
        <v>161</v>
      </c>
      <c r="B11" s="0" t="str">
        <f aca="false">IF(ABS(B9-B8)&gt;0.01*ABS(B8),(Assumptions!$B$2-B8)/(B9-B8)*100,"n/a")</f>
        <v>n/a</v>
      </c>
    </row>
    <row r="12" customFormat="false" ht="15" hidden="false" customHeight="false" outlineLevel="0" collapsed="false">
      <c r="A12" s="0" t="s">
        <v>162</v>
      </c>
      <c r="B12" s="0" t="n">
        <f aca="false">SUMPRODUCT(F4:F6,D4:D6)</f>
        <v>666.713293337469</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1657.51799276838</v>
      </c>
      <c r="C15" s="3" t="n">
        <v>8</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1400.36042937303</v>
      </c>
      <c r="C16" s="3" t="n">
        <v>9</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1202.14953902137</v>
      </c>
      <c r="C17" s="3" t="n">
        <v>10</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1045.10403789022</v>
      </c>
      <c r="C18" s="3" t="n">
        <v>11</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917.915040524941</v>
      </c>
      <c r="C19" s="3" t="n">
        <v>12</v>
      </c>
    </row>
    <row r="20" customFormat="false" ht="15" hidden="false" customHeight="false" outlineLevel="0" collapsed="false">
      <c r="A20" s="0" t="s">
        <v>170</v>
      </c>
      <c r="B20" s="0" t="n">
        <f aca="false">(SUMPRODUCT(DCF_Base!$C$19:$L$19/(1+$C$20/100)^DCF_Base!$C$4:$L$4)+MAX(0,MIN(IF($C$20&gt;DCF_Base!$B$28,DCF_Base!$L$19*(1+DCF_Base!$B$28/100)/(($C$20-DCF_Base!$B$28)/100),DCF_Base!$L$19*DCF_Base!$B$29),DCF_Base!$L$19*DCF_Base!$B$29))/(1+$C$20/100)^DCF_Base!$L$4+Assumptions!$B$5-Assumptions!$B$4)/Assumptions!$B$3*Assumptions!$B$10</f>
        <v>650.932396181978</v>
      </c>
      <c r="C20" s="3" t="n">
        <v>15</v>
      </c>
    </row>
    <row r="22" customFormat="false" ht="15" hidden="false" customHeight="false" outlineLevel="0" collapsed="false">
      <c r="A22" s="2" t="s">
        <v>171</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2016.08868586262</v>
      </c>
      <c r="C24" s="0" t="n">
        <f aca="false">(SUMPRODUCT(DCF_Base!$C$19:$L$19/(1+$A$24/100)^DCF_Base!$C$4:$L$4)+MAX(0,MIN(IF($A$24&gt;$C$23,DCF_Base!$L$19*(1+$C$23/100)/(($A$24-$C$23)/100),DCF_Base!$L$19*DCF_Base!$B$29),DCF_Base!$L$19*DCF_Base!$B$29))/(1+$A$24/100)^DCF_Base!$L$4+Assumptions!$B$5-Assumptions!$B$4)/Assumptions!$B$3*Assumptions!$B$10</f>
        <v>2016.08868586262</v>
      </c>
      <c r="D24" s="0" t="n">
        <f aca="false">(SUMPRODUCT(DCF_Base!$C$19:$L$19/(1+$A$24/100)^DCF_Base!$C$4:$L$4)+MAX(0,MIN(IF($A$24&gt;$D$23,DCF_Base!$L$19*(1+$D$23/100)/(($A$24-$D$23)/100),DCF_Base!$L$19*DCF_Base!$B$29),DCF_Base!$L$19*DCF_Base!$B$29))/(1+$A$24/100)^DCF_Base!$L$4+Assumptions!$B$5-Assumptions!$B$4)/Assumptions!$B$3*Assumptions!$B$10</f>
        <v>2016.08868586262</v>
      </c>
      <c r="E24" s="0" t="n">
        <f aca="false">(SUMPRODUCT(DCF_Base!$C$19:$L$19/(1+$A$24/100)^DCF_Base!$C$4:$L$4)+MAX(0,MIN(IF($A$24&gt;$E$23,DCF_Base!$L$19*(1+$E$23/100)/(($A$24-$E$23)/100),DCF_Base!$L$19*DCF_Base!$B$29),DCF_Base!$L$19*DCF_Base!$B$29))/(1+$A$24/100)^DCF_Base!$L$4+Assumptions!$B$5-Assumptions!$B$4)/Assumptions!$B$3*Assumptions!$B$10</f>
        <v>2016.08868586262</v>
      </c>
      <c r="F24" s="0" t="n">
        <f aca="false">(SUMPRODUCT(DCF_Base!$C$19:$L$19/(1+$A$24/100)^DCF_Base!$C$4:$L$4)+MAX(0,MIN(IF($A$24&gt;$F$23,DCF_Base!$L$19*(1+$F$23/100)/(($A$24-$F$23)/100),DCF_Base!$L$19*DCF_Base!$B$29),DCF_Base!$L$19*DCF_Base!$B$29))/(1+$A$24/100)^DCF_Base!$L$4+Assumptions!$B$5-Assumptions!$B$4)/Assumptions!$B$3*Assumptions!$B$10</f>
        <v>2016.08868586262</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1791.45060414783</v>
      </c>
      <c r="C25" s="0" t="n">
        <f aca="false">(SUMPRODUCT(DCF_Base!$C$19:$L$19/(1+$A$25/100)^DCF_Base!$C$4:$L$4)+MAX(0,MIN(IF($A$25&gt;$C$23,DCF_Base!$L$19*(1+$C$23/100)/(($A$25-$C$23)/100),DCF_Base!$L$19*DCF_Base!$B$29),DCF_Base!$L$19*DCF_Base!$B$29))/(1+$A$25/100)^DCF_Base!$L$4+Assumptions!$B$5-Assumptions!$B$4)/Assumptions!$B$3*Assumptions!$B$10</f>
        <v>1850.83941493455</v>
      </c>
      <c r="D25" s="0" t="n">
        <f aca="false">(SUMPRODUCT(DCF_Base!$C$19:$L$19/(1+$A$25/100)^DCF_Base!$C$4:$L$4)+MAX(0,MIN(IF($A$25&gt;$D$23,DCF_Base!$L$19*(1+$D$23/100)/(($A$25-$D$23)/100),DCF_Base!$L$19*DCF_Base!$B$29),DCF_Base!$L$19*DCF_Base!$B$29))/(1+$A$25/100)^DCF_Base!$L$4+Assumptions!$B$5-Assumptions!$B$4)/Assumptions!$B$3*Assumptions!$B$10</f>
        <v>1850.83941493455</v>
      </c>
      <c r="E25" s="0" t="n">
        <f aca="false">(SUMPRODUCT(DCF_Base!$C$19:$L$19/(1+$A$25/100)^DCF_Base!$C$4:$L$4)+MAX(0,MIN(IF($A$25&gt;$E$23,DCF_Base!$L$19*(1+$E$23/100)/(($A$25-$E$23)/100),DCF_Base!$L$19*DCF_Base!$B$29),DCF_Base!$L$19*DCF_Base!$B$29))/(1+$A$25/100)^DCF_Base!$L$4+Assumptions!$B$5-Assumptions!$B$4)/Assumptions!$B$3*Assumptions!$B$10</f>
        <v>1850.83941493455</v>
      </c>
      <c r="F25" s="0" t="n">
        <f aca="false">(SUMPRODUCT(DCF_Base!$C$19:$L$19/(1+$A$25/100)^DCF_Base!$C$4:$L$4)+MAX(0,MIN(IF($A$25&gt;$F$23,DCF_Base!$L$19*(1+$F$23/100)/(($A$25-$F$23)/100),DCF_Base!$L$19*DCF_Base!$B$29),DCF_Base!$L$19*DCF_Base!$B$29))/(1+$A$25/100)^DCF_Base!$L$4+Assumptions!$B$5-Assumptions!$B$4)/Assumptions!$B$3*Assumptions!$B$10</f>
        <v>1850.83941493455</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1511.41180301416</v>
      </c>
      <c r="C26" s="0" t="n">
        <f aca="false">(SUMPRODUCT(DCF_Base!$C$19:$L$19/(1+$A$26/100)^DCF_Base!$C$4:$L$4)+MAX(0,MIN(IF($A$26&gt;$C$23,DCF_Base!$L$19*(1+$C$23/100)/(($A$26-$C$23)/100),DCF_Base!$L$19*DCF_Base!$B$29),DCF_Base!$L$19*DCF_Base!$B$29))/(1+$A$26/100)^DCF_Base!$L$4+Assumptions!$B$5-Assumptions!$B$4)/Assumptions!$B$3*Assumptions!$B$10</f>
        <v>1579.59469156613</v>
      </c>
      <c r="D26" s="0" t="n">
        <f aca="false">(SUMPRODUCT(DCF_Base!$C$19:$L$19/(1+$A$26/100)^DCF_Base!$C$4:$L$4)+MAX(0,MIN(IF($A$26&gt;$D$23,DCF_Base!$L$19*(1+$D$23/100)/(($A$26-$D$23)/100),DCF_Base!$L$19*DCF_Base!$B$29),DCF_Base!$L$19*DCF_Base!$B$29))/(1+$A$26/100)^DCF_Base!$L$4+Assumptions!$B$5-Assumptions!$B$4)/Assumptions!$B$3*Assumptions!$B$10</f>
        <v>1657.51799276838</v>
      </c>
      <c r="E26" s="0" t="n">
        <f aca="false">(SUMPRODUCT(DCF_Base!$C$19:$L$19/(1+$A$26/100)^DCF_Base!$C$4:$L$4)+MAX(0,MIN(IF($A$26&gt;$E$23,DCF_Base!$L$19*(1+$E$23/100)/(($A$26-$E$23)/100),DCF_Base!$L$19*DCF_Base!$B$29),DCF_Base!$L$19*DCF_Base!$B$29))/(1+$A$26/100)^DCF_Base!$L$4+Assumptions!$B$5-Assumptions!$B$4)/Assumptions!$B$3*Assumptions!$B$10</f>
        <v>1700.80871565852</v>
      </c>
      <c r="F26" s="0" t="n">
        <f aca="false">(SUMPRODUCT(DCF_Base!$C$19:$L$19/(1+$A$26/100)^DCF_Base!$C$4:$L$4)+MAX(0,MIN(IF($A$26&gt;$F$23,DCF_Base!$L$19*(1+$F$23/100)/(($A$26-$F$23)/100),DCF_Base!$L$19*DCF_Base!$B$29),DCF_Base!$L$19*DCF_Base!$B$29))/(1+$A$26/100)^DCF_Base!$L$4+Assumptions!$B$5-Assumptions!$B$4)/Assumptions!$B$3*Assumptions!$B$10</f>
        <v>1700.80871565852</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1295.76818950959</v>
      </c>
      <c r="C27" s="0" t="n">
        <f aca="false">(SUMPRODUCT(DCF_Base!$C$19:$L$19/(1+$A$27/100)^DCF_Base!$C$4:$L$4)+MAX(0,MIN(IF($A$27&gt;$C$23,DCF_Base!$L$19*(1+$C$23/100)/(($A$27-$C$23)/100),DCF_Base!$L$19*DCF_Base!$B$29),DCF_Base!$L$19*DCF_Base!$B$29))/(1+$A$27/100)^DCF_Base!$L$4+Assumptions!$B$5-Assumptions!$B$4)/Assumptions!$B$3*Assumptions!$B$10</f>
        <v>1344.98806709238</v>
      </c>
      <c r="D27" s="0" t="n">
        <f aca="false">(SUMPRODUCT(DCF_Base!$C$19:$L$19/(1+$A$27/100)^DCF_Base!$C$4:$L$4)+MAX(0,MIN(IF($A$27&gt;$D$23,DCF_Base!$L$19*(1+$D$23/100)/(($A$27-$D$23)/100),DCF_Base!$L$19*DCF_Base!$B$29),DCF_Base!$L$19*DCF_Base!$B$29))/(1+$A$27/100)^DCF_Base!$L$4+Assumptions!$B$5-Assumptions!$B$4)/Assumptions!$B$3*Assumptions!$B$10</f>
        <v>1400.36042937303</v>
      </c>
      <c r="E27" s="0" t="n">
        <f aca="false">(SUMPRODUCT(DCF_Base!$C$19:$L$19/(1+$A$27/100)^DCF_Base!$C$4:$L$4)+MAX(0,MIN(IF($A$27&gt;$E$23,DCF_Base!$L$19*(1+$E$23/100)/(($A$27-$E$23)/100),DCF_Base!$L$19*DCF_Base!$B$29),DCF_Base!$L$19*DCF_Base!$B$29))/(1+$A$27/100)^DCF_Base!$L$4+Assumptions!$B$5-Assumptions!$B$4)/Assumptions!$B$3*Assumptions!$B$10</f>
        <v>1463.11577329109</v>
      </c>
      <c r="F27" s="0" t="n">
        <f aca="false">(SUMPRODUCT(DCF_Base!$C$19:$L$19/(1+$A$27/100)^DCF_Base!$C$4:$L$4)+MAX(0,MIN(IF($A$27&gt;$F$23,DCF_Base!$L$19*(1+$F$23/100)/(($A$27-$F$23)/100),DCF_Base!$L$19*DCF_Base!$B$29),DCF_Base!$L$19*DCF_Base!$B$29))/(1+$A$27/100)^DCF_Base!$L$4+Assumptions!$B$5-Assumptions!$B$4)/Assumptions!$B$3*Assumptions!$B$10</f>
        <v>1534.8361663403</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1125.07804716147</v>
      </c>
      <c r="C28" s="0" t="n">
        <f aca="false">(SUMPRODUCT(DCF_Base!$C$19:$L$19/(1+$A$28/100)^DCF_Base!$C$4:$L$4)+MAX(0,MIN(IF($A$28&gt;$C$23,DCF_Base!$L$19*(1+$C$23/100)/(($A$28-$C$23)/100),DCF_Base!$L$19*DCF_Base!$B$29),DCF_Base!$L$19*DCF_Base!$B$29))/(1+$A$28/100)^DCF_Base!$L$4+Assumptions!$B$5-Assumptions!$B$4)/Assumptions!$B$3*Assumptions!$B$10</f>
        <v>1161.58559593721</v>
      </c>
      <c r="D28" s="0" t="n">
        <f aca="false">(SUMPRODUCT(DCF_Base!$C$19:$L$19/(1+$A$28/100)^DCF_Base!$C$4:$L$4)+MAX(0,MIN(IF($A$28&gt;$D$23,DCF_Base!$L$19*(1+$D$23/100)/(($A$28-$D$23)/100),DCF_Base!$L$19*DCF_Base!$B$29),DCF_Base!$L$19*DCF_Base!$B$29))/(1+$A$28/100)^DCF_Base!$L$4+Assumptions!$B$5-Assumptions!$B$4)/Assumptions!$B$3*Assumptions!$B$10</f>
        <v>1202.14953902137</v>
      </c>
      <c r="E28" s="0" t="n">
        <f aca="false">(SUMPRODUCT(DCF_Base!$C$19:$L$19/(1+$A$28/100)^DCF_Base!$C$4:$L$4)+MAX(0,MIN(IF($A$28&gt;$E$23,DCF_Base!$L$19*(1+$E$23/100)/(($A$28-$E$23)/100),DCF_Base!$L$19*DCF_Base!$B$29),DCF_Base!$L$19*DCF_Base!$B$29))/(1+$A$28/100)^DCF_Base!$L$4+Assumptions!$B$5-Assumptions!$B$4)/Assumptions!$B$3*Assumptions!$B$10</f>
        <v>1247.48571070366</v>
      </c>
      <c r="F28" s="0" t="n">
        <f aca="false">(SUMPRODUCT(DCF_Base!$C$19:$L$19/(1+$A$28/100)^DCF_Base!$C$4:$L$4)+MAX(0,MIN(IF($A$28&gt;$F$23,DCF_Base!$L$19*(1+$F$23/100)/(($A$28-$F$23)/100),DCF_Base!$L$19*DCF_Base!$B$29),DCF_Base!$L$19*DCF_Base!$B$29))/(1+$A$28/100)^DCF_Base!$L$4+Assumptions!$B$5-Assumptions!$B$4)/Assumptions!$B$3*Assumptions!$B$10</f>
        <v>1298.48890384624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2026-10-31T02:00:10Z</dcterms:created>
  <dc:creator>openpyxl</dc:creator>
  <dc:description/>
  <dc:language>en-NZ</dc:language>
  <cp:lastModifiedBy/>
  <dcterms:modified xsi:type="dcterms:W3CDTF">2026-10-31T02:00:10Z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