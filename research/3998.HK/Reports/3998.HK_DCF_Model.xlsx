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<sst xmlns="http://schemas.openxmlformats.org/spreadsheetml/2006/main" count="368" uniqueCount="176">
  <si>
    <t xml:space="preserve">Ticker</t>
  </si>
  <si>
    <t xml:space="preserve">3998.HK</t>
  </si>
  <si>
    <t xml:space="preserve">Company</t>
  </si>
  <si>
    <t xml:space="preserve">Bosideng International Holdings Limited</t>
  </si>
  <si>
    <t xml:space="preserve">Valuation date</t>
  </si>
  <si>
    <t xml:space="preserve">2026-10-23</t>
  </si>
  <si>
    <t xml:space="preserve">Current price</t>
  </si>
  <si>
    <t xml:space="preserve">Price as of</t>
  </si>
  <si>
    <t xml:space="preserve">2026-10-23T08:08:08Z (HKEX regular close)</t>
  </si>
  <si>
    <t xml:space="preserve">Balance sheet date</t>
  </si>
  <si>
    <t xml:space="preserve">2026-03-31</t>
  </si>
  <si>
    <t xml:space="preserve">Model</t>
  </si>
  <si>
    <t xml:space="preserve">owner_fcf_dcf_component</t>
  </si>
  <si>
    <t xml:space="preserve">Currency (model)</t>
  </si>
  <si>
    <t xml:space="preserve">CNY</t>
  </si>
  <si>
    <t xml:space="preserve">Currency (quote)</t>
  </si>
  <si>
    <t xml:space="preserve">HKD</t>
  </si>
  <si>
    <t xml:space="preserve">Units</t>
  </si>
  <si>
    <t xml:space="preserve">millions</t>
  </si>
  <si>
    <t xml:space="preserve">Engine</t>
  </si>
  <si>
    <t xml:space="preserve">dcf_engine v1</t>
  </si>
  <si>
    <t xml:space="preserve">Built at</t>
  </si>
  <si>
    <t xml:space="preserve">2026-10-23T10:19:20Z</t>
  </si>
  <si>
    <t xml:space="preserve">Drivers file</t>
  </si>
  <si>
    <t xml:space="preserve">3998.HK_Drivers.json</t>
  </si>
  <si>
    <t xml:space="preserve">Convention</t>
  </si>
  <si>
    <t xml:space="preserve">Percents stored as percents; formulas divide by 100. Blue = input, green = link, black = formula.</t>
  </si>
  <si>
    <t xml:space="preserve">Methodology</t>
  </si>
  <si>
    <t xml:space="preserve">summary: Bosideng is a mature, cash-generative category leader whose value is roughly two-fifths net cash and three-fifths a 12-13% owner-FCF-margin stream growing at low-to-mid single digits. The valuation hinges on three things: whether the 24% EBITDA margin survives down-cost inflation and warm winters, how fast the China down-jacket category decelerates, and whether the RMB16.6bn of surplus financial assets (half of it bank WMPs at FVPL) is treated as shareholder cash. Leases are expensed in full (treatment B), SBC is immaterial but kept explicit, the final dividend already paid is removed from the cash pile, and a 5% PRC withholding haircut is applied to the surplus cash. The 15x terminal cap (12x in the bear case) binds in every scenario, so the valuation does not depend on a Gordon re-rating. The 80% payout ratio means most of the modelled FCF actually reaches shareholders as HKD dividends, which is what makes the HKD-per-share comparison meaningful despite the RMB flows.
key_risks_to_valuation: Weather: a warm winter directly reduces sell-through and forces discounting; two consecutive warm winters is the bear case's main axis; Raw-material cost: 90% white duck down rose ~35% through 2025; a sustained high price that cannot be passed through takes 1-2pp off the EBITDA margin; China consumer discretionary demand and property-wealth effects; the branded business is almost entirely domestic; Treatment of surplus financial assets: RMB8.7bn of bank wealth-management products are FVPL with no principal guarantee; a 10% impairment would be ~RMB0.08/share; Repatriation: surplus cash sits in PRC subsidiaries; withholding and capital-control friction could exceed the 5% haircut assumed; Non-core segment decline (OEM -8%, ladieswear -14%, diversified -34% in FY2026) continuing to dilute group growth and incur restructuring costs; RMB/HKD: per-share values are converted at 1.1746; a 5% RMB depreciation moves the HKD IV by 5%</t>
  </si>
  <si>
    <t xml:space="preserve">Data sources</t>
  </si>
  <si>
    <t xml:space="preserve">price: Yahoo Finance chart API (3998.HK) at inputs.price_as_of; 52-week range 3.55-5.37. CNY/HKD from Yahoo CNYHKD=X same day.
financials: research/3998.HK/Reports/3998.HK_Metrics.csv and the core_metrics/kpis tables (CNY millions); FY2025/26 annual report (Extracted/3998.HK_Annual_FY2025.txt -- filename is one fiscal year behind the period) for the balance sheet, cash flow statement, lease note 16/31, other-financial-assets note 26, share capital note 35(c) and MD&amp;A liquidity/taxation sections.
qualitative: research/3998.HK/Reports/3998.HK_Analysis.json (2026-10-23): business model, segment trends, weather/down-cost/tariff risks, premiumization drivers, payout policy.</t>
  </si>
  <si>
    <t xml:space="preserve">Scenario narrative: bear</t>
  </si>
  <si>
    <t xml:space="preserve">The weather turns against the model two winters running and the Chinese consumer stays cautious: FY2027 revenue is flat (the H1 FY2026 +1.4% run-rate for a full year, with OEM down double digits on tariffs and ladieswear still destocking), and growth only recovers to 2%. Duck and goose down stay expensive, pricing power at the mid-market is squeezed between Moncler/Canada Goose above and Anta/Uniqlo below, and season-end markdowns take the EBITDA margin down 2.5pp to 21.5%. Store productivity weakens so lease cost rises as a share of sales, and the terminal multiple is capped at 12x for a slower, more weather-exposed business. Even here the business is solidly profitable and the net cash pile is intact; the bear case is a de-rating of the growth story, not solvency.</t>
  </si>
  <si>
    <t xml:space="preserve">Scenario narrative: base</t>
  </si>
  <si>
    <t xml:space="preserve">Bosideng remains China's volume leader in down apparel and grows a little faster than the category: branded down apparel compounds at 7-8% for two more years while OEM, ladieswear and school uniforms keep shrinking, netting to ~5% group growth that fades to 2.5% by year 8. The EBITDA margin holds at the 24% achieved in each of FY2024-26 while 2025's duck-down cost spike is absorbed, then edges to 24.5% as AREAL/VERTEX premiumization, the exit from loss-making non-core lines and AI-led supply-chain gains outweigh rent and marketing. Capex normalises from 4% to 3% of revenue after the current flagship/warehouse build, cash tax stays at 28% because the 80%+ payout keeps PRC dividend withholding structural, and leases are expensed in full. The RMB16.6bn of surplus cash, time deposits and bank WMPs (less the final dividend already paid and a 5% repatriation haircut) is added at face. The 15x terminal cap binds.</t>
  </si>
  <si>
    <t xml:space="preserve">Scenario narrative: bull</t>
  </si>
  <si>
    <t xml:space="preserve">Premiumization works: Bosideng-brand ASP rises with Kim Jones' AREAL and Errolson Hugh's VERTEX, the Top Store programme lifts single-store productivity, Snow Flying keeps growing mid-teens at the mass end, Bogner and Moose Knuckles plus the Paris/London/Hong Kong flagships give the group a credible international leg, and OEM stabilises once tariff uncertainty settles. Group revenue grows 8% for two years (branded ~10%) and fades to 3%. Mix and pricing pass down-cost inflation through, and operating leverage plus the shrinking OEM share take the EBITDA margin to 26%. The sell-side's HK$5-6.4 targets correspond to the lower half of this case.</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</si>
  <si>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</si>
  <si>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</si>
  <si>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</si>
  <si>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</si>
  <si>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</si>
  <si>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</si>
  <si>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</si>
  <si>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</si>
  <si>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</si>
  <si>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</si>
  <si>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</si>
  <si>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</si>
  <si>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</si>
  <si>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</si>
  <si>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</si>
  <si>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</si>
  <si>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</si>
  <si>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</si>
  <si>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</si>
  <si>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</si>
  <si>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</si>
  <si>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</si>
  <si>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</si>
  <si>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</si>
  <si>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</si>
  <si>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</si>
  <si>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</si>
  <si>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Amortisation</t>
  </si>
  <si>
    <t xml:space="preserve">CapexIntangibles</t>
  </si>
  <si>
    <t xml:space="preserve">CapexPPE</t>
  </si>
  <si>
    <t xml:space="preserve">CashGeneratedFromOperations</t>
  </si>
  <si>
    <t xml:space="preserve">DividendPerShareDeclared</t>
  </si>
  <si>
    <t xml:space="preserve">EPSDiluted</t>
  </si>
  <si>
    <t xml:space="preserve">LeasePrincipalPaid</t>
  </si>
  <si>
    <t xml:space="preserve">ProfitInclNCI</t>
  </si>
  <si>
    <t xml:space="preserve">ShortTermInvestments</t>
  </si>
  <si>
    <t xml:space="preserve">StoreCount</t>
  </si>
  <si>
    <t xml:space="preserve">TimeDeposits</t>
  </si>
  <si>
    <t xml:space="preserve">TotalEquityInclNCI</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</si>
  <si>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</si>
  <si>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</si>
  <si>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</si>
  <si>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</si>
  <si>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</si>
  <si>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</si>
  <si>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</si>
  <si>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</si>
  <si>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FY2026</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</si>
  <si>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</si>
  <si>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</si>
  <si>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</si>
  <si>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</si>
  <si>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</si>
  <si>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</si>
  <si>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</si>
  <si>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</si>
  <si>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</si>
  <si>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</si>
  <si>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CNY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</si>
  <si>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</si>
  <si>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</si>
  <si>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</si>
  <si>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</si>
  <si>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</si>
  <si>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</si>
  <si>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</si>
  <si>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</si>
  <si>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</si>
  <si>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</si>
  <si>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</si>
  <si>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</si>
  <si>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</si>
  <si>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</si>
  <si>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</si>
  <si>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</si>
  <si>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</si>
  <si>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</si>
  <si>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</si>
  <si>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</si>
  <si>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</si>
  <si>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</si>
  <si>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</si>
  <si>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</si>
  <si>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</si>
  <si>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</si>
  <si>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3998.HK owner-FCF component DCF: bear case (millions, CNY)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</si>
  <si>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</si>
  <si>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</si>
  <si>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</si>
  <si>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</si>
  <si>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</si>
  <si>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</si>
  <si>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</si>
  <si>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</si>
  <si>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</si>
  <si>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</si>
  <si>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</si>
  <si>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</si>
  <si>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</si>
  <si>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</si>
  <si>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</si>
  <si>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</si>
  <si>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</si>
  <si>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</si>
  <si>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</si>
  <si>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</si>
  <si>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</si>
  <si>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</si>
  <si>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</si>
  <si>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</si>
  <si>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</si>
  <si>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</si>
  <si>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</si>
  <si>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</si>
  <si>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</si>
  <si>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</si>
  <si>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3998.HK owner-FCF component DCF: base case (millions, CNY)</t>
  </si>
  <si>
    <t xml:space="preserve">3998.HK owner-FCF component DCF: bull case (millions, CNY)</t>
  </si>
  <si>
    <t xml:space="preserve">3998.HK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</si>
  <si>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</si>
  <si>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</si>
  <si>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</si>
  <si>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</si>
  <si>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</si>
  <si>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</si>
  <si>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</si>
  <si>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</si>
  <si>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</si>
  <si>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</si>
  <si>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</si>
  <si>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</si>
  <si>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</si>
  <si>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</si>
  <si>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 (WACC)</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</si>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</sst>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4.245</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N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c r="AD1" s="2" t="s">
        <v>65</v>
      </c>
      <c r="AE1" s="2" t="s">
        <v>66</v>
      </c>
      <c r="AF1" s="2" t="s">
        <v>67</v>
      </c>
      <c r="AG1" s="2" t="s">
        <v>68</v>
      </c>
      <c r="AH1" s="2" t="s">
        <v>69</v>
      </c>
      <c r="AI1" s="2" t="s">
        <v>70</v>
      </c>
      <c r="AJ1" s="2" t="s">
        <v>71</v>
      </c>
      <c r="AK1" s="2" t="s">
        <v>72</v>
      </c>
      <c r="AL1" s="2" t="s">
        <v>73</v>
      </c>
      <c r="AM1" s="2" t="s">
        <v>74</v>
      </c>
      <c r="AN1" s="2" t="s">
        <v>75</v>
      </c>
    </row>
    <row r="2" customFormat="false" ht="15" hidden="false" customHeight="false" outlineLevel="0" collapsed="false">
      <c r="A2" s="0" t="s">
        <v>76</v>
      </c>
      <c r="B2" s="0" t="n">
        <v>8880.792</v>
      </c>
      <c r="C2" s="0" t="n">
        <v>-4761.69</v>
      </c>
      <c r="D2" s="0" t="n">
        <v>4119.102</v>
      </c>
      <c r="E2" s="0" t="n">
        <v>46.4</v>
      </c>
      <c r="F2" s="0" t="n">
        <v>923.41</v>
      </c>
      <c r="G2" s="0" t="n">
        <v>10.4</v>
      </c>
      <c r="H2" s="0" t="n">
        <v>1118.9</v>
      </c>
      <c r="I2" s="0" t="n">
        <v>615.478</v>
      </c>
      <c r="J2" s="0" t="n">
        <v>6.9</v>
      </c>
      <c r="K2" s="0" t="n">
        <v>0.0582</v>
      </c>
      <c r="L2" s="0" t="n">
        <v>1032.649</v>
      </c>
      <c r="M2" s="0" t="n">
        <v>116.756</v>
      </c>
      <c r="N2" s="0" t="n">
        <v>915.893</v>
      </c>
      <c r="O2" s="0" t="n">
        <v>9595.793</v>
      </c>
      <c r="P2" s="0" t="n">
        <v>14443.2</v>
      </c>
      <c r="Q2" s="0" t="n">
        <v>4660.432</v>
      </c>
      <c r="R2" s="0" t="n">
        <v>2338.429</v>
      </c>
      <c r="S2" s="0" t="n">
        <v>1794.051</v>
      </c>
      <c r="T2" s="0" t="n">
        <v>10619.692</v>
      </c>
      <c r="U2" s="0" t="n">
        <v>26.676</v>
      </c>
      <c r="AA2" s="0" t="s">
        <v>18</v>
      </c>
      <c r="AB2" s="0" t="s">
        <v>14</v>
      </c>
      <c r="AC2" s="0" t="n">
        <v>66.491</v>
      </c>
      <c r="AF2" s="0" t="n">
        <v>1375.659</v>
      </c>
      <c r="AH2" s="0" t="n">
        <v>0.058</v>
      </c>
      <c r="AJ2" s="0" t="n">
        <v>639.521</v>
      </c>
      <c r="AN2" s="0" t="n">
        <v>9782.768</v>
      </c>
    </row>
    <row r="3" customFormat="false" ht="15" hidden="false" customHeight="false" outlineLevel="0" collapsed="false">
      <c r="A3" s="0" t="s">
        <v>77</v>
      </c>
      <c r="B3" s="0" t="n">
        <v>10383.453</v>
      </c>
      <c r="C3" s="0" t="n">
        <v>-4869.939</v>
      </c>
      <c r="D3" s="0" t="n">
        <v>5513.514</v>
      </c>
      <c r="E3" s="0" t="n">
        <v>53.1</v>
      </c>
      <c r="F3" s="0" t="n">
        <v>1370.765</v>
      </c>
      <c r="G3" s="0" t="n">
        <v>13.2</v>
      </c>
      <c r="H3" s="0" t="n">
        <v>1597.126</v>
      </c>
      <c r="I3" s="0" t="n">
        <v>981.316</v>
      </c>
      <c r="J3" s="0" t="n">
        <v>9.5</v>
      </c>
      <c r="K3" s="0" t="n">
        <v>0.0932</v>
      </c>
      <c r="L3" s="0" t="n">
        <v>1509.439</v>
      </c>
      <c r="M3" s="0" t="n">
        <v>311.212</v>
      </c>
      <c r="N3" s="0" t="n">
        <v>1198.227</v>
      </c>
      <c r="O3" s="0" t="n">
        <v>9899.201</v>
      </c>
      <c r="P3" s="0" t="n">
        <v>15082.7</v>
      </c>
      <c r="Q3" s="0" t="n">
        <v>4973.814</v>
      </c>
      <c r="R3" s="0" t="n">
        <v>1627.72</v>
      </c>
      <c r="S3" s="0" t="n">
        <v>1754.267</v>
      </c>
      <c r="T3" s="0" t="n">
        <v>10699.242</v>
      </c>
      <c r="U3" s="0" t="n">
        <v>43.939</v>
      </c>
      <c r="AA3" s="0" t="s">
        <v>18</v>
      </c>
      <c r="AB3" s="0" t="s">
        <v>14</v>
      </c>
      <c r="AC3" s="0" t="n">
        <v>56.269</v>
      </c>
      <c r="AF3" s="0" t="n">
        <v>1868.694</v>
      </c>
      <c r="AH3" s="0" t="n">
        <v>0.0917</v>
      </c>
      <c r="AJ3" s="0" t="n">
        <v>1005.56</v>
      </c>
      <c r="AN3" s="0" t="n">
        <v>10108.886</v>
      </c>
    </row>
    <row r="4" customFormat="false" ht="15" hidden="false" customHeight="false" outlineLevel="0" collapsed="false">
      <c r="A4" s="0" t="s">
        <v>78</v>
      </c>
      <c r="B4" s="0" t="n">
        <v>12190.535</v>
      </c>
      <c r="C4" s="0" t="n">
        <v>-5481.889</v>
      </c>
      <c r="D4" s="0" t="n">
        <v>6708.646</v>
      </c>
      <c r="E4" s="0" t="n">
        <v>55</v>
      </c>
      <c r="F4" s="0" t="n">
        <v>1598.678</v>
      </c>
      <c r="G4" s="0" t="n">
        <v>13.1</v>
      </c>
      <c r="H4" s="0" t="n">
        <v>2205.06</v>
      </c>
      <c r="I4" s="0" t="n">
        <v>1203.184</v>
      </c>
      <c r="J4" s="0" t="n">
        <v>9.9</v>
      </c>
      <c r="K4" s="0" t="n">
        <v>0.1127</v>
      </c>
      <c r="L4" s="0" t="n">
        <v>1232.918</v>
      </c>
      <c r="M4" s="0" t="n">
        <v>713.628</v>
      </c>
      <c r="N4" s="0" t="n">
        <v>519.29</v>
      </c>
      <c r="O4" s="0" t="n">
        <v>10213.513</v>
      </c>
      <c r="P4" s="0" t="n">
        <v>17378.8</v>
      </c>
      <c r="Q4" s="0" t="n">
        <v>6976.175</v>
      </c>
      <c r="R4" s="0" t="n">
        <v>2488.736</v>
      </c>
      <c r="S4" s="0" t="n">
        <v>3638.68</v>
      </c>
      <c r="T4" s="0" t="n">
        <v>10881.104</v>
      </c>
      <c r="U4" s="0" t="n">
        <v>11.343</v>
      </c>
      <c r="AA4" s="0" t="s">
        <v>18</v>
      </c>
      <c r="AB4" s="0" t="s">
        <v>14</v>
      </c>
      <c r="AC4" s="0" t="n">
        <v>47.969</v>
      </c>
      <c r="AF4" s="0" t="n">
        <v>1829.695</v>
      </c>
      <c r="AH4" s="0" t="n">
        <v>0.1106</v>
      </c>
      <c r="AJ4" s="0" t="n">
        <v>1195.276</v>
      </c>
      <c r="AN4" s="0" t="n">
        <v>10402.625</v>
      </c>
    </row>
    <row r="5" customFormat="false" ht="15" hidden="false" customHeight="false" outlineLevel="0" collapsed="false">
      <c r="A5" s="0" t="s">
        <v>79</v>
      </c>
      <c r="B5" s="0" t="n">
        <v>13516.513</v>
      </c>
      <c r="C5" s="0" t="n">
        <v>-5592.247</v>
      </c>
      <c r="D5" s="0" t="n">
        <v>7924.266</v>
      </c>
      <c r="E5" s="0" t="n">
        <v>58.6</v>
      </c>
      <c r="F5" s="0" t="n">
        <v>2224.606</v>
      </c>
      <c r="G5" s="0" t="n">
        <v>16.5</v>
      </c>
      <c r="H5" s="0" t="n">
        <v>3033.721</v>
      </c>
      <c r="I5" s="0" t="n">
        <v>1709.566</v>
      </c>
      <c r="J5" s="0" t="n">
        <v>12.6</v>
      </c>
      <c r="K5" s="0" t="n">
        <v>0.1598</v>
      </c>
      <c r="L5" s="0" t="n">
        <v>3133.088</v>
      </c>
      <c r="M5" s="0" t="n">
        <v>436.619</v>
      </c>
      <c r="N5" s="0" t="n">
        <v>2696.469</v>
      </c>
      <c r="O5" s="0" t="n">
        <v>11069.114</v>
      </c>
      <c r="P5" s="0" t="n">
        <v>18956.2</v>
      </c>
      <c r="Q5" s="0" t="n">
        <v>7705.47</v>
      </c>
      <c r="R5" s="0" t="n">
        <v>2275.211</v>
      </c>
      <c r="S5" s="0" t="n">
        <v>1771.33</v>
      </c>
      <c r="T5" s="0" t="n">
        <v>11288.116</v>
      </c>
      <c r="U5" s="0" t="n">
        <v>98.663</v>
      </c>
      <c r="AA5" s="0" t="s">
        <v>18</v>
      </c>
      <c r="AB5" s="0" t="s">
        <v>14</v>
      </c>
      <c r="AC5" s="0" t="n">
        <v>36.25</v>
      </c>
      <c r="AF5" s="0" t="n">
        <v>3570.23</v>
      </c>
      <c r="AH5" s="0" t="n">
        <v>0.1577</v>
      </c>
      <c r="AI5" s="0" t="n">
        <v>355.174</v>
      </c>
      <c r="AJ5" s="0" t="n">
        <v>1704.966</v>
      </c>
      <c r="AN5" s="0" t="n">
        <v>11250.73</v>
      </c>
    </row>
    <row r="6" customFormat="false" ht="15" hidden="false" customHeight="false" outlineLevel="0" collapsed="false">
      <c r="A6" s="0" t="s">
        <v>80</v>
      </c>
      <c r="B6" s="0" t="n">
        <v>16213.608</v>
      </c>
      <c r="C6" s="0" t="n">
        <v>-6476.429</v>
      </c>
      <c r="D6" s="0" t="n">
        <v>9737.179</v>
      </c>
      <c r="E6" s="0" t="n">
        <v>60.1</v>
      </c>
      <c r="F6" s="0" t="n">
        <v>2568.847</v>
      </c>
      <c r="G6" s="0" t="n">
        <v>15.8</v>
      </c>
      <c r="H6" s="0" t="n">
        <v>3461.632</v>
      </c>
      <c r="I6" s="0" t="n">
        <v>2062.323</v>
      </c>
      <c r="J6" s="0" t="n">
        <v>12.7</v>
      </c>
      <c r="K6" s="0" t="n">
        <v>0.1914</v>
      </c>
      <c r="L6" s="0" t="n">
        <v>2670.065</v>
      </c>
      <c r="M6" s="0" t="n">
        <v>576.657</v>
      </c>
      <c r="N6" s="0" t="n">
        <v>2093.408</v>
      </c>
      <c r="O6" s="0" t="n">
        <v>12193.103</v>
      </c>
      <c r="P6" s="0" t="n">
        <v>21283.716</v>
      </c>
      <c r="Q6" s="0" t="n">
        <v>9057.276</v>
      </c>
      <c r="R6" s="0" t="n">
        <v>2533.548</v>
      </c>
      <c r="S6" s="0" t="n">
        <v>2502.563</v>
      </c>
      <c r="T6" s="0" t="n">
        <v>11343.805</v>
      </c>
      <c r="U6" s="0" t="n">
        <v>71.746</v>
      </c>
      <c r="AA6" s="0" t="s">
        <v>18</v>
      </c>
      <c r="AB6" s="0" t="s">
        <v>14</v>
      </c>
      <c r="AC6" s="0" t="n">
        <v>35.881</v>
      </c>
      <c r="AF6" s="0" t="n">
        <v>3369.618</v>
      </c>
      <c r="AG6" s="0" t="n">
        <v>0.18</v>
      </c>
      <c r="AH6" s="0" t="n">
        <v>0.1878</v>
      </c>
      <c r="AI6" s="0" t="n">
        <v>419.773</v>
      </c>
      <c r="AJ6" s="0" t="n">
        <v>2058.772</v>
      </c>
      <c r="AN6" s="0" t="n">
        <v>12226.44</v>
      </c>
    </row>
    <row r="7" customFormat="false" ht="15" hidden="false" customHeight="false" outlineLevel="0" collapsed="false">
      <c r="A7" s="0" t="s">
        <v>81</v>
      </c>
      <c r="B7" s="0" t="n">
        <v>16774.22</v>
      </c>
      <c r="C7" s="0" t="n">
        <v>-6798.344</v>
      </c>
      <c r="D7" s="0" t="n">
        <v>9975.876</v>
      </c>
      <c r="E7" s="0" t="n">
        <v>59.5</v>
      </c>
      <c r="F7" s="0" t="n">
        <v>2826.372</v>
      </c>
      <c r="G7" s="0" t="n">
        <v>16.8</v>
      </c>
      <c r="H7" s="0" t="n">
        <v>3775.801</v>
      </c>
      <c r="I7" s="0" t="n">
        <v>2138.574</v>
      </c>
      <c r="J7" s="0" t="n">
        <v>12.7</v>
      </c>
      <c r="K7" s="0" t="n">
        <v>0.1975</v>
      </c>
      <c r="L7" s="0" t="n">
        <v>3050.659</v>
      </c>
      <c r="M7" s="0" t="n">
        <v>508.164</v>
      </c>
      <c r="N7" s="0" t="n">
        <v>2542.495</v>
      </c>
      <c r="O7" s="0" t="n">
        <v>12547.111</v>
      </c>
      <c r="P7" s="0" t="n">
        <v>20942.684</v>
      </c>
      <c r="Q7" s="0" t="n">
        <v>8338.315</v>
      </c>
      <c r="R7" s="0" t="n">
        <v>2373.516</v>
      </c>
      <c r="S7" s="0" t="n">
        <v>3718.211</v>
      </c>
      <c r="T7" s="0" t="n">
        <v>11435.784</v>
      </c>
      <c r="U7" s="0" t="n">
        <v>5.957</v>
      </c>
      <c r="AA7" s="0" t="s">
        <v>18</v>
      </c>
      <c r="AB7" s="0" t="s">
        <v>14</v>
      </c>
      <c r="AC7" s="0" t="n">
        <v>35.881</v>
      </c>
      <c r="AF7" s="0" t="n">
        <v>3928.038</v>
      </c>
      <c r="AG7" s="0" t="n">
        <v>0.18</v>
      </c>
      <c r="AH7" s="0" t="n">
        <v>0.1929</v>
      </c>
      <c r="AI7" s="0" t="n">
        <v>400.389</v>
      </c>
      <c r="AJ7" s="0" t="n">
        <v>2156.383</v>
      </c>
      <c r="AN7" s="0" t="n">
        <v>12604.369</v>
      </c>
    </row>
    <row r="8" customFormat="false" ht="15" hidden="false" customHeight="false" outlineLevel="0" collapsed="false">
      <c r="A8" s="0" t="s">
        <v>82</v>
      </c>
      <c r="B8" s="0" t="n">
        <v>23214.033</v>
      </c>
      <c r="C8" s="0" t="n">
        <v>-9380.493</v>
      </c>
      <c r="D8" s="0" t="n">
        <v>13833.54</v>
      </c>
      <c r="E8" s="0" t="n">
        <v>59.6</v>
      </c>
      <c r="F8" s="0" t="n">
        <v>4397.556</v>
      </c>
      <c r="G8" s="0" t="n">
        <v>18.9</v>
      </c>
      <c r="H8" s="0" t="n">
        <v>5614.635</v>
      </c>
      <c r="I8" s="0" t="n">
        <v>3074.072</v>
      </c>
      <c r="J8" s="0" t="n">
        <v>13.2</v>
      </c>
      <c r="K8" s="0" t="n">
        <v>0.2834</v>
      </c>
      <c r="L8" s="0" t="n">
        <v>7338.782</v>
      </c>
      <c r="M8" s="0" t="n">
        <v>559.973</v>
      </c>
      <c r="N8" s="0" t="n">
        <v>6778.809</v>
      </c>
      <c r="O8" s="0" t="n">
        <v>13735.436</v>
      </c>
      <c r="P8" s="0" t="n">
        <v>25771.205</v>
      </c>
      <c r="Q8" s="0" t="n">
        <v>11951.72</v>
      </c>
      <c r="R8" s="0" t="n">
        <v>2477.959</v>
      </c>
      <c r="S8" s="0" t="n">
        <v>6227.015</v>
      </c>
      <c r="T8" s="0" t="n">
        <v>11425.719</v>
      </c>
      <c r="U8" s="0" t="n">
        <v>99.552</v>
      </c>
      <c r="AA8" s="0" t="s">
        <v>18</v>
      </c>
      <c r="AB8" s="0" t="s">
        <v>14</v>
      </c>
      <c r="AC8" s="0" t="n">
        <v>35.881</v>
      </c>
      <c r="AF8" s="0" t="n">
        <v>8746.07</v>
      </c>
      <c r="AG8" s="0" t="n">
        <v>0.25</v>
      </c>
      <c r="AH8" s="0" t="n">
        <v>0.2752</v>
      </c>
      <c r="AI8" s="0" t="n">
        <v>516.267</v>
      </c>
      <c r="AJ8" s="0" t="n">
        <v>3120.136</v>
      </c>
      <c r="AN8" s="0" t="n">
        <v>13819.485</v>
      </c>
    </row>
    <row r="9" customFormat="false" ht="15" hidden="false" customHeight="false" outlineLevel="0" collapsed="false">
      <c r="A9" s="0" t="s">
        <v>83</v>
      </c>
      <c r="B9" s="0" t="n">
        <v>25901.713</v>
      </c>
      <c r="C9" s="0" t="n">
        <v>-11061.857</v>
      </c>
      <c r="D9" s="0" t="n">
        <v>14839.856</v>
      </c>
      <c r="E9" s="0" t="n">
        <v>57.3</v>
      </c>
      <c r="F9" s="0" t="n">
        <v>4966.883</v>
      </c>
      <c r="G9" s="0" t="n">
        <v>19.2</v>
      </c>
      <c r="H9" s="0" t="n">
        <v>6193.159</v>
      </c>
      <c r="I9" s="0" t="n">
        <v>3513.913</v>
      </c>
      <c r="J9" s="0" t="n">
        <v>13.6</v>
      </c>
      <c r="K9" s="0" t="n">
        <v>0.3158</v>
      </c>
      <c r="L9" s="0" t="n">
        <v>3981.84</v>
      </c>
      <c r="M9" s="0" t="n">
        <v>1331.836</v>
      </c>
      <c r="N9" s="0" t="n">
        <v>2650.004</v>
      </c>
      <c r="O9" s="0" t="n">
        <v>16919.02</v>
      </c>
      <c r="P9" s="0" t="n">
        <v>27403.27</v>
      </c>
      <c r="Q9" s="0" t="n">
        <v>10373.071</v>
      </c>
      <c r="R9" s="0" t="n">
        <v>896.063</v>
      </c>
      <c r="S9" s="0" t="n">
        <v>4184.838</v>
      </c>
      <c r="T9" s="0" t="n">
        <v>11539.415</v>
      </c>
      <c r="U9" s="0" t="n">
        <v>161.587</v>
      </c>
      <c r="AA9" s="0" t="s">
        <v>18</v>
      </c>
      <c r="AB9" s="0" t="s">
        <v>14</v>
      </c>
      <c r="AC9" s="0" t="n">
        <v>49.537</v>
      </c>
      <c r="AD9" s="0" t="n">
        <v>67.667</v>
      </c>
      <c r="AE9" s="0" t="n">
        <v>816.178</v>
      </c>
      <c r="AF9" s="0" t="n">
        <v>5811.5</v>
      </c>
      <c r="AG9" s="0" t="n">
        <v>0.28</v>
      </c>
      <c r="AH9" s="0" t="n">
        <v>0.3083</v>
      </c>
      <c r="AI9" s="0" t="n">
        <v>562.53</v>
      </c>
      <c r="AJ9" s="0" t="n">
        <v>3552.743</v>
      </c>
      <c r="AK9" s="0" t="n">
        <v>6214.347</v>
      </c>
      <c r="AL9" s="0" t="n">
        <v>3470</v>
      </c>
      <c r="AM9" s="0" t="n">
        <v>3112.844</v>
      </c>
      <c r="AN9" s="0" t="n">
        <v>17030.199</v>
      </c>
    </row>
    <row r="10" customFormat="false" ht="15" hidden="false" customHeight="false" outlineLevel="0" collapsed="false">
      <c r="A10" s="0" t="s">
        <v>84</v>
      </c>
      <c r="B10" s="0" t="n">
        <v>27349.98</v>
      </c>
      <c r="C10" s="0" t="n">
        <v>-11699.227</v>
      </c>
      <c r="D10" s="0" t="n">
        <v>15650.753</v>
      </c>
      <c r="E10" s="0" t="n">
        <v>57.2</v>
      </c>
      <c r="F10" s="0" t="n">
        <v>5294.396</v>
      </c>
      <c r="G10" s="0" t="n">
        <v>19.4</v>
      </c>
      <c r="H10" s="0" t="n">
        <v>6574.05</v>
      </c>
      <c r="I10" s="0" t="n">
        <v>3994.378</v>
      </c>
      <c r="J10" s="0" t="n">
        <v>14.6</v>
      </c>
      <c r="K10" s="0" t="n">
        <v>0.3457</v>
      </c>
      <c r="L10" s="0" t="n">
        <v>6432.335</v>
      </c>
      <c r="M10" s="0" t="n">
        <v>1083.326</v>
      </c>
      <c r="N10" s="0" t="n">
        <v>5349.009</v>
      </c>
      <c r="O10" s="0" t="n">
        <v>18266.127</v>
      </c>
      <c r="P10" s="0" t="n">
        <v>29488.511</v>
      </c>
      <c r="Q10" s="0" t="n">
        <v>11058.979</v>
      </c>
      <c r="R10" s="0" t="n">
        <v>956.954</v>
      </c>
      <c r="S10" s="0" t="n">
        <v>2976.97</v>
      </c>
      <c r="T10" s="0" t="n">
        <v>11670.79</v>
      </c>
      <c r="U10" s="0" t="n">
        <v>46.687</v>
      </c>
      <c r="AA10" s="0" t="s">
        <v>18</v>
      </c>
      <c r="AB10" s="0" t="s">
        <v>14</v>
      </c>
      <c r="AC10" s="0" t="n">
        <v>63.153</v>
      </c>
      <c r="AD10" s="0" t="n">
        <v>129.648</v>
      </c>
      <c r="AE10" s="0" t="n">
        <v>953.678</v>
      </c>
      <c r="AF10" s="0" t="n">
        <v>8006.289</v>
      </c>
      <c r="AG10" s="0" t="n">
        <v>0.313</v>
      </c>
      <c r="AH10" s="0" t="n">
        <v>0.3423</v>
      </c>
      <c r="AI10" s="0" t="n">
        <v>514.344</v>
      </c>
      <c r="AJ10" s="0" t="n">
        <v>4047.065</v>
      </c>
      <c r="AK10" s="0" t="n">
        <v>8135.702</v>
      </c>
      <c r="AL10" s="0" t="n">
        <v>3647</v>
      </c>
      <c r="AM10" s="0" t="n">
        <v>4870.735</v>
      </c>
      <c r="AN10" s="0" t="n">
        <v>18429.532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85</v>
      </c>
      <c r="B1" s="2" t="s">
        <v>86</v>
      </c>
    </row>
    <row r="2" customFormat="false" ht="15" hidden="false" customHeight="false" outlineLevel="0" collapsed="false">
      <c r="A2" s="0" t="s">
        <v>87</v>
      </c>
      <c r="B2" s="3" t="n">
        <v>4.245</v>
      </c>
    </row>
    <row r="3" customFormat="false" ht="15" hidden="false" customHeight="false" outlineLevel="0" collapsed="false">
      <c r="A3" s="0" t="s">
        <v>88</v>
      </c>
      <c r="B3" s="3" t="n">
        <v>11689</v>
      </c>
    </row>
    <row r="4" customFormat="false" ht="15" hidden="false" customHeight="false" outlineLevel="0" collapsed="false">
      <c r="A4" s="0" t="s">
        <v>89</v>
      </c>
      <c r="B4" s="3" t="n">
        <v>-15599.3</v>
      </c>
    </row>
    <row r="5" customFormat="false" ht="15" hidden="false" customHeight="false" outlineLevel="0" collapsed="false">
      <c r="A5" s="0" t="s">
        <v>90</v>
      </c>
      <c r="B5" s="3" t="n">
        <v>-2922.4</v>
      </c>
    </row>
    <row r="6" customFormat="false" ht="15" hidden="false" customHeight="false" outlineLevel="0" collapsed="false">
      <c r="A6" s="0" t="s">
        <v>91</v>
      </c>
      <c r="B6" s="3" t="n">
        <v>15</v>
      </c>
    </row>
    <row r="7" customFormat="false" ht="15" hidden="false" customHeight="false" outlineLevel="0" collapsed="false">
      <c r="A7" s="0" t="s">
        <v>92</v>
      </c>
      <c r="B7" s="3" t="n">
        <v>27349.98</v>
      </c>
    </row>
    <row r="8" customFormat="false" ht="15" hidden="false" customHeight="false" outlineLevel="0" collapsed="false">
      <c r="A8" s="0" t="s">
        <v>93</v>
      </c>
      <c r="B8" s="3" t="s">
        <v>84</v>
      </c>
    </row>
    <row r="9" customFormat="false" ht="15" hidden="false" customHeight="false" outlineLevel="0" collapsed="false">
      <c r="A9" s="0" t="s">
        <v>94</v>
      </c>
      <c r="B9" s="3" t="s">
        <v>95</v>
      </c>
    </row>
    <row r="10" customFormat="false" ht="15" hidden="false" customHeight="false" outlineLevel="0" collapsed="false">
      <c r="A10" s="0" t="s">
        <v>96</v>
      </c>
      <c r="B10" s="3" t="n">
        <v>1.1746</v>
      </c>
    </row>
    <row r="12" customFormat="false" ht="15" hidden="false" customHeight="false" outlineLevel="0" collapsed="false">
      <c r="A12" s="2" t="s">
        <v>97</v>
      </c>
      <c r="C12" s="2" t="s">
        <v>98</v>
      </c>
      <c r="D12" s="2" t="s">
        <v>99</v>
      </c>
      <c r="E12" s="2" t="s">
        <v>100</v>
      </c>
      <c r="F12" s="2" t="s">
        <v>101</v>
      </c>
      <c r="G12" s="2" t="s">
        <v>102</v>
      </c>
      <c r="H12" s="2" t="s">
        <v>103</v>
      </c>
      <c r="I12" s="2" t="s">
        <v>104</v>
      </c>
      <c r="J12" s="2" t="s">
        <v>105</v>
      </c>
      <c r="K12" s="2" t="s">
        <v>106</v>
      </c>
      <c r="L12" s="2" t="s">
        <v>107</v>
      </c>
    </row>
    <row r="13" customFormat="false" ht="15" hidden="false" customHeight="false" outlineLevel="0" collapsed="false">
      <c r="A13" s="0" t="s">
        <v>108</v>
      </c>
      <c r="C13" s="3" t="n">
        <v>0</v>
      </c>
      <c r="D13" s="3" t="n">
        <v>1</v>
      </c>
      <c r="E13" s="3" t="n">
        <v>1.5</v>
      </c>
      <c r="F13" s="3" t="n">
        <v>2</v>
      </c>
      <c r="G13" s="3" t="n">
        <v>2</v>
      </c>
      <c r="H13" s="3" t="n">
        <v>2</v>
      </c>
      <c r="I13" s="3" t="n">
        <v>2</v>
      </c>
      <c r="J13" s="3" t="n">
        <v>2</v>
      </c>
      <c r="K13" s="3" t="n">
        <v>2</v>
      </c>
      <c r="L13" s="3" t="n">
        <v>2</v>
      </c>
    </row>
    <row r="14" customFormat="false" ht="15" hidden="false" customHeight="false" outlineLevel="0" collapsed="false">
      <c r="A14" s="0" t="s">
        <v>109</v>
      </c>
      <c r="C14" s="3" t="n">
        <v>22.5</v>
      </c>
      <c r="D14" s="3" t="n">
        <v>22</v>
      </c>
      <c r="E14" s="3" t="n">
        <v>21.5</v>
      </c>
      <c r="F14" s="3" t="n">
        <v>21.5</v>
      </c>
      <c r="G14" s="3" t="n">
        <v>21.5</v>
      </c>
      <c r="H14" s="3" t="n">
        <v>21.5</v>
      </c>
      <c r="I14" s="3" t="n">
        <v>21.5</v>
      </c>
      <c r="J14" s="3" t="n">
        <v>21.5</v>
      </c>
      <c r="K14" s="3" t="n">
        <v>21.5</v>
      </c>
      <c r="L14" s="3" t="n">
        <v>21.5</v>
      </c>
    </row>
    <row r="15" customFormat="false" ht="15" hidden="false" customHeight="false" outlineLevel="0" collapsed="false">
      <c r="A15" s="0" t="s">
        <v>110</v>
      </c>
      <c r="C15" s="3" t="n">
        <v>0.4</v>
      </c>
      <c r="D15" s="3" t="n">
        <v>0.4</v>
      </c>
      <c r="E15" s="3" t="n">
        <v>0.4</v>
      </c>
      <c r="F15" s="3" t="n">
        <v>0.4</v>
      </c>
      <c r="G15" s="3" t="n">
        <v>0.4</v>
      </c>
      <c r="H15" s="3" t="n">
        <v>0.4</v>
      </c>
      <c r="I15" s="3" t="n">
        <v>0.4</v>
      </c>
      <c r="J15" s="3" t="n">
        <v>0.4</v>
      </c>
      <c r="K15" s="3" t="n">
        <v>0.4</v>
      </c>
      <c r="L15" s="3" t="n">
        <v>0.4</v>
      </c>
    </row>
    <row r="16" customFormat="false" ht="15" hidden="false" customHeight="false" outlineLevel="0" collapsed="false">
      <c r="A16" s="0" t="s">
        <v>111</v>
      </c>
      <c r="C16" s="3" t="n">
        <v>2.3</v>
      </c>
      <c r="D16" s="3" t="n">
        <v>2.3</v>
      </c>
      <c r="E16" s="3" t="n">
        <v>2.3</v>
      </c>
      <c r="F16" s="3" t="n">
        <v>2.3</v>
      </c>
      <c r="G16" s="3" t="n">
        <v>2.3</v>
      </c>
      <c r="H16" s="3" t="n">
        <v>2.3</v>
      </c>
      <c r="I16" s="3" t="n">
        <v>2.3</v>
      </c>
      <c r="J16" s="3" t="n">
        <v>2.3</v>
      </c>
      <c r="K16" s="3" t="n">
        <v>2.3</v>
      </c>
      <c r="L16" s="3" t="n">
        <v>2.3</v>
      </c>
    </row>
    <row r="17" customFormat="false" ht="15" hidden="false" customHeight="false" outlineLevel="0" collapsed="false">
      <c r="A17" s="0" t="s">
        <v>112</v>
      </c>
      <c r="C17" s="3" t="n">
        <v>2.7</v>
      </c>
      <c r="D17" s="3" t="n">
        <v>2.7</v>
      </c>
      <c r="E17" s="3" t="n">
        <v>2.7</v>
      </c>
      <c r="F17" s="3" t="n">
        <v>2.7</v>
      </c>
      <c r="G17" s="3" t="n">
        <v>2.7</v>
      </c>
      <c r="H17" s="3" t="n">
        <v>2.7</v>
      </c>
      <c r="I17" s="3" t="n">
        <v>2.7</v>
      </c>
      <c r="J17" s="3" t="n">
        <v>2.7</v>
      </c>
      <c r="K17" s="3" t="n">
        <v>2.7</v>
      </c>
      <c r="L17" s="3" t="n">
        <v>2.7</v>
      </c>
    </row>
    <row r="18" customFormat="false" ht="15" hidden="false" customHeight="false" outlineLevel="0" collapsed="false">
      <c r="A18" s="0" t="s">
        <v>113</v>
      </c>
      <c r="C18" s="3" t="n">
        <v>3.5</v>
      </c>
      <c r="D18" s="3" t="n">
        <v>3.3</v>
      </c>
      <c r="E18" s="3" t="n">
        <v>3.1</v>
      </c>
      <c r="F18" s="3" t="n">
        <v>3</v>
      </c>
      <c r="G18" s="3" t="n">
        <v>3</v>
      </c>
      <c r="H18" s="3" t="n">
        <v>3</v>
      </c>
      <c r="I18" s="3" t="n">
        <v>3</v>
      </c>
      <c r="J18" s="3" t="n">
        <v>3</v>
      </c>
      <c r="K18" s="3" t="n">
        <v>3</v>
      </c>
      <c r="L18" s="3" t="n">
        <v>3</v>
      </c>
    </row>
    <row r="19" customFormat="false" ht="15" hidden="false" customHeight="false" outlineLevel="0" collapsed="false">
      <c r="A19" s="0" t="s">
        <v>114</v>
      </c>
      <c r="C19" s="3" t="n">
        <v>29</v>
      </c>
      <c r="D19" s="3" t="n">
        <v>29</v>
      </c>
      <c r="E19" s="3" t="n">
        <v>29</v>
      </c>
      <c r="F19" s="3" t="n">
        <v>29</v>
      </c>
      <c r="G19" s="3" t="n">
        <v>29</v>
      </c>
      <c r="H19" s="3" t="n">
        <v>29</v>
      </c>
      <c r="I19" s="3" t="n">
        <v>29</v>
      </c>
      <c r="J19" s="3" t="n">
        <v>29</v>
      </c>
      <c r="K19" s="3" t="n">
        <v>29</v>
      </c>
      <c r="L19" s="3" t="n">
        <v>29</v>
      </c>
    </row>
    <row r="20" customFormat="false" ht="15" hidden="false" customHeight="false" outlineLevel="0" collapsed="false">
      <c r="A20" s="0" t="s">
        <v>115</v>
      </c>
      <c r="B20" s="3" t="n">
        <v>9</v>
      </c>
    </row>
    <row r="21" customFormat="false" ht="15" hidden="false" customHeight="false" outlineLevel="0" collapsed="false">
      <c r="A21" s="0" t="s">
        <v>116</v>
      </c>
      <c r="B21" s="3" t="n">
        <v>2</v>
      </c>
    </row>
    <row r="22" customFormat="false" ht="15" hidden="false" customHeight="false" outlineLevel="0" collapsed="false">
      <c r="A22" s="0" t="s">
        <v>117</v>
      </c>
      <c r="B22" s="3" t="n">
        <v>12</v>
      </c>
    </row>
    <row r="23" customFormat="false" ht="15" hidden="false" customHeight="false" outlineLevel="0" collapsed="false">
      <c r="A23" s="0" t="s">
        <v>118</v>
      </c>
      <c r="B23" s="3" t="n">
        <v>-5</v>
      </c>
    </row>
    <row r="24" customFormat="false" ht="15" hidden="false" customHeight="false" outlineLevel="0" collapsed="false">
      <c r="A24" s="0" t="s">
        <v>119</v>
      </c>
      <c r="B24" s="3" t="n">
        <v>0.25</v>
      </c>
    </row>
    <row r="26" customFormat="false" ht="15" hidden="false" customHeight="false" outlineLevel="0" collapsed="false">
      <c r="A26" s="2" t="s">
        <v>120</v>
      </c>
      <c r="C26" s="2" t="s">
        <v>98</v>
      </c>
      <c r="D26" s="2" t="s">
        <v>99</v>
      </c>
      <c r="E26" s="2" t="s">
        <v>100</v>
      </c>
      <c r="F26" s="2" t="s">
        <v>101</v>
      </c>
      <c r="G26" s="2" t="s">
        <v>102</v>
      </c>
      <c r="H26" s="2" t="s">
        <v>103</v>
      </c>
      <c r="I26" s="2" t="s">
        <v>104</v>
      </c>
      <c r="J26" s="2" t="s">
        <v>105</v>
      </c>
      <c r="K26" s="2" t="s">
        <v>106</v>
      </c>
      <c r="L26" s="2" t="s">
        <v>107</v>
      </c>
    </row>
    <row r="27" customFormat="false" ht="15" hidden="false" customHeight="false" outlineLevel="0" collapsed="false">
      <c r="A27" s="0" t="s">
        <v>108</v>
      </c>
      <c r="C27" s="3" t="n">
        <v>5</v>
      </c>
      <c r="D27" s="3" t="n">
        <v>5</v>
      </c>
      <c r="E27" s="3" t="n">
        <v>4.5</v>
      </c>
      <c r="F27" s="3" t="n">
        <v>4</v>
      </c>
      <c r="G27" s="3" t="n">
        <v>3.5</v>
      </c>
      <c r="H27" s="3" t="n">
        <v>3</v>
      </c>
      <c r="I27" s="3" t="n">
        <v>3</v>
      </c>
      <c r="J27" s="3" t="n">
        <v>2.5</v>
      </c>
      <c r="K27" s="3" t="n">
        <v>2.5</v>
      </c>
      <c r="L27" s="3" t="n">
        <v>2.5</v>
      </c>
    </row>
    <row r="28" customFormat="false" ht="15" hidden="false" customHeight="false" outlineLevel="0" collapsed="false">
      <c r="A28" s="0" t="s">
        <v>109</v>
      </c>
      <c r="C28" s="3" t="n">
        <v>24</v>
      </c>
      <c r="D28" s="3" t="n">
        <v>24</v>
      </c>
      <c r="E28" s="3" t="n">
        <v>24.2</v>
      </c>
      <c r="F28" s="3" t="n">
        <v>24.2</v>
      </c>
      <c r="G28" s="3" t="n">
        <v>24.4</v>
      </c>
      <c r="H28" s="3" t="n">
        <v>24.4</v>
      </c>
      <c r="I28" s="3" t="n">
        <v>24.5</v>
      </c>
      <c r="J28" s="3" t="n">
        <v>24.5</v>
      </c>
      <c r="K28" s="3" t="n">
        <v>24.5</v>
      </c>
      <c r="L28" s="3" t="n">
        <v>24.5</v>
      </c>
    </row>
    <row r="29" customFormat="false" ht="15" hidden="false" customHeight="false" outlineLevel="0" collapsed="false">
      <c r="A29" s="0" t="s">
        <v>110</v>
      </c>
      <c r="C29" s="3" t="n">
        <v>0.4</v>
      </c>
      <c r="D29" s="3" t="n">
        <v>0.4</v>
      </c>
      <c r="E29" s="3" t="n">
        <v>0.4</v>
      </c>
      <c r="F29" s="3" t="n">
        <v>0.4</v>
      </c>
      <c r="G29" s="3" t="n">
        <v>0.4</v>
      </c>
      <c r="H29" s="3" t="n">
        <v>0.4</v>
      </c>
      <c r="I29" s="3" t="n">
        <v>0.4</v>
      </c>
      <c r="J29" s="3" t="n">
        <v>0.4</v>
      </c>
      <c r="K29" s="3" t="n">
        <v>0.4</v>
      </c>
      <c r="L29" s="3" t="n">
        <v>0.4</v>
      </c>
    </row>
    <row r="30" customFormat="false" ht="15" hidden="false" customHeight="false" outlineLevel="0" collapsed="false">
      <c r="A30" s="0" t="s">
        <v>111</v>
      </c>
      <c r="C30" s="3" t="n">
        <v>2.1</v>
      </c>
      <c r="D30" s="3" t="n">
        <v>2.1</v>
      </c>
      <c r="E30" s="3" t="n">
        <v>2.1</v>
      </c>
      <c r="F30" s="3" t="n">
        <v>2.1</v>
      </c>
      <c r="G30" s="3" t="n">
        <v>2.1</v>
      </c>
      <c r="H30" s="3" t="n">
        <v>2.1</v>
      </c>
      <c r="I30" s="3" t="n">
        <v>2.1</v>
      </c>
      <c r="J30" s="3" t="n">
        <v>2.1</v>
      </c>
      <c r="K30" s="3" t="n">
        <v>2.1</v>
      </c>
      <c r="L30" s="3" t="n">
        <v>2.1</v>
      </c>
    </row>
    <row r="31" customFormat="false" ht="15" hidden="false" customHeight="false" outlineLevel="0" collapsed="false">
      <c r="A31" s="0" t="s">
        <v>112</v>
      </c>
      <c r="C31" s="3" t="n">
        <v>2.6</v>
      </c>
      <c r="D31" s="3" t="n">
        <v>2.6</v>
      </c>
      <c r="E31" s="3" t="n">
        <v>2.6</v>
      </c>
      <c r="F31" s="3" t="n">
        <v>2.6</v>
      </c>
      <c r="G31" s="3" t="n">
        <v>2.6</v>
      </c>
      <c r="H31" s="3" t="n">
        <v>2.6</v>
      </c>
      <c r="I31" s="3" t="n">
        <v>2.6</v>
      </c>
      <c r="J31" s="3" t="n">
        <v>2.6</v>
      </c>
      <c r="K31" s="3" t="n">
        <v>2.6</v>
      </c>
      <c r="L31" s="3" t="n">
        <v>2.6</v>
      </c>
    </row>
    <row r="32" customFormat="false" ht="15" hidden="false" customHeight="false" outlineLevel="0" collapsed="false">
      <c r="A32" s="0" t="s">
        <v>113</v>
      </c>
      <c r="C32" s="3" t="n">
        <v>3.5</v>
      </c>
      <c r="D32" s="3" t="n">
        <v>3.5</v>
      </c>
      <c r="E32" s="3" t="n">
        <v>3.4</v>
      </c>
      <c r="F32" s="3" t="n">
        <v>3.3</v>
      </c>
      <c r="G32" s="3" t="n">
        <v>3.2</v>
      </c>
      <c r="H32" s="3" t="n">
        <v>3.1</v>
      </c>
      <c r="I32" s="3" t="n">
        <v>3</v>
      </c>
      <c r="J32" s="3" t="n">
        <v>3</v>
      </c>
      <c r="K32" s="3" t="n">
        <v>3</v>
      </c>
      <c r="L32" s="3" t="n">
        <v>3</v>
      </c>
    </row>
    <row r="33" customFormat="false" ht="15" hidden="false" customHeight="false" outlineLevel="0" collapsed="false">
      <c r="A33" s="0" t="s">
        <v>114</v>
      </c>
      <c r="C33" s="3" t="n">
        <v>28</v>
      </c>
      <c r="D33" s="3" t="n">
        <v>28</v>
      </c>
      <c r="E33" s="3" t="n">
        <v>28</v>
      </c>
      <c r="F33" s="3" t="n">
        <v>28</v>
      </c>
      <c r="G33" s="3" t="n">
        <v>28</v>
      </c>
      <c r="H33" s="3" t="n">
        <v>28</v>
      </c>
      <c r="I33" s="3" t="n">
        <v>28</v>
      </c>
      <c r="J33" s="3" t="n">
        <v>28</v>
      </c>
      <c r="K33" s="3" t="n">
        <v>28</v>
      </c>
      <c r="L33" s="3" t="n">
        <v>28</v>
      </c>
    </row>
    <row r="34" customFormat="false" ht="15" hidden="false" customHeight="false" outlineLevel="0" collapsed="false">
      <c r="A34" s="0" t="s">
        <v>115</v>
      </c>
      <c r="B34" s="3" t="n">
        <v>9</v>
      </c>
    </row>
    <row r="35" customFormat="false" ht="15" hidden="false" customHeight="false" outlineLevel="0" collapsed="false">
      <c r="A35" s="0" t="s">
        <v>116</v>
      </c>
      <c r="B35" s="3" t="n">
        <v>2.5</v>
      </c>
    </row>
    <row r="36" customFormat="false" ht="15" hidden="false" customHeight="false" outlineLevel="0" collapsed="false">
      <c r="A36" s="0" t="s">
        <v>117</v>
      </c>
      <c r="B36" s="3" t="n">
        <v>15</v>
      </c>
    </row>
    <row r="37" customFormat="false" ht="15" hidden="false" customHeight="false" outlineLevel="0" collapsed="false">
      <c r="A37" s="0" t="s">
        <v>118</v>
      </c>
      <c r="B37" s="3" t="n">
        <v>0</v>
      </c>
    </row>
    <row r="38" customFormat="false" ht="15" hidden="false" customHeight="false" outlineLevel="0" collapsed="false">
      <c r="A38" s="0" t="s">
        <v>119</v>
      </c>
      <c r="B38" s="3" t="n">
        <v>0.5</v>
      </c>
    </row>
    <row r="40" customFormat="false" ht="15" hidden="false" customHeight="false" outlineLevel="0" collapsed="false">
      <c r="A40" s="2" t="s">
        <v>121</v>
      </c>
      <c r="C40" s="2" t="s">
        <v>98</v>
      </c>
      <c r="D40" s="2" t="s">
        <v>99</v>
      </c>
      <c r="E40" s="2" t="s">
        <v>100</v>
      </c>
      <c r="F40" s="2" t="s">
        <v>101</v>
      </c>
      <c r="G40" s="2" t="s">
        <v>102</v>
      </c>
      <c r="H40" s="2" t="s">
        <v>103</v>
      </c>
      <c r="I40" s="2" t="s">
        <v>104</v>
      </c>
      <c r="J40" s="2" t="s">
        <v>105</v>
      </c>
      <c r="K40" s="2" t="s">
        <v>106</v>
      </c>
      <c r="L40" s="2" t="s">
        <v>107</v>
      </c>
    </row>
    <row r="41" customFormat="false" ht="15" hidden="false" customHeight="false" outlineLevel="0" collapsed="false">
      <c r="A41" s="0" t="s">
        <v>108</v>
      </c>
      <c r="C41" s="3" t="n">
        <v>8</v>
      </c>
      <c r="D41" s="3" t="n">
        <v>8</v>
      </c>
      <c r="E41" s="3" t="n">
        <v>7.5</v>
      </c>
      <c r="F41" s="3" t="n">
        <v>7</v>
      </c>
      <c r="G41" s="3" t="n">
        <v>6</v>
      </c>
      <c r="H41" s="3" t="n">
        <v>5</v>
      </c>
      <c r="I41" s="3" t="n">
        <v>4.5</v>
      </c>
      <c r="J41" s="3" t="n">
        <v>4</v>
      </c>
      <c r="K41" s="3" t="n">
        <v>3.5</v>
      </c>
      <c r="L41" s="3" t="n">
        <v>3</v>
      </c>
    </row>
    <row r="42" customFormat="false" ht="15" hidden="false" customHeight="false" outlineLevel="0" collapsed="false">
      <c r="A42" s="0" t="s">
        <v>109</v>
      </c>
      <c r="C42" s="3" t="n">
        <v>24.5</v>
      </c>
      <c r="D42" s="3" t="n">
        <v>24.8</v>
      </c>
      <c r="E42" s="3" t="n">
        <v>25.1</v>
      </c>
      <c r="F42" s="3" t="n">
        <v>25.4</v>
      </c>
      <c r="G42" s="3" t="n">
        <v>25.7</v>
      </c>
      <c r="H42" s="3" t="n">
        <v>26</v>
      </c>
      <c r="I42" s="3" t="n">
        <v>26</v>
      </c>
      <c r="J42" s="3" t="n">
        <v>26</v>
      </c>
      <c r="K42" s="3" t="n">
        <v>26</v>
      </c>
      <c r="L42" s="3" t="n">
        <v>26</v>
      </c>
    </row>
    <row r="43" customFormat="false" ht="15" hidden="false" customHeight="false" outlineLevel="0" collapsed="false">
      <c r="A43" s="0" t="s">
        <v>110</v>
      </c>
      <c r="C43" s="3" t="n">
        <v>0.4</v>
      </c>
      <c r="D43" s="3" t="n">
        <v>0.4</v>
      </c>
      <c r="E43" s="3" t="n">
        <v>0.4</v>
      </c>
      <c r="F43" s="3" t="n">
        <v>0.4</v>
      </c>
      <c r="G43" s="3" t="n">
        <v>0.4</v>
      </c>
      <c r="H43" s="3" t="n">
        <v>0.4</v>
      </c>
      <c r="I43" s="3" t="n">
        <v>0.4</v>
      </c>
      <c r="J43" s="3" t="n">
        <v>0.4</v>
      </c>
      <c r="K43" s="3" t="n">
        <v>0.4</v>
      </c>
      <c r="L43" s="3" t="n">
        <v>0.4</v>
      </c>
    </row>
    <row r="44" customFormat="false" ht="15" hidden="false" customHeight="false" outlineLevel="0" collapsed="false">
      <c r="A44" s="0" t="s">
        <v>111</v>
      </c>
      <c r="C44" s="3" t="n">
        <v>2</v>
      </c>
      <c r="D44" s="3" t="n">
        <v>2</v>
      </c>
      <c r="E44" s="3" t="n">
        <v>2</v>
      </c>
      <c r="F44" s="3" t="n">
        <v>2</v>
      </c>
      <c r="G44" s="3" t="n">
        <v>2</v>
      </c>
      <c r="H44" s="3" t="n">
        <v>2</v>
      </c>
      <c r="I44" s="3" t="n">
        <v>2</v>
      </c>
      <c r="J44" s="3" t="n">
        <v>2</v>
      </c>
      <c r="K44" s="3" t="n">
        <v>2</v>
      </c>
      <c r="L44" s="3" t="n">
        <v>2</v>
      </c>
    </row>
    <row r="45" customFormat="false" ht="15" hidden="false" customHeight="false" outlineLevel="0" collapsed="false">
      <c r="A45" s="0" t="s">
        <v>112</v>
      </c>
      <c r="C45" s="3" t="n">
        <v>2.6</v>
      </c>
      <c r="D45" s="3" t="n">
        <v>2.6</v>
      </c>
      <c r="E45" s="3" t="n">
        <v>2.6</v>
      </c>
      <c r="F45" s="3" t="n">
        <v>2.6</v>
      </c>
      <c r="G45" s="3" t="n">
        <v>2.6</v>
      </c>
      <c r="H45" s="3" t="n">
        <v>2.6</v>
      </c>
      <c r="I45" s="3" t="n">
        <v>2.6</v>
      </c>
      <c r="J45" s="3" t="n">
        <v>2.6</v>
      </c>
      <c r="K45" s="3" t="n">
        <v>2.6</v>
      </c>
      <c r="L45" s="3" t="n">
        <v>2.6</v>
      </c>
    </row>
    <row r="46" customFormat="false" ht="15" hidden="false" customHeight="false" outlineLevel="0" collapsed="false">
      <c r="A46" s="0" t="s">
        <v>113</v>
      </c>
      <c r="C46" s="3" t="n">
        <v>3.5</v>
      </c>
      <c r="D46" s="3" t="n">
        <v>3.5</v>
      </c>
      <c r="E46" s="3" t="n">
        <v>3.5</v>
      </c>
      <c r="F46" s="3" t="n">
        <v>3.5</v>
      </c>
      <c r="G46" s="3" t="n">
        <v>3.5</v>
      </c>
      <c r="H46" s="3" t="n">
        <v>3.5</v>
      </c>
      <c r="I46" s="3" t="n">
        <v>3.5</v>
      </c>
      <c r="J46" s="3" t="n">
        <v>3.5</v>
      </c>
      <c r="K46" s="3" t="n">
        <v>3.5</v>
      </c>
      <c r="L46" s="3" t="n">
        <v>3.5</v>
      </c>
    </row>
    <row r="47" customFormat="false" ht="15" hidden="false" customHeight="false" outlineLevel="0" collapsed="false">
      <c r="A47" s="0" t="s">
        <v>114</v>
      </c>
      <c r="C47" s="3" t="n">
        <v>27</v>
      </c>
      <c r="D47" s="3" t="n">
        <v>27</v>
      </c>
      <c r="E47" s="3" t="n">
        <v>27</v>
      </c>
      <c r="F47" s="3" t="n">
        <v>27</v>
      </c>
      <c r="G47" s="3" t="n">
        <v>27</v>
      </c>
      <c r="H47" s="3" t="n">
        <v>27</v>
      </c>
      <c r="I47" s="3" t="n">
        <v>27</v>
      </c>
      <c r="J47" s="3" t="n">
        <v>27</v>
      </c>
      <c r="K47" s="3" t="n">
        <v>27</v>
      </c>
      <c r="L47" s="3" t="n">
        <v>27</v>
      </c>
    </row>
    <row r="48" customFormat="false" ht="15" hidden="false" customHeight="false" outlineLevel="0" collapsed="false">
      <c r="A48" s="0" t="s">
        <v>115</v>
      </c>
      <c r="B48" s="3" t="n">
        <v>9</v>
      </c>
    </row>
    <row r="49" customFormat="false" ht="15" hidden="false" customHeight="false" outlineLevel="0" collapsed="false">
      <c r="A49" s="0" t="s">
        <v>116</v>
      </c>
      <c r="B49" s="3" t="n">
        <v>3</v>
      </c>
    </row>
    <row r="50" customFormat="false" ht="15" hidden="false" customHeight="false" outlineLevel="0" collapsed="false">
      <c r="A50" s="0" t="s">
        <v>117</v>
      </c>
      <c r="B50" s="3" t="n">
        <v>15</v>
      </c>
    </row>
    <row r="51" customFormat="false" ht="15" hidden="false" customHeight="false" outlineLevel="0" collapsed="false">
      <c r="A51" s="0" t="s">
        <v>118</v>
      </c>
      <c r="B51" s="3" t="n">
        <v>5</v>
      </c>
    </row>
    <row r="52" customFormat="false" ht="15" hidden="false" customHeight="false" outlineLevel="0" collapsed="false">
      <c r="A52" s="0" t="s">
        <v>119</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122</v>
      </c>
    </row>
    <row r="3" customFormat="false" ht="15" hidden="false" customHeight="false" outlineLevel="0" collapsed="false">
      <c r="A3" s="0" t="s">
        <v>123</v>
      </c>
      <c r="B3" s="0" t="s">
        <v>84</v>
      </c>
      <c r="C3" s="2" t="s">
        <v>98</v>
      </c>
      <c r="D3" s="2" t="s">
        <v>99</v>
      </c>
      <c r="E3" s="2" t="s">
        <v>100</v>
      </c>
      <c r="F3" s="2" t="s">
        <v>101</v>
      </c>
      <c r="G3" s="2" t="s">
        <v>102</v>
      </c>
      <c r="H3" s="2" t="s">
        <v>103</v>
      </c>
      <c r="I3" s="2" t="s">
        <v>104</v>
      </c>
      <c r="J3" s="2" t="s">
        <v>105</v>
      </c>
      <c r="K3" s="2" t="s">
        <v>106</v>
      </c>
      <c r="L3" s="2" t="s">
        <v>107</v>
      </c>
    </row>
    <row r="4" customFormat="false" ht="15" hidden="false" customHeight="false" outlineLevel="0" collapsed="false">
      <c r="A4" s="0" t="s">
        <v>124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108</v>
      </c>
      <c r="C5" s="4" t="n">
        <f aca="false">Assumptions!C13</f>
        <v>0</v>
      </c>
      <c r="D5" s="4" t="n">
        <f aca="false">Assumptions!D13</f>
        <v>1</v>
      </c>
      <c r="E5" s="4" t="n">
        <f aca="false">Assumptions!E13</f>
        <v>1.5</v>
      </c>
      <c r="F5" s="4" t="n">
        <f aca="false">Assumptions!F13</f>
        <v>2</v>
      </c>
      <c r="G5" s="4" t="n">
        <f aca="false">Assumptions!G13</f>
        <v>2</v>
      </c>
      <c r="H5" s="4" t="n">
        <f aca="false">Assumptions!H13</f>
        <v>2</v>
      </c>
      <c r="I5" s="4" t="n">
        <f aca="false">Assumptions!I13</f>
        <v>2</v>
      </c>
      <c r="J5" s="4" t="n">
        <f aca="false">Assumptions!J13</f>
        <v>2</v>
      </c>
      <c r="K5" s="4" t="n">
        <f aca="false">Assumptions!K13</f>
        <v>2</v>
      </c>
      <c r="L5" s="4" t="n">
        <f aca="false">Assumptions!L13</f>
        <v>2</v>
      </c>
    </row>
    <row r="6" customFormat="false" ht="15" hidden="false" customHeight="false" outlineLevel="0" collapsed="false">
      <c r="A6" s="0" t="s">
        <v>38</v>
      </c>
      <c r="B6" s="3" t="n">
        <v>27349.98</v>
      </c>
      <c r="C6" s="0" t="n">
        <f aca="false">B6*(1+C5/100)</f>
        <v>27349.98</v>
      </c>
      <c r="D6" s="0" t="n">
        <f aca="false">C6*(1+D5/100)</f>
        <v>27623.4798</v>
      </c>
      <c r="E6" s="0" t="n">
        <f aca="false">D6*(1+E5/100)</f>
        <v>28037.831997</v>
      </c>
      <c r="F6" s="0" t="n">
        <f aca="false">E6*(1+F5/100)</f>
        <v>28598.58863694</v>
      </c>
      <c r="G6" s="0" t="n">
        <f aca="false">F6*(1+G5/100)</f>
        <v>29170.5604096788</v>
      </c>
      <c r="H6" s="0" t="n">
        <f aca="false">G6*(1+H5/100)</f>
        <v>29753.9716178724</v>
      </c>
      <c r="I6" s="0" t="n">
        <f aca="false">H6*(1+I5/100)</f>
        <v>30349.0510502298</v>
      </c>
      <c r="J6" s="0" t="n">
        <f aca="false">I6*(1+J5/100)</f>
        <v>30956.0320712344</v>
      </c>
      <c r="K6" s="0" t="n">
        <f aca="false">J6*(1+K5/100)</f>
        <v>31575.1527126591</v>
      </c>
      <c r="L6" s="0" t="n">
        <f aca="false">K6*(1+L5/100)</f>
        <v>32206.6557669123</v>
      </c>
    </row>
    <row r="7" customFormat="false" ht="15" hidden="false" customHeight="false" outlineLevel="0" collapsed="false">
      <c r="A7" s="0" t="s">
        <v>109</v>
      </c>
      <c r="C7" s="4" t="n">
        <f aca="false">Assumptions!C14</f>
        <v>22.5</v>
      </c>
      <c r="D7" s="4" t="n">
        <f aca="false">Assumptions!D14</f>
        <v>22</v>
      </c>
      <c r="E7" s="4" t="n">
        <f aca="false">Assumptions!E14</f>
        <v>21.5</v>
      </c>
      <c r="F7" s="4" t="n">
        <f aca="false">Assumptions!F14</f>
        <v>21.5</v>
      </c>
      <c r="G7" s="4" t="n">
        <f aca="false">Assumptions!G14</f>
        <v>21.5</v>
      </c>
      <c r="H7" s="4" t="n">
        <f aca="false">Assumptions!H14</f>
        <v>21.5</v>
      </c>
      <c r="I7" s="4" t="n">
        <f aca="false">Assumptions!I14</f>
        <v>21.5</v>
      </c>
      <c r="J7" s="4" t="n">
        <f aca="false">Assumptions!J14</f>
        <v>21.5</v>
      </c>
      <c r="K7" s="4" t="n">
        <f aca="false">Assumptions!K14</f>
        <v>21.5</v>
      </c>
      <c r="L7" s="4" t="n">
        <f aca="false">Assumptions!L14</f>
        <v>21.5</v>
      </c>
    </row>
    <row r="8" customFormat="false" ht="15" hidden="false" customHeight="false" outlineLevel="0" collapsed="false">
      <c r="A8" s="0" t="s">
        <v>44</v>
      </c>
      <c r="C8" s="0" t="n">
        <f aca="false">C6*C7/100</f>
        <v>6153.7455</v>
      </c>
      <c r="D8" s="0" t="n">
        <f aca="false">D6*D7/100</f>
        <v>6077.165556</v>
      </c>
      <c r="E8" s="0" t="n">
        <f aca="false">E6*E7/100</f>
        <v>6028.133879355</v>
      </c>
      <c r="F8" s="0" t="n">
        <f aca="false">F6*F7/100</f>
        <v>6148.6965569421</v>
      </c>
      <c r="G8" s="0" t="n">
        <f aca="false">G6*G7/100</f>
        <v>6271.67048808094</v>
      </c>
      <c r="H8" s="0" t="n">
        <f aca="false">H6*H7/100</f>
        <v>6397.10389784256</v>
      </c>
      <c r="I8" s="0" t="n">
        <f aca="false">I6*I7/100</f>
        <v>6525.04597579941</v>
      </c>
      <c r="J8" s="0" t="n">
        <f aca="false">J6*J7/100</f>
        <v>6655.5468953154</v>
      </c>
      <c r="K8" s="0" t="n">
        <f aca="false">K6*K7/100</f>
        <v>6788.65783322171</v>
      </c>
      <c r="L8" s="0" t="n">
        <f aca="false">L6*L7/100</f>
        <v>6924.43098988614</v>
      </c>
    </row>
    <row r="9" customFormat="false" ht="15" hidden="false" customHeight="false" outlineLevel="0" collapsed="false">
      <c r="A9" s="0" t="s">
        <v>110</v>
      </c>
      <c r="C9" s="4" t="n">
        <f aca="false">Assumptions!C15</f>
        <v>0.4</v>
      </c>
      <c r="D9" s="4" t="n">
        <f aca="false">Assumptions!D15</f>
        <v>0.4</v>
      </c>
      <c r="E9" s="4" t="n">
        <f aca="false">Assumptions!E15</f>
        <v>0.4</v>
      </c>
      <c r="F9" s="4" t="n">
        <f aca="false">Assumptions!F15</f>
        <v>0.4</v>
      </c>
      <c r="G9" s="4" t="n">
        <f aca="false">Assumptions!G15</f>
        <v>0.4</v>
      </c>
      <c r="H9" s="4" t="n">
        <f aca="false">Assumptions!H15</f>
        <v>0.4</v>
      </c>
      <c r="I9" s="4" t="n">
        <f aca="false">Assumptions!I15</f>
        <v>0.4</v>
      </c>
      <c r="J9" s="4" t="n">
        <f aca="false">Assumptions!J15</f>
        <v>0.4</v>
      </c>
      <c r="K9" s="4" t="n">
        <f aca="false">Assumptions!K15</f>
        <v>0.4</v>
      </c>
      <c r="L9" s="4" t="n">
        <f aca="false">Assumptions!L15</f>
        <v>0.4</v>
      </c>
    </row>
    <row r="10" customFormat="false" ht="15" hidden="false" customHeight="false" outlineLevel="0" collapsed="false">
      <c r="A10" s="0" t="s">
        <v>125</v>
      </c>
      <c r="C10" s="0" t="n">
        <f aca="false">-C6*C9/100</f>
        <v>-109.39992</v>
      </c>
      <c r="D10" s="0" t="n">
        <f aca="false">-D6*D9/100</f>
        <v>-110.4939192</v>
      </c>
      <c r="E10" s="0" t="n">
        <f aca="false">-E6*E9/100</f>
        <v>-112.151327988</v>
      </c>
      <c r="F10" s="0" t="n">
        <f aca="false">-F6*F9/100</f>
        <v>-114.39435454776</v>
      </c>
      <c r="G10" s="0" t="n">
        <f aca="false">-G6*G9/100</f>
        <v>-116.682241638715</v>
      </c>
      <c r="H10" s="0" t="n">
        <f aca="false">-H6*H9/100</f>
        <v>-119.01588647149</v>
      </c>
      <c r="I10" s="0" t="n">
        <f aca="false">-I6*I9/100</f>
        <v>-121.396204200919</v>
      </c>
      <c r="J10" s="0" t="n">
        <f aca="false">-J6*J9/100</f>
        <v>-123.824128284938</v>
      </c>
      <c r="K10" s="0" t="n">
        <f aca="false">-K6*K9/100</f>
        <v>-126.300610850636</v>
      </c>
      <c r="L10" s="0" t="n">
        <f aca="false">-L6*L9/100</f>
        <v>-128.826623067649</v>
      </c>
    </row>
    <row r="11" customFormat="false" ht="15" hidden="false" customHeight="false" outlineLevel="0" collapsed="false">
      <c r="A11" s="0" t="s">
        <v>126</v>
      </c>
      <c r="C11" s="0" t="n">
        <f aca="false">C8+C10+C24</f>
        <v>5415.29604</v>
      </c>
      <c r="D11" s="0" t="n">
        <f aca="false">D8+D10+D24</f>
        <v>5331.3316014</v>
      </c>
      <c r="E11" s="0" t="n">
        <f aca="false">E8+E10+E24</f>
        <v>5271.112415436</v>
      </c>
      <c r="F11" s="0" t="n">
        <f aca="false">F8+F10+F24</f>
        <v>5376.53466374472</v>
      </c>
      <c r="G11" s="0" t="n">
        <f aca="false">G8+G10+G24</f>
        <v>5484.06535701962</v>
      </c>
      <c r="H11" s="0" t="n">
        <f aca="false">H8+H10+H24</f>
        <v>5593.74666416001</v>
      </c>
      <c r="I11" s="0" t="n">
        <f aca="false">I8+I10+I24</f>
        <v>5705.62159744321</v>
      </c>
      <c r="J11" s="0" t="n">
        <f aca="false">J8+J10+J24</f>
        <v>5819.73402939207</v>
      </c>
      <c r="K11" s="0" t="n">
        <f aca="false">K8+K10+K24</f>
        <v>5936.12870997991</v>
      </c>
      <c r="L11" s="0" t="n">
        <f aca="false">L8+L10+L24</f>
        <v>6054.85128417951</v>
      </c>
    </row>
    <row r="12" customFormat="false" ht="15" hidden="false" customHeight="false" outlineLevel="0" collapsed="false">
      <c r="A12" s="0" t="s">
        <v>127</v>
      </c>
      <c r="C12" s="4" t="n">
        <f aca="false">-C6*Assumptions!C17/100</f>
        <v>-738.44946</v>
      </c>
      <c r="D12" s="4" t="n">
        <f aca="false">-D6*Assumptions!D17/100</f>
        <v>-745.8339546</v>
      </c>
      <c r="E12" s="4" t="n">
        <f aca="false">-E6*Assumptions!E17/100</f>
        <v>-757.021463919</v>
      </c>
      <c r="F12" s="4" t="n">
        <f aca="false">-F6*Assumptions!F17/100</f>
        <v>-772.16189319738</v>
      </c>
      <c r="G12" s="4" t="n">
        <f aca="false">-G6*Assumptions!G17/100</f>
        <v>-787.605131061328</v>
      </c>
      <c r="H12" s="4" t="n">
        <f aca="false">-H6*Assumptions!H17/100</f>
        <v>-803.357233682554</v>
      </c>
      <c r="I12" s="4" t="n">
        <f aca="false">-I6*Assumptions!I17/100</f>
        <v>-819.424378356206</v>
      </c>
      <c r="J12" s="4" t="n">
        <f aca="false">-J6*Assumptions!J17/100</f>
        <v>-835.81286592333</v>
      </c>
      <c r="K12" s="4" t="n">
        <f aca="false">-K6*Assumptions!K17/100</f>
        <v>-852.529123241796</v>
      </c>
      <c r="L12" s="4" t="n">
        <f aca="false">-L6*Assumptions!L17/100</f>
        <v>-869.579705706632</v>
      </c>
    </row>
    <row r="13" customFormat="false" ht="15" hidden="false" customHeight="false" outlineLevel="0" collapsed="false">
      <c r="A13" s="0" t="s">
        <v>128</v>
      </c>
      <c r="C13" s="0" t="n">
        <f aca="false">C11+C12</f>
        <v>4676.84658</v>
      </c>
      <c r="D13" s="0" t="n">
        <f aca="false">D11+D12</f>
        <v>4585.4976468</v>
      </c>
      <c r="E13" s="0" t="n">
        <f aca="false">E11+E12</f>
        <v>4514.090951517</v>
      </c>
      <c r="F13" s="0" t="n">
        <f aca="false">F11+F12</f>
        <v>4604.37277054734</v>
      </c>
      <c r="G13" s="0" t="n">
        <f aca="false">G11+G12</f>
        <v>4696.46022595829</v>
      </c>
      <c r="H13" s="0" t="n">
        <f aca="false">H11+H12</f>
        <v>4790.38943047745</v>
      </c>
      <c r="I13" s="0" t="n">
        <f aca="false">I11+I12</f>
        <v>4886.197219087</v>
      </c>
      <c r="J13" s="0" t="n">
        <f aca="false">J11+J12</f>
        <v>4983.92116346874</v>
      </c>
      <c r="K13" s="0" t="n">
        <f aca="false">K11+K12</f>
        <v>5083.59958673812</v>
      </c>
      <c r="L13" s="0" t="n">
        <f aca="false">L11+L12</f>
        <v>5185.27157847288</v>
      </c>
    </row>
    <row r="14" customFormat="false" ht="15" hidden="false" customHeight="false" outlineLevel="0" collapsed="false">
      <c r="A14" s="0" t="s">
        <v>114</v>
      </c>
      <c r="C14" s="4" t="n">
        <f aca="false">Assumptions!C19</f>
        <v>29</v>
      </c>
      <c r="D14" s="4" t="n">
        <f aca="false">Assumptions!D19</f>
        <v>29</v>
      </c>
      <c r="E14" s="4" t="n">
        <f aca="false">Assumptions!E19</f>
        <v>29</v>
      </c>
      <c r="F14" s="4" t="n">
        <f aca="false">Assumptions!F19</f>
        <v>29</v>
      </c>
      <c r="G14" s="4" t="n">
        <f aca="false">Assumptions!G19</f>
        <v>29</v>
      </c>
      <c r="H14" s="4" t="n">
        <f aca="false">Assumptions!H19</f>
        <v>29</v>
      </c>
      <c r="I14" s="4" t="n">
        <f aca="false">Assumptions!I19</f>
        <v>29</v>
      </c>
      <c r="J14" s="4" t="n">
        <f aca="false">Assumptions!J19</f>
        <v>29</v>
      </c>
      <c r="K14" s="4" t="n">
        <f aca="false">Assumptions!K19</f>
        <v>29</v>
      </c>
      <c r="L14" s="4" t="n">
        <f aca="false">Assumptions!L19</f>
        <v>29</v>
      </c>
    </row>
    <row r="15" customFormat="false" ht="15" hidden="false" customHeight="false" outlineLevel="0" collapsed="false">
      <c r="A15" s="0" t="s">
        <v>129</v>
      </c>
      <c r="C15" s="0" t="n">
        <f aca="false">C13-MAX(0,C13)*C14/100</f>
        <v>3320.5610718</v>
      </c>
      <c r="D15" s="0" t="n">
        <f aca="false">D13-MAX(0,D13)*D14/100</f>
        <v>3255.703329228</v>
      </c>
      <c r="E15" s="0" t="n">
        <f aca="false">E13-MAX(0,E13)*E14/100</f>
        <v>3205.00457557707</v>
      </c>
      <c r="F15" s="0" t="n">
        <f aca="false">F13-MAX(0,F13)*F14/100</f>
        <v>3269.10466708861</v>
      </c>
      <c r="G15" s="0" t="n">
        <f aca="false">G13-MAX(0,G13)*G14/100</f>
        <v>3334.48676043038</v>
      </c>
      <c r="H15" s="0" t="n">
        <f aca="false">H13-MAX(0,H13)*H14/100</f>
        <v>3401.17649563899</v>
      </c>
      <c r="I15" s="0" t="n">
        <f aca="false">I13-MAX(0,I13)*I14/100</f>
        <v>3469.20002555177</v>
      </c>
      <c r="J15" s="0" t="n">
        <f aca="false">J13-MAX(0,J13)*J14/100</f>
        <v>3538.58402606281</v>
      </c>
      <c r="K15" s="0" t="n">
        <f aca="false">K13-MAX(0,K13)*K14/100</f>
        <v>3609.35570658406</v>
      </c>
      <c r="L15" s="0" t="n">
        <f aca="false">L13-MAX(0,L13)*L14/100</f>
        <v>3681.54282071574</v>
      </c>
    </row>
    <row r="16" customFormat="false" ht="15" hidden="false" customHeight="false" outlineLevel="0" collapsed="false">
      <c r="A16" s="0" t="s">
        <v>130</v>
      </c>
      <c r="C16" s="0" t="n">
        <f aca="false">-C12</f>
        <v>738.44946</v>
      </c>
      <c r="D16" s="0" t="n">
        <f aca="false">-D12</f>
        <v>745.8339546</v>
      </c>
      <c r="E16" s="0" t="n">
        <f aca="false">-E12</f>
        <v>757.021463919</v>
      </c>
      <c r="F16" s="0" t="n">
        <f aca="false">-F12</f>
        <v>772.16189319738</v>
      </c>
      <c r="G16" s="0" t="n">
        <f aca="false">-G12</f>
        <v>787.605131061328</v>
      </c>
      <c r="H16" s="0" t="n">
        <f aca="false">-H12</f>
        <v>803.357233682554</v>
      </c>
      <c r="I16" s="0" t="n">
        <f aca="false">-I12</f>
        <v>819.424378356206</v>
      </c>
      <c r="J16" s="0" t="n">
        <f aca="false">-J12</f>
        <v>835.81286592333</v>
      </c>
      <c r="K16" s="0" t="n">
        <f aca="false">-K12</f>
        <v>852.529123241796</v>
      </c>
      <c r="L16" s="0" t="n">
        <f aca="false">-L12</f>
        <v>869.579705706632</v>
      </c>
    </row>
    <row r="17" customFormat="false" ht="15" hidden="false" customHeight="false" outlineLevel="0" collapsed="false">
      <c r="A17" s="0" t="s">
        <v>131</v>
      </c>
      <c r="C17" s="4" t="n">
        <f aca="false">-C6*Assumptions!C18/100</f>
        <v>-957.2493</v>
      </c>
      <c r="D17" s="4" t="n">
        <f aca="false">-D6*Assumptions!D18/100</f>
        <v>-911.5748334</v>
      </c>
      <c r="E17" s="4" t="n">
        <f aca="false">-E6*Assumptions!E18/100</f>
        <v>-869.172791907</v>
      </c>
      <c r="F17" s="4" t="n">
        <f aca="false">-F6*Assumptions!F18/100</f>
        <v>-857.9576591082</v>
      </c>
      <c r="G17" s="4" t="n">
        <f aca="false">-G6*Assumptions!G18/100</f>
        <v>-875.116812290364</v>
      </c>
      <c r="H17" s="4" t="n">
        <f aca="false">-H6*Assumptions!H18/100</f>
        <v>-892.619148536172</v>
      </c>
      <c r="I17" s="4" t="n">
        <f aca="false">-I6*Assumptions!I18/100</f>
        <v>-910.471531506895</v>
      </c>
      <c r="J17" s="4" t="n">
        <f aca="false">-J6*Assumptions!J18/100</f>
        <v>-928.680962137033</v>
      </c>
      <c r="K17" s="4" t="n">
        <f aca="false">-K6*Assumptions!K18/100</f>
        <v>-947.254581379773</v>
      </c>
      <c r="L17" s="4" t="n">
        <f aca="false">-L6*Assumptions!L18/100</f>
        <v>-966.199673007369</v>
      </c>
    </row>
    <row r="18" customFormat="false" ht="15" hidden="false" customHeight="false" outlineLevel="0" collapsed="false">
      <c r="A18" s="0" t="s">
        <v>132</v>
      </c>
      <c r="C18" s="4" t="n">
        <f aca="false">(C6-B6)*Assumptions!$B$23/100</f>
        <v>-0</v>
      </c>
      <c r="D18" s="4" t="n">
        <f aca="false">(D6-C6)*Assumptions!$B$23/100</f>
        <v>-13.6749900000001</v>
      </c>
      <c r="E18" s="4" t="n">
        <f aca="false">(E6-D6)*Assumptions!$B$23/100</f>
        <v>-20.7176098499998</v>
      </c>
      <c r="F18" s="4" t="n">
        <f aca="false">(F6-E6)*Assumptions!$B$23/100</f>
        <v>-28.0378319970001</v>
      </c>
      <c r="G18" s="4" t="n">
        <f aca="false">(G6-F6)*Assumptions!$B$23/100</f>
        <v>-28.5985886369401</v>
      </c>
      <c r="H18" s="4" t="n">
        <f aca="false">(H6-G6)*Assumptions!$B$23/100</f>
        <v>-29.1705604096789</v>
      </c>
      <c r="I18" s="4" t="n">
        <f aca="false">(I6-H6)*Assumptions!$B$23/100</f>
        <v>-29.7539716178724</v>
      </c>
      <c r="J18" s="4" t="n">
        <f aca="false">(J6-I6)*Assumptions!$B$23/100</f>
        <v>-30.3490510502299</v>
      </c>
      <c r="K18" s="4" t="n">
        <f aca="false">(K6-J6)*Assumptions!$B$23/100</f>
        <v>-30.9560320712344</v>
      </c>
      <c r="L18" s="4" t="n">
        <f aca="false">(L6-K6)*Assumptions!$B$23/100</f>
        <v>-31.5751527126591</v>
      </c>
    </row>
    <row r="19" customFormat="false" ht="15" hidden="false" customHeight="false" outlineLevel="0" collapsed="false">
      <c r="A19" s="0" t="s">
        <v>133</v>
      </c>
      <c r="C19" s="0" t="n">
        <f aca="false">C15+C16+C17+C18</f>
        <v>3101.7612318</v>
      </c>
      <c r="D19" s="0" t="n">
        <f aca="false">D15+D16+D17+D18</f>
        <v>3076.287460428</v>
      </c>
      <c r="E19" s="0" t="n">
        <f aca="false">E15+E16+E17+E18</f>
        <v>3072.13563773907</v>
      </c>
      <c r="F19" s="0" t="n">
        <f aca="false">F15+F16+F17+F18</f>
        <v>3155.27106918079</v>
      </c>
      <c r="G19" s="0" t="n">
        <f aca="false">G15+G16+G17+G18</f>
        <v>3218.37649056441</v>
      </c>
      <c r="H19" s="0" t="n">
        <f aca="false">H15+H16+H17+H18</f>
        <v>3282.7440203757</v>
      </c>
      <c r="I19" s="0" t="n">
        <f aca="false">I15+I16+I17+I18</f>
        <v>3348.39890078321</v>
      </c>
      <c r="J19" s="0" t="n">
        <f aca="false">J15+J16+J17+J18</f>
        <v>3415.36687879887</v>
      </c>
      <c r="K19" s="0" t="n">
        <f aca="false">K15+K16+K17+K18</f>
        <v>3483.67421637485</v>
      </c>
      <c r="L19" s="0" t="n">
        <f aca="false">L15+L16+L17+L18</f>
        <v>3553.34770070235</v>
      </c>
    </row>
    <row r="20" customFormat="false" ht="15" hidden="false" customHeight="false" outlineLevel="0" collapsed="false">
      <c r="A20" s="0" t="s">
        <v>134</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135</v>
      </c>
      <c r="C21" s="0" t="n">
        <f aca="false">C19*C20</f>
        <v>2845.65250623853</v>
      </c>
      <c r="D21" s="0" t="n">
        <f aca="false">D19*D20</f>
        <v>2589.24960897904</v>
      </c>
      <c r="E21" s="0" t="n">
        <f aca="false">E19*E20</f>
        <v>2372.25238796897</v>
      </c>
      <c r="F21" s="0" t="n">
        <f aca="false">F19*F20</f>
        <v>2235.27357315231</v>
      </c>
      <c r="G21" s="0" t="n">
        <f aca="false">G19*G20</f>
        <v>2091.72389414253</v>
      </c>
      <c r="H21" s="0" t="n">
        <f aca="false">H19*H20</f>
        <v>1957.39300185815</v>
      </c>
      <c r="I21" s="0" t="n">
        <f aca="false">I19*I20</f>
        <v>1831.68886412414</v>
      </c>
      <c r="J21" s="0" t="n">
        <f aca="false">J19*J20</f>
        <v>1714.05746918038</v>
      </c>
      <c r="K21" s="0" t="n">
        <f aca="false">K19*K20</f>
        <v>1603.98038400366</v>
      </c>
      <c r="L21" s="0" t="n">
        <f aca="false">L19*L20</f>
        <v>1500.97246943462</v>
      </c>
    </row>
    <row r="23" customFormat="false" ht="15" hidden="false" customHeight="false" outlineLevel="0" collapsed="false">
      <c r="A23" s="0" t="s">
        <v>111</v>
      </c>
      <c r="C23" s="4" t="n">
        <f aca="false">Assumptions!C16</f>
        <v>2.3</v>
      </c>
      <c r="D23" s="4" t="n">
        <f aca="false">Assumptions!D16</f>
        <v>2.3</v>
      </c>
      <c r="E23" s="4" t="n">
        <f aca="false">Assumptions!E16</f>
        <v>2.3</v>
      </c>
      <c r="F23" s="4" t="n">
        <f aca="false">Assumptions!F16</f>
        <v>2.3</v>
      </c>
      <c r="G23" s="4" t="n">
        <f aca="false">Assumptions!G16</f>
        <v>2.3</v>
      </c>
      <c r="H23" s="4" t="n">
        <f aca="false">Assumptions!H16</f>
        <v>2.3</v>
      </c>
      <c r="I23" s="4" t="n">
        <f aca="false">Assumptions!I16</f>
        <v>2.3</v>
      </c>
      <c r="J23" s="4" t="n">
        <f aca="false">Assumptions!J16</f>
        <v>2.3</v>
      </c>
      <c r="K23" s="4" t="n">
        <f aca="false">Assumptions!K16</f>
        <v>2.3</v>
      </c>
      <c r="L23" s="4" t="n">
        <f aca="false">Assumptions!L16</f>
        <v>2.3</v>
      </c>
    </row>
    <row r="24" customFormat="false" ht="15" hidden="false" customHeight="false" outlineLevel="0" collapsed="false">
      <c r="A24" s="0" t="s">
        <v>136</v>
      </c>
      <c r="C24" s="0" t="n">
        <f aca="false">-C6*C23/100</f>
        <v>-629.04954</v>
      </c>
      <c r="D24" s="0" t="n">
        <f aca="false">-D6*D23/100</f>
        <v>-635.3400354</v>
      </c>
      <c r="E24" s="0" t="n">
        <f aca="false">-E6*E23/100</f>
        <v>-644.870135931</v>
      </c>
      <c r="F24" s="0" t="n">
        <f aca="false">-F6*F23/100</f>
        <v>-657.76753864962</v>
      </c>
      <c r="G24" s="0" t="n">
        <f aca="false">-G6*G23/100</f>
        <v>-670.922889422612</v>
      </c>
      <c r="H24" s="0" t="n">
        <f aca="false">-H6*H23/100</f>
        <v>-684.341347211065</v>
      </c>
      <c r="I24" s="0" t="n">
        <f aca="false">-I6*I23/100</f>
        <v>-698.028174155286</v>
      </c>
      <c r="J24" s="0" t="n">
        <f aca="false">-J6*J23/100</f>
        <v>-711.988737638392</v>
      </c>
      <c r="K24" s="0" t="n">
        <f aca="false">-K6*K23/100</f>
        <v>-726.22851239116</v>
      </c>
      <c r="L24" s="0" t="n">
        <f aca="false">-L6*L23/100</f>
        <v>-740.753082638983</v>
      </c>
    </row>
    <row r="26" customFormat="false" ht="15" hidden="false" customHeight="false" outlineLevel="0" collapsed="false">
      <c r="A26" s="2" t="s">
        <v>137</v>
      </c>
    </row>
    <row r="27" customFormat="false" ht="15" hidden="false" customHeight="false" outlineLevel="0" collapsed="false">
      <c r="A27" s="0" t="s">
        <v>115</v>
      </c>
      <c r="B27" s="4" t="n">
        <f aca="false">Assumptions!$B$20</f>
        <v>9</v>
      </c>
    </row>
    <row r="28" customFormat="false" ht="15" hidden="false" customHeight="false" outlineLevel="0" collapsed="false">
      <c r="A28" s="0" t="s">
        <v>116</v>
      </c>
      <c r="B28" s="4" t="n">
        <f aca="false">Assumptions!$B$21</f>
        <v>2</v>
      </c>
    </row>
    <row r="29" customFormat="false" ht="15" hidden="false" customHeight="false" outlineLevel="0" collapsed="false">
      <c r="A29" s="0" t="s">
        <v>117</v>
      </c>
      <c r="B29" s="4" t="n">
        <f aca="false">Assumptions!$B$22</f>
        <v>12</v>
      </c>
    </row>
    <row r="30" customFormat="false" ht="15" hidden="false" customHeight="false" outlineLevel="0" collapsed="false">
      <c r="A30" s="0" t="s">
        <v>138</v>
      </c>
      <c r="B30" s="0" t="n">
        <f aca="false">SUM(C21:L21)</f>
        <v>20742.2441590823</v>
      </c>
    </row>
    <row r="31" customFormat="false" ht="15" hidden="false" customHeight="false" outlineLevel="0" collapsed="false">
      <c r="A31" s="0" t="s">
        <v>139</v>
      </c>
      <c r="B31" s="0" t="n">
        <f aca="false">L19</f>
        <v>3553.34770070235</v>
      </c>
    </row>
    <row r="32" customFormat="false" ht="15" hidden="false" customHeight="false" outlineLevel="0" collapsed="false">
      <c r="A32" s="0" t="s">
        <v>140</v>
      </c>
      <c r="B32" s="0" t="n">
        <f aca="false">IF(B27&gt;B28,B31*(1+B28/100)/((B27-B28)/100),B31*B29)</f>
        <v>51777.3522102342</v>
      </c>
    </row>
    <row r="33" customFormat="false" ht="15" hidden="false" customHeight="false" outlineLevel="0" collapsed="false">
      <c r="A33" s="0" t="s">
        <v>141</v>
      </c>
      <c r="B33" s="0" t="n">
        <f aca="false">B31*B29</f>
        <v>42640.1724084282</v>
      </c>
    </row>
    <row r="34" customFormat="false" ht="15" hidden="false" customHeight="false" outlineLevel="0" collapsed="false">
      <c r="A34" s="0" t="s">
        <v>142</v>
      </c>
      <c r="B34" s="0" t="n">
        <f aca="false">MAX(0,MIN(B32,B33))</f>
        <v>42640.1724084282</v>
      </c>
    </row>
    <row r="35" customFormat="false" ht="15" hidden="false" customHeight="false" outlineLevel="0" collapsed="false">
      <c r="A35" s="0" t="s">
        <v>143</v>
      </c>
      <c r="B35" s="0" t="n">
        <f aca="false">B34/(1+B27/100)^L4</f>
        <v>18011.6696332154</v>
      </c>
    </row>
    <row r="36" customFormat="false" ht="15" hidden="false" customHeight="false" outlineLevel="0" collapsed="false">
      <c r="A36" s="0" t="s">
        <v>144</v>
      </c>
      <c r="B36" s="0" t="n">
        <f aca="false">B30+B35</f>
        <v>38753.9137922978</v>
      </c>
    </row>
    <row r="37" customFormat="false" ht="15" hidden="false" customHeight="false" outlineLevel="0" collapsed="false">
      <c r="A37" s="0" t="s">
        <v>145</v>
      </c>
      <c r="B37" s="0" t="n">
        <f aca="false">B36+Assumptions!$B$5-Assumptions!$B$4</f>
        <v>51430.8137922978</v>
      </c>
    </row>
    <row r="38" customFormat="false" ht="15" hidden="false" customHeight="false" outlineLevel="0" collapsed="false">
      <c r="A38" s="0" t="s">
        <v>146</v>
      </c>
      <c r="B38" s="0" t="n">
        <f aca="false">B37/Assumptions!$B$3*Assumptions!$B$10</f>
        <v>5.16816099584507</v>
      </c>
    </row>
    <row r="39" customFormat="false" ht="15" hidden="false" customHeight="false" outlineLevel="0" collapsed="false">
      <c r="A39" s="0" t="s">
        <v>147</v>
      </c>
      <c r="B39" s="4" t="n">
        <f aca="false">B38/Assumptions!$B$2-1</f>
        <v>0.217470199256788</v>
      </c>
    </row>
    <row r="41" customFormat="false" ht="15" hidden="false" customHeight="false" outlineLevel="0" collapsed="false">
      <c r="A41" s="0" t="s">
        <v>148</v>
      </c>
      <c r="B41" s="0" t="n">
        <f aca="false">SUMPRODUCT(-C10:L10/(1+$B$27/100)^C4:L4)</f>
        <v>748.930506395536</v>
      </c>
    </row>
    <row r="42" customFormat="false" ht="15" hidden="false" customHeight="false" outlineLevel="0" collapsed="false">
      <c r="A42" s="0" t="s">
        <v>149</v>
      </c>
      <c r="B42" s="0" t="n">
        <f aca="false">IF(B27&gt;B28,-L10*(1+B28/100)/((B27-B28)/100),-L10*20)/(1+B27/100)^L4</f>
        <v>792.944470794936</v>
      </c>
    </row>
    <row r="43" customFormat="false" ht="15" hidden="false" customHeight="false" outlineLevel="0" collapsed="false">
      <c r="A43" s="0" t="s">
        <v>150</v>
      </c>
      <c r="B43" s="0" t="n">
        <f aca="false">(B37+B41+B42)/Assumptions!$B$3*Assumptions!$B$10</f>
        <v>5.32310037031747</v>
      </c>
    </row>
    <row r="45" customFormat="false" ht="15" hidden="false" customHeight="false" outlineLevel="0" collapsed="false">
      <c r="A45" s="0" t="s">
        <v>91</v>
      </c>
      <c r="B45" s="4" t="n">
        <f aca="false">Assumptions!$B$6</f>
        <v>15</v>
      </c>
    </row>
    <row r="46" customFormat="false" ht="15" hidden="false" customHeight="false" outlineLevel="0" collapsed="false">
      <c r="A46" s="0" t="s">
        <v>151</v>
      </c>
      <c r="B46" s="0" t="n">
        <f aca="false">MAX(0,MIN(IF(B45&gt;B28,B31*(1+B28/100)/((B45-B28)/100),B31*B29),B31*B29))</f>
        <v>27880.1127285877</v>
      </c>
    </row>
    <row r="47" customFormat="false" ht="15" hidden="false" customHeight="false" outlineLevel="0" collapsed="false">
      <c r="A47" s="0" t="s">
        <v>152</v>
      </c>
      <c r="B47" s="0" t="n">
        <f aca="false">(SUMPRODUCT(C19:L19/(1+B45/100)^C4:L4)+B46/(1+B45/100)^L4+Assumptions!$B$5-Assumptions!$B$4)/Assumptions!$B$3*Assumptions!$B$10</f>
        <v>3.58529463695992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153</v>
      </c>
    </row>
    <row r="3" customFormat="false" ht="15" hidden="false" customHeight="false" outlineLevel="0" collapsed="false">
      <c r="A3" s="0" t="s">
        <v>123</v>
      </c>
      <c r="B3" s="0" t="s">
        <v>84</v>
      </c>
      <c r="C3" s="2" t="s">
        <v>98</v>
      </c>
      <c r="D3" s="2" t="s">
        <v>99</v>
      </c>
      <c r="E3" s="2" t="s">
        <v>100</v>
      </c>
      <c r="F3" s="2" t="s">
        <v>101</v>
      </c>
      <c r="G3" s="2" t="s">
        <v>102</v>
      </c>
      <c r="H3" s="2" t="s">
        <v>103</v>
      </c>
      <c r="I3" s="2" t="s">
        <v>104</v>
      </c>
      <c r="J3" s="2" t="s">
        <v>105</v>
      </c>
      <c r="K3" s="2" t="s">
        <v>106</v>
      </c>
      <c r="L3" s="2" t="s">
        <v>107</v>
      </c>
    </row>
    <row r="4" customFormat="false" ht="15" hidden="false" customHeight="false" outlineLevel="0" collapsed="false">
      <c r="A4" s="0" t="s">
        <v>124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108</v>
      </c>
      <c r="C5" s="4" t="n">
        <f aca="false">Assumptions!C27</f>
        <v>5</v>
      </c>
      <c r="D5" s="4" t="n">
        <f aca="false">Assumptions!D27</f>
        <v>5</v>
      </c>
      <c r="E5" s="4" t="n">
        <f aca="false">Assumptions!E27</f>
        <v>4.5</v>
      </c>
      <c r="F5" s="4" t="n">
        <f aca="false">Assumptions!F27</f>
        <v>4</v>
      </c>
      <c r="G5" s="4" t="n">
        <f aca="false">Assumptions!G27</f>
        <v>3.5</v>
      </c>
      <c r="H5" s="4" t="n">
        <f aca="false">Assumptions!H27</f>
        <v>3</v>
      </c>
      <c r="I5" s="4" t="n">
        <f aca="false">Assumptions!I27</f>
        <v>3</v>
      </c>
      <c r="J5" s="4" t="n">
        <f aca="false">Assumptions!J27</f>
        <v>2.5</v>
      </c>
      <c r="K5" s="4" t="n">
        <f aca="false">Assumptions!K27</f>
        <v>2.5</v>
      </c>
      <c r="L5" s="4" t="n">
        <f aca="false">Assumptions!L27</f>
        <v>2.5</v>
      </c>
    </row>
    <row r="6" customFormat="false" ht="15" hidden="false" customHeight="false" outlineLevel="0" collapsed="false">
      <c r="A6" s="0" t="s">
        <v>38</v>
      </c>
      <c r="B6" s="3" t="n">
        <v>27349.98</v>
      </c>
      <c r="C6" s="0" t="n">
        <f aca="false">B6*(1+C5/100)</f>
        <v>28717.479</v>
      </c>
      <c r="D6" s="0" t="n">
        <f aca="false">C6*(1+D5/100)</f>
        <v>30153.35295</v>
      </c>
      <c r="E6" s="0" t="n">
        <f aca="false">D6*(1+E5/100)</f>
        <v>31510.25383275</v>
      </c>
      <c r="F6" s="0" t="n">
        <f aca="false">E6*(1+F5/100)</f>
        <v>32770.66398606</v>
      </c>
      <c r="G6" s="0" t="n">
        <f aca="false">F6*(1+G5/100)</f>
        <v>33917.6372255721</v>
      </c>
      <c r="H6" s="0" t="n">
        <f aca="false">G6*(1+H5/100)</f>
        <v>34935.1663423393</v>
      </c>
      <c r="I6" s="0" t="n">
        <f aca="false">H6*(1+I5/100)</f>
        <v>35983.2213326094</v>
      </c>
      <c r="J6" s="0" t="n">
        <f aca="false">I6*(1+J5/100)</f>
        <v>36882.8018659247</v>
      </c>
      <c r="K6" s="0" t="n">
        <f aca="false">J6*(1+K5/100)</f>
        <v>37804.8719125728</v>
      </c>
      <c r="L6" s="0" t="n">
        <f aca="false">K6*(1+L5/100)</f>
        <v>38749.9937103871</v>
      </c>
    </row>
    <row r="7" customFormat="false" ht="15" hidden="false" customHeight="false" outlineLevel="0" collapsed="false">
      <c r="A7" s="0" t="s">
        <v>109</v>
      </c>
      <c r="C7" s="4" t="n">
        <f aca="false">Assumptions!C28</f>
        <v>24</v>
      </c>
      <c r="D7" s="4" t="n">
        <f aca="false">Assumptions!D28</f>
        <v>24</v>
      </c>
      <c r="E7" s="4" t="n">
        <f aca="false">Assumptions!E28</f>
        <v>24.2</v>
      </c>
      <c r="F7" s="4" t="n">
        <f aca="false">Assumptions!F28</f>
        <v>24.2</v>
      </c>
      <c r="G7" s="4" t="n">
        <f aca="false">Assumptions!G28</f>
        <v>24.4</v>
      </c>
      <c r="H7" s="4" t="n">
        <f aca="false">Assumptions!H28</f>
        <v>24.4</v>
      </c>
      <c r="I7" s="4" t="n">
        <f aca="false">Assumptions!I28</f>
        <v>24.5</v>
      </c>
      <c r="J7" s="4" t="n">
        <f aca="false">Assumptions!J28</f>
        <v>24.5</v>
      </c>
      <c r="K7" s="4" t="n">
        <f aca="false">Assumptions!K28</f>
        <v>24.5</v>
      </c>
      <c r="L7" s="4" t="n">
        <f aca="false">Assumptions!L28</f>
        <v>24.5</v>
      </c>
    </row>
    <row r="8" customFormat="false" ht="15" hidden="false" customHeight="false" outlineLevel="0" collapsed="false">
      <c r="A8" s="0" t="s">
        <v>44</v>
      </c>
      <c r="C8" s="0" t="n">
        <f aca="false">C6*C7/100</f>
        <v>6892.19496</v>
      </c>
      <c r="D8" s="0" t="n">
        <f aca="false">D6*D7/100</f>
        <v>7236.804708</v>
      </c>
      <c r="E8" s="0" t="n">
        <f aca="false">E6*E7/100</f>
        <v>7625.4814275255</v>
      </c>
      <c r="F8" s="0" t="n">
        <f aca="false">F6*F7/100</f>
        <v>7930.50068462652</v>
      </c>
      <c r="G8" s="0" t="n">
        <f aca="false">G6*G7/100</f>
        <v>8275.90348303959</v>
      </c>
      <c r="H8" s="0" t="n">
        <f aca="false">H6*H7/100</f>
        <v>8524.18058753078</v>
      </c>
      <c r="I8" s="0" t="n">
        <f aca="false">I6*I7/100</f>
        <v>8815.88922648931</v>
      </c>
      <c r="J8" s="0" t="n">
        <f aca="false">J6*J7/100</f>
        <v>9036.28645715154</v>
      </c>
      <c r="K8" s="0" t="n">
        <f aca="false">K6*K7/100</f>
        <v>9262.19361858033</v>
      </c>
      <c r="L8" s="0" t="n">
        <f aca="false">L6*L7/100</f>
        <v>9493.74845904484</v>
      </c>
    </row>
    <row r="9" customFormat="false" ht="15" hidden="false" customHeight="false" outlineLevel="0" collapsed="false">
      <c r="A9" s="0" t="s">
        <v>110</v>
      </c>
      <c r="C9" s="4" t="n">
        <f aca="false">Assumptions!C29</f>
        <v>0.4</v>
      </c>
      <c r="D9" s="4" t="n">
        <f aca="false">Assumptions!D29</f>
        <v>0.4</v>
      </c>
      <c r="E9" s="4" t="n">
        <f aca="false">Assumptions!E29</f>
        <v>0.4</v>
      </c>
      <c r="F9" s="4" t="n">
        <f aca="false">Assumptions!F29</f>
        <v>0.4</v>
      </c>
      <c r="G9" s="4" t="n">
        <f aca="false">Assumptions!G29</f>
        <v>0.4</v>
      </c>
      <c r="H9" s="4" t="n">
        <f aca="false">Assumptions!H29</f>
        <v>0.4</v>
      </c>
      <c r="I9" s="4" t="n">
        <f aca="false">Assumptions!I29</f>
        <v>0.4</v>
      </c>
      <c r="J9" s="4" t="n">
        <f aca="false">Assumptions!J29</f>
        <v>0.4</v>
      </c>
      <c r="K9" s="4" t="n">
        <f aca="false">Assumptions!K29</f>
        <v>0.4</v>
      </c>
      <c r="L9" s="4" t="n">
        <f aca="false">Assumptions!L29</f>
        <v>0.4</v>
      </c>
    </row>
    <row r="10" customFormat="false" ht="15" hidden="false" customHeight="false" outlineLevel="0" collapsed="false">
      <c r="A10" s="0" t="s">
        <v>125</v>
      </c>
      <c r="C10" s="0" t="n">
        <f aca="false">-C6*C9/100</f>
        <v>-114.869916</v>
      </c>
      <c r="D10" s="0" t="n">
        <f aca="false">-D6*D9/100</f>
        <v>-120.6134118</v>
      </c>
      <c r="E10" s="0" t="n">
        <f aca="false">-E6*E9/100</f>
        <v>-126.041015331</v>
      </c>
      <c r="F10" s="0" t="n">
        <f aca="false">-F6*F9/100</f>
        <v>-131.08265594424</v>
      </c>
      <c r="G10" s="0" t="n">
        <f aca="false">-G6*G9/100</f>
        <v>-135.670548902288</v>
      </c>
      <c r="H10" s="0" t="n">
        <f aca="false">-H6*H9/100</f>
        <v>-139.740665369357</v>
      </c>
      <c r="I10" s="0" t="n">
        <f aca="false">-I6*I9/100</f>
        <v>-143.932885330438</v>
      </c>
      <c r="J10" s="0" t="n">
        <f aca="false">-J6*J9/100</f>
        <v>-147.531207463699</v>
      </c>
      <c r="K10" s="0" t="n">
        <f aca="false">-K6*K9/100</f>
        <v>-151.219487650291</v>
      </c>
      <c r="L10" s="0" t="n">
        <f aca="false">-L6*L9/100</f>
        <v>-154.999974841548</v>
      </c>
    </row>
    <row r="11" customFormat="false" ht="15" hidden="false" customHeight="false" outlineLevel="0" collapsed="false">
      <c r="A11" s="0" t="s">
        <v>126</v>
      </c>
      <c r="C11" s="0" t="n">
        <f aca="false">C8+C10+C24</f>
        <v>6174.257985</v>
      </c>
      <c r="D11" s="0" t="n">
        <f aca="false">D8+D10+D24</f>
        <v>6482.97088425</v>
      </c>
      <c r="E11" s="0" t="n">
        <f aca="false">E8+E10+E24</f>
        <v>6837.72508170675</v>
      </c>
      <c r="F11" s="0" t="n">
        <f aca="false">F8+F10+F24</f>
        <v>7111.23408497502</v>
      </c>
      <c r="G11" s="0" t="n">
        <f aca="false">G8+G10+G24</f>
        <v>7427.96255240029</v>
      </c>
      <c r="H11" s="0" t="n">
        <f aca="false">H8+H10+H24</f>
        <v>7650.8014289723</v>
      </c>
      <c r="I11" s="0" t="n">
        <f aca="false">I8+I10+I24</f>
        <v>7916.30869317408</v>
      </c>
      <c r="J11" s="0" t="n">
        <f aca="false">J8+J10+J24</f>
        <v>8114.21641050343</v>
      </c>
      <c r="K11" s="0" t="n">
        <f aca="false">K8+K10+K24</f>
        <v>8317.07182076601</v>
      </c>
      <c r="L11" s="0" t="n">
        <f aca="false">L8+L10+L24</f>
        <v>8524.99861628516</v>
      </c>
    </row>
    <row r="12" customFormat="false" ht="15" hidden="false" customHeight="false" outlineLevel="0" collapsed="false">
      <c r="A12" s="0" t="s">
        <v>127</v>
      </c>
      <c r="C12" s="4" t="n">
        <f aca="false">-C6*Assumptions!C31/100</f>
        <v>-746.654454</v>
      </c>
      <c r="D12" s="4" t="n">
        <f aca="false">-D6*Assumptions!D31/100</f>
        <v>-783.9871767</v>
      </c>
      <c r="E12" s="4" t="n">
        <f aca="false">-E6*Assumptions!E31/100</f>
        <v>-819.2665996515</v>
      </c>
      <c r="F12" s="4" t="n">
        <f aca="false">-F6*Assumptions!F31/100</f>
        <v>-852.03726363756</v>
      </c>
      <c r="G12" s="4" t="n">
        <f aca="false">-G6*Assumptions!G31/100</f>
        <v>-881.858567864875</v>
      </c>
      <c r="H12" s="4" t="n">
        <f aca="false">-H6*Assumptions!H31/100</f>
        <v>-908.314324900821</v>
      </c>
      <c r="I12" s="4" t="n">
        <f aca="false">-I6*Assumptions!I31/100</f>
        <v>-935.563754647845</v>
      </c>
      <c r="J12" s="4" t="n">
        <f aca="false">-J6*Assumptions!J31/100</f>
        <v>-958.952848514041</v>
      </c>
      <c r="K12" s="4" t="n">
        <f aca="false">-K6*Assumptions!K31/100</f>
        <v>-982.926669726892</v>
      </c>
      <c r="L12" s="4" t="n">
        <f aca="false">-L6*Assumptions!L31/100</f>
        <v>-1007.49983647006</v>
      </c>
    </row>
    <row r="13" customFormat="false" ht="15" hidden="false" customHeight="false" outlineLevel="0" collapsed="false">
      <c r="A13" s="0" t="s">
        <v>128</v>
      </c>
      <c r="C13" s="0" t="n">
        <f aca="false">C11+C12</f>
        <v>5427.603531</v>
      </c>
      <c r="D13" s="0" t="n">
        <f aca="false">D11+D12</f>
        <v>5698.98370755</v>
      </c>
      <c r="E13" s="0" t="n">
        <f aca="false">E11+E12</f>
        <v>6018.45848205525</v>
      </c>
      <c r="F13" s="0" t="n">
        <f aca="false">F11+F12</f>
        <v>6259.19682133746</v>
      </c>
      <c r="G13" s="0" t="n">
        <f aca="false">G11+G12</f>
        <v>6546.10398453541</v>
      </c>
      <c r="H13" s="0" t="n">
        <f aca="false">H11+H12</f>
        <v>6742.48710407148</v>
      </c>
      <c r="I13" s="0" t="n">
        <f aca="false">I11+I12</f>
        <v>6980.74493852623</v>
      </c>
      <c r="J13" s="0" t="n">
        <f aca="false">J11+J12</f>
        <v>7155.26356198938</v>
      </c>
      <c r="K13" s="0" t="n">
        <f aca="false">K11+K12</f>
        <v>7334.14515103912</v>
      </c>
      <c r="L13" s="0" t="n">
        <f aca="false">L11+L12</f>
        <v>7517.4987798151</v>
      </c>
    </row>
    <row r="14" customFormat="false" ht="15" hidden="false" customHeight="false" outlineLevel="0" collapsed="false">
      <c r="A14" s="0" t="s">
        <v>114</v>
      </c>
      <c r="C14" s="4" t="n">
        <f aca="false">Assumptions!C33</f>
        <v>28</v>
      </c>
      <c r="D14" s="4" t="n">
        <f aca="false">Assumptions!D33</f>
        <v>28</v>
      </c>
      <c r="E14" s="4" t="n">
        <f aca="false">Assumptions!E33</f>
        <v>28</v>
      </c>
      <c r="F14" s="4" t="n">
        <f aca="false">Assumptions!F33</f>
        <v>28</v>
      </c>
      <c r="G14" s="4" t="n">
        <f aca="false">Assumptions!G33</f>
        <v>28</v>
      </c>
      <c r="H14" s="4" t="n">
        <f aca="false">Assumptions!H33</f>
        <v>28</v>
      </c>
      <c r="I14" s="4" t="n">
        <f aca="false">Assumptions!I33</f>
        <v>28</v>
      </c>
      <c r="J14" s="4" t="n">
        <f aca="false">Assumptions!J33</f>
        <v>28</v>
      </c>
      <c r="K14" s="4" t="n">
        <f aca="false">Assumptions!K33</f>
        <v>28</v>
      </c>
      <c r="L14" s="4" t="n">
        <f aca="false">Assumptions!L33</f>
        <v>28</v>
      </c>
    </row>
    <row r="15" customFormat="false" ht="15" hidden="false" customHeight="false" outlineLevel="0" collapsed="false">
      <c r="A15" s="0" t="s">
        <v>129</v>
      </c>
      <c r="C15" s="0" t="n">
        <f aca="false">C13-MAX(0,C13)*C14/100</f>
        <v>3907.87454232</v>
      </c>
      <c r="D15" s="0" t="n">
        <f aca="false">D13-MAX(0,D13)*D14/100</f>
        <v>4103.268269436</v>
      </c>
      <c r="E15" s="0" t="n">
        <f aca="false">E13-MAX(0,E13)*E14/100</f>
        <v>4333.29010707978</v>
      </c>
      <c r="F15" s="0" t="n">
        <f aca="false">F13-MAX(0,F13)*F14/100</f>
        <v>4506.62171136297</v>
      </c>
      <c r="G15" s="0" t="n">
        <f aca="false">G13-MAX(0,G13)*G14/100</f>
        <v>4713.1948688655</v>
      </c>
      <c r="H15" s="0" t="n">
        <f aca="false">H13-MAX(0,H13)*H14/100</f>
        <v>4854.59071493146</v>
      </c>
      <c r="I15" s="0" t="n">
        <f aca="false">I13-MAX(0,I13)*I14/100</f>
        <v>5026.13635573889</v>
      </c>
      <c r="J15" s="0" t="n">
        <f aca="false">J13-MAX(0,J13)*J14/100</f>
        <v>5151.78976463236</v>
      </c>
      <c r="K15" s="0" t="n">
        <f aca="false">K13-MAX(0,K13)*K14/100</f>
        <v>5280.58450874817</v>
      </c>
      <c r="L15" s="0" t="n">
        <f aca="false">L13-MAX(0,L13)*L14/100</f>
        <v>5412.59912146687</v>
      </c>
    </row>
    <row r="16" customFormat="false" ht="15" hidden="false" customHeight="false" outlineLevel="0" collapsed="false">
      <c r="A16" s="0" t="s">
        <v>130</v>
      </c>
      <c r="C16" s="0" t="n">
        <f aca="false">-C12</f>
        <v>746.654454</v>
      </c>
      <c r="D16" s="0" t="n">
        <f aca="false">-D12</f>
        <v>783.9871767</v>
      </c>
      <c r="E16" s="0" t="n">
        <f aca="false">-E12</f>
        <v>819.2665996515</v>
      </c>
      <c r="F16" s="0" t="n">
        <f aca="false">-F12</f>
        <v>852.03726363756</v>
      </c>
      <c r="G16" s="0" t="n">
        <f aca="false">-G12</f>
        <v>881.858567864875</v>
      </c>
      <c r="H16" s="0" t="n">
        <f aca="false">-H12</f>
        <v>908.314324900821</v>
      </c>
      <c r="I16" s="0" t="n">
        <f aca="false">-I12</f>
        <v>935.563754647845</v>
      </c>
      <c r="J16" s="0" t="n">
        <f aca="false">-J12</f>
        <v>958.952848514041</v>
      </c>
      <c r="K16" s="0" t="n">
        <f aca="false">-K12</f>
        <v>982.926669726892</v>
      </c>
      <c r="L16" s="0" t="n">
        <f aca="false">-L12</f>
        <v>1007.49983647006</v>
      </c>
    </row>
    <row r="17" customFormat="false" ht="15" hidden="false" customHeight="false" outlineLevel="0" collapsed="false">
      <c r="A17" s="0" t="s">
        <v>131</v>
      </c>
      <c r="C17" s="4" t="n">
        <f aca="false">-C6*Assumptions!C32/100</f>
        <v>-1005.111765</v>
      </c>
      <c r="D17" s="4" t="n">
        <f aca="false">-D6*Assumptions!D32/100</f>
        <v>-1055.36735325</v>
      </c>
      <c r="E17" s="4" t="n">
        <f aca="false">-E6*Assumptions!E32/100</f>
        <v>-1071.3486303135</v>
      </c>
      <c r="F17" s="4" t="n">
        <f aca="false">-F6*Assumptions!F32/100</f>
        <v>-1081.43191153998</v>
      </c>
      <c r="G17" s="4" t="n">
        <f aca="false">-G6*Assumptions!G32/100</f>
        <v>-1085.36439121831</v>
      </c>
      <c r="H17" s="4" t="n">
        <f aca="false">-H6*Assumptions!H32/100</f>
        <v>-1082.99015661252</v>
      </c>
      <c r="I17" s="4" t="n">
        <f aca="false">-I6*Assumptions!I32/100</f>
        <v>-1079.49663997828</v>
      </c>
      <c r="J17" s="4" t="n">
        <f aca="false">-J6*Assumptions!J32/100</f>
        <v>-1106.48405597774</v>
      </c>
      <c r="K17" s="4" t="n">
        <f aca="false">-K6*Assumptions!K32/100</f>
        <v>-1134.14615737718</v>
      </c>
      <c r="L17" s="4" t="n">
        <f aca="false">-L6*Assumptions!L32/100</f>
        <v>-1162.49981131161</v>
      </c>
    </row>
    <row r="18" customFormat="false" ht="15" hidden="false" customHeight="false" outlineLevel="0" collapsed="false">
      <c r="A18" s="0" t="s">
        <v>132</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133</v>
      </c>
      <c r="C19" s="0" t="n">
        <f aca="false">C15+C16+C17+C18</f>
        <v>3649.41723132</v>
      </c>
      <c r="D19" s="0" t="n">
        <f aca="false">D15+D16+D17+D18</f>
        <v>3831.888092886</v>
      </c>
      <c r="E19" s="0" t="n">
        <f aca="false">E15+E16+E17+E18</f>
        <v>4081.20807641778</v>
      </c>
      <c r="F19" s="0" t="n">
        <f aca="false">F15+F16+F17+F18</f>
        <v>4277.22706346055</v>
      </c>
      <c r="G19" s="0" t="n">
        <f aca="false">G15+G16+G17+G18</f>
        <v>4509.68904551207</v>
      </c>
      <c r="H19" s="0" t="n">
        <f aca="false">H15+H16+H17+H18</f>
        <v>4679.91488321977</v>
      </c>
      <c r="I19" s="0" t="n">
        <f aca="false">I15+I16+I17+I18</f>
        <v>4882.20347040845</v>
      </c>
      <c r="J19" s="0" t="n">
        <f aca="false">J15+J16+J17+J18</f>
        <v>5004.25855716866</v>
      </c>
      <c r="K19" s="0" t="n">
        <f aca="false">K15+K16+K17+K18</f>
        <v>5129.36502109787</v>
      </c>
      <c r="L19" s="0" t="n">
        <f aca="false">L15+L16+L17+L18</f>
        <v>5257.59914662532</v>
      </c>
    </row>
    <row r="20" customFormat="false" ht="15" hidden="false" customHeight="false" outlineLevel="0" collapsed="false">
      <c r="A20" s="0" t="s">
        <v>134</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135</v>
      </c>
      <c r="C21" s="0" t="n">
        <f aca="false">C19*C20</f>
        <v>3348.08920304587</v>
      </c>
      <c r="D21" s="0" t="n">
        <f aca="false">D19*D20</f>
        <v>3225.2235442185</v>
      </c>
      <c r="E21" s="0" t="n">
        <f aca="false">E19*E20</f>
        <v>3151.4414553016</v>
      </c>
      <c r="F21" s="0" t="n">
        <f aca="false">F19*F20</f>
        <v>3030.09548520581</v>
      </c>
      <c r="G21" s="0" t="n">
        <f aca="false">G19*G20</f>
        <v>2930.98845312412</v>
      </c>
      <c r="H21" s="0" t="n">
        <f aca="false">H19*H20</f>
        <v>2790.48033743971</v>
      </c>
      <c r="I21" s="0" t="n">
        <f aca="false">I19*I20</f>
        <v>2670.73248860631</v>
      </c>
      <c r="J21" s="0" t="n">
        <f aca="false">J19*J20</f>
        <v>2511.46862460685</v>
      </c>
      <c r="K21" s="0" t="n">
        <f aca="false">K19*K20</f>
        <v>2361.70214699268</v>
      </c>
      <c r="L21" s="0" t="n">
        <f aca="false">L19*L20</f>
        <v>2220.86669786009</v>
      </c>
    </row>
    <row r="23" customFormat="false" ht="15" hidden="false" customHeight="false" outlineLevel="0" collapsed="false">
      <c r="A23" s="0" t="s">
        <v>111</v>
      </c>
      <c r="C23" s="4" t="n">
        <f aca="false">Assumptions!C30</f>
        <v>2.1</v>
      </c>
      <c r="D23" s="4" t="n">
        <f aca="false">Assumptions!D30</f>
        <v>2.1</v>
      </c>
      <c r="E23" s="4" t="n">
        <f aca="false">Assumptions!E30</f>
        <v>2.1</v>
      </c>
      <c r="F23" s="4" t="n">
        <f aca="false">Assumptions!F30</f>
        <v>2.1</v>
      </c>
      <c r="G23" s="4" t="n">
        <f aca="false">Assumptions!G30</f>
        <v>2.1</v>
      </c>
      <c r="H23" s="4" t="n">
        <f aca="false">Assumptions!H30</f>
        <v>2.1</v>
      </c>
      <c r="I23" s="4" t="n">
        <f aca="false">Assumptions!I30</f>
        <v>2.1</v>
      </c>
      <c r="J23" s="4" t="n">
        <f aca="false">Assumptions!J30</f>
        <v>2.1</v>
      </c>
      <c r="K23" s="4" t="n">
        <f aca="false">Assumptions!K30</f>
        <v>2.1</v>
      </c>
      <c r="L23" s="4" t="n">
        <f aca="false">Assumptions!L30</f>
        <v>2.1</v>
      </c>
    </row>
    <row r="24" customFormat="false" ht="15" hidden="false" customHeight="false" outlineLevel="0" collapsed="false">
      <c r="A24" s="0" t="s">
        <v>136</v>
      </c>
      <c r="C24" s="0" t="n">
        <f aca="false">-C6*C23/100</f>
        <v>-603.067059</v>
      </c>
      <c r="D24" s="0" t="n">
        <f aca="false">-D6*D23/100</f>
        <v>-633.22041195</v>
      </c>
      <c r="E24" s="0" t="n">
        <f aca="false">-E6*E23/100</f>
        <v>-661.71533048775</v>
      </c>
      <c r="F24" s="0" t="n">
        <f aca="false">-F6*F23/100</f>
        <v>-688.18394370726</v>
      </c>
      <c r="G24" s="0" t="n">
        <f aca="false">-G6*G23/100</f>
        <v>-712.270381737014</v>
      </c>
      <c r="H24" s="0" t="n">
        <f aca="false">-H6*H23/100</f>
        <v>-733.638493189124</v>
      </c>
      <c r="I24" s="0" t="n">
        <f aca="false">-I6*I23/100</f>
        <v>-755.647647984798</v>
      </c>
      <c r="J24" s="0" t="n">
        <f aca="false">-J6*J23/100</f>
        <v>-774.538839184418</v>
      </c>
      <c r="K24" s="0" t="n">
        <f aca="false">-K6*K23/100</f>
        <v>-793.902310164028</v>
      </c>
      <c r="L24" s="0" t="n">
        <f aca="false">-L6*L23/100</f>
        <v>-813.749867918129</v>
      </c>
    </row>
    <row r="26" customFormat="false" ht="15" hidden="false" customHeight="false" outlineLevel="0" collapsed="false">
      <c r="A26" s="2" t="s">
        <v>137</v>
      </c>
    </row>
    <row r="27" customFormat="false" ht="15" hidden="false" customHeight="false" outlineLevel="0" collapsed="false">
      <c r="A27" s="0" t="s">
        <v>115</v>
      </c>
      <c r="B27" s="4" t="n">
        <f aca="false">Assumptions!$B$34</f>
        <v>9</v>
      </c>
    </row>
    <row r="28" customFormat="false" ht="15" hidden="false" customHeight="false" outlineLevel="0" collapsed="false">
      <c r="A28" s="0" t="s">
        <v>116</v>
      </c>
      <c r="B28" s="4" t="n">
        <f aca="false">Assumptions!$B$35</f>
        <v>2.5</v>
      </c>
    </row>
    <row r="29" customFormat="false" ht="15" hidden="false" customHeight="false" outlineLevel="0" collapsed="false">
      <c r="A29" s="0" t="s">
        <v>117</v>
      </c>
      <c r="B29" s="4" t="n">
        <f aca="false">Assumptions!$B$36</f>
        <v>15</v>
      </c>
    </row>
    <row r="30" customFormat="false" ht="15" hidden="false" customHeight="false" outlineLevel="0" collapsed="false">
      <c r="A30" s="0" t="s">
        <v>138</v>
      </c>
      <c r="B30" s="0" t="n">
        <f aca="false">SUM(C21:L21)</f>
        <v>28241.0884364015</v>
      </c>
    </row>
    <row r="31" customFormat="false" ht="15" hidden="false" customHeight="false" outlineLevel="0" collapsed="false">
      <c r="A31" s="0" t="s">
        <v>139</v>
      </c>
      <c r="B31" s="0" t="n">
        <f aca="false">L19</f>
        <v>5257.59914662532</v>
      </c>
    </row>
    <row r="32" customFormat="false" ht="15" hidden="false" customHeight="false" outlineLevel="0" collapsed="false">
      <c r="A32" s="0" t="s">
        <v>140</v>
      </c>
      <c r="B32" s="0" t="n">
        <f aca="false">IF(B27&gt;B28,B31*(1+B28/100)/((B27-B28)/100),B31*B29)</f>
        <v>82908.2942352454</v>
      </c>
    </row>
    <row r="33" customFormat="false" ht="15" hidden="false" customHeight="false" outlineLevel="0" collapsed="false">
      <c r="A33" s="0" t="s">
        <v>141</v>
      </c>
      <c r="B33" s="0" t="n">
        <f aca="false">B31*B29</f>
        <v>78863.9871993798</v>
      </c>
    </row>
    <row r="34" customFormat="false" ht="15" hidden="false" customHeight="false" outlineLevel="0" collapsed="false">
      <c r="A34" s="0" t="s">
        <v>142</v>
      </c>
      <c r="B34" s="0" t="n">
        <f aca="false">MAX(0,MIN(B32,B33))</f>
        <v>78863.9871993798</v>
      </c>
    </row>
    <row r="35" customFormat="false" ht="15" hidden="false" customHeight="false" outlineLevel="0" collapsed="false">
      <c r="A35" s="0" t="s">
        <v>143</v>
      </c>
      <c r="B35" s="0" t="n">
        <f aca="false">B34/(1+B27/100)^L4</f>
        <v>33313.0004679013</v>
      </c>
    </row>
    <row r="36" customFormat="false" ht="15" hidden="false" customHeight="false" outlineLevel="0" collapsed="false">
      <c r="A36" s="0" t="s">
        <v>144</v>
      </c>
      <c r="B36" s="0" t="n">
        <f aca="false">B30+B35</f>
        <v>61554.0889043028</v>
      </c>
    </row>
    <row r="37" customFormat="false" ht="15" hidden="false" customHeight="false" outlineLevel="0" collapsed="false">
      <c r="A37" s="0" t="s">
        <v>145</v>
      </c>
      <c r="B37" s="0" t="n">
        <f aca="false">B36+Assumptions!$B$5-Assumptions!$B$4</f>
        <v>74230.9889043028</v>
      </c>
    </row>
    <row r="38" customFormat="false" ht="15" hidden="false" customHeight="false" outlineLevel="0" collapsed="false">
      <c r="A38" s="0" t="s">
        <v>146</v>
      </c>
      <c r="B38" s="0" t="n">
        <f aca="false">B37/Assumptions!$B$3*Assumptions!$B$10</f>
        <v>7.45929673770161</v>
      </c>
    </row>
    <row r="39" customFormat="false" ht="15" hidden="false" customHeight="false" outlineLevel="0" collapsed="false">
      <c r="A39" s="0" t="s">
        <v>147</v>
      </c>
      <c r="B39" s="4" t="n">
        <f aca="false">B38/Assumptions!$B$2-1</f>
        <v>0.757195933498613</v>
      </c>
    </row>
    <row r="41" customFormat="false" ht="15" hidden="false" customHeight="false" outlineLevel="0" collapsed="false">
      <c r="A41" s="0" t="s">
        <v>148</v>
      </c>
      <c r="B41" s="0" t="n">
        <f aca="false">SUMPRODUCT(-C10:L10/(1+$B$27/100)^C4:L4)</f>
        <v>856.468001465755</v>
      </c>
    </row>
    <row r="42" customFormat="false" ht="15" hidden="false" customHeight="false" outlineLevel="0" collapsed="false">
      <c r="A42" s="0" t="s">
        <v>149</v>
      </c>
      <c r="B42" s="0" t="n">
        <f aca="false">IF(B27&gt;B28,-L10*(1+B28/100)/((B27-B28)/100),-L10*20)/(1+B27/100)^L4</f>
        <v>1032.46932388724</v>
      </c>
    </row>
    <row r="43" customFormat="false" ht="15" hidden="false" customHeight="false" outlineLevel="0" collapsed="false">
      <c r="A43" s="0" t="s">
        <v>150</v>
      </c>
      <c r="B43" s="0" t="n">
        <f aca="false">(B37+B41+B42)/Assumptions!$B$3*Assumptions!$B$10</f>
        <v>7.64911158776232</v>
      </c>
    </row>
    <row r="45" customFormat="false" ht="15" hidden="false" customHeight="false" outlineLevel="0" collapsed="false">
      <c r="A45" s="0" t="s">
        <v>91</v>
      </c>
      <c r="B45" s="4" t="n">
        <f aca="false">Assumptions!$B$6</f>
        <v>15</v>
      </c>
    </row>
    <row r="46" customFormat="false" ht="15" hidden="false" customHeight="false" outlineLevel="0" collapsed="false">
      <c r="A46" s="0" t="s">
        <v>151</v>
      </c>
      <c r="B46" s="0" t="n">
        <f aca="false">MAX(0,MIN(IF(B45&gt;B28,B31*(1+B28/100)/((B45-B28)/100),B31*B29),B31*B29))</f>
        <v>43112.3130023276</v>
      </c>
    </row>
    <row r="47" customFormat="false" ht="15" hidden="false" customHeight="false" outlineLevel="0" collapsed="false">
      <c r="A47" s="0" t="s">
        <v>152</v>
      </c>
      <c r="B47" s="0" t="n">
        <f aca="false">(SUMPRODUCT(C19:L19/(1+B45/100)^C4:L4)+B46/(1+B45/100)^L4+Assumptions!$B$5-Assumptions!$B$4)/Assumptions!$B$3*Assumptions!$B$10</f>
        <v>4.52473750099128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154</v>
      </c>
    </row>
    <row r="3" customFormat="false" ht="15" hidden="false" customHeight="false" outlineLevel="0" collapsed="false">
      <c r="A3" s="0" t="s">
        <v>123</v>
      </c>
      <c r="B3" s="0" t="s">
        <v>84</v>
      </c>
      <c r="C3" s="2" t="s">
        <v>98</v>
      </c>
      <c r="D3" s="2" t="s">
        <v>99</v>
      </c>
      <c r="E3" s="2" t="s">
        <v>100</v>
      </c>
      <c r="F3" s="2" t="s">
        <v>101</v>
      </c>
      <c r="G3" s="2" t="s">
        <v>102</v>
      </c>
      <c r="H3" s="2" t="s">
        <v>103</v>
      </c>
      <c r="I3" s="2" t="s">
        <v>104</v>
      </c>
      <c r="J3" s="2" t="s">
        <v>105</v>
      </c>
      <c r="K3" s="2" t="s">
        <v>106</v>
      </c>
      <c r="L3" s="2" t="s">
        <v>107</v>
      </c>
    </row>
    <row r="4" customFormat="false" ht="15" hidden="false" customHeight="false" outlineLevel="0" collapsed="false">
      <c r="A4" s="0" t="s">
        <v>124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108</v>
      </c>
      <c r="C5" s="4" t="n">
        <f aca="false">Assumptions!C41</f>
        <v>8</v>
      </c>
      <c r="D5" s="4" t="n">
        <f aca="false">Assumptions!D41</f>
        <v>8</v>
      </c>
      <c r="E5" s="4" t="n">
        <f aca="false">Assumptions!E41</f>
        <v>7.5</v>
      </c>
      <c r="F5" s="4" t="n">
        <f aca="false">Assumptions!F41</f>
        <v>7</v>
      </c>
      <c r="G5" s="4" t="n">
        <f aca="false">Assumptions!G41</f>
        <v>6</v>
      </c>
      <c r="H5" s="4" t="n">
        <f aca="false">Assumptions!H41</f>
        <v>5</v>
      </c>
      <c r="I5" s="4" t="n">
        <f aca="false">Assumptions!I41</f>
        <v>4.5</v>
      </c>
      <c r="J5" s="4" t="n">
        <f aca="false">Assumptions!J41</f>
        <v>4</v>
      </c>
      <c r="K5" s="4" t="n">
        <f aca="false">Assumptions!K41</f>
        <v>3.5</v>
      </c>
      <c r="L5" s="4" t="n">
        <f aca="false">Assumptions!L41</f>
        <v>3</v>
      </c>
    </row>
    <row r="6" customFormat="false" ht="15" hidden="false" customHeight="false" outlineLevel="0" collapsed="false">
      <c r="A6" s="0" t="s">
        <v>38</v>
      </c>
      <c r="B6" s="3" t="n">
        <v>27349.98</v>
      </c>
      <c r="C6" s="0" t="n">
        <f aca="false">B6*(1+C5/100)</f>
        <v>29537.9784</v>
      </c>
      <c r="D6" s="0" t="n">
        <f aca="false">C6*(1+D5/100)</f>
        <v>31901.016672</v>
      </c>
      <c r="E6" s="0" t="n">
        <f aca="false">D6*(1+E5/100)</f>
        <v>34293.5929224</v>
      </c>
      <c r="F6" s="0" t="n">
        <f aca="false">E6*(1+F5/100)</f>
        <v>36694.144426968</v>
      </c>
      <c r="G6" s="0" t="n">
        <f aca="false">F6*(1+G5/100)</f>
        <v>38895.7930925861</v>
      </c>
      <c r="H6" s="0" t="n">
        <f aca="false">G6*(1+H5/100)</f>
        <v>40840.5827472154</v>
      </c>
      <c r="I6" s="0" t="n">
        <f aca="false">H6*(1+I5/100)</f>
        <v>42678.4089708401</v>
      </c>
      <c r="J6" s="0" t="n">
        <f aca="false">I6*(1+J5/100)</f>
        <v>44385.5453296737</v>
      </c>
      <c r="K6" s="0" t="n">
        <f aca="false">J6*(1+K5/100)</f>
        <v>45939.0394162123</v>
      </c>
      <c r="L6" s="0" t="n">
        <f aca="false">K6*(1+L5/100)</f>
        <v>47317.2105986986</v>
      </c>
    </row>
    <row r="7" customFormat="false" ht="15" hidden="false" customHeight="false" outlineLevel="0" collapsed="false">
      <c r="A7" s="0" t="s">
        <v>109</v>
      </c>
      <c r="C7" s="4" t="n">
        <f aca="false">Assumptions!C42</f>
        <v>24.5</v>
      </c>
      <c r="D7" s="4" t="n">
        <f aca="false">Assumptions!D42</f>
        <v>24.8</v>
      </c>
      <c r="E7" s="4" t="n">
        <f aca="false">Assumptions!E42</f>
        <v>25.1</v>
      </c>
      <c r="F7" s="4" t="n">
        <f aca="false">Assumptions!F42</f>
        <v>25.4</v>
      </c>
      <c r="G7" s="4" t="n">
        <f aca="false">Assumptions!G42</f>
        <v>25.7</v>
      </c>
      <c r="H7" s="4" t="n">
        <f aca="false">Assumptions!H42</f>
        <v>26</v>
      </c>
      <c r="I7" s="4" t="n">
        <f aca="false">Assumptions!I42</f>
        <v>26</v>
      </c>
      <c r="J7" s="4" t="n">
        <f aca="false">Assumptions!J42</f>
        <v>26</v>
      </c>
      <c r="K7" s="4" t="n">
        <f aca="false">Assumptions!K42</f>
        <v>26</v>
      </c>
      <c r="L7" s="4" t="n">
        <f aca="false">Assumptions!L42</f>
        <v>26</v>
      </c>
    </row>
    <row r="8" customFormat="false" ht="15" hidden="false" customHeight="false" outlineLevel="0" collapsed="false">
      <c r="A8" s="0" t="s">
        <v>44</v>
      </c>
      <c r="C8" s="0" t="n">
        <f aca="false">C6*C7/100</f>
        <v>7236.804708</v>
      </c>
      <c r="D8" s="0" t="n">
        <f aca="false">D6*D7/100</f>
        <v>7911.452134656</v>
      </c>
      <c r="E8" s="0" t="n">
        <f aca="false">E6*E7/100</f>
        <v>8607.6918235224</v>
      </c>
      <c r="F8" s="0" t="n">
        <f aca="false">F6*F7/100</f>
        <v>9320.31268444987</v>
      </c>
      <c r="G8" s="0" t="n">
        <f aca="false">G6*G7/100</f>
        <v>9996.21882479462</v>
      </c>
      <c r="H8" s="0" t="n">
        <f aca="false">H6*H7/100</f>
        <v>10618.551514276</v>
      </c>
      <c r="I8" s="0" t="n">
        <f aca="false">I6*I7/100</f>
        <v>11096.3863324184</v>
      </c>
      <c r="J8" s="0" t="n">
        <f aca="false">J6*J7/100</f>
        <v>11540.2417857152</v>
      </c>
      <c r="K8" s="0" t="n">
        <f aca="false">K6*K7/100</f>
        <v>11944.1502482152</v>
      </c>
      <c r="L8" s="0" t="n">
        <f aca="false">L6*L7/100</f>
        <v>12302.4747556616</v>
      </c>
    </row>
    <row r="9" customFormat="false" ht="15" hidden="false" customHeight="false" outlineLevel="0" collapsed="false">
      <c r="A9" s="0" t="s">
        <v>110</v>
      </c>
      <c r="C9" s="4" t="n">
        <f aca="false">Assumptions!C43</f>
        <v>0.4</v>
      </c>
      <c r="D9" s="4" t="n">
        <f aca="false">Assumptions!D43</f>
        <v>0.4</v>
      </c>
      <c r="E9" s="4" t="n">
        <f aca="false">Assumptions!E43</f>
        <v>0.4</v>
      </c>
      <c r="F9" s="4" t="n">
        <f aca="false">Assumptions!F43</f>
        <v>0.4</v>
      </c>
      <c r="G9" s="4" t="n">
        <f aca="false">Assumptions!G43</f>
        <v>0.4</v>
      </c>
      <c r="H9" s="4" t="n">
        <f aca="false">Assumptions!H43</f>
        <v>0.4</v>
      </c>
      <c r="I9" s="4" t="n">
        <f aca="false">Assumptions!I43</f>
        <v>0.4</v>
      </c>
      <c r="J9" s="4" t="n">
        <f aca="false">Assumptions!J43</f>
        <v>0.4</v>
      </c>
      <c r="K9" s="4" t="n">
        <f aca="false">Assumptions!K43</f>
        <v>0.4</v>
      </c>
      <c r="L9" s="4" t="n">
        <f aca="false">Assumptions!L43</f>
        <v>0.4</v>
      </c>
    </row>
    <row r="10" customFormat="false" ht="15" hidden="false" customHeight="false" outlineLevel="0" collapsed="false">
      <c r="A10" s="0" t="s">
        <v>125</v>
      </c>
      <c r="C10" s="0" t="n">
        <f aca="false">-C6*C9/100</f>
        <v>-118.1519136</v>
      </c>
      <c r="D10" s="0" t="n">
        <f aca="false">-D6*D9/100</f>
        <v>-127.604066688</v>
      </c>
      <c r="E10" s="0" t="n">
        <f aca="false">-E6*E9/100</f>
        <v>-137.1743716896</v>
      </c>
      <c r="F10" s="0" t="n">
        <f aca="false">-F6*F9/100</f>
        <v>-146.776577707872</v>
      </c>
      <c r="G10" s="0" t="n">
        <f aca="false">-G6*G9/100</f>
        <v>-155.583172370344</v>
      </c>
      <c r="H10" s="0" t="n">
        <f aca="false">-H6*H9/100</f>
        <v>-163.362330988862</v>
      </c>
      <c r="I10" s="0" t="n">
        <f aca="false">-I6*I9/100</f>
        <v>-170.71363588336</v>
      </c>
      <c r="J10" s="0" t="n">
        <f aca="false">-J6*J9/100</f>
        <v>-177.542181318695</v>
      </c>
      <c r="K10" s="0" t="n">
        <f aca="false">-K6*K9/100</f>
        <v>-183.756157664849</v>
      </c>
      <c r="L10" s="0" t="n">
        <f aca="false">-L6*L9/100</f>
        <v>-189.268842394794</v>
      </c>
    </row>
    <row r="11" customFormat="false" ht="15" hidden="false" customHeight="false" outlineLevel="0" collapsed="false">
      <c r="A11" s="0" t="s">
        <v>126</v>
      </c>
      <c r="C11" s="0" t="n">
        <f aca="false">C8+C10+C24</f>
        <v>6527.8932264</v>
      </c>
      <c r="D11" s="0" t="n">
        <f aca="false">D8+D10+D24</f>
        <v>7145.827734528</v>
      </c>
      <c r="E11" s="0" t="n">
        <f aca="false">E8+E10+E24</f>
        <v>7784.6455933848</v>
      </c>
      <c r="F11" s="0" t="n">
        <f aca="false">F8+F10+F24</f>
        <v>8439.65321820264</v>
      </c>
      <c r="G11" s="0" t="n">
        <f aca="false">G8+G10+G24</f>
        <v>9062.71979057256</v>
      </c>
      <c r="H11" s="0" t="n">
        <f aca="false">H8+H10+H24</f>
        <v>9638.37752834283</v>
      </c>
      <c r="I11" s="0" t="n">
        <f aca="false">I8+I10+I24</f>
        <v>10072.1045171183</v>
      </c>
      <c r="J11" s="0" t="n">
        <f aca="false">J8+J10+J24</f>
        <v>10474.988697803</v>
      </c>
      <c r="K11" s="0" t="n">
        <f aca="false">K8+K10+K24</f>
        <v>10841.6133022261</v>
      </c>
      <c r="L11" s="0" t="n">
        <f aca="false">L8+L10+L24</f>
        <v>11166.8617012929</v>
      </c>
    </row>
    <row r="12" customFormat="false" ht="15" hidden="false" customHeight="false" outlineLevel="0" collapsed="false">
      <c r="A12" s="0" t="s">
        <v>127</v>
      </c>
      <c r="C12" s="4" t="n">
        <f aca="false">-C6*Assumptions!C45/100</f>
        <v>-767.9874384</v>
      </c>
      <c r="D12" s="4" t="n">
        <f aca="false">-D6*Assumptions!D45/100</f>
        <v>-829.426433472</v>
      </c>
      <c r="E12" s="4" t="n">
        <f aca="false">-E6*Assumptions!E45/100</f>
        <v>-891.6334159824</v>
      </c>
      <c r="F12" s="4" t="n">
        <f aca="false">-F6*Assumptions!F45/100</f>
        <v>-954.047755101168</v>
      </c>
      <c r="G12" s="4" t="n">
        <f aca="false">-G6*Assumptions!G45/100</f>
        <v>-1011.29062040724</v>
      </c>
      <c r="H12" s="4" t="n">
        <f aca="false">-H6*Assumptions!H45/100</f>
        <v>-1061.8551514276</v>
      </c>
      <c r="I12" s="4" t="n">
        <f aca="false">-I6*Assumptions!I45/100</f>
        <v>-1109.63863324184</v>
      </c>
      <c r="J12" s="4" t="n">
        <f aca="false">-J6*Assumptions!J45/100</f>
        <v>-1154.02417857152</v>
      </c>
      <c r="K12" s="4" t="n">
        <f aca="false">-K6*Assumptions!K45/100</f>
        <v>-1194.41502482152</v>
      </c>
      <c r="L12" s="4" t="n">
        <f aca="false">-L6*Assumptions!L45/100</f>
        <v>-1230.24747556616</v>
      </c>
    </row>
    <row r="13" customFormat="false" ht="15" hidden="false" customHeight="false" outlineLevel="0" collapsed="false">
      <c r="A13" s="0" t="s">
        <v>128</v>
      </c>
      <c r="C13" s="0" t="n">
        <f aca="false">C11+C12</f>
        <v>5759.905788</v>
      </c>
      <c r="D13" s="0" t="n">
        <f aca="false">D11+D12</f>
        <v>6316.401301056</v>
      </c>
      <c r="E13" s="0" t="n">
        <f aca="false">E11+E12</f>
        <v>6893.0121774024</v>
      </c>
      <c r="F13" s="0" t="n">
        <f aca="false">F11+F12</f>
        <v>7485.60546310147</v>
      </c>
      <c r="G13" s="0" t="n">
        <f aca="false">G11+G12</f>
        <v>8051.42917016532</v>
      </c>
      <c r="H13" s="0" t="n">
        <f aca="false">H11+H12</f>
        <v>8576.52237691523</v>
      </c>
      <c r="I13" s="0" t="n">
        <f aca="false">I11+I12</f>
        <v>8962.46588387642</v>
      </c>
      <c r="J13" s="0" t="n">
        <f aca="false">J11+J12</f>
        <v>9320.96451923147</v>
      </c>
      <c r="K13" s="0" t="n">
        <f aca="false">K11+K12</f>
        <v>9647.19827740457</v>
      </c>
      <c r="L13" s="0" t="n">
        <f aca="false">L11+L12</f>
        <v>9936.61422572671</v>
      </c>
    </row>
    <row r="14" customFormat="false" ht="15" hidden="false" customHeight="false" outlineLevel="0" collapsed="false">
      <c r="A14" s="0" t="s">
        <v>114</v>
      </c>
      <c r="C14" s="4" t="n">
        <f aca="false">Assumptions!C47</f>
        <v>27</v>
      </c>
      <c r="D14" s="4" t="n">
        <f aca="false">Assumptions!D47</f>
        <v>27</v>
      </c>
      <c r="E14" s="4" t="n">
        <f aca="false">Assumptions!E47</f>
        <v>27</v>
      </c>
      <c r="F14" s="4" t="n">
        <f aca="false">Assumptions!F47</f>
        <v>27</v>
      </c>
      <c r="G14" s="4" t="n">
        <f aca="false">Assumptions!G47</f>
        <v>27</v>
      </c>
      <c r="H14" s="4" t="n">
        <f aca="false">Assumptions!H47</f>
        <v>27</v>
      </c>
      <c r="I14" s="4" t="n">
        <f aca="false">Assumptions!I47</f>
        <v>27</v>
      </c>
      <c r="J14" s="4" t="n">
        <f aca="false">Assumptions!J47</f>
        <v>27</v>
      </c>
      <c r="K14" s="4" t="n">
        <f aca="false">Assumptions!K47</f>
        <v>27</v>
      </c>
      <c r="L14" s="4" t="n">
        <f aca="false">Assumptions!L47</f>
        <v>27</v>
      </c>
    </row>
    <row r="15" customFormat="false" ht="15" hidden="false" customHeight="false" outlineLevel="0" collapsed="false">
      <c r="A15" s="0" t="s">
        <v>129</v>
      </c>
      <c r="C15" s="0" t="n">
        <f aca="false">C13-MAX(0,C13)*C14/100</f>
        <v>4204.73122524</v>
      </c>
      <c r="D15" s="0" t="n">
        <f aca="false">D13-MAX(0,D13)*D14/100</f>
        <v>4610.97294977088</v>
      </c>
      <c r="E15" s="0" t="n">
        <f aca="false">E13-MAX(0,E13)*E14/100</f>
        <v>5031.89888950375</v>
      </c>
      <c r="F15" s="0" t="n">
        <f aca="false">F13-MAX(0,F13)*F14/100</f>
        <v>5464.49198806408</v>
      </c>
      <c r="G15" s="0" t="n">
        <f aca="false">G13-MAX(0,G13)*G14/100</f>
        <v>5877.54329422068</v>
      </c>
      <c r="H15" s="0" t="n">
        <f aca="false">H13-MAX(0,H13)*H14/100</f>
        <v>6260.86133514812</v>
      </c>
      <c r="I15" s="0" t="n">
        <f aca="false">I13-MAX(0,I13)*I14/100</f>
        <v>6542.60009522978</v>
      </c>
      <c r="J15" s="0" t="n">
        <f aca="false">J13-MAX(0,J13)*J14/100</f>
        <v>6804.30409903897</v>
      </c>
      <c r="K15" s="0" t="n">
        <f aca="false">K13-MAX(0,K13)*K14/100</f>
        <v>7042.45474250534</v>
      </c>
      <c r="L15" s="0" t="n">
        <f aca="false">L13-MAX(0,L13)*L14/100</f>
        <v>7253.7283847805</v>
      </c>
    </row>
    <row r="16" customFormat="false" ht="15" hidden="false" customHeight="false" outlineLevel="0" collapsed="false">
      <c r="A16" s="0" t="s">
        <v>130</v>
      </c>
      <c r="C16" s="0" t="n">
        <f aca="false">-C12</f>
        <v>767.9874384</v>
      </c>
      <c r="D16" s="0" t="n">
        <f aca="false">-D12</f>
        <v>829.426433472</v>
      </c>
      <c r="E16" s="0" t="n">
        <f aca="false">-E12</f>
        <v>891.6334159824</v>
      </c>
      <c r="F16" s="0" t="n">
        <f aca="false">-F12</f>
        <v>954.047755101168</v>
      </c>
      <c r="G16" s="0" t="n">
        <f aca="false">-G12</f>
        <v>1011.29062040724</v>
      </c>
      <c r="H16" s="0" t="n">
        <f aca="false">-H12</f>
        <v>1061.8551514276</v>
      </c>
      <c r="I16" s="0" t="n">
        <f aca="false">-I12</f>
        <v>1109.63863324184</v>
      </c>
      <c r="J16" s="0" t="n">
        <f aca="false">-J12</f>
        <v>1154.02417857152</v>
      </c>
      <c r="K16" s="0" t="n">
        <f aca="false">-K12</f>
        <v>1194.41502482152</v>
      </c>
      <c r="L16" s="0" t="n">
        <f aca="false">-L12</f>
        <v>1230.24747556616</v>
      </c>
    </row>
    <row r="17" customFormat="false" ht="15" hidden="false" customHeight="false" outlineLevel="0" collapsed="false">
      <c r="A17" s="0" t="s">
        <v>131</v>
      </c>
      <c r="C17" s="4" t="n">
        <f aca="false">-C6*Assumptions!C46/100</f>
        <v>-1033.829244</v>
      </c>
      <c r="D17" s="4" t="n">
        <f aca="false">-D6*Assumptions!D46/100</f>
        <v>-1116.53558352</v>
      </c>
      <c r="E17" s="4" t="n">
        <f aca="false">-E6*Assumptions!E46/100</f>
        <v>-1200.275752284</v>
      </c>
      <c r="F17" s="4" t="n">
        <f aca="false">-F6*Assumptions!F46/100</f>
        <v>-1284.29505494388</v>
      </c>
      <c r="G17" s="4" t="n">
        <f aca="false">-G6*Assumptions!G46/100</f>
        <v>-1361.35275824051</v>
      </c>
      <c r="H17" s="4" t="n">
        <f aca="false">-H6*Assumptions!H46/100</f>
        <v>-1429.42039615254</v>
      </c>
      <c r="I17" s="4" t="n">
        <f aca="false">-I6*Assumptions!I46/100</f>
        <v>-1493.7443139794</v>
      </c>
      <c r="J17" s="4" t="n">
        <f aca="false">-J6*Assumptions!J46/100</f>
        <v>-1553.49408653858</v>
      </c>
      <c r="K17" s="4" t="n">
        <f aca="false">-K6*Assumptions!K46/100</f>
        <v>-1607.86637956743</v>
      </c>
      <c r="L17" s="4" t="n">
        <f aca="false">-L6*Assumptions!L46/100</f>
        <v>-1656.10237095445</v>
      </c>
    </row>
    <row r="18" customFormat="false" ht="15" hidden="false" customHeight="false" outlineLevel="0" collapsed="false">
      <c r="A18" s="0" t="s">
        <v>132</v>
      </c>
      <c r="C18" s="4" t="n">
        <f aca="false">(C6-B6)*Assumptions!$B$51/100</f>
        <v>109.39992</v>
      </c>
      <c r="D18" s="4" t="n">
        <f aca="false">(D6-C6)*Assumptions!$B$51/100</f>
        <v>118.1519136</v>
      </c>
      <c r="E18" s="4" t="n">
        <f aca="false">(E6-D6)*Assumptions!$B$51/100</f>
        <v>119.62881252</v>
      </c>
      <c r="F18" s="4" t="n">
        <f aca="false">(F6-E6)*Assumptions!$B$51/100</f>
        <v>120.0275752284</v>
      </c>
      <c r="G18" s="4" t="n">
        <f aca="false">(G6-F6)*Assumptions!$B$51/100</f>
        <v>110.082433280904</v>
      </c>
      <c r="H18" s="4" t="n">
        <f aca="false">(H6-G6)*Assumptions!$B$51/100</f>
        <v>97.2394827314652</v>
      </c>
      <c r="I18" s="4" t="n">
        <f aca="false">(I6-H6)*Assumptions!$B$51/100</f>
        <v>91.8913111812344</v>
      </c>
      <c r="J18" s="4" t="n">
        <f aca="false">(J6-I6)*Assumptions!$B$51/100</f>
        <v>85.3568179416801</v>
      </c>
      <c r="K18" s="4" t="n">
        <f aca="false">(K6-J6)*Assumptions!$B$51/100</f>
        <v>77.6747043269286</v>
      </c>
      <c r="L18" s="4" t="n">
        <f aca="false">(L6-K6)*Assumptions!$B$51/100</f>
        <v>68.9085591243183</v>
      </c>
    </row>
    <row r="19" customFormat="false" ht="15" hidden="false" customHeight="false" outlineLevel="0" collapsed="false">
      <c r="A19" s="0" t="s">
        <v>133</v>
      </c>
      <c r="C19" s="0" t="n">
        <f aca="false">C15+C16+C17+C18</f>
        <v>4048.28933964</v>
      </c>
      <c r="D19" s="0" t="n">
        <f aca="false">D15+D16+D17+D18</f>
        <v>4442.01571332288</v>
      </c>
      <c r="E19" s="0" t="n">
        <f aca="false">E15+E16+E17+E18</f>
        <v>4842.88536572215</v>
      </c>
      <c r="F19" s="0" t="n">
        <f aca="false">F15+F16+F17+F18</f>
        <v>5254.27226344976</v>
      </c>
      <c r="G19" s="0" t="n">
        <f aca="false">G15+G16+G17+G18</f>
        <v>5637.56358966831</v>
      </c>
      <c r="H19" s="0" t="n">
        <f aca="false">H15+H16+H17+H18</f>
        <v>5990.53557315465</v>
      </c>
      <c r="I19" s="0" t="n">
        <f aca="false">I15+I16+I17+I18</f>
        <v>6250.38572567346</v>
      </c>
      <c r="J19" s="0" t="n">
        <f aca="false">J15+J16+J17+J18</f>
        <v>6490.19100901359</v>
      </c>
      <c r="K19" s="0" t="n">
        <f aca="false">K15+K16+K17+K18</f>
        <v>6706.67809208636</v>
      </c>
      <c r="L19" s="0" t="n">
        <f aca="false">L15+L16+L17+L18</f>
        <v>6896.78204851653</v>
      </c>
    </row>
    <row r="20" customFormat="false" ht="15" hidden="false" customHeight="false" outlineLevel="0" collapsed="false">
      <c r="A20" s="0" t="s">
        <v>134</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135</v>
      </c>
      <c r="C21" s="0" t="n">
        <f aca="false">C19*C20</f>
        <v>3714.02691710092</v>
      </c>
      <c r="D21" s="0" t="n">
        <f aca="false">D19*D20</f>
        <v>3738.75575567956</v>
      </c>
      <c r="E21" s="0" t="n">
        <f aca="false">E19*E20</f>
        <v>3739.59607524013</v>
      </c>
      <c r="F21" s="0" t="n">
        <f aca="false">F19*F20</f>
        <v>3722.2589372284</v>
      </c>
      <c r="G21" s="0" t="n">
        <f aca="false">G19*G20</f>
        <v>3664.0295191782</v>
      </c>
      <c r="H21" s="0" t="n">
        <f aca="false">H19*H20</f>
        <v>3571.96063277977</v>
      </c>
      <c r="I21" s="0" t="n">
        <f aca="false">I19*I20</f>
        <v>3419.17503542323</v>
      </c>
      <c r="J21" s="0" t="n">
        <f aca="false">J19*J20</f>
        <v>3257.2080160593</v>
      </c>
      <c r="K21" s="0" t="n">
        <f aca="false">K19*K20</f>
        <v>3087.94090186994</v>
      </c>
      <c r="L21" s="0" t="n">
        <f aca="false">L19*L20</f>
        <v>2913.27527009757</v>
      </c>
    </row>
    <row r="23" customFormat="false" ht="15" hidden="false" customHeight="false" outlineLevel="0" collapsed="false">
      <c r="A23" s="0" t="s">
        <v>111</v>
      </c>
      <c r="C23" s="4" t="n">
        <f aca="false">Assumptions!C44</f>
        <v>2</v>
      </c>
      <c r="D23" s="4" t="n">
        <f aca="false">Assumptions!D44</f>
        <v>2</v>
      </c>
      <c r="E23" s="4" t="n">
        <f aca="false">Assumptions!E44</f>
        <v>2</v>
      </c>
      <c r="F23" s="4" t="n">
        <f aca="false">Assumptions!F44</f>
        <v>2</v>
      </c>
      <c r="G23" s="4" t="n">
        <f aca="false">Assumptions!G44</f>
        <v>2</v>
      </c>
      <c r="H23" s="4" t="n">
        <f aca="false">Assumptions!H44</f>
        <v>2</v>
      </c>
      <c r="I23" s="4" t="n">
        <f aca="false">Assumptions!I44</f>
        <v>2</v>
      </c>
      <c r="J23" s="4" t="n">
        <f aca="false">Assumptions!J44</f>
        <v>2</v>
      </c>
      <c r="K23" s="4" t="n">
        <f aca="false">Assumptions!K44</f>
        <v>2</v>
      </c>
      <c r="L23" s="4" t="n">
        <f aca="false">Assumptions!L44</f>
        <v>2</v>
      </c>
    </row>
    <row r="24" customFormat="false" ht="15" hidden="false" customHeight="false" outlineLevel="0" collapsed="false">
      <c r="A24" s="0" t="s">
        <v>136</v>
      </c>
      <c r="C24" s="0" t="n">
        <f aca="false">-C6*C23/100</f>
        <v>-590.759568</v>
      </c>
      <c r="D24" s="0" t="n">
        <f aca="false">-D6*D23/100</f>
        <v>-638.02033344</v>
      </c>
      <c r="E24" s="0" t="n">
        <f aca="false">-E6*E23/100</f>
        <v>-685.871858448</v>
      </c>
      <c r="F24" s="0" t="n">
        <f aca="false">-F6*F23/100</f>
        <v>-733.88288853936</v>
      </c>
      <c r="G24" s="0" t="n">
        <f aca="false">-G6*G23/100</f>
        <v>-777.915861851722</v>
      </c>
      <c r="H24" s="0" t="n">
        <f aca="false">-H6*H23/100</f>
        <v>-816.811654944308</v>
      </c>
      <c r="I24" s="0" t="n">
        <f aca="false">-I6*I23/100</f>
        <v>-853.568179416801</v>
      </c>
      <c r="J24" s="0" t="n">
        <f aca="false">-J6*J23/100</f>
        <v>-887.710906593474</v>
      </c>
      <c r="K24" s="0" t="n">
        <f aca="false">-K6*K23/100</f>
        <v>-918.780788324245</v>
      </c>
      <c r="L24" s="0" t="n">
        <f aca="false">-L6*L23/100</f>
        <v>-946.344211973972</v>
      </c>
    </row>
    <row r="26" customFormat="false" ht="15" hidden="false" customHeight="false" outlineLevel="0" collapsed="false">
      <c r="A26" s="2" t="s">
        <v>137</v>
      </c>
    </row>
    <row r="27" customFormat="false" ht="15" hidden="false" customHeight="false" outlineLevel="0" collapsed="false">
      <c r="A27" s="0" t="s">
        <v>115</v>
      </c>
      <c r="B27" s="4" t="n">
        <f aca="false">Assumptions!$B$48</f>
        <v>9</v>
      </c>
    </row>
    <row r="28" customFormat="false" ht="15" hidden="false" customHeight="false" outlineLevel="0" collapsed="false">
      <c r="A28" s="0" t="s">
        <v>116</v>
      </c>
      <c r="B28" s="4" t="n">
        <f aca="false">Assumptions!$B$49</f>
        <v>3</v>
      </c>
    </row>
    <row r="29" customFormat="false" ht="15" hidden="false" customHeight="false" outlineLevel="0" collapsed="false">
      <c r="A29" s="0" t="s">
        <v>117</v>
      </c>
      <c r="B29" s="4" t="n">
        <f aca="false">Assumptions!$B$50</f>
        <v>15</v>
      </c>
    </row>
    <row r="30" customFormat="false" ht="15" hidden="false" customHeight="false" outlineLevel="0" collapsed="false">
      <c r="A30" s="0" t="s">
        <v>138</v>
      </c>
      <c r="B30" s="0" t="n">
        <f aca="false">SUM(C21:L21)</f>
        <v>34828.227060657</v>
      </c>
    </row>
    <row r="31" customFormat="false" ht="15" hidden="false" customHeight="false" outlineLevel="0" collapsed="false">
      <c r="A31" s="0" t="s">
        <v>139</v>
      </c>
      <c r="B31" s="0" t="n">
        <f aca="false">L19</f>
        <v>6896.78204851653</v>
      </c>
    </row>
    <row r="32" customFormat="false" ht="15" hidden="false" customHeight="false" outlineLevel="0" collapsed="false">
      <c r="A32" s="0" t="s">
        <v>140</v>
      </c>
      <c r="B32" s="0" t="n">
        <f aca="false">IF(B27&gt;B28,B31*(1+B28/100)/((B27-B28)/100),B31*B29)</f>
        <v>118394.758499534</v>
      </c>
    </row>
    <row r="33" customFormat="false" ht="15" hidden="false" customHeight="false" outlineLevel="0" collapsed="false">
      <c r="A33" s="0" t="s">
        <v>141</v>
      </c>
      <c r="B33" s="0" t="n">
        <f aca="false">B31*B29</f>
        <v>103451.730727748</v>
      </c>
    </row>
    <row r="34" customFormat="false" ht="15" hidden="false" customHeight="false" outlineLevel="0" collapsed="false">
      <c r="A34" s="0" t="s">
        <v>142</v>
      </c>
      <c r="B34" s="0" t="n">
        <f aca="false">MAX(0,MIN(B32,B33))</f>
        <v>103451.730727748</v>
      </c>
    </row>
    <row r="35" customFormat="false" ht="15" hidden="false" customHeight="false" outlineLevel="0" collapsed="false">
      <c r="A35" s="0" t="s">
        <v>143</v>
      </c>
      <c r="B35" s="0" t="n">
        <f aca="false">B34/(1+B27/100)^L4</f>
        <v>43699.1290514635</v>
      </c>
    </row>
    <row r="36" customFormat="false" ht="15" hidden="false" customHeight="false" outlineLevel="0" collapsed="false">
      <c r="A36" s="0" t="s">
        <v>144</v>
      </c>
      <c r="B36" s="0" t="n">
        <f aca="false">B30+B35</f>
        <v>78527.3561121205</v>
      </c>
    </row>
    <row r="37" customFormat="false" ht="15" hidden="false" customHeight="false" outlineLevel="0" collapsed="false">
      <c r="A37" s="0" t="s">
        <v>145</v>
      </c>
      <c r="B37" s="0" t="n">
        <f aca="false">B36+Assumptions!$B$5-Assumptions!$B$4</f>
        <v>91204.2561121205</v>
      </c>
    </row>
    <row r="38" customFormat="false" ht="15" hidden="false" customHeight="false" outlineLevel="0" collapsed="false">
      <c r="A38" s="0" t="s">
        <v>146</v>
      </c>
      <c r="B38" s="0" t="n">
        <f aca="false">B37/Assumptions!$B$3*Assumptions!$B$10</f>
        <v>9.16490026771296</v>
      </c>
    </row>
    <row r="39" customFormat="false" ht="15" hidden="false" customHeight="false" outlineLevel="0" collapsed="false">
      <c r="A39" s="0" t="s">
        <v>147</v>
      </c>
      <c r="B39" s="4" t="n">
        <f aca="false">B38/Assumptions!$B$2-1</f>
        <v>1.15898710664616</v>
      </c>
    </row>
    <row r="41" customFormat="false" ht="15" hidden="false" customHeight="false" outlineLevel="0" collapsed="false">
      <c r="A41" s="0" t="s">
        <v>148</v>
      </c>
      <c r="B41" s="0" t="n">
        <f aca="false">SUMPRODUCT(-C10:L10/(1+$B$27/100)^C4:L4)</f>
        <v>971.27234305893</v>
      </c>
    </row>
    <row r="42" customFormat="false" ht="15" hidden="false" customHeight="false" outlineLevel="0" collapsed="false">
      <c r="A42" s="0" t="s">
        <v>149</v>
      </c>
      <c r="B42" s="0" t="n">
        <f aca="false">IF(B27&gt;B28,-L10*(1+B28/100)/((B27-B28)/100),-L10*20)/(1+B27/100)^L4</f>
        <v>1372.4613428214</v>
      </c>
    </row>
    <row r="43" customFormat="false" ht="15" hidden="false" customHeight="false" outlineLevel="0" collapsed="false">
      <c r="A43" s="0" t="s">
        <v>150</v>
      </c>
      <c r="B43" s="0" t="n">
        <f aca="false">(B37+B41+B42)/Assumptions!$B$3*Assumptions!$B$10</f>
        <v>9.40041652979141</v>
      </c>
    </row>
    <row r="45" customFormat="false" ht="15" hidden="false" customHeight="false" outlineLevel="0" collapsed="false">
      <c r="A45" s="0" t="s">
        <v>91</v>
      </c>
      <c r="B45" s="4" t="n">
        <f aca="false">Assumptions!$B$6</f>
        <v>15</v>
      </c>
    </row>
    <row r="46" customFormat="false" ht="15" hidden="false" customHeight="false" outlineLevel="0" collapsed="false">
      <c r="A46" s="0" t="s">
        <v>151</v>
      </c>
      <c r="B46" s="0" t="n">
        <f aca="false">MAX(0,MIN(IF(B45&gt;B28,B31*(1+B28/100)/((B45-B28)/100),B31*B29),B31*B29))</f>
        <v>59197.3792497669</v>
      </c>
    </row>
    <row r="47" customFormat="false" ht="15" hidden="false" customHeight="false" outlineLevel="0" collapsed="false">
      <c r="A47" s="0" t="s">
        <v>152</v>
      </c>
      <c r="B47" s="0" t="n">
        <f aca="false">(SUMPRODUCT(C19:L19/(1+B45/100)^C4:L4)+B46/(1+B45/100)^L4+Assumptions!$B$5-Assumptions!$B$4)/Assumptions!$B$3*Assumptions!$B$10</f>
        <v>5.41150496612337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155</v>
      </c>
    </row>
    <row r="3" customFormat="false" ht="15" hidden="false" customHeight="false" outlineLevel="0" collapsed="false">
      <c r="A3" s="2" t="s">
        <v>156</v>
      </c>
      <c r="B3" s="2" t="s">
        <v>157</v>
      </c>
      <c r="C3" s="2" t="s">
        <v>147</v>
      </c>
      <c r="D3" s="2" t="s">
        <v>158</v>
      </c>
      <c r="E3" s="2" t="s">
        <v>150</v>
      </c>
      <c r="F3" s="2" t="s">
        <v>159</v>
      </c>
    </row>
    <row r="4" customFormat="false" ht="15" hidden="false" customHeight="false" outlineLevel="0" collapsed="false">
      <c r="A4" s="0" t="s">
        <v>160</v>
      </c>
      <c r="B4" s="4" t="n">
        <f aca="false">DCF_Bear!$B$38</f>
        <v>5.16816099584507</v>
      </c>
      <c r="C4" s="0" t="n">
        <f aca="false">B4/Assumptions!$B$2-1</f>
        <v>0.217470199256788</v>
      </c>
      <c r="D4" s="4" t="n">
        <f aca="false">Assumptions!$B$24</f>
        <v>0.25</v>
      </c>
      <c r="E4" s="4" t="n">
        <f aca="false">DCF_Bear!$B$43</f>
        <v>5.32310037031747</v>
      </c>
      <c r="F4" s="4" t="n">
        <f aca="false">DCF_Bear!$B$47</f>
        <v>3.58529463695992</v>
      </c>
    </row>
    <row r="5" customFormat="false" ht="15" hidden="false" customHeight="false" outlineLevel="0" collapsed="false">
      <c r="A5" s="0" t="s">
        <v>161</v>
      </c>
      <c r="B5" s="4" t="n">
        <f aca="false">DCF_Base!$B$38</f>
        <v>7.45929673770161</v>
      </c>
      <c r="C5" s="0" t="n">
        <f aca="false">B5/Assumptions!$B$2-1</f>
        <v>0.757195933498613</v>
      </c>
      <c r="D5" s="4" t="n">
        <f aca="false">Assumptions!$B$38</f>
        <v>0.5</v>
      </c>
      <c r="E5" s="4" t="n">
        <f aca="false">DCF_Base!$B$43</f>
        <v>7.64911158776232</v>
      </c>
      <c r="F5" s="4" t="n">
        <f aca="false">DCF_Base!$B$47</f>
        <v>4.52473750099128</v>
      </c>
    </row>
    <row r="6" customFormat="false" ht="15" hidden="false" customHeight="false" outlineLevel="0" collapsed="false">
      <c r="A6" s="0" t="s">
        <v>162</v>
      </c>
      <c r="B6" s="4" t="n">
        <f aca="false">DCF_Bull!$B$38</f>
        <v>9.16490026771296</v>
      </c>
      <c r="C6" s="0" t="n">
        <f aca="false">B6/Assumptions!$B$2-1</f>
        <v>1.15898710664616</v>
      </c>
      <c r="D6" s="4" t="n">
        <f aca="false">Assumptions!$B$52</f>
        <v>0.25</v>
      </c>
      <c r="E6" s="4" t="n">
        <f aca="false">DCF_Bull!$B$43</f>
        <v>9.40041652979141</v>
      </c>
      <c r="F6" s="4" t="n">
        <f aca="false">DCF_Bull!$B$47</f>
        <v>5.41150496612337</v>
      </c>
    </row>
    <row r="8" customFormat="false" ht="15" hidden="false" customHeight="false" outlineLevel="0" collapsed="false">
      <c r="A8" s="0" t="s">
        <v>163</v>
      </c>
      <c r="B8" s="0" t="n">
        <f aca="false">SUMPRODUCT(B4:B6,D4:D6)</f>
        <v>7.31291368474031</v>
      </c>
    </row>
    <row r="9" customFormat="false" ht="15" hidden="false" customHeight="false" outlineLevel="0" collapsed="false">
      <c r="A9" s="0" t="s">
        <v>164</v>
      </c>
      <c r="B9" s="0" t="n">
        <f aca="false">SUMPRODUCT(E4:E6,D4:D6)</f>
        <v>7.50543501890838</v>
      </c>
    </row>
    <row r="10" customFormat="false" ht="15" hidden="false" customHeight="false" outlineLevel="0" collapsed="false">
      <c r="A10" s="0" t="s">
        <v>165</v>
      </c>
      <c r="B10" s="0" t="n">
        <f aca="false">1-Assumptions!$B$2/B8</f>
        <v>0.419520018558684</v>
      </c>
    </row>
    <row r="11" customFormat="false" ht="15" hidden="false" customHeight="false" outlineLevel="0" collapsed="false">
      <c r="A11" s="0" t="s">
        <v>166</v>
      </c>
      <c r="B11" s="0" t="n">
        <f aca="false">IF(ABS(B9-B8)&gt;0.01*ABS(B8),(Assumptions!$B$2-B8)/(B9-B8)*100,"n/a")</f>
        <v>-1593.54478712581</v>
      </c>
    </row>
    <row r="12" customFormat="false" ht="15" hidden="false" customHeight="false" outlineLevel="0" collapsed="false">
      <c r="A12" s="0" t="s">
        <v>167</v>
      </c>
      <c r="B12" s="0" t="n">
        <f aca="false">SUMPRODUCT(F4:F6,D4:D6)</f>
        <v>4.51156865126646</v>
      </c>
    </row>
    <row r="14" customFormat="false" ht="15" hidden="false" customHeight="false" outlineLevel="0" collapsed="false">
      <c r="A14" s="2" t="s">
        <v>168</v>
      </c>
      <c r="C14" s="0" t="s">
        <v>169</v>
      </c>
    </row>
    <row r="15" customFormat="false" ht="15" hidden="false" customHeight="false" outlineLevel="0" collapsed="false">
      <c r="A15" s="0" t="s">
        <v>170</v>
      </c>
      <c r="B15" s="0" t="n">
        <f aca="false">(SUMPRODUCT(DCF_Base!$C$19:$L$19/(1+$C$15/100)^DCF_Base!$C$4:$L$4)+MAX(0,MIN(IF($C$15&gt;DCF_Base!$B$28,DCF_Base!$L$19*(1+DCF_Base!$B$28/100)/(($C$15-DCF_Base!$B$28)/100),DCF_Base!$L$19*DCF_Base!$B$29),DCF_Base!$L$19*DCF_Base!$B$29))/(1+$C$15/100)^DCF_Base!$L$4+Assumptions!$B$5-Assumptions!$B$4)/Assumptions!$B$3*Assumptions!$B$10</f>
        <v>7.45929673770161</v>
      </c>
      <c r="C15" s="3" t="n">
        <v>9</v>
      </c>
    </row>
    <row r="16" customFormat="false" ht="15" hidden="false" customHeight="false" outlineLevel="0" collapsed="false">
      <c r="A16" s="0" t="s">
        <v>171</v>
      </c>
      <c r="B16" s="0" t="n">
        <f aca="false">(SUMPRODUCT(DCF_Base!$C$19:$L$19/(1+$C$16/100)^DCF_Base!$C$4:$L$4)+MAX(0,MIN(IF($C$16&gt;DCF_Base!$B$28,DCF_Base!$L$19*(1+DCF_Base!$B$28/100)/(($C$16-DCF_Base!$B$28)/100),DCF_Base!$L$19*DCF_Base!$B$29),DCF_Base!$L$19*DCF_Base!$B$29))/(1+$C$16/100)^DCF_Base!$L$4+Assumptions!$B$5-Assumptions!$B$4)/Assumptions!$B$3*Assumptions!$B$10</f>
        <v>6.76643061153468</v>
      </c>
      <c r="C16" s="3" t="n">
        <v>10</v>
      </c>
    </row>
    <row r="17" customFormat="false" ht="15" hidden="false" customHeight="false" outlineLevel="0" collapsed="false">
      <c r="A17" s="0" t="s">
        <v>172</v>
      </c>
      <c r="B17" s="0" t="n">
        <f aca="false">(SUMPRODUCT(DCF_Base!$C$19:$L$19/(1+$C$17/100)^DCF_Base!$C$4:$L$4)+MAX(0,MIN(IF($C$17&gt;DCF_Base!$B$28,DCF_Base!$L$19*(1+DCF_Base!$B$28/100)/(($C$17-DCF_Base!$B$28)/100),DCF_Base!$L$19*DCF_Base!$B$29),DCF_Base!$L$19*DCF_Base!$B$29))/(1+$C$17/100)^DCF_Base!$L$4+Assumptions!$B$5-Assumptions!$B$4)/Assumptions!$B$3*Assumptions!$B$10</f>
        <v>6.10595885958572</v>
      </c>
      <c r="C17" s="3" t="n">
        <v>11</v>
      </c>
    </row>
    <row r="18" customFormat="false" ht="15" hidden="false" customHeight="false" outlineLevel="0" collapsed="false">
      <c r="A18" s="0" t="s">
        <v>173</v>
      </c>
      <c r="B18" s="0" t="n">
        <f aca="false">(SUMPRODUCT(DCF_Base!$C$19:$L$19/(1+$C$18/100)^DCF_Base!$C$4:$L$4)+MAX(0,MIN(IF($C$18&gt;DCF_Base!$B$28,DCF_Base!$L$19*(1+DCF_Base!$B$28/100)/(($C$18-DCF_Base!$B$28)/100),DCF_Base!$L$19*DCF_Base!$B$29),DCF_Base!$L$19*DCF_Base!$B$29))/(1+$C$18/100)^DCF_Base!$L$4+Assumptions!$B$5-Assumptions!$B$4)/Assumptions!$B$3*Assumptions!$B$10</f>
        <v>5.58507732890255</v>
      </c>
      <c r="C18" s="3" t="n">
        <v>12</v>
      </c>
    </row>
    <row r="19" customFormat="false" ht="15" hidden="false" customHeight="false" outlineLevel="0" collapsed="false">
      <c r="A19" s="0" t="s">
        <v>174</v>
      </c>
      <c r="B19" s="0" t="n">
        <f aca="false">(SUMPRODUCT(DCF_Base!$C$19:$L$19/(1+$C$19/100)^DCF_Base!$C$4:$L$4)+MAX(0,MIN(IF($C$19&gt;DCF_Base!$B$28,DCF_Base!$L$19*(1+DCF_Base!$B$28/100)/(($C$19-DCF_Base!$B$28)/100),DCF_Base!$L$19*DCF_Base!$B$29),DCF_Base!$L$19*DCF_Base!$B$29))/(1+$C$19/100)^DCF_Base!$L$4+Assumptions!$B$5-Assumptions!$B$4)/Assumptions!$B$3*Assumptions!$B$10</f>
        <v>4.52473750099128</v>
      </c>
      <c r="C19" s="3" t="n">
        <v>15</v>
      </c>
    </row>
    <row r="21" customFormat="false" ht="15" hidden="false" customHeight="false" outlineLevel="0" collapsed="false">
      <c r="A21" s="2" t="s">
        <v>175</v>
      </c>
    </row>
    <row r="22" customFormat="false" ht="15" hidden="false" customHeight="false" outlineLevel="0" collapsed="false">
      <c r="B22" s="3" t="n">
        <v>1.5</v>
      </c>
      <c r="C22" s="3" t="n">
        <v>2</v>
      </c>
      <c r="D22" s="3" t="n">
        <v>2.5</v>
      </c>
      <c r="E22" s="3" t="n">
        <v>3</v>
      </c>
      <c r="F22" s="3" t="n">
        <v>3.5</v>
      </c>
    </row>
    <row r="23" customFormat="false" ht="15" hidden="false" customHeight="false" outlineLevel="0" collapsed="false">
      <c r="A23" s="3" t="n">
        <v>7</v>
      </c>
      <c r="B23" s="0" t="n">
        <f aca="false">(SUMPRODUCT(DCF_Base!$C$19:$L$19/(1+$A$23/100)^DCF_Base!$C$4:$L$4)+MAX(0,MIN(IF($A$23&gt;$B$22,DCF_Base!$L$19*(1+$B$22/100)/(($A$23-$B$22)/100),DCF_Base!$L$19*DCF_Base!$B$29),DCF_Base!$L$19*DCF_Base!$B$29))/(1+$A$23/100)^DCF_Base!$L$4+Assumptions!$B$5-Assumptions!$B$4)/Assumptions!$B$3*Assumptions!$B$10</f>
        <v>8.42778934062346</v>
      </c>
      <c r="C23" s="0" t="n">
        <f aca="false">(SUMPRODUCT(DCF_Base!$C$19:$L$19/(1+$A$23/100)^DCF_Base!$C$4:$L$4)+MAX(0,MIN(IF($A$23&gt;$C$22,DCF_Base!$L$19*(1+$C$22/100)/(($A$23-$C$22)/100),DCF_Base!$L$19*DCF_Base!$B$29),DCF_Base!$L$19*DCF_Base!$B$29))/(1+$A$23/100)^DCF_Base!$L$4+Assumptions!$B$5-Assumptions!$B$4)/Assumptions!$B$3*Assumptions!$B$10</f>
        <v>8.42778934062346</v>
      </c>
      <c r="D23" s="0" t="n">
        <f aca="false">(SUMPRODUCT(DCF_Base!$C$19:$L$19/(1+$A$23/100)^DCF_Base!$C$4:$L$4)+MAX(0,MIN(IF($A$23&gt;$D$22,DCF_Base!$L$19*(1+$D$22/100)/(($A$23-$D$22)/100),DCF_Base!$L$19*DCF_Base!$B$29),DCF_Base!$L$19*DCF_Base!$B$29))/(1+$A$23/100)^DCF_Base!$L$4+Assumptions!$B$5-Assumptions!$B$4)/Assumptions!$B$3*Assumptions!$B$10</f>
        <v>8.42778934062346</v>
      </c>
      <c r="E23" s="0" t="n">
        <f aca="false">(SUMPRODUCT(DCF_Base!$C$19:$L$19/(1+$A$23/100)^DCF_Base!$C$4:$L$4)+MAX(0,MIN(IF($A$23&gt;$E$22,DCF_Base!$L$19*(1+$E$22/100)/(($A$23-$E$22)/100),DCF_Base!$L$19*DCF_Base!$B$29),DCF_Base!$L$19*DCF_Base!$B$29))/(1+$A$23/100)^DCF_Base!$L$4+Assumptions!$B$5-Assumptions!$B$4)/Assumptions!$B$3*Assumptions!$B$10</f>
        <v>8.42778934062346</v>
      </c>
      <c r="F23" s="0" t="n">
        <f aca="false">(SUMPRODUCT(DCF_Base!$C$19:$L$19/(1+$A$23/100)^DCF_Base!$C$4:$L$4)+MAX(0,MIN(IF($A$23&gt;$F$22,DCF_Base!$L$19*(1+$F$22/100)/(($A$23-$F$22)/100),DCF_Base!$L$19*DCF_Base!$B$29),DCF_Base!$L$19*DCF_Base!$B$29))/(1+$A$23/100)^DCF_Base!$L$4+Assumptions!$B$5-Assumptions!$B$4)/Assumptions!$B$3*Assumptions!$B$10</f>
        <v>8.42778934062346</v>
      </c>
    </row>
    <row r="24" customFormat="false" ht="15" hidden="false" customHeight="false" outlineLevel="0" collapsed="false">
      <c r="A24" s="3" t="n">
        <v>8</v>
      </c>
      <c r="B24" s="0" t="n">
        <f aca="false">(SUMPRODUCT(DCF_Base!$C$19:$L$19/(1+$A$24/100)^DCF_Base!$C$4:$L$4)+MAX(0,MIN(IF($A$24&gt;$B$22,DCF_Base!$L$19*(1+$B$22/100)/(($A$24-$B$22)/100),DCF_Base!$L$19*DCF_Base!$B$29),DCF_Base!$L$19*DCF_Base!$B$29))/(1+$A$24/100)^DCF_Base!$L$4+Assumptions!$B$5-Assumptions!$B$4)/Assumptions!$B$3*Assumptions!$B$10</f>
        <v>7.92105402015215</v>
      </c>
      <c r="C24" s="0" t="n">
        <f aca="false">(SUMPRODUCT(DCF_Base!$C$19:$L$19/(1+$A$24/100)^DCF_Base!$C$4:$L$4)+MAX(0,MIN(IF($A$24&gt;$C$22,DCF_Base!$L$19*(1+$C$22/100)/(($A$24-$C$22)/100),DCF_Base!$L$19*DCF_Base!$B$29),DCF_Base!$L$19*DCF_Base!$B$29))/(1+$A$24/100)^DCF_Base!$L$4+Assumptions!$B$5-Assumptions!$B$4)/Assumptions!$B$3*Assumptions!$B$10</f>
        <v>7.92105402015215</v>
      </c>
      <c r="D24" s="0" t="n">
        <f aca="false">(SUMPRODUCT(DCF_Base!$C$19:$L$19/(1+$A$24/100)^DCF_Base!$C$4:$L$4)+MAX(0,MIN(IF($A$24&gt;$D$22,DCF_Base!$L$19*(1+$D$22/100)/(($A$24-$D$22)/100),DCF_Base!$L$19*DCF_Base!$B$29),DCF_Base!$L$19*DCF_Base!$B$29))/(1+$A$24/100)^DCF_Base!$L$4+Assumptions!$B$5-Assumptions!$B$4)/Assumptions!$B$3*Assumptions!$B$10</f>
        <v>7.92105402015215</v>
      </c>
      <c r="E24" s="0" t="n">
        <f aca="false">(SUMPRODUCT(DCF_Base!$C$19:$L$19/(1+$A$24/100)^DCF_Base!$C$4:$L$4)+MAX(0,MIN(IF($A$24&gt;$E$22,DCF_Base!$L$19*(1+$E$22/100)/(($A$24-$E$22)/100),DCF_Base!$L$19*DCF_Base!$B$29),DCF_Base!$L$19*DCF_Base!$B$29))/(1+$A$24/100)^DCF_Base!$L$4+Assumptions!$B$5-Assumptions!$B$4)/Assumptions!$B$3*Assumptions!$B$10</f>
        <v>7.92105402015215</v>
      </c>
      <c r="F24" s="0" t="n">
        <f aca="false">(SUMPRODUCT(DCF_Base!$C$19:$L$19/(1+$A$24/100)^DCF_Base!$C$4:$L$4)+MAX(0,MIN(IF($A$24&gt;$F$22,DCF_Base!$L$19*(1+$F$22/100)/(($A$24-$F$22)/100),DCF_Base!$L$19*DCF_Base!$B$29),DCF_Base!$L$19*DCF_Base!$B$29))/(1+$A$24/100)^DCF_Base!$L$4+Assumptions!$B$5-Assumptions!$B$4)/Assumptions!$B$3*Assumptions!$B$10</f>
        <v>7.92105402015215</v>
      </c>
    </row>
    <row r="25" customFormat="false" ht="15" hidden="false" customHeight="false" outlineLevel="0" collapsed="false">
      <c r="A25" s="3" t="n">
        <v>9</v>
      </c>
      <c r="B25" s="0" t="n">
        <f aca="false">(SUMPRODUCT(DCF_Base!$C$19:$L$19/(1+$A$25/100)^DCF_Base!$C$4:$L$4)+MAX(0,MIN(IF($A$25&gt;$B$22,DCF_Base!$L$19*(1+$B$22/100)/(($A$25-$B$22)/100),DCF_Base!$L$19*DCF_Base!$B$29),DCF_Base!$L$19*DCF_Base!$B$29))/(1+$A$25/100)^DCF_Base!$L$4+Assumptions!$B$5-Assumptions!$B$4)/Assumptions!$B$3*Assumptions!$B$10</f>
        <v>7.13198125298525</v>
      </c>
      <c r="C25" s="0" t="n">
        <f aca="false">(SUMPRODUCT(DCF_Base!$C$19:$L$19/(1+$A$25/100)^DCF_Base!$C$4:$L$4)+MAX(0,MIN(IF($A$25&gt;$C$22,DCF_Base!$L$19*(1+$C$22/100)/(($A$25-$C$22)/100),DCF_Base!$L$19*DCF_Base!$B$29),DCF_Base!$L$19*DCF_Base!$B$29))/(1+$A$25/100)^DCF_Base!$L$4+Assumptions!$B$5-Assumptions!$B$4)/Assumptions!$B$3*Assumptions!$B$10</f>
        <v>7.36365260255722</v>
      </c>
      <c r="D25" s="0" t="n">
        <f aca="false">(SUMPRODUCT(DCF_Base!$C$19:$L$19/(1+$A$25/100)^DCF_Base!$C$4:$L$4)+MAX(0,MIN(IF($A$25&gt;$D$22,DCF_Base!$L$19*(1+$D$22/100)/(($A$25-$D$22)/100),DCF_Base!$L$19*DCF_Base!$B$29),DCF_Base!$L$19*DCF_Base!$B$29))/(1+$A$25/100)^DCF_Base!$L$4+Assumptions!$B$5-Assumptions!$B$4)/Assumptions!$B$3*Assumptions!$B$10</f>
        <v>7.45929673770161</v>
      </c>
      <c r="E25" s="0" t="n">
        <f aca="false">(SUMPRODUCT(DCF_Base!$C$19:$L$19/(1+$A$25/100)^DCF_Base!$C$4:$L$4)+MAX(0,MIN(IF($A$25&gt;$E$22,DCF_Base!$L$19*(1+$E$22/100)/(($A$25-$E$22)/100),DCF_Base!$L$19*DCF_Base!$B$29),DCF_Base!$L$19*DCF_Base!$B$29))/(1+$A$25/100)^DCF_Base!$L$4+Assumptions!$B$5-Assumptions!$B$4)/Assumptions!$B$3*Assumptions!$B$10</f>
        <v>7.45929673770161</v>
      </c>
      <c r="F25" s="0" t="n">
        <f aca="false">(SUMPRODUCT(DCF_Base!$C$19:$L$19/(1+$A$25/100)^DCF_Base!$C$4:$L$4)+MAX(0,MIN(IF($A$25&gt;$F$22,DCF_Base!$L$19*(1+$F$22/100)/(($A$25-$F$22)/100),DCF_Base!$L$19*DCF_Base!$B$29),DCF_Base!$L$19*DCF_Base!$B$29))/(1+$A$25/100)^DCF_Base!$L$4+Assumptions!$B$5-Assumptions!$B$4)/Assumptions!$B$3*Assumptions!$B$10</f>
        <v>7.45929673770161</v>
      </c>
    </row>
    <row r="26" customFormat="false" ht="15" hidden="false" customHeight="false" outlineLevel="0" collapsed="false">
      <c r="A26" s="3" t="n">
        <v>10</v>
      </c>
      <c r="B26" s="0" t="n">
        <f aca="false">(SUMPRODUCT(DCF_Base!$C$19:$L$19/(1+$A$26/100)^DCF_Base!$C$4:$L$4)+MAX(0,MIN(IF($A$26&gt;$B$22,DCF_Base!$L$19*(1+$B$22/100)/(($A$26-$B$22)/100),DCF_Base!$L$19*DCF_Base!$B$29),DCF_Base!$L$19*DCF_Base!$B$29))/(1+$A$26/100)^DCF_Base!$L$4+Assumptions!$B$5-Assumptions!$B$4)/Assumptions!$B$3*Assumptions!$B$10</f>
        <v>6.41496264105027</v>
      </c>
      <c r="C26" s="0" t="n">
        <f aca="false">(SUMPRODUCT(DCF_Base!$C$19:$L$19/(1+$A$26/100)^DCF_Base!$C$4:$L$4)+MAX(0,MIN(IF($A$26&gt;$C$22,DCF_Base!$L$19*(1+$C$22/100)/(($A$26-$C$22)/100),DCF_Base!$L$19*DCF_Base!$B$29),DCF_Base!$L$19*DCF_Base!$B$29))/(1+$A$26/100)^DCF_Base!$L$4+Assumptions!$B$5-Assumptions!$B$4)/Assumptions!$B$3*Assumptions!$B$10</f>
        <v>6.57971325221484</v>
      </c>
      <c r="D26" s="0" t="n">
        <f aca="false">(SUMPRODUCT(DCF_Base!$C$19:$L$19/(1+$A$26/100)^DCF_Base!$C$4:$L$4)+MAX(0,MIN(IF($A$26&gt;$D$22,DCF_Base!$L$19*(1+$D$22/100)/(($A$26-$D$22)/100),DCF_Base!$L$19*DCF_Base!$B$29),DCF_Base!$L$19*DCF_Base!$B$29))/(1+$A$26/100)^DCF_Base!$L$4+Assumptions!$B$5-Assumptions!$B$4)/Assumptions!$B$3*Assumptions!$B$10</f>
        <v>6.76643061153468</v>
      </c>
      <c r="E26" s="0" t="n">
        <f aca="false">(SUMPRODUCT(DCF_Base!$C$19:$L$19/(1+$A$26/100)^DCF_Base!$C$4:$L$4)+MAX(0,MIN(IF($A$26&gt;$E$22,DCF_Base!$L$19*(1+$E$22/100)/(($A$26-$E$22)/100),DCF_Base!$L$19*DCF_Base!$B$29),DCF_Base!$L$19*DCF_Base!$B$29))/(1+$A$26/100)^DCF_Base!$L$4+Assumptions!$B$5-Assumptions!$B$4)/Assumptions!$B$3*Assumptions!$B$10</f>
        <v>6.97982187932879</v>
      </c>
      <c r="F26" s="0" t="n">
        <f aca="false">(SUMPRODUCT(DCF_Base!$C$19:$L$19/(1+$A$26/100)^DCF_Base!$C$4:$L$4)+MAX(0,MIN(IF($A$26&gt;$F$22,DCF_Base!$L$19*(1+$F$22/100)/(($A$26-$F$22)/100),DCF_Base!$L$19*DCF_Base!$B$29),DCF_Base!$L$19*DCF_Base!$B$29))/(1+$A$26/100)^DCF_Base!$L$4+Assumptions!$B$5-Assumptions!$B$4)/Assumptions!$B$3*Assumptions!$B$10</f>
        <v>7.03801949781809</v>
      </c>
    </row>
    <row r="27" customFormat="false" ht="15" hidden="false" customHeight="false" outlineLevel="0" collapsed="false">
      <c r="A27" s="3" t="n">
        <v>11</v>
      </c>
      <c r="B27" s="0" t="n">
        <f aca="false">(SUMPRODUCT(DCF_Base!$C$19:$L$19/(1+$A$27/100)^DCF_Base!$C$4:$L$4)+MAX(0,MIN(IF($A$27&gt;$B$22,DCF_Base!$L$19*(1+$B$22/100)/(($A$27-$B$22)/100),DCF_Base!$L$19*DCF_Base!$B$29),DCF_Base!$L$19*DCF_Base!$B$29))/(1+$A$27/100)^DCF_Base!$L$4+Assumptions!$B$5-Assumptions!$B$4)/Assumptions!$B$3*Assumptions!$B$10</f>
        <v>5.85018817314021</v>
      </c>
      <c r="C27" s="0" t="n">
        <f aca="false">(SUMPRODUCT(DCF_Base!$C$19:$L$19/(1+$A$27/100)^DCF_Base!$C$4:$L$4)+MAX(0,MIN(IF($A$27&gt;$C$22,DCF_Base!$L$19*(1+$C$22/100)/(($A$27-$C$22)/100),DCF_Base!$L$19*DCF_Base!$B$29),DCF_Base!$L$19*DCF_Base!$B$29))/(1+$A$27/100)^DCF_Base!$L$4+Assumptions!$B$5-Assumptions!$B$4)/Assumptions!$B$3*Assumptions!$B$10</f>
        <v>5.97096877507281</v>
      </c>
      <c r="D27" s="0" t="n">
        <f aca="false">(SUMPRODUCT(DCF_Base!$C$19:$L$19/(1+$A$27/100)^DCF_Base!$C$4:$L$4)+MAX(0,MIN(IF($A$27&gt;$D$22,DCF_Base!$L$19*(1+$D$22/100)/(($A$27-$D$22)/100),DCF_Base!$L$19*DCF_Base!$B$29),DCF_Base!$L$19*DCF_Base!$B$29))/(1+$A$27/100)^DCF_Base!$L$4+Assumptions!$B$5-Assumptions!$B$4)/Assumptions!$B$3*Assumptions!$B$10</f>
        <v>6.10595885958572</v>
      </c>
      <c r="E27" s="0" t="n">
        <f aca="false">(SUMPRODUCT(DCF_Base!$C$19:$L$19/(1+$A$27/100)^DCF_Base!$C$4:$L$4)+MAX(0,MIN(IF($A$27&gt;$E$22,DCF_Base!$L$19*(1+$E$22/100)/(($A$27-$E$22)/100),DCF_Base!$L$19*DCF_Base!$B$29),DCF_Base!$L$19*DCF_Base!$B$29))/(1+$A$27/100)^DCF_Base!$L$4+Assumptions!$B$5-Assumptions!$B$4)/Assumptions!$B$3*Assumptions!$B$10</f>
        <v>6.25782270466274</v>
      </c>
      <c r="F27" s="0" t="n">
        <f aca="false">(SUMPRODUCT(DCF_Base!$C$19:$L$19/(1+$A$27/100)^DCF_Base!$C$4:$L$4)+MAX(0,MIN(IF($A$27&gt;$F$22,DCF_Base!$L$19*(1+$F$22/100)/(($A$27-$F$22)/100),DCF_Base!$L$19*DCF_Base!$B$29),DCF_Base!$L$19*DCF_Base!$B$29))/(1+$A$27/100)^DCF_Base!$L$4+Assumptions!$B$5-Assumptions!$B$4)/Assumptions!$B$3*Assumptions!$B$10</f>
        <v>6.4299350624167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2026-10-23T10:19:20Z</dcterms:created>
  <dc:creator>openpyxl</dc:creator>
  <dc:description/>
  <dc:language>en-NZ</dc:language>
  <cp:lastModifiedBy/>
  <dcterms:modified xsi:type="dcterms:W3CDTF">2026-10-23T10:19:20Z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