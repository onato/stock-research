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<sst xmlns="http://schemas.openxmlformats.org/spreadsheetml/2006/main" count="387" uniqueCount="174">
  <si>
    <t xml:space="preserve">Ticker</t>
  </si>
  <si>
    <t xml:space="preserve">EFX</t>
  </si>
  <si>
    <t xml:space="preserve">Company</t>
  </si>
  <si>
    <t xml:space="preserve">Equifax Inc.</t>
  </si>
  <si>
    <t xml:space="preserve">Valuation date</t>
  </si>
  <si>
    <t xml:space="preserve">2026-09-28</t>
  </si>
  <si>
    <t xml:space="preserve">Current price</t>
  </si>
  <si>
    <t xml:space="preserve">Price as of</t>
  </si>
  <si>
    <t xml:space="preserve">2026-09-25T20:00:03Z regular close (Friday); valuation run Monday 2026-09-28 pre-open</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</si>
  <si>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</si>
  <si>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</si>
  <si>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</si>
  <si>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</si>
  <si>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</si>
  <si>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</si>
  <si>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</si>
  <si>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</si>
  <si>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</si>
  <si>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</si>
  <si>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</si>
  <si>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</si>
  <si>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2026-09-28T07:19:54Z</t>
  </si>
  <si>
    <t xml:space="preserve">Drivers file</t>
  </si>
  <si>
    <t xml:space="preserve">EFX_Drivers.json</t>
  </si>
  <si>
    <t xml:space="preserve">Convention</t>
  </si>
  <si>
    <t xml:space="preserve">Percents stored as percents; formulas divide by 100. Blue = input, green = link, black = formula.</t>
  </si>
  <si>
    <t xml:space="preserve">Methodology</t>
  </si>
  <si>
    <t xml:space="preserve">summary: Equifax is a data oligopoly whose value is a growing owner-FCF stream: The Work Number's exclusive employer feeds and the credit-bureau triopoly are hard-to-replicate assets, but roughly a third of revenue is a call on U.S. mortgage and hiring volumes that are currently at a trough. The valuation charges SBC and withholding in full, holds the count flat (funded by buybacks), builds margin and capex from components rather than carrying the FY2025 FCF forward, and caps the terminal at 15-20x owner FCF so the answer does not rest on the exit multiple. With the price near its 52-week low and ~17x forward adjusted EPS, the finding is whether the market's cyclical pessimism is over-discounting a structural franchise.
key_risks_to_valuation: Mortgage-rate path: USIS and Workforce Solutions mortgage revenue carry the highest incremental margins; a higher-for-longer outcome keeps the bear path live; Verification competition (Argyle, Truework, payroll-API aggregators) undercutting The Work Number pricing or exclusivity; Regulatory: CFPB/state credit-reporting and privacy rules constraining data use; 2017 breach obligations run to Jan-2029; M&amp;A cash is outside the flows: a large acquisition (beyond Circulo de Credito) would add debt not modelled here; Terminal value is a large share of EV at an 8.5% WACC; the required-return table shows how fast value falls with the discount rate</t>
  </si>
  <si>
    <t xml:space="preserve">Data sources</t>
  </si>
  <si>
    <t xml:space="preserve">price: Yahoo Finance chart API at inputs.price_as_of; 52-week range 146.8-258.4
financials: SEC XBRL companyfacts (CIK 33185) via EFX_Metrics.csv and kpis (FY2007-Q2 2026); diluted share count, interest expense, debt split, cash taxes, acquisition cash and withholding taxes read directly from the companyfacts API on 2026-09-28
qualitative: EFX_Analysis.json (2026-09-28): Q2 2026 results and guidance, segment commentary, bull/bear cases</t>
  </si>
  <si>
    <t xml:space="preserve">Scenario narrative: bear</t>
  </si>
  <si>
    <t xml:space="preserve">Mortgage rates stay near 7% for years, hiring remains at ~50k/month, and verification challengers plus payroll-data aggregators erode The Work Number's pricing, so growth after the guidance year settles at 3-4.5% with no operating leverage: pre-SBC EBITDA margin stuck at 30% (GAAP ~28.5%). A CFPB/state privacy regime adds compliance cost, capex stays at 7%+, and leverage from the bolt-on programme (net debt/EBITDA ~2.8x) limits buybacks. 15x terminal cap and 2.5% terminal growth reflect a business the market would then price as a mature cyclical rather than a compounder.</t>
  </si>
  <si>
    <t xml:space="preserve">Scenario narrative: base</t>
  </si>
  <si>
    <t xml:space="preserve">Mortgage stays near its ~50%-depressed level through FY2027 and only partially normalises from FY2028; growth is carried by non-mortgage Workforce Solutions (Talent, Consumer Lending, Government -- ~$300M of new ACV benefiting 2027+), USIS non-mortgage and Latin America (Boa Vista, Circulo de Credito). With the ~$3B EFX Cloud build complete, capex settles at the 6-7% framework and margin recovers ~2.5pp over five years from cloud decommissioning and the $150M AI cost target. Buybacks at ~$0.9-1.1B/yr hold the count flat. Terminal cap of 18x owner FCF binds below the Gordon value.</t>
  </si>
  <si>
    <t xml:space="preserve">Scenario narrative: bull</t>
  </si>
  <si>
    <t xml:space="preserve">A rate cycle turn restores mortgage origination toward historic volumes in FY2028-29; because The Work Number and USIS mortgage revenue carry ~50%+ incremental margins the recovery compounds into both the top line (double-digit growth for three years) and a pre-SBC EBITDA margin of 35.5%, above the FY2021 peak. Verification exclusivity holds against Argyle/Truework, TWN Income and AI-embedded products (54 launched in H1 2026) lift price per transaction, and Latin America scales. 20x terminal cap.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</si>
  <si>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</si>
  <si>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</si>
  <si>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</si>
  <si>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</si>
  <si>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</si>
  <si>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</si>
  <si>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</si>
  <si>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</si>
  <si>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</si>
  <si>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</si>
  <si>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</si>
  <si>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</si>
  <si>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</si>
  <si>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</si>
  <si>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</si>
  <si>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</si>
  <si>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</si>
  <si>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</si>
  <si>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</si>
  <si>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</si>
  <si>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</si>
  <si>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</si>
  <si>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</si>
  <si>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</si>
  <si>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</si>
  <si>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</si>
  <si>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</si>
  <si>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</si>
  <si>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</si>
  <si>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</si>
  <si>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</si>
  <si>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</si>
  <si>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</si>
  <si>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</si>
  <si>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</si>
  <si>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</si>
  <si>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</si>
  <si>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</si>
  <si>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</si>
  <si>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</si>
  <si>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</si>
  <si>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</si>
  <si>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</si>
  <si>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</si>
  <si>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</si>
  <si>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</si>
  <si>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</si>
  <si>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</si>
  <si>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</si>
  <si>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</si>
  <si>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</si>
  <si>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</si>
  <si>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</si>
  <si>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</si>
  <si>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</si>
  <si>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</si>
  <si>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</si>
  <si>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</si>
  <si>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</si>
  <si>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</si>
  <si>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</si>
  <si>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</si>
  <si>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</si>
  <si>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</si>
  <si>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</si>
  <si>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</si>
  <si>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</si>
  <si>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</si>
  <si>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</si>
  <si>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</si>
  <si>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</si>
  <si>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</si>
  <si>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</si>
  <si>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</si>
  <si>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</si>
  <si>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</si>
  <si>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</si>
  <si>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</si>
  <si>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</si>
  <si>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</si>
  <si>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</si>
  <si>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</si>
  <si>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</si>
  <si>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EFX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</si>
  <si>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</si>
  <si>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</si>
  <si>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</si>
  <si>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</si>
  <si>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</si>
  <si>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</si>
  <si>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</si>
  <si>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</si>
  <si>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</si>
  <si>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</si>
  <si>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</si>
  <si>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</si>
  <si>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</si>
  <si>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</si>
  <si>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</si>
  <si>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</si>
  <si>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</si>
  <si>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</si>
  <si>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</si>
  <si>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</si>
  <si>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</si>
  <si>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</si>
  <si>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</si>
  <si>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</si>
  <si>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</si>
  <si>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</si>
  <si>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</si>
  <si>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</si>
  <si>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</si>
  <si>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</si>
  <si>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EFX owner-FCF component DCF: base case (millions, USD)</t>
  </si>
  <si>
    <t xml:space="preserve">EFX owner-FCF component DCF: bull case (millions, USD)</t>
  </si>
  <si>
    <t xml:space="preserve">EFX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</si>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</sst>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148.11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O2" s="0" t="n">
        <v>1408</v>
      </c>
      <c r="S2" s="0" t="n">
        <v>81.6</v>
      </c>
      <c r="AA2" s="0" t="s">
        <v>17</v>
      </c>
      <c r="AB2" s="0" t="s">
        <v>14</v>
      </c>
    </row>
    <row r="3" customFormat="false" ht="15" hidden="false" customHeight="false" outlineLevel="0" collapsed="false">
      <c r="A3" s="0" t="s">
        <v>64</v>
      </c>
      <c r="F3" s="0" t="n">
        <v>439</v>
      </c>
      <c r="H3" s="0" t="n">
        <v>594.4</v>
      </c>
      <c r="I3" s="0" t="n">
        <v>279</v>
      </c>
      <c r="K3" s="0" t="n">
        <v>2.13</v>
      </c>
      <c r="L3" s="0" t="n">
        <v>448.1</v>
      </c>
      <c r="M3" s="0" t="n">
        <v>110.5</v>
      </c>
      <c r="N3" s="0" t="n">
        <v>337.6</v>
      </c>
      <c r="O3" s="0" t="n">
        <v>1323.5</v>
      </c>
      <c r="S3" s="0" t="n">
        <v>58.2</v>
      </c>
      <c r="T3" s="0" t="n">
        <v>130.4</v>
      </c>
      <c r="U3" s="0" t="n">
        <v>19.9</v>
      </c>
      <c r="AA3" s="0" t="s">
        <v>17</v>
      </c>
      <c r="AB3" s="0" t="s">
        <v>14</v>
      </c>
    </row>
    <row r="4" customFormat="false" ht="15" hidden="false" customHeight="false" outlineLevel="0" collapsed="false">
      <c r="A4" s="0" t="s">
        <v>65</v>
      </c>
      <c r="F4" s="0" t="n">
        <v>381.8</v>
      </c>
      <c r="H4" s="0" t="n">
        <v>540.6</v>
      </c>
      <c r="I4" s="0" t="n">
        <v>240.5</v>
      </c>
      <c r="K4" s="0" t="n">
        <v>1.85</v>
      </c>
      <c r="L4" s="0" t="n">
        <v>418.4</v>
      </c>
      <c r="M4" s="0" t="n">
        <v>70.7</v>
      </c>
      <c r="N4" s="0" t="n">
        <v>347.7</v>
      </c>
      <c r="O4" s="0" t="n">
        <v>1615</v>
      </c>
      <c r="P4" s="0" t="n">
        <v>3550.5</v>
      </c>
      <c r="Q4" s="0" t="n">
        <v>1935.5</v>
      </c>
      <c r="R4" s="0" t="n">
        <v>1174.1</v>
      </c>
      <c r="S4" s="0" t="n">
        <v>103.1</v>
      </c>
      <c r="T4" s="0" t="n">
        <v>127.9</v>
      </c>
      <c r="U4" s="0" t="n">
        <v>19.6</v>
      </c>
      <c r="AA4" s="0" t="s">
        <v>17</v>
      </c>
      <c r="AB4" s="0" t="s">
        <v>14</v>
      </c>
    </row>
    <row r="5" customFormat="false" ht="15" hidden="false" customHeight="false" outlineLevel="0" collapsed="false">
      <c r="A5" s="0" t="s">
        <v>66</v>
      </c>
      <c r="F5" s="0" t="n">
        <v>430</v>
      </c>
      <c r="H5" s="0" t="n">
        <v>597.8</v>
      </c>
      <c r="I5" s="0" t="n">
        <v>274.8</v>
      </c>
      <c r="K5" s="0" t="n">
        <v>2.14</v>
      </c>
      <c r="L5" s="0" t="n">
        <v>352.6</v>
      </c>
      <c r="M5" s="0" t="n">
        <v>99.8</v>
      </c>
      <c r="N5" s="0" t="n">
        <v>252.8</v>
      </c>
      <c r="O5" s="0" t="n">
        <v>1708.4</v>
      </c>
      <c r="P5" s="0" t="n">
        <v>3437.5</v>
      </c>
      <c r="Q5" s="0" t="n">
        <v>1729.1</v>
      </c>
      <c r="R5" s="0" t="n">
        <v>1010.9</v>
      </c>
      <c r="S5" s="0" t="n">
        <v>119.4</v>
      </c>
      <c r="T5" s="0" t="n">
        <v>126.5</v>
      </c>
      <c r="U5" s="0" t="n">
        <v>21.8</v>
      </c>
      <c r="AA5" s="0" t="s">
        <v>17</v>
      </c>
      <c r="AB5" s="0" t="s">
        <v>14</v>
      </c>
    </row>
    <row r="6" customFormat="false" ht="15" hidden="false" customHeight="false" outlineLevel="0" collapsed="false">
      <c r="A6" s="0" t="s">
        <v>67</v>
      </c>
      <c r="F6" s="0" t="n">
        <v>468.6</v>
      </c>
      <c r="H6" s="0" t="n">
        <v>634.1</v>
      </c>
      <c r="I6" s="0" t="n">
        <v>241.7</v>
      </c>
      <c r="K6" s="0" t="n">
        <v>1.91</v>
      </c>
      <c r="L6" s="0" t="n">
        <v>408.7</v>
      </c>
      <c r="M6" s="0" t="n">
        <v>75</v>
      </c>
      <c r="N6" s="0" t="n">
        <v>333.7</v>
      </c>
      <c r="O6" s="0" t="n">
        <v>1722.1</v>
      </c>
      <c r="P6" s="0" t="n">
        <v>3518.7</v>
      </c>
      <c r="Q6" s="0" t="n">
        <v>1796.6</v>
      </c>
      <c r="R6" s="0" t="n">
        <v>1046.4</v>
      </c>
      <c r="S6" s="0" t="n">
        <v>127.7</v>
      </c>
      <c r="T6" s="0" t="n">
        <v>123.7</v>
      </c>
      <c r="U6" s="0" t="n">
        <v>24.4</v>
      </c>
      <c r="AA6" s="0" t="s">
        <v>17</v>
      </c>
      <c r="AB6" s="0" t="s">
        <v>14</v>
      </c>
    </row>
    <row r="7" customFormat="false" ht="15" hidden="false" customHeight="false" outlineLevel="0" collapsed="false">
      <c r="A7" s="0" t="s">
        <v>68</v>
      </c>
      <c r="F7" s="0" t="n">
        <v>480</v>
      </c>
      <c r="H7" s="0" t="n">
        <v>643.7</v>
      </c>
      <c r="I7" s="0" t="n">
        <v>280.8</v>
      </c>
      <c r="K7" s="0" t="n">
        <v>2.27</v>
      </c>
      <c r="L7" s="0" t="n">
        <v>496.3</v>
      </c>
      <c r="M7" s="0" t="n">
        <v>66</v>
      </c>
      <c r="N7" s="0" t="n">
        <v>430.3</v>
      </c>
      <c r="O7" s="0" t="n">
        <v>1959.2</v>
      </c>
      <c r="P7" s="0" t="n">
        <v>4520.1</v>
      </c>
      <c r="Q7" s="0" t="n">
        <v>2560.9</v>
      </c>
      <c r="R7" s="0" t="n">
        <v>2003.7</v>
      </c>
      <c r="S7" s="0" t="n">
        <v>146.8</v>
      </c>
      <c r="T7" s="0" t="n">
        <v>122.5</v>
      </c>
      <c r="U7" s="0" t="n">
        <v>28</v>
      </c>
      <c r="AA7" s="0" t="s">
        <v>17</v>
      </c>
      <c r="AB7" s="0" t="s">
        <v>14</v>
      </c>
    </row>
    <row r="8" customFormat="false" ht="15" hidden="false" customHeight="false" outlineLevel="0" collapsed="false">
      <c r="A8" s="0" t="s">
        <v>69</v>
      </c>
      <c r="F8" s="0" t="n">
        <v>611.2</v>
      </c>
      <c r="H8" s="0" t="n">
        <v>801.5</v>
      </c>
      <c r="I8" s="0" t="n">
        <v>359.9</v>
      </c>
      <c r="K8" s="0" t="n">
        <v>2.9</v>
      </c>
      <c r="L8" s="0" t="n">
        <v>569</v>
      </c>
      <c r="M8" s="0" t="n">
        <v>83.3</v>
      </c>
      <c r="N8" s="0" t="n">
        <v>485.7</v>
      </c>
      <c r="O8" s="0" t="n">
        <v>2341</v>
      </c>
      <c r="P8" s="0" t="n">
        <v>4539.9</v>
      </c>
      <c r="Q8" s="0" t="n">
        <v>2198.9</v>
      </c>
      <c r="R8" s="0" t="n">
        <v>1734.6</v>
      </c>
      <c r="S8" s="0" t="n">
        <v>235.9</v>
      </c>
      <c r="T8" s="0" t="n">
        <v>123.7</v>
      </c>
      <c r="U8" s="0" t="n">
        <v>32.2</v>
      </c>
      <c r="AA8" s="0" t="s">
        <v>17</v>
      </c>
      <c r="AB8" s="0" t="s">
        <v>14</v>
      </c>
    </row>
    <row r="9" customFormat="false" ht="15" hidden="false" customHeight="false" outlineLevel="0" collapsed="false">
      <c r="A9" s="0" t="s">
        <v>70</v>
      </c>
      <c r="F9" s="0" t="n">
        <v>638.2</v>
      </c>
      <c r="H9" s="0" t="n">
        <v>842.4</v>
      </c>
      <c r="I9" s="0" t="n">
        <v>374</v>
      </c>
      <c r="K9" s="0" t="n">
        <v>3.03</v>
      </c>
      <c r="L9" s="0" t="n">
        <v>616.2</v>
      </c>
      <c r="M9" s="0" t="n">
        <v>86.4</v>
      </c>
      <c r="N9" s="0" t="n">
        <v>529.8</v>
      </c>
      <c r="O9" s="0" t="n">
        <v>2234.6</v>
      </c>
      <c r="P9" s="0" t="n">
        <v>4661</v>
      </c>
      <c r="Q9" s="0" t="n">
        <v>2426.4</v>
      </c>
      <c r="R9" s="0" t="n">
        <v>1908.3</v>
      </c>
      <c r="S9" s="0" t="n">
        <v>128.3</v>
      </c>
      <c r="T9" s="0" t="n">
        <v>123.5</v>
      </c>
      <c r="U9" s="0" t="n">
        <v>38.1</v>
      </c>
      <c r="AA9" s="0" t="s">
        <v>17</v>
      </c>
      <c r="AB9" s="0" t="s">
        <v>14</v>
      </c>
    </row>
    <row r="10" customFormat="false" ht="15" hidden="false" customHeight="false" outlineLevel="0" collapsed="false">
      <c r="A10" s="0" t="s">
        <v>71</v>
      </c>
      <c r="F10" s="0" t="n">
        <v>693.9</v>
      </c>
      <c r="H10" s="0" t="n">
        <v>893.9</v>
      </c>
      <c r="I10" s="0" t="n">
        <v>434.8</v>
      </c>
      <c r="K10" s="0" t="n">
        <v>3.61</v>
      </c>
      <c r="L10" s="0" t="n">
        <v>769.1</v>
      </c>
      <c r="M10" s="0" t="n">
        <v>146.2</v>
      </c>
      <c r="N10" s="0" t="n">
        <v>622.9</v>
      </c>
      <c r="O10" s="0" t="n">
        <v>2350.4</v>
      </c>
      <c r="P10" s="0" t="n">
        <v>4501.5</v>
      </c>
      <c r="Q10" s="0" t="n">
        <v>2151.1</v>
      </c>
      <c r="R10" s="0" t="n">
        <v>1246.1</v>
      </c>
      <c r="S10" s="0" t="n">
        <v>93.3</v>
      </c>
      <c r="T10" s="0" t="n">
        <v>120.9</v>
      </c>
      <c r="U10" s="0" t="n">
        <v>38.4</v>
      </c>
      <c r="AA10" s="0" t="s">
        <v>17</v>
      </c>
      <c r="AB10" s="0" t="s">
        <v>14</v>
      </c>
    </row>
    <row r="11" customFormat="false" ht="15" hidden="false" customHeight="false" outlineLevel="0" collapsed="false">
      <c r="A11" s="0" t="s">
        <v>72</v>
      </c>
      <c r="B11" s="0" t="n">
        <v>3144.9</v>
      </c>
      <c r="F11" s="0" t="n">
        <v>825.1</v>
      </c>
      <c r="G11" s="0" t="n">
        <v>26.2361283347642</v>
      </c>
      <c r="H11" s="0" t="n">
        <v>1093.8</v>
      </c>
      <c r="I11" s="0" t="n">
        <v>495.1</v>
      </c>
      <c r="J11" s="0" t="n">
        <v>15.7429489013959</v>
      </c>
      <c r="K11" s="0" t="n">
        <v>4.1</v>
      </c>
      <c r="L11" s="0" t="n">
        <v>823</v>
      </c>
      <c r="M11" s="0" t="n">
        <v>173.5</v>
      </c>
      <c r="N11" s="0" t="n">
        <v>649.5</v>
      </c>
      <c r="O11" s="0" t="n">
        <v>2721.3</v>
      </c>
      <c r="P11" s="0" t="n">
        <v>6664</v>
      </c>
      <c r="Q11" s="0" t="n">
        <v>3942.7</v>
      </c>
      <c r="R11" s="0" t="n">
        <v>3270.8</v>
      </c>
      <c r="S11" s="0" t="n">
        <v>129.3</v>
      </c>
      <c r="T11" s="0" t="n">
        <v>121.1</v>
      </c>
      <c r="U11" s="0" t="n">
        <v>37.1</v>
      </c>
      <c r="AA11" s="0" t="s">
        <v>17</v>
      </c>
      <c r="AB11" s="0" t="s">
        <v>14</v>
      </c>
    </row>
    <row r="12" customFormat="false" ht="15" hidden="false" customHeight="false" outlineLevel="0" collapsed="false">
      <c r="A12" s="0" t="s">
        <v>73</v>
      </c>
      <c r="B12" s="0" t="n">
        <v>3362.2</v>
      </c>
      <c r="F12" s="0" t="n">
        <v>831.7</v>
      </c>
      <c r="G12" s="0" t="n">
        <v>24.7367794896199</v>
      </c>
      <c r="H12" s="0" t="n">
        <v>1122.6</v>
      </c>
      <c r="I12" s="0" t="n">
        <v>598</v>
      </c>
      <c r="J12" s="0" t="n">
        <v>17.785973469752</v>
      </c>
      <c r="K12" s="0" t="n">
        <v>4.89</v>
      </c>
      <c r="L12" s="0" t="n">
        <v>816</v>
      </c>
      <c r="M12" s="0" t="n">
        <v>218.2</v>
      </c>
      <c r="N12" s="0" t="n">
        <v>597.8</v>
      </c>
      <c r="O12" s="0" t="n">
        <v>3239</v>
      </c>
      <c r="P12" s="0" t="n">
        <v>7233.4</v>
      </c>
      <c r="Q12" s="0" t="n">
        <v>3994.4</v>
      </c>
      <c r="R12" s="0" t="n">
        <v>2704.3</v>
      </c>
      <c r="S12" s="0" t="n">
        <v>336.4</v>
      </c>
      <c r="T12" s="0" t="n">
        <v>121.5</v>
      </c>
      <c r="U12" s="0" t="n">
        <v>38.3</v>
      </c>
      <c r="AA12" s="0" t="s">
        <v>17</v>
      </c>
      <c r="AB12" s="0" t="s">
        <v>14</v>
      </c>
    </row>
    <row r="13" customFormat="false" ht="15" hidden="false" customHeight="false" outlineLevel="0" collapsed="false">
      <c r="A13" s="0" t="s">
        <v>74</v>
      </c>
      <c r="B13" s="0" t="n">
        <v>3412.1</v>
      </c>
      <c r="F13" s="0" t="n">
        <v>448</v>
      </c>
      <c r="G13" s="0" t="n">
        <v>13.1297441458339</v>
      </c>
      <c r="H13" s="0" t="n">
        <v>763.9</v>
      </c>
      <c r="I13" s="0" t="n">
        <v>317</v>
      </c>
      <c r="J13" s="0" t="n">
        <v>9.29046628176197</v>
      </c>
      <c r="K13" s="0" t="n">
        <v>2.58</v>
      </c>
      <c r="L13" s="0" t="n">
        <v>672.2</v>
      </c>
      <c r="M13" s="0" t="n">
        <v>321.9</v>
      </c>
      <c r="N13" s="0" t="n">
        <v>350.3</v>
      </c>
      <c r="O13" s="0" t="n">
        <v>3155.6</v>
      </c>
      <c r="P13" s="0" t="n">
        <v>7153.2</v>
      </c>
      <c r="Q13" s="0" t="n">
        <v>3997.5</v>
      </c>
      <c r="R13" s="0" t="n">
        <v>2635.5</v>
      </c>
      <c r="S13" s="0" t="n">
        <v>223.6</v>
      </c>
      <c r="T13" s="0" t="n">
        <v>121.4</v>
      </c>
      <c r="U13" s="0" t="n">
        <v>42.5</v>
      </c>
      <c r="AA13" s="0" t="s">
        <v>17</v>
      </c>
      <c r="AB13" s="0" t="s">
        <v>14</v>
      </c>
    </row>
    <row r="14" customFormat="false" ht="15" hidden="false" customHeight="false" outlineLevel="0" collapsed="false">
      <c r="A14" s="0" t="s">
        <v>75</v>
      </c>
      <c r="B14" s="0" t="n">
        <v>3507.6</v>
      </c>
      <c r="F14" s="0" t="n">
        <v>-335.4</v>
      </c>
      <c r="G14" s="0" t="n">
        <v>-9.56209373930893</v>
      </c>
      <c r="H14" s="0" t="n">
        <v>1.90000000000003</v>
      </c>
      <c r="I14" s="0" t="n">
        <v>-384.1</v>
      </c>
      <c r="J14" s="0" t="n">
        <v>-10.9505074694948</v>
      </c>
      <c r="K14" s="0" t="n">
        <v>-3.18</v>
      </c>
      <c r="L14" s="0" t="n">
        <v>313.8</v>
      </c>
      <c r="M14" s="0" t="n">
        <v>399.6</v>
      </c>
      <c r="N14" s="0" t="n">
        <v>-85.8</v>
      </c>
      <c r="O14" s="0" t="n">
        <v>2622.9</v>
      </c>
      <c r="P14" s="0" t="n">
        <v>7909</v>
      </c>
      <c r="Q14" s="0" t="n">
        <v>5286.1</v>
      </c>
      <c r="R14" s="0" t="n">
        <v>3382.6</v>
      </c>
      <c r="S14" s="0" t="n">
        <v>401.3</v>
      </c>
      <c r="T14" s="0" t="n">
        <v>122</v>
      </c>
      <c r="U14" s="0" t="n">
        <v>49.7</v>
      </c>
      <c r="AA14" s="0" t="s">
        <v>17</v>
      </c>
      <c r="AB14" s="0" t="s">
        <v>14</v>
      </c>
    </row>
    <row r="15" customFormat="false" ht="15" hidden="false" customHeight="false" outlineLevel="0" collapsed="false">
      <c r="A15" s="0" t="s">
        <v>76</v>
      </c>
      <c r="B15" s="0" t="n">
        <v>4127.5</v>
      </c>
      <c r="F15" s="0" t="n">
        <v>676.6</v>
      </c>
      <c r="G15" s="0" t="n">
        <v>16.3924894003634</v>
      </c>
      <c r="H15" s="0" t="n">
        <v>1075.9</v>
      </c>
      <c r="I15" s="0" t="n">
        <v>526.2</v>
      </c>
      <c r="J15" s="0" t="n">
        <v>12.7486371895821</v>
      </c>
      <c r="K15" s="0" t="n">
        <v>4.28</v>
      </c>
      <c r="L15" s="0" t="n">
        <v>946.2</v>
      </c>
      <c r="M15" s="0" t="n">
        <v>421.3</v>
      </c>
      <c r="N15" s="0" t="n">
        <v>524.9</v>
      </c>
      <c r="O15" s="0" t="n">
        <v>3210.3</v>
      </c>
      <c r="P15" s="0" t="n">
        <v>9611.8</v>
      </c>
      <c r="Q15" s="0" t="n">
        <v>6401.5</v>
      </c>
      <c r="R15" s="0" t="n">
        <v>4378.4</v>
      </c>
      <c r="S15" s="0" t="n">
        <v>1684.6</v>
      </c>
      <c r="T15" s="0" t="n">
        <v>122.8</v>
      </c>
      <c r="U15" s="0" t="n">
        <v>54.7</v>
      </c>
      <c r="AA15" s="0" t="s">
        <v>17</v>
      </c>
      <c r="AB15" s="0" t="s">
        <v>14</v>
      </c>
    </row>
    <row r="16" customFormat="false" ht="15" hidden="false" customHeight="false" outlineLevel="0" collapsed="false">
      <c r="A16" s="0" t="s">
        <v>77</v>
      </c>
      <c r="B16" s="0" t="n">
        <v>4923.9</v>
      </c>
      <c r="F16" s="0" t="n">
        <v>1138</v>
      </c>
      <c r="G16" s="0" t="n">
        <v>23.1117610024574</v>
      </c>
      <c r="H16" s="0" t="n">
        <v>1627.6</v>
      </c>
      <c r="I16" s="0" t="n">
        <v>748.5</v>
      </c>
      <c r="J16" s="0" t="n">
        <v>15.2013647718272</v>
      </c>
      <c r="K16" s="0" t="n">
        <v>6.11</v>
      </c>
      <c r="L16" s="0" t="n">
        <v>1334.8</v>
      </c>
      <c r="M16" s="0" t="n">
        <v>469</v>
      </c>
      <c r="N16" s="0" t="n">
        <v>865.8</v>
      </c>
      <c r="O16" s="0" t="n">
        <v>3601.2</v>
      </c>
      <c r="P16" s="0" t="n">
        <v>11040.9</v>
      </c>
      <c r="Q16" s="0" t="n">
        <v>7439.7</v>
      </c>
      <c r="R16" s="0" t="n">
        <v>5294.9</v>
      </c>
      <c r="S16" s="0" t="n">
        <v>224.7</v>
      </c>
      <c r="T16" s="0" t="n">
        <v>123.6</v>
      </c>
      <c r="U16" s="0" t="n">
        <v>54.9</v>
      </c>
      <c r="AA16" s="0" t="s">
        <v>17</v>
      </c>
      <c r="AB16" s="0" t="s">
        <v>14</v>
      </c>
    </row>
    <row r="17" customFormat="false" ht="15" hidden="false" customHeight="false" outlineLevel="0" collapsed="false">
      <c r="A17" s="0" t="s">
        <v>78</v>
      </c>
      <c r="B17" s="0" t="n">
        <v>5122.2</v>
      </c>
      <c r="F17" s="0" t="n">
        <v>1056</v>
      </c>
      <c r="G17" s="0" t="n">
        <v>20.6161415016985</v>
      </c>
      <c r="H17" s="0" t="n">
        <v>1624.6</v>
      </c>
      <c r="I17" s="0" t="n">
        <v>700.2</v>
      </c>
      <c r="J17" s="0" t="n">
        <v>13.6699074616376</v>
      </c>
      <c r="K17" s="0" t="n">
        <v>5.69</v>
      </c>
      <c r="L17" s="0" t="n">
        <v>757.1</v>
      </c>
      <c r="M17" s="0" t="n">
        <v>624.5</v>
      </c>
      <c r="N17" s="0" t="n">
        <v>132.6</v>
      </c>
      <c r="O17" s="0" t="n">
        <v>3973.3</v>
      </c>
      <c r="P17" s="0" t="n">
        <v>11547.9</v>
      </c>
      <c r="Q17" s="0" t="n">
        <v>7574.6</v>
      </c>
      <c r="R17" s="0" t="n">
        <v>5787.3</v>
      </c>
      <c r="S17" s="0" t="n">
        <v>285.2</v>
      </c>
      <c r="T17" s="0" t="n">
        <v>123.3</v>
      </c>
      <c r="U17" s="0" t="n">
        <v>62.6</v>
      </c>
      <c r="V17" s="0" t="n">
        <v>1.56</v>
      </c>
      <c r="AA17" s="0" t="s">
        <v>17</v>
      </c>
      <c r="AB17" s="0" t="s">
        <v>14</v>
      </c>
    </row>
    <row r="18" customFormat="false" ht="15" hidden="false" customHeight="false" outlineLevel="0" collapsed="false">
      <c r="A18" s="0" t="s">
        <v>79</v>
      </c>
      <c r="B18" s="0" t="n">
        <v>5265.2</v>
      </c>
      <c r="F18" s="0" t="n">
        <v>933.6</v>
      </c>
      <c r="G18" s="0" t="n">
        <v>17.731520170174</v>
      </c>
      <c r="H18" s="0" t="n">
        <v>1553.4</v>
      </c>
      <c r="I18" s="0" t="n">
        <v>551.7</v>
      </c>
      <c r="J18" s="0" t="n">
        <v>10.4782344450353</v>
      </c>
      <c r="K18" s="0" t="n">
        <v>4.44</v>
      </c>
      <c r="L18" s="0" t="n">
        <v>1116.8</v>
      </c>
      <c r="M18" s="0" t="n">
        <v>601.3</v>
      </c>
      <c r="N18" s="0" t="n">
        <v>515.5</v>
      </c>
      <c r="O18" s="0" t="n">
        <v>4552.4</v>
      </c>
      <c r="P18" s="0" t="n">
        <v>12280</v>
      </c>
      <c r="Q18" s="0" t="n">
        <v>7592.5</v>
      </c>
      <c r="R18" s="0" t="n">
        <v>5711.2</v>
      </c>
      <c r="S18" s="0" t="n">
        <v>216.8</v>
      </c>
      <c r="T18" s="0" t="n">
        <v>123.9</v>
      </c>
      <c r="U18" s="0" t="n">
        <v>71.8</v>
      </c>
      <c r="V18" s="0" t="n">
        <v>1.56</v>
      </c>
      <c r="AA18" s="0" t="s">
        <v>17</v>
      </c>
      <c r="AB18" s="0" t="s">
        <v>14</v>
      </c>
    </row>
    <row r="19" customFormat="false" ht="15" hidden="false" customHeight="false" outlineLevel="0" collapsed="false">
      <c r="A19" s="0" t="s">
        <v>80</v>
      </c>
      <c r="B19" s="0" t="n">
        <v>5681.1</v>
      </c>
      <c r="F19" s="0" t="n">
        <v>1042.1</v>
      </c>
      <c r="G19" s="0" t="n">
        <v>18.3432785904138</v>
      </c>
      <c r="H19" s="0" t="n">
        <v>1722.7</v>
      </c>
      <c r="I19" s="0" t="n">
        <v>607.3</v>
      </c>
      <c r="J19" s="0" t="n">
        <v>10.689831194663</v>
      </c>
      <c r="K19" s="0" t="n">
        <v>4.88</v>
      </c>
      <c r="L19" s="0" t="n">
        <v>1324.5</v>
      </c>
      <c r="M19" s="0" t="n">
        <v>511.5</v>
      </c>
      <c r="N19" s="0" t="n">
        <v>813</v>
      </c>
      <c r="O19" s="0" t="n">
        <v>4814.4</v>
      </c>
      <c r="P19" s="0" t="n">
        <v>11759.4</v>
      </c>
      <c r="Q19" s="0" t="n">
        <v>6839.8</v>
      </c>
      <c r="R19" s="0" t="n">
        <v>5010.5</v>
      </c>
      <c r="S19" s="0" t="n">
        <v>169.9</v>
      </c>
      <c r="T19" s="0" t="n">
        <v>124.9</v>
      </c>
      <c r="U19" s="0" t="n">
        <v>81.6</v>
      </c>
      <c r="V19" s="0" t="n">
        <v>1.56</v>
      </c>
      <c r="AA19" s="0" t="s">
        <v>17</v>
      </c>
      <c r="AB19" s="0" t="s">
        <v>14</v>
      </c>
    </row>
    <row r="20" customFormat="false" ht="15" hidden="false" customHeight="false" outlineLevel="0" collapsed="false">
      <c r="A20" s="0" t="s">
        <v>81</v>
      </c>
      <c r="B20" s="0" t="n">
        <v>6074.5</v>
      </c>
      <c r="F20" s="0" t="n">
        <v>1095.2</v>
      </c>
      <c r="G20" s="0" t="n">
        <v>18.0294674458803</v>
      </c>
      <c r="H20" s="0" t="n">
        <v>1822.1</v>
      </c>
      <c r="I20" s="0" t="n">
        <v>664.3</v>
      </c>
      <c r="J20" s="0" t="n">
        <v>10.9358794962548</v>
      </c>
      <c r="K20" s="0" t="n">
        <v>5.36</v>
      </c>
      <c r="L20" s="0" t="n">
        <v>1615.7</v>
      </c>
      <c r="M20" s="0" t="n">
        <v>481.4</v>
      </c>
      <c r="N20" s="0" t="n">
        <v>1134.3</v>
      </c>
      <c r="O20" s="0" t="n">
        <v>4623.8</v>
      </c>
      <c r="P20" s="0" t="n">
        <v>11864.2</v>
      </c>
      <c r="Q20" s="0" t="n">
        <v>7126</v>
      </c>
      <c r="R20" s="0" t="n">
        <v>6152.2</v>
      </c>
      <c r="S20" s="0" t="n">
        <v>180.8</v>
      </c>
      <c r="T20" s="0" t="n">
        <v>124.1</v>
      </c>
      <c r="U20" s="0" t="n">
        <v>78.4</v>
      </c>
      <c r="V20" s="0" t="n">
        <v>1.89</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148.11</v>
      </c>
    </row>
    <row r="3" customFormat="false" ht="15" hidden="false" customHeight="false" outlineLevel="0" collapsed="false">
      <c r="A3" s="0" t="s">
        <v>85</v>
      </c>
      <c r="B3" s="3" t="n">
        <v>118.3</v>
      </c>
    </row>
    <row r="4" customFormat="false" ht="15" hidden="false" customHeight="false" outlineLevel="0" collapsed="false">
      <c r="A4" s="0" t="s">
        <v>86</v>
      </c>
      <c r="B4" s="3" t="n">
        <v>5297</v>
      </c>
    </row>
    <row r="5" customFormat="false" ht="15" hidden="false" customHeight="false" outlineLevel="0" collapsed="false">
      <c r="A5" s="0" t="s">
        <v>87</v>
      </c>
      <c r="B5" s="3" t="n">
        <v>0</v>
      </c>
    </row>
    <row r="6" customFormat="false" ht="15" hidden="false" customHeight="false" outlineLevel="0" collapsed="false">
      <c r="A6" s="0" t="s">
        <v>88</v>
      </c>
      <c r="B6" s="3" t="n">
        <v>15</v>
      </c>
    </row>
    <row r="7" customFormat="false" ht="15" hidden="false" customHeight="false" outlineLevel="0" collapsed="false">
      <c r="A7" s="0" t="s">
        <v>89</v>
      </c>
      <c r="B7" s="3" t="n">
        <v>6074.5</v>
      </c>
    </row>
    <row r="8" customFormat="false" ht="15" hidden="false" customHeight="false" outlineLevel="0" collapsed="false">
      <c r="A8" s="0" t="s">
        <v>90</v>
      </c>
      <c r="B8" s="3" t="s">
        <v>81</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10.3</v>
      </c>
      <c r="D13" s="3" t="n">
        <v>4</v>
      </c>
      <c r="E13" s="3" t="n">
        <v>4</v>
      </c>
      <c r="F13" s="3" t="n">
        <v>4.5</v>
      </c>
      <c r="G13" s="3" t="n">
        <v>4.5</v>
      </c>
      <c r="H13" s="3" t="n">
        <v>4</v>
      </c>
      <c r="I13" s="3" t="n">
        <v>3.5</v>
      </c>
      <c r="J13" s="3" t="n">
        <v>3.5</v>
      </c>
      <c r="K13" s="3" t="n">
        <v>3</v>
      </c>
      <c r="L13" s="3" t="n">
        <v>3</v>
      </c>
    </row>
    <row r="14" customFormat="false" ht="15" hidden="false" customHeight="false" outlineLevel="0" collapsed="false">
      <c r="A14" s="0" t="s">
        <v>106</v>
      </c>
      <c r="C14" s="3" t="n">
        <v>30.5</v>
      </c>
      <c r="D14" s="3" t="n">
        <v>30</v>
      </c>
      <c r="E14" s="3" t="n">
        <v>30</v>
      </c>
      <c r="F14" s="3" t="n">
        <v>30</v>
      </c>
      <c r="G14" s="3" t="n">
        <v>30</v>
      </c>
      <c r="H14" s="3" t="n">
        <v>30</v>
      </c>
      <c r="I14" s="3" t="n">
        <v>30</v>
      </c>
      <c r="J14" s="3" t="n">
        <v>30</v>
      </c>
      <c r="K14" s="3" t="n">
        <v>30</v>
      </c>
      <c r="L14" s="3" t="n">
        <v>30</v>
      </c>
    </row>
    <row r="15" customFormat="false" ht="15" hidden="false" customHeight="false" outlineLevel="0" collapsed="false">
      <c r="A15" s="0" t="s">
        <v>107</v>
      </c>
      <c r="C15" s="3" t="n">
        <v>1.6</v>
      </c>
      <c r="D15" s="3" t="n">
        <v>1.6</v>
      </c>
      <c r="E15" s="3" t="n">
        <v>1.6</v>
      </c>
      <c r="F15" s="3" t="n">
        <v>1.6</v>
      </c>
      <c r="G15" s="3" t="n">
        <v>1.6</v>
      </c>
      <c r="H15" s="3" t="n">
        <v>1.6</v>
      </c>
      <c r="I15" s="3" t="n">
        <v>1.6</v>
      </c>
      <c r="J15" s="3" t="n">
        <v>1.6</v>
      </c>
      <c r="K15" s="3" t="n">
        <v>1.6</v>
      </c>
      <c r="L15" s="3" t="n">
        <v>1.6</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11.5</v>
      </c>
      <c r="D17" s="3" t="n">
        <v>11</v>
      </c>
      <c r="E17" s="3" t="n">
        <v>10.5</v>
      </c>
      <c r="F17" s="3" t="n">
        <v>10</v>
      </c>
      <c r="G17" s="3" t="n">
        <v>9.5</v>
      </c>
      <c r="H17" s="3" t="n">
        <v>9</v>
      </c>
      <c r="I17" s="3" t="n">
        <v>9</v>
      </c>
      <c r="J17" s="3" t="n">
        <v>9</v>
      </c>
      <c r="K17" s="3" t="n">
        <v>9</v>
      </c>
      <c r="L17" s="3" t="n">
        <v>9</v>
      </c>
    </row>
    <row r="18" customFormat="false" ht="15" hidden="false" customHeight="false" outlineLevel="0" collapsed="false">
      <c r="A18" s="0" t="s">
        <v>110</v>
      </c>
      <c r="C18" s="3" t="n">
        <v>8</v>
      </c>
      <c r="D18" s="3" t="n">
        <v>7.75</v>
      </c>
      <c r="E18" s="3" t="n">
        <v>7.5</v>
      </c>
      <c r="F18" s="3" t="n">
        <v>7.25</v>
      </c>
      <c r="G18" s="3" t="n">
        <v>7</v>
      </c>
      <c r="H18" s="3" t="n">
        <v>7</v>
      </c>
      <c r="I18" s="3" t="n">
        <v>7</v>
      </c>
      <c r="J18" s="3" t="n">
        <v>7</v>
      </c>
      <c r="K18" s="3" t="n">
        <v>7</v>
      </c>
      <c r="L18" s="3" t="n">
        <v>7</v>
      </c>
    </row>
    <row r="19" customFormat="false" ht="15" hidden="false" customHeight="false" outlineLevel="0" collapsed="false">
      <c r="A19" s="0" t="s">
        <v>111</v>
      </c>
      <c r="C19" s="3" t="n">
        <v>23</v>
      </c>
      <c r="D19" s="3" t="n">
        <v>23.5</v>
      </c>
      <c r="E19" s="3" t="n">
        <v>24</v>
      </c>
      <c r="F19" s="3" t="n">
        <v>24.5</v>
      </c>
      <c r="G19" s="3" t="n">
        <v>25</v>
      </c>
      <c r="H19" s="3" t="n">
        <v>25</v>
      </c>
      <c r="I19" s="3" t="n">
        <v>25</v>
      </c>
      <c r="J19" s="3" t="n">
        <v>25</v>
      </c>
      <c r="K19" s="3" t="n">
        <v>25</v>
      </c>
      <c r="L19" s="3" t="n">
        <v>25</v>
      </c>
    </row>
    <row r="20" customFormat="false" ht="15" hidden="false" customHeight="false" outlineLevel="0" collapsed="false">
      <c r="A20" s="0" t="s">
        <v>112</v>
      </c>
      <c r="B20" s="3" t="n">
        <v>8.5</v>
      </c>
    </row>
    <row r="21" customFormat="false" ht="15" hidden="false" customHeight="false" outlineLevel="0" collapsed="false">
      <c r="A21" s="0" t="s">
        <v>113</v>
      </c>
      <c r="B21" s="3" t="n">
        <v>2.5</v>
      </c>
    </row>
    <row r="22" customFormat="false" ht="15" hidden="false" customHeight="false" outlineLevel="0" collapsed="false">
      <c r="A22" s="0" t="s">
        <v>114</v>
      </c>
      <c r="B22" s="3" t="n">
        <v>15</v>
      </c>
    </row>
    <row r="23" customFormat="false" ht="15" hidden="false" customHeight="false" outlineLevel="0" collapsed="false">
      <c r="A23" s="0" t="s">
        <v>115</v>
      </c>
      <c r="B23" s="3" t="n">
        <v>0</v>
      </c>
    </row>
    <row r="24" customFormat="false" ht="15" hidden="false" customHeight="false" outlineLevel="0" collapsed="false">
      <c r="A24" s="0" t="s">
        <v>116</v>
      </c>
      <c r="B24" s="3" t="n">
        <v>0.2</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11</v>
      </c>
      <c r="D27" s="3" t="n">
        <v>7</v>
      </c>
      <c r="E27" s="3" t="n">
        <v>7.5</v>
      </c>
      <c r="F27" s="3" t="n">
        <v>7</v>
      </c>
      <c r="G27" s="3" t="n">
        <v>6.5</v>
      </c>
      <c r="H27" s="3" t="n">
        <v>6</v>
      </c>
      <c r="I27" s="3" t="n">
        <v>5.5</v>
      </c>
      <c r="J27" s="3" t="n">
        <v>5</v>
      </c>
      <c r="K27" s="3" t="n">
        <v>4.5</v>
      </c>
      <c r="L27" s="3" t="n">
        <v>4</v>
      </c>
    </row>
    <row r="28" customFormat="false" ht="15" hidden="false" customHeight="false" outlineLevel="0" collapsed="false">
      <c r="A28" s="0" t="s">
        <v>106</v>
      </c>
      <c r="C28" s="3" t="n">
        <v>31</v>
      </c>
      <c r="D28" s="3" t="n">
        <v>31.5</v>
      </c>
      <c r="E28" s="3" t="n">
        <v>32</v>
      </c>
      <c r="F28" s="3" t="n">
        <v>32.5</v>
      </c>
      <c r="G28" s="3" t="n">
        <v>33</v>
      </c>
      <c r="H28" s="3" t="n">
        <v>33.5</v>
      </c>
      <c r="I28" s="3" t="n">
        <v>33.5</v>
      </c>
      <c r="J28" s="3" t="n">
        <v>33.5</v>
      </c>
      <c r="K28" s="3" t="n">
        <v>33.5</v>
      </c>
      <c r="L28" s="3" t="n">
        <v>33.5</v>
      </c>
    </row>
    <row r="29" customFormat="false" ht="15" hidden="false" customHeight="false" outlineLevel="0" collapsed="false">
      <c r="A29" s="0" t="s">
        <v>107</v>
      </c>
      <c r="C29" s="3" t="n">
        <v>1.5</v>
      </c>
      <c r="D29" s="3" t="n">
        <v>1.5</v>
      </c>
      <c r="E29" s="3" t="n">
        <v>1.5</v>
      </c>
      <c r="F29" s="3" t="n">
        <v>1.5</v>
      </c>
      <c r="G29" s="3" t="n">
        <v>1.5</v>
      </c>
      <c r="H29" s="3" t="n">
        <v>1.5</v>
      </c>
      <c r="I29" s="3" t="n">
        <v>1.5</v>
      </c>
      <c r="J29" s="3" t="n">
        <v>1.5</v>
      </c>
      <c r="K29" s="3" t="n">
        <v>1.5</v>
      </c>
      <c r="L29" s="3" t="n">
        <v>1.5</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11.5</v>
      </c>
      <c r="D31" s="3" t="n">
        <v>11</v>
      </c>
      <c r="E31" s="3" t="n">
        <v>10.5</v>
      </c>
      <c r="F31" s="3" t="n">
        <v>10</v>
      </c>
      <c r="G31" s="3" t="n">
        <v>9.5</v>
      </c>
      <c r="H31" s="3" t="n">
        <v>9</v>
      </c>
      <c r="I31" s="3" t="n">
        <v>9</v>
      </c>
      <c r="J31" s="3" t="n">
        <v>9</v>
      </c>
      <c r="K31" s="3" t="n">
        <v>9</v>
      </c>
      <c r="L31" s="3" t="n">
        <v>9</v>
      </c>
    </row>
    <row r="32" customFormat="false" ht="15" hidden="false" customHeight="false" outlineLevel="0" collapsed="false">
      <c r="A32" s="0" t="s">
        <v>110</v>
      </c>
      <c r="C32" s="3" t="n">
        <v>7.5</v>
      </c>
      <c r="D32" s="3" t="n">
        <v>7</v>
      </c>
      <c r="E32" s="3" t="n">
        <v>6.75</v>
      </c>
      <c r="F32" s="3" t="n">
        <v>6.5</v>
      </c>
      <c r="G32" s="3" t="n">
        <v>6.5</v>
      </c>
      <c r="H32" s="3" t="n">
        <v>6.5</v>
      </c>
      <c r="I32" s="3" t="n">
        <v>6.5</v>
      </c>
      <c r="J32" s="3" t="n">
        <v>6.5</v>
      </c>
      <c r="K32" s="3" t="n">
        <v>6.5</v>
      </c>
      <c r="L32" s="3" t="n">
        <v>6.5</v>
      </c>
    </row>
    <row r="33" customFormat="false" ht="15" hidden="false" customHeight="false" outlineLevel="0" collapsed="false">
      <c r="A33" s="0" t="s">
        <v>111</v>
      </c>
      <c r="C33" s="3" t="n">
        <v>23</v>
      </c>
      <c r="D33" s="3" t="n">
        <v>23</v>
      </c>
      <c r="E33" s="3" t="n">
        <v>23.5</v>
      </c>
      <c r="F33" s="3" t="n">
        <v>24</v>
      </c>
      <c r="G33" s="3" t="n">
        <v>24</v>
      </c>
      <c r="H33" s="3" t="n">
        <v>24</v>
      </c>
      <c r="I33" s="3" t="n">
        <v>24</v>
      </c>
      <c r="J33" s="3" t="n">
        <v>24</v>
      </c>
      <c r="K33" s="3" t="n">
        <v>24</v>
      </c>
      <c r="L33" s="3" t="n">
        <v>24</v>
      </c>
    </row>
    <row r="34" customFormat="false" ht="15" hidden="false" customHeight="false" outlineLevel="0" collapsed="false">
      <c r="A34" s="0" t="s">
        <v>112</v>
      </c>
      <c r="B34" s="3" t="n">
        <v>8.5</v>
      </c>
    </row>
    <row r="35" customFormat="false" ht="15" hidden="false" customHeight="false" outlineLevel="0" collapsed="false">
      <c r="A35" s="0" t="s">
        <v>113</v>
      </c>
      <c r="B35" s="3" t="n">
        <v>3</v>
      </c>
    </row>
    <row r="36" customFormat="false" ht="15" hidden="false" customHeight="false" outlineLevel="0" collapsed="false">
      <c r="A36" s="0" t="s">
        <v>114</v>
      </c>
      <c r="B36" s="3" t="n">
        <v>18</v>
      </c>
    </row>
    <row r="37" customFormat="false" ht="15" hidden="false" customHeight="false" outlineLevel="0" collapsed="false">
      <c r="A37" s="0" t="s">
        <v>115</v>
      </c>
      <c r="B37" s="3" t="n">
        <v>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11.5</v>
      </c>
      <c r="D41" s="3" t="n">
        <v>10</v>
      </c>
      <c r="E41" s="3" t="n">
        <v>11</v>
      </c>
      <c r="F41" s="3" t="n">
        <v>10</v>
      </c>
      <c r="G41" s="3" t="n">
        <v>9</v>
      </c>
      <c r="H41" s="3" t="n">
        <v>8</v>
      </c>
      <c r="I41" s="3" t="n">
        <v>7</v>
      </c>
      <c r="J41" s="3" t="n">
        <v>6</v>
      </c>
      <c r="K41" s="3" t="n">
        <v>5</v>
      </c>
      <c r="L41" s="3" t="n">
        <v>4.5</v>
      </c>
    </row>
    <row r="42" customFormat="false" ht="15" hidden="false" customHeight="false" outlineLevel="0" collapsed="false">
      <c r="A42" s="0" t="s">
        <v>106</v>
      </c>
      <c r="C42" s="3" t="n">
        <v>31.5</v>
      </c>
      <c r="D42" s="3" t="n">
        <v>32.5</v>
      </c>
      <c r="E42" s="3" t="n">
        <v>33.5</v>
      </c>
      <c r="F42" s="3" t="n">
        <v>34.5</v>
      </c>
      <c r="G42" s="3" t="n">
        <v>35</v>
      </c>
      <c r="H42" s="3" t="n">
        <v>35.5</v>
      </c>
      <c r="I42" s="3" t="n">
        <v>35.5</v>
      </c>
      <c r="J42" s="3" t="n">
        <v>35.5</v>
      </c>
      <c r="K42" s="3" t="n">
        <v>35.5</v>
      </c>
      <c r="L42" s="3" t="n">
        <v>35.5</v>
      </c>
    </row>
    <row r="43" customFormat="false" ht="15" hidden="false" customHeight="false" outlineLevel="0" collapsed="false">
      <c r="A43" s="0" t="s">
        <v>107</v>
      </c>
      <c r="C43" s="3" t="n">
        <v>1.5</v>
      </c>
      <c r="D43" s="3" t="n">
        <v>1.5</v>
      </c>
      <c r="E43" s="3" t="n">
        <v>1.5</v>
      </c>
      <c r="F43" s="3" t="n">
        <v>1.5</v>
      </c>
      <c r="G43" s="3" t="n">
        <v>1.5</v>
      </c>
      <c r="H43" s="3" t="n">
        <v>1.5</v>
      </c>
      <c r="I43" s="3" t="n">
        <v>1.5</v>
      </c>
      <c r="J43" s="3" t="n">
        <v>1.5</v>
      </c>
      <c r="K43" s="3" t="n">
        <v>1.5</v>
      </c>
      <c r="L43" s="3" t="n">
        <v>1.5</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11.5</v>
      </c>
      <c r="D45" s="3" t="n">
        <v>11</v>
      </c>
      <c r="E45" s="3" t="n">
        <v>10.5</v>
      </c>
      <c r="F45" s="3" t="n">
        <v>10</v>
      </c>
      <c r="G45" s="3" t="n">
        <v>9.5</v>
      </c>
      <c r="H45" s="3" t="n">
        <v>9</v>
      </c>
      <c r="I45" s="3" t="n">
        <v>9</v>
      </c>
      <c r="J45" s="3" t="n">
        <v>9</v>
      </c>
      <c r="K45" s="3" t="n">
        <v>9</v>
      </c>
      <c r="L45" s="3" t="n">
        <v>9</v>
      </c>
    </row>
    <row r="46" customFormat="false" ht="15" hidden="false" customHeight="false" outlineLevel="0" collapsed="false">
      <c r="A46" s="0" t="s">
        <v>110</v>
      </c>
      <c r="C46" s="3" t="n">
        <v>7.25</v>
      </c>
      <c r="D46" s="3" t="n">
        <v>6.75</v>
      </c>
      <c r="E46" s="3" t="n">
        <v>6.5</v>
      </c>
      <c r="F46" s="3" t="n">
        <v>6.25</v>
      </c>
      <c r="G46" s="3" t="n">
        <v>6</v>
      </c>
      <c r="H46" s="3" t="n">
        <v>6</v>
      </c>
      <c r="I46" s="3" t="n">
        <v>6</v>
      </c>
      <c r="J46" s="3" t="n">
        <v>6</v>
      </c>
      <c r="K46" s="3" t="n">
        <v>6</v>
      </c>
      <c r="L46" s="3" t="n">
        <v>6</v>
      </c>
    </row>
    <row r="47" customFormat="false" ht="15" hidden="false" customHeight="false" outlineLevel="0" collapsed="false">
      <c r="A47" s="0" t="s">
        <v>111</v>
      </c>
      <c r="C47" s="3" t="n">
        <v>23</v>
      </c>
      <c r="D47" s="3" t="n">
        <v>23</v>
      </c>
      <c r="E47" s="3" t="n">
        <v>23.5</v>
      </c>
      <c r="F47" s="3" t="n">
        <v>24</v>
      </c>
      <c r="G47" s="3" t="n">
        <v>24</v>
      </c>
      <c r="H47" s="3" t="n">
        <v>24</v>
      </c>
      <c r="I47" s="3" t="n">
        <v>24</v>
      </c>
      <c r="J47" s="3" t="n">
        <v>24</v>
      </c>
      <c r="K47" s="3" t="n">
        <v>24</v>
      </c>
      <c r="L47" s="3" t="n">
        <v>24</v>
      </c>
    </row>
    <row r="48" customFormat="false" ht="15" hidden="false" customHeight="false" outlineLevel="0" collapsed="false">
      <c r="A48" s="0" t="s">
        <v>112</v>
      </c>
      <c r="B48" s="3" t="n">
        <v>8.5</v>
      </c>
    </row>
    <row r="49" customFormat="false" ht="15" hidden="false" customHeight="false" outlineLevel="0" collapsed="false">
      <c r="A49" s="0" t="s">
        <v>113</v>
      </c>
      <c r="B49" s="3" t="n">
        <v>3.5</v>
      </c>
    </row>
    <row r="50" customFormat="false" ht="15" hidden="false" customHeight="false" outlineLevel="0" collapsed="false">
      <c r="A50" s="0" t="s">
        <v>114</v>
      </c>
      <c r="B50" s="3" t="n">
        <v>20</v>
      </c>
    </row>
    <row r="51" customFormat="false" ht="15" hidden="false" customHeight="false" outlineLevel="0" collapsed="false">
      <c r="A51" s="0" t="s">
        <v>115</v>
      </c>
      <c r="B51" s="3" t="n">
        <v>0</v>
      </c>
    </row>
    <row r="52" customFormat="false" ht="15" hidden="false" customHeight="false" outlineLevel="0" collapsed="false">
      <c r="A52" s="0" t="s">
        <v>116</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10.3</v>
      </c>
      <c r="D5" s="4" t="n">
        <f aca="false">Assumptions!D13</f>
        <v>4</v>
      </c>
      <c r="E5" s="4" t="n">
        <f aca="false">Assumptions!E13</f>
        <v>4</v>
      </c>
      <c r="F5" s="4" t="n">
        <f aca="false">Assumptions!F13</f>
        <v>4.5</v>
      </c>
      <c r="G5" s="4" t="n">
        <f aca="false">Assumptions!G13</f>
        <v>4.5</v>
      </c>
      <c r="H5" s="4" t="n">
        <f aca="false">Assumptions!H13</f>
        <v>4</v>
      </c>
      <c r="I5" s="4" t="n">
        <f aca="false">Assumptions!I13</f>
        <v>3.5</v>
      </c>
      <c r="J5" s="4" t="n">
        <f aca="false">Assumptions!J13</f>
        <v>3.5</v>
      </c>
      <c r="K5" s="4" t="n">
        <f aca="false">Assumptions!K13</f>
        <v>3</v>
      </c>
      <c r="L5" s="4" t="n">
        <f aca="false">Assumptions!L13</f>
        <v>3</v>
      </c>
    </row>
    <row r="6" customFormat="false" ht="15" hidden="false" customHeight="false" outlineLevel="0" collapsed="false">
      <c r="A6" s="0" t="s">
        <v>37</v>
      </c>
      <c r="B6" s="3" t="n">
        <v>6074.5</v>
      </c>
      <c r="C6" s="0" t="n">
        <f aca="false">B6*(1+C5/100)</f>
        <v>6700.1735</v>
      </c>
      <c r="D6" s="0" t="n">
        <f aca="false">C6*(1+D5/100)</f>
        <v>6968.18044</v>
      </c>
      <c r="E6" s="0" t="n">
        <f aca="false">D6*(1+E5/100)</f>
        <v>7246.9076576</v>
      </c>
      <c r="F6" s="0" t="n">
        <f aca="false">E6*(1+F5/100)</f>
        <v>7573.018502192</v>
      </c>
      <c r="G6" s="0" t="n">
        <f aca="false">F6*(1+G5/100)</f>
        <v>7913.80433479064</v>
      </c>
      <c r="H6" s="0" t="n">
        <f aca="false">G6*(1+H5/100)</f>
        <v>8230.35650818227</v>
      </c>
      <c r="I6" s="0" t="n">
        <f aca="false">H6*(1+I5/100)</f>
        <v>8518.41898596865</v>
      </c>
      <c r="J6" s="0" t="n">
        <f aca="false">I6*(1+J5/100)</f>
        <v>8816.56365047755</v>
      </c>
      <c r="K6" s="0" t="n">
        <f aca="false">J6*(1+K5/100)</f>
        <v>9081.06055999187</v>
      </c>
      <c r="L6" s="0" t="n">
        <f aca="false">K6*(1+L5/100)</f>
        <v>9353.49237679163</v>
      </c>
    </row>
    <row r="7" customFormat="false" ht="15" hidden="false" customHeight="false" outlineLevel="0" collapsed="false">
      <c r="A7" s="0" t="s">
        <v>106</v>
      </c>
      <c r="C7" s="4" t="n">
        <f aca="false">Assumptions!C14</f>
        <v>30.5</v>
      </c>
      <c r="D7" s="4" t="n">
        <f aca="false">Assumptions!D14</f>
        <v>30</v>
      </c>
      <c r="E7" s="4" t="n">
        <f aca="false">Assumptions!E14</f>
        <v>30</v>
      </c>
      <c r="F7" s="4" t="n">
        <f aca="false">Assumptions!F14</f>
        <v>30</v>
      </c>
      <c r="G7" s="4" t="n">
        <f aca="false">Assumptions!G14</f>
        <v>30</v>
      </c>
      <c r="H7" s="4" t="n">
        <f aca="false">Assumptions!H14</f>
        <v>30</v>
      </c>
      <c r="I7" s="4" t="n">
        <f aca="false">Assumptions!I14</f>
        <v>30</v>
      </c>
      <c r="J7" s="4" t="n">
        <f aca="false">Assumptions!J14</f>
        <v>30</v>
      </c>
      <c r="K7" s="4" t="n">
        <f aca="false">Assumptions!K14</f>
        <v>30</v>
      </c>
      <c r="L7" s="4" t="n">
        <f aca="false">Assumptions!L14</f>
        <v>30</v>
      </c>
    </row>
    <row r="8" customFormat="false" ht="15" hidden="false" customHeight="false" outlineLevel="0" collapsed="false">
      <c r="A8" s="0" t="s">
        <v>43</v>
      </c>
      <c r="C8" s="0" t="n">
        <f aca="false">C6*C7/100</f>
        <v>2043.5529175</v>
      </c>
      <c r="D8" s="0" t="n">
        <f aca="false">D6*D7/100</f>
        <v>2090.454132</v>
      </c>
      <c r="E8" s="0" t="n">
        <f aca="false">E6*E7/100</f>
        <v>2174.07229728</v>
      </c>
      <c r="F8" s="0" t="n">
        <f aca="false">F6*F7/100</f>
        <v>2271.9055506576</v>
      </c>
      <c r="G8" s="0" t="n">
        <f aca="false">G6*G7/100</f>
        <v>2374.14130043719</v>
      </c>
      <c r="H8" s="0" t="n">
        <f aca="false">H6*H7/100</f>
        <v>2469.10695245468</v>
      </c>
      <c r="I8" s="0" t="n">
        <f aca="false">I6*I7/100</f>
        <v>2555.52569579059</v>
      </c>
      <c r="J8" s="0" t="n">
        <f aca="false">J6*J7/100</f>
        <v>2644.96909514326</v>
      </c>
      <c r="K8" s="0" t="n">
        <f aca="false">K6*K7/100</f>
        <v>2724.31816799756</v>
      </c>
      <c r="L8" s="0" t="n">
        <f aca="false">L6*L7/100</f>
        <v>2806.04771303749</v>
      </c>
    </row>
    <row r="9" customFormat="false" ht="15" hidden="false" customHeight="false" outlineLevel="0" collapsed="false">
      <c r="A9" s="0" t="s">
        <v>107</v>
      </c>
      <c r="C9" s="4" t="n">
        <f aca="false">Assumptions!C15</f>
        <v>1.6</v>
      </c>
      <c r="D9" s="4" t="n">
        <f aca="false">Assumptions!D15</f>
        <v>1.6</v>
      </c>
      <c r="E9" s="4" t="n">
        <f aca="false">Assumptions!E15</f>
        <v>1.6</v>
      </c>
      <c r="F9" s="4" t="n">
        <f aca="false">Assumptions!F15</f>
        <v>1.6</v>
      </c>
      <c r="G9" s="4" t="n">
        <f aca="false">Assumptions!G15</f>
        <v>1.6</v>
      </c>
      <c r="H9" s="4" t="n">
        <f aca="false">Assumptions!H15</f>
        <v>1.6</v>
      </c>
      <c r="I9" s="4" t="n">
        <f aca="false">Assumptions!I15</f>
        <v>1.6</v>
      </c>
      <c r="J9" s="4" t="n">
        <f aca="false">Assumptions!J15</f>
        <v>1.6</v>
      </c>
      <c r="K9" s="4" t="n">
        <f aca="false">Assumptions!K15</f>
        <v>1.6</v>
      </c>
      <c r="L9" s="4" t="n">
        <f aca="false">Assumptions!L15</f>
        <v>1.6</v>
      </c>
    </row>
    <row r="10" customFormat="false" ht="15" hidden="false" customHeight="false" outlineLevel="0" collapsed="false">
      <c r="A10" s="0" t="s">
        <v>122</v>
      </c>
      <c r="C10" s="0" t="n">
        <f aca="false">-C6*C9/100</f>
        <v>-107.202776</v>
      </c>
      <c r="D10" s="0" t="n">
        <f aca="false">-D6*D9/100</f>
        <v>-111.49088704</v>
      </c>
      <c r="E10" s="0" t="n">
        <f aca="false">-E6*E9/100</f>
        <v>-115.9505225216</v>
      </c>
      <c r="F10" s="0" t="n">
        <f aca="false">-F6*F9/100</f>
        <v>-121.168296035072</v>
      </c>
      <c r="G10" s="0" t="n">
        <f aca="false">-G6*G9/100</f>
        <v>-126.62086935665</v>
      </c>
      <c r="H10" s="0" t="n">
        <f aca="false">-H6*H9/100</f>
        <v>-131.685704130916</v>
      </c>
      <c r="I10" s="0" t="n">
        <f aca="false">-I6*I9/100</f>
        <v>-136.294703775498</v>
      </c>
      <c r="J10" s="0" t="n">
        <f aca="false">-J6*J9/100</f>
        <v>-141.065018407641</v>
      </c>
      <c r="K10" s="0" t="n">
        <f aca="false">-K6*K9/100</f>
        <v>-145.29696895987</v>
      </c>
      <c r="L10" s="0" t="n">
        <f aca="false">-L6*L9/100</f>
        <v>-149.655878028666</v>
      </c>
    </row>
    <row r="11" customFormat="false" ht="15" hidden="false" customHeight="false" outlineLevel="0" collapsed="false">
      <c r="A11" s="0" t="s">
        <v>123</v>
      </c>
      <c r="C11" s="0" t="n">
        <f aca="false">C8+C10+C24</f>
        <v>1936.3501415</v>
      </c>
      <c r="D11" s="0" t="n">
        <f aca="false">D8+D10+D24</f>
        <v>1978.96324496</v>
      </c>
      <c r="E11" s="0" t="n">
        <f aca="false">E8+E10+E24</f>
        <v>2058.1217747584</v>
      </c>
      <c r="F11" s="0" t="n">
        <f aca="false">F8+F10+F24</f>
        <v>2150.73725462253</v>
      </c>
      <c r="G11" s="0" t="n">
        <f aca="false">G8+G10+G24</f>
        <v>2247.52043108054</v>
      </c>
      <c r="H11" s="0" t="n">
        <f aca="false">H8+H10+H24</f>
        <v>2337.42124832376</v>
      </c>
      <c r="I11" s="0" t="n">
        <f aca="false">I8+I10+I24</f>
        <v>2419.2309920151</v>
      </c>
      <c r="J11" s="0" t="n">
        <f aca="false">J8+J10+J24</f>
        <v>2503.90407673562</v>
      </c>
      <c r="K11" s="0" t="n">
        <f aca="false">K8+K10+K24</f>
        <v>2579.02119903769</v>
      </c>
      <c r="L11" s="0" t="n">
        <f aca="false">L8+L10+L24</f>
        <v>2656.39183500882</v>
      </c>
    </row>
    <row r="12" customFormat="false" ht="15" hidden="false" customHeight="false" outlineLevel="0" collapsed="false">
      <c r="A12" s="0" t="s">
        <v>124</v>
      </c>
      <c r="C12" s="4" t="n">
        <f aca="false">-C6*Assumptions!C17/100</f>
        <v>-770.5199525</v>
      </c>
      <c r="D12" s="4" t="n">
        <f aca="false">-D6*Assumptions!D17/100</f>
        <v>-766.4998484</v>
      </c>
      <c r="E12" s="4" t="n">
        <f aca="false">-E6*Assumptions!E17/100</f>
        <v>-760.925304048</v>
      </c>
      <c r="F12" s="4" t="n">
        <f aca="false">-F6*Assumptions!F17/100</f>
        <v>-757.3018502192</v>
      </c>
      <c r="G12" s="4" t="n">
        <f aca="false">-G6*Assumptions!G17/100</f>
        <v>-751.811411805111</v>
      </c>
      <c r="H12" s="4" t="n">
        <f aca="false">-H6*Assumptions!H17/100</f>
        <v>-740.732085736404</v>
      </c>
      <c r="I12" s="4" t="n">
        <f aca="false">-I6*Assumptions!I17/100</f>
        <v>-766.657708737178</v>
      </c>
      <c r="J12" s="4" t="n">
        <f aca="false">-J6*Assumptions!J17/100</f>
        <v>-793.490728542979</v>
      </c>
      <c r="K12" s="4" t="n">
        <f aca="false">-K6*Assumptions!K17/100</f>
        <v>-817.295450399269</v>
      </c>
      <c r="L12" s="4" t="n">
        <f aca="false">-L6*Assumptions!L17/100</f>
        <v>-841.814313911247</v>
      </c>
    </row>
    <row r="13" customFormat="false" ht="15" hidden="false" customHeight="false" outlineLevel="0" collapsed="false">
      <c r="A13" s="0" t="s">
        <v>125</v>
      </c>
      <c r="C13" s="0" t="n">
        <f aca="false">C11+C12</f>
        <v>1165.830189</v>
      </c>
      <c r="D13" s="0" t="n">
        <f aca="false">D11+D12</f>
        <v>1212.46339656</v>
      </c>
      <c r="E13" s="0" t="n">
        <f aca="false">E11+E12</f>
        <v>1297.1964707104</v>
      </c>
      <c r="F13" s="0" t="n">
        <f aca="false">F11+F12</f>
        <v>1393.43540440333</v>
      </c>
      <c r="G13" s="0" t="n">
        <f aca="false">G11+G12</f>
        <v>1495.70901927543</v>
      </c>
      <c r="H13" s="0" t="n">
        <f aca="false">H11+H12</f>
        <v>1596.68916258736</v>
      </c>
      <c r="I13" s="0" t="n">
        <f aca="false">I11+I12</f>
        <v>1652.57328327792</v>
      </c>
      <c r="J13" s="0" t="n">
        <f aca="false">J11+J12</f>
        <v>1710.41334819264</v>
      </c>
      <c r="K13" s="0" t="n">
        <f aca="false">K11+K12</f>
        <v>1761.72574863842</v>
      </c>
      <c r="L13" s="0" t="n">
        <f aca="false">L11+L12</f>
        <v>1814.57752109758</v>
      </c>
    </row>
    <row r="14" customFormat="false" ht="15" hidden="false" customHeight="false" outlineLevel="0" collapsed="false">
      <c r="A14" s="0" t="s">
        <v>111</v>
      </c>
      <c r="C14" s="4" t="n">
        <f aca="false">Assumptions!C19</f>
        <v>23</v>
      </c>
      <c r="D14" s="4" t="n">
        <f aca="false">Assumptions!D19</f>
        <v>23.5</v>
      </c>
      <c r="E14" s="4" t="n">
        <f aca="false">Assumptions!E19</f>
        <v>24</v>
      </c>
      <c r="F14" s="4" t="n">
        <f aca="false">Assumptions!F19</f>
        <v>24.5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126</v>
      </c>
      <c r="C15" s="0" t="n">
        <f aca="false">C13-MAX(0,C13)*C14/100</f>
        <v>897.68924553</v>
      </c>
      <c r="D15" s="0" t="n">
        <f aca="false">D13-MAX(0,D13)*D14/100</f>
        <v>927.5344983684</v>
      </c>
      <c r="E15" s="0" t="n">
        <f aca="false">E13-MAX(0,E13)*E14/100</f>
        <v>985.869317739904</v>
      </c>
      <c r="F15" s="0" t="n">
        <f aca="false">F13-MAX(0,F13)*F14/100</f>
        <v>1052.04373032451</v>
      </c>
      <c r="G15" s="0" t="n">
        <f aca="false">G13-MAX(0,G13)*G14/100</f>
        <v>1121.78176445657</v>
      </c>
      <c r="H15" s="0" t="n">
        <f aca="false">H13-MAX(0,H13)*H14/100</f>
        <v>1197.51687194052</v>
      </c>
      <c r="I15" s="0" t="n">
        <f aca="false">I13-MAX(0,I13)*I14/100</f>
        <v>1239.42996245844</v>
      </c>
      <c r="J15" s="0" t="n">
        <f aca="false">J13-MAX(0,J13)*J14/100</f>
        <v>1282.81001114448</v>
      </c>
      <c r="K15" s="0" t="n">
        <f aca="false">K13-MAX(0,K13)*K14/100</f>
        <v>1321.29431147882</v>
      </c>
      <c r="L15" s="0" t="n">
        <f aca="false">L13-MAX(0,L13)*L14/100</f>
        <v>1360.93314082318</v>
      </c>
    </row>
    <row r="16" customFormat="false" ht="15" hidden="false" customHeight="false" outlineLevel="0" collapsed="false">
      <c r="A16" s="0" t="s">
        <v>127</v>
      </c>
      <c r="C16" s="0" t="n">
        <f aca="false">-C12</f>
        <v>770.5199525</v>
      </c>
      <c r="D16" s="0" t="n">
        <f aca="false">-D12</f>
        <v>766.4998484</v>
      </c>
      <c r="E16" s="0" t="n">
        <f aca="false">-E12</f>
        <v>760.925304048</v>
      </c>
      <c r="F16" s="0" t="n">
        <f aca="false">-F12</f>
        <v>757.3018502192</v>
      </c>
      <c r="G16" s="0" t="n">
        <f aca="false">-G12</f>
        <v>751.811411805111</v>
      </c>
      <c r="H16" s="0" t="n">
        <f aca="false">-H12</f>
        <v>740.732085736404</v>
      </c>
      <c r="I16" s="0" t="n">
        <f aca="false">-I12</f>
        <v>766.657708737178</v>
      </c>
      <c r="J16" s="0" t="n">
        <f aca="false">-J12</f>
        <v>793.490728542979</v>
      </c>
      <c r="K16" s="0" t="n">
        <f aca="false">-K12</f>
        <v>817.295450399269</v>
      </c>
      <c r="L16" s="0" t="n">
        <f aca="false">-L12</f>
        <v>841.814313911247</v>
      </c>
    </row>
    <row r="17" customFormat="false" ht="15" hidden="false" customHeight="false" outlineLevel="0" collapsed="false">
      <c r="A17" s="0" t="s">
        <v>128</v>
      </c>
      <c r="C17" s="4" t="n">
        <f aca="false">-C6*Assumptions!C18/100</f>
        <v>-536.01388</v>
      </c>
      <c r="D17" s="4" t="n">
        <f aca="false">-D6*Assumptions!D18/100</f>
        <v>-540.0339841</v>
      </c>
      <c r="E17" s="4" t="n">
        <f aca="false">-E6*Assumptions!E18/100</f>
        <v>-543.51807432</v>
      </c>
      <c r="F17" s="4" t="n">
        <f aca="false">-F6*Assumptions!F18/100</f>
        <v>-549.04384140892</v>
      </c>
      <c r="G17" s="4" t="n">
        <f aca="false">-G6*Assumptions!G18/100</f>
        <v>-553.966303435345</v>
      </c>
      <c r="H17" s="4" t="n">
        <f aca="false">-H6*Assumptions!H18/100</f>
        <v>-576.124955572759</v>
      </c>
      <c r="I17" s="4" t="n">
        <f aca="false">-I6*Assumptions!I18/100</f>
        <v>-596.289329017805</v>
      </c>
      <c r="J17" s="4" t="n">
        <f aca="false">-J6*Assumptions!J18/100</f>
        <v>-617.159455533428</v>
      </c>
      <c r="K17" s="4" t="n">
        <f aca="false">-K6*Assumptions!K18/100</f>
        <v>-635.674239199431</v>
      </c>
      <c r="L17" s="4" t="n">
        <f aca="false">-L6*Assumptions!L18/100</f>
        <v>-654.744466375414</v>
      </c>
    </row>
    <row r="18" customFormat="false" ht="15" hidden="false" customHeight="false" outlineLevel="0" collapsed="false">
      <c r="A18" s="0" t="s">
        <v>129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130</v>
      </c>
      <c r="C19" s="0" t="n">
        <f aca="false">C15+C16+C17+C18</f>
        <v>1132.19531803</v>
      </c>
      <c r="D19" s="0" t="n">
        <f aca="false">D15+D16+D17+D18</f>
        <v>1154.0003626684</v>
      </c>
      <c r="E19" s="0" t="n">
        <f aca="false">E15+E16+E17+E18</f>
        <v>1203.2765474679</v>
      </c>
      <c r="F19" s="0" t="n">
        <f aca="false">F15+F16+F17+F18</f>
        <v>1260.30173913479</v>
      </c>
      <c r="G19" s="0" t="n">
        <f aca="false">G15+G16+G17+G18</f>
        <v>1319.62687282634</v>
      </c>
      <c r="H19" s="0" t="n">
        <f aca="false">H15+H16+H17+H18</f>
        <v>1362.12400210417</v>
      </c>
      <c r="I19" s="0" t="n">
        <f aca="false">I15+I16+I17+I18</f>
        <v>1409.79834217781</v>
      </c>
      <c r="J19" s="0" t="n">
        <f aca="false">J15+J16+J17+J18</f>
        <v>1459.14128415403</v>
      </c>
      <c r="K19" s="0" t="n">
        <f aca="false">K15+K16+K17+K18</f>
        <v>1502.91552267866</v>
      </c>
      <c r="L19" s="0" t="n">
        <f aca="false">L15+L16+L17+L18</f>
        <v>1548.00298835902</v>
      </c>
    </row>
    <row r="20" customFormat="false" ht="15" hidden="false" customHeight="false" outlineLevel="0" collapsed="false">
      <c r="A20" s="0" t="s">
        <v>131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132</v>
      </c>
      <c r="C21" s="0" t="n">
        <f aca="false">C19*C20</f>
        <v>1043.49798896774</v>
      </c>
      <c r="D21" s="0" t="n">
        <f aca="false">D19*D20</f>
        <v>980.271709034722</v>
      </c>
      <c r="E21" s="0" t="n">
        <f aca="false">E19*E20</f>
        <v>942.05495366439</v>
      </c>
      <c r="F21" s="0" t="n">
        <f aca="false">F19*F20</f>
        <v>909.401325377845</v>
      </c>
      <c r="G21" s="0" t="n">
        <f aca="false">G19*G20</f>
        <v>877.611812221588</v>
      </c>
      <c r="H21" s="0" t="n">
        <f aca="false">H19*H20</f>
        <v>834.907219862399</v>
      </c>
      <c r="I21" s="0" t="n">
        <f aca="false">I19*I20</f>
        <v>796.432232771966</v>
      </c>
      <c r="J21" s="0" t="n">
        <f aca="false">J19*J20</f>
        <v>759.730286561277</v>
      </c>
      <c r="K21" s="0" t="n">
        <f aca="false">K19*K20</f>
        <v>721.218613048954</v>
      </c>
      <c r="L21" s="0" t="n">
        <f aca="false">L19*L20</f>
        <v>684.659144184722</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8.5</v>
      </c>
    </row>
    <row r="28" customFormat="false" ht="15" hidden="false" customHeight="false" outlineLevel="0" collapsed="false">
      <c r="A28" s="0" t="s">
        <v>113</v>
      </c>
      <c r="B28" s="4" t="n">
        <f aca="false">Assumptions!$B$21</f>
        <v>2.5</v>
      </c>
    </row>
    <row r="29" customFormat="false" ht="15" hidden="false" customHeight="false" outlineLevel="0" collapsed="false">
      <c r="A29" s="0" t="s">
        <v>114</v>
      </c>
      <c r="B29" s="4" t="n">
        <f aca="false">Assumptions!$B$22</f>
        <v>15</v>
      </c>
    </row>
    <row r="30" customFormat="false" ht="15" hidden="false" customHeight="false" outlineLevel="0" collapsed="false">
      <c r="A30" s="0" t="s">
        <v>135</v>
      </c>
      <c r="B30" s="0" t="n">
        <f aca="false">SUM(C21:L21)</f>
        <v>8549.7852856956</v>
      </c>
    </row>
    <row r="31" customFormat="false" ht="15" hidden="false" customHeight="false" outlineLevel="0" collapsed="false">
      <c r="A31" s="0" t="s">
        <v>136</v>
      </c>
      <c r="B31" s="0" t="n">
        <f aca="false">L19</f>
        <v>1548.00298835902</v>
      </c>
    </row>
    <row r="32" customFormat="false" ht="15" hidden="false" customHeight="false" outlineLevel="0" collapsed="false">
      <c r="A32" s="0" t="s">
        <v>137</v>
      </c>
      <c r="B32" s="0" t="n">
        <f aca="false">IF(B27&gt;B28,B31*(1+B28/100)/((B27-B28)/100),B31*B29)</f>
        <v>26445.0510511332</v>
      </c>
    </row>
    <row r="33" customFormat="false" ht="15" hidden="false" customHeight="false" outlineLevel="0" collapsed="false">
      <c r="A33" s="0" t="s">
        <v>138</v>
      </c>
      <c r="B33" s="0" t="n">
        <f aca="false">B31*B29</f>
        <v>23220.0448253852</v>
      </c>
    </row>
    <row r="34" customFormat="false" ht="15" hidden="false" customHeight="false" outlineLevel="0" collapsed="false">
      <c r="A34" s="0" t="s">
        <v>139</v>
      </c>
      <c r="B34" s="0" t="n">
        <f aca="false">MAX(0,MIN(B32,B33))</f>
        <v>23220.0448253852</v>
      </c>
    </row>
    <row r="35" customFormat="false" ht="15" hidden="false" customHeight="false" outlineLevel="0" collapsed="false">
      <c r="A35" s="0" t="s">
        <v>140</v>
      </c>
      <c r="B35" s="0" t="n">
        <f aca="false">B34/(1+B27/100)^L4</f>
        <v>10269.8871627708</v>
      </c>
    </row>
    <row r="36" customFormat="false" ht="15" hidden="false" customHeight="false" outlineLevel="0" collapsed="false">
      <c r="A36" s="0" t="s">
        <v>141</v>
      </c>
      <c r="B36" s="0" t="n">
        <f aca="false">B30+B35</f>
        <v>18819.6724484664</v>
      </c>
    </row>
    <row r="37" customFormat="false" ht="15" hidden="false" customHeight="false" outlineLevel="0" collapsed="false">
      <c r="A37" s="0" t="s">
        <v>142</v>
      </c>
      <c r="B37" s="0" t="n">
        <f aca="false">B36+Assumptions!$B$5-Assumptions!$B$4</f>
        <v>13522.6724484664</v>
      </c>
    </row>
    <row r="38" customFormat="false" ht="15" hidden="false" customHeight="false" outlineLevel="0" collapsed="false">
      <c r="A38" s="0" t="s">
        <v>143</v>
      </c>
      <c r="B38" s="0" t="n">
        <f aca="false">B37/Assumptions!$B$3*Assumptions!$B$10</f>
        <v>114.308304720764</v>
      </c>
    </row>
    <row r="39" customFormat="false" ht="15" hidden="false" customHeight="false" outlineLevel="0" collapsed="false">
      <c r="A39" s="0" t="s">
        <v>144</v>
      </c>
      <c r="B39" s="4" t="n">
        <f aca="false">B38/Assumptions!$B$2-1</f>
        <v>-0.228220209838874</v>
      </c>
    </row>
    <row r="41" customFormat="false" ht="15" hidden="false" customHeight="false" outlineLevel="0" collapsed="false">
      <c r="A41" s="0" t="s">
        <v>145</v>
      </c>
      <c r="B41" s="0" t="n">
        <f aca="false">SUMPRODUCT(-C10:L10/(1+$B$27/100)^C4:L4)</f>
        <v>823.0065796376</v>
      </c>
    </row>
    <row r="42" customFormat="false" ht="15" hidden="false" customHeight="false" outlineLevel="0" collapsed="false">
      <c r="A42" s="0" t="s">
        <v>146</v>
      </c>
      <c r="B42" s="0" t="n">
        <f aca="false">IF(B27&gt;B28,-L10*(1+B28/100)/((B27-B28)/100),-L10*20)/(1+B27/100)^L4</f>
        <v>1130.75629049642</v>
      </c>
    </row>
    <row r="43" customFormat="false" ht="15" hidden="false" customHeight="false" outlineLevel="0" collapsed="false">
      <c r="A43" s="0" t="s">
        <v>147</v>
      </c>
      <c r="B43" s="0" t="n">
        <f aca="false">(B37+B41+B42)/Assumptions!$B$3*Assumptions!$B$10</f>
        <v>130.823629066783</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12693.6245045439</v>
      </c>
    </row>
    <row r="47" customFormat="false" ht="15" hidden="false" customHeight="false" outlineLevel="0" collapsed="false">
      <c r="A47" s="0" t="s">
        <v>149</v>
      </c>
      <c r="B47" s="0" t="n">
        <f aca="false">(SUMPRODUCT(C19:L19/(1+B45/100)^C4:L4)+B46/(1+B45/100)^L4+Assumptions!$B$5-Assumptions!$B$4)/Assumptions!$B$3*Assumptions!$B$10</f>
        <v>36.1061789469068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11</v>
      </c>
      <c r="D5" s="4" t="n">
        <f aca="false">Assumptions!D27</f>
        <v>7</v>
      </c>
      <c r="E5" s="4" t="n">
        <f aca="false">Assumptions!E27</f>
        <v>7.5</v>
      </c>
      <c r="F5" s="4" t="n">
        <f aca="false">Assumptions!F27</f>
        <v>7</v>
      </c>
      <c r="G5" s="4" t="n">
        <f aca="false">Assumptions!G27</f>
        <v>6.5</v>
      </c>
      <c r="H5" s="4" t="n">
        <f aca="false">Assumptions!H27</f>
        <v>6</v>
      </c>
      <c r="I5" s="4" t="n">
        <f aca="false">Assumptions!I27</f>
        <v>5.5</v>
      </c>
      <c r="J5" s="4" t="n">
        <f aca="false">Assumptions!J27</f>
        <v>5</v>
      </c>
      <c r="K5" s="4" t="n">
        <f aca="false">Assumptions!K27</f>
        <v>4.5</v>
      </c>
      <c r="L5" s="4" t="n">
        <f aca="false">Assumptions!L27</f>
        <v>4</v>
      </c>
    </row>
    <row r="6" customFormat="false" ht="15" hidden="false" customHeight="false" outlineLevel="0" collapsed="false">
      <c r="A6" s="0" t="s">
        <v>37</v>
      </c>
      <c r="B6" s="3" t="n">
        <v>6074.5</v>
      </c>
      <c r="C6" s="0" t="n">
        <f aca="false">B6*(1+C5/100)</f>
        <v>6742.695</v>
      </c>
      <c r="D6" s="0" t="n">
        <f aca="false">C6*(1+D5/100)</f>
        <v>7214.68365</v>
      </c>
      <c r="E6" s="0" t="n">
        <f aca="false">D6*(1+E5/100)</f>
        <v>7755.78492375</v>
      </c>
      <c r="F6" s="0" t="n">
        <f aca="false">E6*(1+F5/100)</f>
        <v>8298.6898684125</v>
      </c>
      <c r="G6" s="0" t="n">
        <f aca="false">F6*(1+G5/100)</f>
        <v>8838.10470985931</v>
      </c>
      <c r="H6" s="0" t="n">
        <f aca="false">G6*(1+H5/100)</f>
        <v>9368.39099245087</v>
      </c>
      <c r="I6" s="0" t="n">
        <f aca="false">H6*(1+I5/100)</f>
        <v>9883.65249703567</v>
      </c>
      <c r="J6" s="0" t="n">
        <f aca="false">I6*(1+J5/100)</f>
        <v>10377.8351218875</v>
      </c>
      <c r="K6" s="0" t="n">
        <f aca="false">J6*(1+K5/100)</f>
        <v>10844.8377023724</v>
      </c>
      <c r="L6" s="0" t="n">
        <f aca="false">K6*(1+L5/100)</f>
        <v>11278.6312104673</v>
      </c>
    </row>
    <row r="7" customFormat="false" ht="15" hidden="false" customHeight="false" outlineLevel="0" collapsed="false">
      <c r="A7" s="0" t="s">
        <v>106</v>
      </c>
      <c r="C7" s="4" t="n">
        <f aca="false">Assumptions!C28</f>
        <v>31</v>
      </c>
      <c r="D7" s="4" t="n">
        <f aca="false">Assumptions!D28</f>
        <v>31.5</v>
      </c>
      <c r="E7" s="4" t="n">
        <f aca="false">Assumptions!E28</f>
        <v>32</v>
      </c>
      <c r="F7" s="4" t="n">
        <f aca="false">Assumptions!F28</f>
        <v>32.5</v>
      </c>
      <c r="G7" s="4" t="n">
        <f aca="false">Assumptions!G28</f>
        <v>33</v>
      </c>
      <c r="H7" s="4" t="n">
        <f aca="false">Assumptions!H28</f>
        <v>33.5</v>
      </c>
      <c r="I7" s="4" t="n">
        <f aca="false">Assumptions!I28</f>
        <v>33.5</v>
      </c>
      <c r="J7" s="4" t="n">
        <f aca="false">Assumptions!J28</f>
        <v>33.5</v>
      </c>
      <c r="K7" s="4" t="n">
        <f aca="false">Assumptions!K28</f>
        <v>33.5</v>
      </c>
      <c r="L7" s="4" t="n">
        <f aca="false">Assumptions!L28</f>
        <v>33.5</v>
      </c>
    </row>
    <row r="8" customFormat="false" ht="15" hidden="false" customHeight="false" outlineLevel="0" collapsed="false">
      <c r="A8" s="0" t="s">
        <v>43</v>
      </c>
      <c r="C8" s="0" t="n">
        <f aca="false">C6*C7/100</f>
        <v>2090.23545</v>
      </c>
      <c r="D8" s="0" t="n">
        <f aca="false">D6*D7/100</f>
        <v>2272.62534975</v>
      </c>
      <c r="E8" s="0" t="n">
        <f aca="false">E6*E7/100</f>
        <v>2481.8511756</v>
      </c>
      <c r="F8" s="0" t="n">
        <f aca="false">F6*F7/100</f>
        <v>2697.07420723406</v>
      </c>
      <c r="G8" s="0" t="n">
        <f aca="false">G6*G7/100</f>
        <v>2916.57455425357</v>
      </c>
      <c r="H8" s="0" t="n">
        <f aca="false">H6*H7/100</f>
        <v>3138.41098247104</v>
      </c>
      <c r="I8" s="0" t="n">
        <f aca="false">I6*I7/100</f>
        <v>3311.02358650695</v>
      </c>
      <c r="J8" s="0" t="n">
        <f aca="false">J6*J7/100</f>
        <v>3476.5747658323</v>
      </c>
      <c r="K8" s="0" t="n">
        <f aca="false">K6*K7/100</f>
        <v>3633.02063029475</v>
      </c>
      <c r="L8" s="0" t="n">
        <f aca="false">L6*L7/100</f>
        <v>3778.34145550654</v>
      </c>
    </row>
    <row r="9" customFormat="false" ht="15" hidden="false" customHeight="false" outlineLevel="0" collapsed="false">
      <c r="A9" s="0" t="s">
        <v>107</v>
      </c>
      <c r="C9" s="4" t="n">
        <f aca="false">Assumptions!C29</f>
        <v>1.5</v>
      </c>
      <c r="D9" s="4" t="n">
        <f aca="false">Assumptions!D29</f>
        <v>1.5</v>
      </c>
      <c r="E9" s="4" t="n">
        <f aca="false">Assumptions!E29</f>
        <v>1.5</v>
      </c>
      <c r="F9" s="4" t="n">
        <f aca="false">Assumptions!F29</f>
        <v>1.5</v>
      </c>
      <c r="G9" s="4" t="n">
        <f aca="false">Assumptions!G29</f>
        <v>1.5</v>
      </c>
      <c r="H9" s="4" t="n">
        <f aca="false">Assumptions!H29</f>
        <v>1.5</v>
      </c>
      <c r="I9" s="4" t="n">
        <f aca="false">Assumptions!I29</f>
        <v>1.5</v>
      </c>
      <c r="J9" s="4" t="n">
        <f aca="false">Assumptions!J29</f>
        <v>1.5</v>
      </c>
      <c r="K9" s="4" t="n">
        <f aca="false">Assumptions!K29</f>
        <v>1.5</v>
      </c>
      <c r="L9" s="4" t="n">
        <f aca="false">Assumptions!L29</f>
        <v>1.5</v>
      </c>
    </row>
    <row r="10" customFormat="false" ht="15" hidden="false" customHeight="false" outlineLevel="0" collapsed="false">
      <c r="A10" s="0" t="s">
        <v>122</v>
      </c>
      <c r="C10" s="0" t="n">
        <f aca="false">-C6*C9/100</f>
        <v>-101.140425</v>
      </c>
      <c r="D10" s="0" t="n">
        <f aca="false">-D6*D9/100</f>
        <v>-108.22025475</v>
      </c>
      <c r="E10" s="0" t="n">
        <f aca="false">-E6*E9/100</f>
        <v>-116.33677385625</v>
      </c>
      <c r="F10" s="0" t="n">
        <f aca="false">-F6*F9/100</f>
        <v>-124.480348026188</v>
      </c>
      <c r="G10" s="0" t="n">
        <f aca="false">-G6*G9/100</f>
        <v>-132.57157064789</v>
      </c>
      <c r="H10" s="0" t="n">
        <f aca="false">-H6*H9/100</f>
        <v>-140.525864886763</v>
      </c>
      <c r="I10" s="0" t="n">
        <f aca="false">-I6*I9/100</f>
        <v>-148.254787455535</v>
      </c>
      <c r="J10" s="0" t="n">
        <f aca="false">-J6*J9/100</f>
        <v>-155.667526828312</v>
      </c>
      <c r="K10" s="0" t="n">
        <f aca="false">-K6*K9/100</f>
        <v>-162.672565535586</v>
      </c>
      <c r="L10" s="0" t="n">
        <f aca="false">-L6*L9/100</f>
        <v>-169.179468157009</v>
      </c>
    </row>
    <row r="11" customFormat="false" ht="15" hidden="false" customHeight="false" outlineLevel="0" collapsed="false">
      <c r="A11" s="0" t="s">
        <v>123</v>
      </c>
      <c r="C11" s="0" t="n">
        <f aca="false">C8+C10+C24</f>
        <v>1989.095025</v>
      </c>
      <c r="D11" s="0" t="n">
        <f aca="false">D8+D10+D24</f>
        <v>2164.405095</v>
      </c>
      <c r="E11" s="0" t="n">
        <f aca="false">E8+E10+E24</f>
        <v>2365.51440174375</v>
      </c>
      <c r="F11" s="0" t="n">
        <f aca="false">F8+F10+F24</f>
        <v>2572.59385920788</v>
      </c>
      <c r="G11" s="0" t="n">
        <f aca="false">G8+G10+G24</f>
        <v>2784.00298360568</v>
      </c>
      <c r="H11" s="0" t="n">
        <f aca="false">H8+H10+H24</f>
        <v>2997.88511758428</v>
      </c>
      <c r="I11" s="0" t="n">
        <f aca="false">I8+I10+I24</f>
        <v>3162.76879905141</v>
      </c>
      <c r="J11" s="0" t="n">
        <f aca="false">J8+J10+J24</f>
        <v>3320.90723900399</v>
      </c>
      <c r="K11" s="0" t="n">
        <f aca="false">K8+K10+K24</f>
        <v>3470.34806475917</v>
      </c>
      <c r="L11" s="0" t="n">
        <f aca="false">L8+L10+L24</f>
        <v>3609.16198734953</v>
      </c>
    </row>
    <row r="12" customFormat="false" ht="15" hidden="false" customHeight="false" outlineLevel="0" collapsed="false">
      <c r="A12" s="0" t="s">
        <v>124</v>
      </c>
      <c r="C12" s="4" t="n">
        <f aca="false">-C6*Assumptions!C31/100</f>
        <v>-775.409925</v>
      </c>
      <c r="D12" s="4" t="n">
        <f aca="false">-D6*Assumptions!D31/100</f>
        <v>-793.6152015</v>
      </c>
      <c r="E12" s="4" t="n">
        <f aca="false">-E6*Assumptions!E31/100</f>
        <v>-814.35741699375</v>
      </c>
      <c r="F12" s="4" t="n">
        <f aca="false">-F6*Assumptions!F31/100</f>
        <v>-829.86898684125</v>
      </c>
      <c r="G12" s="4" t="n">
        <f aca="false">-G6*Assumptions!G31/100</f>
        <v>-839.619947436635</v>
      </c>
      <c r="H12" s="4" t="n">
        <f aca="false">-H6*Assumptions!H31/100</f>
        <v>-843.155189320579</v>
      </c>
      <c r="I12" s="4" t="n">
        <f aca="false">-I6*Assumptions!I31/100</f>
        <v>-889.52872473321</v>
      </c>
      <c r="J12" s="4" t="n">
        <f aca="false">-J6*Assumptions!J31/100</f>
        <v>-934.005160969871</v>
      </c>
      <c r="K12" s="4" t="n">
        <f aca="false">-K6*Assumptions!K31/100</f>
        <v>-976.035393213515</v>
      </c>
      <c r="L12" s="4" t="n">
        <f aca="false">-L6*Assumptions!L31/100</f>
        <v>-1015.07680894206</v>
      </c>
    </row>
    <row r="13" customFormat="false" ht="15" hidden="false" customHeight="false" outlineLevel="0" collapsed="false">
      <c r="A13" s="0" t="s">
        <v>125</v>
      </c>
      <c r="C13" s="0" t="n">
        <f aca="false">C11+C12</f>
        <v>1213.6851</v>
      </c>
      <c r="D13" s="0" t="n">
        <f aca="false">D11+D12</f>
        <v>1370.7898935</v>
      </c>
      <c r="E13" s="0" t="n">
        <f aca="false">E11+E12</f>
        <v>1551.15698475</v>
      </c>
      <c r="F13" s="0" t="n">
        <f aca="false">F11+F12</f>
        <v>1742.72487236662</v>
      </c>
      <c r="G13" s="0" t="n">
        <f aca="false">G11+G12</f>
        <v>1944.38303616905</v>
      </c>
      <c r="H13" s="0" t="n">
        <f aca="false">H11+H12</f>
        <v>2154.7299282637</v>
      </c>
      <c r="I13" s="0" t="n">
        <f aca="false">I11+I12</f>
        <v>2273.2400743182</v>
      </c>
      <c r="J13" s="0" t="n">
        <f aca="false">J11+J12</f>
        <v>2386.90207803411</v>
      </c>
      <c r="K13" s="0" t="n">
        <f aca="false">K11+K12</f>
        <v>2494.31267154565</v>
      </c>
      <c r="L13" s="0" t="n">
        <f aca="false">L11+L12</f>
        <v>2594.08517840748</v>
      </c>
    </row>
    <row r="14" customFormat="false" ht="15" hidden="false" customHeight="false" outlineLevel="0" collapsed="false">
      <c r="A14" s="0" t="s">
        <v>111</v>
      </c>
      <c r="C14" s="4" t="n">
        <f aca="false">Assumptions!C33</f>
        <v>23</v>
      </c>
      <c r="D14" s="4" t="n">
        <f aca="false">Assumptions!D33</f>
        <v>23</v>
      </c>
      <c r="E14" s="4" t="n">
        <f aca="false">Assumptions!E33</f>
        <v>23.5</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126</v>
      </c>
      <c r="C15" s="0" t="n">
        <f aca="false">C13-MAX(0,C13)*C14/100</f>
        <v>934.537527</v>
      </c>
      <c r="D15" s="0" t="n">
        <f aca="false">D13-MAX(0,D13)*D14/100</f>
        <v>1055.508217995</v>
      </c>
      <c r="E15" s="0" t="n">
        <f aca="false">E13-MAX(0,E13)*E14/100</f>
        <v>1186.63509333375</v>
      </c>
      <c r="F15" s="0" t="n">
        <f aca="false">F13-MAX(0,F13)*F14/100</f>
        <v>1324.47090299864</v>
      </c>
      <c r="G15" s="0" t="n">
        <f aca="false">G13-MAX(0,G13)*G14/100</f>
        <v>1477.73110748848</v>
      </c>
      <c r="H15" s="0" t="n">
        <f aca="false">H13-MAX(0,H13)*H14/100</f>
        <v>1637.59474548041</v>
      </c>
      <c r="I15" s="0" t="n">
        <f aca="false">I13-MAX(0,I13)*I14/100</f>
        <v>1727.66245648184</v>
      </c>
      <c r="J15" s="0" t="n">
        <f aca="false">J13-MAX(0,J13)*J14/100</f>
        <v>1814.04557930593</v>
      </c>
      <c r="K15" s="0" t="n">
        <f aca="false">K13-MAX(0,K13)*K14/100</f>
        <v>1895.67763037469</v>
      </c>
      <c r="L15" s="0" t="n">
        <f aca="false">L13-MAX(0,L13)*L14/100</f>
        <v>1971.50473558968</v>
      </c>
    </row>
    <row r="16" customFormat="false" ht="15" hidden="false" customHeight="false" outlineLevel="0" collapsed="false">
      <c r="A16" s="0" t="s">
        <v>127</v>
      </c>
      <c r="C16" s="0" t="n">
        <f aca="false">-C12</f>
        <v>775.409925</v>
      </c>
      <c r="D16" s="0" t="n">
        <f aca="false">-D12</f>
        <v>793.6152015</v>
      </c>
      <c r="E16" s="0" t="n">
        <f aca="false">-E12</f>
        <v>814.35741699375</v>
      </c>
      <c r="F16" s="0" t="n">
        <f aca="false">-F12</f>
        <v>829.86898684125</v>
      </c>
      <c r="G16" s="0" t="n">
        <f aca="false">-G12</f>
        <v>839.619947436635</v>
      </c>
      <c r="H16" s="0" t="n">
        <f aca="false">-H12</f>
        <v>843.155189320579</v>
      </c>
      <c r="I16" s="0" t="n">
        <f aca="false">-I12</f>
        <v>889.52872473321</v>
      </c>
      <c r="J16" s="0" t="n">
        <f aca="false">-J12</f>
        <v>934.005160969871</v>
      </c>
      <c r="K16" s="0" t="n">
        <f aca="false">-K12</f>
        <v>976.035393213515</v>
      </c>
      <c r="L16" s="0" t="n">
        <f aca="false">-L12</f>
        <v>1015.07680894206</v>
      </c>
    </row>
    <row r="17" customFormat="false" ht="15" hidden="false" customHeight="false" outlineLevel="0" collapsed="false">
      <c r="A17" s="0" t="s">
        <v>128</v>
      </c>
      <c r="C17" s="4" t="n">
        <f aca="false">-C6*Assumptions!C32/100</f>
        <v>-505.702125</v>
      </c>
      <c r="D17" s="4" t="n">
        <f aca="false">-D6*Assumptions!D32/100</f>
        <v>-505.0278555</v>
      </c>
      <c r="E17" s="4" t="n">
        <f aca="false">-E6*Assumptions!E32/100</f>
        <v>-523.515482353125</v>
      </c>
      <c r="F17" s="4" t="n">
        <f aca="false">-F6*Assumptions!F32/100</f>
        <v>-539.414841446813</v>
      </c>
      <c r="G17" s="4" t="n">
        <f aca="false">-G6*Assumptions!G32/100</f>
        <v>-574.476806140855</v>
      </c>
      <c r="H17" s="4" t="n">
        <f aca="false">-H6*Assumptions!H32/100</f>
        <v>-608.945414509307</v>
      </c>
      <c r="I17" s="4" t="n">
        <f aca="false">-I6*Assumptions!I32/100</f>
        <v>-642.437412307319</v>
      </c>
      <c r="J17" s="4" t="n">
        <f aca="false">-J6*Assumptions!J32/100</f>
        <v>-674.559282922685</v>
      </c>
      <c r="K17" s="4" t="n">
        <f aca="false">-K6*Assumptions!K32/100</f>
        <v>-704.914450654205</v>
      </c>
      <c r="L17" s="4" t="n">
        <f aca="false">-L6*Assumptions!L32/100</f>
        <v>-733.111028680374</v>
      </c>
    </row>
    <row r="18" customFormat="false" ht="15" hidden="false" customHeight="false" outlineLevel="0" collapsed="false">
      <c r="A18" s="0" t="s">
        <v>129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130</v>
      </c>
      <c r="C19" s="0" t="n">
        <f aca="false">C15+C16+C17+C18</f>
        <v>1204.245327</v>
      </c>
      <c r="D19" s="0" t="n">
        <f aca="false">D15+D16+D17+D18</f>
        <v>1344.095563995</v>
      </c>
      <c r="E19" s="0" t="n">
        <f aca="false">E15+E16+E17+E18</f>
        <v>1477.47702797437</v>
      </c>
      <c r="F19" s="0" t="n">
        <f aca="false">F15+F16+F17+F18</f>
        <v>1614.92504839307</v>
      </c>
      <c r="G19" s="0" t="n">
        <f aca="false">G15+G16+G17+G18</f>
        <v>1742.87424878426</v>
      </c>
      <c r="H19" s="0" t="n">
        <f aca="false">H15+H16+H17+H18</f>
        <v>1871.80452029168</v>
      </c>
      <c r="I19" s="0" t="n">
        <f aca="false">I15+I16+I17+I18</f>
        <v>1974.75376890773</v>
      </c>
      <c r="J19" s="0" t="n">
        <f aca="false">J15+J16+J17+J18</f>
        <v>2073.49145735311</v>
      </c>
      <c r="K19" s="0" t="n">
        <f aca="false">K15+K16+K17+K18</f>
        <v>2166.798572934</v>
      </c>
      <c r="L19" s="0" t="n">
        <f aca="false">L15+L16+L17+L18</f>
        <v>2253.47051585136</v>
      </c>
    </row>
    <row r="20" customFormat="false" ht="15" hidden="false" customHeight="false" outlineLevel="0" collapsed="false">
      <c r="A20" s="0" t="s">
        <v>131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132</v>
      </c>
      <c r="C21" s="0" t="n">
        <f aca="false">C19*C20</f>
        <v>1109.90352718894</v>
      </c>
      <c r="D21" s="0" t="n">
        <f aca="false">D19*D20</f>
        <v>1141.74908279641</v>
      </c>
      <c r="E21" s="0" t="n">
        <f aca="false">E19*E20</f>
        <v>1156.7287304465</v>
      </c>
      <c r="F21" s="0" t="n">
        <f aca="false">F19*F20</f>
        <v>1165.28838594062</v>
      </c>
      <c r="G21" s="0" t="n">
        <f aca="false">G19*G20</f>
        <v>1159.09054252124</v>
      </c>
      <c r="H21" s="0" t="n">
        <f aca="false">H19*H20</f>
        <v>1147.313391254</v>
      </c>
      <c r="I21" s="0" t="n">
        <f aca="false">I19*I20</f>
        <v>1115.59044034375</v>
      </c>
      <c r="J21" s="0" t="n">
        <f aca="false">J19*J20</f>
        <v>1079.60365194557</v>
      </c>
      <c r="K21" s="0" t="n">
        <f aca="false">K19*K20</f>
        <v>1039.80259565264</v>
      </c>
      <c r="L21" s="0" t="n">
        <f aca="false">L19*L20</f>
        <v>996.677142376727</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8.5</v>
      </c>
    </row>
    <row r="28" customFormat="false" ht="15" hidden="false" customHeight="false" outlineLevel="0" collapsed="false">
      <c r="A28" s="0" t="s">
        <v>113</v>
      </c>
      <c r="B28" s="4" t="n">
        <f aca="false">Assumptions!$B$35</f>
        <v>3</v>
      </c>
    </row>
    <row r="29" customFormat="false" ht="15" hidden="false" customHeight="false" outlineLevel="0" collapsed="false">
      <c r="A29" s="0" t="s">
        <v>114</v>
      </c>
      <c r="B29" s="4" t="n">
        <f aca="false">Assumptions!$B$36</f>
        <v>18</v>
      </c>
    </row>
    <row r="30" customFormat="false" ht="15" hidden="false" customHeight="false" outlineLevel="0" collapsed="false">
      <c r="A30" s="0" t="s">
        <v>135</v>
      </c>
      <c r="B30" s="0" t="n">
        <f aca="false">SUM(C21:L21)</f>
        <v>11111.7474904664</v>
      </c>
    </row>
    <row r="31" customFormat="false" ht="15" hidden="false" customHeight="false" outlineLevel="0" collapsed="false">
      <c r="A31" s="0" t="s">
        <v>136</v>
      </c>
      <c r="B31" s="0" t="n">
        <f aca="false">L19</f>
        <v>2253.47051585136</v>
      </c>
    </row>
    <row r="32" customFormat="false" ht="15" hidden="false" customHeight="false" outlineLevel="0" collapsed="false">
      <c r="A32" s="0" t="s">
        <v>137</v>
      </c>
      <c r="B32" s="0" t="n">
        <f aca="false">IF(B27&gt;B28,B31*(1+B28/100)/((B27-B28)/100),B31*B29)</f>
        <v>42201.3569332165</v>
      </c>
    </row>
    <row r="33" customFormat="false" ht="15" hidden="false" customHeight="false" outlineLevel="0" collapsed="false">
      <c r="A33" s="0" t="s">
        <v>138</v>
      </c>
      <c r="B33" s="0" t="n">
        <f aca="false">B31*B29</f>
        <v>40562.4692853246</v>
      </c>
    </row>
    <row r="34" customFormat="false" ht="15" hidden="false" customHeight="false" outlineLevel="0" collapsed="false">
      <c r="A34" s="0" t="s">
        <v>139</v>
      </c>
      <c r="B34" s="0" t="n">
        <f aca="false">MAX(0,MIN(B32,B33))</f>
        <v>40562.4692853246</v>
      </c>
    </row>
    <row r="35" customFormat="false" ht="15" hidden="false" customHeight="false" outlineLevel="0" collapsed="false">
      <c r="A35" s="0" t="s">
        <v>140</v>
      </c>
      <c r="B35" s="0" t="n">
        <f aca="false">B34/(1+B27/100)^L4</f>
        <v>17940.1885627811</v>
      </c>
    </row>
    <row r="36" customFormat="false" ht="15" hidden="false" customHeight="false" outlineLevel="0" collapsed="false">
      <c r="A36" s="0" t="s">
        <v>141</v>
      </c>
      <c r="B36" s="0" t="n">
        <f aca="false">B30+B35</f>
        <v>29051.9360532475</v>
      </c>
    </row>
    <row r="37" customFormat="false" ht="15" hidden="false" customHeight="false" outlineLevel="0" collapsed="false">
      <c r="A37" s="0" t="s">
        <v>142</v>
      </c>
      <c r="B37" s="0" t="n">
        <f aca="false">B36+Assumptions!$B$5-Assumptions!$B$4</f>
        <v>23754.9360532475</v>
      </c>
    </row>
    <row r="38" customFormat="false" ht="15" hidden="false" customHeight="false" outlineLevel="0" collapsed="false">
      <c r="A38" s="0" t="s">
        <v>143</v>
      </c>
      <c r="B38" s="0" t="n">
        <f aca="false">B37/Assumptions!$B$3*Assumptions!$B$10</f>
        <v>200.802502563377</v>
      </c>
    </row>
    <row r="39" customFormat="false" ht="15" hidden="false" customHeight="false" outlineLevel="0" collapsed="false">
      <c r="A39" s="0" t="s">
        <v>144</v>
      </c>
      <c r="B39" s="4" t="n">
        <f aca="false">B38/Assumptions!$B$2-1</f>
        <v>0.355766002048322</v>
      </c>
    </row>
    <row r="41" customFormat="false" ht="15" hidden="false" customHeight="false" outlineLevel="0" collapsed="false">
      <c r="A41" s="0" t="s">
        <v>145</v>
      </c>
      <c r="B41" s="0" t="n">
        <f aca="false">SUMPRODUCT(-C10:L10/(1+$B$27/100)^C4:L4)</f>
        <v>858.042055337525</v>
      </c>
    </row>
    <row r="42" customFormat="false" ht="15" hidden="false" customHeight="false" outlineLevel="0" collapsed="false">
      <c r="A42" s="0" t="s">
        <v>146</v>
      </c>
      <c r="B42" s="0" t="n">
        <f aca="false">IF(B27&gt;B28,-L10*(1+B28/100)/((B27-B28)/100),-L10*20)/(1+B27/100)^L4</f>
        <v>1401.27962960419</v>
      </c>
    </row>
    <row r="43" customFormat="false" ht="15" hidden="false" customHeight="false" outlineLevel="0" collapsed="false">
      <c r="A43" s="0" t="s">
        <v>147</v>
      </c>
      <c r="B43" s="0" t="n">
        <f aca="false">(B37+B41+B42)/Assumptions!$B$3*Assumptions!$B$10</f>
        <v>219.900741658404</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19342.2885943909</v>
      </c>
    </row>
    <row r="47" customFormat="false" ht="15" hidden="false" customHeight="false" outlineLevel="0" collapsed="false">
      <c r="A47" s="0" t="s">
        <v>149</v>
      </c>
      <c r="B47" s="0" t="n">
        <f aca="false">(SUMPRODUCT(C19:L19/(1+B45/100)^C4:L4)+B46/(1+B45/100)^L4+Assumptions!$B$5-Assumptions!$B$4)/Assumptions!$B$3*Assumptions!$B$10</f>
        <v>65.1846502316445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81</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11.5</v>
      </c>
      <c r="D5" s="4" t="n">
        <f aca="false">Assumptions!D41</f>
        <v>10</v>
      </c>
      <c r="E5" s="4" t="n">
        <f aca="false">Assumptions!E41</f>
        <v>11</v>
      </c>
      <c r="F5" s="4" t="n">
        <f aca="false">Assumptions!F41</f>
        <v>10</v>
      </c>
      <c r="G5" s="4" t="n">
        <f aca="false">Assumptions!G41</f>
        <v>9</v>
      </c>
      <c r="H5" s="4" t="n">
        <f aca="false">Assumptions!H41</f>
        <v>8</v>
      </c>
      <c r="I5" s="4" t="n">
        <f aca="false">Assumptions!I41</f>
        <v>7</v>
      </c>
      <c r="J5" s="4" t="n">
        <f aca="false">Assumptions!J41</f>
        <v>6</v>
      </c>
      <c r="K5" s="4" t="n">
        <f aca="false">Assumptions!K41</f>
        <v>5</v>
      </c>
      <c r="L5" s="4" t="n">
        <f aca="false">Assumptions!L41</f>
        <v>4.5</v>
      </c>
    </row>
    <row r="6" customFormat="false" ht="15" hidden="false" customHeight="false" outlineLevel="0" collapsed="false">
      <c r="A6" s="0" t="s">
        <v>37</v>
      </c>
      <c r="B6" s="3" t="n">
        <v>6074.5</v>
      </c>
      <c r="C6" s="0" t="n">
        <f aca="false">B6*(1+C5/100)</f>
        <v>6773.0675</v>
      </c>
      <c r="D6" s="0" t="n">
        <f aca="false">C6*(1+D5/100)</f>
        <v>7450.37425</v>
      </c>
      <c r="E6" s="0" t="n">
        <f aca="false">D6*(1+E5/100)</f>
        <v>8269.9154175</v>
      </c>
      <c r="F6" s="0" t="n">
        <f aca="false">E6*(1+F5/100)</f>
        <v>9096.90695925</v>
      </c>
      <c r="G6" s="0" t="n">
        <f aca="false">F6*(1+G5/100)</f>
        <v>9915.6285855825</v>
      </c>
      <c r="H6" s="0" t="n">
        <f aca="false">G6*(1+H5/100)</f>
        <v>10708.8788724291</v>
      </c>
      <c r="I6" s="0" t="n">
        <f aca="false">H6*(1+I5/100)</f>
        <v>11458.5003934991</v>
      </c>
      <c r="J6" s="0" t="n">
        <f aca="false">I6*(1+J5/100)</f>
        <v>12146.0104171091</v>
      </c>
      <c r="K6" s="0" t="n">
        <f aca="false">J6*(1+K5/100)</f>
        <v>12753.3109379645</v>
      </c>
      <c r="L6" s="0" t="n">
        <f aca="false">K6*(1+L5/100)</f>
        <v>13327.209930173</v>
      </c>
    </row>
    <row r="7" customFormat="false" ht="15" hidden="false" customHeight="false" outlineLevel="0" collapsed="false">
      <c r="A7" s="0" t="s">
        <v>106</v>
      </c>
      <c r="C7" s="4" t="n">
        <f aca="false">Assumptions!C42</f>
        <v>31.5</v>
      </c>
      <c r="D7" s="4" t="n">
        <f aca="false">Assumptions!D42</f>
        <v>32.5</v>
      </c>
      <c r="E7" s="4" t="n">
        <f aca="false">Assumptions!E42</f>
        <v>33.5</v>
      </c>
      <c r="F7" s="4" t="n">
        <f aca="false">Assumptions!F42</f>
        <v>34.5</v>
      </c>
      <c r="G7" s="4" t="n">
        <f aca="false">Assumptions!G42</f>
        <v>35</v>
      </c>
      <c r="H7" s="4" t="n">
        <f aca="false">Assumptions!H42</f>
        <v>35.5</v>
      </c>
      <c r="I7" s="4" t="n">
        <f aca="false">Assumptions!I42</f>
        <v>35.5</v>
      </c>
      <c r="J7" s="4" t="n">
        <f aca="false">Assumptions!J42</f>
        <v>35.5</v>
      </c>
      <c r="K7" s="4" t="n">
        <f aca="false">Assumptions!K42</f>
        <v>35.5</v>
      </c>
      <c r="L7" s="4" t="n">
        <f aca="false">Assumptions!L42</f>
        <v>35.5</v>
      </c>
    </row>
    <row r="8" customFormat="false" ht="15" hidden="false" customHeight="false" outlineLevel="0" collapsed="false">
      <c r="A8" s="0" t="s">
        <v>43</v>
      </c>
      <c r="C8" s="0" t="n">
        <f aca="false">C6*C7/100</f>
        <v>2133.5162625</v>
      </c>
      <c r="D8" s="0" t="n">
        <f aca="false">D6*D7/100</f>
        <v>2421.37163125</v>
      </c>
      <c r="E8" s="0" t="n">
        <f aca="false">E6*E7/100</f>
        <v>2770.4216648625</v>
      </c>
      <c r="F8" s="0" t="n">
        <f aca="false">F6*F7/100</f>
        <v>3138.43290094125</v>
      </c>
      <c r="G8" s="0" t="n">
        <f aca="false">G6*G7/100</f>
        <v>3470.47000495388</v>
      </c>
      <c r="H8" s="0" t="n">
        <f aca="false">H6*H7/100</f>
        <v>3801.65199971233</v>
      </c>
      <c r="I8" s="0" t="n">
        <f aca="false">I6*I7/100</f>
        <v>4067.7676396922</v>
      </c>
      <c r="J8" s="0" t="n">
        <f aca="false">J6*J7/100</f>
        <v>4311.83369807373</v>
      </c>
      <c r="K8" s="0" t="n">
        <f aca="false">K6*K7/100</f>
        <v>4527.42538297741</v>
      </c>
      <c r="L8" s="0" t="n">
        <f aca="false">L6*L7/100</f>
        <v>4731.1595252114</v>
      </c>
    </row>
    <row r="9" customFormat="false" ht="15" hidden="false" customHeight="false" outlineLevel="0" collapsed="false">
      <c r="A9" s="0" t="s">
        <v>107</v>
      </c>
      <c r="C9" s="4" t="n">
        <f aca="false">Assumptions!C43</f>
        <v>1.5</v>
      </c>
      <c r="D9" s="4" t="n">
        <f aca="false">Assumptions!D43</f>
        <v>1.5</v>
      </c>
      <c r="E9" s="4" t="n">
        <f aca="false">Assumptions!E43</f>
        <v>1.5</v>
      </c>
      <c r="F9" s="4" t="n">
        <f aca="false">Assumptions!F43</f>
        <v>1.5</v>
      </c>
      <c r="G9" s="4" t="n">
        <f aca="false">Assumptions!G43</f>
        <v>1.5</v>
      </c>
      <c r="H9" s="4" t="n">
        <f aca="false">Assumptions!H43</f>
        <v>1.5</v>
      </c>
      <c r="I9" s="4" t="n">
        <f aca="false">Assumptions!I43</f>
        <v>1.5</v>
      </c>
      <c r="J9" s="4" t="n">
        <f aca="false">Assumptions!J43</f>
        <v>1.5</v>
      </c>
      <c r="K9" s="4" t="n">
        <f aca="false">Assumptions!K43</f>
        <v>1.5</v>
      </c>
      <c r="L9" s="4" t="n">
        <f aca="false">Assumptions!L43</f>
        <v>1.5</v>
      </c>
    </row>
    <row r="10" customFormat="false" ht="15" hidden="false" customHeight="false" outlineLevel="0" collapsed="false">
      <c r="A10" s="0" t="s">
        <v>122</v>
      </c>
      <c r="C10" s="0" t="n">
        <f aca="false">-C6*C9/100</f>
        <v>-101.5960125</v>
      </c>
      <c r="D10" s="0" t="n">
        <f aca="false">-D6*D9/100</f>
        <v>-111.75561375</v>
      </c>
      <c r="E10" s="0" t="n">
        <f aca="false">-E6*E9/100</f>
        <v>-124.0487312625</v>
      </c>
      <c r="F10" s="0" t="n">
        <f aca="false">-F6*F9/100</f>
        <v>-136.45360438875</v>
      </c>
      <c r="G10" s="0" t="n">
        <f aca="false">-G6*G9/100</f>
        <v>-148.734428783738</v>
      </c>
      <c r="H10" s="0" t="n">
        <f aca="false">-H6*H9/100</f>
        <v>-160.633183086437</v>
      </c>
      <c r="I10" s="0" t="n">
        <f aca="false">-I6*I9/100</f>
        <v>-171.877505902487</v>
      </c>
      <c r="J10" s="0" t="n">
        <f aca="false">-J6*J9/100</f>
        <v>-182.190156256636</v>
      </c>
      <c r="K10" s="0" t="n">
        <f aca="false">-K6*K9/100</f>
        <v>-191.299664069468</v>
      </c>
      <c r="L10" s="0" t="n">
        <f aca="false">-L6*L9/100</f>
        <v>-199.908148952594</v>
      </c>
    </row>
    <row r="11" customFormat="false" ht="15" hidden="false" customHeight="false" outlineLevel="0" collapsed="false">
      <c r="A11" s="0" t="s">
        <v>123</v>
      </c>
      <c r="C11" s="0" t="n">
        <f aca="false">C8+C10+C24</f>
        <v>2031.92025</v>
      </c>
      <c r="D11" s="0" t="n">
        <f aca="false">D8+D10+D24</f>
        <v>2309.6160175</v>
      </c>
      <c r="E11" s="0" t="n">
        <f aca="false">E8+E10+E24</f>
        <v>2646.3729336</v>
      </c>
      <c r="F11" s="0" t="n">
        <f aca="false">F8+F10+F24</f>
        <v>3001.9792965525</v>
      </c>
      <c r="G11" s="0" t="n">
        <f aca="false">G8+G10+G24</f>
        <v>3321.73557617014</v>
      </c>
      <c r="H11" s="0" t="n">
        <f aca="false">H8+H10+H24</f>
        <v>3641.0188166259</v>
      </c>
      <c r="I11" s="0" t="n">
        <f aca="false">I8+I10+I24</f>
        <v>3895.89013378971</v>
      </c>
      <c r="J11" s="0" t="n">
        <f aca="false">J8+J10+J24</f>
        <v>4129.64354181709</v>
      </c>
      <c r="K11" s="0" t="n">
        <f aca="false">K8+K10+K24</f>
        <v>4336.12571890795</v>
      </c>
      <c r="L11" s="0" t="n">
        <f aca="false">L8+L10+L24</f>
        <v>4531.2513762588</v>
      </c>
    </row>
    <row r="12" customFormat="false" ht="15" hidden="false" customHeight="false" outlineLevel="0" collapsed="false">
      <c r="A12" s="0" t="s">
        <v>124</v>
      </c>
      <c r="C12" s="4" t="n">
        <f aca="false">-C6*Assumptions!C45/100</f>
        <v>-778.9027625</v>
      </c>
      <c r="D12" s="4" t="n">
        <f aca="false">-D6*Assumptions!D45/100</f>
        <v>-819.5411675</v>
      </c>
      <c r="E12" s="4" t="n">
        <f aca="false">-E6*Assumptions!E45/100</f>
        <v>-868.3411188375</v>
      </c>
      <c r="F12" s="4" t="n">
        <f aca="false">-F6*Assumptions!F45/100</f>
        <v>-909.690695925</v>
      </c>
      <c r="G12" s="4" t="n">
        <f aca="false">-G6*Assumptions!G45/100</f>
        <v>-941.984715630338</v>
      </c>
      <c r="H12" s="4" t="n">
        <f aca="false">-H6*Assumptions!H45/100</f>
        <v>-963.79909851862</v>
      </c>
      <c r="I12" s="4" t="n">
        <f aca="false">-I6*Assumptions!I45/100</f>
        <v>-1031.26503541492</v>
      </c>
      <c r="J12" s="4" t="n">
        <f aca="false">-J6*Assumptions!J45/100</f>
        <v>-1093.14093753982</v>
      </c>
      <c r="K12" s="4" t="n">
        <f aca="false">-K6*Assumptions!K45/100</f>
        <v>-1147.79798441681</v>
      </c>
      <c r="L12" s="4" t="n">
        <f aca="false">-L6*Assumptions!L45/100</f>
        <v>-1199.44889371557</v>
      </c>
    </row>
    <row r="13" customFormat="false" ht="15" hidden="false" customHeight="false" outlineLevel="0" collapsed="false">
      <c r="A13" s="0" t="s">
        <v>125</v>
      </c>
      <c r="C13" s="0" t="n">
        <f aca="false">C11+C12</f>
        <v>1253.0174875</v>
      </c>
      <c r="D13" s="0" t="n">
        <f aca="false">D11+D12</f>
        <v>1490.07485</v>
      </c>
      <c r="E13" s="0" t="n">
        <f aca="false">E11+E12</f>
        <v>1778.0318147625</v>
      </c>
      <c r="F13" s="0" t="n">
        <f aca="false">F11+F12</f>
        <v>2092.2886006275</v>
      </c>
      <c r="G13" s="0" t="n">
        <f aca="false">G11+G12</f>
        <v>2379.7508605398</v>
      </c>
      <c r="H13" s="0" t="n">
        <f aca="false">H11+H12</f>
        <v>2677.21971810728</v>
      </c>
      <c r="I13" s="0" t="n">
        <f aca="false">I11+I12</f>
        <v>2864.62509837479</v>
      </c>
      <c r="J13" s="0" t="n">
        <f aca="false">J11+J12</f>
        <v>3036.50260427727</v>
      </c>
      <c r="K13" s="0" t="n">
        <f aca="false">K11+K12</f>
        <v>3188.32773449114</v>
      </c>
      <c r="L13" s="0" t="n">
        <f aca="false">L11+L12</f>
        <v>3331.80248254324</v>
      </c>
    </row>
    <row r="14" customFormat="false" ht="15" hidden="false" customHeight="false" outlineLevel="0" collapsed="false">
      <c r="A14" s="0" t="s">
        <v>111</v>
      </c>
      <c r="C14" s="4" t="n">
        <f aca="false">Assumptions!C47</f>
        <v>23</v>
      </c>
      <c r="D14" s="4" t="n">
        <f aca="false">Assumptions!D47</f>
        <v>23</v>
      </c>
      <c r="E14" s="4" t="n">
        <f aca="false">Assumptions!E47</f>
        <v>23.5</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126</v>
      </c>
      <c r="C15" s="0" t="n">
        <f aca="false">C13-MAX(0,C13)*C14/100</f>
        <v>964.823465375</v>
      </c>
      <c r="D15" s="0" t="n">
        <f aca="false">D13-MAX(0,D13)*D14/100</f>
        <v>1147.3576345</v>
      </c>
      <c r="E15" s="0" t="n">
        <f aca="false">E13-MAX(0,E13)*E14/100</f>
        <v>1360.19433829331</v>
      </c>
      <c r="F15" s="0" t="n">
        <f aca="false">F13-MAX(0,F13)*F14/100</f>
        <v>1590.1393364769</v>
      </c>
      <c r="G15" s="0" t="n">
        <f aca="false">G13-MAX(0,G13)*G14/100</f>
        <v>1808.61065401025</v>
      </c>
      <c r="H15" s="0" t="n">
        <f aca="false">H13-MAX(0,H13)*H14/100</f>
        <v>2034.68698576153</v>
      </c>
      <c r="I15" s="0" t="n">
        <f aca="false">I13-MAX(0,I13)*I14/100</f>
        <v>2177.11507476484</v>
      </c>
      <c r="J15" s="0" t="n">
        <f aca="false">J13-MAX(0,J13)*J14/100</f>
        <v>2307.74197925073</v>
      </c>
      <c r="K15" s="0" t="n">
        <f aca="false">K13-MAX(0,K13)*K14/100</f>
        <v>2423.12907821326</v>
      </c>
      <c r="L15" s="0" t="n">
        <f aca="false">L13-MAX(0,L13)*L14/100</f>
        <v>2532.16988673286</v>
      </c>
    </row>
    <row r="16" customFormat="false" ht="15" hidden="false" customHeight="false" outlineLevel="0" collapsed="false">
      <c r="A16" s="0" t="s">
        <v>127</v>
      </c>
      <c r="C16" s="0" t="n">
        <f aca="false">-C12</f>
        <v>778.9027625</v>
      </c>
      <c r="D16" s="0" t="n">
        <f aca="false">-D12</f>
        <v>819.5411675</v>
      </c>
      <c r="E16" s="0" t="n">
        <f aca="false">-E12</f>
        <v>868.3411188375</v>
      </c>
      <c r="F16" s="0" t="n">
        <f aca="false">-F12</f>
        <v>909.690695925</v>
      </c>
      <c r="G16" s="0" t="n">
        <f aca="false">-G12</f>
        <v>941.984715630338</v>
      </c>
      <c r="H16" s="0" t="n">
        <f aca="false">-H12</f>
        <v>963.79909851862</v>
      </c>
      <c r="I16" s="0" t="n">
        <f aca="false">-I12</f>
        <v>1031.26503541492</v>
      </c>
      <c r="J16" s="0" t="n">
        <f aca="false">-J12</f>
        <v>1093.14093753982</v>
      </c>
      <c r="K16" s="0" t="n">
        <f aca="false">-K12</f>
        <v>1147.79798441681</v>
      </c>
      <c r="L16" s="0" t="n">
        <f aca="false">-L12</f>
        <v>1199.44889371557</v>
      </c>
    </row>
    <row r="17" customFormat="false" ht="15" hidden="false" customHeight="false" outlineLevel="0" collapsed="false">
      <c r="A17" s="0" t="s">
        <v>128</v>
      </c>
      <c r="C17" s="4" t="n">
        <f aca="false">-C6*Assumptions!C46/100</f>
        <v>-491.04739375</v>
      </c>
      <c r="D17" s="4" t="n">
        <f aca="false">-D6*Assumptions!D46/100</f>
        <v>-502.900261875</v>
      </c>
      <c r="E17" s="4" t="n">
        <f aca="false">-E6*Assumptions!E46/100</f>
        <v>-537.5445021375</v>
      </c>
      <c r="F17" s="4" t="n">
        <f aca="false">-F6*Assumptions!F46/100</f>
        <v>-568.556684953125</v>
      </c>
      <c r="G17" s="4" t="n">
        <f aca="false">-G6*Assumptions!G46/100</f>
        <v>-594.93771513495</v>
      </c>
      <c r="H17" s="4" t="n">
        <f aca="false">-H6*Assumptions!H46/100</f>
        <v>-642.532732345746</v>
      </c>
      <c r="I17" s="4" t="n">
        <f aca="false">-I6*Assumptions!I46/100</f>
        <v>-687.510023609949</v>
      </c>
      <c r="J17" s="4" t="n">
        <f aca="false">-J6*Assumptions!J46/100</f>
        <v>-728.760625026546</v>
      </c>
      <c r="K17" s="4" t="n">
        <f aca="false">-K6*Assumptions!K46/100</f>
        <v>-765.198656277873</v>
      </c>
      <c r="L17" s="4" t="n">
        <f aca="false">-L6*Assumptions!L46/100</f>
        <v>-799.632595810377</v>
      </c>
    </row>
    <row r="18" customFormat="false" ht="15" hidden="false" customHeight="false" outlineLevel="0" collapsed="false">
      <c r="A18" s="0" t="s">
        <v>129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130</v>
      </c>
      <c r="C19" s="0" t="n">
        <f aca="false">C15+C16+C17+C18</f>
        <v>1252.678834125</v>
      </c>
      <c r="D19" s="0" t="n">
        <f aca="false">D15+D16+D17+D18</f>
        <v>1463.998540125</v>
      </c>
      <c r="E19" s="0" t="n">
        <f aca="false">E15+E16+E17+E18</f>
        <v>1690.99095499331</v>
      </c>
      <c r="F19" s="0" t="n">
        <f aca="false">F15+F16+F17+F18</f>
        <v>1931.27334744878</v>
      </c>
      <c r="G19" s="0" t="n">
        <f aca="false">G15+G16+G17+G18</f>
        <v>2155.65765450564</v>
      </c>
      <c r="H19" s="0" t="n">
        <f aca="false">H15+H16+H17+H18</f>
        <v>2355.9533519344</v>
      </c>
      <c r="I19" s="0" t="n">
        <f aca="false">I15+I16+I17+I18</f>
        <v>2520.87008656981</v>
      </c>
      <c r="J19" s="0" t="n">
        <f aca="false">J15+J16+J17+J18</f>
        <v>2672.122291764</v>
      </c>
      <c r="K19" s="0" t="n">
        <f aca="false">K15+K16+K17+K18</f>
        <v>2805.7284063522</v>
      </c>
      <c r="L19" s="0" t="n">
        <f aca="false">L15+L16+L17+L18</f>
        <v>2931.98618463805</v>
      </c>
    </row>
    <row r="20" customFormat="false" ht="15" hidden="false" customHeight="false" outlineLevel="0" collapsed="false">
      <c r="A20" s="0" t="s">
        <v>131</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132</v>
      </c>
      <c r="C21" s="0" t="n">
        <f aca="false">C19*C20</f>
        <v>1154.54270426267</v>
      </c>
      <c r="D21" s="0" t="n">
        <f aca="false">D19*D20</f>
        <v>1243.60129977277</v>
      </c>
      <c r="E21" s="0" t="n">
        <f aca="false">E19*E20</f>
        <v>1323.89051303738</v>
      </c>
      <c r="F21" s="0" t="n">
        <f aca="false">F19*F20</f>
        <v>1393.55718341113</v>
      </c>
      <c r="G21" s="0" t="n">
        <f aca="false">G19*G20</f>
        <v>1433.61025730566</v>
      </c>
      <c r="H21" s="0" t="n">
        <f aca="false">H19*H20</f>
        <v>1444.07004072353</v>
      </c>
      <c r="I21" s="0" t="n">
        <f aca="false">I19*I20</f>
        <v>1424.10593877804</v>
      </c>
      <c r="J21" s="0" t="n">
        <f aca="false">J19*J20</f>
        <v>1391.29243788454</v>
      </c>
      <c r="K21" s="0" t="n">
        <f aca="false">K19*K20</f>
        <v>1346.41203666245</v>
      </c>
      <c r="L21" s="0" t="n">
        <f aca="false">L19*L20</f>
        <v>1296.77472655508</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8.5</v>
      </c>
    </row>
    <row r="28" customFormat="false" ht="15" hidden="false" customHeight="false" outlineLevel="0" collapsed="false">
      <c r="A28" s="0" t="s">
        <v>113</v>
      </c>
      <c r="B28" s="4" t="n">
        <f aca="false">Assumptions!$B$49</f>
        <v>3.5</v>
      </c>
    </row>
    <row r="29" customFormat="false" ht="15" hidden="false" customHeight="false" outlineLevel="0" collapsed="false">
      <c r="A29" s="0" t="s">
        <v>114</v>
      </c>
      <c r="B29" s="4" t="n">
        <f aca="false">Assumptions!$B$50</f>
        <v>20</v>
      </c>
    </row>
    <row r="30" customFormat="false" ht="15" hidden="false" customHeight="false" outlineLevel="0" collapsed="false">
      <c r="A30" s="0" t="s">
        <v>135</v>
      </c>
      <c r="B30" s="0" t="n">
        <f aca="false">SUM(C21:L21)</f>
        <v>13451.8571383932</v>
      </c>
    </row>
    <row r="31" customFormat="false" ht="15" hidden="false" customHeight="false" outlineLevel="0" collapsed="false">
      <c r="A31" s="0" t="s">
        <v>136</v>
      </c>
      <c r="B31" s="0" t="n">
        <f aca="false">L19</f>
        <v>2931.98618463805</v>
      </c>
    </row>
    <row r="32" customFormat="false" ht="15" hidden="false" customHeight="false" outlineLevel="0" collapsed="false">
      <c r="A32" s="0" t="s">
        <v>137</v>
      </c>
      <c r="B32" s="0" t="n">
        <f aca="false">IF(B27&gt;B28,B31*(1+B28/100)/((B27-B28)/100),B31*B29)</f>
        <v>60692.1140220076</v>
      </c>
    </row>
    <row r="33" customFormat="false" ht="15" hidden="false" customHeight="false" outlineLevel="0" collapsed="false">
      <c r="A33" s="0" t="s">
        <v>138</v>
      </c>
      <c r="B33" s="0" t="n">
        <f aca="false">B31*B29</f>
        <v>58639.723692761</v>
      </c>
    </row>
    <row r="34" customFormat="false" ht="15" hidden="false" customHeight="false" outlineLevel="0" collapsed="false">
      <c r="A34" s="0" t="s">
        <v>139</v>
      </c>
      <c r="B34" s="0" t="n">
        <f aca="false">MAX(0,MIN(B32,B33))</f>
        <v>58639.723692761</v>
      </c>
    </row>
    <row r="35" customFormat="false" ht="15" hidden="false" customHeight="false" outlineLevel="0" collapsed="false">
      <c r="A35" s="0" t="s">
        <v>140</v>
      </c>
      <c r="B35" s="0" t="n">
        <f aca="false">B34/(1+B27/100)^L4</f>
        <v>25935.4945311017</v>
      </c>
    </row>
    <row r="36" customFormat="false" ht="15" hidden="false" customHeight="false" outlineLevel="0" collapsed="false">
      <c r="A36" s="0" t="s">
        <v>141</v>
      </c>
      <c r="B36" s="0" t="n">
        <f aca="false">B30+B35</f>
        <v>39387.3516694949</v>
      </c>
    </row>
    <row r="37" customFormat="false" ht="15" hidden="false" customHeight="false" outlineLevel="0" collapsed="false">
      <c r="A37" s="0" t="s">
        <v>142</v>
      </c>
      <c r="B37" s="0" t="n">
        <f aca="false">B36+Assumptions!$B$5-Assumptions!$B$4</f>
        <v>34090.3516694949</v>
      </c>
    </row>
    <row r="38" customFormat="false" ht="15" hidden="false" customHeight="false" outlineLevel="0" collapsed="false">
      <c r="A38" s="0" t="s">
        <v>143</v>
      </c>
      <c r="B38" s="0" t="n">
        <f aca="false">B37/Assumptions!$B$3*Assumptions!$B$10</f>
        <v>288.168653165637</v>
      </c>
    </row>
    <row r="39" customFormat="false" ht="15" hidden="false" customHeight="false" outlineLevel="0" collapsed="false">
      <c r="A39" s="0" t="s">
        <v>144</v>
      </c>
      <c r="B39" s="4" t="n">
        <f aca="false">B38/Assumptions!$B$2-1</f>
        <v>0.945639411016389</v>
      </c>
    </row>
    <row r="41" customFormat="false" ht="15" hidden="false" customHeight="false" outlineLevel="0" collapsed="false">
      <c r="A41" s="0" t="s">
        <v>145</v>
      </c>
      <c r="B41" s="0" t="n">
        <f aca="false">SUMPRODUCT(-C10:L10/(1+$B$27/100)^C4:L4)</f>
        <v>953.699174681214</v>
      </c>
    </row>
    <row r="42" customFormat="false" ht="15" hidden="false" customHeight="false" outlineLevel="0" collapsed="false">
      <c r="A42" s="0" t="s">
        <v>146</v>
      </c>
      <c r="B42" s="0" t="n">
        <f aca="false">IF(B27&gt;B28,-L10*(1+B28/100)/((B27-B28)/100),-L10*20)/(1+B27/100)^L4</f>
        <v>1830.22069361524</v>
      </c>
    </row>
    <row r="43" customFormat="false" ht="15" hidden="false" customHeight="false" outlineLevel="0" collapsed="false">
      <c r="A43" s="0" t="s">
        <v>147</v>
      </c>
      <c r="B43" s="0" t="n">
        <f aca="false">(B37+B41+B42)/Assumptions!$B$3*Assumptions!$B$10</f>
        <v>311.701365492742</v>
      </c>
    </row>
    <row r="45" customFormat="false" ht="15" hidden="false" customHeight="false" outlineLevel="0" collapsed="false">
      <c r="A45" s="0" t="s">
        <v>88</v>
      </c>
      <c r="B45" s="4" t="n">
        <f aca="false">Assumptions!$B$6</f>
        <v>15</v>
      </c>
    </row>
    <row r="46" customFormat="false" ht="15" hidden="false" customHeight="false" outlineLevel="0" collapsed="false">
      <c r="A46" s="0" t="s">
        <v>148</v>
      </c>
      <c r="B46" s="0" t="n">
        <f aca="false">MAX(0,MIN(IF(B45&gt;B28,B31*(1+B28/100)/((B45-B28)/100),B31*B29),B31*B29))</f>
        <v>26387.8756617424</v>
      </c>
    </row>
    <row r="47" customFormat="false" ht="15" hidden="false" customHeight="false" outlineLevel="0" collapsed="false">
      <c r="A47" s="0" t="s">
        <v>149</v>
      </c>
      <c r="B47" s="0" t="n">
        <f aca="false">(SUMPRODUCT(C19:L19/(1+B45/100)^C4:L4)+B46/(1+B45/100)^L4+Assumptions!$B$5-Assumptions!$B$4)/Assumptions!$B$3*Assumptions!$B$10</f>
        <v>93.5910902091868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114.308304720764</v>
      </c>
      <c r="C4" s="0" t="n">
        <f aca="false">B4/Assumptions!$B$2-1</f>
        <v>-0.228220209838874</v>
      </c>
      <c r="D4" s="4" t="n">
        <f aca="false">Assumptions!$B$24</f>
        <v>0.2</v>
      </c>
      <c r="E4" s="4" t="n">
        <f aca="false">DCF_Bear!$B$43</f>
        <v>130.823629066783</v>
      </c>
      <c r="F4" s="4" t="n">
        <f aca="false">DCF_Bear!$B$47</f>
        <v>36.1061789469068</v>
      </c>
    </row>
    <row r="5" customFormat="false" ht="15" hidden="false" customHeight="false" outlineLevel="0" collapsed="false">
      <c r="A5" s="0" t="s">
        <v>158</v>
      </c>
      <c r="B5" s="4" t="n">
        <f aca="false">DCF_Base!$B$38</f>
        <v>200.802502563377</v>
      </c>
      <c r="C5" s="0" t="n">
        <f aca="false">B5/Assumptions!$B$2-1</f>
        <v>0.355766002048322</v>
      </c>
      <c r="D5" s="4" t="n">
        <f aca="false">Assumptions!$B$38</f>
        <v>0.5</v>
      </c>
      <c r="E5" s="4" t="n">
        <f aca="false">DCF_Base!$B$43</f>
        <v>219.900741658404</v>
      </c>
      <c r="F5" s="4" t="n">
        <f aca="false">DCF_Base!$B$47</f>
        <v>65.1846502316445</v>
      </c>
    </row>
    <row r="6" customFormat="false" ht="15" hidden="false" customHeight="false" outlineLevel="0" collapsed="false">
      <c r="A6" s="0" t="s">
        <v>159</v>
      </c>
      <c r="B6" s="4" t="n">
        <f aca="false">DCF_Bull!$B$38</f>
        <v>288.168653165637</v>
      </c>
      <c r="C6" s="0" t="n">
        <f aca="false">B6/Assumptions!$B$2-1</f>
        <v>0.945639411016389</v>
      </c>
      <c r="D6" s="4" t="n">
        <f aca="false">Assumptions!$B$52</f>
        <v>0.3</v>
      </c>
      <c r="E6" s="4" t="n">
        <f aca="false">DCF_Bull!$B$43</f>
        <v>311.701365492742</v>
      </c>
      <c r="F6" s="4" t="n">
        <f aca="false">DCF_Bull!$B$47</f>
        <v>93.5910902091868</v>
      </c>
    </row>
    <row r="8" customFormat="false" ht="15" hidden="false" customHeight="false" outlineLevel="0" collapsed="false">
      <c r="A8" s="0" t="s">
        <v>160</v>
      </c>
      <c r="B8" s="0" t="n">
        <f aca="false">SUMPRODUCT(B4:B6,D4:D6)</f>
        <v>209.713508175533</v>
      </c>
    </row>
    <row r="9" customFormat="false" ht="15" hidden="false" customHeight="false" outlineLevel="0" collapsed="false">
      <c r="A9" s="0" t="s">
        <v>161</v>
      </c>
      <c r="B9" s="0" t="n">
        <f aca="false">SUMPRODUCT(E4:E6,D4:D6)</f>
        <v>229.625506290381</v>
      </c>
    </row>
    <row r="10" customFormat="false" ht="15" hidden="false" customHeight="false" outlineLevel="0" collapsed="false">
      <c r="A10" s="0" t="s">
        <v>162</v>
      </c>
      <c r="B10" s="0" t="n">
        <f aca="false">1-Assumptions!$B$2/B8</f>
        <v>0.293750787498008</v>
      </c>
    </row>
    <row r="11" customFormat="false" ht="15" hidden="false" customHeight="false" outlineLevel="0" collapsed="false">
      <c r="A11" s="0" t="s">
        <v>163</v>
      </c>
      <c r="B11" s="0" t="n">
        <f aca="false">IF(ABS(B9-B8)&gt;0.01*ABS(B8),(Assumptions!$B$2-B8)/(B9-B8)*100,"n/a")</f>
        <v>-309.378836921413</v>
      </c>
    </row>
    <row r="12" customFormat="false" ht="15" hidden="false" customHeight="false" outlineLevel="0" collapsed="false">
      <c r="A12" s="0" t="s">
        <v>164</v>
      </c>
      <c r="B12" s="0" t="n">
        <f aca="false">SUMPRODUCT(F4:F6,D4:D6)</f>
        <v>67.8908879679596</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200.802502563377</v>
      </c>
      <c r="C15" s="3" t="n">
        <v>8.5</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184.988110712658</v>
      </c>
      <c r="C16" s="3" t="n">
        <v>9</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150.572775284777</v>
      </c>
      <c r="C17" s="3" t="n">
        <v>10</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124.832211026507</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104.870643637699</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65.1846502316445</v>
      </c>
      <c r="C20" s="3" t="n">
        <v>15</v>
      </c>
    </row>
    <row r="22" customFormat="false" ht="15" hidden="false" customHeight="false" outlineLevel="0" collapsed="false">
      <c r="A22" s="2" t="s">
        <v>173</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241.878869311861</v>
      </c>
      <c r="C24" s="0" t="n">
        <f aca="false">(SUMPRODUCT(DCF_Base!$C$19:$L$19/(1+$A$24/100)^DCF_Base!$C$4:$L$4)+MAX(0,MIN(IF($A$24&gt;$C$23,DCF_Base!$L$19*(1+$C$23/100)/(($A$24-$C$23)/100),DCF_Base!$L$19*DCF_Base!$B$29),DCF_Base!$L$19*DCF_Base!$B$29))/(1+$A$24/100)^DCF_Base!$L$4+Assumptions!$B$5-Assumptions!$B$4)/Assumptions!$B$3*Assumptions!$B$10</f>
        <v>241.878869311861</v>
      </c>
      <c r="D24" s="0" t="n">
        <f aca="false">(SUMPRODUCT(DCF_Base!$C$19:$L$19/(1+$A$24/100)^DCF_Base!$C$4:$L$4)+MAX(0,MIN(IF($A$24&gt;$D$23,DCF_Base!$L$19*(1+$D$23/100)/(($A$24-$D$23)/100),DCF_Base!$L$19*DCF_Base!$B$29),DCF_Base!$L$19*DCF_Base!$B$29))/(1+$A$24/100)^DCF_Base!$L$4+Assumptions!$B$5-Assumptions!$B$4)/Assumptions!$B$3*Assumptions!$B$10</f>
        <v>241.878869311861</v>
      </c>
      <c r="E24" s="0" t="n">
        <f aca="false">(SUMPRODUCT(DCF_Base!$C$19:$L$19/(1+$A$24/100)^DCF_Base!$C$4:$L$4)+MAX(0,MIN(IF($A$24&gt;$E$23,DCF_Base!$L$19*(1+$E$23/100)/(($A$24-$E$23)/100),DCF_Base!$L$19*DCF_Base!$B$29),DCF_Base!$L$19*DCF_Base!$B$29))/(1+$A$24/100)^DCF_Base!$L$4+Assumptions!$B$5-Assumptions!$B$4)/Assumptions!$B$3*Assumptions!$B$10</f>
        <v>241.878869311861</v>
      </c>
      <c r="F24" s="0" t="n">
        <f aca="false">(SUMPRODUCT(DCF_Base!$C$19:$L$19/(1+$A$24/100)^DCF_Base!$C$4:$L$4)+MAX(0,MIN(IF($A$24&gt;$F$23,DCF_Base!$L$19*(1+$F$23/100)/(($A$24-$F$23)/100),DCF_Base!$L$19*DCF_Base!$B$29),DCF_Base!$L$19*DCF_Base!$B$29))/(1+$A$24/100)^DCF_Base!$L$4+Assumptions!$B$5-Assumptions!$B$4)/Assumptions!$B$3*Assumptions!$B$10</f>
        <v>241.878869311861</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220.362307479357</v>
      </c>
      <c r="C25" s="0" t="n">
        <f aca="false">(SUMPRODUCT(DCF_Base!$C$19:$L$19/(1+$A$25/100)^DCF_Base!$C$4:$L$4)+MAX(0,MIN(IF($A$25&gt;$C$23,DCF_Base!$L$19*(1+$C$23/100)/(($A$25-$C$23)/100),DCF_Base!$L$19*DCF_Base!$B$29),DCF_Base!$L$19*DCF_Base!$B$29))/(1+$A$25/100)^DCF_Base!$L$4+Assumptions!$B$5-Assumptions!$B$4)/Assumptions!$B$3*Assumptions!$B$10</f>
        <v>220.362307479357</v>
      </c>
      <c r="D25" s="0" t="n">
        <f aca="false">(SUMPRODUCT(DCF_Base!$C$19:$L$19/(1+$A$25/100)^DCF_Base!$C$4:$L$4)+MAX(0,MIN(IF($A$25&gt;$D$23,DCF_Base!$L$19*(1+$D$23/100)/(($A$25-$D$23)/100),DCF_Base!$L$19*DCF_Base!$B$29),DCF_Base!$L$19*DCF_Base!$B$29))/(1+$A$25/100)^DCF_Base!$L$4+Assumptions!$B$5-Assumptions!$B$4)/Assumptions!$B$3*Assumptions!$B$10</f>
        <v>220.362307479357</v>
      </c>
      <c r="E25" s="0" t="n">
        <f aca="false">(SUMPRODUCT(DCF_Base!$C$19:$L$19/(1+$A$25/100)^DCF_Base!$C$4:$L$4)+MAX(0,MIN(IF($A$25&gt;$E$23,DCF_Base!$L$19*(1+$E$23/100)/(($A$25-$E$23)/100),DCF_Base!$L$19*DCF_Base!$B$29),DCF_Base!$L$19*DCF_Base!$B$29))/(1+$A$25/100)^DCF_Base!$L$4+Assumptions!$B$5-Assumptions!$B$4)/Assumptions!$B$3*Assumptions!$B$10</f>
        <v>220.362307479357</v>
      </c>
      <c r="F25" s="0" t="n">
        <f aca="false">(SUMPRODUCT(DCF_Base!$C$19:$L$19/(1+$A$25/100)^DCF_Base!$C$4:$L$4)+MAX(0,MIN(IF($A$25&gt;$F$23,DCF_Base!$L$19*(1+$F$23/100)/(($A$25-$F$23)/100),DCF_Base!$L$19*DCF_Base!$B$29),DCF_Base!$L$19*DCF_Base!$B$29))/(1+$A$25/100)^DCF_Base!$L$4+Assumptions!$B$5-Assumptions!$B$4)/Assumptions!$B$3*Assumptions!$B$10</f>
        <v>220.362307479357</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181.360201847269</v>
      </c>
      <c r="C26" s="0" t="n">
        <f aca="false">(SUMPRODUCT(DCF_Base!$C$19:$L$19/(1+$A$26/100)^DCF_Base!$C$4:$L$4)+MAX(0,MIN(IF($A$26&gt;$C$23,DCF_Base!$L$19*(1+$C$23/100)/(($A$26-$C$23)/100),DCF_Base!$L$19*DCF_Base!$B$29),DCF_Base!$L$19*DCF_Base!$B$29))/(1+$A$26/100)^DCF_Base!$L$4+Assumptions!$B$5-Assumptions!$B$4)/Assumptions!$B$3*Assumptions!$B$10</f>
        <v>193.079588667812</v>
      </c>
      <c r="D26" s="0" t="n">
        <f aca="false">(SUMPRODUCT(DCF_Base!$C$19:$L$19/(1+$A$26/100)^DCF_Base!$C$4:$L$4)+MAX(0,MIN(IF($A$26&gt;$D$23,DCF_Base!$L$19*(1+$D$23/100)/(($A$26-$D$23)/100),DCF_Base!$L$19*DCF_Base!$B$29),DCF_Base!$L$19*DCF_Base!$B$29))/(1+$A$26/100)^DCF_Base!$L$4+Assumptions!$B$5-Assumptions!$B$4)/Assumptions!$B$3*Assumptions!$B$10</f>
        <v>200.802502563377</v>
      </c>
      <c r="E26" s="0" t="n">
        <f aca="false">(SUMPRODUCT(DCF_Base!$C$19:$L$19/(1+$A$26/100)^DCF_Base!$C$4:$L$4)+MAX(0,MIN(IF($A$26&gt;$E$23,DCF_Base!$L$19*(1+$E$23/100)/(($A$26-$E$23)/100),DCF_Base!$L$19*DCF_Base!$B$29),DCF_Base!$L$19*DCF_Base!$B$29))/(1+$A$26/100)^DCF_Base!$L$4+Assumptions!$B$5-Assumptions!$B$4)/Assumptions!$B$3*Assumptions!$B$10</f>
        <v>200.802502563377</v>
      </c>
      <c r="F26" s="0" t="n">
        <f aca="false">(SUMPRODUCT(DCF_Base!$C$19:$L$19/(1+$A$26/100)^DCF_Base!$C$4:$L$4)+MAX(0,MIN(IF($A$26&gt;$F$23,DCF_Base!$L$19*(1+$F$23/100)/(($A$26-$F$23)/100),DCF_Base!$L$19*DCF_Base!$B$29),DCF_Base!$L$19*DCF_Base!$B$29))/(1+$A$26/100)^DCF_Base!$L$4+Assumptions!$B$5-Assumptions!$B$4)/Assumptions!$B$3*Assumptions!$B$10</f>
        <v>200.802502563377</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149.180526882973</v>
      </c>
      <c r="C27" s="0" t="n">
        <f aca="false">(SUMPRODUCT(DCF_Base!$C$19:$L$19/(1+$A$27/100)^DCF_Base!$C$4:$L$4)+MAX(0,MIN(IF($A$27&gt;$C$23,DCF_Base!$L$19*(1+$C$23/100)/(($A$27-$C$23)/100),DCF_Base!$L$19*DCF_Base!$B$29),DCF_Base!$L$19*DCF_Base!$B$29))/(1+$A$27/100)^DCF_Base!$L$4+Assumptions!$B$5-Assumptions!$B$4)/Assumptions!$B$3*Assumptions!$B$10</f>
        <v>157.196398703501</v>
      </c>
      <c r="D27" s="0" t="n">
        <f aca="false">(SUMPRODUCT(DCF_Base!$C$19:$L$19/(1+$A$27/100)^DCF_Base!$C$4:$L$4)+MAX(0,MIN(IF($A$27&gt;$D$23,DCF_Base!$L$19*(1+$D$23/100)/(($A$27-$D$23)/100),DCF_Base!$L$19*DCF_Base!$B$29),DCF_Base!$L$19*DCF_Base!$B$29))/(1+$A$27/100)^DCF_Base!$L$4+Assumptions!$B$5-Assumptions!$B$4)/Assumptions!$B$3*Assumptions!$B$10</f>
        <v>166.445481573341</v>
      </c>
      <c r="E27" s="0" t="n">
        <f aca="false">(SUMPRODUCT(DCF_Base!$C$19:$L$19/(1+$A$27/100)^DCF_Base!$C$4:$L$4)+MAX(0,MIN(IF($A$27&gt;$E$23,DCF_Base!$L$19*(1+$E$23/100)/(($A$27-$E$23)/100),DCF_Base!$L$19*DCF_Base!$B$29),DCF_Base!$L$19*DCF_Base!$B$29))/(1+$A$27/100)^DCF_Base!$L$4+Assumptions!$B$5-Assumptions!$B$4)/Assumptions!$B$3*Assumptions!$B$10</f>
        <v>177.236078254821</v>
      </c>
      <c r="F27" s="0" t="n">
        <f aca="false">(SUMPRODUCT(DCF_Base!$C$19:$L$19/(1+$A$27/100)^DCF_Base!$C$4:$L$4)+MAX(0,MIN(IF($A$27&gt;$F$23,DCF_Base!$L$19*(1+$F$23/100)/(($A$27-$F$23)/100),DCF_Base!$L$19*DCF_Base!$B$29),DCF_Base!$L$19*DCF_Base!$B$29))/(1+$A$27/100)^DCF_Base!$L$4+Assumptions!$B$5-Assumptions!$B$4)/Assumptions!$B$3*Assumptions!$B$10</f>
        <v>183.000917577803</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124.669938180744</v>
      </c>
      <c r="C28" s="0" t="n">
        <f aca="false">(SUMPRODUCT(DCF_Base!$C$19:$L$19/(1+$A$28/100)^DCF_Base!$C$4:$L$4)+MAX(0,MIN(IF($A$28&gt;$C$23,DCF_Base!$L$19*(1+$C$23/100)/(($A$28-$C$23)/100),DCF_Base!$L$19*DCF_Base!$B$29),DCF_Base!$L$19*DCF_Base!$B$29))/(1+$A$28/100)^DCF_Base!$L$4+Assumptions!$B$5-Assumptions!$B$4)/Assumptions!$B$3*Assumptions!$B$10</f>
        <v>130.372470101691</v>
      </c>
      <c r="D28" s="0" t="n">
        <f aca="false">(SUMPRODUCT(DCF_Base!$C$19:$L$19/(1+$A$28/100)^DCF_Base!$C$4:$L$4)+MAX(0,MIN(IF($A$28&gt;$D$23,DCF_Base!$L$19*(1+$D$23/100)/(($A$28-$D$23)/100),DCF_Base!$L$19*DCF_Base!$B$29),DCF_Base!$L$19*DCF_Base!$B$29))/(1+$A$28/100)^DCF_Base!$L$4+Assumptions!$B$5-Assumptions!$B$4)/Assumptions!$B$3*Assumptions!$B$10</f>
        <v>136.835339612098</v>
      </c>
      <c r="E28" s="0" t="n">
        <f aca="false">(SUMPRODUCT(DCF_Base!$C$19:$L$19/(1+$A$28/100)^DCF_Base!$C$4:$L$4)+MAX(0,MIN(IF($A$28&gt;$E$23,DCF_Base!$L$19*(1+$E$23/100)/(($A$28-$E$23)/100),DCF_Base!$L$19*DCF_Base!$B$29),DCF_Base!$L$19*DCF_Base!$B$29))/(1+$A$28/100)^DCF_Base!$L$4+Assumptions!$B$5-Assumptions!$B$4)/Assumptions!$B$3*Assumptions!$B$10</f>
        <v>144.22147619542</v>
      </c>
      <c r="F28" s="0" t="n">
        <f aca="false">(SUMPRODUCT(DCF_Base!$C$19:$L$19/(1+$A$28/100)^DCF_Base!$C$4:$L$4)+MAX(0,MIN(IF($A$28&gt;$F$23,DCF_Base!$L$19*(1+$F$23/100)/(($A$28-$F$23)/100),DCF_Base!$L$19*DCF_Base!$B$29),DCF_Base!$L$19*DCF_Base!$B$29))/(1+$A$28/100)^DCF_Base!$L$4+Assumptions!$B$5-Assumptions!$B$4)/Assumptions!$B$3*Assumptions!$B$10</f>
        <v>152.743941483868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2026-09-28T07:19:54Z</dcterms:created>
  <dc:creator>openpyxl</dc:creator>
  <dc:description/>
  <dc:language>en-NZ</dc:language>
  <cp:lastModifiedBy/>
  <dcterms:modified xsi:type="dcterms:W3CDTF">2026-09-28T07:19:54Z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