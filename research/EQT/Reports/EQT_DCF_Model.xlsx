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<sst xmlns="http://schemas.openxmlformats.org/spreadsheetml/2006/main" count="390" uniqueCount="175">
  <si>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</si>
  <si>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EQT</t>
  </si>
  <si>
    <t xml:space="preserve">Company</t>
  </si>
  <si>
    <t xml:space="preserve">EQT Corporation</t>
  </si>
  <si>
    <t xml:space="preserve">Valuation date</t>
  </si>
  <si>
    <t xml:space="preserve">2026-09-28</t>
  </si>
  <si>
    <t xml:space="preserve">Current price</t>
  </si>
  <si>
    <t xml:space="preserve">Price as of</t>
  </si>
  <si>
    <t xml:space="preserve">2026-09-25T20:03:28Z regular close (Friday); valuation written before the 2026-09-28 open</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</si>
  <si>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</si>
  <si>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</si>
  <si>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</si>
  <si>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</si>
  <si>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</si>
  <si>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</si>
  <si>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</si>
  <si>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</si>
  <si>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</si>
  <si>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</si>
  <si>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</si>
  <si>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</si>
  <si>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2026-09-28T07:43:39Z</t>
  </si>
  <si>
    <t xml:space="preserve">Drivers file</t>
  </si>
  <si>
    <t xml:space="preserve">EQT_Drivers.json</t>
  </si>
  <si>
    <t xml:space="preserve">Convention</t>
  </si>
  <si>
    <t xml:space="preserve">Percents stored as percents; formulas divide by 100. Blue = input, green = link, black = formula.</t>
  </si>
  <si>
    <t xml:space="preserve">Methodology</t>
  </si>
  <si>
    <t xml:space="preserve">summary: Value EQT as a mid-cycle owner of a low-cost, integrated Appalachian gas system rather than off the trailing twelve months, which include a winter price spike. The flows are attributable to EQT after the Blackstone midstream JV's 60% distribution share, SBC and the cash tax withheld on awards are expensed, the cash tax shelter is unwound to a 22% rate over five years, and the terminal value is capped at 12x owner FCF because this is a commodity producer. Risk is charged once, in the scenario flows and their weights, at a single 8.5% USD WACC.
key_risks_to_valuation: Henry Hub price: every $0.25/MMBtu sustained change moves attributable EBITDA by roughly $500-550M on ~2,400 Bcfe net of the ~25% hedge book.; Appalachian basis: the FY2026 differential guide is $(0.35)-(0.55); a return to the $(0.80)+ differentials of 2023-24 is worth ~$1B of EBITDA.; Cash tax normalisation timing: the model ramps to 22% by 2030; if IDC expensing and bonus depreciation defer it further, value is understated, and vice versa.; Midstream JV leakage: ~$450M/yr goes to the Blackstone Class B holder until a ~$3.4B Base Return is reached; the model holds that leakage in the margin forever and gives no credit for the eventual step-up.; Growth capex discipline: $580-640M of 2026 growth capex is modelled as tapering; if elected growth spend becomes a permanent fixture, capex intensity stays ~2pp higher.; Share count: no buybacks despite a $2B authorisation, with ~1%/yr creep in the diluted count from awards; the flat count assumes SBC expensing covers this.</t>
  </si>
  <si>
    <t xml:space="preserve">Data sources</t>
  </si>
  <si>
    <t xml:space="preserve">price: Yahoo Finance chart API at inputs.price_as_of; 52-week range 47.94-68.24.
financials: EQT_Metrics.csv (105 periods from core_metrics, SEC XBRL companyfacts); Q2-2026 10-Q (accession 0000033213-26-000043) for debt, cash, diluted shares, JV terms and NCI distributions; Q2-2026 earnings release (8-K 2026-07-21, EX-99.1) and Q4-2025 earnings release (8-K 2026-02-17, EX-99.1) for adjusted EBITDA attributable to EQT, free cash flow attributable to EQT, per-unit costs, hedges and 2026 guidance.
qualitative: No EQT_Analysis.json existed at build time; scenario axes are drawn from the earnings releases (LNG offtake, CPV Shay power deal, MVP Boost/Southgate, compression programme, hedge book) and the FY2025 10-K reserves disclosure (28.0 Tcfe proved, PV-10 $26B at SEC pricing / $31B at strip).</t>
  </si>
  <si>
    <t xml:space="preserve">Scenario narrative: bear</t>
  </si>
  <si>
    <t xml:space="preserve">Gas oversupply returns in 2027: associated gas, delayed LNG trains and a full storage cycle push Henry Hub to $2.50-2.75 and Appalachian basis blows out. Revenue drops ~15%, the attributable margin falls to the low-50s, capex intensity rises because maintenance spend does not shrink with price, and FCF roughly halves. EQT survives comfortably on its balance sheet, but the equity is worth much less than today's price.</t>
  </si>
  <si>
    <t xml:space="preserve">Scenario narrative: base</t>
  </si>
  <si>
    <t xml:space="preserve">A mid-cycle gas producer: FY2026 lands near guidance (2,375-2,450 Bcfe, ~$3.5B attributable FCF at the February strip including ~$600M of elected growth capex), then FY2027 revenue steps down as pricing normalises to a $3.50 Henry Hub with a $0.45 differential. From there EQT grows 2-3% a year: compression and MVP Boost/Southgate add 1-2% volume, premium power and LNG contracts add ~1% to realisations, per-unit costs drift down, and the cash tax shelter unwinds to a 22% rate by 2030. The Blackstone midstream JV takes its ~$450M/yr of distributions throughout; the model is attributable to EQT after that leakage.</t>
  </si>
  <si>
    <t xml:space="preserve">Scenario narrative: bull</t>
  </si>
  <si>
    <t xml:space="preserve">The structural gas-demand thesis plays out: LNG export capacity and Appalachian power demand hold Henry Hub above $4 for several years, basis tightens as MVP Boost and Transco expansions come on, and EQT's premium-priced supply deals convert that into a sustained 65% attributable margin with no FY2027 mean-reversion. Growth capex earns its keep and the JV Base Return is reached sooner.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</si>
  <si>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</si>
  <si>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</si>
  <si>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</si>
  <si>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</si>
  <si>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</si>
  <si>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</si>
  <si>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</si>
  <si>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</si>
  <si>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</si>
  <si>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</si>
  <si>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</si>
  <si>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</si>
  <si>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</si>
  <si>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</si>
  <si>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</si>
  <si>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</si>
  <si>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</si>
  <si>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</si>
  <si>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</si>
  <si>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</si>
  <si>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</si>
  <si>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</si>
  <si>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</si>
  <si>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</si>
  <si>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</si>
  <si>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</si>
  <si>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</si>
  <si>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</si>
  <si>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</si>
  <si>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</si>
  <si>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</si>
  <si>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</si>
  <si>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</si>
  <si>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</si>
  <si>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</si>
  <si>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</si>
  <si>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</si>
  <si>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</si>
  <si>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</si>
  <si>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</si>
  <si>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</si>
  <si>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</si>
  <si>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</si>
  <si>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</si>
  <si>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</si>
  <si>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</si>
  <si>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</si>
  <si>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</si>
  <si>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</si>
  <si>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</si>
  <si>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</si>
  <si>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</si>
  <si>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</si>
  <si>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</si>
  <si>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</si>
  <si>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</si>
  <si>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</si>
  <si>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</si>
  <si>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</si>
  <si>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</si>
  <si>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</si>
  <si>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</si>
  <si>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</si>
  <si>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</si>
  <si>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</si>
  <si>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</si>
  <si>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</si>
  <si>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</si>
  <si>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</si>
  <si>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</si>
  <si>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</si>
  <si>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</si>
  <si>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</si>
  <si>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</si>
  <si>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</si>
  <si>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</si>
  <si>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</si>
  <si>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</si>
  <si>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</si>
  <si>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</si>
  <si>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</si>
  <si>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</si>
  <si>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</si>
  <si>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</si>
  <si>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EQT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</si>
  <si>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</si>
  <si>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</si>
  <si>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</si>
  <si>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</si>
  <si>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</si>
  <si>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</si>
  <si>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</si>
  <si>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</si>
  <si>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</si>
  <si>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</si>
  <si>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</si>
  <si>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</si>
  <si>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</si>
  <si>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</si>
  <si>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</si>
  <si>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</si>
  <si>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</si>
  <si>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</si>
  <si>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</si>
  <si>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</si>
  <si>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</si>
  <si>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</si>
  <si>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</si>
  <si>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</si>
  <si>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</si>
  <si>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</si>
  <si>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</si>
  <si>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</si>
  <si>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</si>
  <si>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</si>
  <si>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EQT owner-FCF component DCF: base case (millions, USD)</t>
  </si>
  <si>
    <t xml:space="preserve">EQT owner-FCF component DCF: bull case (millions, USD)</t>
  </si>
  <si>
    <t xml:space="preserve">EQT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</si>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</sst>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50.81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946.28</v>
      </c>
      <c r="S2" s="0" t="n">
        <v>0</v>
      </c>
      <c r="AA2" s="0" t="s">
        <v>17</v>
      </c>
      <c r="AB2" s="0" t="s">
        <v>14</v>
      </c>
    </row>
    <row r="3" customFormat="false" ht="15" hidden="false" customHeight="false" outlineLevel="0" collapsed="false">
      <c r="A3" s="0" t="s">
        <v>64</v>
      </c>
      <c r="F3" s="0" t="n">
        <v>437.761</v>
      </c>
      <c r="H3" s="0" t="n">
        <v>547.563</v>
      </c>
      <c r="I3" s="0" t="n">
        <v>257.483</v>
      </c>
      <c r="K3" s="0" t="n">
        <v>2.12</v>
      </c>
      <c r="L3" s="0" t="n">
        <v>426.72</v>
      </c>
      <c r="M3" s="0" t="n">
        <v>776.667</v>
      </c>
      <c r="N3" s="0" t="n">
        <v>-349.947</v>
      </c>
      <c r="O3" s="0" t="n">
        <v>1097.472</v>
      </c>
      <c r="S3" s="0" t="n">
        <v>81.711</v>
      </c>
      <c r="U3" s="0" t="n">
        <v>3.031</v>
      </c>
      <c r="AA3" s="0" t="s">
        <v>17</v>
      </c>
      <c r="AB3" s="0" t="s">
        <v>14</v>
      </c>
    </row>
    <row r="4" customFormat="false" ht="15" hidden="false" customHeight="false" outlineLevel="0" collapsed="false">
      <c r="A4" s="0" t="s">
        <v>65</v>
      </c>
      <c r="F4" s="0" t="n">
        <v>464.806</v>
      </c>
      <c r="H4" s="0" t="n">
        <v>601.622</v>
      </c>
      <c r="I4" s="0" t="n">
        <v>255.604</v>
      </c>
      <c r="K4" s="0" t="n">
        <v>2.01</v>
      </c>
      <c r="L4" s="0" t="n">
        <v>509.157</v>
      </c>
      <c r="M4" s="0" t="n">
        <v>1343.996</v>
      </c>
      <c r="N4" s="0" t="n">
        <v>-834.839</v>
      </c>
      <c r="O4" s="0" t="n">
        <v>2050.093</v>
      </c>
      <c r="P4" s="0" t="n">
        <v>5329.662</v>
      </c>
      <c r="Q4" s="0" t="n">
        <v>3279.569</v>
      </c>
      <c r="R4" s="0" t="n">
        <v>1253.5</v>
      </c>
      <c r="S4" s="0" t="n">
        <v>0</v>
      </c>
      <c r="T4" s="0" t="n">
        <v>128.106</v>
      </c>
      <c r="U4" s="0" t="n">
        <v>-33.114</v>
      </c>
      <c r="AA4" s="0" t="s">
        <v>17</v>
      </c>
      <c r="AB4" s="0" t="s">
        <v>14</v>
      </c>
    </row>
    <row r="5" customFormat="false" ht="15" hidden="false" customHeight="false" outlineLevel="0" collapsed="false">
      <c r="A5" s="0" t="s">
        <v>66</v>
      </c>
      <c r="F5" s="0" t="n">
        <v>356.791</v>
      </c>
      <c r="H5" s="0" t="n">
        <v>552.869</v>
      </c>
      <c r="I5" s="0" t="n">
        <v>156.929</v>
      </c>
      <c r="K5" s="0" t="n">
        <v>1.2</v>
      </c>
      <c r="L5" s="0" t="n">
        <v>725.741</v>
      </c>
      <c r="M5" s="0" t="n">
        <v>963.908</v>
      </c>
      <c r="N5" s="0" t="n">
        <v>-238.167</v>
      </c>
      <c r="O5" s="0" t="n">
        <v>2151.03</v>
      </c>
      <c r="P5" s="0" t="n">
        <v>0</v>
      </c>
      <c r="Q5" s="0" t="n">
        <v>3806.227</v>
      </c>
      <c r="R5" s="0" t="n">
        <v>1949.2</v>
      </c>
      <c r="S5" s="0" t="n">
        <v>0</v>
      </c>
      <c r="T5" s="0" t="n">
        <v>131.482</v>
      </c>
      <c r="U5" s="0" t="n">
        <v>61.844</v>
      </c>
      <c r="AA5" s="0" t="s">
        <v>17</v>
      </c>
      <c r="AB5" s="0" t="s">
        <v>14</v>
      </c>
    </row>
    <row r="6" customFormat="false" ht="15" hidden="false" customHeight="false" outlineLevel="0" collapsed="false">
      <c r="A6" s="0" t="s">
        <v>67</v>
      </c>
      <c r="F6" s="0" t="n">
        <v>470.479</v>
      </c>
      <c r="H6" s="0" t="n">
        <v>740.764</v>
      </c>
      <c r="I6" s="0" t="n">
        <v>227.7</v>
      </c>
      <c r="K6" s="0" t="n">
        <v>1.58</v>
      </c>
      <c r="L6" s="0" t="n">
        <v>789.74</v>
      </c>
      <c r="M6" s="0" t="n">
        <v>1246.932</v>
      </c>
      <c r="N6" s="0" t="n">
        <v>-457.192</v>
      </c>
      <c r="O6" s="0" t="n">
        <v>3078.696</v>
      </c>
      <c r="P6" s="0" t="n">
        <v>7098.438</v>
      </c>
      <c r="Q6" s="0" t="n">
        <v>4019.742</v>
      </c>
      <c r="R6" s="0" t="n">
        <v>1955.2</v>
      </c>
      <c r="S6" s="0" t="n">
        <v>0</v>
      </c>
      <c r="T6" s="0" t="n">
        <v>145.232</v>
      </c>
      <c r="U6" s="0" t="n">
        <v>22.379</v>
      </c>
      <c r="AA6" s="0" t="s">
        <v>17</v>
      </c>
      <c r="AB6" s="0" t="s">
        <v>14</v>
      </c>
    </row>
    <row r="7" customFormat="false" ht="15" hidden="false" customHeight="false" outlineLevel="0" collapsed="false">
      <c r="A7" s="0" t="s">
        <v>68</v>
      </c>
      <c r="F7" s="0" t="n">
        <v>761.171</v>
      </c>
      <c r="H7" s="0" t="n">
        <v>1075.039</v>
      </c>
      <c r="I7" s="0" t="n">
        <v>479.769</v>
      </c>
      <c r="K7" s="0" t="n">
        <v>3.21</v>
      </c>
      <c r="L7" s="0" t="n">
        <v>905.02</v>
      </c>
      <c r="M7" s="0" t="n">
        <v>1335.581</v>
      </c>
      <c r="N7" s="0" t="n">
        <v>-430.561</v>
      </c>
      <c r="O7" s="0" t="n">
        <v>3593.83</v>
      </c>
      <c r="P7" s="0" t="n">
        <v>8772.719</v>
      </c>
      <c r="Q7" s="0" t="n">
        <v>5178.889</v>
      </c>
      <c r="R7" s="0" t="n">
        <v>2966.257</v>
      </c>
      <c r="S7" s="0" t="n">
        <v>831.251</v>
      </c>
      <c r="T7" s="0" t="n">
        <v>150.209</v>
      </c>
      <c r="U7" s="0" t="n">
        <v>40.329</v>
      </c>
      <c r="AA7" s="0" t="s">
        <v>17</v>
      </c>
      <c r="AB7" s="0" t="s">
        <v>14</v>
      </c>
    </row>
    <row r="8" customFormat="false" ht="15" hidden="false" customHeight="false" outlineLevel="0" collapsed="false">
      <c r="A8" s="0" t="s">
        <v>69</v>
      </c>
      <c r="F8" s="0" t="n">
        <v>389.629</v>
      </c>
      <c r="H8" s="0" t="n">
        <v>864.246</v>
      </c>
      <c r="I8" s="0" t="n">
        <v>196.411</v>
      </c>
      <c r="K8" s="0" t="n">
        <v>1.23</v>
      </c>
      <c r="L8" s="0" t="n">
        <v>796.822</v>
      </c>
      <c r="M8" s="0" t="n">
        <v>1370.64</v>
      </c>
      <c r="N8" s="0" t="n">
        <v>-573.818</v>
      </c>
      <c r="O8" s="0" t="n">
        <v>3888.802</v>
      </c>
      <c r="P8" s="0" t="n">
        <v>8849.862</v>
      </c>
      <c r="Q8" s="0" t="n">
        <v>4961.06</v>
      </c>
      <c r="R8" s="0" t="n">
        <v>2549.377</v>
      </c>
      <c r="S8" s="0" t="n">
        <v>182.055</v>
      </c>
      <c r="T8" s="0" t="n">
        <v>150.506</v>
      </c>
      <c r="U8" s="0" t="n">
        <v>45.821</v>
      </c>
      <c r="AA8" s="0" t="s">
        <v>17</v>
      </c>
      <c r="AB8" s="0" t="s">
        <v>14</v>
      </c>
    </row>
    <row r="9" customFormat="false" ht="15" hidden="false" customHeight="false" outlineLevel="0" collapsed="false">
      <c r="A9" s="0" t="s">
        <v>70</v>
      </c>
      <c r="F9" s="0" t="n">
        <v>654.604</v>
      </c>
      <c r="H9" s="0" t="n">
        <v>1307.736</v>
      </c>
      <c r="I9" s="0" t="n">
        <v>437.815</v>
      </c>
      <c r="K9" s="0" t="n">
        <v>2.59</v>
      </c>
      <c r="L9" s="0" t="n">
        <v>1162.861</v>
      </c>
      <c r="M9" s="0" t="n">
        <v>1796.876</v>
      </c>
      <c r="N9" s="0" t="n">
        <v>-634.015</v>
      </c>
      <c r="O9" s="0" t="n">
        <v>4864.128</v>
      </c>
      <c r="P9" s="0" t="n">
        <v>9765.907</v>
      </c>
      <c r="Q9" s="0" t="n">
        <v>4927.925</v>
      </c>
      <c r="R9" s="0" t="n">
        <v>2512.678</v>
      </c>
      <c r="S9" s="0" t="n">
        <v>845.641</v>
      </c>
      <c r="T9" s="0" t="n">
        <v>151.787</v>
      </c>
      <c r="U9" s="0" t="n">
        <v>58.544</v>
      </c>
      <c r="AA9" s="0" t="s">
        <v>17</v>
      </c>
      <c r="AB9" s="0" t="s">
        <v>14</v>
      </c>
    </row>
    <row r="10" customFormat="false" ht="15" hidden="false" customHeight="false" outlineLevel="0" collapsed="false">
      <c r="A10" s="0" t="s">
        <v>71</v>
      </c>
      <c r="F10" s="0" t="n">
        <v>853.395</v>
      </c>
      <c r="H10" s="0" t="n">
        <v>1532.693</v>
      </c>
      <c r="I10" s="0" t="n">
        <v>510.99</v>
      </c>
      <c r="K10" s="0" t="n">
        <v>2.55</v>
      </c>
      <c r="L10" s="0" t="n">
        <v>1414.742</v>
      </c>
      <c r="M10" s="0" t="n">
        <v>2900.186</v>
      </c>
      <c r="N10" s="0" t="n">
        <v>-1485.444</v>
      </c>
      <c r="O10" s="0" t="n">
        <v>6373.063</v>
      </c>
      <c r="P10" s="0" t="n">
        <v>12035.353</v>
      </c>
      <c r="Q10" s="0" t="n">
        <v>5662.29</v>
      </c>
      <c r="R10" s="0" t="n">
        <v>3125.227</v>
      </c>
      <c r="S10" s="0" t="n">
        <v>1077.429</v>
      </c>
      <c r="T10" s="0" t="n">
        <v>152.513</v>
      </c>
      <c r="U10" s="0" t="n">
        <v>50.627</v>
      </c>
      <c r="AA10" s="0" t="s">
        <v>17</v>
      </c>
      <c r="AB10" s="0" t="s">
        <v>14</v>
      </c>
    </row>
    <row r="11" customFormat="false" ht="15" hidden="false" customHeight="false" outlineLevel="0" collapsed="false">
      <c r="A11" s="0" t="s">
        <v>72</v>
      </c>
      <c r="F11" s="0" t="n">
        <v>563.139</v>
      </c>
      <c r="H11" s="0" t="n">
        <v>1382.355</v>
      </c>
      <c r="I11" s="0" t="n">
        <v>321.886</v>
      </c>
      <c r="K11" s="0" t="n">
        <v>0.56</v>
      </c>
      <c r="L11" s="0" t="n">
        <v>1216.94</v>
      </c>
      <c r="M11" s="0" t="n">
        <v>2344.414</v>
      </c>
      <c r="N11" s="0" t="n">
        <v>-1127.474</v>
      </c>
      <c r="O11" s="0" t="n">
        <v>8028.042</v>
      </c>
      <c r="P11" s="0" t="n">
        <v>13976.172</v>
      </c>
      <c r="Q11" s="0" t="n">
        <v>5948.13</v>
      </c>
      <c r="R11" s="0" t="n">
        <v>2793.343</v>
      </c>
      <c r="S11" s="0" t="n">
        <v>1601.232</v>
      </c>
      <c r="T11" s="0" t="n">
        <v>152.939</v>
      </c>
      <c r="U11" s="0" t="n">
        <v>58.629</v>
      </c>
      <c r="AA11" s="0" t="s">
        <v>17</v>
      </c>
      <c r="AB11" s="0" t="s">
        <v>14</v>
      </c>
    </row>
    <row r="12" customFormat="false" ht="15" hidden="false" customHeight="false" outlineLevel="0" collapsed="false">
      <c r="A12" s="0" t="s">
        <v>73</v>
      </c>
      <c r="B12" s="0" t="n">
        <v>1387.054</v>
      </c>
      <c r="C12" s="0" t="n">
        <v>880.191</v>
      </c>
      <c r="F12" s="0" t="n">
        <v>-755.028</v>
      </c>
      <c r="G12" s="0" t="n">
        <v>-54.4339297532756</v>
      </c>
      <c r="H12" s="0" t="n">
        <v>101.423</v>
      </c>
      <c r="I12" s="0" t="n">
        <v>-452.983</v>
      </c>
      <c r="J12" s="0" t="n">
        <v>-32.6579210326346</v>
      </c>
      <c r="K12" s="0" t="n">
        <v>-2.71</v>
      </c>
      <c r="L12" s="0" t="n">
        <v>1064.32</v>
      </c>
      <c r="M12" s="0" t="n">
        <v>2668.273</v>
      </c>
      <c r="N12" s="0" t="n">
        <v>-1603.953</v>
      </c>
      <c r="O12" s="0" t="n">
        <v>9119.247</v>
      </c>
      <c r="P12" s="0" t="n">
        <v>15472.922</v>
      </c>
      <c r="Q12" s="0" t="n">
        <v>6353.675</v>
      </c>
      <c r="R12" s="0" t="n">
        <v>3289.459</v>
      </c>
      <c r="S12" s="0" t="n">
        <v>1103.54</v>
      </c>
      <c r="T12" s="0" t="n">
        <v>166.978</v>
      </c>
      <c r="U12" s="0" t="n">
        <v>47.338</v>
      </c>
      <c r="AA12" s="0" t="s">
        <v>17</v>
      </c>
      <c r="AB12" s="0" t="s">
        <v>14</v>
      </c>
    </row>
    <row r="13" customFormat="false" ht="15" hidden="false" customHeight="false" outlineLevel="0" collapsed="false">
      <c r="A13" s="0" t="s">
        <v>74</v>
      </c>
      <c r="B13" s="0" t="n">
        <v>3091.02</v>
      </c>
      <c r="C13" s="0" t="n">
        <v>1164.783</v>
      </c>
      <c r="F13" s="0" t="n">
        <v>382.212</v>
      </c>
      <c r="G13" s="0" t="n">
        <v>12.3652386590834</v>
      </c>
      <c r="H13" s="0" t="n">
        <v>1353.197</v>
      </c>
      <c r="I13" s="0" t="n">
        <v>1858.142</v>
      </c>
      <c r="J13" s="0" t="n">
        <v>60.1142017845242</v>
      </c>
      <c r="K13" s="0" t="n">
        <v>8.05</v>
      </c>
      <c r="L13" s="0" t="n">
        <v>1637.698</v>
      </c>
      <c r="M13" s="0" t="n">
        <v>2778.7</v>
      </c>
      <c r="N13" s="0" t="n">
        <v>-1141.002</v>
      </c>
      <c r="O13" s="0" t="n">
        <v>18414.613</v>
      </c>
      <c r="P13" s="0" t="n">
        <v>29522.604</v>
      </c>
      <c r="Q13" s="0" t="n">
        <v>11107.991</v>
      </c>
      <c r="R13" s="0" t="n">
        <v>4714.735</v>
      </c>
      <c r="S13" s="0" t="n">
        <v>26.311</v>
      </c>
      <c r="T13" s="0" t="n">
        <v>187.727</v>
      </c>
      <c r="U13" s="0" t="n">
        <v>112.766</v>
      </c>
      <c r="AA13" s="0" t="s">
        <v>17</v>
      </c>
      <c r="AB13" s="0" t="s">
        <v>14</v>
      </c>
    </row>
    <row r="14" customFormat="false" ht="15" hidden="false" customHeight="false" outlineLevel="0" collapsed="false">
      <c r="A14" s="0" t="s">
        <v>75</v>
      </c>
      <c r="B14" s="0" t="n">
        <v>4709.384</v>
      </c>
      <c r="C14" s="0" t="n">
        <v>1697.001</v>
      </c>
      <c r="F14" s="0" t="n">
        <v>-2783.124</v>
      </c>
      <c r="G14" s="0" t="n">
        <v>-59.0974106167601</v>
      </c>
      <c r="H14" s="0" t="n">
        <v>-1214.086</v>
      </c>
      <c r="I14" s="0" t="n">
        <v>-2244.568</v>
      </c>
      <c r="J14" s="0" t="n">
        <v>-47.6616049997197</v>
      </c>
      <c r="K14" s="0" t="n">
        <v>-8.6</v>
      </c>
      <c r="L14" s="0" t="n">
        <v>2976.256</v>
      </c>
      <c r="M14" s="0" t="n">
        <v>2999.037</v>
      </c>
      <c r="N14" s="0" t="n">
        <v>-22.781</v>
      </c>
      <c r="O14" s="0" t="n">
        <v>10958.229</v>
      </c>
      <c r="P14" s="0" t="n">
        <v>20721.344</v>
      </c>
      <c r="Q14" s="0" t="n">
        <v>9763.115</v>
      </c>
      <c r="R14" s="0" t="n">
        <v>5401.771</v>
      </c>
      <c r="S14" s="0" t="n">
        <v>3.487</v>
      </c>
      <c r="T14" s="0" t="n">
        <v>260.932</v>
      </c>
      <c r="U14" s="0" t="n">
        <v>25.189</v>
      </c>
      <c r="AA14" s="0" t="s">
        <v>17</v>
      </c>
      <c r="AB14" s="0" t="s">
        <v>14</v>
      </c>
    </row>
    <row r="15" customFormat="false" ht="15" hidden="false" customHeight="false" outlineLevel="0" collapsed="false">
      <c r="A15" s="0" t="s">
        <v>76</v>
      </c>
      <c r="B15" s="0" t="n">
        <v>4416.484</v>
      </c>
      <c r="C15" s="0" t="n">
        <v>1752.752</v>
      </c>
      <c r="F15" s="0" t="n">
        <v>-1152.11</v>
      </c>
      <c r="G15" s="0" t="n">
        <v>-26.0865883358799</v>
      </c>
      <c r="H15" s="0" t="n">
        <v>386.635</v>
      </c>
      <c r="I15" s="0" t="n">
        <v>-1221.695</v>
      </c>
      <c r="J15" s="0" t="n">
        <v>-27.6621629332292</v>
      </c>
      <c r="K15" s="0" t="n">
        <v>-4.79</v>
      </c>
      <c r="L15" s="0" t="n">
        <v>1851.704</v>
      </c>
      <c r="M15" s="0" t="n">
        <v>1602.454</v>
      </c>
      <c r="N15" s="0" t="n">
        <v>249.25</v>
      </c>
      <c r="O15" s="0" t="n">
        <v>9803.588</v>
      </c>
      <c r="P15" s="0" t="n">
        <v>18809.227</v>
      </c>
      <c r="Q15" s="0" t="n">
        <v>9005.639</v>
      </c>
      <c r="R15" s="0" t="n">
        <v>5309.183</v>
      </c>
      <c r="S15" s="0" t="n">
        <v>4.596</v>
      </c>
      <c r="T15" s="0" t="n">
        <v>255.141</v>
      </c>
      <c r="U15" s="0" t="n">
        <v>38.143</v>
      </c>
      <c r="AA15" s="0" t="s">
        <v>17</v>
      </c>
      <c r="AB15" s="0" t="s">
        <v>14</v>
      </c>
    </row>
    <row r="16" customFormat="false" ht="15" hidden="false" customHeight="false" outlineLevel="0" collapsed="false">
      <c r="A16" s="0" t="s">
        <v>77</v>
      </c>
      <c r="B16" s="0" t="n">
        <v>3058.843</v>
      </c>
      <c r="C16" s="0" t="n">
        <v>1710.734</v>
      </c>
      <c r="F16" s="0" t="n">
        <v>-877.666</v>
      </c>
      <c r="G16" s="0" t="n">
        <v>-28.6927442827239</v>
      </c>
      <c r="H16" s="0" t="n">
        <v>515.799</v>
      </c>
      <c r="I16" s="0" t="n">
        <v>-958.809</v>
      </c>
      <c r="J16" s="0" t="n">
        <v>-31.345479320122</v>
      </c>
      <c r="K16" s="0" t="n">
        <v>-3.68</v>
      </c>
      <c r="L16" s="0" t="n">
        <v>1537.701</v>
      </c>
      <c r="M16" s="0" t="n">
        <v>1042.231</v>
      </c>
      <c r="N16" s="0" t="n">
        <v>495.47</v>
      </c>
      <c r="O16" s="0" t="n">
        <v>9174.952</v>
      </c>
      <c r="P16" s="0" t="n">
        <v>18113.469</v>
      </c>
      <c r="Q16" s="0" t="n">
        <v>8850.739</v>
      </c>
      <c r="R16" s="0" t="n">
        <v>5079.627</v>
      </c>
      <c r="S16" s="0" t="n">
        <v>18.21</v>
      </c>
      <c r="T16" s="0" t="n">
        <v>260.613</v>
      </c>
      <c r="U16" s="0" t="n">
        <v>27.549</v>
      </c>
      <c r="AA16" s="0" t="s">
        <v>17</v>
      </c>
      <c r="AB16" s="0" t="s">
        <v>14</v>
      </c>
    </row>
    <row r="17" customFormat="false" ht="15" hidden="false" customHeight="false" outlineLevel="0" collapsed="false">
      <c r="A17" s="0" t="s">
        <v>78</v>
      </c>
      <c r="B17" s="0" t="n">
        <v>6804.02</v>
      </c>
      <c r="C17" s="0" t="n">
        <v>1942.165</v>
      </c>
      <c r="F17" s="0" t="n">
        <v>-1360.975</v>
      </c>
      <c r="G17" s="0" t="n">
        <v>-20.0025132201258</v>
      </c>
      <c r="H17" s="0" t="n">
        <v>315.727</v>
      </c>
      <c r="I17" s="0" t="n">
        <v>-1142.747</v>
      </c>
      <c r="J17" s="0" t="n">
        <v>-16.7951740294708</v>
      </c>
      <c r="K17" s="0" t="n">
        <v>-3.54</v>
      </c>
      <c r="L17" s="0" t="n">
        <v>1662.448</v>
      </c>
      <c r="M17" s="0" t="n">
        <v>1055.128</v>
      </c>
      <c r="N17" s="0" t="n">
        <v>607.32</v>
      </c>
      <c r="O17" s="0" t="n">
        <v>9970.999</v>
      </c>
      <c r="P17" s="0" t="n">
        <v>21607.388</v>
      </c>
      <c r="Q17" s="0" t="n">
        <v>11636.389</v>
      </c>
      <c r="R17" s="0" t="n">
        <v>6652.042</v>
      </c>
      <c r="S17" s="0" t="n">
        <v>113.963</v>
      </c>
      <c r="T17" s="0" t="n">
        <v>323.196</v>
      </c>
      <c r="U17" s="0" t="n">
        <v>47.507</v>
      </c>
      <c r="AA17" s="0" t="s">
        <v>17</v>
      </c>
      <c r="AB17" s="0" t="s">
        <v>14</v>
      </c>
    </row>
    <row r="18" customFormat="false" ht="15" hidden="false" customHeight="false" outlineLevel="0" collapsed="false">
      <c r="A18" s="0" t="s">
        <v>79</v>
      </c>
      <c r="B18" s="0" t="n">
        <v>7497.689</v>
      </c>
      <c r="C18" s="0" t="n">
        <v>2116.976</v>
      </c>
      <c r="F18" s="0" t="n">
        <v>2717.997</v>
      </c>
      <c r="G18" s="0" t="n">
        <v>36.25113018158</v>
      </c>
      <c r="H18" s="0" t="n">
        <v>4383.959</v>
      </c>
      <c r="I18" s="0" t="n">
        <v>1780.942</v>
      </c>
      <c r="J18" s="0" t="n">
        <v>23.7532124898752</v>
      </c>
      <c r="K18" s="0" t="n">
        <v>4.79</v>
      </c>
      <c r="L18" s="0" t="n">
        <v>3465.56</v>
      </c>
      <c r="M18" s="0" t="n">
        <v>1400.443</v>
      </c>
      <c r="N18" s="0" t="n">
        <v>2065.117</v>
      </c>
      <c r="O18" s="0" t="n">
        <v>11213.328</v>
      </c>
      <c r="P18" s="0" t="n">
        <v>22669.926</v>
      </c>
      <c r="Q18" s="0" t="n">
        <v>11456.598</v>
      </c>
      <c r="R18" s="0" t="n">
        <v>6101.597</v>
      </c>
      <c r="S18" s="0" t="n">
        <v>1458.644</v>
      </c>
      <c r="T18" s="0" t="n">
        <v>406.495</v>
      </c>
      <c r="U18" s="0" t="n">
        <v>67.411</v>
      </c>
      <c r="V18" s="0" t="n">
        <v>0.55</v>
      </c>
      <c r="AA18" s="0" t="s">
        <v>17</v>
      </c>
      <c r="AB18" s="0" t="s">
        <v>14</v>
      </c>
    </row>
    <row r="19" customFormat="false" ht="15" hidden="false" customHeight="false" outlineLevel="0" collapsed="false">
      <c r="A19" s="0" t="s">
        <v>80</v>
      </c>
      <c r="B19" s="0" t="n">
        <v>6908.923</v>
      </c>
      <c r="C19" s="0" t="n">
        <v>2157.26</v>
      </c>
      <c r="F19" s="0" t="n">
        <v>2314.411</v>
      </c>
      <c r="G19" s="0" t="n">
        <v>33.4988680580172</v>
      </c>
      <c r="H19" s="0" t="n">
        <v>4046.553</v>
      </c>
      <c r="I19" s="0" t="n">
        <v>1735.232</v>
      </c>
      <c r="J19" s="0" t="n">
        <v>25.1158103802865</v>
      </c>
      <c r="K19" s="0" t="n">
        <v>4.56</v>
      </c>
      <c r="L19" s="0" t="n">
        <v>3178.85</v>
      </c>
      <c r="M19" s="0" t="n">
        <v>2019.037</v>
      </c>
      <c r="N19" s="0" t="n">
        <v>1159.813</v>
      </c>
      <c r="O19" s="0" t="n">
        <v>14780.817</v>
      </c>
      <c r="P19" s="0" t="n">
        <v>25285.098</v>
      </c>
      <c r="Q19" s="0" t="n">
        <v>10504.281</v>
      </c>
      <c r="R19" s="0" t="n">
        <v>6087.545</v>
      </c>
      <c r="S19" s="0" t="n">
        <v>80.977</v>
      </c>
      <c r="T19" s="0" t="n">
        <v>413.224</v>
      </c>
      <c r="U19" s="0" t="n">
        <v>51.2</v>
      </c>
      <c r="V19" s="0" t="n">
        <v>0.61</v>
      </c>
      <c r="AA19" s="0" t="s">
        <v>17</v>
      </c>
      <c r="AB19" s="0" t="s">
        <v>14</v>
      </c>
    </row>
    <row r="20" customFormat="false" ht="15" hidden="false" customHeight="false" outlineLevel="0" collapsed="false">
      <c r="A20" s="0" t="s">
        <v>81</v>
      </c>
      <c r="B20" s="0" t="n">
        <v>5273.309</v>
      </c>
      <c r="C20" s="0" t="n">
        <v>1915.616</v>
      </c>
      <c r="F20" s="0" t="n">
        <v>685.296</v>
      </c>
      <c r="G20" s="0" t="n">
        <v>12.9955593347555</v>
      </c>
      <c r="H20" s="0" t="n">
        <v>2847.646</v>
      </c>
      <c r="I20" s="0" t="n">
        <v>242.115</v>
      </c>
      <c r="J20" s="0" t="n">
        <v>4.59132965657806</v>
      </c>
      <c r="K20" s="0" t="n">
        <v>0.45</v>
      </c>
      <c r="L20" s="0" t="n">
        <v>2826.973</v>
      </c>
      <c r="M20" s="0" t="n">
        <v>2253.709</v>
      </c>
      <c r="N20" s="0" t="n">
        <v>573.264</v>
      </c>
      <c r="O20" s="0" t="n">
        <v>24278.136</v>
      </c>
      <c r="P20" s="0" t="n">
        <v>39830.255</v>
      </c>
      <c r="Q20" s="0" t="n">
        <v>15552.119</v>
      </c>
      <c r="R20" s="0" t="n">
        <v>9644.977</v>
      </c>
      <c r="S20" s="0" t="n">
        <v>202.093</v>
      </c>
      <c r="T20" s="0" t="n">
        <v>514.593</v>
      </c>
      <c r="U20" s="0" t="n">
        <v>158.344</v>
      </c>
      <c r="V20" s="0" t="n">
        <v>0.63</v>
      </c>
      <c r="AA20" s="0" t="s">
        <v>17</v>
      </c>
      <c r="AB20" s="0" t="s">
        <v>14</v>
      </c>
    </row>
    <row r="21" customFormat="false" ht="15" hidden="false" customHeight="false" outlineLevel="0" collapsed="false">
      <c r="A21" s="0" t="s">
        <v>82</v>
      </c>
      <c r="B21" s="0" t="n">
        <v>8644.211</v>
      </c>
      <c r="C21" s="0" t="n">
        <v>1532.09</v>
      </c>
      <c r="F21" s="0" t="n">
        <v>3249.619</v>
      </c>
      <c r="G21" s="0" t="n">
        <v>37.593008777782</v>
      </c>
      <c r="H21" s="0" t="n">
        <v>5850.009</v>
      </c>
      <c r="I21" s="0" t="n">
        <v>2325.658</v>
      </c>
      <c r="J21" s="0" t="n">
        <v>26.9042252670602</v>
      </c>
      <c r="K21" s="0" t="n">
        <v>3.33</v>
      </c>
      <c r="L21" s="0" t="n">
        <v>5125.952</v>
      </c>
      <c r="M21" s="0" t="n">
        <v>2288.425</v>
      </c>
      <c r="N21" s="0" t="n">
        <v>2837.527</v>
      </c>
      <c r="O21" s="0" t="n">
        <v>27360.148</v>
      </c>
      <c r="P21" s="0" t="n">
        <v>41792.874</v>
      </c>
      <c r="Q21" s="0" t="n">
        <v>14432.726</v>
      </c>
      <c r="R21" s="0" t="n">
        <v>8307.447</v>
      </c>
      <c r="S21" s="0" t="n">
        <v>110.795</v>
      </c>
      <c r="T21" s="0" t="n">
        <v>615.717</v>
      </c>
      <c r="U21" s="0" t="n">
        <v>60.781</v>
      </c>
      <c r="V21" s="0" t="n">
        <v>0.6375</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50.81</v>
      </c>
    </row>
    <row r="3" customFormat="false" ht="15" hidden="false" customHeight="false" outlineLevel="0" collapsed="false">
      <c r="A3" s="0" t="s">
        <v>86</v>
      </c>
      <c r="B3" s="3" t="n">
        <v>629.049</v>
      </c>
    </row>
    <row r="4" customFormat="false" ht="15" hidden="false" customHeight="false" outlineLevel="0" collapsed="false">
      <c r="A4" s="0" t="s">
        <v>87</v>
      </c>
      <c r="B4" s="3" t="n">
        <v>5542.851</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8644.211</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3</v>
      </c>
      <c r="D13" s="3" t="n">
        <v>-15</v>
      </c>
      <c r="E13" s="3" t="n">
        <v>-2</v>
      </c>
      <c r="F13" s="3" t="n">
        <v>1</v>
      </c>
      <c r="G13" s="3" t="n">
        <v>2</v>
      </c>
      <c r="H13" s="3" t="n">
        <v>2</v>
      </c>
      <c r="I13" s="3" t="n">
        <v>2</v>
      </c>
      <c r="J13" s="3" t="n">
        <v>2</v>
      </c>
      <c r="K13" s="3" t="n">
        <v>2</v>
      </c>
      <c r="L13" s="3" t="n">
        <v>2</v>
      </c>
    </row>
    <row r="14" customFormat="false" ht="15" hidden="false" customHeight="false" outlineLevel="0" collapsed="false">
      <c r="A14" s="0" t="s">
        <v>107</v>
      </c>
      <c r="C14" s="3" t="n">
        <v>62</v>
      </c>
      <c r="D14" s="3" t="n">
        <v>54</v>
      </c>
      <c r="E14" s="3" t="n">
        <v>53</v>
      </c>
      <c r="F14" s="3" t="n">
        <v>53</v>
      </c>
      <c r="G14" s="3" t="n">
        <v>54</v>
      </c>
      <c r="H14" s="3" t="n">
        <v>55</v>
      </c>
      <c r="I14" s="3" t="n">
        <v>55</v>
      </c>
      <c r="J14" s="3" t="n">
        <v>55</v>
      </c>
      <c r="K14" s="3" t="n">
        <v>55</v>
      </c>
      <c r="L14" s="3" t="n">
        <v>55</v>
      </c>
    </row>
    <row r="15" customFormat="false" ht="15" hidden="false" customHeight="false" outlineLevel="0" collapsed="false">
      <c r="A15" s="0" t="s">
        <v>108</v>
      </c>
      <c r="C15" s="3" t="n">
        <v>1.3</v>
      </c>
      <c r="D15" s="3" t="n">
        <v>1.4</v>
      </c>
      <c r="E15" s="3" t="n">
        <v>1.4</v>
      </c>
      <c r="F15" s="3" t="n">
        <v>1.35</v>
      </c>
      <c r="G15" s="3" t="n">
        <v>1.3</v>
      </c>
      <c r="H15" s="3" t="n">
        <v>1.3</v>
      </c>
      <c r="I15" s="3" t="n">
        <v>1.25</v>
      </c>
      <c r="J15" s="3" t="n">
        <v>1.25</v>
      </c>
      <c r="K15" s="3" t="n">
        <v>1.2</v>
      </c>
      <c r="L15" s="3" t="n">
        <v>1.2</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29</v>
      </c>
      <c r="D17" s="3" t="n">
        <v>31</v>
      </c>
      <c r="E17" s="3" t="n">
        <v>31</v>
      </c>
      <c r="F17" s="3" t="n">
        <v>30.5</v>
      </c>
      <c r="G17" s="3" t="n">
        <v>30</v>
      </c>
      <c r="H17" s="3" t="n">
        <v>30</v>
      </c>
      <c r="I17" s="3" t="n">
        <v>30</v>
      </c>
      <c r="J17" s="3" t="n">
        <v>30</v>
      </c>
      <c r="K17" s="3" t="n">
        <v>30</v>
      </c>
      <c r="L17" s="3" t="n">
        <v>30</v>
      </c>
    </row>
    <row r="18" customFormat="false" ht="15" hidden="false" customHeight="false" outlineLevel="0" collapsed="false">
      <c r="A18" s="0" t="s">
        <v>111</v>
      </c>
      <c r="C18" s="3" t="n">
        <v>31</v>
      </c>
      <c r="D18" s="3" t="n">
        <v>31</v>
      </c>
      <c r="E18" s="3" t="n">
        <v>30</v>
      </c>
      <c r="F18" s="3" t="n">
        <v>29</v>
      </c>
      <c r="G18" s="3" t="n">
        <v>29</v>
      </c>
      <c r="H18" s="3" t="n">
        <v>28.5</v>
      </c>
      <c r="I18" s="3" t="n">
        <v>28.5</v>
      </c>
      <c r="J18" s="3" t="n">
        <v>28.5</v>
      </c>
      <c r="K18" s="3" t="n">
        <v>28.5</v>
      </c>
      <c r="L18" s="3" t="n">
        <v>28.5</v>
      </c>
    </row>
    <row r="19" customFormat="false" ht="15" hidden="false" customHeight="false" outlineLevel="0" collapsed="false">
      <c r="A19" s="0" t="s">
        <v>112</v>
      </c>
      <c r="C19" s="3" t="n">
        <v>2</v>
      </c>
      <c r="D19" s="3" t="n">
        <v>4</v>
      </c>
      <c r="E19" s="3" t="n">
        <v>8</v>
      </c>
      <c r="F19" s="3" t="n">
        <v>12</v>
      </c>
      <c r="G19" s="3" t="n">
        <v>16</v>
      </c>
      <c r="H19" s="3" t="n">
        <v>20</v>
      </c>
      <c r="I19" s="3" t="n">
        <v>22</v>
      </c>
      <c r="J19" s="3" t="n">
        <v>22</v>
      </c>
      <c r="K19" s="3" t="n">
        <v>22</v>
      </c>
      <c r="L19" s="3" t="n">
        <v>22</v>
      </c>
    </row>
    <row r="20" customFormat="false" ht="15" hidden="false" customHeight="false" outlineLevel="0" collapsed="false">
      <c r="A20" s="0" t="s">
        <v>113</v>
      </c>
      <c r="B20" s="3" t="n">
        <v>8.5</v>
      </c>
    </row>
    <row r="21" customFormat="false" ht="15" hidden="false" customHeight="false" outlineLevel="0" collapsed="false">
      <c r="A21" s="0" t="s">
        <v>114</v>
      </c>
      <c r="B21" s="3" t="n">
        <v>1.5</v>
      </c>
    </row>
    <row r="22" customFormat="false" ht="15" hidden="false" customHeight="false" outlineLevel="0" collapsed="false">
      <c r="A22" s="0" t="s">
        <v>115</v>
      </c>
      <c r="B22" s="3" t="n">
        <v>12</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7</v>
      </c>
      <c r="D27" s="3" t="n">
        <v>-4</v>
      </c>
      <c r="E27" s="3" t="n">
        <v>3</v>
      </c>
      <c r="F27" s="3" t="n">
        <v>3</v>
      </c>
      <c r="G27" s="3" t="n">
        <v>2.5</v>
      </c>
      <c r="H27" s="3" t="n">
        <v>2.5</v>
      </c>
      <c r="I27" s="3" t="n">
        <v>2.5</v>
      </c>
      <c r="J27" s="3" t="n">
        <v>2</v>
      </c>
      <c r="K27" s="3" t="n">
        <v>2</v>
      </c>
      <c r="L27" s="3" t="n">
        <v>2</v>
      </c>
    </row>
    <row r="28" customFormat="false" ht="15" hidden="false" customHeight="false" outlineLevel="0" collapsed="false">
      <c r="A28" s="0" t="s">
        <v>107</v>
      </c>
      <c r="C28" s="3" t="n">
        <v>64</v>
      </c>
      <c r="D28" s="3" t="n">
        <v>61</v>
      </c>
      <c r="E28" s="3" t="n">
        <v>61</v>
      </c>
      <c r="F28" s="3" t="n">
        <v>61.5</v>
      </c>
      <c r="G28" s="3" t="n">
        <v>61.5</v>
      </c>
      <c r="H28" s="3" t="n">
        <v>62</v>
      </c>
      <c r="I28" s="3" t="n">
        <v>62</v>
      </c>
      <c r="J28" s="3" t="n">
        <v>62</v>
      </c>
      <c r="K28" s="3" t="n">
        <v>62</v>
      </c>
      <c r="L28" s="3" t="n">
        <v>62</v>
      </c>
    </row>
    <row r="29" customFormat="false" ht="15" hidden="false" customHeight="false" outlineLevel="0" collapsed="false">
      <c r="A29" s="0" t="s">
        <v>108</v>
      </c>
      <c r="C29" s="3" t="n">
        <v>1.3</v>
      </c>
      <c r="D29" s="3" t="n">
        <v>1.3</v>
      </c>
      <c r="E29" s="3" t="n">
        <v>1.25</v>
      </c>
      <c r="F29" s="3" t="n">
        <v>1.25</v>
      </c>
      <c r="G29" s="3" t="n">
        <v>1.2</v>
      </c>
      <c r="H29" s="3" t="n">
        <v>1.2</v>
      </c>
      <c r="I29" s="3" t="n">
        <v>1.15</v>
      </c>
      <c r="J29" s="3" t="n">
        <v>1.15</v>
      </c>
      <c r="K29" s="3" t="n">
        <v>1.1</v>
      </c>
      <c r="L29" s="3" t="n">
        <v>1.1</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28.5</v>
      </c>
      <c r="D31" s="3" t="n">
        <v>28.5</v>
      </c>
      <c r="E31" s="3" t="n">
        <v>28</v>
      </c>
      <c r="F31" s="3" t="n">
        <v>28</v>
      </c>
      <c r="G31" s="3" t="n">
        <v>28</v>
      </c>
      <c r="H31" s="3" t="n">
        <v>28</v>
      </c>
      <c r="I31" s="3" t="n">
        <v>28</v>
      </c>
      <c r="J31" s="3" t="n">
        <v>28</v>
      </c>
      <c r="K31" s="3" t="n">
        <v>28</v>
      </c>
      <c r="L31" s="3" t="n">
        <v>28</v>
      </c>
    </row>
    <row r="32" customFormat="false" ht="15" hidden="false" customHeight="false" outlineLevel="0" collapsed="false">
      <c r="A32" s="0" t="s">
        <v>111</v>
      </c>
      <c r="C32" s="3" t="n">
        <v>30.5</v>
      </c>
      <c r="D32" s="3" t="n">
        <v>29.5</v>
      </c>
      <c r="E32" s="3" t="n">
        <v>28.5</v>
      </c>
      <c r="F32" s="3" t="n">
        <v>28</v>
      </c>
      <c r="G32" s="3" t="n">
        <v>28</v>
      </c>
      <c r="H32" s="3" t="n">
        <v>28</v>
      </c>
      <c r="I32" s="3" t="n">
        <v>28</v>
      </c>
      <c r="J32" s="3" t="n">
        <v>28</v>
      </c>
      <c r="K32" s="3" t="n">
        <v>28</v>
      </c>
      <c r="L32" s="3" t="n">
        <v>28</v>
      </c>
    </row>
    <row r="33" customFormat="false" ht="15" hidden="false" customHeight="false" outlineLevel="0" collapsed="false">
      <c r="A33" s="0" t="s">
        <v>112</v>
      </c>
      <c r="C33" s="3" t="n">
        <v>3</v>
      </c>
      <c r="D33" s="3" t="n">
        <v>8</v>
      </c>
      <c r="E33" s="3" t="n">
        <v>13</v>
      </c>
      <c r="F33" s="3" t="n">
        <v>18</v>
      </c>
      <c r="G33" s="3" t="n">
        <v>22</v>
      </c>
      <c r="H33" s="3" t="n">
        <v>22</v>
      </c>
      <c r="I33" s="3" t="n">
        <v>22</v>
      </c>
      <c r="J33" s="3" t="n">
        <v>22</v>
      </c>
      <c r="K33" s="3" t="n">
        <v>22</v>
      </c>
      <c r="L33" s="3" t="n">
        <v>22</v>
      </c>
    </row>
    <row r="34" customFormat="false" ht="15" hidden="false" customHeight="false" outlineLevel="0" collapsed="false">
      <c r="A34" s="0" t="s">
        <v>113</v>
      </c>
      <c r="B34" s="3" t="n">
        <v>8.5</v>
      </c>
    </row>
    <row r="35" customFormat="false" ht="15" hidden="false" customHeight="false" outlineLevel="0" collapsed="false">
      <c r="A35" s="0" t="s">
        <v>114</v>
      </c>
      <c r="B35" s="3" t="n">
        <v>2</v>
      </c>
    </row>
    <row r="36" customFormat="false" ht="15" hidden="false" customHeight="false" outlineLevel="0" collapsed="false">
      <c r="A36" s="0" t="s">
        <v>115</v>
      </c>
      <c r="B36" s="3" t="n">
        <v>12</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10</v>
      </c>
      <c r="D41" s="3" t="n">
        <v>2</v>
      </c>
      <c r="E41" s="3" t="n">
        <v>5</v>
      </c>
      <c r="F41" s="3" t="n">
        <v>4</v>
      </c>
      <c r="G41" s="3" t="n">
        <v>3.5</v>
      </c>
      <c r="H41" s="3" t="n">
        <v>3</v>
      </c>
      <c r="I41" s="3" t="n">
        <v>3</v>
      </c>
      <c r="J41" s="3" t="n">
        <v>2.5</v>
      </c>
      <c r="K41" s="3" t="n">
        <v>2.5</v>
      </c>
      <c r="L41" s="3" t="n">
        <v>2.5</v>
      </c>
    </row>
    <row r="42" customFormat="false" ht="15" hidden="false" customHeight="false" outlineLevel="0" collapsed="false">
      <c r="A42" s="0" t="s">
        <v>107</v>
      </c>
      <c r="C42" s="3" t="n">
        <v>66</v>
      </c>
      <c r="D42" s="3" t="n">
        <v>65</v>
      </c>
      <c r="E42" s="3" t="n">
        <v>65</v>
      </c>
      <c r="F42" s="3" t="n">
        <v>65</v>
      </c>
      <c r="G42" s="3" t="n">
        <v>65</v>
      </c>
      <c r="H42" s="3" t="n">
        <v>65</v>
      </c>
      <c r="I42" s="3" t="n">
        <v>65</v>
      </c>
      <c r="J42" s="3" t="n">
        <v>65</v>
      </c>
      <c r="K42" s="3" t="n">
        <v>65</v>
      </c>
      <c r="L42" s="3" t="n">
        <v>65</v>
      </c>
    </row>
    <row r="43" customFormat="false" ht="15" hidden="false" customHeight="false" outlineLevel="0" collapsed="false">
      <c r="A43" s="0" t="s">
        <v>108</v>
      </c>
      <c r="C43" s="3" t="n">
        <v>1.3</v>
      </c>
      <c r="D43" s="3" t="n">
        <v>1.3</v>
      </c>
      <c r="E43" s="3" t="n">
        <v>1.25</v>
      </c>
      <c r="F43" s="3" t="n">
        <v>1.25</v>
      </c>
      <c r="G43" s="3" t="n">
        <v>1.2</v>
      </c>
      <c r="H43" s="3" t="n">
        <v>1.2</v>
      </c>
      <c r="I43" s="3" t="n">
        <v>1.15</v>
      </c>
      <c r="J43" s="3" t="n">
        <v>1.15</v>
      </c>
      <c r="K43" s="3" t="n">
        <v>1.1</v>
      </c>
      <c r="L43" s="3" t="n">
        <v>1.1</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28</v>
      </c>
      <c r="D45" s="3" t="n">
        <v>27.5</v>
      </c>
      <c r="E45" s="3" t="n">
        <v>27</v>
      </c>
      <c r="F45" s="3" t="n">
        <v>27</v>
      </c>
      <c r="G45" s="3" t="n">
        <v>27</v>
      </c>
      <c r="H45" s="3" t="n">
        <v>27</v>
      </c>
      <c r="I45" s="3" t="n">
        <v>27</v>
      </c>
      <c r="J45" s="3" t="n">
        <v>27</v>
      </c>
      <c r="K45" s="3" t="n">
        <v>27</v>
      </c>
      <c r="L45" s="3" t="n">
        <v>27</v>
      </c>
    </row>
    <row r="46" customFormat="false" ht="15" hidden="false" customHeight="false" outlineLevel="0" collapsed="false">
      <c r="A46" s="0" t="s">
        <v>111</v>
      </c>
      <c r="C46" s="3" t="n">
        <v>30</v>
      </c>
      <c r="D46" s="3" t="n">
        <v>29</v>
      </c>
      <c r="E46" s="3" t="n">
        <v>28</v>
      </c>
      <c r="F46" s="3" t="n">
        <v>27.5</v>
      </c>
      <c r="G46" s="3" t="n">
        <v>27.5</v>
      </c>
      <c r="H46" s="3" t="n">
        <v>27.5</v>
      </c>
      <c r="I46" s="3" t="n">
        <v>27.5</v>
      </c>
      <c r="J46" s="3" t="n">
        <v>27.5</v>
      </c>
      <c r="K46" s="3" t="n">
        <v>27.5</v>
      </c>
      <c r="L46" s="3" t="n">
        <v>27.5</v>
      </c>
    </row>
    <row r="47" customFormat="false" ht="15" hidden="false" customHeight="false" outlineLevel="0" collapsed="false">
      <c r="A47" s="0" t="s">
        <v>112</v>
      </c>
      <c r="C47" s="3" t="n">
        <v>3</v>
      </c>
      <c r="D47" s="3" t="n">
        <v>8</v>
      </c>
      <c r="E47" s="3" t="n">
        <v>13</v>
      </c>
      <c r="F47" s="3" t="n">
        <v>18</v>
      </c>
      <c r="G47" s="3" t="n">
        <v>22</v>
      </c>
      <c r="H47" s="3" t="n">
        <v>22</v>
      </c>
      <c r="I47" s="3" t="n">
        <v>22</v>
      </c>
      <c r="J47" s="3" t="n">
        <v>22</v>
      </c>
      <c r="K47" s="3" t="n">
        <v>22</v>
      </c>
      <c r="L47" s="3" t="n">
        <v>22</v>
      </c>
    </row>
    <row r="48" customFormat="false" ht="15" hidden="false" customHeight="false" outlineLevel="0" collapsed="false">
      <c r="A48" s="0" t="s">
        <v>113</v>
      </c>
      <c r="B48" s="3" t="n">
        <v>8.5</v>
      </c>
    </row>
    <row r="49" customFormat="false" ht="15" hidden="false" customHeight="false" outlineLevel="0" collapsed="false">
      <c r="A49" s="0" t="s">
        <v>114</v>
      </c>
      <c r="B49" s="3" t="n">
        <v>2.5</v>
      </c>
    </row>
    <row r="50" customFormat="false" ht="15" hidden="false" customHeight="false" outlineLevel="0" collapsed="false">
      <c r="A50" s="0" t="s">
        <v>115</v>
      </c>
      <c r="B50" s="3" t="n">
        <v>12</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3</v>
      </c>
      <c r="D5" s="4" t="n">
        <f aca="false">Assumptions!D13</f>
        <v>-15</v>
      </c>
      <c r="E5" s="4" t="n">
        <f aca="false">Assumptions!E13</f>
        <v>-2</v>
      </c>
      <c r="F5" s="4" t="n">
        <f aca="false">Assumptions!F13</f>
        <v>1</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8644.211</v>
      </c>
      <c r="C6" s="0" t="n">
        <f aca="false">B6*(1+C5/100)</f>
        <v>8903.53733</v>
      </c>
      <c r="D6" s="0" t="n">
        <f aca="false">C6*(1+D5/100)</f>
        <v>7568.0067305</v>
      </c>
      <c r="E6" s="0" t="n">
        <f aca="false">D6*(1+E5/100)</f>
        <v>7416.64659589</v>
      </c>
      <c r="F6" s="0" t="n">
        <f aca="false">E6*(1+F5/100)</f>
        <v>7490.8130618489</v>
      </c>
      <c r="G6" s="0" t="n">
        <f aca="false">F6*(1+G5/100)</f>
        <v>7640.62932308588</v>
      </c>
      <c r="H6" s="0" t="n">
        <f aca="false">G6*(1+H5/100)</f>
        <v>7793.44190954759</v>
      </c>
      <c r="I6" s="0" t="n">
        <f aca="false">H6*(1+I5/100)</f>
        <v>7949.31074773855</v>
      </c>
      <c r="J6" s="0" t="n">
        <f aca="false">I6*(1+J5/100)</f>
        <v>8108.29696269332</v>
      </c>
      <c r="K6" s="0" t="n">
        <f aca="false">J6*(1+K5/100)</f>
        <v>8270.46290194718</v>
      </c>
      <c r="L6" s="0" t="n">
        <f aca="false">K6*(1+L5/100)</f>
        <v>8435.87215998613</v>
      </c>
    </row>
    <row r="7" customFormat="false" ht="15" hidden="false" customHeight="false" outlineLevel="0" collapsed="false">
      <c r="A7" s="0" t="s">
        <v>107</v>
      </c>
      <c r="C7" s="4" t="n">
        <f aca="false">Assumptions!C14</f>
        <v>62</v>
      </c>
      <c r="D7" s="4" t="n">
        <f aca="false">Assumptions!D14</f>
        <v>54</v>
      </c>
      <c r="E7" s="4" t="n">
        <f aca="false">Assumptions!E14</f>
        <v>53</v>
      </c>
      <c r="F7" s="4" t="n">
        <f aca="false">Assumptions!F14</f>
        <v>53</v>
      </c>
      <c r="G7" s="4" t="n">
        <f aca="false">Assumptions!G14</f>
        <v>54</v>
      </c>
      <c r="H7" s="4" t="n">
        <f aca="false">Assumptions!H14</f>
        <v>55</v>
      </c>
      <c r="I7" s="4" t="n">
        <f aca="false">Assumptions!I14</f>
        <v>55</v>
      </c>
      <c r="J7" s="4" t="n">
        <f aca="false">Assumptions!J14</f>
        <v>55</v>
      </c>
      <c r="K7" s="4" t="n">
        <f aca="false">Assumptions!K14</f>
        <v>55</v>
      </c>
      <c r="L7" s="4" t="n">
        <f aca="false">Assumptions!L14</f>
        <v>55</v>
      </c>
    </row>
    <row r="8" customFormat="false" ht="15" hidden="false" customHeight="false" outlineLevel="0" collapsed="false">
      <c r="A8" s="0" t="s">
        <v>43</v>
      </c>
      <c r="C8" s="0" t="n">
        <f aca="false">C6*C7/100</f>
        <v>5520.1931446</v>
      </c>
      <c r="D8" s="0" t="n">
        <f aca="false">D6*D7/100</f>
        <v>4086.72363447</v>
      </c>
      <c r="E8" s="0" t="n">
        <f aca="false">E6*E7/100</f>
        <v>3930.8226958217</v>
      </c>
      <c r="F8" s="0" t="n">
        <f aca="false">F6*F7/100</f>
        <v>3970.13092277992</v>
      </c>
      <c r="G8" s="0" t="n">
        <f aca="false">G6*G7/100</f>
        <v>4125.93983446637</v>
      </c>
      <c r="H8" s="0" t="n">
        <f aca="false">H6*H7/100</f>
        <v>4286.39305025118</v>
      </c>
      <c r="I8" s="0" t="n">
        <f aca="false">I6*I7/100</f>
        <v>4372.1209112562</v>
      </c>
      <c r="J8" s="0" t="n">
        <f aca="false">J6*J7/100</f>
        <v>4459.56332948133</v>
      </c>
      <c r="K8" s="0" t="n">
        <f aca="false">K6*K7/100</f>
        <v>4548.75459607095</v>
      </c>
      <c r="L8" s="0" t="n">
        <f aca="false">L6*L7/100</f>
        <v>4639.72968799237</v>
      </c>
    </row>
    <row r="9" customFormat="false" ht="15" hidden="false" customHeight="false" outlineLevel="0" collapsed="false">
      <c r="A9" s="0" t="s">
        <v>108</v>
      </c>
      <c r="C9" s="4" t="n">
        <f aca="false">Assumptions!C15</f>
        <v>1.3</v>
      </c>
      <c r="D9" s="4" t="n">
        <f aca="false">Assumptions!D15</f>
        <v>1.4</v>
      </c>
      <c r="E9" s="4" t="n">
        <f aca="false">Assumptions!E15</f>
        <v>1.4</v>
      </c>
      <c r="F9" s="4" t="n">
        <f aca="false">Assumptions!F15</f>
        <v>1.35</v>
      </c>
      <c r="G9" s="4" t="n">
        <f aca="false">Assumptions!G15</f>
        <v>1.3</v>
      </c>
      <c r="H9" s="4" t="n">
        <f aca="false">Assumptions!H15</f>
        <v>1.3</v>
      </c>
      <c r="I9" s="4" t="n">
        <f aca="false">Assumptions!I15</f>
        <v>1.25</v>
      </c>
      <c r="J9" s="4" t="n">
        <f aca="false">Assumptions!J15</f>
        <v>1.25</v>
      </c>
      <c r="K9" s="4" t="n">
        <f aca="false">Assumptions!K15</f>
        <v>1.2</v>
      </c>
      <c r="L9" s="4" t="n">
        <f aca="false">Assumptions!L15</f>
        <v>1.2</v>
      </c>
    </row>
    <row r="10" customFormat="false" ht="15" hidden="false" customHeight="false" outlineLevel="0" collapsed="false">
      <c r="A10" s="0" t="s">
        <v>123</v>
      </c>
      <c r="C10" s="0" t="n">
        <f aca="false">-C6*C9/100</f>
        <v>-115.74598529</v>
      </c>
      <c r="D10" s="0" t="n">
        <f aca="false">-D6*D9/100</f>
        <v>-105.952094227</v>
      </c>
      <c r="E10" s="0" t="n">
        <f aca="false">-E6*E9/100</f>
        <v>-103.83305234246</v>
      </c>
      <c r="F10" s="0" t="n">
        <f aca="false">-F6*F9/100</f>
        <v>-101.12597633496</v>
      </c>
      <c r="G10" s="0" t="n">
        <f aca="false">-G6*G9/100</f>
        <v>-99.3281812001164</v>
      </c>
      <c r="H10" s="0" t="n">
        <f aca="false">-H6*H9/100</f>
        <v>-101.314744824119</v>
      </c>
      <c r="I10" s="0" t="n">
        <f aca="false">-I6*I9/100</f>
        <v>-99.3663843467318</v>
      </c>
      <c r="J10" s="0" t="n">
        <f aca="false">-J6*J9/100</f>
        <v>-101.353712033666</v>
      </c>
      <c r="K10" s="0" t="n">
        <f aca="false">-K6*K9/100</f>
        <v>-99.2455548233662</v>
      </c>
      <c r="L10" s="0" t="n">
        <f aca="false">-L6*L9/100</f>
        <v>-101.230465919834</v>
      </c>
    </row>
    <row r="11" customFormat="false" ht="15" hidden="false" customHeight="false" outlineLevel="0" collapsed="false">
      <c r="A11" s="0" t="s">
        <v>124</v>
      </c>
      <c r="C11" s="0" t="n">
        <f aca="false">C8+C10+C24</f>
        <v>5404.44715931</v>
      </c>
      <c r="D11" s="0" t="n">
        <f aca="false">D8+D10+D24</f>
        <v>3980.771540243</v>
      </c>
      <c r="E11" s="0" t="n">
        <f aca="false">E8+E10+E24</f>
        <v>3826.98964347924</v>
      </c>
      <c r="F11" s="0" t="n">
        <f aca="false">F8+F10+F24</f>
        <v>3869.00494644496</v>
      </c>
      <c r="G11" s="0" t="n">
        <f aca="false">G8+G10+G24</f>
        <v>4026.61165326626</v>
      </c>
      <c r="H11" s="0" t="n">
        <f aca="false">H8+H10+H24</f>
        <v>4185.07830542706</v>
      </c>
      <c r="I11" s="0" t="n">
        <f aca="false">I8+I10+I24</f>
        <v>4272.75452690947</v>
      </c>
      <c r="J11" s="0" t="n">
        <f aca="false">J8+J10+J24</f>
        <v>4358.20961744766</v>
      </c>
      <c r="K11" s="0" t="n">
        <f aca="false">K8+K10+K24</f>
        <v>4449.50904124758</v>
      </c>
      <c r="L11" s="0" t="n">
        <f aca="false">L8+L10+L24</f>
        <v>4538.49922207254</v>
      </c>
    </row>
    <row r="12" customFormat="false" ht="15" hidden="false" customHeight="false" outlineLevel="0" collapsed="false">
      <c r="A12" s="0" t="s">
        <v>125</v>
      </c>
      <c r="C12" s="4" t="n">
        <f aca="false">-C6*Assumptions!C17/100</f>
        <v>-2582.0258257</v>
      </c>
      <c r="D12" s="4" t="n">
        <f aca="false">-D6*Assumptions!D17/100</f>
        <v>-2346.082086455</v>
      </c>
      <c r="E12" s="4" t="n">
        <f aca="false">-E6*Assumptions!E17/100</f>
        <v>-2299.1604447259</v>
      </c>
      <c r="F12" s="4" t="n">
        <f aca="false">-F6*Assumptions!F17/100</f>
        <v>-2284.69798386391</v>
      </c>
      <c r="G12" s="4" t="n">
        <f aca="false">-G6*Assumptions!G17/100</f>
        <v>-2292.18879692576</v>
      </c>
      <c r="H12" s="4" t="n">
        <f aca="false">-H6*Assumptions!H17/100</f>
        <v>-2338.03257286428</v>
      </c>
      <c r="I12" s="4" t="n">
        <f aca="false">-I6*Assumptions!I17/100</f>
        <v>-2384.79322432156</v>
      </c>
      <c r="J12" s="4" t="n">
        <f aca="false">-J6*Assumptions!J17/100</f>
        <v>-2432.489088808</v>
      </c>
      <c r="K12" s="4" t="n">
        <f aca="false">-K6*Assumptions!K17/100</f>
        <v>-2481.13887058416</v>
      </c>
      <c r="L12" s="4" t="n">
        <f aca="false">-L6*Assumptions!L17/100</f>
        <v>-2530.76164799584</v>
      </c>
    </row>
    <row r="13" customFormat="false" ht="15" hidden="false" customHeight="false" outlineLevel="0" collapsed="false">
      <c r="A13" s="0" t="s">
        <v>126</v>
      </c>
      <c r="C13" s="0" t="n">
        <f aca="false">C11+C12</f>
        <v>2822.42133361</v>
      </c>
      <c r="D13" s="0" t="n">
        <f aca="false">D11+D12</f>
        <v>1634.689453788</v>
      </c>
      <c r="E13" s="0" t="n">
        <f aca="false">E11+E12</f>
        <v>1527.82919875334</v>
      </c>
      <c r="F13" s="0" t="n">
        <f aca="false">F11+F12</f>
        <v>1584.30696258104</v>
      </c>
      <c r="G13" s="0" t="n">
        <f aca="false">G11+G12</f>
        <v>1734.42285634049</v>
      </c>
      <c r="H13" s="0" t="n">
        <f aca="false">H11+H12</f>
        <v>1847.04573256278</v>
      </c>
      <c r="I13" s="0" t="n">
        <f aca="false">I11+I12</f>
        <v>1887.96130258791</v>
      </c>
      <c r="J13" s="0" t="n">
        <f aca="false">J11+J12</f>
        <v>1925.72052863966</v>
      </c>
      <c r="K13" s="0" t="n">
        <f aca="false">K11+K12</f>
        <v>1968.37017066343</v>
      </c>
      <c r="L13" s="0" t="n">
        <f aca="false">L11+L12</f>
        <v>2007.7375740767</v>
      </c>
    </row>
    <row r="14" customFormat="false" ht="15" hidden="false" customHeight="false" outlineLevel="0" collapsed="false">
      <c r="A14" s="0" t="s">
        <v>112</v>
      </c>
      <c r="C14" s="4" t="n">
        <f aca="false">Assumptions!C19</f>
        <v>2</v>
      </c>
      <c r="D14" s="4" t="n">
        <f aca="false">Assumptions!D19</f>
        <v>4</v>
      </c>
      <c r="E14" s="4" t="n">
        <f aca="false">Assumptions!E19</f>
        <v>8</v>
      </c>
      <c r="F14" s="4" t="n">
        <f aca="false">Assumptions!F19</f>
        <v>12</v>
      </c>
      <c r="G14" s="4" t="n">
        <f aca="false">Assumptions!G19</f>
        <v>16</v>
      </c>
      <c r="H14" s="4" t="n">
        <f aca="false">Assumptions!H19</f>
        <v>20</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127</v>
      </c>
      <c r="C15" s="0" t="n">
        <f aca="false">C13-MAX(0,C13)*C14/100</f>
        <v>2765.9729069378</v>
      </c>
      <c r="D15" s="0" t="n">
        <f aca="false">D13-MAX(0,D13)*D14/100</f>
        <v>1569.30187563648</v>
      </c>
      <c r="E15" s="0" t="n">
        <f aca="false">E13-MAX(0,E13)*E14/100</f>
        <v>1405.60286285307</v>
      </c>
      <c r="F15" s="0" t="n">
        <f aca="false">F13-MAX(0,F13)*F14/100</f>
        <v>1394.19012707132</v>
      </c>
      <c r="G15" s="0" t="n">
        <f aca="false">G13-MAX(0,G13)*G14/100</f>
        <v>1456.91519932601</v>
      </c>
      <c r="H15" s="0" t="n">
        <f aca="false">H13-MAX(0,H13)*H14/100</f>
        <v>1477.63658605022</v>
      </c>
      <c r="I15" s="0" t="n">
        <f aca="false">I13-MAX(0,I13)*I14/100</f>
        <v>1472.60981601857</v>
      </c>
      <c r="J15" s="0" t="n">
        <f aca="false">J13-MAX(0,J13)*J14/100</f>
        <v>1502.06201233894</v>
      </c>
      <c r="K15" s="0" t="n">
        <f aca="false">K13-MAX(0,K13)*K14/100</f>
        <v>1535.32873311747</v>
      </c>
      <c r="L15" s="0" t="n">
        <f aca="false">L13-MAX(0,L13)*L14/100</f>
        <v>1566.03530777982</v>
      </c>
    </row>
    <row r="16" customFormat="false" ht="15" hidden="false" customHeight="false" outlineLevel="0" collapsed="false">
      <c r="A16" s="0" t="s">
        <v>128</v>
      </c>
      <c r="C16" s="0" t="n">
        <f aca="false">-C12</f>
        <v>2582.0258257</v>
      </c>
      <c r="D16" s="0" t="n">
        <f aca="false">-D12</f>
        <v>2346.082086455</v>
      </c>
      <c r="E16" s="0" t="n">
        <f aca="false">-E12</f>
        <v>2299.1604447259</v>
      </c>
      <c r="F16" s="0" t="n">
        <f aca="false">-F12</f>
        <v>2284.69798386391</v>
      </c>
      <c r="G16" s="0" t="n">
        <f aca="false">-G12</f>
        <v>2292.18879692576</v>
      </c>
      <c r="H16" s="0" t="n">
        <f aca="false">-H12</f>
        <v>2338.03257286428</v>
      </c>
      <c r="I16" s="0" t="n">
        <f aca="false">-I12</f>
        <v>2384.79322432156</v>
      </c>
      <c r="J16" s="0" t="n">
        <f aca="false">-J12</f>
        <v>2432.489088808</v>
      </c>
      <c r="K16" s="0" t="n">
        <f aca="false">-K12</f>
        <v>2481.13887058416</v>
      </c>
      <c r="L16" s="0" t="n">
        <f aca="false">-L12</f>
        <v>2530.76164799584</v>
      </c>
    </row>
    <row r="17" customFormat="false" ht="15" hidden="false" customHeight="false" outlineLevel="0" collapsed="false">
      <c r="A17" s="0" t="s">
        <v>129</v>
      </c>
      <c r="C17" s="4" t="n">
        <f aca="false">-C6*Assumptions!C18/100</f>
        <v>-2760.0965723</v>
      </c>
      <c r="D17" s="4" t="n">
        <f aca="false">-D6*Assumptions!D18/100</f>
        <v>-2346.082086455</v>
      </c>
      <c r="E17" s="4" t="n">
        <f aca="false">-E6*Assumptions!E18/100</f>
        <v>-2224.993978767</v>
      </c>
      <c r="F17" s="4" t="n">
        <f aca="false">-F6*Assumptions!F18/100</f>
        <v>-2172.33578793618</v>
      </c>
      <c r="G17" s="4" t="n">
        <f aca="false">-G6*Assumptions!G18/100</f>
        <v>-2215.7825036949</v>
      </c>
      <c r="H17" s="4" t="n">
        <f aca="false">-H6*Assumptions!H18/100</f>
        <v>-2221.13094422106</v>
      </c>
      <c r="I17" s="4" t="n">
        <f aca="false">-I6*Assumptions!I18/100</f>
        <v>-2265.55356310549</v>
      </c>
      <c r="J17" s="4" t="n">
        <f aca="false">-J6*Assumptions!J18/100</f>
        <v>-2310.8646343676</v>
      </c>
      <c r="K17" s="4" t="n">
        <f aca="false">-K6*Assumptions!K18/100</f>
        <v>-2357.08192705495</v>
      </c>
      <c r="L17" s="4" t="n">
        <f aca="false">-L6*Assumptions!L18/100</f>
        <v>-2404.22356559605</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2587.9021603378</v>
      </c>
      <c r="D19" s="0" t="n">
        <f aca="false">D15+D16+D17+D18</f>
        <v>1569.30187563648</v>
      </c>
      <c r="E19" s="0" t="n">
        <f aca="false">E15+E16+E17+E18</f>
        <v>1479.76932881197</v>
      </c>
      <c r="F19" s="0" t="n">
        <f aca="false">F15+F16+F17+F18</f>
        <v>1506.55232299905</v>
      </c>
      <c r="G19" s="0" t="n">
        <f aca="false">G15+G16+G17+G18</f>
        <v>1533.32149255687</v>
      </c>
      <c r="H19" s="0" t="n">
        <f aca="false">H15+H16+H17+H18</f>
        <v>1594.53821469344</v>
      </c>
      <c r="I19" s="0" t="n">
        <f aca="false">I15+I16+I17+I18</f>
        <v>1591.84947723464</v>
      </c>
      <c r="J19" s="0" t="n">
        <f aca="false">J15+J16+J17+J18</f>
        <v>1623.68646677934</v>
      </c>
      <c r="K19" s="0" t="n">
        <f aca="false">K15+K16+K17+K18</f>
        <v>1659.38567664668</v>
      </c>
      <c r="L19" s="0" t="n">
        <f aca="false">L15+L16+L17+L18</f>
        <v>1692.57339017962</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2385.16328141733</v>
      </c>
      <c r="D21" s="0" t="n">
        <f aca="false">D19*D20</f>
        <v>1333.05177484039</v>
      </c>
      <c r="E21" s="0" t="n">
        <f aca="false">E19*E20</f>
        <v>1158.5233913363</v>
      </c>
      <c r="F21" s="0" t="n">
        <f aca="false">F19*F20</f>
        <v>1087.08941418026</v>
      </c>
      <c r="G21" s="0" t="n">
        <f aca="false">G19*G20</f>
        <v>1019.72844105474</v>
      </c>
      <c r="H21" s="0" t="n">
        <f aca="false">H19*H20</f>
        <v>977.364370451968</v>
      </c>
      <c r="I21" s="0" t="n">
        <f aca="false">I19*I20</f>
        <v>899.277716153658</v>
      </c>
      <c r="J21" s="0" t="n">
        <f aca="false">J19*J20</f>
        <v>845.403935923254</v>
      </c>
      <c r="K21" s="0" t="n">
        <f aca="false">K19*K20</f>
        <v>796.305459731624</v>
      </c>
      <c r="L21" s="0" t="n">
        <f aca="false">L19*L20</f>
        <v>748.600524355997</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8.5</v>
      </c>
    </row>
    <row r="28" customFormat="false" ht="15" hidden="false" customHeight="false" outlineLevel="0" collapsed="false">
      <c r="A28" s="0" t="s">
        <v>114</v>
      </c>
      <c r="B28" s="4" t="n">
        <f aca="false">Assumptions!$B$21</f>
        <v>1.5</v>
      </c>
    </row>
    <row r="29" customFormat="false" ht="15" hidden="false" customHeight="false" outlineLevel="0" collapsed="false">
      <c r="A29" s="0" t="s">
        <v>115</v>
      </c>
      <c r="B29" s="4" t="n">
        <f aca="false">Assumptions!$B$22</f>
        <v>12</v>
      </c>
    </row>
    <row r="30" customFormat="false" ht="15" hidden="false" customHeight="false" outlineLevel="0" collapsed="false">
      <c r="A30" s="0" t="s">
        <v>136</v>
      </c>
      <c r="B30" s="0" t="n">
        <f aca="false">SUM(C21:L21)</f>
        <v>11250.5083094455</v>
      </c>
    </row>
    <row r="31" customFormat="false" ht="15" hidden="false" customHeight="false" outlineLevel="0" collapsed="false">
      <c r="A31" s="0" t="s">
        <v>137</v>
      </c>
      <c r="B31" s="0" t="n">
        <f aca="false">L19</f>
        <v>1692.57339017962</v>
      </c>
    </row>
    <row r="32" customFormat="false" ht="15" hidden="false" customHeight="false" outlineLevel="0" collapsed="false">
      <c r="A32" s="0" t="s">
        <v>138</v>
      </c>
      <c r="B32" s="0" t="n">
        <f aca="false">IF(B27&gt;B28,B31*(1+B28/100)/((B27-B28)/100),B31*B29)</f>
        <v>24542.3141576044</v>
      </c>
    </row>
    <row r="33" customFormat="false" ht="15" hidden="false" customHeight="false" outlineLevel="0" collapsed="false">
      <c r="A33" s="0" t="s">
        <v>139</v>
      </c>
      <c r="B33" s="0" t="n">
        <f aca="false">B31*B29</f>
        <v>20310.8806821554</v>
      </c>
    </row>
    <row r="34" customFormat="false" ht="15" hidden="false" customHeight="false" outlineLevel="0" collapsed="false">
      <c r="A34" s="0" t="s">
        <v>140</v>
      </c>
      <c r="B34" s="0" t="n">
        <f aca="false">MAX(0,MIN(B32,B33))</f>
        <v>20310.8806821554</v>
      </c>
    </row>
    <row r="35" customFormat="false" ht="15" hidden="false" customHeight="false" outlineLevel="0" collapsed="false">
      <c r="A35" s="0" t="s">
        <v>141</v>
      </c>
      <c r="B35" s="0" t="n">
        <f aca="false">B34/(1+B27/100)^L4</f>
        <v>8983.20629227196</v>
      </c>
    </row>
    <row r="36" customFormat="false" ht="15" hidden="false" customHeight="false" outlineLevel="0" collapsed="false">
      <c r="A36" s="0" t="s">
        <v>142</v>
      </c>
      <c r="B36" s="0" t="n">
        <f aca="false">B30+B35</f>
        <v>20233.7146017175</v>
      </c>
    </row>
    <row r="37" customFormat="false" ht="15" hidden="false" customHeight="false" outlineLevel="0" collapsed="false">
      <c r="A37" s="0" t="s">
        <v>143</v>
      </c>
      <c r="B37" s="0" t="n">
        <f aca="false">B36+Assumptions!$B$5-Assumptions!$B$4</f>
        <v>14690.8636017175</v>
      </c>
    </row>
    <row r="38" customFormat="false" ht="15" hidden="false" customHeight="false" outlineLevel="0" collapsed="false">
      <c r="A38" s="0" t="s">
        <v>144</v>
      </c>
      <c r="B38" s="0" t="n">
        <f aca="false">B37/Assumptions!$B$3*Assumptions!$B$10</f>
        <v>23.3540846606822</v>
      </c>
    </row>
    <row r="39" customFormat="false" ht="15" hidden="false" customHeight="false" outlineLevel="0" collapsed="false">
      <c r="A39" s="0" t="s">
        <v>145</v>
      </c>
      <c r="B39" s="4" t="n">
        <f aca="false">B38/Assumptions!$B$2-1</f>
        <v>-0.540364403450458</v>
      </c>
    </row>
    <row r="41" customFormat="false" ht="15" hidden="false" customHeight="false" outlineLevel="0" collapsed="false">
      <c r="A41" s="0" t="s">
        <v>146</v>
      </c>
      <c r="B41" s="0" t="n">
        <f aca="false">SUMPRODUCT(-C10:L10/(1+$B$27/100)^C4:L4)</f>
        <v>680.404816783878</v>
      </c>
    </row>
    <row r="42" customFormat="false" ht="15" hidden="false" customHeight="false" outlineLevel="0" collapsed="false">
      <c r="A42" s="0" t="s">
        <v>147</v>
      </c>
      <c r="B42" s="0" t="n">
        <f aca="false">IF(B27&gt;B28,-L10*(1+B28/100)/((B27-B28)/100),-L10*20)/(1+B27/100)^L4</f>
        <v>649.205000189112</v>
      </c>
    </row>
    <row r="43" customFormat="false" ht="15" hidden="false" customHeight="false" outlineLevel="0" collapsed="false">
      <c r="A43" s="0" t="s">
        <v>148</v>
      </c>
      <c r="B43" s="0" t="n">
        <f aca="false">(B37+B41+B42)/Assumptions!$B$3*Assumptions!$B$10</f>
        <v>25.4677670876044</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12725.6443780171</v>
      </c>
    </row>
    <row r="47" customFormat="false" ht="15" hidden="false" customHeight="false" outlineLevel="0" collapsed="false">
      <c r="A47" s="0" t="s">
        <v>150</v>
      </c>
      <c r="B47" s="0" t="n">
        <f aca="false">(SUMPRODUCT(C19:L19/(1+B45/100)^C4:L4)+B46/(1+B45/100)^L4+Assumptions!$B$5-Assumptions!$B$4)/Assumptions!$B$3*Assumptions!$B$10</f>
        <v>10.086725556286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7</v>
      </c>
      <c r="D5" s="4" t="n">
        <f aca="false">Assumptions!D27</f>
        <v>-4</v>
      </c>
      <c r="E5" s="4" t="n">
        <f aca="false">Assumptions!E27</f>
        <v>3</v>
      </c>
      <c r="F5" s="4" t="n">
        <f aca="false">Assumptions!F27</f>
        <v>3</v>
      </c>
      <c r="G5" s="4" t="n">
        <f aca="false">Assumptions!G27</f>
        <v>2.5</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8644.211</v>
      </c>
      <c r="C6" s="0" t="n">
        <f aca="false">B6*(1+C5/100)</f>
        <v>9249.30577</v>
      </c>
      <c r="D6" s="0" t="n">
        <f aca="false">C6*(1+D5/100)</f>
        <v>8879.3335392</v>
      </c>
      <c r="E6" s="0" t="n">
        <f aca="false">D6*(1+E5/100)</f>
        <v>9145.713545376</v>
      </c>
      <c r="F6" s="0" t="n">
        <f aca="false">E6*(1+F5/100)</f>
        <v>9420.08495173728</v>
      </c>
      <c r="G6" s="0" t="n">
        <f aca="false">F6*(1+G5/100)</f>
        <v>9655.58707553071</v>
      </c>
      <c r="H6" s="0" t="n">
        <f aca="false">G6*(1+H5/100)</f>
        <v>9896.97675241898</v>
      </c>
      <c r="I6" s="0" t="n">
        <f aca="false">H6*(1+I5/100)</f>
        <v>10144.4011712295</v>
      </c>
      <c r="J6" s="0" t="n">
        <f aca="false">I6*(1+J5/100)</f>
        <v>10347.289194654</v>
      </c>
      <c r="K6" s="0" t="n">
        <f aca="false">J6*(1+K5/100)</f>
        <v>10554.2349785471</v>
      </c>
      <c r="L6" s="0" t="n">
        <f aca="false">K6*(1+L5/100)</f>
        <v>10765.3196781181</v>
      </c>
    </row>
    <row r="7" customFormat="false" ht="15" hidden="false" customHeight="false" outlineLevel="0" collapsed="false">
      <c r="A7" s="0" t="s">
        <v>107</v>
      </c>
      <c r="C7" s="4" t="n">
        <f aca="false">Assumptions!C28</f>
        <v>64</v>
      </c>
      <c r="D7" s="4" t="n">
        <f aca="false">Assumptions!D28</f>
        <v>61</v>
      </c>
      <c r="E7" s="4" t="n">
        <f aca="false">Assumptions!E28</f>
        <v>61</v>
      </c>
      <c r="F7" s="4" t="n">
        <f aca="false">Assumptions!F28</f>
        <v>61.5</v>
      </c>
      <c r="G7" s="4" t="n">
        <f aca="false">Assumptions!G28</f>
        <v>61.5</v>
      </c>
      <c r="H7" s="4" t="n">
        <f aca="false">Assumptions!H28</f>
        <v>62</v>
      </c>
      <c r="I7" s="4" t="n">
        <f aca="false">Assumptions!I28</f>
        <v>62</v>
      </c>
      <c r="J7" s="4" t="n">
        <f aca="false">Assumptions!J28</f>
        <v>62</v>
      </c>
      <c r="K7" s="4" t="n">
        <f aca="false">Assumptions!K28</f>
        <v>62</v>
      </c>
      <c r="L7" s="4" t="n">
        <f aca="false">Assumptions!L28</f>
        <v>62</v>
      </c>
    </row>
    <row r="8" customFormat="false" ht="15" hidden="false" customHeight="false" outlineLevel="0" collapsed="false">
      <c r="A8" s="0" t="s">
        <v>43</v>
      </c>
      <c r="C8" s="0" t="n">
        <f aca="false">C6*C7/100</f>
        <v>5919.5556928</v>
      </c>
      <c r="D8" s="0" t="n">
        <f aca="false">D6*D7/100</f>
        <v>5416.393458912</v>
      </c>
      <c r="E8" s="0" t="n">
        <f aca="false">E6*E7/100</f>
        <v>5578.88526267936</v>
      </c>
      <c r="F8" s="0" t="n">
        <f aca="false">F6*F7/100</f>
        <v>5793.35224531843</v>
      </c>
      <c r="G8" s="0" t="n">
        <f aca="false">G6*G7/100</f>
        <v>5938.18605145139</v>
      </c>
      <c r="H8" s="0" t="n">
        <f aca="false">H6*H7/100</f>
        <v>6136.12558649977</v>
      </c>
      <c r="I8" s="0" t="n">
        <f aca="false">I6*I7/100</f>
        <v>6289.52872616226</v>
      </c>
      <c r="J8" s="0" t="n">
        <f aca="false">J6*J7/100</f>
        <v>6415.31930068551</v>
      </c>
      <c r="K8" s="0" t="n">
        <f aca="false">K6*K7/100</f>
        <v>6543.62568669922</v>
      </c>
      <c r="L8" s="0" t="n">
        <f aca="false">L6*L7/100</f>
        <v>6674.4982004332</v>
      </c>
    </row>
    <row r="9" customFormat="false" ht="15" hidden="false" customHeight="false" outlineLevel="0" collapsed="false">
      <c r="A9" s="0" t="s">
        <v>108</v>
      </c>
      <c r="C9" s="4" t="n">
        <f aca="false">Assumptions!C29</f>
        <v>1.3</v>
      </c>
      <c r="D9" s="4" t="n">
        <f aca="false">Assumptions!D29</f>
        <v>1.3</v>
      </c>
      <c r="E9" s="4" t="n">
        <f aca="false">Assumptions!E29</f>
        <v>1.25</v>
      </c>
      <c r="F9" s="4" t="n">
        <f aca="false">Assumptions!F29</f>
        <v>1.25</v>
      </c>
      <c r="G9" s="4" t="n">
        <f aca="false">Assumptions!G29</f>
        <v>1.2</v>
      </c>
      <c r="H9" s="4" t="n">
        <f aca="false">Assumptions!H29</f>
        <v>1.2</v>
      </c>
      <c r="I9" s="4" t="n">
        <f aca="false">Assumptions!I29</f>
        <v>1.15</v>
      </c>
      <c r="J9" s="4" t="n">
        <f aca="false">Assumptions!J29</f>
        <v>1.15</v>
      </c>
      <c r="K9" s="4" t="n">
        <f aca="false">Assumptions!K29</f>
        <v>1.1</v>
      </c>
      <c r="L9" s="4" t="n">
        <f aca="false">Assumptions!L29</f>
        <v>1.1</v>
      </c>
    </row>
    <row r="10" customFormat="false" ht="15" hidden="false" customHeight="false" outlineLevel="0" collapsed="false">
      <c r="A10" s="0" t="s">
        <v>123</v>
      </c>
      <c r="C10" s="0" t="n">
        <f aca="false">-C6*C9/100</f>
        <v>-120.24097501</v>
      </c>
      <c r="D10" s="0" t="n">
        <f aca="false">-D6*D9/100</f>
        <v>-115.4313360096</v>
      </c>
      <c r="E10" s="0" t="n">
        <f aca="false">-E6*E9/100</f>
        <v>-114.3214193172</v>
      </c>
      <c r="F10" s="0" t="n">
        <f aca="false">-F6*F9/100</f>
        <v>-117.751061896716</v>
      </c>
      <c r="G10" s="0" t="n">
        <f aca="false">-G6*G9/100</f>
        <v>-115.867044906369</v>
      </c>
      <c r="H10" s="0" t="n">
        <f aca="false">-H6*H9/100</f>
        <v>-118.763721029028</v>
      </c>
      <c r="I10" s="0" t="n">
        <f aca="false">-I6*I9/100</f>
        <v>-116.660613469139</v>
      </c>
      <c r="J10" s="0" t="n">
        <f aca="false">-J6*J9/100</f>
        <v>-118.993825738521</v>
      </c>
      <c r="K10" s="0" t="n">
        <f aca="false">-K6*K9/100</f>
        <v>-116.096584764018</v>
      </c>
      <c r="L10" s="0" t="n">
        <f aca="false">-L6*L9/100</f>
        <v>-118.418516459299</v>
      </c>
    </row>
    <row r="11" customFormat="false" ht="15" hidden="false" customHeight="false" outlineLevel="0" collapsed="false">
      <c r="A11" s="0" t="s">
        <v>124</v>
      </c>
      <c r="C11" s="0" t="n">
        <f aca="false">C8+C10+C24</f>
        <v>5799.31471779</v>
      </c>
      <c r="D11" s="0" t="n">
        <f aca="false">D8+D10+D24</f>
        <v>5300.9621229024</v>
      </c>
      <c r="E11" s="0" t="n">
        <f aca="false">E8+E10+E24</f>
        <v>5464.56384336216</v>
      </c>
      <c r="F11" s="0" t="n">
        <f aca="false">F8+F10+F24</f>
        <v>5675.60118342171</v>
      </c>
      <c r="G11" s="0" t="n">
        <f aca="false">G8+G10+G24</f>
        <v>5822.31900654502</v>
      </c>
      <c r="H11" s="0" t="n">
        <f aca="false">H8+H10+H24</f>
        <v>6017.36186547074</v>
      </c>
      <c r="I11" s="0" t="n">
        <f aca="false">I8+I10+I24</f>
        <v>6172.86811269312</v>
      </c>
      <c r="J11" s="0" t="n">
        <f aca="false">J8+J10+J24</f>
        <v>6296.32547494698</v>
      </c>
      <c r="K11" s="0" t="n">
        <f aca="false">K8+K10+K24</f>
        <v>6427.5291019352</v>
      </c>
      <c r="L11" s="0" t="n">
        <f aca="false">L8+L10+L24</f>
        <v>6556.0796839739</v>
      </c>
    </row>
    <row r="12" customFormat="false" ht="15" hidden="false" customHeight="false" outlineLevel="0" collapsed="false">
      <c r="A12" s="0" t="s">
        <v>125</v>
      </c>
      <c r="C12" s="4" t="n">
        <f aca="false">-C6*Assumptions!C31/100</f>
        <v>-2636.05214445</v>
      </c>
      <c r="D12" s="4" t="n">
        <f aca="false">-D6*Assumptions!D31/100</f>
        <v>-2530.610058672</v>
      </c>
      <c r="E12" s="4" t="n">
        <f aca="false">-E6*Assumptions!E31/100</f>
        <v>-2560.79979270528</v>
      </c>
      <c r="F12" s="4" t="n">
        <f aca="false">-F6*Assumptions!F31/100</f>
        <v>-2637.62378648644</v>
      </c>
      <c r="G12" s="4" t="n">
        <f aca="false">-G6*Assumptions!G31/100</f>
        <v>-2703.5643811486</v>
      </c>
      <c r="H12" s="4" t="n">
        <f aca="false">-H6*Assumptions!H31/100</f>
        <v>-2771.15349067731</v>
      </c>
      <c r="I12" s="4" t="n">
        <f aca="false">-I6*Assumptions!I31/100</f>
        <v>-2840.43232794425</v>
      </c>
      <c r="J12" s="4" t="n">
        <f aca="false">-J6*Assumptions!J31/100</f>
        <v>-2897.24097450313</v>
      </c>
      <c r="K12" s="4" t="n">
        <f aca="false">-K6*Assumptions!K31/100</f>
        <v>-2955.18579399319</v>
      </c>
      <c r="L12" s="4" t="n">
        <f aca="false">-L6*Assumptions!L31/100</f>
        <v>-3014.28950987306</v>
      </c>
    </row>
    <row r="13" customFormat="false" ht="15" hidden="false" customHeight="false" outlineLevel="0" collapsed="false">
      <c r="A13" s="0" t="s">
        <v>126</v>
      </c>
      <c r="C13" s="0" t="n">
        <f aca="false">C11+C12</f>
        <v>3163.26257334</v>
      </c>
      <c r="D13" s="0" t="n">
        <f aca="false">D11+D12</f>
        <v>2770.3520642304</v>
      </c>
      <c r="E13" s="0" t="n">
        <f aca="false">E11+E12</f>
        <v>2903.76405065688</v>
      </c>
      <c r="F13" s="0" t="n">
        <f aca="false">F11+F12</f>
        <v>3037.97739693527</v>
      </c>
      <c r="G13" s="0" t="n">
        <f aca="false">G11+G12</f>
        <v>3118.75462539642</v>
      </c>
      <c r="H13" s="0" t="n">
        <f aca="false">H11+H12</f>
        <v>3246.20837479343</v>
      </c>
      <c r="I13" s="0" t="n">
        <f aca="false">I11+I12</f>
        <v>3332.43578474888</v>
      </c>
      <c r="J13" s="0" t="n">
        <f aca="false">J11+J12</f>
        <v>3399.08450044385</v>
      </c>
      <c r="K13" s="0" t="n">
        <f aca="false">K11+K12</f>
        <v>3472.343307942</v>
      </c>
      <c r="L13" s="0" t="n">
        <f aca="false">L11+L12</f>
        <v>3541.79017410084</v>
      </c>
    </row>
    <row r="14" customFormat="false" ht="15" hidden="false" customHeight="false" outlineLevel="0" collapsed="false">
      <c r="A14" s="0" t="s">
        <v>112</v>
      </c>
      <c r="C14" s="4" t="n">
        <f aca="false">Assumptions!C33</f>
        <v>3</v>
      </c>
      <c r="D14" s="4" t="n">
        <f aca="false">Assumptions!D33</f>
        <v>8</v>
      </c>
      <c r="E14" s="4" t="n">
        <f aca="false">Assumptions!E33</f>
        <v>13</v>
      </c>
      <c r="F14" s="4" t="n">
        <f aca="false">Assumptions!F33</f>
        <v>18</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127</v>
      </c>
      <c r="C15" s="0" t="n">
        <f aca="false">C13-MAX(0,C13)*C14/100</f>
        <v>3068.3646961398</v>
      </c>
      <c r="D15" s="0" t="n">
        <f aca="false">D13-MAX(0,D13)*D14/100</f>
        <v>2548.72389909197</v>
      </c>
      <c r="E15" s="0" t="n">
        <f aca="false">E13-MAX(0,E13)*E14/100</f>
        <v>2526.27472407149</v>
      </c>
      <c r="F15" s="0" t="n">
        <f aca="false">F13-MAX(0,F13)*F14/100</f>
        <v>2491.14146548692</v>
      </c>
      <c r="G15" s="0" t="n">
        <f aca="false">G13-MAX(0,G13)*G14/100</f>
        <v>2432.62860780921</v>
      </c>
      <c r="H15" s="0" t="n">
        <f aca="false">H13-MAX(0,H13)*H14/100</f>
        <v>2532.04253233887</v>
      </c>
      <c r="I15" s="0" t="n">
        <f aca="false">I13-MAX(0,I13)*I14/100</f>
        <v>2599.29991210412</v>
      </c>
      <c r="J15" s="0" t="n">
        <f aca="false">J13-MAX(0,J13)*J14/100</f>
        <v>2651.28591034621</v>
      </c>
      <c r="K15" s="0" t="n">
        <f aca="false">K13-MAX(0,K13)*K14/100</f>
        <v>2708.42778019476</v>
      </c>
      <c r="L15" s="0" t="n">
        <f aca="false">L13-MAX(0,L13)*L14/100</f>
        <v>2762.59633579866</v>
      </c>
    </row>
    <row r="16" customFormat="false" ht="15" hidden="false" customHeight="false" outlineLevel="0" collapsed="false">
      <c r="A16" s="0" t="s">
        <v>128</v>
      </c>
      <c r="C16" s="0" t="n">
        <f aca="false">-C12</f>
        <v>2636.05214445</v>
      </c>
      <c r="D16" s="0" t="n">
        <f aca="false">-D12</f>
        <v>2530.610058672</v>
      </c>
      <c r="E16" s="0" t="n">
        <f aca="false">-E12</f>
        <v>2560.79979270528</v>
      </c>
      <c r="F16" s="0" t="n">
        <f aca="false">-F12</f>
        <v>2637.62378648644</v>
      </c>
      <c r="G16" s="0" t="n">
        <f aca="false">-G12</f>
        <v>2703.5643811486</v>
      </c>
      <c r="H16" s="0" t="n">
        <f aca="false">-H12</f>
        <v>2771.15349067731</v>
      </c>
      <c r="I16" s="0" t="n">
        <f aca="false">-I12</f>
        <v>2840.43232794425</v>
      </c>
      <c r="J16" s="0" t="n">
        <f aca="false">-J12</f>
        <v>2897.24097450313</v>
      </c>
      <c r="K16" s="0" t="n">
        <f aca="false">-K12</f>
        <v>2955.18579399319</v>
      </c>
      <c r="L16" s="0" t="n">
        <f aca="false">-L12</f>
        <v>3014.28950987306</v>
      </c>
    </row>
    <row r="17" customFormat="false" ht="15" hidden="false" customHeight="false" outlineLevel="0" collapsed="false">
      <c r="A17" s="0" t="s">
        <v>129</v>
      </c>
      <c r="C17" s="4" t="n">
        <f aca="false">-C6*Assumptions!C32/100</f>
        <v>-2821.03825985</v>
      </c>
      <c r="D17" s="4" t="n">
        <f aca="false">-D6*Assumptions!D32/100</f>
        <v>-2619.403394064</v>
      </c>
      <c r="E17" s="4" t="n">
        <f aca="false">-E6*Assumptions!E32/100</f>
        <v>-2606.52836043216</v>
      </c>
      <c r="F17" s="4" t="n">
        <f aca="false">-F6*Assumptions!F32/100</f>
        <v>-2637.62378648644</v>
      </c>
      <c r="G17" s="4" t="n">
        <f aca="false">-G6*Assumptions!G32/100</f>
        <v>-2703.5643811486</v>
      </c>
      <c r="H17" s="4" t="n">
        <f aca="false">-H6*Assumptions!H32/100</f>
        <v>-2771.15349067731</v>
      </c>
      <c r="I17" s="4" t="n">
        <f aca="false">-I6*Assumptions!I32/100</f>
        <v>-2840.43232794425</v>
      </c>
      <c r="J17" s="4" t="n">
        <f aca="false">-J6*Assumptions!J32/100</f>
        <v>-2897.24097450313</v>
      </c>
      <c r="K17" s="4" t="n">
        <f aca="false">-K6*Assumptions!K32/100</f>
        <v>-2955.18579399319</v>
      </c>
      <c r="L17" s="4" t="n">
        <f aca="false">-L6*Assumptions!L32/100</f>
        <v>-3014.28950987306</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2883.3785807398</v>
      </c>
      <c r="D19" s="0" t="n">
        <f aca="false">D15+D16+D17+D18</f>
        <v>2459.93056369997</v>
      </c>
      <c r="E19" s="0" t="n">
        <f aca="false">E15+E16+E17+E18</f>
        <v>2480.54615634461</v>
      </c>
      <c r="F19" s="0" t="n">
        <f aca="false">F15+F16+F17+F18</f>
        <v>2491.14146548692</v>
      </c>
      <c r="G19" s="0" t="n">
        <f aca="false">G15+G16+G17+G18</f>
        <v>2432.62860780921</v>
      </c>
      <c r="H19" s="0" t="n">
        <f aca="false">H15+H16+H17+H18</f>
        <v>2532.04253233887</v>
      </c>
      <c r="I19" s="0" t="n">
        <f aca="false">I15+I16+I17+I18</f>
        <v>2599.29991210412</v>
      </c>
      <c r="J19" s="0" t="n">
        <f aca="false">J15+J16+J17+J18</f>
        <v>2651.2859103462</v>
      </c>
      <c r="K19" s="0" t="n">
        <f aca="false">K15+K16+K17+K18</f>
        <v>2708.42778019476</v>
      </c>
      <c r="L19" s="0" t="n">
        <f aca="false">L15+L16+L17+L18</f>
        <v>2762.59633579866</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2657.49177948369</v>
      </c>
      <c r="D21" s="0" t="n">
        <f aca="false">D19*D20</f>
        <v>2089.6010224893</v>
      </c>
      <c r="E21" s="0" t="n">
        <f aca="false">E19*E20</f>
        <v>1942.03967433341</v>
      </c>
      <c r="F21" s="0" t="n">
        <f aca="false">F19*F20</f>
        <v>1797.54361996895</v>
      </c>
      <c r="G21" s="0" t="n">
        <f aca="false">G19*G20</f>
        <v>1617.80852218403</v>
      </c>
      <c r="H21" s="0" t="n">
        <f aca="false">H19*H20</f>
        <v>1552.00303935818</v>
      </c>
      <c r="I21" s="0" t="n">
        <f aca="false">I19*I20</f>
        <v>1468.41301390888</v>
      </c>
      <c r="J21" s="0" t="n">
        <f aca="false">J19*J20</f>
        <v>1380.44357067932</v>
      </c>
      <c r="K21" s="0" t="n">
        <f aca="false">K19*K20</f>
        <v>1299.71944377407</v>
      </c>
      <c r="L21" s="0" t="n">
        <f aca="false">L19*L20</f>
        <v>1221.85606695812</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8.5</v>
      </c>
    </row>
    <row r="28" customFormat="false" ht="15" hidden="false" customHeight="false" outlineLevel="0" collapsed="false">
      <c r="A28" s="0" t="s">
        <v>114</v>
      </c>
      <c r="B28" s="4" t="n">
        <f aca="false">Assumptions!$B$35</f>
        <v>2</v>
      </c>
    </row>
    <row r="29" customFormat="false" ht="15" hidden="false" customHeight="false" outlineLevel="0" collapsed="false">
      <c r="A29" s="0" t="s">
        <v>115</v>
      </c>
      <c r="B29" s="4" t="n">
        <f aca="false">Assumptions!$B$36</f>
        <v>12</v>
      </c>
    </row>
    <row r="30" customFormat="false" ht="15" hidden="false" customHeight="false" outlineLevel="0" collapsed="false">
      <c r="A30" s="0" t="s">
        <v>136</v>
      </c>
      <c r="B30" s="0" t="n">
        <f aca="false">SUM(C21:L21)</f>
        <v>17026.9197531379</v>
      </c>
    </row>
    <row r="31" customFormat="false" ht="15" hidden="false" customHeight="false" outlineLevel="0" collapsed="false">
      <c r="A31" s="0" t="s">
        <v>137</v>
      </c>
      <c r="B31" s="0" t="n">
        <f aca="false">L19</f>
        <v>2762.59633579866</v>
      </c>
    </row>
    <row r="32" customFormat="false" ht="15" hidden="false" customHeight="false" outlineLevel="0" collapsed="false">
      <c r="A32" s="0" t="s">
        <v>138</v>
      </c>
      <c r="B32" s="0" t="n">
        <f aca="false">IF(B27&gt;B28,B31*(1+B28/100)/((B27-B28)/100),B31*B29)</f>
        <v>43351.5117309943</v>
      </c>
    </row>
    <row r="33" customFormat="false" ht="15" hidden="false" customHeight="false" outlineLevel="0" collapsed="false">
      <c r="A33" s="0" t="s">
        <v>139</v>
      </c>
      <c r="B33" s="0" t="n">
        <f aca="false">B31*B29</f>
        <v>33151.1560295839</v>
      </c>
    </row>
    <row r="34" customFormat="false" ht="15" hidden="false" customHeight="false" outlineLevel="0" collapsed="false">
      <c r="A34" s="0" t="s">
        <v>140</v>
      </c>
      <c r="B34" s="0" t="n">
        <f aca="false">MAX(0,MIN(B32,B33))</f>
        <v>33151.1560295839</v>
      </c>
    </row>
    <row r="35" customFormat="false" ht="15" hidden="false" customHeight="false" outlineLevel="0" collapsed="false">
      <c r="A35" s="0" t="s">
        <v>141</v>
      </c>
      <c r="B35" s="0" t="n">
        <f aca="false">B34/(1+B27/100)^L4</f>
        <v>14662.2728034974</v>
      </c>
    </row>
    <row r="36" customFormat="false" ht="15" hidden="false" customHeight="false" outlineLevel="0" collapsed="false">
      <c r="A36" s="0" t="s">
        <v>142</v>
      </c>
      <c r="B36" s="0" t="n">
        <f aca="false">B30+B35</f>
        <v>31689.1925566353</v>
      </c>
    </row>
    <row r="37" customFormat="false" ht="15" hidden="false" customHeight="false" outlineLevel="0" collapsed="false">
      <c r="A37" s="0" t="s">
        <v>143</v>
      </c>
      <c r="B37" s="0" t="n">
        <f aca="false">B36+Assumptions!$B$5-Assumptions!$B$4</f>
        <v>26146.3415566353</v>
      </c>
    </row>
    <row r="38" customFormat="false" ht="15" hidden="false" customHeight="false" outlineLevel="0" collapsed="false">
      <c r="A38" s="0" t="s">
        <v>144</v>
      </c>
      <c r="B38" s="0" t="n">
        <f aca="false">B37/Assumptions!$B$3*Assumptions!$B$10</f>
        <v>41.5648726198362</v>
      </c>
    </row>
    <row r="39" customFormat="false" ht="15" hidden="false" customHeight="false" outlineLevel="0" collapsed="false">
      <c r="A39" s="0" t="s">
        <v>145</v>
      </c>
      <c r="B39" s="4" t="n">
        <f aca="false">B38/Assumptions!$B$2-1</f>
        <v>-0.181954878570435</v>
      </c>
    </row>
    <row r="41" customFormat="false" ht="15" hidden="false" customHeight="false" outlineLevel="0" collapsed="false">
      <c r="A41" s="0" t="s">
        <v>146</v>
      </c>
      <c r="B41" s="0" t="n">
        <f aca="false">SUMPRODUCT(-C10:L10/(1+$B$27/100)^C4:L4)</f>
        <v>769.145002924007</v>
      </c>
    </row>
    <row r="42" customFormat="false" ht="15" hidden="false" customHeight="false" outlineLevel="0" collapsed="false">
      <c r="A42" s="0" t="s">
        <v>147</v>
      </c>
      <c r="B42" s="0" t="n">
        <f aca="false">IF(B27&gt;B28,-L10*(1+B28/100)/((B27-B28)/100),-L10*20)/(1+B27/100)^L4</f>
        <v>821.881205450145</v>
      </c>
    </row>
    <row r="43" customFormat="false" ht="15" hidden="false" customHeight="false" outlineLevel="0" collapsed="false">
      <c r="A43" s="0" t="s">
        <v>148</v>
      </c>
      <c r="B43" s="0" t="n">
        <f aca="false">(B37+B41+B42)/Assumptions!$B$3*Assumptions!$B$10</f>
        <v>44.0941290185812</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21675.7558654972</v>
      </c>
    </row>
    <row r="47" customFormat="false" ht="15" hidden="false" customHeight="false" outlineLevel="0" collapsed="false">
      <c r="A47" s="0" t="s">
        <v>150</v>
      </c>
      <c r="B47" s="0" t="n">
        <f aca="false">(SUMPRODUCT(C19:L19/(1+B45/100)^C4:L4)+B46/(1+B45/100)^L4+Assumptions!$B$5-Assumptions!$B$4)/Assumptions!$B$3*Assumptions!$B$10</f>
        <v>20.4093889887998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10</v>
      </c>
      <c r="D5" s="4" t="n">
        <f aca="false">Assumptions!D41</f>
        <v>2</v>
      </c>
      <c r="E5" s="4" t="n">
        <f aca="false">Assumptions!E41</f>
        <v>5</v>
      </c>
      <c r="F5" s="4" t="n">
        <f aca="false">Assumptions!F41</f>
        <v>4</v>
      </c>
      <c r="G5" s="4" t="n">
        <f aca="false">Assumptions!G41</f>
        <v>3.5</v>
      </c>
      <c r="H5" s="4" t="n">
        <f aca="false">Assumptions!H41</f>
        <v>3</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37</v>
      </c>
      <c r="B6" s="3" t="n">
        <v>8644.211</v>
      </c>
      <c r="C6" s="0" t="n">
        <f aca="false">B6*(1+C5/100)</f>
        <v>9508.6321</v>
      </c>
      <c r="D6" s="0" t="n">
        <f aca="false">C6*(1+D5/100)</f>
        <v>9698.804742</v>
      </c>
      <c r="E6" s="0" t="n">
        <f aca="false">D6*(1+E5/100)</f>
        <v>10183.7449791</v>
      </c>
      <c r="F6" s="0" t="n">
        <f aca="false">E6*(1+F5/100)</f>
        <v>10591.094778264</v>
      </c>
      <c r="G6" s="0" t="n">
        <f aca="false">F6*(1+G5/100)</f>
        <v>10961.7830955032</v>
      </c>
      <c r="H6" s="0" t="n">
        <f aca="false">G6*(1+H5/100)</f>
        <v>11290.6365883683</v>
      </c>
      <c r="I6" s="0" t="n">
        <f aca="false">H6*(1+I5/100)</f>
        <v>11629.3556860194</v>
      </c>
      <c r="J6" s="0" t="n">
        <f aca="false">I6*(1+J5/100)</f>
        <v>11920.0895781699</v>
      </c>
      <c r="K6" s="0" t="n">
        <f aca="false">J6*(1+K5/100)</f>
        <v>12218.0918176241</v>
      </c>
      <c r="L6" s="0" t="n">
        <f aca="false">K6*(1+L5/100)</f>
        <v>12523.5441130647</v>
      </c>
    </row>
    <row r="7" customFormat="false" ht="15" hidden="false" customHeight="false" outlineLevel="0" collapsed="false">
      <c r="A7" s="0" t="s">
        <v>107</v>
      </c>
      <c r="C7" s="4" t="n">
        <f aca="false">Assumptions!C42</f>
        <v>66</v>
      </c>
      <c r="D7" s="4" t="n">
        <f aca="false">Assumptions!D42</f>
        <v>65</v>
      </c>
      <c r="E7" s="4" t="n">
        <f aca="false">Assumptions!E42</f>
        <v>65</v>
      </c>
      <c r="F7" s="4" t="n">
        <f aca="false">Assumptions!F42</f>
        <v>65</v>
      </c>
      <c r="G7" s="4" t="n">
        <f aca="false">Assumptions!G42</f>
        <v>65</v>
      </c>
      <c r="H7" s="4" t="n">
        <f aca="false">Assumptions!H42</f>
        <v>65</v>
      </c>
      <c r="I7" s="4" t="n">
        <f aca="false">Assumptions!I42</f>
        <v>65</v>
      </c>
      <c r="J7" s="4" t="n">
        <f aca="false">Assumptions!J42</f>
        <v>65</v>
      </c>
      <c r="K7" s="4" t="n">
        <f aca="false">Assumptions!K42</f>
        <v>65</v>
      </c>
      <c r="L7" s="4" t="n">
        <f aca="false">Assumptions!L42</f>
        <v>65</v>
      </c>
    </row>
    <row r="8" customFormat="false" ht="15" hidden="false" customHeight="false" outlineLevel="0" collapsed="false">
      <c r="A8" s="0" t="s">
        <v>43</v>
      </c>
      <c r="C8" s="0" t="n">
        <f aca="false">C6*C7/100</f>
        <v>6275.697186</v>
      </c>
      <c r="D8" s="0" t="n">
        <f aca="false">D6*D7/100</f>
        <v>6304.2230823</v>
      </c>
      <c r="E8" s="0" t="n">
        <f aca="false">E6*E7/100</f>
        <v>6619.434236415</v>
      </c>
      <c r="F8" s="0" t="n">
        <f aca="false">F6*F7/100</f>
        <v>6884.2116058716</v>
      </c>
      <c r="G8" s="0" t="n">
        <f aca="false">G6*G7/100</f>
        <v>7125.15901207711</v>
      </c>
      <c r="H8" s="0" t="n">
        <f aca="false">H6*H7/100</f>
        <v>7338.91378243942</v>
      </c>
      <c r="I8" s="0" t="n">
        <f aca="false">I6*I7/100</f>
        <v>7559.0811959126</v>
      </c>
      <c r="J8" s="0" t="n">
        <f aca="false">J6*J7/100</f>
        <v>7748.05822581042</v>
      </c>
      <c r="K8" s="0" t="n">
        <f aca="false">K6*K7/100</f>
        <v>7941.75968145568</v>
      </c>
      <c r="L8" s="0" t="n">
        <f aca="false">L6*L7/100</f>
        <v>8140.30367349207</v>
      </c>
    </row>
    <row r="9" customFormat="false" ht="15" hidden="false" customHeight="false" outlineLevel="0" collapsed="false">
      <c r="A9" s="0" t="s">
        <v>108</v>
      </c>
      <c r="C9" s="4" t="n">
        <f aca="false">Assumptions!C43</f>
        <v>1.3</v>
      </c>
      <c r="D9" s="4" t="n">
        <f aca="false">Assumptions!D43</f>
        <v>1.3</v>
      </c>
      <c r="E9" s="4" t="n">
        <f aca="false">Assumptions!E43</f>
        <v>1.25</v>
      </c>
      <c r="F9" s="4" t="n">
        <f aca="false">Assumptions!F43</f>
        <v>1.25</v>
      </c>
      <c r="G9" s="4" t="n">
        <f aca="false">Assumptions!G43</f>
        <v>1.2</v>
      </c>
      <c r="H9" s="4" t="n">
        <f aca="false">Assumptions!H43</f>
        <v>1.2</v>
      </c>
      <c r="I9" s="4" t="n">
        <f aca="false">Assumptions!I43</f>
        <v>1.15</v>
      </c>
      <c r="J9" s="4" t="n">
        <f aca="false">Assumptions!J43</f>
        <v>1.15</v>
      </c>
      <c r="K9" s="4" t="n">
        <f aca="false">Assumptions!K43</f>
        <v>1.1</v>
      </c>
      <c r="L9" s="4" t="n">
        <f aca="false">Assumptions!L43</f>
        <v>1.1</v>
      </c>
    </row>
    <row r="10" customFormat="false" ht="15" hidden="false" customHeight="false" outlineLevel="0" collapsed="false">
      <c r="A10" s="0" t="s">
        <v>123</v>
      </c>
      <c r="C10" s="0" t="n">
        <f aca="false">-C6*C9/100</f>
        <v>-123.6122173</v>
      </c>
      <c r="D10" s="0" t="n">
        <f aca="false">-D6*D9/100</f>
        <v>-126.084461646</v>
      </c>
      <c r="E10" s="0" t="n">
        <f aca="false">-E6*E9/100</f>
        <v>-127.29681223875</v>
      </c>
      <c r="F10" s="0" t="n">
        <f aca="false">-F6*F9/100</f>
        <v>-132.3886847283</v>
      </c>
      <c r="G10" s="0" t="n">
        <f aca="false">-G6*G9/100</f>
        <v>-131.541397146039</v>
      </c>
      <c r="H10" s="0" t="n">
        <f aca="false">-H6*H9/100</f>
        <v>-135.48763906042</v>
      </c>
      <c r="I10" s="0" t="n">
        <f aca="false">-I6*I9/100</f>
        <v>-133.737590389223</v>
      </c>
      <c r="J10" s="0" t="n">
        <f aca="false">-J6*J9/100</f>
        <v>-137.081030148954</v>
      </c>
      <c r="K10" s="0" t="n">
        <f aca="false">-K6*K9/100</f>
        <v>-134.399009993865</v>
      </c>
      <c r="L10" s="0" t="n">
        <f aca="false">-L6*L9/100</f>
        <v>-137.758985243712</v>
      </c>
    </row>
    <row r="11" customFormat="false" ht="15" hidden="false" customHeight="false" outlineLevel="0" collapsed="false">
      <c r="A11" s="0" t="s">
        <v>124</v>
      </c>
      <c r="C11" s="0" t="n">
        <f aca="false">C8+C10+C24</f>
        <v>6152.0849687</v>
      </c>
      <c r="D11" s="0" t="n">
        <f aca="false">D8+D10+D24</f>
        <v>6178.138620654</v>
      </c>
      <c r="E11" s="0" t="n">
        <f aca="false">E8+E10+E24</f>
        <v>6492.13742417625</v>
      </c>
      <c r="F11" s="0" t="n">
        <f aca="false">F8+F10+F24</f>
        <v>6751.8229211433</v>
      </c>
      <c r="G11" s="0" t="n">
        <f aca="false">G8+G10+G24</f>
        <v>6993.61761493107</v>
      </c>
      <c r="H11" s="0" t="n">
        <f aca="false">H8+H10+H24</f>
        <v>7203.426143379</v>
      </c>
      <c r="I11" s="0" t="n">
        <f aca="false">I8+I10+I24</f>
        <v>7425.34360552338</v>
      </c>
      <c r="J11" s="0" t="n">
        <f aca="false">J8+J10+J24</f>
        <v>7610.97719566146</v>
      </c>
      <c r="K11" s="0" t="n">
        <f aca="false">K8+K10+K24</f>
        <v>7807.36067146181</v>
      </c>
      <c r="L11" s="0" t="n">
        <f aca="false">L8+L10+L24</f>
        <v>8002.54468824835</v>
      </c>
    </row>
    <row r="12" customFormat="false" ht="15" hidden="false" customHeight="false" outlineLevel="0" collapsed="false">
      <c r="A12" s="0" t="s">
        <v>125</v>
      </c>
      <c r="C12" s="4" t="n">
        <f aca="false">-C6*Assumptions!C45/100</f>
        <v>-2662.416988</v>
      </c>
      <c r="D12" s="4" t="n">
        <f aca="false">-D6*Assumptions!D45/100</f>
        <v>-2667.17130405</v>
      </c>
      <c r="E12" s="4" t="n">
        <f aca="false">-E6*Assumptions!E45/100</f>
        <v>-2749.611144357</v>
      </c>
      <c r="F12" s="4" t="n">
        <f aca="false">-F6*Assumptions!F45/100</f>
        <v>-2859.59559013128</v>
      </c>
      <c r="G12" s="4" t="n">
        <f aca="false">-G6*Assumptions!G45/100</f>
        <v>-2959.68143578587</v>
      </c>
      <c r="H12" s="4" t="n">
        <f aca="false">-H6*Assumptions!H45/100</f>
        <v>-3048.47187885945</v>
      </c>
      <c r="I12" s="4" t="n">
        <f aca="false">-I6*Assumptions!I45/100</f>
        <v>-3139.92603522523</v>
      </c>
      <c r="J12" s="4" t="n">
        <f aca="false">-J6*Assumptions!J45/100</f>
        <v>-3218.42418610587</v>
      </c>
      <c r="K12" s="4" t="n">
        <f aca="false">-K6*Assumptions!K45/100</f>
        <v>-3298.88479075851</v>
      </c>
      <c r="L12" s="4" t="n">
        <f aca="false">-L6*Assumptions!L45/100</f>
        <v>-3381.35691052747</v>
      </c>
    </row>
    <row r="13" customFormat="false" ht="15" hidden="false" customHeight="false" outlineLevel="0" collapsed="false">
      <c r="A13" s="0" t="s">
        <v>126</v>
      </c>
      <c r="C13" s="0" t="n">
        <f aca="false">C11+C12</f>
        <v>3489.6679807</v>
      </c>
      <c r="D13" s="0" t="n">
        <f aca="false">D11+D12</f>
        <v>3510.967316604</v>
      </c>
      <c r="E13" s="0" t="n">
        <f aca="false">E11+E12</f>
        <v>3742.52627981925</v>
      </c>
      <c r="F13" s="0" t="n">
        <f aca="false">F11+F12</f>
        <v>3892.22733101202</v>
      </c>
      <c r="G13" s="0" t="n">
        <f aca="false">G11+G12</f>
        <v>4033.93617914519</v>
      </c>
      <c r="H13" s="0" t="n">
        <f aca="false">H11+H12</f>
        <v>4154.95426451955</v>
      </c>
      <c r="I13" s="0" t="n">
        <f aca="false">I11+I12</f>
        <v>4285.41757029815</v>
      </c>
      <c r="J13" s="0" t="n">
        <f aca="false">J11+J12</f>
        <v>4392.5530095556</v>
      </c>
      <c r="K13" s="0" t="n">
        <f aca="false">K11+K12</f>
        <v>4508.4758807033</v>
      </c>
      <c r="L13" s="0" t="n">
        <f aca="false">L11+L12</f>
        <v>4621.18777772088</v>
      </c>
    </row>
    <row r="14" customFormat="false" ht="15" hidden="false" customHeight="false" outlineLevel="0" collapsed="false">
      <c r="A14" s="0" t="s">
        <v>112</v>
      </c>
      <c r="C14" s="4" t="n">
        <f aca="false">Assumptions!C47</f>
        <v>3</v>
      </c>
      <c r="D14" s="4" t="n">
        <f aca="false">Assumptions!D47</f>
        <v>8</v>
      </c>
      <c r="E14" s="4" t="n">
        <f aca="false">Assumptions!E47</f>
        <v>13</v>
      </c>
      <c r="F14" s="4" t="n">
        <f aca="false">Assumptions!F47</f>
        <v>18</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127</v>
      </c>
      <c r="C15" s="0" t="n">
        <f aca="false">C13-MAX(0,C13)*C14/100</f>
        <v>3384.977941279</v>
      </c>
      <c r="D15" s="0" t="n">
        <f aca="false">D13-MAX(0,D13)*D14/100</f>
        <v>3230.08993127568</v>
      </c>
      <c r="E15" s="0" t="n">
        <f aca="false">E13-MAX(0,E13)*E14/100</f>
        <v>3255.99786344275</v>
      </c>
      <c r="F15" s="0" t="n">
        <f aca="false">F13-MAX(0,F13)*F14/100</f>
        <v>3191.62641142986</v>
      </c>
      <c r="G15" s="0" t="n">
        <f aca="false">G13-MAX(0,G13)*G14/100</f>
        <v>3146.47021973325</v>
      </c>
      <c r="H15" s="0" t="n">
        <f aca="false">H13-MAX(0,H13)*H14/100</f>
        <v>3240.86432632525</v>
      </c>
      <c r="I15" s="0" t="n">
        <f aca="false">I13-MAX(0,I13)*I14/100</f>
        <v>3342.62570483255</v>
      </c>
      <c r="J15" s="0" t="n">
        <f aca="false">J13-MAX(0,J13)*J14/100</f>
        <v>3426.19134745337</v>
      </c>
      <c r="K15" s="0" t="n">
        <f aca="false">K13-MAX(0,K13)*K14/100</f>
        <v>3516.61118694857</v>
      </c>
      <c r="L15" s="0" t="n">
        <f aca="false">L13-MAX(0,L13)*L14/100</f>
        <v>3604.52646662229</v>
      </c>
    </row>
    <row r="16" customFormat="false" ht="15" hidden="false" customHeight="false" outlineLevel="0" collapsed="false">
      <c r="A16" s="0" t="s">
        <v>128</v>
      </c>
      <c r="C16" s="0" t="n">
        <f aca="false">-C12</f>
        <v>2662.416988</v>
      </c>
      <c r="D16" s="0" t="n">
        <f aca="false">-D12</f>
        <v>2667.17130405</v>
      </c>
      <c r="E16" s="0" t="n">
        <f aca="false">-E12</f>
        <v>2749.611144357</v>
      </c>
      <c r="F16" s="0" t="n">
        <f aca="false">-F12</f>
        <v>2859.59559013128</v>
      </c>
      <c r="G16" s="0" t="n">
        <f aca="false">-G12</f>
        <v>2959.68143578587</v>
      </c>
      <c r="H16" s="0" t="n">
        <f aca="false">-H12</f>
        <v>3048.47187885945</v>
      </c>
      <c r="I16" s="0" t="n">
        <f aca="false">-I12</f>
        <v>3139.92603522523</v>
      </c>
      <c r="J16" s="0" t="n">
        <f aca="false">-J12</f>
        <v>3218.42418610587</v>
      </c>
      <c r="K16" s="0" t="n">
        <f aca="false">-K12</f>
        <v>3298.88479075851</v>
      </c>
      <c r="L16" s="0" t="n">
        <f aca="false">-L12</f>
        <v>3381.35691052747</v>
      </c>
    </row>
    <row r="17" customFormat="false" ht="15" hidden="false" customHeight="false" outlineLevel="0" collapsed="false">
      <c r="A17" s="0" t="s">
        <v>129</v>
      </c>
      <c r="C17" s="4" t="n">
        <f aca="false">-C6*Assumptions!C46/100</f>
        <v>-2852.58963</v>
      </c>
      <c r="D17" s="4" t="n">
        <f aca="false">-D6*Assumptions!D46/100</f>
        <v>-2812.65337518</v>
      </c>
      <c r="E17" s="4" t="n">
        <f aca="false">-E6*Assumptions!E46/100</f>
        <v>-2851.448594148</v>
      </c>
      <c r="F17" s="4" t="n">
        <f aca="false">-F6*Assumptions!F46/100</f>
        <v>-2912.5510640226</v>
      </c>
      <c r="G17" s="4" t="n">
        <f aca="false">-G6*Assumptions!G46/100</f>
        <v>-3014.49035126339</v>
      </c>
      <c r="H17" s="4" t="n">
        <f aca="false">-H6*Assumptions!H46/100</f>
        <v>-3104.92506180129</v>
      </c>
      <c r="I17" s="4" t="n">
        <f aca="false">-I6*Assumptions!I46/100</f>
        <v>-3198.07281365533</v>
      </c>
      <c r="J17" s="4" t="n">
        <f aca="false">-J6*Assumptions!J46/100</f>
        <v>-3278.02463399671</v>
      </c>
      <c r="K17" s="4" t="n">
        <f aca="false">-K6*Assumptions!K46/100</f>
        <v>-3359.97524984663</v>
      </c>
      <c r="L17" s="4" t="n">
        <f aca="false">-L6*Assumptions!L46/100</f>
        <v>-3443.9746310928</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3194.805299279</v>
      </c>
      <c r="D19" s="0" t="n">
        <f aca="false">D15+D16+D17+D18</f>
        <v>3084.60786014568</v>
      </c>
      <c r="E19" s="0" t="n">
        <f aca="false">E15+E16+E17+E18</f>
        <v>3154.16041365175</v>
      </c>
      <c r="F19" s="0" t="n">
        <f aca="false">F15+F16+F17+F18</f>
        <v>3138.67093753854</v>
      </c>
      <c r="G19" s="0" t="n">
        <f aca="false">G15+G16+G17+G18</f>
        <v>3091.66130425573</v>
      </c>
      <c r="H19" s="0" t="n">
        <f aca="false">H15+H16+H17+H18</f>
        <v>3184.41114338341</v>
      </c>
      <c r="I19" s="0" t="n">
        <f aca="false">I15+I16+I17+I18</f>
        <v>3284.47892640246</v>
      </c>
      <c r="J19" s="0" t="n">
        <f aca="false">J15+J16+J17+J18</f>
        <v>3366.59089956252</v>
      </c>
      <c r="K19" s="0" t="n">
        <f aca="false">K15+K16+K17+K18</f>
        <v>3455.52072786045</v>
      </c>
      <c r="L19" s="0" t="n">
        <f aca="false">L15+L16+L17+L18</f>
        <v>3541.90874605696</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2944.52101316037</v>
      </c>
      <c r="D21" s="0" t="n">
        <f aca="false">D19*D20</f>
        <v>2620.23645449738</v>
      </c>
      <c r="E21" s="0" t="n">
        <f aca="false">E19*E20</f>
        <v>2469.41773159757</v>
      </c>
      <c r="F21" s="0" t="n">
        <f aca="false">F19*F20</f>
        <v>2264.78423530699</v>
      </c>
      <c r="G21" s="0" t="n">
        <f aca="false">G19*G20</f>
        <v>2056.09520075323</v>
      </c>
      <c r="H21" s="0" t="n">
        <f aca="false">H19*H20</f>
        <v>1951.86917675192</v>
      </c>
      <c r="I21" s="0" t="n">
        <f aca="false">I19*I20</f>
        <v>1855.4886940825</v>
      </c>
      <c r="J21" s="0" t="n">
        <f aca="false">J19*J20</f>
        <v>1752.88102436365</v>
      </c>
      <c r="K21" s="0" t="n">
        <f aca="false">K19*K20</f>
        <v>1658.23416493003</v>
      </c>
      <c r="L21" s="0" t="n">
        <f aca="false">L19*L20</f>
        <v>1566.53457977261</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8.5</v>
      </c>
    </row>
    <row r="28" customFormat="false" ht="15" hidden="false" customHeight="false" outlineLevel="0" collapsed="false">
      <c r="A28" s="0" t="s">
        <v>114</v>
      </c>
      <c r="B28" s="4" t="n">
        <f aca="false">Assumptions!$B$49</f>
        <v>2.5</v>
      </c>
    </row>
    <row r="29" customFormat="false" ht="15" hidden="false" customHeight="false" outlineLevel="0" collapsed="false">
      <c r="A29" s="0" t="s">
        <v>115</v>
      </c>
      <c r="B29" s="4" t="n">
        <f aca="false">Assumptions!$B$50</f>
        <v>12</v>
      </c>
    </row>
    <row r="30" customFormat="false" ht="15" hidden="false" customHeight="false" outlineLevel="0" collapsed="false">
      <c r="A30" s="0" t="s">
        <v>136</v>
      </c>
      <c r="B30" s="0" t="n">
        <f aca="false">SUM(C21:L21)</f>
        <v>21140.0622752163</v>
      </c>
    </row>
    <row r="31" customFormat="false" ht="15" hidden="false" customHeight="false" outlineLevel="0" collapsed="false">
      <c r="A31" s="0" t="s">
        <v>137</v>
      </c>
      <c r="B31" s="0" t="n">
        <f aca="false">L19</f>
        <v>3541.90874605696</v>
      </c>
    </row>
    <row r="32" customFormat="false" ht="15" hidden="false" customHeight="false" outlineLevel="0" collapsed="false">
      <c r="A32" s="0" t="s">
        <v>138</v>
      </c>
      <c r="B32" s="0" t="n">
        <f aca="false">IF(B27&gt;B28,B31*(1+B28/100)/((B27-B28)/100),B31*B29)</f>
        <v>60507.6077451398</v>
      </c>
    </row>
    <row r="33" customFormat="false" ht="15" hidden="false" customHeight="false" outlineLevel="0" collapsed="false">
      <c r="A33" s="0" t="s">
        <v>139</v>
      </c>
      <c r="B33" s="0" t="n">
        <f aca="false">B31*B29</f>
        <v>42502.9049526836</v>
      </c>
    </row>
    <row r="34" customFormat="false" ht="15" hidden="false" customHeight="false" outlineLevel="0" collapsed="false">
      <c r="A34" s="0" t="s">
        <v>140</v>
      </c>
      <c r="B34" s="0" t="n">
        <f aca="false">MAX(0,MIN(B32,B33))</f>
        <v>42502.9049526836</v>
      </c>
    </row>
    <row r="35" customFormat="false" ht="15" hidden="false" customHeight="false" outlineLevel="0" collapsed="false">
      <c r="A35" s="0" t="s">
        <v>141</v>
      </c>
      <c r="B35" s="0" t="n">
        <f aca="false">B34/(1+B27/100)^L4</f>
        <v>18798.4149572714</v>
      </c>
    </row>
    <row r="36" customFormat="false" ht="15" hidden="false" customHeight="false" outlineLevel="0" collapsed="false">
      <c r="A36" s="0" t="s">
        <v>142</v>
      </c>
      <c r="B36" s="0" t="n">
        <f aca="false">B30+B35</f>
        <v>39938.4772324876</v>
      </c>
    </row>
    <row r="37" customFormat="false" ht="15" hidden="false" customHeight="false" outlineLevel="0" collapsed="false">
      <c r="A37" s="0" t="s">
        <v>143</v>
      </c>
      <c r="B37" s="0" t="n">
        <f aca="false">B36+Assumptions!$B$5-Assumptions!$B$4</f>
        <v>34395.6262324876</v>
      </c>
    </row>
    <row r="38" customFormat="false" ht="15" hidden="false" customHeight="false" outlineLevel="0" collapsed="false">
      <c r="A38" s="0" t="s">
        <v>144</v>
      </c>
      <c r="B38" s="0" t="n">
        <f aca="false">B37/Assumptions!$B$3*Assumptions!$B$10</f>
        <v>54.6787710217926</v>
      </c>
    </row>
    <row r="39" customFormat="false" ht="15" hidden="false" customHeight="false" outlineLevel="0" collapsed="false">
      <c r="A39" s="0" t="s">
        <v>145</v>
      </c>
      <c r="B39" s="4" t="n">
        <f aca="false">B38/Assumptions!$B$2-1</f>
        <v>0.0761419213106205</v>
      </c>
    </row>
    <row r="41" customFormat="false" ht="15" hidden="false" customHeight="false" outlineLevel="0" collapsed="false">
      <c r="A41" s="0" t="s">
        <v>146</v>
      </c>
      <c r="B41" s="0" t="n">
        <f aca="false">SUMPRODUCT(-C10:L10/(1+$B$27/100)^C4:L4)</f>
        <v>859.098822782264</v>
      </c>
    </row>
    <row r="42" customFormat="false" ht="15" hidden="false" customHeight="false" outlineLevel="0" collapsed="false">
      <c r="A42" s="0" t="s">
        <v>147</v>
      </c>
      <c r="B42" s="0" t="n">
        <f aca="false">IF(B27&gt;B28,-L10*(1+B28/100)/((B27-B28)/100),-L10*20)/(1+B27/100)^L4</f>
        <v>1040.86682854443</v>
      </c>
    </row>
    <row r="43" customFormat="false" ht="15" hidden="false" customHeight="false" outlineLevel="0" collapsed="false">
      <c r="A43" s="0" t="s">
        <v>148</v>
      </c>
      <c r="B43" s="0" t="n">
        <f aca="false">(B37+B41+B42)/Assumptions!$B$3*Assumptions!$B$10</f>
        <v>57.6991488482047</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29043.6517176671</v>
      </c>
    </row>
    <row r="47" customFormat="false" ht="15" hidden="false" customHeight="false" outlineLevel="0" collapsed="false">
      <c r="A47" s="0" t="s">
        <v>150</v>
      </c>
      <c r="B47" s="0" t="n">
        <f aca="false">(SUMPRODUCT(C19:L19/(1+B45/100)^C4:L4)+B46/(1+B45/100)^L4+Assumptions!$B$5-Assumptions!$B$4)/Assumptions!$B$3*Assumptions!$B$10</f>
        <v>28.1729146461755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23.3540846606822</v>
      </c>
      <c r="C4" s="0" t="n">
        <f aca="false">B4/Assumptions!$B$2-1</f>
        <v>-0.540364403450458</v>
      </c>
      <c r="D4" s="4" t="n">
        <f aca="false">Assumptions!$B$24</f>
        <v>0.25</v>
      </c>
      <c r="E4" s="4" t="n">
        <f aca="false">DCF_Bear!$B$43</f>
        <v>25.4677670876044</v>
      </c>
      <c r="F4" s="4" t="n">
        <f aca="false">DCF_Bear!$B$47</f>
        <v>10.086725556286</v>
      </c>
    </row>
    <row r="5" customFormat="false" ht="15" hidden="false" customHeight="false" outlineLevel="0" collapsed="false">
      <c r="A5" s="0" t="s">
        <v>159</v>
      </c>
      <c r="B5" s="4" t="n">
        <f aca="false">DCF_Base!$B$38</f>
        <v>41.5648726198362</v>
      </c>
      <c r="C5" s="0" t="n">
        <f aca="false">B5/Assumptions!$B$2-1</f>
        <v>-0.181954878570435</v>
      </c>
      <c r="D5" s="4" t="n">
        <f aca="false">Assumptions!$B$38</f>
        <v>0.5</v>
      </c>
      <c r="E5" s="4" t="n">
        <f aca="false">DCF_Base!$B$43</f>
        <v>44.0941290185812</v>
      </c>
      <c r="F5" s="4" t="n">
        <f aca="false">DCF_Base!$B$47</f>
        <v>20.4093889887998</v>
      </c>
    </row>
    <row r="6" customFormat="false" ht="15" hidden="false" customHeight="false" outlineLevel="0" collapsed="false">
      <c r="A6" s="0" t="s">
        <v>160</v>
      </c>
      <c r="B6" s="4" t="n">
        <f aca="false">DCF_Bull!$B$38</f>
        <v>54.6787710217926</v>
      </c>
      <c r="C6" s="0" t="n">
        <f aca="false">B6/Assumptions!$B$2-1</f>
        <v>0.0761419213106205</v>
      </c>
      <c r="D6" s="4" t="n">
        <f aca="false">Assumptions!$B$52</f>
        <v>0.25</v>
      </c>
      <c r="E6" s="4" t="n">
        <f aca="false">DCF_Bull!$B$43</f>
        <v>57.6991488482047</v>
      </c>
      <c r="F6" s="4" t="n">
        <f aca="false">DCF_Bull!$B$47</f>
        <v>28.1729146461755</v>
      </c>
    </row>
    <row r="8" customFormat="false" ht="15" hidden="false" customHeight="false" outlineLevel="0" collapsed="false">
      <c r="A8" s="0" t="s">
        <v>161</v>
      </c>
      <c r="B8" s="0" t="n">
        <f aca="false">SUMPRODUCT(B4:B6,D4:D6)</f>
        <v>40.2906502305368</v>
      </c>
    </row>
    <row r="9" customFormat="false" ht="15" hidden="false" customHeight="false" outlineLevel="0" collapsed="false">
      <c r="A9" s="0" t="s">
        <v>162</v>
      </c>
      <c r="B9" s="0" t="n">
        <f aca="false">SUMPRODUCT(E4:E6,D4:D6)</f>
        <v>42.8387934932429</v>
      </c>
    </row>
    <row r="10" customFormat="false" ht="15" hidden="false" customHeight="false" outlineLevel="0" collapsed="false">
      <c r="A10" s="0" t="s">
        <v>163</v>
      </c>
      <c r="B10" s="0" t="n">
        <f aca="false">1-Assumptions!$B$2/B8</f>
        <v>-0.261086622064254</v>
      </c>
    </row>
    <row r="11" customFormat="false" ht="15" hidden="false" customHeight="false" outlineLevel="0" collapsed="false">
      <c r="A11" s="0" t="s">
        <v>164</v>
      </c>
      <c r="B11" s="0" t="n">
        <f aca="false">IF(ABS(B9-B8)&gt;0.01*ABS(B8),(Assumptions!$B$2-B8)/(B9-B8)*100,"n/a")</f>
        <v>412.824110928984</v>
      </c>
    </row>
    <row r="12" customFormat="false" ht="15" hidden="false" customHeight="false" outlineLevel="0" collapsed="false">
      <c r="A12" s="0" t="s">
        <v>165</v>
      </c>
      <c r="B12" s="0" t="n">
        <f aca="false">SUMPRODUCT(F4:F6,D4:D6)</f>
        <v>19.7696045450153</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41.5648726198362</v>
      </c>
      <c r="C15" s="3" t="n">
        <v>8.5</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39.9235265504228</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36.852359936085</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33.0090576817691</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28.9167330743301</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20.4093889887998</v>
      </c>
      <c r="C20" s="3" t="n">
        <v>15</v>
      </c>
    </row>
    <row r="22" customFormat="false" ht="15" hidden="false" customHeight="false" outlineLevel="0" collapsed="false">
      <c r="A22" s="2" t="s">
        <v>174</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48.9272101155662</v>
      </c>
      <c r="C24" s="0" t="n">
        <f aca="false">(SUMPRODUCT(DCF_Base!$C$19:$L$19/(1+$A$24/100)^DCF_Base!$C$4:$L$4)+MAX(0,MIN(IF($A$24&gt;$C$23,DCF_Base!$L$19*(1+$C$23/100)/(($A$24-$C$23)/100),DCF_Base!$L$19*DCF_Base!$B$29),DCF_Base!$L$19*DCF_Base!$B$29))/(1+$A$24/100)^DCF_Base!$L$4+Assumptions!$B$5-Assumptions!$B$4)/Assumptions!$B$3*Assumptions!$B$10</f>
        <v>48.9272101155662</v>
      </c>
      <c r="D24" s="0" t="n">
        <f aca="false">(SUMPRODUCT(DCF_Base!$C$19:$L$19/(1+$A$24/100)^DCF_Base!$C$4:$L$4)+MAX(0,MIN(IF($A$24&gt;$D$23,DCF_Base!$L$19*(1+$D$23/100)/(($A$24-$D$23)/100),DCF_Base!$L$19*DCF_Base!$B$29),DCF_Base!$L$19*DCF_Base!$B$29))/(1+$A$24/100)^DCF_Base!$L$4+Assumptions!$B$5-Assumptions!$B$4)/Assumptions!$B$3*Assumptions!$B$10</f>
        <v>48.9272101155662</v>
      </c>
      <c r="E24" s="0" t="n">
        <f aca="false">(SUMPRODUCT(DCF_Base!$C$19:$L$19/(1+$A$24/100)^DCF_Base!$C$4:$L$4)+MAX(0,MIN(IF($A$24&gt;$E$23,DCF_Base!$L$19*(1+$E$23/100)/(($A$24-$E$23)/100),DCF_Base!$L$19*DCF_Base!$B$29),DCF_Base!$L$19*DCF_Base!$B$29))/(1+$A$24/100)^DCF_Base!$L$4+Assumptions!$B$5-Assumptions!$B$4)/Assumptions!$B$3*Assumptions!$B$10</f>
        <v>48.9272101155662</v>
      </c>
      <c r="F24" s="0" t="n">
        <f aca="false">(SUMPRODUCT(DCF_Base!$C$19:$L$19/(1+$A$24/100)^DCF_Base!$C$4:$L$4)+MAX(0,MIN(IF($A$24&gt;$F$23,DCF_Base!$L$19*(1+$F$23/100)/(($A$24-$F$23)/100),DCF_Base!$L$19*DCF_Base!$B$29),DCF_Base!$L$19*DCF_Base!$B$29))/(1+$A$24/100)^DCF_Base!$L$4+Assumptions!$B$5-Assumptions!$B$4)/Assumptions!$B$3*Assumptions!$B$10</f>
        <v>48.9272101155662</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45.0781937495457</v>
      </c>
      <c r="C25" s="0" t="n">
        <f aca="false">(SUMPRODUCT(DCF_Base!$C$19:$L$19/(1+$A$25/100)^DCF_Base!$C$4:$L$4)+MAX(0,MIN(IF($A$25&gt;$C$23,DCF_Base!$L$19*(1+$C$23/100)/(($A$25-$C$23)/100),DCF_Base!$L$19*DCF_Base!$B$29),DCF_Base!$L$19*DCF_Base!$B$29))/(1+$A$25/100)^DCF_Base!$L$4+Assumptions!$B$5-Assumptions!$B$4)/Assumptions!$B$3*Assumptions!$B$10</f>
        <v>45.0781937495457</v>
      </c>
      <c r="D25" s="0" t="n">
        <f aca="false">(SUMPRODUCT(DCF_Base!$C$19:$L$19/(1+$A$25/100)^DCF_Base!$C$4:$L$4)+MAX(0,MIN(IF($A$25&gt;$D$23,DCF_Base!$L$19*(1+$D$23/100)/(($A$25-$D$23)/100),DCF_Base!$L$19*DCF_Base!$B$29),DCF_Base!$L$19*DCF_Base!$B$29))/(1+$A$25/100)^DCF_Base!$L$4+Assumptions!$B$5-Assumptions!$B$4)/Assumptions!$B$3*Assumptions!$B$10</f>
        <v>45.0781937495457</v>
      </c>
      <c r="E25" s="0" t="n">
        <f aca="false">(SUMPRODUCT(DCF_Base!$C$19:$L$19/(1+$A$25/100)^DCF_Base!$C$4:$L$4)+MAX(0,MIN(IF($A$25&gt;$E$23,DCF_Base!$L$19*(1+$E$23/100)/(($A$25-$E$23)/100),DCF_Base!$L$19*DCF_Base!$B$29),DCF_Base!$L$19*DCF_Base!$B$29))/(1+$A$25/100)^DCF_Base!$L$4+Assumptions!$B$5-Assumptions!$B$4)/Assumptions!$B$3*Assumptions!$B$10</f>
        <v>45.0781937495457</v>
      </c>
      <c r="F25" s="0" t="n">
        <f aca="false">(SUMPRODUCT(DCF_Base!$C$19:$L$19/(1+$A$25/100)^DCF_Base!$C$4:$L$4)+MAX(0,MIN(IF($A$25&gt;$F$23,DCF_Base!$L$19*(1+$F$23/100)/(($A$25-$F$23)/100),DCF_Base!$L$19*DCF_Base!$B$29),DCF_Base!$L$19*DCF_Base!$B$29))/(1+$A$25/100)^DCF_Base!$L$4+Assumptions!$B$5-Assumptions!$B$4)/Assumptions!$B$3*Assumptions!$B$10</f>
        <v>45.0781937495457</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41.5648726198362</v>
      </c>
      <c r="C26" s="0" t="n">
        <f aca="false">(SUMPRODUCT(DCF_Base!$C$19:$L$19/(1+$A$26/100)^DCF_Base!$C$4:$L$4)+MAX(0,MIN(IF($A$26&gt;$C$23,DCF_Base!$L$19*(1+$C$23/100)/(($A$26-$C$23)/100),DCF_Base!$L$19*DCF_Base!$B$29),DCF_Base!$L$19*DCF_Base!$B$29))/(1+$A$26/100)^DCF_Base!$L$4+Assumptions!$B$5-Assumptions!$B$4)/Assumptions!$B$3*Assumptions!$B$10</f>
        <v>41.5648726198362</v>
      </c>
      <c r="D26" s="0" t="n">
        <f aca="false">(SUMPRODUCT(DCF_Base!$C$19:$L$19/(1+$A$26/100)^DCF_Base!$C$4:$L$4)+MAX(0,MIN(IF($A$26&gt;$D$23,DCF_Base!$L$19*(1+$D$23/100)/(($A$26-$D$23)/100),DCF_Base!$L$19*DCF_Base!$B$29),DCF_Base!$L$19*DCF_Base!$B$29))/(1+$A$26/100)^DCF_Base!$L$4+Assumptions!$B$5-Assumptions!$B$4)/Assumptions!$B$3*Assumptions!$B$10</f>
        <v>41.5648726198362</v>
      </c>
      <c r="E26" s="0" t="n">
        <f aca="false">(SUMPRODUCT(DCF_Base!$C$19:$L$19/(1+$A$26/100)^DCF_Base!$C$4:$L$4)+MAX(0,MIN(IF($A$26&gt;$E$23,DCF_Base!$L$19*(1+$E$23/100)/(($A$26-$E$23)/100),DCF_Base!$L$19*DCF_Base!$B$29),DCF_Base!$L$19*DCF_Base!$B$29))/(1+$A$26/100)^DCF_Base!$L$4+Assumptions!$B$5-Assumptions!$B$4)/Assumptions!$B$3*Assumptions!$B$10</f>
        <v>41.5648726198362</v>
      </c>
      <c r="F26" s="0" t="n">
        <f aca="false">(SUMPRODUCT(DCF_Base!$C$19:$L$19/(1+$A$26/100)^DCF_Base!$C$4:$L$4)+MAX(0,MIN(IF($A$26&gt;$F$23,DCF_Base!$L$19*(1+$F$23/100)/(($A$26-$F$23)/100),DCF_Base!$L$19*DCF_Base!$B$29),DCF_Base!$L$19*DCF_Base!$B$29))/(1+$A$26/100)^DCF_Base!$L$4+Assumptions!$B$5-Assumptions!$B$4)/Assumptions!$B$3*Assumptions!$B$10</f>
        <v>41.5648726198362</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38.1454065471744</v>
      </c>
      <c r="C27" s="0" t="n">
        <f aca="false">(SUMPRODUCT(DCF_Base!$C$19:$L$19/(1+$A$27/100)^DCF_Base!$C$4:$L$4)+MAX(0,MIN(IF($A$27&gt;$C$23,DCF_Base!$L$19*(1+$C$23/100)/(($A$27-$C$23)/100),DCF_Base!$L$19*DCF_Base!$B$29),DCF_Base!$L$19*DCF_Base!$B$29))/(1+$A$27/100)^DCF_Base!$L$4+Assumptions!$B$5-Assumptions!$B$4)/Assumptions!$B$3*Assumptions!$B$10</f>
        <v>38.3538905984457</v>
      </c>
      <c r="D27" s="0" t="n">
        <f aca="false">(SUMPRODUCT(DCF_Base!$C$19:$L$19/(1+$A$27/100)^DCF_Base!$C$4:$L$4)+MAX(0,MIN(IF($A$27&gt;$D$23,DCF_Base!$L$19*(1+$D$23/100)/(($A$27-$D$23)/100),DCF_Base!$L$19*DCF_Base!$B$29),DCF_Base!$L$19*DCF_Base!$B$29))/(1+$A$27/100)^DCF_Base!$L$4+Assumptions!$B$5-Assumptions!$B$4)/Assumptions!$B$3*Assumptions!$B$10</f>
        <v>38.3538905984457</v>
      </c>
      <c r="E27" s="0" t="n">
        <f aca="false">(SUMPRODUCT(DCF_Base!$C$19:$L$19/(1+$A$27/100)^DCF_Base!$C$4:$L$4)+MAX(0,MIN(IF($A$27&gt;$E$23,DCF_Base!$L$19*(1+$E$23/100)/(($A$27-$E$23)/100),DCF_Base!$L$19*DCF_Base!$B$29),DCF_Base!$L$19*DCF_Base!$B$29))/(1+$A$27/100)^DCF_Base!$L$4+Assumptions!$B$5-Assumptions!$B$4)/Assumptions!$B$3*Assumptions!$B$10</f>
        <v>38.3538905984457</v>
      </c>
      <c r="F27" s="0" t="n">
        <f aca="false">(SUMPRODUCT(DCF_Base!$C$19:$L$19/(1+$A$27/100)^DCF_Base!$C$4:$L$4)+MAX(0,MIN(IF($A$27&gt;$F$23,DCF_Base!$L$19*(1+$F$23/100)/(($A$27-$F$23)/100),DCF_Base!$L$19*DCF_Base!$B$29),DCF_Base!$L$19*DCF_Base!$B$29))/(1+$A$27/100)^DCF_Base!$L$4+Assumptions!$B$5-Assumptions!$B$4)/Assumptions!$B$3*Assumptions!$B$10</f>
        <v>38.3538905984457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33.2012632673538</v>
      </c>
      <c r="C28" s="0" t="n">
        <f aca="false">(SUMPRODUCT(DCF_Base!$C$19:$L$19/(1+$A$28/100)^DCF_Base!$C$4:$L$4)+MAX(0,MIN(IF($A$28&gt;$C$23,DCF_Base!$L$19*(1+$C$23/100)/(($A$28-$C$23)/100),DCF_Base!$L$19*DCF_Base!$B$29),DCF_Base!$L$19*DCF_Base!$B$29))/(1+$A$28/100)^DCF_Base!$L$4+Assumptions!$B$5-Assumptions!$B$4)/Assumptions!$B$3*Assumptions!$B$10</f>
        <v>34.2468891925307</v>
      </c>
      <c r="D28" s="0" t="n">
        <f aca="false">(SUMPRODUCT(DCF_Base!$C$19:$L$19/(1+$A$28/100)^DCF_Base!$C$4:$L$4)+MAX(0,MIN(IF($A$28&gt;$D$23,DCF_Base!$L$19*(1+$D$23/100)/(($A$28-$D$23)/100),DCF_Base!$L$19*DCF_Base!$B$29),DCF_Base!$L$19*DCF_Base!$B$29))/(1+$A$28/100)^DCF_Base!$L$4+Assumptions!$B$5-Assumptions!$B$4)/Assumptions!$B$3*Assumptions!$B$10</f>
        <v>35.4155299324343</v>
      </c>
      <c r="E28" s="0" t="n">
        <f aca="false">(SUMPRODUCT(DCF_Base!$C$19:$L$19/(1+$A$28/100)^DCF_Base!$C$4:$L$4)+MAX(0,MIN(IF($A$28&gt;$E$23,DCF_Base!$L$19*(1+$E$23/100)/(($A$28-$E$23)/100),DCF_Base!$L$19*DCF_Base!$B$29),DCF_Base!$L$19*DCF_Base!$B$29))/(1+$A$28/100)^DCF_Base!$L$4+Assumptions!$B$5-Assumptions!$B$4)/Assumptions!$B$3*Assumptions!$B$10</f>
        <v>35.4155299324343</v>
      </c>
      <c r="F28" s="0" t="n">
        <f aca="false">(SUMPRODUCT(DCF_Base!$C$19:$L$19/(1+$A$28/100)^DCF_Base!$C$4:$L$4)+MAX(0,MIN(IF($A$28&gt;$F$23,DCF_Base!$L$19*(1+$F$23/100)/(($A$28-$F$23)/100),DCF_Base!$L$19*DCF_Base!$B$29),DCF_Base!$L$19*DCF_Base!$B$29))/(1+$A$28/100)^DCF_Base!$L$4+Assumptions!$B$5-Assumptions!$B$4)/Assumptions!$B$3*Assumptions!$B$10</f>
        <v>35.4155299324343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2026-09-28T07:43:39Z</dcterms:created>
  <dc:creator>openpyxl</dc:creator>
  <dc:description/>
  <dc:language>en-NZ</dc:language>
  <cp:lastModifiedBy/>
  <dcterms:modified xsi:type="dcterms:W3CDTF">2026-09-28T07:43:39Z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