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Model_Info" sheetId="4" r:id="rId4"/>
  </sheets>
  <calcPr calcId="124519" fullCalcOnLoad="1"/>
</workbook>
</file>

<file path=xl/sharedStrings.xml><?xml version="1.0" encoding="utf-8"?>
<sst xmlns="http://schemas.openxmlformats.org/spreadsheetml/2006/main" count="117" uniqueCount="112">
  <si>
    <t>GEN.NZ Book-Value Compounding Model</t>
  </si>
  <si>
    <t>NOT AN FCF DCF -- General Capital is a deposit-taking lender. Gray cells are INPUTS.</t>
  </si>
  <si>
    <t>Model: PV(dividends) + PV(exit value = Year-5 BVPS x exit P/B), discounted at Cost of Equity.</t>
  </si>
  <si>
    <t>KEY INPUTS</t>
  </si>
  <si>
    <t>Current Stock Price</t>
  </si>
  <si>
    <t>Shares Outstanding (M)</t>
  </si>
  <si>
    <t>Total Equity, FY2026 (NZ$M)</t>
  </si>
  <si>
    <t>Book Value per Share (BVPS)</t>
  </si>
  <si>
    <t>Intangibles + Goodwill (NZ$M)</t>
  </si>
  <si>
    <t>Tangible Book Value per Share (TBVPS)</t>
  </si>
  <si>
    <t>FY2026 ROE (avg equity, %)</t>
  </si>
  <si>
    <t>Dividend Payout Ratio (%)</t>
  </si>
  <si>
    <t>Sustainable BV Growth = ROE x (1-Payout)</t>
  </si>
  <si>
    <t>Cost of Equity (CoE)</t>
  </si>
  <si>
    <t>Management's own CGU discount rate (anchor, memo)</t>
  </si>
  <si>
    <t>(FY26 goodwill impairment test, Finance CGU)</t>
  </si>
  <si>
    <t>Exit P/B Multiple (Year 5)</t>
  </si>
  <si>
    <t>ROE ASSUMPTIONS (Base Case)</t>
  </si>
  <si>
    <t>FY27</t>
  </si>
  <si>
    <t>FY28</t>
  </si>
  <si>
    <t>FY29</t>
  </si>
  <si>
    <t>FY30</t>
  </si>
  <si>
    <t>FY31</t>
  </si>
  <si>
    <t>PROJECTIONS (Base Case)</t>
  </si>
  <si>
    <t>Opening Book Value (NZ$M)</t>
  </si>
  <si>
    <t>Net Income (NZ$M)</t>
  </si>
  <si>
    <t>Dividends Paid (NZ$M)</t>
  </si>
  <si>
    <t>DPS (NZ$)</t>
  </si>
  <si>
    <t>Closing Book Value (NZ$M)</t>
  </si>
  <si>
    <t>BVPS (NZ$)</t>
  </si>
  <si>
    <t>Discount Factor (at CoE)</t>
  </si>
  <si>
    <t>PV of DPS</t>
  </si>
  <si>
    <t>VALUATION</t>
  </si>
  <si>
    <t>Sum PV of Dividends (Yrs 1-5)</t>
  </si>
  <si>
    <t>Year-5 Exit BVPS</t>
  </si>
  <si>
    <t>Exit Value per Share (Yr5 BVPS x Exit P/B)</t>
  </si>
  <si>
    <t>PV of Exit Value</t>
  </si>
  <si>
    <t>INTRINSIC VALUE / SHARE</t>
  </si>
  <si>
    <t>Upside / (Downside) vs Current Price</t>
  </si>
  <si>
    <t>Implied P/B of Intrinsic Value</t>
  </si>
  <si>
    <t>Implied P/TBV of Intrinsic Value</t>
  </si>
  <si>
    <t>ENTRY PRICE (15% IRR Target)</t>
  </si>
  <si>
    <t>Hurdle Rate</t>
  </si>
  <si>
    <t>PV of Dividends @ Hurdle</t>
  </si>
  <si>
    <t>PV of Exit Value @ Hurdle</t>
  </si>
  <si>
    <t>Entry Price (15% IRR)</t>
  </si>
  <si>
    <t>Entry Discount from Current Price</t>
  </si>
  <si>
    <t>JUSTIFIED P/B CHECK: (ROE-g)/(CoE-g)</t>
  </si>
  <si>
    <t>Terminal ROE (%)</t>
  </si>
  <si>
    <t>Sustainable Growth g (%)</t>
  </si>
  <si>
    <t>Cost of Equity (%)</t>
  </si>
  <si>
    <t>Fair/Justified P/B</t>
  </si>
  <si>
    <t>Implied Price at Fair P/B</t>
  </si>
  <si>
    <t>Note: this formula assumes PERPETUAL ROE/CoE -- treat as a floor cross-check, not the primary estimate.</t>
  </si>
  <si>
    <t>ROE (%)</t>
  </si>
  <si>
    <t>Sensitivity Analysis</t>
  </si>
  <si>
    <t>Intrinsic Value by Cost of Equity &amp; Exit P/B Multiple (Base ROE/payout path)</t>
  </si>
  <si>
    <t>CoE \ Exit P/B</t>
  </si>
  <si>
    <t>Historical Growth &amp; ROE Trend</t>
  </si>
  <si>
    <t>GEN.NZ has NO meaningful FCF -- reported OCF is a funding-flow artefact (see valuation_philosophy in JSON). This sheet replaces the FCF Quality sheet used for FCF-DCF tickers.</t>
  </si>
  <si>
    <t>Metric</t>
  </si>
  <si>
    <t>3-Year CAGR</t>
  </si>
  <si>
    <t>5-Year CAGR</t>
  </si>
  <si>
    <t>Note</t>
  </si>
  <si>
    <t>Operating Income</t>
  </si>
  <si>
    <t>Loan-book-growth driven; not the DCF driver</t>
  </si>
  <si>
    <t>NPAT</t>
  </si>
  <si>
    <t>Costs outrunning revenue -- see divergence warning</t>
  </si>
  <si>
    <t>EPS (restated x4 pre-Aug-2024)</t>
  </si>
  <si>
    <t>Negative 3yr CAGR</t>
  </si>
  <si>
    <t>Book Value per Share (restated)</t>
  </si>
  <si>
    <t>Most reliable historical series</t>
  </si>
  <si>
    <t>ROE Trend (avg equity)</t>
  </si>
  <si>
    <t>FY</t>
  </si>
  <si>
    <t>FY2022</t>
  </si>
  <si>
    <t>FY2023</t>
  </si>
  <si>
    <t>FY2024</t>
  </si>
  <si>
    <t>FY2025</t>
  </si>
  <si>
    <t>FY2026</t>
  </si>
  <si>
    <t>ROE %</t>
  </si>
  <si>
    <t>Selected Growth Rate (sustainable, ROE x retention):</t>
  </si>
  <si>
    <t>Source:</t>
  </si>
  <si>
    <t>sustainable_growth_roe_x_retention -- ROE(FY2026, ~9.0%) x (1 - 40% payout ratio) = 5.4% per year. This is the maximum book-value growth rate financeable from retained earnings alone without diluting shareholders via a below-book equity raise or drawing down capital-ratio headroom indefinitely -- deliberately NOT the loan-book growth rate (management guides 27.8% FY27 loan growth, moderating to 20-35%), which would require either continued capital-ratio drawdown or new equity.</t>
  </si>
  <si>
    <t>Model Provenance &amp; Notes</t>
  </si>
  <si>
    <t>Ticker</t>
  </si>
  <si>
    <t>GEN.NZ -- General Capital Limited</t>
  </si>
  <si>
    <t>Model built by</t>
  </si>
  <si>
    <t>Claude Agent (DCF valuation skill), per /Users/swilliams/Stocks/Research .claude CLAUDE.md workflow</t>
  </si>
  <si>
    <t>Build date</t>
  </si>
  <si>
    <t>2026-08-11</t>
  </si>
  <si>
    <t>Data vintage</t>
  </si>
  <si>
    <t>FY2026 annual report (year ended 31-Mar-2026, released 22-Jun-2026); share price NZ$0.26 verified live from Yahoo Finance on 11-Aug-2026</t>
  </si>
  <si>
    <t>Model type</t>
  </si>
  <si>
    <t>Book-value compounding (BVPS growth x exit Price/Book) with dividend income, discounted at Cost of Equity -- NOT a free-cash-flow DCF</t>
  </si>
  <si>
    <t>Why not FCF DCF</t>
  </si>
  <si>
    <t>GEN.NZ is a non-bank deposit taker. Reported OCF is dominated by loan origination/deposit flows (FY26 OCF -NZ$24.6m despite +NZ$2.72m NPAT) and has no valuation meaning. See valuation_philosophy block in the JSON for the full explanation.</t>
  </si>
  <si>
    <t>Share count basis</t>
  </si>
  <si>
    <t>1-for-4 consolidation executed 2-Aug-2024. FY2019-FY2024 EPS/per-share figures in the CSV are UN-restated (pre-consolidation basis); this model restates them x4 for the historical_growth CAGRs only. FY2025-FY2026 and all forward projections use the post-consolidation share count (91.877912m), held FLAT (no SBC -- verified nil; no buybacks or equity raise assumed).</t>
  </si>
  <si>
    <t>Cost of equity build</t>
  </si>
  <si>
    <t>16.75% -- see cost_of_equity.coe_rationale in the JSON. Anchored against management's own 17.3% pre-tax Finance-CGU discount rate from the FY26 goodwill impairment test.</t>
  </si>
  <si>
    <t>Growth driver</t>
  </si>
  <si>
    <t>Sustainable book-value growth = ROE x (1 - payout ratio) = 9.0% x 60% = 5.4%/yr, NOT the loan-book growth rate (management guides 27.8%+ for FY27) -- a lender cannot grow book value faster than retained earnings support without dilutive capital raising.</t>
  </si>
  <si>
    <t>Exit multiple discipline</t>
  </si>
  <si>
    <t>Exit P/B multiples (0.60x bear / 0.80x base / 1.10x bull) are anchored to the stock's OWN observed post-consolidation trading range (0.74x-0.88x FY2025-FY2026), not a theoretical re-rating.</t>
  </si>
  <si>
    <t>Sanity check</t>
  </si>
  <si>
    <t>Yahoo Finance historical monthly prices for GEN.NZ are NOT retroactively split-adjusted for the Aug-2024 consolidation; pre-consolidation P/B multiples (raw price x raw pre-split shares) of 3.3x-5.8x are an ILLIQUID MICRO-CAP PRICING ARTEFACT and are excluded from the historical average used in the sanity check. Only the post-consolidation FY2025-FY2026 P/B range (0.74x-0.82x) is used as the reliable anchor. See sanity_check block in the JSON for full detail.</t>
  </si>
  <si>
    <t>What to refresh after next earnings</t>
  </si>
  <si>
    <t>Update shares_outstanding, book_value_total, NPAT, ROE trend and DPS from the FY2027 annual report (expected ~Jun-2027); re-verify the current share price; re-check whether ROE continues its 4-year downtrend or begins to stabilise/recover (this is the single most important variable to re-test); re-run the sanity check against the latest 12 months of trading.</t>
  </si>
  <si>
    <t>Cell colour convention</t>
  </si>
  <si>
    <t>Gray/shaded cells on the DCF Model sheet are INPUTS -- edit these to test alternative assumptions. White cells contain FORMULAS and will recalculate automatically. Do not hand-edit white cells.</t>
  </si>
  <si>
    <t>Staleness warning</t>
  </si>
  <si>
    <t>All figures in this workbook are point-in-time as of the Data Vintage above. GEN.NZ is a fast-growing (in balance-sheet terms), thinly-traded micro-cap -- re-verify all inputs before relying on this model for a live decision.</t>
  </si>
</sst>
</file>

<file path=xl/styles.xml><?xml version="1.0" encoding="utf-8"?>
<styleSheet xmlns="http://schemas.openxmlformats.org/spreadsheetml/2006/main">
  <numFmts count="5">
    <numFmt numFmtId="164" formatCode="#,##0.0000"/>
    <numFmt numFmtId="165" formatCode="0.00%"/>
    <numFmt numFmtId="166" formatCode="0.0%"/>
    <numFmt numFmtId="167" formatCode="&quot;$&quot;#,##0.0000"/>
    <numFmt numFmtId="168" formatCode="0.00&quot;x&quot;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rgb="FFD6303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166" fontId="0" fillId="0" borderId="2" xfId="0" applyNumberFormat="1" applyBorder="1"/>
    <xf numFmtId="0" fontId="5" fillId="3" borderId="2" xfId="0" applyFont="1" applyFill="1" applyBorder="1"/>
    <xf numFmtId="0" fontId="6" fillId="0" borderId="0" xfId="0" applyFont="1"/>
    <xf numFmtId="167" fontId="5" fillId="4" borderId="2" xfId="0" applyNumberFormat="1" applyFont="1" applyFill="1" applyBorder="1"/>
    <xf numFmtId="167" fontId="0" fillId="0" borderId="2" xfId="0" applyNumberFormat="1" applyBorder="1"/>
    <xf numFmtId="168" fontId="5" fillId="3" borderId="0" xfId="0" applyNumberFormat="1" applyFont="1" applyFill="1"/>
    <xf numFmtId="165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0.26</v>
      </c>
    </row>
    <row r="7" spans="1:2">
      <c r="A7" t="s">
        <v>5</v>
      </c>
      <c r="B7" s="5">
        <v>91.87791199999999</v>
      </c>
    </row>
    <row r="8" spans="1:2">
      <c r="A8" t="s">
        <v>6</v>
      </c>
      <c r="B8" s="5">
        <v>31.297921</v>
      </c>
    </row>
    <row r="9" spans="1:2">
      <c r="A9" t="s">
        <v>7</v>
      </c>
      <c r="B9" s="6">
        <f>B8/B7</f>
        <v>0</v>
      </c>
    </row>
    <row r="10" spans="1:2">
      <c r="A10" t="s">
        <v>8</v>
      </c>
      <c r="B10" s="5">
        <v>4.318</v>
      </c>
    </row>
    <row r="11" spans="1:2">
      <c r="A11" t="s">
        <v>9</v>
      </c>
      <c r="B11" s="6">
        <f>(B8-B10)/B7</f>
        <v>0</v>
      </c>
    </row>
    <row r="12" spans="1:2">
      <c r="A12" t="s">
        <v>10</v>
      </c>
      <c r="B12" s="7">
        <v>0.09</v>
      </c>
    </row>
    <row r="13" spans="1:2">
      <c r="A13" t="s">
        <v>11</v>
      </c>
      <c r="B13" s="7">
        <v>0.4</v>
      </c>
    </row>
    <row r="14" spans="1:2">
      <c r="A14" t="s">
        <v>12</v>
      </c>
      <c r="B14" s="8">
        <f>B12*(1-B13)</f>
        <v>0</v>
      </c>
    </row>
    <row r="16" spans="1:2">
      <c r="A16" t="s">
        <v>13</v>
      </c>
      <c r="B16" s="7">
        <v>0.1675</v>
      </c>
    </row>
    <row r="17" spans="1:6">
      <c r="A17" t="s">
        <v>14</v>
      </c>
      <c r="B17" s="6">
        <v>0.173</v>
      </c>
      <c r="C17" s="3" t="s">
        <v>15</v>
      </c>
    </row>
    <row r="18" spans="1:6">
      <c r="A18" t="s">
        <v>16</v>
      </c>
      <c r="B18" s="5">
        <v>0.8</v>
      </c>
    </row>
    <row r="20" spans="1:6">
      <c r="A20" s="4" t="s">
        <v>17</v>
      </c>
      <c r="B20" s="9" t="s">
        <v>18</v>
      </c>
      <c r="C20" s="9" t="s">
        <v>19</v>
      </c>
      <c r="D20" s="9" t="s">
        <v>20</v>
      </c>
      <c r="E20" s="9" t="s">
        <v>21</v>
      </c>
      <c r="F20" s="9" t="s">
        <v>22</v>
      </c>
    </row>
    <row r="21" spans="1:6">
      <c r="A21" t="s">
        <v>54</v>
      </c>
      <c r="B21" s="7">
        <v>0.08699999999999999</v>
      </c>
      <c r="C21" s="7">
        <v>0.08800000000000001</v>
      </c>
      <c r="D21" s="7">
        <v>0.08900000000000001</v>
      </c>
      <c r="E21" s="7">
        <v>0.09</v>
      </c>
      <c r="F21" s="7">
        <v>0.09</v>
      </c>
    </row>
    <row r="23" spans="1:6">
      <c r="A23" s="4" t="s">
        <v>23</v>
      </c>
    </row>
    <row r="24" spans="1:6">
      <c r="A24" s="9"/>
      <c r="B24" s="9" t="s">
        <v>18</v>
      </c>
      <c r="C24" s="9" t="s">
        <v>19</v>
      </c>
      <c r="D24" s="9" t="s">
        <v>20</v>
      </c>
      <c r="E24" s="9" t="s">
        <v>21</v>
      </c>
      <c r="F24" s="9" t="s">
        <v>22</v>
      </c>
    </row>
    <row r="25" spans="1:6">
      <c r="A25" t="s">
        <v>24</v>
      </c>
      <c r="B25" s="6">
        <f>B8</f>
        <v>0</v>
      </c>
      <c r="C25" s="6">
        <f>B29</f>
        <v>0</v>
      </c>
      <c r="D25" s="6">
        <f>C29</f>
        <v>0</v>
      </c>
      <c r="E25" s="6">
        <f>D29</f>
        <v>0</v>
      </c>
      <c r="F25" s="6">
        <f>E29</f>
        <v>0</v>
      </c>
    </row>
    <row r="26" spans="1:6">
      <c r="A26" t="s">
        <v>25</v>
      </c>
      <c r="B26" s="6">
        <f>B25*B21</f>
        <v>0</v>
      </c>
      <c r="C26" s="6">
        <f>C25*C21</f>
        <v>0</v>
      </c>
      <c r="D26" s="6">
        <f>D25*D21</f>
        <v>0</v>
      </c>
      <c r="E26" s="6">
        <f>E25*E21</f>
        <v>0</v>
      </c>
      <c r="F26" s="6">
        <f>F25*F21</f>
        <v>0</v>
      </c>
    </row>
    <row r="27" spans="1:6">
      <c r="A27" t="s">
        <v>26</v>
      </c>
      <c r="B27" s="6">
        <f>B26*$B$13</f>
        <v>0</v>
      </c>
      <c r="C27" s="6">
        <f>C26*$B$13</f>
        <v>0</v>
      </c>
      <c r="D27" s="6">
        <f>D26*$B$13</f>
        <v>0</v>
      </c>
      <c r="E27" s="6">
        <f>E26*$B$13</f>
        <v>0</v>
      </c>
      <c r="F27" s="6">
        <f>F26*$B$13</f>
        <v>0</v>
      </c>
    </row>
    <row r="28" spans="1:6">
      <c r="A28" t="s">
        <v>27</v>
      </c>
      <c r="B28" s="6">
        <f>B27/$B$7</f>
        <v>0</v>
      </c>
      <c r="C28" s="6">
        <f>C27/$B$7</f>
        <v>0</v>
      </c>
      <c r="D28" s="6">
        <f>D27/$B$7</f>
        <v>0</v>
      </c>
      <c r="E28" s="6">
        <f>E27/$B$7</f>
        <v>0</v>
      </c>
      <c r="F28" s="6">
        <f>F27/$B$7</f>
        <v>0</v>
      </c>
    </row>
    <row r="29" spans="1:6">
      <c r="A29" t="s">
        <v>28</v>
      </c>
      <c r="B29" s="6">
        <f>B25+B26-B27</f>
        <v>0</v>
      </c>
      <c r="C29" s="6">
        <f>C25+C26-C27</f>
        <v>0</v>
      </c>
      <c r="D29" s="6">
        <f>D25+D26-D27</f>
        <v>0</v>
      </c>
      <c r="E29" s="6">
        <f>E25+E26-E27</f>
        <v>0</v>
      </c>
      <c r="F29" s="6">
        <f>F25+F26-F27</f>
        <v>0</v>
      </c>
    </row>
    <row r="30" spans="1:6">
      <c r="A30" t="s">
        <v>29</v>
      </c>
      <c r="B30" s="6">
        <f>B29/$B$7</f>
        <v>0</v>
      </c>
      <c r="C30" s="6">
        <f>C29/$B$7</f>
        <v>0</v>
      </c>
      <c r="D30" s="6">
        <f>D29/$B$7</f>
        <v>0</v>
      </c>
      <c r="E30" s="6">
        <f>E29/$B$7</f>
        <v>0</v>
      </c>
      <c r="F30" s="6">
        <f>F29/$B$7</f>
        <v>0</v>
      </c>
    </row>
    <row r="31" spans="1:6">
      <c r="A31" t="s">
        <v>30</v>
      </c>
      <c r="B31" s="6">
        <f>1/(1+$B$16)^1</f>
        <v>0</v>
      </c>
      <c r="C31" s="6">
        <f>1/(1+$B$16)^2</f>
        <v>0</v>
      </c>
      <c r="D31" s="6">
        <f>1/(1+$B$16)^3</f>
        <v>0</v>
      </c>
      <c r="E31" s="6">
        <f>1/(1+$B$16)^4</f>
        <v>0</v>
      </c>
      <c r="F31" s="6">
        <f>1/(1+$B$16)^5</f>
        <v>0</v>
      </c>
    </row>
    <row r="32" spans="1:6">
      <c r="A32" t="s">
        <v>31</v>
      </c>
      <c r="B32" s="6">
        <f>B28*B31</f>
        <v>0</v>
      </c>
      <c r="C32" s="6">
        <f>C28*C31</f>
        <v>0</v>
      </c>
      <c r="D32" s="6">
        <f>D28*D31</f>
        <v>0</v>
      </c>
      <c r="E32" s="6">
        <f>E28*E31</f>
        <v>0</v>
      </c>
      <c r="F32" s="6">
        <f>F28*F31</f>
        <v>0</v>
      </c>
    </row>
    <row r="34" spans="1:2">
      <c r="A34" s="4" t="s">
        <v>32</v>
      </c>
    </row>
    <row r="35" spans="1:2">
      <c r="A35" t="s">
        <v>33</v>
      </c>
      <c r="B35" s="6">
        <f>SUM(B32:F32)</f>
        <v>0</v>
      </c>
    </row>
    <row r="36" spans="1:2">
      <c r="A36" t="s">
        <v>34</v>
      </c>
      <c r="B36" s="6">
        <f>F30</f>
        <v>0</v>
      </c>
    </row>
    <row r="37" spans="1:2">
      <c r="A37" t="s">
        <v>35</v>
      </c>
      <c r="B37" s="6">
        <f>B36*B18</f>
        <v>0</v>
      </c>
    </row>
    <row r="38" spans="1:2">
      <c r="A38" t="s">
        <v>36</v>
      </c>
      <c r="B38" s="6">
        <f>B37*F31</f>
        <v>0</v>
      </c>
    </row>
    <row r="39" spans="1:2">
      <c r="A39" s="10" t="s">
        <v>37</v>
      </c>
      <c r="B39" s="11">
        <f>B35+B38</f>
        <v>0</v>
      </c>
    </row>
    <row r="40" spans="1:2">
      <c r="A40" t="s">
        <v>38</v>
      </c>
      <c r="B40" s="8">
        <f>(B39-B6)/B6</f>
        <v>0</v>
      </c>
    </row>
    <row r="41" spans="1:2">
      <c r="A41" t="s">
        <v>39</v>
      </c>
      <c r="B41" s="6">
        <f>B39/B9</f>
        <v>0</v>
      </c>
    </row>
    <row r="42" spans="1:2">
      <c r="A42" t="s">
        <v>40</v>
      </c>
      <c r="B42" s="6">
        <f>B39/B11</f>
        <v>0</v>
      </c>
    </row>
    <row r="44" spans="1:2">
      <c r="A44" s="4" t="s">
        <v>41</v>
      </c>
    </row>
    <row r="45" spans="1:2">
      <c r="A45" t="s">
        <v>42</v>
      </c>
      <c r="B45" s="7">
        <v>0.15</v>
      </c>
    </row>
    <row r="46" spans="1:2">
      <c r="A46" t="s">
        <v>43</v>
      </c>
      <c r="B46" s="6">
        <f>NPV(B45,B28:F28)</f>
        <v>0</v>
      </c>
    </row>
    <row r="47" spans="1:2">
      <c r="A47" t="s">
        <v>44</v>
      </c>
      <c r="B47" s="6">
        <f>B37/(1+B45)^5</f>
        <v>0</v>
      </c>
    </row>
    <row r="48" spans="1:2">
      <c r="A48" t="s">
        <v>45</v>
      </c>
      <c r="B48" s="11">
        <f>B46+B47</f>
        <v>0</v>
      </c>
    </row>
    <row r="49" spans="1:2">
      <c r="A49" t="s">
        <v>46</v>
      </c>
      <c r="B49" s="8">
        <f>(B6-B48)/B6</f>
        <v>0</v>
      </c>
    </row>
    <row r="51" spans="1:2">
      <c r="A51" s="4" t="s">
        <v>47</v>
      </c>
    </row>
    <row r="52" spans="1:2">
      <c r="A52" t="s">
        <v>48</v>
      </c>
      <c r="B52" s="7">
        <v>0.09</v>
      </c>
    </row>
    <row r="53" spans="1:2">
      <c r="A53" t="s">
        <v>49</v>
      </c>
      <c r="B53" s="8">
        <f>B14</f>
        <v>0</v>
      </c>
    </row>
    <row r="54" spans="1:2">
      <c r="A54" t="s">
        <v>50</v>
      </c>
      <c r="B54" s="8">
        <f>B16</f>
        <v>0</v>
      </c>
    </row>
    <row r="55" spans="1:2">
      <c r="A55" t="s">
        <v>51</v>
      </c>
      <c r="B55" s="6">
        <f>(B52-B53)/(B54-B53)</f>
        <v>0</v>
      </c>
    </row>
    <row r="56" spans="1:2">
      <c r="A56" t="s">
        <v>52</v>
      </c>
      <c r="B56" s="12">
        <f>B55*B9</f>
        <v>0</v>
      </c>
    </row>
    <row r="57" spans="1:2">
      <c r="A57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55</v>
      </c>
    </row>
    <row r="2" spans="1:6">
      <c r="A2" t="s">
        <v>56</v>
      </c>
    </row>
    <row r="4" spans="1:6">
      <c r="A4" s="9" t="s">
        <v>57</v>
      </c>
      <c r="B4" s="13">
        <v>0.4</v>
      </c>
      <c r="C4" s="13">
        <v>0.6</v>
      </c>
      <c r="D4" s="13">
        <v>0.8</v>
      </c>
      <c r="E4" s="13">
        <v>1</v>
      </c>
      <c r="F4" s="13">
        <v>1.2</v>
      </c>
    </row>
    <row r="5" spans="1:6">
      <c r="A5" s="14">
        <v>0.1475</v>
      </c>
      <c r="B5" s="12">
        <f>NPV(0.1475,'DCF Model'!$B$28:$F$28)+('DCF Model'!$F$30*0.4)/(1+0.1475)^5</f>
        <v>0</v>
      </c>
      <c r="C5" s="12">
        <f>NPV(0.1475,'DCF Model'!$B$28:$F$28)+('DCF Model'!$F$30*0.6)/(1+0.1475)^5</f>
        <v>0</v>
      </c>
      <c r="D5" s="12">
        <f>NPV(0.1475,'DCF Model'!$B$28:$F$28)+('DCF Model'!$F$30*0.8)/(1+0.1475)^5</f>
        <v>0</v>
      </c>
      <c r="E5" s="12">
        <f>NPV(0.1475,'DCF Model'!$B$28:$F$28)+('DCF Model'!$F$30*1.0)/(1+0.1475)^5</f>
        <v>0</v>
      </c>
      <c r="F5" s="12">
        <f>NPV(0.1475,'DCF Model'!$B$28:$F$28)+('DCF Model'!$F$30*1.2)/(1+0.1475)^5</f>
        <v>0</v>
      </c>
    </row>
    <row r="6" spans="1:6">
      <c r="A6" s="14">
        <v>0.1575</v>
      </c>
      <c r="B6" s="12">
        <f>NPV(0.1575,'DCF Model'!$B$28:$F$28)+('DCF Model'!$F$30*0.4)/(1+0.1575)^5</f>
        <v>0</v>
      </c>
      <c r="C6" s="12">
        <f>NPV(0.1575,'DCF Model'!$B$28:$F$28)+('DCF Model'!$F$30*0.6)/(1+0.1575)^5</f>
        <v>0</v>
      </c>
      <c r="D6" s="12">
        <f>NPV(0.1575,'DCF Model'!$B$28:$F$28)+('DCF Model'!$F$30*0.8)/(1+0.1575)^5</f>
        <v>0</v>
      </c>
      <c r="E6" s="12">
        <f>NPV(0.1575,'DCF Model'!$B$28:$F$28)+('DCF Model'!$F$30*1.0)/(1+0.1575)^5</f>
        <v>0</v>
      </c>
      <c r="F6" s="12">
        <f>NPV(0.1575,'DCF Model'!$B$28:$F$28)+('DCF Model'!$F$30*1.2)/(1+0.1575)^5</f>
        <v>0</v>
      </c>
    </row>
    <row r="7" spans="1:6">
      <c r="A7" s="14">
        <v>0.1675</v>
      </c>
      <c r="B7" s="12">
        <f>NPV(0.1675,'DCF Model'!$B$28:$F$28)+('DCF Model'!$F$30*0.4)/(1+0.1675)^5</f>
        <v>0</v>
      </c>
      <c r="C7" s="12">
        <f>NPV(0.1675,'DCF Model'!$B$28:$F$28)+('DCF Model'!$F$30*0.6)/(1+0.1675)^5</f>
        <v>0</v>
      </c>
      <c r="D7" s="12">
        <f>NPV(0.1675,'DCF Model'!$B$28:$F$28)+('DCF Model'!$F$30*0.8)/(1+0.1675)^5</f>
        <v>0</v>
      </c>
      <c r="E7" s="12">
        <f>NPV(0.1675,'DCF Model'!$B$28:$F$28)+('DCF Model'!$F$30*1.0)/(1+0.1675)^5</f>
        <v>0</v>
      </c>
      <c r="F7" s="12">
        <f>NPV(0.1675,'DCF Model'!$B$28:$F$28)+('DCF Model'!$F$30*1.2)/(1+0.1675)^5</f>
        <v>0</v>
      </c>
    </row>
    <row r="8" spans="1:6">
      <c r="A8" s="14">
        <v>0.1775</v>
      </c>
      <c r="B8" s="12">
        <f>NPV(0.1775,'DCF Model'!$B$28:$F$28)+('DCF Model'!$F$30*0.4)/(1+0.1775)^5</f>
        <v>0</v>
      </c>
      <c r="C8" s="12">
        <f>NPV(0.1775,'DCF Model'!$B$28:$F$28)+('DCF Model'!$F$30*0.6)/(1+0.1775)^5</f>
        <v>0</v>
      </c>
      <c r="D8" s="12">
        <f>NPV(0.1775,'DCF Model'!$B$28:$F$28)+('DCF Model'!$F$30*0.8)/(1+0.1775)^5</f>
        <v>0</v>
      </c>
      <c r="E8" s="12">
        <f>NPV(0.1775,'DCF Model'!$B$28:$F$28)+('DCF Model'!$F$30*1.0)/(1+0.1775)^5</f>
        <v>0</v>
      </c>
      <c r="F8" s="12">
        <f>NPV(0.1775,'DCF Model'!$B$28:$F$28)+('DCF Model'!$F$30*1.2)/(1+0.1775)^5</f>
        <v>0</v>
      </c>
    </row>
    <row r="9" spans="1:6">
      <c r="A9" s="14">
        <v>0.1875</v>
      </c>
      <c r="B9" s="12">
        <f>NPV(0.1875,'DCF Model'!$B$28:$F$28)+('DCF Model'!$F$30*0.4)/(1+0.1875)^5</f>
        <v>0</v>
      </c>
      <c r="C9" s="12">
        <f>NPV(0.1875,'DCF Model'!$B$28:$F$28)+('DCF Model'!$F$30*0.6)/(1+0.1875)^5</f>
        <v>0</v>
      </c>
      <c r="D9" s="12">
        <f>NPV(0.1875,'DCF Model'!$B$28:$F$28)+('DCF Model'!$F$30*0.8)/(1+0.1875)^5</f>
        <v>0</v>
      </c>
      <c r="E9" s="12">
        <f>NPV(0.1875,'DCF Model'!$B$28:$F$28)+('DCF Model'!$F$30*1.0)/(1+0.1875)^5</f>
        <v>0</v>
      </c>
      <c r="F9" s="12">
        <f>NPV(0.1875,'DCF Model'!$B$28:$F$28)+('DCF Model'!$F$30*1.2)/(1+0.1875)^5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28.7109375" customWidth="1"/>
    <col min="2" max="6" width="15.7109375" customWidth="1"/>
  </cols>
  <sheetData>
    <row r="1" spans="1:6">
      <c r="A1" s="1" t="s">
        <v>58</v>
      </c>
    </row>
    <row r="2" spans="1:6">
      <c r="A2" s="3" t="s">
        <v>59</v>
      </c>
    </row>
    <row r="4" spans="1:6">
      <c r="A4" s="9" t="s">
        <v>60</v>
      </c>
      <c r="B4" s="9" t="s">
        <v>61</v>
      </c>
      <c r="C4" s="9" t="s">
        <v>62</v>
      </c>
      <c r="D4" s="9" t="s">
        <v>63</v>
      </c>
    </row>
    <row r="5" spans="1:6">
      <c r="A5" t="s">
        <v>64</v>
      </c>
      <c r="B5" s="8">
        <v>0.1453</v>
      </c>
      <c r="C5" s="8">
        <v>0.3756</v>
      </c>
      <c r="D5" s="3" t="s">
        <v>65</v>
      </c>
    </row>
    <row r="6" spans="1:6">
      <c r="A6" t="s">
        <v>66</v>
      </c>
      <c r="B6" s="8">
        <v>0.0645</v>
      </c>
      <c r="C6" s="8">
        <v>1.0162</v>
      </c>
      <c r="D6" s="3" t="s">
        <v>67</v>
      </c>
    </row>
    <row r="7" spans="1:6">
      <c r="A7" t="s">
        <v>68</v>
      </c>
      <c r="B7" s="8">
        <v>-0.08839999999999999</v>
      </c>
      <c r="C7" s="8">
        <v>0.7153</v>
      </c>
      <c r="D7" s="3" t="s">
        <v>69</v>
      </c>
    </row>
    <row r="8" spans="1:6">
      <c r="A8" t="s">
        <v>70</v>
      </c>
      <c r="B8" s="8">
        <v>0.0848</v>
      </c>
      <c r="C8" s="8">
        <v>0.0781</v>
      </c>
      <c r="D8" s="3" t="s">
        <v>71</v>
      </c>
    </row>
    <row r="10" spans="1:6">
      <c r="A10" s="10" t="s">
        <v>72</v>
      </c>
    </row>
    <row r="11" spans="1:6">
      <c r="A11" s="9" t="s">
        <v>73</v>
      </c>
      <c r="B11" s="9" t="s">
        <v>74</v>
      </c>
      <c r="C11" s="9" t="s">
        <v>75</v>
      </c>
      <c r="D11" s="9" t="s">
        <v>76</v>
      </c>
      <c r="E11" s="9" t="s">
        <v>77</v>
      </c>
      <c r="F11" s="9" t="s">
        <v>78</v>
      </c>
    </row>
    <row r="12" spans="1:6">
      <c r="A12" t="s">
        <v>79</v>
      </c>
      <c r="B12" s="8">
        <v>0.116</v>
      </c>
      <c r="C12" s="8">
        <v>0.119</v>
      </c>
      <c r="D12" s="8">
        <v>0.103</v>
      </c>
      <c r="E12" s="8">
        <v>0.1</v>
      </c>
      <c r="F12" s="8">
        <v>0.09</v>
      </c>
    </row>
    <row r="14" spans="1:6">
      <c r="A14" s="10" t="s">
        <v>80</v>
      </c>
      <c r="B14" s="8">
        <v>0.05400000000000001</v>
      </c>
    </row>
    <row r="15" spans="1:6">
      <c r="A15" t="s">
        <v>81</v>
      </c>
      <c r="B15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0.7109375" customWidth="1"/>
    <col min="2" max="2" width="90.7109375" customWidth="1"/>
  </cols>
  <sheetData>
    <row r="1" spans="1:2">
      <c r="A1" s="1" t="s">
        <v>83</v>
      </c>
    </row>
    <row r="3" spans="1:2">
      <c r="A3" s="10" t="s">
        <v>84</v>
      </c>
      <c r="B3" s="3" t="s">
        <v>85</v>
      </c>
    </row>
    <row r="4" spans="1:2">
      <c r="A4" s="10" t="s">
        <v>86</v>
      </c>
      <c r="B4" s="3" t="s">
        <v>87</v>
      </c>
    </row>
    <row r="5" spans="1:2">
      <c r="A5" s="10" t="s">
        <v>88</v>
      </c>
      <c r="B5" s="3" t="s">
        <v>89</v>
      </c>
    </row>
    <row r="6" spans="1:2">
      <c r="A6" s="10" t="s">
        <v>90</v>
      </c>
      <c r="B6" s="3" t="s">
        <v>91</v>
      </c>
    </row>
    <row r="7" spans="1:2">
      <c r="A7" s="10" t="s">
        <v>92</v>
      </c>
      <c r="B7" s="3" t="s">
        <v>93</v>
      </c>
    </row>
    <row r="8" spans="1:2">
      <c r="A8" s="10" t="s">
        <v>94</v>
      </c>
      <c r="B8" s="3" t="s">
        <v>95</v>
      </c>
    </row>
    <row r="9" spans="1:2">
      <c r="A9" s="10" t="s">
        <v>96</v>
      </c>
      <c r="B9" s="3" t="s">
        <v>97</v>
      </c>
    </row>
    <row r="10" spans="1:2">
      <c r="A10" s="10" t="s">
        <v>98</v>
      </c>
      <c r="B10" s="3" t="s">
        <v>99</v>
      </c>
    </row>
    <row r="11" spans="1:2">
      <c r="A11" s="10" t="s">
        <v>100</v>
      </c>
      <c r="B11" s="3" t="s">
        <v>101</v>
      </c>
    </row>
    <row r="12" spans="1:2">
      <c r="A12" s="10" t="s">
        <v>102</v>
      </c>
      <c r="B12" s="3" t="s">
        <v>103</v>
      </c>
    </row>
    <row r="13" spans="1:2">
      <c r="A13" s="10" t="s">
        <v>104</v>
      </c>
      <c r="B13" s="3" t="s">
        <v>105</v>
      </c>
    </row>
    <row r="14" spans="1:2">
      <c r="A14" s="10" t="s">
        <v>106</v>
      </c>
      <c r="B14" s="3" t="s">
        <v>107</v>
      </c>
    </row>
    <row r="15" spans="1:2">
      <c r="A15" s="10" t="s">
        <v>108</v>
      </c>
      <c r="B15" s="3" t="s">
        <v>109</v>
      </c>
    </row>
    <row r="16" spans="1:2">
      <c r="A16" s="10" t="s">
        <v>110</v>
      </c>
      <c r="B16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2026-08-11T06:22:31Z</dcterms:created>
  <dcterms:modified xsi:type="dcterms:W3CDTF">2026-08-11T06:22:31Z</dcterms:modified>
</cp:coreProperties>
</file>