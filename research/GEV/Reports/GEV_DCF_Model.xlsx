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<sst xmlns="http://schemas.openxmlformats.org/spreadsheetml/2006/main" count="345" uniqueCount="160">
  <si>
    <t xml:space="preserve">Ticker</t>
  </si>
  <si>
    <t xml:space="preserve">GEV</t>
  </si>
  <si>
    <t xml:space="preserve">Company</t>
  </si>
  <si>
    <t xml:space="preserve">GE Vernova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</si>
  <si>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</si>
  <si>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</si>
  <si>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</si>
  <si>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</si>
  <si>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(Friday close; latest regular session before the 2026-09-28 valuation date; 52-week range 530.16-1195.94)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</si>
  <si>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</si>
  <si>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</si>
  <si>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</si>
  <si>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</si>
  <si>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</si>
  <si>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</si>
  <si>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</si>
  <si>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</si>
  <si>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</si>
  <si>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</si>
  <si>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</si>
  <si>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</si>
  <si>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2026-09-28T08:45:15Z</t>
  </si>
  <si>
    <t xml:space="preserve">Drivers file</t>
  </si>
  <si>
    <t xml:space="preserve">GEV_Drivers.json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</si>
  <si>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</si>
  <si>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</si>
  <si>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</si>
  <si>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GE Vernova on the cash the operating business earns — GAAP operating income + D&amp;A, less SBC, cash tax, capex and a normal working-capital ratio — not on reported net income (distorted by the FY2025 $2.9B valuation-allowance release and the Q1-2026 $4.5B Prolec GE remeasurement gain) and not on reported FCF (FY2026 guidance of $11.5-12.5B is roughly half customer advances on a backlog the company has yet to build). The model gives full credit for the $9.9B net cash those advances have created, gives permanent credit for Prolec GE as a consolidated business with its acquisition debt, and lets margins ramp well past today's levels. The gap between the resulting value and the market price is therefore a statement about one thing: the price capitalises the advance-driven FCF as if it recurs, and assumes the AI power supercycle both persists and expands margins beyond anything the company has guided.
key_risks_to_valuation: Customer advances: $40B of contract liabilities at 2026-06-30 fund most of the net cash; if order intake slows, working capital reverses and the cash pile is spent delivering the backlog (bear scenario captures this with negative wc_capture).; Hyperscaler concentration: incremental gas-turbine and Electrification orders depend on a handful of AI data-centre capex decisions.; Offshore wind: Vineyard Wind litigation and Dogger Bank losses could produce further charges not in the margin path.; Fixed-price long-cycle backlog exposed to tariffs, steel/copper and electrical-steel inflation through 2029-30.; Margin path to 15.5% (base) / 18% (bull) is above anything achieved to date (6.6% FY2025 cash-operating basis); execution on the ramp is the main upside-risk lever.; Interest income is an estimate ($250M) and the US NOL cash-tax shelter is unmodelled; both are small and pull in opposite directions.; Terminal value is ~55-60% of enterprise value in every scenario; the cyclical cap (16x/18x/12x) is the main lever on the answer.</t>
  </si>
  <si>
    <t xml:space="preserve">Data sources</t>
  </si>
  <si>
    <t xml:space="preserve">price: Yahoo Finance chart API via make dcf-context, regular close at inputs.price_as_of; 52-week range 530.16-1195.94.
financials: GEV_Metrics.csv (core_metrics, FY2022-Q2 2026) for revenue, operating income, OCF, capex, debt and shares; SEC XBRL companyfacts (CIK 0001996810) for cash incl. restricted ($13,120M), restricted cash ($379M FY2025), debt ($2,849M), diluted/basic shares, NCI ($1,158M), equity-method investments ($1,384M), operating lease liabilities ($871M), depreciation ($615M FY2025) and intangibles amortisation ($238M FY2025; $411M H1-2026 post-Prolec), SBC ($257M) and net award-tax withholding (-$177M), buybacks ($3,316M FY2025; $3,671M H1-2026), cash taxes ($830M FY2025; $1,258M H1-2026), contract liabilities ($17,744M FY2024; $25,950M FY2025; $40,037M Q2-2026), valuation allowance ($8,420M -&gt; $4,816M), OtherNonoperatingIncomeExpense (Q1-2026 $4,762M remeasurement gain).
qualitative: GEV_Analysis.json (2026-09-28): segments, backlog ($176B, ~$200B by 2027), Q2-2026 guidance ($45.5-46.5B revenue, $11.5-12.5B FCF, 12-14% adjusted EBITDA margin), Prolec GE acquisition ($5,275M, 2026-02-02, ~$2.6B new debt), bull/bear axes.</t>
  </si>
  <si>
    <t xml:space="preserve">Scenario narrative: bear</t>
  </si>
  <si>
    <t xml:space="preserve">The 2025-26 order surge proves to be a cyclical peak: growth stalls from 2027, revenue dips in 2029-30, margins stay at 11-12% under wind, tariff and fixed-price-backlog pressure, and the advance-funded cash is consumed delivering already-collected orders (negative working-capital capture). Terminal 12x.</t>
  </si>
  <si>
    <t xml:space="preserve">Scenario narrative: base</t>
  </si>
  <si>
    <t xml:space="preserve">FY2026 at the raised guidance midpoint ($46.0B, 12% cash-operating EBITDA margin) with Prolec GE consolidated, then 10-12% growth through 2028 as the $176-200B backlog converts, fading to 3% by 2034. Margin ramps to 15.5% by 2030 on Power services mix, Electrification scale and shrinking offshore-wind losses, and holds. Customer advances are treated as a balance-sheet stock, not a recurring flow: only 10% of each year's revenue increase is captured as working-capital inflow. Terminal at 16x year-10 owner FCF (Gordon 9.5%/3.0% = 15.8x).</t>
  </si>
  <si>
    <t xml:space="preserve">Scenario narrative: bull</t>
  </si>
  <si>
    <t xml:space="preserve">Structural AI/electrification demand: revenue compounds at 15-13-11% through 2029, Electrification and Prolec transformers scale into a durable grid-equipment franchise, gas-turbine pricing power persists, offshore wind is exited cleanly, and margins reach 18% by 2031. Advances fund 25% of growth. Terminal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</si>
  <si>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</si>
  <si>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</si>
  <si>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</si>
  <si>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</si>
  <si>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</si>
  <si>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</si>
  <si>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</si>
  <si>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</si>
  <si>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</si>
  <si>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</si>
  <si>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</si>
  <si>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</si>
  <si>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</si>
  <si>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</si>
  <si>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</si>
  <si>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</si>
  <si>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</si>
  <si>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</si>
  <si>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</si>
  <si>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</si>
  <si>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</si>
  <si>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</si>
  <si>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</si>
  <si>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</si>
  <si>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</si>
  <si>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</si>
  <si>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</si>
  <si>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</si>
  <si>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</si>
  <si>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</si>
  <si>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</si>
  <si>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</si>
  <si>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</si>
  <si>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</si>
  <si>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</si>
  <si>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</si>
  <si>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</si>
  <si>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</si>
  <si>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</si>
  <si>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</si>
  <si>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</si>
  <si>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</si>
  <si>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</si>
  <si>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</si>
  <si>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</si>
  <si>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</si>
  <si>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</si>
  <si>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</si>
  <si>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</si>
  <si>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</si>
  <si>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</si>
  <si>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</si>
  <si>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</si>
  <si>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</si>
  <si>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</si>
  <si>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</si>
  <si>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</si>
  <si>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</si>
  <si>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</si>
  <si>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</si>
  <si>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</si>
  <si>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</si>
  <si>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</si>
  <si>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</si>
  <si>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</si>
  <si>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</si>
  <si>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</si>
  <si>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</si>
  <si>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</si>
  <si>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GEV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</si>
  <si>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</si>
  <si>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</si>
  <si>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</si>
  <si>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</si>
  <si>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</si>
  <si>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</si>
  <si>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</si>
  <si>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</si>
  <si>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</si>
  <si>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</si>
  <si>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</si>
  <si>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</si>
  <si>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</si>
  <si>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</si>
  <si>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</si>
  <si>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</si>
  <si>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</si>
  <si>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</si>
  <si>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</si>
  <si>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</si>
  <si>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</si>
  <si>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</si>
  <si>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</si>
  <si>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</si>
  <si>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</si>
  <si>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</si>
  <si>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</si>
  <si>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</si>
  <si>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</si>
  <si>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</si>
  <si>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GEV owner-FCF component DCF: base case (millions, USD)</t>
  </si>
  <si>
    <t xml:space="preserve">GEV owner-FCF component DCF: bull case (millions, USD)</t>
  </si>
  <si>
    <t xml:space="preserve">GEV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</si>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</sst>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957.63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13729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29654</v>
      </c>
      <c r="C3" s="0" t="n">
        <v>26196</v>
      </c>
      <c r="D3" s="0" t="n">
        <v>3458</v>
      </c>
      <c r="E3" s="0" t="n">
        <v>11.6611586969717</v>
      </c>
      <c r="F3" s="0" t="n">
        <v>-2881</v>
      </c>
      <c r="G3" s="0" t="n">
        <v>-9.71538409658056</v>
      </c>
      <c r="I3" s="0" t="n">
        <v>-2736</v>
      </c>
      <c r="J3" s="0" t="n">
        <v>-9.22641127672489</v>
      </c>
      <c r="K3" s="0" t="n">
        <v>-10</v>
      </c>
      <c r="L3" s="0" t="n">
        <v>-114</v>
      </c>
      <c r="M3" s="0" t="n">
        <v>513</v>
      </c>
      <c r="N3" s="0" t="n">
        <v>-627</v>
      </c>
      <c r="O3" s="0" t="n">
        <v>11607</v>
      </c>
      <c r="T3" s="0" t="n">
        <v>274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33239</v>
      </c>
      <c r="C4" s="0" t="n">
        <v>28421</v>
      </c>
      <c r="D4" s="0" t="n">
        <v>4818</v>
      </c>
      <c r="E4" s="0" t="n">
        <v>14.495020909173</v>
      </c>
      <c r="F4" s="0" t="n">
        <v>-923</v>
      </c>
      <c r="G4" s="0" t="n">
        <v>-2.77685850958212</v>
      </c>
      <c r="I4" s="0" t="n">
        <v>-474</v>
      </c>
      <c r="J4" s="0" t="n">
        <v>-1.42603568097717</v>
      </c>
      <c r="K4" s="0" t="n">
        <v>-1.6</v>
      </c>
      <c r="L4" s="0" t="n">
        <v>1186</v>
      </c>
      <c r="M4" s="0" t="n">
        <v>744</v>
      </c>
      <c r="N4" s="0" t="n">
        <v>442</v>
      </c>
      <c r="O4" s="0" t="n">
        <v>8380</v>
      </c>
      <c r="P4" s="0" t="n">
        <v>46121</v>
      </c>
      <c r="Q4" s="0" t="n">
        <v>37741</v>
      </c>
      <c r="T4" s="0" t="n">
        <v>274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34935</v>
      </c>
      <c r="C5" s="0" t="n">
        <v>28850</v>
      </c>
      <c r="D5" s="0" t="n">
        <v>6085</v>
      </c>
      <c r="E5" s="0" t="n">
        <v>17.4180621153571</v>
      </c>
      <c r="F5" s="0" t="n">
        <v>471</v>
      </c>
      <c r="G5" s="0" t="n">
        <v>1.34821811936453</v>
      </c>
      <c r="I5" s="0" t="n">
        <v>1559</v>
      </c>
      <c r="J5" s="0" t="n">
        <v>4.46257335050809</v>
      </c>
      <c r="K5" s="0" t="n">
        <v>5.65</v>
      </c>
      <c r="L5" s="0" t="n">
        <v>2583</v>
      </c>
      <c r="M5" s="0" t="n">
        <v>883</v>
      </c>
      <c r="N5" s="0" t="n">
        <v>1700</v>
      </c>
      <c r="O5" s="0" t="n">
        <v>10593</v>
      </c>
      <c r="P5" s="0" t="n">
        <v>51485</v>
      </c>
      <c r="Q5" s="0" t="n">
        <v>40892</v>
      </c>
      <c r="T5" s="0" t="n">
        <v>278</v>
      </c>
      <c r="U5" s="0" t="n">
        <v>155</v>
      </c>
      <c r="V5" s="0" t="n">
        <v>0.25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38068</v>
      </c>
      <c r="C6" s="0" t="n">
        <v>30533</v>
      </c>
      <c r="D6" s="0" t="n">
        <v>7535</v>
      </c>
      <c r="E6" s="0" t="n">
        <v>19.793527372071</v>
      </c>
      <c r="F6" s="0" t="n">
        <v>1388</v>
      </c>
      <c r="G6" s="0" t="n">
        <v>3.64610696648103</v>
      </c>
      <c r="I6" s="0" t="n">
        <v>4884</v>
      </c>
      <c r="J6" s="0" t="n">
        <v>12.8296732163497</v>
      </c>
      <c r="K6" s="0" t="n">
        <v>17.92</v>
      </c>
      <c r="L6" s="0" t="n">
        <v>4987</v>
      </c>
      <c r="M6" s="0" t="n">
        <v>1277</v>
      </c>
      <c r="N6" s="0" t="n">
        <v>3710</v>
      </c>
      <c r="O6" s="0" t="n">
        <v>12296</v>
      </c>
      <c r="P6" s="0" t="n">
        <v>63016</v>
      </c>
      <c r="Q6" s="0" t="n">
        <v>50720</v>
      </c>
      <c r="R6" s="0" t="n">
        <v>289</v>
      </c>
      <c r="T6" s="0" t="n">
        <v>276</v>
      </c>
      <c r="U6" s="0" t="n">
        <v>257</v>
      </c>
      <c r="V6" s="0" t="n">
        <v>1.25</v>
      </c>
      <c r="AA6" s="0" t="s">
        <v>17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68</v>
      </c>
      <c r="B1" s="2" t="s">
        <v>69</v>
      </c>
    </row>
    <row r="2" customFormat="false" ht="15" hidden="false" customHeight="false" outlineLevel="0" collapsed="false">
      <c r="A2" s="0" t="s">
        <v>70</v>
      </c>
      <c r="B2" s="3" t="n">
        <v>957.63</v>
      </c>
    </row>
    <row r="3" customFormat="false" ht="15" hidden="false" customHeight="false" outlineLevel="0" collapsed="false">
      <c r="A3" s="0" t="s">
        <v>71</v>
      </c>
      <c r="B3" s="3" t="n">
        <v>268.5</v>
      </c>
    </row>
    <row r="4" customFormat="false" ht="15" hidden="false" customHeight="false" outlineLevel="0" collapsed="false">
      <c r="A4" s="0" t="s">
        <v>72</v>
      </c>
      <c r="B4" s="3" t="n">
        <v>-9891</v>
      </c>
    </row>
    <row r="5" customFormat="false" ht="15" hidden="false" customHeight="false" outlineLevel="0" collapsed="false">
      <c r="A5" s="0" t="s">
        <v>73</v>
      </c>
      <c r="B5" s="3" t="n">
        <v>226</v>
      </c>
    </row>
    <row r="6" customFormat="false" ht="15" hidden="false" customHeight="false" outlineLevel="0" collapsed="false">
      <c r="A6" s="0" t="s">
        <v>74</v>
      </c>
      <c r="B6" s="3" t="n">
        <v>15</v>
      </c>
    </row>
    <row r="7" customFormat="false" ht="15" hidden="false" customHeight="false" outlineLevel="0" collapsed="false">
      <c r="A7" s="0" t="s">
        <v>75</v>
      </c>
      <c r="B7" s="3" t="n">
        <v>38068</v>
      </c>
    </row>
    <row r="8" customFormat="false" ht="15" hidden="false" customHeight="false" outlineLevel="0" collapsed="false">
      <c r="A8" s="0" t="s">
        <v>76</v>
      </c>
      <c r="B8" s="3" t="s">
        <v>67</v>
      </c>
    </row>
    <row r="9" customFormat="false" ht="15" hidden="false" customHeight="false" outlineLevel="0" collapsed="false">
      <c r="A9" s="0" t="s">
        <v>77</v>
      </c>
      <c r="B9" s="3" t="s">
        <v>78</v>
      </c>
    </row>
    <row r="10" customFormat="false" ht="15" hidden="false" customHeight="false" outlineLevel="0" collapsed="false">
      <c r="A10" s="0" t="s">
        <v>79</v>
      </c>
      <c r="B10" s="3" t="n">
        <v>1</v>
      </c>
    </row>
    <row r="12" customFormat="false" ht="15" hidden="false" customHeight="false" outlineLevel="0" collapsed="false">
      <c r="A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90</v>
      </c>
    </row>
    <row r="13" customFormat="false" ht="15" hidden="false" customHeight="false" outlineLevel="0" collapsed="false">
      <c r="A13" s="0" t="s">
        <v>91</v>
      </c>
      <c r="C13" s="3" t="n">
        <v>20</v>
      </c>
      <c r="D13" s="3" t="n">
        <v>6</v>
      </c>
      <c r="E13" s="3" t="n">
        <v>3</v>
      </c>
      <c r="F13" s="3" t="n">
        <v>0</v>
      </c>
      <c r="G13" s="3" t="n">
        <v>-3</v>
      </c>
      <c r="H13" s="3" t="n">
        <v>0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92</v>
      </c>
      <c r="C14" s="3" t="n">
        <v>11.5</v>
      </c>
      <c r="D14" s="3" t="n">
        <v>12</v>
      </c>
      <c r="E14" s="3" t="n">
        <v>12</v>
      </c>
      <c r="F14" s="3" t="n">
        <v>11.5</v>
      </c>
      <c r="G14" s="3" t="n">
        <v>11</v>
      </c>
      <c r="H14" s="3" t="n">
        <v>11</v>
      </c>
      <c r="I14" s="3" t="n">
        <v>11.5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93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95</v>
      </c>
      <c r="C17" s="3" t="n">
        <v>3.5</v>
      </c>
      <c r="D17" s="3" t="n">
        <v>3.5</v>
      </c>
      <c r="E17" s="3" t="n">
        <v>3.5</v>
      </c>
      <c r="F17" s="3" t="n">
        <v>3.4</v>
      </c>
      <c r="G17" s="3" t="n">
        <v>3.3</v>
      </c>
      <c r="H17" s="3" t="n">
        <v>3.2</v>
      </c>
      <c r="I17" s="3" t="n">
        <v>3.1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96</v>
      </c>
      <c r="C18" s="3" t="n">
        <v>3.8</v>
      </c>
      <c r="D18" s="3" t="n">
        <v>3.8</v>
      </c>
      <c r="E18" s="3" t="n">
        <v>3.5</v>
      </c>
      <c r="F18" s="3" t="n">
        <v>3.2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97</v>
      </c>
      <c r="C19" s="3" t="n">
        <v>24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98</v>
      </c>
      <c r="B20" s="3" t="n">
        <v>9.5</v>
      </c>
    </row>
    <row r="21" customFormat="false" ht="15" hidden="false" customHeight="false" outlineLevel="0" collapsed="false">
      <c r="A21" s="0" t="s">
        <v>99</v>
      </c>
      <c r="B21" s="3" t="n">
        <v>2.5</v>
      </c>
    </row>
    <row r="22" customFormat="false" ht="15" hidden="false" customHeight="false" outlineLevel="0" collapsed="false">
      <c r="A22" s="0" t="s">
        <v>100</v>
      </c>
      <c r="B22" s="3" t="n">
        <v>12</v>
      </c>
    </row>
    <row r="23" customFormat="false" ht="15" hidden="false" customHeight="false" outlineLevel="0" collapsed="false">
      <c r="A23" s="0" t="s">
        <v>101</v>
      </c>
      <c r="B23" s="3" t="n">
        <v>-10</v>
      </c>
    </row>
    <row r="24" customFormat="false" ht="15" hidden="false" customHeight="false" outlineLevel="0" collapsed="false">
      <c r="A24" s="0" t="s">
        <v>102</v>
      </c>
      <c r="B24" s="3" t="n">
        <v>0.25</v>
      </c>
    </row>
    <row r="26" customFormat="false" ht="15" hidden="false" customHeight="false" outlineLevel="0" collapsed="false">
      <c r="A26" s="2" t="s">
        <v>103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  <c r="I26" s="2" t="s">
        <v>87</v>
      </c>
      <c r="J26" s="2" t="s">
        <v>88</v>
      </c>
      <c r="K26" s="2" t="s">
        <v>89</v>
      </c>
      <c r="L26" s="2" t="s">
        <v>90</v>
      </c>
    </row>
    <row r="27" customFormat="false" ht="15" hidden="false" customHeight="false" outlineLevel="0" collapsed="false">
      <c r="A27" s="0" t="s">
        <v>91</v>
      </c>
      <c r="C27" s="3" t="n">
        <v>21</v>
      </c>
      <c r="D27" s="3" t="n">
        <v>12</v>
      </c>
      <c r="E27" s="3" t="n">
        <v>10</v>
      </c>
      <c r="F27" s="3" t="n">
        <v>8</v>
      </c>
      <c r="G27" s="3" t="n">
        <v>6</v>
      </c>
      <c r="H27" s="3" t="n">
        <v>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92</v>
      </c>
      <c r="C28" s="3" t="n">
        <v>12</v>
      </c>
      <c r="D28" s="3" t="n">
        <v>13.5</v>
      </c>
      <c r="E28" s="3" t="n">
        <v>14.5</v>
      </c>
      <c r="F28" s="3" t="n">
        <v>15</v>
      </c>
      <c r="G28" s="3" t="n">
        <v>15.5</v>
      </c>
      <c r="H28" s="3" t="n">
        <v>15.5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93</v>
      </c>
      <c r="C29" s="3" t="n">
        <v>1</v>
      </c>
      <c r="D29" s="3" t="n">
        <v>1</v>
      </c>
      <c r="E29" s="3" t="n">
        <v>0.95</v>
      </c>
      <c r="F29" s="3" t="n">
        <v>0.9</v>
      </c>
      <c r="G29" s="3" t="n">
        <v>0.9</v>
      </c>
      <c r="H29" s="3" t="n">
        <v>0.85</v>
      </c>
      <c r="I29" s="3" t="n">
        <v>0.85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94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95</v>
      </c>
      <c r="C31" s="3" t="n">
        <v>3.5</v>
      </c>
      <c r="D31" s="3" t="n">
        <v>3.5</v>
      </c>
      <c r="E31" s="3" t="n">
        <v>3.4</v>
      </c>
      <c r="F31" s="3" t="n">
        <v>3.3</v>
      </c>
      <c r="G31" s="3" t="n">
        <v>3.2</v>
      </c>
      <c r="H31" s="3" t="n">
        <v>3.1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96</v>
      </c>
      <c r="C32" s="3" t="n">
        <v>3.8</v>
      </c>
      <c r="D32" s="3" t="n">
        <v>3.8</v>
      </c>
      <c r="E32" s="3" t="n">
        <v>3.6</v>
      </c>
      <c r="F32" s="3" t="n">
        <v>3.5</v>
      </c>
      <c r="G32" s="3" t="n">
        <v>3.4</v>
      </c>
      <c r="H32" s="3" t="n">
        <v>3.3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97</v>
      </c>
      <c r="C33" s="3" t="n">
        <v>24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98</v>
      </c>
      <c r="B34" s="3" t="n">
        <v>9.5</v>
      </c>
    </row>
    <row r="35" customFormat="false" ht="15" hidden="false" customHeight="false" outlineLevel="0" collapsed="false">
      <c r="A35" s="0" t="s">
        <v>99</v>
      </c>
      <c r="B35" s="3" t="n">
        <v>3</v>
      </c>
    </row>
    <row r="36" customFormat="false" ht="15" hidden="false" customHeight="false" outlineLevel="0" collapsed="false">
      <c r="A36" s="0" t="s">
        <v>100</v>
      </c>
      <c r="B36" s="3" t="n">
        <v>16</v>
      </c>
    </row>
    <row r="37" customFormat="false" ht="15" hidden="false" customHeight="false" outlineLevel="0" collapsed="false">
      <c r="A37" s="0" t="s">
        <v>101</v>
      </c>
      <c r="B37" s="3" t="n">
        <v>10</v>
      </c>
    </row>
    <row r="38" customFormat="false" ht="15" hidden="false" customHeight="false" outlineLevel="0" collapsed="false">
      <c r="A38" s="0" t="s">
        <v>102</v>
      </c>
      <c r="B38" s="3" t="n">
        <v>0.5</v>
      </c>
    </row>
    <row r="40" customFormat="false" ht="15" hidden="false" customHeight="false" outlineLevel="0" collapsed="false">
      <c r="A40" s="2" t="s">
        <v>104</v>
      </c>
      <c r="C40" s="2" t="s">
        <v>81</v>
      </c>
      <c r="D40" s="2" t="s">
        <v>82</v>
      </c>
      <c r="E40" s="2" t="s">
        <v>83</v>
      </c>
      <c r="F40" s="2" t="s">
        <v>84</v>
      </c>
      <c r="G40" s="2" t="s">
        <v>85</v>
      </c>
      <c r="H40" s="2" t="s">
        <v>86</v>
      </c>
      <c r="I40" s="2" t="s">
        <v>87</v>
      </c>
      <c r="J40" s="2" t="s">
        <v>88</v>
      </c>
      <c r="K40" s="2" t="s">
        <v>89</v>
      </c>
      <c r="L40" s="2" t="s">
        <v>90</v>
      </c>
    </row>
    <row r="41" customFormat="false" ht="15" hidden="false" customHeight="false" outlineLevel="0" collapsed="false">
      <c r="A41" s="0" t="s">
        <v>91</v>
      </c>
      <c r="C41" s="3" t="n">
        <v>22</v>
      </c>
      <c r="D41" s="3" t="n">
        <v>15</v>
      </c>
      <c r="E41" s="3" t="n">
        <v>13</v>
      </c>
      <c r="F41" s="3" t="n">
        <v>11</v>
      </c>
      <c r="G41" s="3" t="n">
        <v>9</v>
      </c>
      <c r="H41" s="3" t="n">
        <v>7</v>
      </c>
      <c r="I41" s="3" t="n">
        <v>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92</v>
      </c>
      <c r="C42" s="3" t="n">
        <v>12.5</v>
      </c>
      <c r="D42" s="3" t="n">
        <v>14.5</v>
      </c>
      <c r="E42" s="3" t="n">
        <v>16</v>
      </c>
      <c r="F42" s="3" t="n">
        <v>17</v>
      </c>
      <c r="G42" s="3" t="n">
        <v>17.5</v>
      </c>
      <c r="H42" s="3" t="n">
        <v>18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93</v>
      </c>
      <c r="C43" s="3" t="n">
        <v>1</v>
      </c>
      <c r="D43" s="3" t="n">
        <v>1</v>
      </c>
      <c r="E43" s="3" t="n">
        <v>0.95</v>
      </c>
      <c r="F43" s="3" t="n">
        <v>0.9</v>
      </c>
      <c r="G43" s="3" t="n">
        <v>0.9</v>
      </c>
      <c r="H43" s="3" t="n">
        <v>0.85</v>
      </c>
      <c r="I43" s="3" t="n">
        <v>0.85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94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95</v>
      </c>
      <c r="C45" s="3" t="n">
        <v>3.5</v>
      </c>
      <c r="D45" s="3" t="n">
        <v>3.5</v>
      </c>
      <c r="E45" s="3" t="n">
        <v>3.4</v>
      </c>
      <c r="F45" s="3" t="n">
        <v>3.3</v>
      </c>
      <c r="G45" s="3" t="n">
        <v>3.2</v>
      </c>
      <c r="H45" s="3" t="n">
        <v>3.1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96</v>
      </c>
      <c r="C46" s="3" t="n">
        <v>3.8</v>
      </c>
      <c r="D46" s="3" t="n">
        <v>3.8</v>
      </c>
      <c r="E46" s="3" t="n">
        <v>3.6</v>
      </c>
      <c r="F46" s="3" t="n">
        <v>3.5</v>
      </c>
      <c r="G46" s="3" t="n">
        <v>3.4</v>
      </c>
      <c r="H46" s="3" t="n">
        <v>3.3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97</v>
      </c>
      <c r="C47" s="3" t="n">
        <v>24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98</v>
      </c>
      <c r="B48" s="3" t="n">
        <v>9.5</v>
      </c>
    </row>
    <row r="49" customFormat="false" ht="15" hidden="false" customHeight="false" outlineLevel="0" collapsed="false">
      <c r="A49" s="0" t="s">
        <v>99</v>
      </c>
      <c r="B49" s="3" t="n">
        <v>3.5</v>
      </c>
    </row>
    <row r="50" customFormat="false" ht="15" hidden="false" customHeight="false" outlineLevel="0" collapsed="false">
      <c r="A50" s="0" t="s">
        <v>100</v>
      </c>
      <c r="B50" s="3" t="n">
        <v>18</v>
      </c>
    </row>
    <row r="51" customFormat="false" ht="15" hidden="false" customHeight="false" outlineLevel="0" collapsed="false">
      <c r="A51" s="0" t="s">
        <v>101</v>
      </c>
      <c r="B51" s="3" t="n">
        <v>25</v>
      </c>
    </row>
    <row r="52" customFormat="false" ht="15" hidden="false" customHeight="false" outlineLevel="0" collapsed="false">
      <c r="A52" s="0" t="s">
        <v>102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Assumptions!C13</f>
        <v>20</v>
      </c>
      <c r="D5" s="4" t="n">
        <f aca="false">Assumptions!D13</f>
        <v>6</v>
      </c>
      <c r="E5" s="4" t="n">
        <f aca="false">Assumptions!E13</f>
        <v>3</v>
      </c>
      <c r="F5" s="4" t="n">
        <f aca="false">Assumptions!F13</f>
        <v>0</v>
      </c>
      <c r="G5" s="4" t="n">
        <f aca="false">Assumptions!G13</f>
        <v>-3</v>
      </c>
      <c r="H5" s="4" t="n">
        <f aca="false">Assumptions!H13</f>
        <v>0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38068</v>
      </c>
      <c r="C6" s="0" t="n">
        <f aca="false">B6*(1+C5/100)</f>
        <v>45681.6</v>
      </c>
      <c r="D6" s="0" t="n">
        <f aca="false">C6*(1+D5/100)</f>
        <v>48422.496</v>
      </c>
      <c r="E6" s="0" t="n">
        <f aca="false">D6*(1+E5/100)</f>
        <v>49875.17088</v>
      </c>
      <c r="F6" s="0" t="n">
        <f aca="false">E6*(1+F5/100)</f>
        <v>49875.17088</v>
      </c>
      <c r="G6" s="0" t="n">
        <f aca="false">F6*(1+G5/100)</f>
        <v>48378.9157536</v>
      </c>
      <c r="H6" s="0" t="n">
        <f aca="false">G6*(1+H5/100)</f>
        <v>48378.9157536</v>
      </c>
      <c r="I6" s="0" t="n">
        <f aca="false">H6*(1+I5/100)</f>
        <v>49346.494068672</v>
      </c>
      <c r="J6" s="0" t="n">
        <f aca="false">I6*(1+J5/100)</f>
        <v>50333.4239500454</v>
      </c>
      <c r="K6" s="0" t="n">
        <f aca="false">J6*(1+K5/100)</f>
        <v>51340.0924290464</v>
      </c>
      <c r="L6" s="0" t="n">
        <f aca="false">K6*(1+L5/100)</f>
        <v>52366.8942776273</v>
      </c>
    </row>
    <row r="7" customFormat="false" ht="15" hidden="false" customHeight="false" outlineLevel="0" collapsed="false">
      <c r="A7" s="0" t="s">
        <v>92</v>
      </c>
      <c r="C7" s="4" t="n">
        <f aca="false">Assumptions!C14</f>
        <v>11.5</v>
      </c>
      <c r="D7" s="4" t="n">
        <f aca="false">Assumptions!D14</f>
        <v>12</v>
      </c>
      <c r="E7" s="4" t="n">
        <f aca="false">Assumptions!E14</f>
        <v>12</v>
      </c>
      <c r="F7" s="4" t="n">
        <f aca="false">Assumptions!F14</f>
        <v>11.5</v>
      </c>
      <c r="G7" s="4" t="n">
        <f aca="false">Assumptions!G14</f>
        <v>11</v>
      </c>
      <c r="H7" s="4" t="n">
        <f aca="false">Assumptions!H14</f>
        <v>11</v>
      </c>
      <c r="I7" s="4" t="n">
        <f aca="false">Assumptions!I14</f>
        <v>11.5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5253.384</v>
      </c>
      <c r="D8" s="0" t="n">
        <f aca="false">D6*D7/100</f>
        <v>5810.69952</v>
      </c>
      <c r="E8" s="0" t="n">
        <f aca="false">E6*E7/100</f>
        <v>5985.0205056</v>
      </c>
      <c r="F8" s="0" t="n">
        <f aca="false">F6*F7/100</f>
        <v>5735.6446512</v>
      </c>
      <c r="G8" s="0" t="n">
        <f aca="false">G6*G7/100</f>
        <v>5321.680732896</v>
      </c>
      <c r="H8" s="0" t="n">
        <f aca="false">H6*H7/100</f>
        <v>5321.680732896</v>
      </c>
      <c r="I8" s="0" t="n">
        <f aca="false">I6*I7/100</f>
        <v>5674.84681789728</v>
      </c>
      <c r="J8" s="0" t="n">
        <f aca="false">J6*J7/100</f>
        <v>6040.01087400545</v>
      </c>
      <c r="K8" s="0" t="n">
        <f aca="false">K6*K7/100</f>
        <v>6160.81109148556</v>
      </c>
      <c r="L8" s="0" t="n">
        <f aca="false">L6*L7/100</f>
        <v>6284.02731331527</v>
      </c>
    </row>
    <row r="9" customFormat="false" ht="15" hidden="false" customHeight="false" outlineLevel="0" collapsed="false">
      <c r="A9" s="0" t="s">
        <v>93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-456.816</v>
      </c>
      <c r="D10" s="0" t="n">
        <f aca="false">-D6*D9/100</f>
        <v>-484.22496</v>
      </c>
      <c r="E10" s="0" t="n">
        <f aca="false">-E6*E9/100</f>
        <v>-498.7517088</v>
      </c>
      <c r="F10" s="0" t="n">
        <f aca="false">-F6*F9/100</f>
        <v>-498.7517088</v>
      </c>
      <c r="G10" s="0" t="n">
        <f aca="false">-G6*G9/100</f>
        <v>-483.789157536</v>
      </c>
      <c r="H10" s="0" t="n">
        <f aca="false">-H6*H9/100</f>
        <v>-483.789157536</v>
      </c>
      <c r="I10" s="0" t="n">
        <f aca="false">-I6*I9/100</f>
        <v>-493.46494068672</v>
      </c>
      <c r="J10" s="0" t="n">
        <f aca="false">-J6*J9/100</f>
        <v>-503.334239500454</v>
      </c>
      <c r="K10" s="0" t="n">
        <f aca="false">-K6*K9/100</f>
        <v>-513.400924290464</v>
      </c>
      <c r="L10" s="0" t="n">
        <f aca="false">-L6*L9/100</f>
        <v>-523.668942776273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4796.568</v>
      </c>
      <c r="D11" s="0" t="n">
        <f aca="false">D8+D10+D24</f>
        <v>5326.47456</v>
      </c>
      <c r="E11" s="0" t="n">
        <f aca="false">E8+E10+E24</f>
        <v>5486.2687968</v>
      </c>
      <c r="F11" s="0" t="n">
        <f aca="false">F8+F10+F24</f>
        <v>5236.8929424</v>
      </c>
      <c r="G11" s="0" t="n">
        <f aca="false">G8+G10+G24</f>
        <v>4837.89157536</v>
      </c>
      <c r="H11" s="0" t="n">
        <f aca="false">H8+H10+H24</f>
        <v>4837.89157536</v>
      </c>
      <c r="I11" s="0" t="n">
        <f aca="false">I8+I10+I24</f>
        <v>5181.38187721056</v>
      </c>
      <c r="J11" s="0" t="n">
        <f aca="false">J8+J10+J24</f>
        <v>5536.676634505</v>
      </c>
      <c r="K11" s="0" t="n">
        <f aca="false">K8+K10+K24</f>
        <v>5647.4101671951</v>
      </c>
      <c r="L11" s="0" t="n">
        <f aca="false">L8+L10+L24</f>
        <v>5760.358370539</v>
      </c>
    </row>
    <row r="12" customFormat="false" ht="15" hidden="false" customHeight="false" outlineLevel="0" collapsed="false">
      <c r="A12" s="0" t="s">
        <v>110</v>
      </c>
      <c r="C12" s="4" t="n">
        <f aca="false">-C6*Assumptions!C17/100</f>
        <v>-1598.856</v>
      </c>
      <c r="D12" s="4" t="n">
        <f aca="false">-D6*Assumptions!D17/100</f>
        <v>-1694.78736</v>
      </c>
      <c r="E12" s="4" t="n">
        <f aca="false">-E6*Assumptions!E17/100</f>
        <v>-1745.6309808</v>
      </c>
      <c r="F12" s="4" t="n">
        <f aca="false">-F6*Assumptions!F17/100</f>
        <v>-1695.75580992</v>
      </c>
      <c r="G12" s="4" t="n">
        <f aca="false">-G6*Assumptions!G17/100</f>
        <v>-1596.5042198688</v>
      </c>
      <c r="H12" s="4" t="n">
        <f aca="false">-H6*Assumptions!H17/100</f>
        <v>-1548.1253041152</v>
      </c>
      <c r="I12" s="4" t="n">
        <f aca="false">-I6*Assumptions!I17/100</f>
        <v>-1529.74131612883</v>
      </c>
      <c r="J12" s="4" t="n">
        <f aca="false">-J6*Assumptions!J17/100</f>
        <v>-1510.00271850136</v>
      </c>
      <c r="K12" s="4" t="n">
        <f aca="false">-K6*Assumptions!K17/100</f>
        <v>-1540.20277287139</v>
      </c>
      <c r="L12" s="4" t="n">
        <f aca="false">-L6*Assumptions!L17/100</f>
        <v>-1571.00682832882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3197.712</v>
      </c>
      <c r="D13" s="0" t="n">
        <f aca="false">D11+D12</f>
        <v>3631.6872</v>
      </c>
      <c r="E13" s="0" t="n">
        <f aca="false">E11+E12</f>
        <v>3740.637816</v>
      </c>
      <c r="F13" s="0" t="n">
        <f aca="false">F11+F12</f>
        <v>3541.13713248</v>
      </c>
      <c r="G13" s="0" t="n">
        <f aca="false">G11+G12</f>
        <v>3241.3873554912</v>
      </c>
      <c r="H13" s="0" t="n">
        <f aca="false">H11+H12</f>
        <v>3289.7662712448</v>
      </c>
      <c r="I13" s="0" t="n">
        <f aca="false">I11+I12</f>
        <v>3651.64056108173</v>
      </c>
      <c r="J13" s="0" t="n">
        <f aca="false">J11+J12</f>
        <v>4026.67391600364</v>
      </c>
      <c r="K13" s="0" t="n">
        <f aca="false">K11+K12</f>
        <v>4107.20739432371</v>
      </c>
      <c r="L13" s="0" t="n">
        <f aca="false">L11+L12</f>
        <v>4189.35154221018</v>
      </c>
    </row>
    <row r="14" customFormat="false" ht="15" hidden="false" customHeight="false" outlineLevel="0" collapsed="false">
      <c r="A14" s="0" t="s">
        <v>97</v>
      </c>
      <c r="C14" s="4" t="n">
        <f aca="false">Assumptions!C19</f>
        <v>24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2430.26112</v>
      </c>
      <c r="D15" s="0" t="n">
        <f aca="false">D13-MAX(0,D13)*D14/100</f>
        <v>2796.399144</v>
      </c>
      <c r="E15" s="0" t="n">
        <f aca="false">E13-MAX(0,E13)*E14/100</f>
        <v>2880.29111832</v>
      </c>
      <c r="F15" s="0" t="n">
        <f aca="false">F13-MAX(0,F13)*F14/100</f>
        <v>2726.6755920096</v>
      </c>
      <c r="G15" s="0" t="n">
        <f aca="false">G13-MAX(0,G13)*G14/100</f>
        <v>2495.86826372822</v>
      </c>
      <c r="H15" s="0" t="n">
        <f aca="false">H13-MAX(0,H13)*H14/100</f>
        <v>2533.1200288585</v>
      </c>
      <c r="I15" s="0" t="n">
        <f aca="false">I13-MAX(0,I13)*I14/100</f>
        <v>2811.76323203293</v>
      </c>
      <c r="J15" s="0" t="n">
        <f aca="false">J13-MAX(0,J13)*J14/100</f>
        <v>3100.5389153228</v>
      </c>
      <c r="K15" s="0" t="n">
        <f aca="false">K13-MAX(0,K13)*K14/100</f>
        <v>3162.54969362926</v>
      </c>
      <c r="L15" s="0" t="n">
        <f aca="false">L13-MAX(0,L13)*L14/100</f>
        <v>3225.80068750184</v>
      </c>
    </row>
    <row r="16" customFormat="false" ht="15" hidden="false" customHeight="false" outlineLevel="0" collapsed="false">
      <c r="A16" s="0" t="s">
        <v>113</v>
      </c>
      <c r="C16" s="0" t="n">
        <f aca="false">-C12</f>
        <v>1598.856</v>
      </c>
      <c r="D16" s="0" t="n">
        <f aca="false">-D12</f>
        <v>1694.78736</v>
      </c>
      <c r="E16" s="0" t="n">
        <f aca="false">-E12</f>
        <v>1745.6309808</v>
      </c>
      <c r="F16" s="0" t="n">
        <f aca="false">-F12</f>
        <v>1695.75580992</v>
      </c>
      <c r="G16" s="0" t="n">
        <f aca="false">-G12</f>
        <v>1596.5042198688</v>
      </c>
      <c r="H16" s="0" t="n">
        <f aca="false">-H12</f>
        <v>1548.1253041152</v>
      </c>
      <c r="I16" s="0" t="n">
        <f aca="false">-I12</f>
        <v>1529.74131612883</v>
      </c>
      <c r="J16" s="0" t="n">
        <f aca="false">-J12</f>
        <v>1510.00271850136</v>
      </c>
      <c r="K16" s="0" t="n">
        <f aca="false">-K12</f>
        <v>1540.20277287139</v>
      </c>
      <c r="L16" s="0" t="n">
        <f aca="false">-L12</f>
        <v>1571.00682832882</v>
      </c>
    </row>
    <row r="17" customFormat="false" ht="15" hidden="false" customHeight="false" outlineLevel="0" collapsed="false">
      <c r="A17" s="0" t="s">
        <v>114</v>
      </c>
      <c r="C17" s="4" t="n">
        <f aca="false">-C6*Assumptions!C18/100</f>
        <v>-1735.9008</v>
      </c>
      <c r="D17" s="4" t="n">
        <f aca="false">-D6*Assumptions!D18/100</f>
        <v>-1840.054848</v>
      </c>
      <c r="E17" s="4" t="n">
        <f aca="false">-E6*Assumptions!E18/100</f>
        <v>-1745.6309808</v>
      </c>
      <c r="F17" s="4" t="n">
        <f aca="false">-F6*Assumptions!F18/100</f>
        <v>-1596.00546816</v>
      </c>
      <c r="G17" s="4" t="n">
        <f aca="false">-G6*Assumptions!G18/100</f>
        <v>-1451.367472608</v>
      </c>
      <c r="H17" s="4" t="n">
        <f aca="false">-H6*Assumptions!H18/100</f>
        <v>-1451.367472608</v>
      </c>
      <c r="I17" s="4" t="n">
        <f aca="false">-I6*Assumptions!I18/100</f>
        <v>-1480.39482206016</v>
      </c>
      <c r="J17" s="4" t="n">
        <f aca="false">-J6*Assumptions!J18/100</f>
        <v>-1510.00271850136</v>
      </c>
      <c r="K17" s="4" t="n">
        <f aca="false">-K6*Assumptions!K18/100</f>
        <v>-1540.20277287139</v>
      </c>
      <c r="L17" s="4" t="n">
        <f aca="false">-L6*Assumptions!L18/100</f>
        <v>-1571.00682832882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(C6-B6)*Assumptions!$B$23/100</f>
        <v>-761.36</v>
      </c>
      <c r="D18" s="4" t="n">
        <f aca="false">(D6-C6)*Assumptions!$B$23/100</f>
        <v>-274.0896</v>
      </c>
      <c r="E18" s="4" t="n">
        <f aca="false">(E6-D6)*Assumptions!$B$23/100</f>
        <v>-145.267488</v>
      </c>
      <c r="F18" s="4" t="n">
        <f aca="false">(F6-E6)*Assumptions!$B$23/100</f>
        <v>-0</v>
      </c>
      <c r="G18" s="4" t="n">
        <f aca="false">(G6-F6)*Assumptions!$B$23/100</f>
        <v>149.62551264</v>
      </c>
      <c r="H18" s="4" t="n">
        <f aca="false">(H6-G6)*Assumptions!$B$23/100</f>
        <v>-0</v>
      </c>
      <c r="I18" s="4" t="n">
        <f aca="false">(I6-H6)*Assumptions!$B$23/100</f>
        <v>-96.7578315072002</v>
      </c>
      <c r="J18" s="4" t="n">
        <f aca="false">(J6-I6)*Assumptions!$B$23/100</f>
        <v>-98.6929881373442</v>
      </c>
      <c r="K18" s="4" t="n">
        <f aca="false">(K6-J6)*Assumptions!$B$23/100</f>
        <v>-100.666847900091</v>
      </c>
      <c r="L18" s="4" t="n">
        <f aca="false">(L6-K6)*Assumptions!$B$23/100</f>
        <v>-102.680184858093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1531.85632</v>
      </c>
      <c r="D19" s="0" t="n">
        <f aca="false">D15+D16+D17+D18</f>
        <v>2377.042056</v>
      </c>
      <c r="E19" s="0" t="n">
        <f aca="false">E15+E16+E17+E18</f>
        <v>2735.02363032</v>
      </c>
      <c r="F19" s="0" t="n">
        <f aca="false">F15+F16+F17+F18</f>
        <v>2826.4259337696</v>
      </c>
      <c r="G19" s="0" t="n">
        <f aca="false">G15+G16+G17+G18</f>
        <v>2790.63052362902</v>
      </c>
      <c r="H19" s="0" t="n">
        <f aca="false">H15+H16+H17+H18</f>
        <v>2629.8778603657</v>
      </c>
      <c r="I19" s="0" t="n">
        <f aca="false">I15+I16+I17+I18</f>
        <v>2764.3518945944</v>
      </c>
      <c r="J19" s="0" t="n">
        <f aca="false">J15+J16+J17+J18</f>
        <v>3001.84592718546</v>
      </c>
      <c r="K19" s="0" t="n">
        <f aca="false">K15+K16+K17+K18</f>
        <v>3061.88284572916</v>
      </c>
      <c r="L19" s="0" t="n">
        <f aca="false">L15+L16+L17+L18</f>
        <v>3123.12050264375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1398.955543379</v>
      </c>
      <c r="D21" s="0" t="n">
        <f aca="false">D19*D20</f>
        <v>1982.47914430475</v>
      </c>
      <c r="E21" s="0" t="n">
        <f aca="false">E19*E20</f>
        <v>2083.14128160638</v>
      </c>
      <c r="F21" s="0" t="n">
        <f aca="false">F19*F20</f>
        <v>1965.98922196562</v>
      </c>
      <c r="G21" s="0" t="n">
        <f aca="false">G19*G20</f>
        <v>1772.68571218916</v>
      </c>
      <c r="H21" s="0" t="n">
        <f aca="false">H19*H20</f>
        <v>1525.63577462699</v>
      </c>
      <c r="I21" s="0" t="n">
        <f aca="false">I19*I20</f>
        <v>1464.51725361914</v>
      </c>
      <c r="J21" s="0" t="n">
        <f aca="false">J19*J20</f>
        <v>1452.36389639785</v>
      </c>
      <c r="K21" s="0" t="n">
        <f aca="false">K19*K20</f>
        <v>1352.88691719252</v>
      </c>
      <c r="L21" s="0" t="n">
        <f aca="false">L19*L20</f>
        <v>1260.22342971358</v>
      </c>
    </row>
    <row r="23" customFormat="false" ht="15" hidden="false" customHeight="false" outlineLevel="0" collapsed="false">
      <c r="A23" s="0" t="s">
        <v>94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100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16258.878174995</v>
      </c>
    </row>
    <row r="31" customFormat="false" ht="15" hidden="false" customHeight="false" outlineLevel="0" collapsed="false">
      <c r="A31" s="0" t="s">
        <v>122</v>
      </c>
      <c r="B31" s="0" t="n">
        <f aca="false">L19</f>
        <v>3123.12050264375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45731.4073601406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37477.446031725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37477.446031725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15122.6811565629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31381.5593315579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41498.5593315579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154.557017994629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-0.838604661513707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3078.90714013398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3094.15062505999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177.547922148052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25609.5881216787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108.671790015199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Assumptions!C27</f>
        <v>21</v>
      </c>
      <c r="D5" s="4" t="n">
        <f aca="false">Assumptions!D27</f>
        <v>12</v>
      </c>
      <c r="E5" s="4" t="n">
        <f aca="false">Assumptions!E27</f>
        <v>10</v>
      </c>
      <c r="F5" s="4" t="n">
        <f aca="false">Assumptions!F27</f>
        <v>8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38068</v>
      </c>
      <c r="C6" s="0" t="n">
        <f aca="false">B6*(1+C5/100)</f>
        <v>46062.28</v>
      </c>
      <c r="D6" s="0" t="n">
        <f aca="false">C6*(1+D5/100)</f>
        <v>51589.7536</v>
      </c>
      <c r="E6" s="0" t="n">
        <f aca="false">D6*(1+E5/100)</f>
        <v>56748.72896</v>
      </c>
      <c r="F6" s="0" t="n">
        <f aca="false">E6*(1+F5/100)</f>
        <v>61288.6272768</v>
      </c>
      <c r="G6" s="0" t="n">
        <f aca="false">F6*(1+G5/100)</f>
        <v>64965.944913408</v>
      </c>
      <c r="H6" s="0" t="n">
        <f aca="false">G6*(1+H5/100)</f>
        <v>68214.2421590784</v>
      </c>
      <c r="I6" s="0" t="n">
        <f aca="false">H6*(1+I5/100)</f>
        <v>70942.8118454416</v>
      </c>
      <c r="J6" s="0" t="n">
        <f aca="false">I6*(1+J5/100)</f>
        <v>73425.810260032</v>
      </c>
      <c r="K6" s="0" t="n">
        <f aca="false">J6*(1+K5/100)</f>
        <v>75628.584567833</v>
      </c>
      <c r="L6" s="0" t="n">
        <f aca="false">K6*(1+L5/100)</f>
        <v>77897.442104868</v>
      </c>
    </row>
    <row r="7" customFormat="false" ht="15" hidden="false" customHeight="false" outlineLevel="0" collapsed="false">
      <c r="A7" s="0" t="s">
        <v>92</v>
      </c>
      <c r="C7" s="4" t="n">
        <f aca="false">Assumptions!C28</f>
        <v>12</v>
      </c>
      <c r="D7" s="4" t="n">
        <f aca="false">Assumptions!D28</f>
        <v>13.5</v>
      </c>
      <c r="E7" s="4" t="n">
        <f aca="false">Assumptions!E28</f>
        <v>14.5</v>
      </c>
      <c r="F7" s="4" t="n">
        <f aca="false">Assumptions!F28</f>
        <v>15</v>
      </c>
      <c r="G7" s="4" t="n">
        <f aca="false">Assumptions!G28</f>
        <v>15.5</v>
      </c>
      <c r="H7" s="4" t="n">
        <f aca="false">Assumptions!H28</f>
        <v>15.5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5527.4736</v>
      </c>
      <c r="D8" s="0" t="n">
        <f aca="false">D6*D7/100</f>
        <v>6964.616736</v>
      </c>
      <c r="E8" s="0" t="n">
        <f aca="false">E6*E7/100</f>
        <v>8228.5656992</v>
      </c>
      <c r="F8" s="0" t="n">
        <f aca="false">F6*F7/100</f>
        <v>9193.29409152</v>
      </c>
      <c r="G8" s="0" t="n">
        <f aca="false">G6*G7/100</f>
        <v>10069.7214615782</v>
      </c>
      <c r="H8" s="0" t="n">
        <f aca="false">H6*H7/100</f>
        <v>10573.2075346572</v>
      </c>
      <c r="I8" s="0" t="n">
        <f aca="false">I6*I7/100</f>
        <v>10996.1358360434</v>
      </c>
      <c r="J8" s="0" t="n">
        <f aca="false">J6*J7/100</f>
        <v>11381.000590305</v>
      </c>
      <c r="K8" s="0" t="n">
        <f aca="false">K6*K7/100</f>
        <v>11722.4306080141</v>
      </c>
      <c r="L8" s="0" t="n">
        <f aca="false">L6*L7/100</f>
        <v>12074.1035262545</v>
      </c>
    </row>
    <row r="9" customFormat="false" ht="15" hidden="false" customHeight="false" outlineLevel="0" collapsed="false">
      <c r="A9" s="0" t="s">
        <v>93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0.95</v>
      </c>
      <c r="F9" s="4" t="n">
        <f aca="false">Assumptions!F29</f>
        <v>0.9</v>
      </c>
      <c r="G9" s="4" t="n">
        <f aca="false">Assumptions!G29</f>
        <v>0.9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-460.6228</v>
      </c>
      <c r="D10" s="0" t="n">
        <f aca="false">-D6*D9/100</f>
        <v>-515.897536</v>
      </c>
      <c r="E10" s="0" t="n">
        <f aca="false">-E6*E9/100</f>
        <v>-539.11292512</v>
      </c>
      <c r="F10" s="0" t="n">
        <f aca="false">-F6*F9/100</f>
        <v>-551.5976454912</v>
      </c>
      <c r="G10" s="0" t="n">
        <f aca="false">-G6*G9/100</f>
        <v>-584.693504220672</v>
      </c>
      <c r="H10" s="0" t="n">
        <f aca="false">-H6*H9/100</f>
        <v>-579.821058352167</v>
      </c>
      <c r="I10" s="0" t="n">
        <f aca="false">-I6*I9/100</f>
        <v>-603.013900686253</v>
      </c>
      <c r="J10" s="0" t="n">
        <f aca="false">-J6*J9/100</f>
        <v>-587.406482080256</v>
      </c>
      <c r="K10" s="0" t="n">
        <f aca="false">-K6*K9/100</f>
        <v>-605.028676542664</v>
      </c>
      <c r="L10" s="0" t="n">
        <f aca="false">-L6*L9/100</f>
        <v>-623.179536838944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5066.8508</v>
      </c>
      <c r="D11" s="0" t="n">
        <f aca="false">D8+D10+D24</f>
        <v>6448.7192</v>
      </c>
      <c r="E11" s="0" t="n">
        <f aca="false">E8+E10+E24</f>
        <v>7689.45277408</v>
      </c>
      <c r="F11" s="0" t="n">
        <f aca="false">F8+F10+F24</f>
        <v>8641.6964460288</v>
      </c>
      <c r="G11" s="0" t="n">
        <f aca="false">G8+G10+G24</f>
        <v>9485.02795735757</v>
      </c>
      <c r="H11" s="0" t="n">
        <f aca="false">H8+H10+H24</f>
        <v>9993.38647630499</v>
      </c>
      <c r="I11" s="0" t="n">
        <f aca="false">I8+I10+I24</f>
        <v>10393.1219353572</v>
      </c>
      <c r="J11" s="0" t="n">
        <f aca="false">J8+J10+J24</f>
        <v>10793.5941082247</v>
      </c>
      <c r="K11" s="0" t="n">
        <f aca="false">K8+K10+K24</f>
        <v>11117.4019314714</v>
      </c>
      <c r="L11" s="0" t="n">
        <f aca="false">L8+L10+L24</f>
        <v>11450.9239894156</v>
      </c>
    </row>
    <row r="12" customFormat="false" ht="15" hidden="false" customHeight="false" outlineLevel="0" collapsed="false">
      <c r="A12" s="0" t="s">
        <v>110</v>
      </c>
      <c r="C12" s="4" t="n">
        <f aca="false">-C6*Assumptions!C31/100</f>
        <v>-1612.1798</v>
      </c>
      <c r="D12" s="4" t="n">
        <f aca="false">-D6*Assumptions!D31/100</f>
        <v>-1805.641376</v>
      </c>
      <c r="E12" s="4" t="n">
        <f aca="false">-E6*Assumptions!E31/100</f>
        <v>-1929.45678464</v>
      </c>
      <c r="F12" s="4" t="n">
        <f aca="false">-F6*Assumptions!F31/100</f>
        <v>-2022.5247001344</v>
      </c>
      <c r="G12" s="4" t="n">
        <f aca="false">-G6*Assumptions!G31/100</f>
        <v>-2078.91023722906</v>
      </c>
      <c r="H12" s="4" t="n">
        <f aca="false">-H6*Assumptions!H31/100</f>
        <v>-2114.64150693143</v>
      </c>
      <c r="I12" s="4" t="n">
        <f aca="false">-I6*Assumptions!I31/100</f>
        <v>-2128.28435536325</v>
      </c>
      <c r="J12" s="4" t="n">
        <f aca="false">-J6*Assumptions!J31/100</f>
        <v>-2202.77430780096</v>
      </c>
      <c r="K12" s="4" t="n">
        <f aca="false">-K6*Assumptions!K31/100</f>
        <v>-2268.85753703499</v>
      </c>
      <c r="L12" s="4" t="n">
        <f aca="false">-L6*Assumptions!L31/100</f>
        <v>-2336.92326314604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3454.671</v>
      </c>
      <c r="D13" s="0" t="n">
        <f aca="false">D11+D12</f>
        <v>4643.077824</v>
      </c>
      <c r="E13" s="0" t="n">
        <f aca="false">E11+E12</f>
        <v>5759.99598944</v>
      </c>
      <c r="F13" s="0" t="n">
        <f aca="false">F11+F12</f>
        <v>6619.1717458944</v>
      </c>
      <c r="G13" s="0" t="n">
        <f aca="false">G11+G12</f>
        <v>7406.11772012851</v>
      </c>
      <c r="H13" s="0" t="n">
        <f aca="false">H11+H12</f>
        <v>7878.74496937356</v>
      </c>
      <c r="I13" s="0" t="n">
        <f aca="false">I11+I12</f>
        <v>8264.83757999394</v>
      </c>
      <c r="J13" s="0" t="n">
        <f aca="false">J11+J12</f>
        <v>8590.81980042375</v>
      </c>
      <c r="K13" s="0" t="n">
        <f aca="false">K11+K12</f>
        <v>8848.54439443646</v>
      </c>
      <c r="L13" s="0" t="n">
        <f aca="false">L11+L12</f>
        <v>9114.00072626955</v>
      </c>
    </row>
    <row r="14" customFormat="false" ht="15" hidden="false" customHeight="false" outlineLevel="0" collapsed="false">
      <c r="A14" s="0" t="s">
        <v>97</v>
      </c>
      <c r="C14" s="4" t="n">
        <f aca="false">Assumptions!C33</f>
        <v>24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2625.54996</v>
      </c>
      <c r="D15" s="0" t="n">
        <f aca="false">D13-MAX(0,D13)*D14/100</f>
        <v>3575.16992448</v>
      </c>
      <c r="E15" s="0" t="n">
        <f aca="false">E13-MAX(0,E13)*E14/100</f>
        <v>4435.1969118688</v>
      </c>
      <c r="F15" s="0" t="n">
        <f aca="false">F13-MAX(0,F13)*F14/100</f>
        <v>5096.76224433869</v>
      </c>
      <c r="G15" s="0" t="n">
        <f aca="false">G13-MAX(0,G13)*G14/100</f>
        <v>5702.71064449896</v>
      </c>
      <c r="H15" s="0" t="n">
        <f aca="false">H13-MAX(0,H13)*H14/100</f>
        <v>6066.63362641764</v>
      </c>
      <c r="I15" s="0" t="n">
        <f aca="false">I13-MAX(0,I13)*I14/100</f>
        <v>6363.92493659534</v>
      </c>
      <c r="J15" s="0" t="n">
        <f aca="false">J13-MAX(0,J13)*J14/100</f>
        <v>6614.93124632628</v>
      </c>
      <c r="K15" s="0" t="n">
        <f aca="false">K13-MAX(0,K13)*K14/100</f>
        <v>6813.37918371607</v>
      </c>
      <c r="L15" s="0" t="n">
        <f aca="false">L13-MAX(0,L13)*L14/100</f>
        <v>7017.78055922755</v>
      </c>
    </row>
    <row r="16" customFormat="false" ht="15" hidden="false" customHeight="false" outlineLevel="0" collapsed="false">
      <c r="A16" s="0" t="s">
        <v>113</v>
      </c>
      <c r="C16" s="0" t="n">
        <f aca="false">-C12</f>
        <v>1612.1798</v>
      </c>
      <c r="D16" s="0" t="n">
        <f aca="false">-D12</f>
        <v>1805.641376</v>
      </c>
      <c r="E16" s="0" t="n">
        <f aca="false">-E12</f>
        <v>1929.45678464</v>
      </c>
      <c r="F16" s="0" t="n">
        <f aca="false">-F12</f>
        <v>2022.5247001344</v>
      </c>
      <c r="G16" s="0" t="n">
        <f aca="false">-G12</f>
        <v>2078.91023722906</v>
      </c>
      <c r="H16" s="0" t="n">
        <f aca="false">-H12</f>
        <v>2114.64150693143</v>
      </c>
      <c r="I16" s="0" t="n">
        <f aca="false">-I12</f>
        <v>2128.28435536325</v>
      </c>
      <c r="J16" s="0" t="n">
        <f aca="false">-J12</f>
        <v>2202.77430780096</v>
      </c>
      <c r="K16" s="0" t="n">
        <f aca="false">-K12</f>
        <v>2268.85753703499</v>
      </c>
      <c r="L16" s="0" t="n">
        <f aca="false">-L12</f>
        <v>2336.92326314604</v>
      </c>
    </row>
    <row r="17" customFormat="false" ht="15" hidden="false" customHeight="false" outlineLevel="0" collapsed="false">
      <c r="A17" s="0" t="s">
        <v>114</v>
      </c>
      <c r="C17" s="4" t="n">
        <f aca="false">-C6*Assumptions!C32/100</f>
        <v>-1750.36664</v>
      </c>
      <c r="D17" s="4" t="n">
        <f aca="false">-D6*Assumptions!D32/100</f>
        <v>-1960.4106368</v>
      </c>
      <c r="E17" s="4" t="n">
        <f aca="false">-E6*Assumptions!E32/100</f>
        <v>-2042.95424256</v>
      </c>
      <c r="F17" s="4" t="n">
        <f aca="false">-F6*Assumptions!F32/100</f>
        <v>-2145.101954688</v>
      </c>
      <c r="G17" s="4" t="n">
        <f aca="false">-G6*Assumptions!G32/100</f>
        <v>-2208.84212705587</v>
      </c>
      <c r="H17" s="4" t="n">
        <f aca="false">-H6*Assumptions!H32/100</f>
        <v>-2251.06999124959</v>
      </c>
      <c r="I17" s="4" t="n">
        <f aca="false">-I6*Assumptions!I32/100</f>
        <v>-2270.16997905413</v>
      </c>
      <c r="J17" s="4" t="n">
        <f aca="false">-J6*Assumptions!J32/100</f>
        <v>-2349.62592832102</v>
      </c>
      <c r="K17" s="4" t="n">
        <f aca="false">-K6*Assumptions!K32/100</f>
        <v>-2420.11470617066</v>
      </c>
      <c r="L17" s="4" t="n">
        <f aca="false">-L6*Assumptions!L32/100</f>
        <v>-2492.71814735578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(C6-B6)*Assumptions!$B$37/100</f>
        <v>799.428</v>
      </c>
      <c r="D18" s="4" t="n">
        <f aca="false">(D6-C6)*Assumptions!$B$37/100</f>
        <v>552.747360000001</v>
      </c>
      <c r="E18" s="4" t="n">
        <f aca="false">(E6-D6)*Assumptions!$B$37/100</f>
        <v>515.897536</v>
      </c>
      <c r="F18" s="4" t="n">
        <f aca="false">(F6-E6)*Assumptions!$B$37/100</f>
        <v>453.989831680001</v>
      </c>
      <c r="G18" s="4" t="n">
        <f aca="false">(G6-F6)*Assumptions!$B$37/100</f>
        <v>367.7317636608</v>
      </c>
      <c r="H18" s="4" t="n">
        <f aca="false">(H6-G6)*Assumptions!$B$37/100</f>
        <v>324.829724567041</v>
      </c>
      <c r="I18" s="4" t="n">
        <f aca="false">(I6-H6)*Assumptions!$B$37/100</f>
        <v>272.856968636315</v>
      </c>
      <c r="J18" s="4" t="n">
        <f aca="false">(J6-I6)*Assumptions!$B$37/100</f>
        <v>248.299841459045</v>
      </c>
      <c r="K18" s="4" t="n">
        <f aca="false">(K6-J6)*Assumptions!$B$37/100</f>
        <v>220.277430780097</v>
      </c>
      <c r="L18" s="4" t="n">
        <f aca="false">(L6-K6)*Assumptions!$B$37/100</f>
        <v>226.885753703499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3286.79112</v>
      </c>
      <c r="D19" s="0" t="n">
        <f aca="false">D15+D16+D17+D18</f>
        <v>3973.14802368</v>
      </c>
      <c r="E19" s="0" t="n">
        <f aca="false">E15+E16+E17+E18</f>
        <v>4837.5969899488</v>
      </c>
      <c r="F19" s="0" t="n">
        <f aca="false">F15+F16+F17+F18</f>
        <v>5428.17482146509</v>
      </c>
      <c r="G19" s="0" t="n">
        <f aca="false">G15+G16+G17+G18</f>
        <v>5940.51051833294</v>
      </c>
      <c r="H19" s="0" t="n">
        <f aca="false">H15+H16+H17+H18</f>
        <v>6255.03486666652</v>
      </c>
      <c r="I19" s="0" t="n">
        <f aca="false">I15+I16+I17+I18</f>
        <v>6494.89628154077</v>
      </c>
      <c r="J19" s="0" t="n">
        <f aca="false">J15+J16+J17+J18</f>
        <v>6716.37946726527</v>
      </c>
      <c r="K19" s="0" t="n">
        <f aca="false">K15+K16+K17+K18</f>
        <v>6882.3994453605</v>
      </c>
      <c r="L19" s="0" t="n">
        <f aca="false">L15+L16+L17+L18</f>
        <v>7088.87142872132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3001.6357260274</v>
      </c>
      <c r="D21" s="0" t="n">
        <f aca="false">D19*D20</f>
        <v>3313.64902623382</v>
      </c>
      <c r="E21" s="0" t="n">
        <f aca="false">E19*E20</f>
        <v>3684.57437874422</v>
      </c>
      <c r="F21" s="0" t="n">
        <f aca="false">F19*F20</f>
        <v>3775.69886634625</v>
      </c>
      <c r="G21" s="0" t="n">
        <f aca="false">G19*G20</f>
        <v>3773.57662714297</v>
      </c>
      <c r="H21" s="0" t="n">
        <f aca="false">H19*H20</f>
        <v>3628.6494927938</v>
      </c>
      <c r="I21" s="0" t="n">
        <f aca="false">I19*I20</f>
        <v>3440.91057415065</v>
      </c>
      <c r="J21" s="0" t="n">
        <f aca="false">J19*J20</f>
        <v>3249.54287774185</v>
      </c>
      <c r="K21" s="0" t="n">
        <f aca="false">K19*K20</f>
        <v>3040.97466743666</v>
      </c>
      <c r="L21" s="0" t="n">
        <f aca="false">L19*L20</f>
        <v>2860.46018946097</v>
      </c>
    </row>
    <row r="23" customFormat="false" ht="15" hidden="false" customHeight="false" outlineLevel="0" collapsed="false">
      <c r="A23" s="0" t="s">
        <v>94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33769.6724260786</v>
      </c>
    </row>
    <row r="31" customFormat="false" ht="15" hidden="false" customHeight="false" outlineLevel="0" collapsed="false">
      <c r="A31" s="0" t="s">
        <v>122</v>
      </c>
      <c r="B31" s="0" t="n">
        <f aca="false">L19</f>
        <v>7088.87142872132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112331.347255122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113421.942859541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112331.347255122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45327.2922329969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79096.9646590755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89213.9646590755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332.268024801026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-0.653030894185619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3475.45863866036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3984.70211569595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360.052608616133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60846.146429858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191.089781074994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Assumptions!C41</f>
        <v>22</v>
      </c>
      <c r="D5" s="4" t="n">
        <f aca="false">Assumptions!D41</f>
        <v>15</v>
      </c>
      <c r="E5" s="4" t="n">
        <f aca="false">Assumptions!E41</f>
        <v>13</v>
      </c>
      <c r="F5" s="4" t="n">
        <f aca="false">Assumptions!F41</f>
        <v>11</v>
      </c>
      <c r="G5" s="4" t="n">
        <f aca="false">Assumptions!G41</f>
        <v>9</v>
      </c>
      <c r="H5" s="4" t="n">
        <f aca="false">Assumptions!H41</f>
        <v>7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38068</v>
      </c>
      <c r="C6" s="0" t="n">
        <f aca="false">B6*(1+C5/100)</f>
        <v>46442.96</v>
      </c>
      <c r="D6" s="0" t="n">
        <f aca="false">C6*(1+D5/100)</f>
        <v>53409.404</v>
      </c>
      <c r="E6" s="0" t="n">
        <f aca="false">D6*(1+E5/100)</f>
        <v>60352.62652</v>
      </c>
      <c r="F6" s="0" t="n">
        <f aca="false">E6*(1+F5/100)</f>
        <v>66991.4154372</v>
      </c>
      <c r="G6" s="0" t="n">
        <f aca="false">F6*(1+G5/100)</f>
        <v>73020.642826548</v>
      </c>
      <c r="H6" s="0" t="n">
        <f aca="false">G6*(1+H5/100)</f>
        <v>78132.0878244064</v>
      </c>
      <c r="I6" s="0" t="n">
        <f aca="false">H6*(1+I5/100)</f>
        <v>82038.6922156267</v>
      </c>
      <c r="J6" s="0" t="n">
        <f aca="false">I6*(1+J5/100)</f>
        <v>85320.2399042517</v>
      </c>
      <c r="K6" s="0" t="n">
        <f aca="false">J6*(1+K5/100)</f>
        <v>88306.4483009005</v>
      </c>
      <c r="L6" s="0" t="n">
        <f aca="false">K6*(1+L5/100)</f>
        <v>91397.1739914321</v>
      </c>
    </row>
    <row r="7" customFormat="false" ht="15" hidden="false" customHeight="false" outlineLevel="0" collapsed="false">
      <c r="A7" s="0" t="s">
        <v>92</v>
      </c>
      <c r="C7" s="4" t="n">
        <f aca="false">Assumptions!C42</f>
        <v>12.5</v>
      </c>
      <c r="D7" s="4" t="n">
        <f aca="false">Assumptions!D42</f>
        <v>14.5</v>
      </c>
      <c r="E7" s="4" t="n">
        <f aca="false">Assumptions!E42</f>
        <v>16</v>
      </c>
      <c r="F7" s="4" t="n">
        <f aca="false">Assumptions!F42</f>
        <v>17</v>
      </c>
      <c r="G7" s="4" t="n">
        <f aca="false">Assumptions!G42</f>
        <v>17.5</v>
      </c>
      <c r="H7" s="4" t="n">
        <f aca="false">Assumptions!H42</f>
        <v>18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5805.37</v>
      </c>
      <c r="D8" s="0" t="n">
        <f aca="false">D6*D7/100</f>
        <v>7744.36358</v>
      </c>
      <c r="E8" s="0" t="n">
        <f aca="false">E6*E7/100</f>
        <v>9656.4202432</v>
      </c>
      <c r="F8" s="0" t="n">
        <f aca="false">F6*F7/100</f>
        <v>11388.540624324</v>
      </c>
      <c r="G8" s="0" t="n">
        <f aca="false">G6*G7/100</f>
        <v>12778.6124946459</v>
      </c>
      <c r="H8" s="0" t="n">
        <f aca="false">H6*H7/100</f>
        <v>14063.7758083931</v>
      </c>
      <c r="I8" s="0" t="n">
        <f aca="false">I6*I7/100</f>
        <v>14766.9645988128</v>
      </c>
      <c r="J8" s="0" t="n">
        <f aca="false">J6*J7/100</f>
        <v>15357.6431827653</v>
      </c>
      <c r="K8" s="0" t="n">
        <f aca="false">K6*K7/100</f>
        <v>15895.1606941621</v>
      </c>
      <c r="L8" s="0" t="n">
        <f aca="false">L6*L7/100</f>
        <v>16451.4913184578</v>
      </c>
    </row>
    <row r="9" customFormat="false" ht="15" hidden="false" customHeight="false" outlineLevel="0" collapsed="false">
      <c r="A9" s="0" t="s">
        <v>93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0.95</v>
      </c>
      <c r="F9" s="4" t="n">
        <f aca="false">Assumptions!F43</f>
        <v>0.9</v>
      </c>
      <c r="G9" s="4" t="n">
        <f aca="false">Assumptions!G43</f>
        <v>0.9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-464.4296</v>
      </c>
      <c r="D10" s="0" t="n">
        <f aca="false">-D6*D9/100</f>
        <v>-534.09404</v>
      </c>
      <c r="E10" s="0" t="n">
        <f aca="false">-E6*E9/100</f>
        <v>-573.34995194</v>
      </c>
      <c r="F10" s="0" t="n">
        <f aca="false">-F6*F9/100</f>
        <v>-602.9227389348</v>
      </c>
      <c r="G10" s="0" t="n">
        <f aca="false">-G6*G9/100</f>
        <v>-657.185785438932</v>
      </c>
      <c r="H10" s="0" t="n">
        <f aca="false">-H6*H9/100</f>
        <v>-664.122746507454</v>
      </c>
      <c r="I10" s="0" t="n">
        <f aca="false">-I6*I9/100</f>
        <v>-697.328883832827</v>
      </c>
      <c r="J10" s="0" t="n">
        <f aca="false">-J6*J9/100</f>
        <v>-682.561919234014</v>
      </c>
      <c r="K10" s="0" t="n">
        <f aca="false">-K6*K9/100</f>
        <v>-706.451586407204</v>
      </c>
      <c r="L10" s="0" t="n">
        <f aca="false">-L6*L9/100</f>
        <v>-731.177391931456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5340.9404</v>
      </c>
      <c r="D11" s="0" t="n">
        <f aca="false">D8+D10+D24</f>
        <v>7210.26954</v>
      </c>
      <c r="E11" s="0" t="n">
        <f aca="false">E8+E10+E24</f>
        <v>9083.07029126</v>
      </c>
      <c r="F11" s="0" t="n">
        <f aca="false">F8+F10+F24</f>
        <v>10785.6178853892</v>
      </c>
      <c r="G11" s="0" t="n">
        <f aca="false">G8+G10+G24</f>
        <v>12121.426709207</v>
      </c>
      <c r="H11" s="0" t="n">
        <f aca="false">H8+H10+H24</f>
        <v>13399.6530618857</v>
      </c>
      <c r="I11" s="0" t="n">
        <f aca="false">I8+I10+I24</f>
        <v>14069.63571498</v>
      </c>
      <c r="J11" s="0" t="n">
        <f aca="false">J8+J10+J24</f>
        <v>14675.0812635313</v>
      </c>
      <c r="K11" s="0" t="n">
        <f aca="false">K8+K10+K24</f>
        <v>15188.7091077549</v>
      </c>
      <c r="L11" s="0" t="n">
        <f aca="false">L8+L10+L24</f>
        <v>15720.3139265263</v>
      </c>
    </row>
    <row r="12" customFormat="false" ht="15" hidden="false" customHeight="false" outlineLevel="0" collapsed="false">
      <c r="A12" s="0" t="s">
        <v>110</v>
      </c>
      <c r="C12" s="4" t="n">
        <f aca="false">-C6*Assumptions!C45/100</f>
        <v>-1625.5036</v>
      </c>
      <c r="D12" s="4" t="n">
        <f aca="false">-D6*Assumptions!D45/100</f>
        <v>-1869.32914</v>
      </c>
      <c r="E12" s="4" t="n">
        <f aca="false">-E6*Assumptions!E45/100</f>
        <v>-2051.98930168</v>
      </c>
      <c r="F12" s="4" t="n">
        <f aca="false">-F6*Assumptions!F45/100</f>
        <v>-2210.7167094276</v>
      </c>
      <c r="G12" s="4" t="n">
        <f aca="false">-G6*Assumptions!G45/100</f>
        <v>-2336.66057044954</v>
      </c>
      <c r="H12" s="4" t="n">
        <f aca="false">-H6*Assumptions!H45/100</f>
        <v>-2422.0947225566</v>
      </c>
      <c r="I12" s="4" t="n">
        <f aca="false">-I6*Assumptions!I45/100</f>
        <v>-2461.1607664688</v>
      </c>
      <c r="J12" s="4" t="n">
        <f aca="false">-J6*Assumptions!J45/100</f>
        <v>-2559.60719712755</v>
      </c>
      <c r="K12" s="4" t="n">
        <f aca="false">-K6*Assumptions!K45/100</f>
        <v>-2649.19344902702</v>
      </c>
      <c r="L12" s="4" t="n">
        <f aca="false">-L6*Assumptions!L45/100</f>
        <v>-2741.91521974296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3715.4368</v>
      </c>
      <c r="D13" s="0" t="n">
        <f aca="false">D11+D12</f>
        <v>5340.9404</v>
      </c>
      <c r="E13" s="0" t="n">
        <f aca="false">E11+E12</f>
        <v>7031.08098958</v>
      </c>
      <c r="F13" s="0" t="n">
        <f aca="false">F11+F12</f>
        <v>8574.9011759616</v>
      </c>
      <c r="G13" s="0" t="n">
        <f aca="false">G11+G12</f>
        <v>9784.76613875743</v>
      </c>
      <c r="H13" s="0" t="n">
        <f aca="false">H11+H12</f>
        <v>10977.5583393291</v>
      </c>
      <c r="I13" s="0" t="n">
        <f aca="false">I11+I12</f>
        <v>11608.4749485112</v>
      </c>
      <c r="J13" s="0" t="n">
        <f aca="false">J11+J12</f>
        <v>12115.4740664037</v>
      </c>
      <c r="K13" s="0" t="n">
        <f aca="false">K11+K12</f>
        <v>12539.5156587279</v>
      </c>
      <c r="L13" s="0" t="n">
        <f aca="false">L11+L12</f>
        <v>12978.3987067834</v>
      </c>
    </row>
    <row r="14" customFormat="false" ht="15" hidden="false" customHeight="false" outlineLevel="0" collapsed="false">
      <c r="A14" s="0" t="s">
        <v>97</v>
      </c>
      <c r="C14" s="4" t="n">
        <f aca="false">Assumptions!C47</f>
        <v>24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2823.731968</v>
      </c>
      <c r="D15" s="0" t="n">
        <f aca="false">D13-MAX(0,D13)*D14/100</f>
        <v>4112.524108</v>
      </c>
      <c r="E15" s="0" t="n">
        <f aca="false">E13-MAX(0,E13)*E14/100</f>
        <v>5413.9323619766</v>
      </c>
      <c r="F15" s="0" t="n">
        <f aca="false">F13-MAX(0,F13)*F14/100</f>
        <v>6602.67390549043</v>
      </c>
      <c r="G15" s="0" t="n">
        <f aca="false">G13-MAX(0,G13)*G14/100</f>
        <v>7534.26992684322</v>
      </c>
      <c r="H15" s="0" t="n">
        <f aca="false">H13-MAX(0,H13)*H14/100</f>
        <v>8452.7199212834</v>
      </c>
      <c r="I15" s="0" t="n">
        <f aca="false">I13-MAX(0,I13)*I14/100</f>
        <v>8938.5257103536</v>
      </c>
      <c r="J15" s="0" t="n">
        <f aca="false">J13-MAX(0,J13)*J14/100</f>
        <v>9328.91503113088</v>
      </c>
      <c r="K15" s="0" t="n">
        <f aca="false">K13-MAX(0,K13)*K14/100</f>
        <v>9655.42705722046</v>
      </c>
      <c r="L15" s="0" t="n">
        <f aca="false">L13-MAX(0,L13)*L14/100</f>
        <v>9993.36700422318</v>
      </c>
    </row>
    <row r="16" customFormat="false" ht="15" hidden="false" customHeight="false" outlineLevel="0" collapsed="false">
      <c r="A16" s="0" t="s">
        <v>113</v>
      </c>
      <c r="C16" s="0" t="n">
        <f aca="false">-C12</f>
        <v>1625.5036</v>
      </c>
      <c r="D16" s="0" t="n">
        <f aca="false">-D12</f>
        <v>1869.32914</v>
      </c>
      <c r="E16" s="0" t="n">
        <f aca="false">-E12</f>
        <v>2051.98930168</v>
      </c>
      <c r="F16" s="0" t="n">
        <f aca="false">-F12</f>
        <v>2210.7167094276</v>
      </c>
      <c r="G16" s="0" t="n">
        <f aca="false">-G12</f>
        <v>2336.66057044954</v>
      </c>
      <c r="H16" s="0" t="n">
        <f aca="false">-H12</f>
        <v>2422.0947225566</v>
      </c>
      <c r="I16" s="0" t="n">
        <f aca="false">-I12</f>
        <v>2461.1607664688</v>
      </c>
      <c r="J16" s="0" t="n">
        <f aca="false">-J12</f>
        <v>2559.60719712755</v>
      </c>
      <c r="K16" s="0" t="n">
        <f aca="false">-K12</f>
        <v>2649.19344902702</v>
      </c>
      <c r="L16" s="0" t="n">
        <f aca="false">-L12</f>
        <v>2741.91521974296</v>
      </c>
    </row>
    <row r="17" customFormat="false" ht="15" hidden="false" customHeight="false" outlineLevel="0" collapsed="false">
      <c r="A17" s="0" t="s">
        <v>114</v>
      </c>
      <c r="C17" s="4" t="n">
        <f aca="false">-C6*Assumptions!C46/100</f>
        <v>-1764.83248</v>
      </c>
      <c r="D17" s="4" t="n">
        <f aca="false">-D6*Assumptions!D46/100</f>
        <v>-2029.557352</v>
      </c>
      <c r="E17" s="4" t="n">
        <f aca="false">-E6*Assumptions!E46/100</f>
        <v>-2172.69455472</v>
      </c>
      <c r="F17" s="4" t="n">
        <f aca="false">-F6*Assumptions!F46/100</f>
        <v>-2344.699540302</v>
      </c>
      <c r="G17" s="4" t="n">
        <f aca="false">-G6*Assumptions!G46/100</f>
        <v>-2482.70185610263</v>
      </c>
      <c r="H17" s="4" t="n">
        <f aca="false">-H6*Assumptions!H46/100</f>
        <v>-2578.35889820541</v>
      </c>
      <c r="I17" s="4" t="n">
        <f aca="false">-I6*Assumptions!I46/100</f>
        <v>-2625.23815090005</v>
      </c>
      <c r="J17" s="4" t="n">
        <f aca="false">-J6*Assumptions!J46/100</f>
        <v>-2730.24767693606</v>
      </c>
      <c r="K17" s="4" t="n">
        <f aca="false">-K6*Assumptions!K46/100</f>
        <v>-2825.80634562882</v>
      </c>
      <c r="L17" s="4" t="n">
        <f aca="false">-L6*Assumptions!L46/100</f>
        <v>-2924.70956772583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(C6-B6)*Assumptions!$B$51/100</f>
        <v>2093.74</v>
      </c>
      <c r="D18" s="4" t="n">
        <f aca="false">(D6-C6)*Assumptions!$B$51/100</f>
        <v>1741.611</v>
      </c>
      <c r="E18" s="4" t="n">
        <f aca="false">(E6-D6)*Assumptions!$B$51/100</f>
        <v>1735.80563</v>
      </c>
      <c r="F18" s="4" t="n">
        <f aca="false">(F6-E6)*Assumptions!$B$51/100</f>
        <v>1659.6972293</v>
      </c>
      <c r="G18" s="4" t="n">
        <f aca="false">(G6-F6)*Assumptions!$B$51/100</f>
        <v>1507.306847337</v>
      </c>
      <c r="H18" s="4" t="n">
        <f aca="false">(H6-G6)*Assumptions!$B$51/100</f>
        <v>1277.86124946459</v>
      </c>
      <c r="I18" s="4" t="n">
        <f aca="false">(I6-H6)*Assumptions!$B$51/100</f>
        <v>976.651097805079</v>
      </c>
      <c r="J18" s="4" t="n">
        <f aca="false">(J6-I6)*Assumptions!$B$51/100</f>
        <v>820.386922156267</v>
      </c>
      <c r="K18" s="4" t="n">
        <f aca="false">(K6-J6)*Assumptions!$B$51/100</f>
        <v>746.5520991622</v>
      </c>
      <c r="L18" s="4" t="n">
        <f aca="false">(L6-K6)*Assumptions!$B$51/100</f>
        <v>772.681422632879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4778.143088</v>
      </c>
      <c r="D19" s="0" t="n">
        <f aca="false">D15+D16+D17+D18</f>
        <v>5693.906896</v>
      </c>
      <c r="E19" s="0" t="n">
        <f aca="false">E15+E16+E17+E18</f>
        <v>7029.0327389366</v>
      </c>
      <c r="F19" s="0" t="n">
        <f aca="false">F15+F16+F17+F18</f>
        <v>8128.38830391603</v>
      </c>
      <c r="G19" s="0" t="n">
        <f aca="false">G15+G16+G17+G18</f>
        <v>8895.53548852713</v>
      </c>
      <c r="H19" s="0" t="n">
        <f aca="false">H15+H16+H17+H18</f>
        <v>9574.31699509918</v>
      </c>
      <c r="I19" s="0" t="n">
        <f aca="false">I15+I16+I17+I18</f>
        <v>9751.09942372743</v>
      </c>
      <c r="J19" s="0" t="n">
        <f aca="false">J15+J16+J17+J18</f>
        <v>9978.66147347865</v>
      </c>
      <c r="K19" s="0" t="n">
        <f aca="false">K15+K16+K17+K18</f>
        <v>10225.3662597809</v>
      </c>
      <c r="L19" s="0" t="n">
        <f aca="false">L15+L16+L17+L18</f>
        <v>10583.2540788732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4363.60099360731</v>
      </c>
      <c r="D21" s="0" t="n">
        <f aca="false">D19*D20</f>
        <v>4748.78079773149</v>
      </c>
      <c r="E21" s="0" t="n">
        <f aca="false">E19*E20</f>
        <v>5353.68985697881</v>
      </c>
      <c r="F21" s="0" t="n">
        <f aca="false">F19*F20</f>
        <v>5653.89795165706</v>
      </c>
      <c r="G21" s="0" t="n">
        <f aca="false">G19*G20</f>
        <v>5650.69023980903</v>
      </c>
      <c r="H21" s="0" t="n">
        <f aca="false">H19*H20</f>
        <v>5554.22012005963</v>
      </c>
      <c r="I21" s="0" t="n">
        <f aca="false">I19*I20</f>
        <v>5166.00414575649</v>
      </c>
      <c r="J21" s="0" t="n">
        <f aca="false">J19*J20</f>
        <v>4827.91189488027</v>
      </c>
      <c r="K21" s="0" t="n">
        <f aca="false">K19*K20</f>
        <v>4518.05798371913</v>
      </c>
      <c r="L21" s="0" t="n">
        <f aca="false">L19*L20</f>
        <v>4270.49316269343</v>
      </c>
    </row>
    <row r="23" customFormat="false" ht="15" hidden="false" customHeight="false" outlineLevel="0" collapsed="false">
      <c r="A23" s="0" t="s">
        <v>94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50107.3471468927</v>
      </c>
    </row>
    <row r="31" customFormat="false" ht="15" hidden="false" customHeight="false" outlineLevel="0" collapsed="false">
      <c r="A31" s="0" t="s">
        <v>122</v>
      </c>
      <c r="B31" s="0" t="n">
        <f aca="false">L19</f>
        <v>10583.2540788732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182561.132860563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190498.573419718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182561.132860563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73666.0070564616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123773.354203354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133890.354203354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498.660537070221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-0.47927640417466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3835.23980437745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5089.4477740142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531.899596952499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95249.2867098588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269.657591413481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130</v>
      </c>
      <c r="D3" s="2" t="s">
        <v>141</v>
      </c>
      <c r="E3" s="2" t="s">
        <v>133</v>
      </c>
      <c r="F3" s="2" t="s">
        <v>142</v>
      </c>
    </row>
    <row r="4" customFormat="false" ht="15" hidden="false" customHeight="false" outlineLevel="0" collapsed="false">
      <c r="A4" s="0" t="s">
        <v>143</v>
      </c>
      <c r="B4" s="4" t="n">
        <f aca="false">DCF_Bear!$B$38</f>
        <v>154.557017994629</v>
      </c>
      <c r="C4" s="0" t="n">
        <f aca="false">B4/Assumptions!$B$2-1</f>
        <v>-0.838604661513707</v>
      </c>
      <c r="D4" s="4" t="n">
        <f aca="false">Assumptions!$B$24</f>
        <v>0.25</v>
      </c>
      <c r="E4" s="4" t="n">
        <f aca="false">DCF_Bear!$B$43</f>
        <v>177.547922148052</v>
      </c>
      <c r="F4" s="4" t="n">
        <f aca="false">DCF_Bear!$B$47</f>
        <v>108.671790015199</v>
      </c>
    </row>
    <row r="5" customFormat="false" ht="15" hidden="false" customHeight="false" outlineLevel="0" collapsed="false">
      <c r="A5" s="0" t="s">
        <v>144</v>
      </c>
      <c r="B5" s="4" t="n">
        <f aca="false">DCF_Base!$B$38</f>
        <v>332.268024801026</v>
      </c>
      <c r="C5" s="0" t="n">
        <f aca="false">B5/Assumptions!$B$2-1</f>
        <v>-0.653030894185619</v>
      </c>
      <c r="D5" s="4" t="n">
        <f aca="false">Assumptions!$B$38</f>
        <v>0.5</v>
      </c>
      <c r="E5" s="4" t="n">
        <f aca="false">DCF_Base!$B$43</f>
        <v>360.052608616133</v>
      </c>
      <c r="F5" s="4" t="n">
        <f aca="false">DCF_Base!$B$47</f>
        <v>191.089781074994</v>
      </c>
    </row>
    <row r="6" customFormat="false" ht="15" hidden="false" customHeight="false" outlineLevel="0" collapsed="false">
      <c r="A6" s="0" t="s">
        <v>145</v>
      </c>
      <c r="B6" s="4" t="n">
        <f aca="false">DCF_Bull!$B$38</f>
        <v>498.660537070221</v>
      </c>
      <c r="C6" s="0" t="n">
        <f aca="false">B6/Assumptions!$B$2-1</f>
        <v>-0.47927640417466</v>
      </c>
      <c r="D6" s="4" t="n">
        <f aca="false">Assumptions!$B$52</f>
        <v>0.25</v>
      </c>
      <c r="E6" s="4" t="n">
        <f aca="false">DCF_Bull!$B$43</f>
        <v>531.899596952499</v>
      </c>
      <c r="F6" s="4" t="n">
        <f aca="false">DCF_Bull!$B$47</f>
        <v>269.657591413481</v>
      </c>
    </row>
    <row r="8" customFormat="false" ht="15" hidden="false" customHeight="false" outlineLevel="0" collapsed="false">
      <c r="A8" s="0" t="s">
        <v>146</v>
      </c>
      <c r="B8" s="0" t="n">
        <f aca="false">SUMPRODUCT(B4:B6,D4:D6)</f>
        <v>329.438401166725</v>
      </c>
    </row>
    <row r="9" customFormat="false" ht="15" hidden="false" customHeight="false" outlineLevel="0" collapsed="false">
      <c r="A9" s="0" t="s">
        <v>147</v>
      </c>
      <c r="B9" s="0" t="n">
        <f aca="false">SUMPRODUCT(E4:E6,D4:D6)</f>
        <v>357.388184083204</v>
      </c>
    </row>
    <row r="10" customFormat="false" ht="15" hidden="false" customHeight="false" outlineLevel="0" collapsed="false">
      <c r="A10" s="0" t="s">
        <v>148</v>
      </c>
      <c r="B10" s="0" t="n">
        <f aca="false">1-Assumptions!$B$2/B8</f>
        <v>-1.90685602106038</v>
      </c>
    </row>
    <row r="11" customFormat="false" ht="15" hidden="false" customHeight="false" outlineLevel="0" collapsed="false">
      <c r="A11" s="0" t="s">
        <v>149</v>
      </c>
      <c r="B11" s="0" t="n">
        <f aca="false">IF(ABS(B9-B8)&gt;0.01*ABS(B8),(Assumptions!$B$2-B8)/(B9-B8)*100,"n/a")</f>
        <v>2247.57237188737</v>
      </c>
    </row>
    <row r="12" customFormat="false" ht="15" hidden="false" customHeight="false" outlineLevel="0" collapsed="false">
      <c r="A12" s="0" t="s">
        <v>150</v>
      </c>
      <c r="B12" s="0" t="n">
        <f aca="false">SUMPRODUCT(F4:F6,D4:D6)</f>
        <v>190.127235894667</v>
      </c>
    </row>
    <row r="14" customFormat="false" ht="15" hidden="false" customHeight="false" outlineLevel="0" collapsed="false">
      <c r="A14" s="2" t="s">
        <v>151</v>
      </c>
      <c r="C14" s="0" t="s">
        <v>152</v>
      </c>
    </row>
    <row r="15" customFormat="false" ht="15" hidden="false" customHeight="false" outlineLevel="0" collapsed="false">
      <c r="A15" s="0" t="s">
        <v>153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345.049023031003</v>
      </c>
      <c r="C15" s="3" t="n">
        <v>9</v>
      </c>
    </row>
    <row r="16" customFormat="false" ht="15" hidden="false" customHeight="false" outlineLevel="0" collapsed="false">
      <c r="A16" s="0" t="s">
        <v>154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332.268024801026</v>
      </c>
      <c r="C16" s="3" t="n">
        <v>9.5</v>
      </c>
    </row>
    <row r="17" customFormat="false" ht="15" hidden="false" customHeight="false" outlineLevel="0" collapsed="false">
      <c r="A17" s="0" t="s">
        <v>155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310.179534561815</v>
      </c>
      <c r="C17" s="3" t="n">
        <v>10</v>
      </c>
    </row>
    <row r="18" customFormat="false" ht="15" hidden="false" customHeight="false" outlineLevel="0" collapsed="false">
      <c r="A18" s="0" t="s">
        <v>156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274.334138131377</v>
      </c>
      <c r="C18" s="3" t="n">
        <v>11</v>
      </c>
    </row>
    <row r="19" customFormat="false" ht="15" hidden="false" customHeight="false" outlineLevel="0" collapsed="false">
      <c r="A19" s="0" t="s">
        <v>157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246.509515553068</v>
      </c>
      <c r="C19" s="3" t="n">
        <v>12</v>
      </c>
    </row>
    <row r="20" customFormat="false" ht="15" hidden="false" customHeight="false" outlineLevel="0" collapsed="false">
      <c r="A20" s="0" t="s">
        <v>158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191.089781074994</v>
      </c>
      <c r="C20" s="3" t="n">
        <v>15</v>
      </c>
    </row>
    <row r="22" customFormat="false" ht="15" hidden="false" customHeight="false" outlineLevel="0" collapsed="false">
      <c r="A22" s="2" t="s">
        <v>159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381.764566765076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381.764566765076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381.764566765076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381.764566765076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381.764566765076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353.126932370765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356.719889760245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356.719889760245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356.719889760245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356.719889760245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308.338662952506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319.448723810747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332.268024801026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333.907022187911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333.907022187911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274.192180973651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282.095934689565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291.053522234267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301.290765142499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313.10296849815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247.321473291764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253.117933951979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259.596331160456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266.884528019992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275.144484460799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2026-09-28T08:45:15Z</dcterms:created>
  <dc:creator>openpyxl</dc:creator>
  <dc:description/>
  <dc:language>en-NZ</dc:language>
  <cp:lastModifiedBy/>
  <dcterms:modified xsi:type="dcterms:W3CDTF">2026-09-28T08:45:15Z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