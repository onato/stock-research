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<sst xmlns="http://schemas.openxmlformats.org/spreadsheetml/2006/main" count="386" uniqueCount="173">
  <si>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</si>
  <si>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WST</t>
  </si>
  <si>
    <t xml:space="preserve">Company</t>
  </si>
  <si>
    <t xml:space="preserve">West Pharmaceutical Services,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</si>
  <si>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</si>
  <si>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</si>
  <si>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</si>
  <si>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</si>
  <si>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2026-10-02T20:00:02Z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</si>
  <si>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</si>
  <si>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</si>
  <si>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</si>
  <si>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</si>
  <si>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</si>
  <si>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</si>
  <si>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</si>
  <si>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</si>
  <si>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</si>
  <si>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</si>
  <si>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</si>
  <si>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</si>
  <si>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2026-10-02T22:00:38Z</t>
  </si>
  <si>
    <t xml:space="preserve">Drivers file</t>
  </si>
  <si>
    <t xml:space="preserve">WST_Drivers.json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</si>
  <si>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</si>
  <si>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</si>
  <si>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</si>
  <si>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West is a high-quality, regulatory-moated compounder: its components are written into drug filings, so customers rarely switch. At a price near the 52-week high the market is paying for sustained high-single to low-double-digit growth plus margin recovery. The DCF charges SBC and withholding taxes as cash, holds the share count flat (buybacks fund it), and treats working capital as a use of cash for a manufacturer. It caps the terminal at 20x owner FCF for the base and bull cases.
key_risks_to_valuation: GLP-1 concentration: a few drug makers drive much of the HVP growth, and oral formulations could cut injectable volumes.; Customer destocking cycles like FY2023-24 swing revenue and margin hard, since the business has high operating leverage.; Terminal value is most of the value, so the result is sensitive to WACC: each 1pp on the discount rate moves base value by roughly 15-20%.; Capex intensity: if the GLP-1/biologics capacity build keeps capex near the FY2023-24 12-13% instead of normalizing to ~6-7%, owner FCF falls well short of this path.; SmartDose divestiture after-tax proceeds are estimated; the gain and its tax were not disclosed in the data at hand.</t>
  </si>
  <si>
    <t xml:space="preserve">Data sources</t>
  </si>
  <si>
    <t xml:space="preserve">price: Yahoo Finance chart API at inputs.price_as_of; 52-week range 223.83-386.00
financials: WST_Metrics.csv (SEC XBRL, FY2007-Q2 2026); SEC companyfacts API for D&amp;A, cash taxes, equity-award taxes, diluted shares, buybacks, interest and working-capital balances
qualitative: WST_Analysis.json (2026-10-03), including FY2026 guidance raised on the Q2 2026 call (23-Jul-2026)</t>
  </si>
  <si>
    <t xml:space="preserve">Scenario narrative: bear</t>
  </si>
  <si>
    <t xml:space="preserve">The bear axes are concentration and the delivery format. A small set of GLP-1 makers are a large share of incremental demand. Oral semaglutide/orforglipron formulations and GLP-1 price cuts slow injectable volume growth, while pharma customers destock as they did in FY2023-24, when revenue fell 2% and EBITDA margin compressed ~5pp. Growth drops to 4-5% after FY2026, the capacity built for GLP-1 runs under-utilized, and margin stalls at 27.5%. The market's ~40x forward multiple de-rates; the terminal is capped at 16x.</t>
  </si>
  <si>
    <t xml:space="preserve">Scenario narrative: base</t>
  </si>
  <si>
    <t xml:space="preserve">West keeps compounding at roughly its 10-year pace (~8% revenue CAGR FY2015-25). FY2026 lands at the raised guidance midpoint ($3.36B, 9.4% reported, 10-11% organic). From FY2027 growth stays high-single-digit on HVP components for biologics and injectable GLP-1s, and on the EU Annex 1 sterility upgrade cycle. That is partly offset in FY2027 by the remaining half-year of SmartDose 3.5mL roll-off and a lower-growth West Vantage contract-manufacturing segment. Mix shift toward HVP rebuilds pre-SBC EBITDA margin from 27.6% (GAAP basis, still carrying FY2026 SmartDose-exit restructuring) to 30.5%, which roughly matches Q2 2026 on an adjusted basis and stays short of the FY2021 COVID-vaccine peak of 32.2%. Capex falls from the guided 7.8% of sales to a 6% maintenance-plus-growth level as the GLP-1 capacity build completes.</t>
  </si>
  <si>
    <t xml:space="preserve">Scenario narrative: bull</t>
  </si>
  <si>
    <t xml:space="preserve">The bull axes are GLP-1 and Annex 1. Injectable GLP-1 adoption is still early-stage, as management says, and HVP GLP-1 components keep growing in the high teens. Biologics organic growth (29% in Q2 2026) holds above 15%. The ~6 billion-component Annex 1 opportunity converts Standard Products to higher-spec HVP at higher price points. Revenue grows 10%+ through FY2029, and margin reaches 33% as HVP rises from ~64% of sales toward 75%, above the FY2021 peak. Regulatory switching costs protect each design win for the life of the drug.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</si>
  <si>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</si>
  <si>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</si>
  <si>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</si>
  <si>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</si>
  <si>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</si>
  <si>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</si>
  <si>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</si>
  <si>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</si>
  <si>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</si>
  <si>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</si>
  <si>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</si>
  <si>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</si>
  <si>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</si>
  <si>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</si>
  <si>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</si>
  <si>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</si>
  <si>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</si>
  <si>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</si>
  <si>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</si>
  <si>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</si>
  <si>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</si>
  <si>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</si>
  <si>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</si>
  <si>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</si>
  <si>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</si>
  <si>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</si>
  <si>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</si>
  <si>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</si>
  <si>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</si>
  <si>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</si>
  <si>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</si>
  <si>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</si>
  <si>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</si>
  <si>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</si>
  <si>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</si>
  <si>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</si>
  <si>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</si>
  <si>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</si>
  <si>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</si>
  <si>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</si>
  <si>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</si>
  <si>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</si>
  <si>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</si>
  <si>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</si>
  <si>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</si>
  <si>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</si>
  <si>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</si>
  <si>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</si>
  <si>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</si>
  <si>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</si>
  <si>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</si>
  <si>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</si>
  <si>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</si>
  <si>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</si>
  <si>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</si>
  <si>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</si>
  <si>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</si>
  <si>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</si>
  <si>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</si>
  <si>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</si>
  <si>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</si>
  <si>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</si>
  <si>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</si>
  <si>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</si>
  <si>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</si>
  <si>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</si>
  <si>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</si>
  <si>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</si>
  <si>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</si>
  <si>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</si>
  <si>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</si>
  <si>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</si>
  <si>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</si>
  <si>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</si>
  <si>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</si>
  <si>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</si>
  <si>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</si>
  <si>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</si>
  <si>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</si>
  <si>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</si>
  <si>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</si>
  <si>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</si>
  <si>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</si>
  <si>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WST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</si>
  <si>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</si>
  <si>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</si>
  <si>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</si>
  <si>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</si>
  <si>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</si>
  <si>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</si>
  <si>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</si>
  <si>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</si>
  <si>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</si>
  <si>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</si>
  <si>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</si>
  <si>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</si>
  <si>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</si>
  <si>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</si>
  <si>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</si>
  <si>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</si>
  <si>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</si>
  <si>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</si>
  <si>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</si>
  <si>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</si>
  <si>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</si>
  <si>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</si>
  <si>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</si>
  <si>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</si>
  <si>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</si>
  <si>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</si>
  <si>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</si>
  <si>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</si>
  <si>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</si>
  <si>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</si>
  <si>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WST owner-FCF component DCF: base case (millions, USD)</t>
  </si>
  <si>
    <t xml:space="preserve">WST owner-FCF component DCF: bull case (millions, USD)</t>
  </si>
  <si>
    <t xml:space="preserve">WST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</si>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</sst>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364.98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490.9</v>
      </c>
      <c r="S2" s="0" t="n">
        <v>108.4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1051.1</v>
      </c>
      <c r="C3" s="0" t="n">
        <v>748.5</v>
      </c>
      <c r="D3" s="0" t="n">
        <v>302.6</v>
      </c>
      <c r="E3" s="0" t="n">
        <v>28.7888878317953</v>
      </c>
      <c r="F3" s="0" t="n">
        <v>124.1</v>
      </c>
      <c r="G3" s="0" t="n">
        <v>11.806678717534</v>
      </c>
      <c r="I3" s="0" t="n">
        <v>86.6</v>
      </c>
      <c r="J3" s="0" t="n">
        <v>8.23898772714299</v>
      </c>
      <c r="K3" s="0" t="n">
        <v>2.65</v>
      </c>
      <c r="L3" s="0" t="n">
        <v>135</v>
      </c>
      <c r="M3" s="0" t="n">
        <v>138.6</v>
      </c>
      <c r="N3" s="0" t="n">
        <v>-3.59999999999999</v>
      </c>
      <c r="O3" s="0" t="n">
        <v>487.1</v>
      </c>
      <c r="S3" s="0" t="n">
        <v>87.2</v>
      </c>
      <c r="T3" s="0" t="n">
        <v>36.1</v>
      </c>
      <c r="U3" s="0" t="n">
        <v>6.4</v>
      </c>
      <c r="V3" s="0" t="n">
        <v>0.58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1055.7</v>
      </c>
      <c r="C4" s="0" t="n">
        <v>752.1</v>
      </c>
      <c r="D4" s="0" t="n">
        <v>303.6</v>
      </c>
      <c r="E4" s="0" t="n">
        <v>28.7581699346405</v>
      </c>
      <c r="F4" s="0" t="n">
        <v>97.5</v>
      </c>
      <c r="G4" s="0" t="n">
        <v>9.23557828928673</v>
      </c>
      <c r="H4" s="0" t="n">
        <v>165.6</v>
      </c>
      <c r="I4" s="0" t="n">
        <v>72.6</v>
      </c>
      <c r="J4" s="0" t="n">
        <v>6.87695368002273</v>
      </c>
      <c r="K4" s="0" t="n">
        <v>2.21</v>
      </c>
      <c r="L4" s="0" t="n">
        <v>137.7</v>
      </c>
      <c r="M4" s="0" t="n">
        <v>104.9</v>
      </c>
      <c r="N4" s="0" t="n">
        <v>32.8</v>
      </c>
      <c r="O4" s="0" t="n">
        <v>579.1</v>
      </c>
      <c r="P4" s="0" t="n">
        <v>1271</v>
      </c>
      <c r="Q4" s="0" t="n">
        <v>691.9</v>
      </c>
      <c r="R4" s="0" t="n">
        <v>379.6</v>
      </c>
      <c r="S4" s="0" t="n">
        <v>83.1</v>
      </c>
      <c r="T4" s="0" t="n">
        <v>36.3</v>
      </c>
      <c r="U4" s="0" t="n">
        <v>7.5</v>
      </c>
      <c r="V4" s="0" t="n">
        <v>0.62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1104.7</v>
      </c>
      <c r="C5" s="0" t="n">
        <v>786.6</v>
      </c>
      <c r="D5" s="0" t="n">
        <v>318.1</v>
      </c>
      <c r="E5" s="0" t="n">
        <v>28.795148003983</v>
      </c>
      <c r="F5" s="0" t="n">
        <v>90.7</v>
      </c>
      <c r="G5" s="0" t="n">
        <v>8.21037385715579</v>
      </c>
      <c r="H5" s="0" t="n">
        <v>163.9</v>
      </c>
      <c r="I5" s="0" t="n">
        <v>65.3</v>
      </c>
      <c r="J5" s="0" t="n">
        <v>5.91110708789717</v>
      </c>
      <c r="K5" s="0" t="n">
        <v>1.96</v>
      </c>
      <c r="L5" s="0" t="n">
        <v>138.3</v>
      </c>
      <c r="M5" s="0" t="n">
        <v>71.1</v>
      </c>
      <c r="N5" s="0" t="n">
        <v>67.2</v>
      </c>
      <c r="O5" s="0" t="n">
        <v>625.7</v>
      </c>
      <c r="P5" s="0" t="n">
        <v>1294.3</v>
      </c>
      <c r="Q5" s="0" t="n">
        <v>668.6</v>
      </c>
      <c r="R5" s="0" t="n">
        <v>358.4</v>
      </c>
      <c r="S5" s="0" t="n">
        <v>110.2</v>
      </c>
      <c r="T5" s="0" t="n">
        <v>36.7</v>
      </c>
      <c r="U5" s="0" t="n">
        <v>7.8</v>
      </c>
      <c r="V5" s="0" t="n">
        <v>0.66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1192.3</v>
      </c>
      <c r="C6" s="0" t="n">
        <v>853</v>
      </c>
      <c r="D6" s="0" t="n">
        <v>339.3</v>
      </c>
      <c r="E6" s="0" t="n">
        <v>28.4576029522771</v>
      </c>
      <c r="F6" s="0" t="n">
        <v>109.6</v>
      </c>
      <c r="G6" s="0" t="n">
        <v>9.19231736978948</v>
      </c>
      <c r="H6" s="0" t="n">
        <v>185.3</v>
      </c>
      <c r="I6" s="0" t="n">
        <v>75.5</v>
      </c>
      <c r="J6" s="0" t="n">
        <v>6.33229891805754</v>
      </c>
      <c r="K6" s="0" t="n">
        <v>1.12</v>
      </c>
      <c r="L6" s="0" t="n">
        <v>130.7</v>
      </c>
      <c r="M6" s="0" t="n">
        <v>95.4</v>
      </c>
      <c r="N6" s="0" t="n">
        <v>35.3</v>
      </c>
      <c r="O6" s="0" t="n">
        <v>654.9</v>
      </c>
      <c r="P6" s="0" t="n">
        <v>1399.1</v>
      </c>
      <c r="Q6" s="0" t="n">
        <v>744.2</v>
      </c>
      <c r="R6" s="0" t="n">
        <v>349.4</v>
      </c>
      <c r="S6" s="0" t="n">
        <v>91.8</v>
      </c>
      <c r="T6" s="0" t="n">
        <v>74</v>
      </c>
      <c r="U6" s="0" t="n">
        <v>8.4</v>
      </c>
      <c r="V6" s="0" t="n">
        <v>0.35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1266.4</v>
      </c>
      <c r="C7" s="0" t="n">
        <v>878.7</v>
      </c>
      <c r="D7" s="0" t="n">
        <v>387.7</v>
      </c>
      <c r="E7" s="0" t="n">
        <v>30.6143398610234</v>
      </c>
      <c r="F7" s="0" t="n">
        <v>135.1</v>
      </c>
      <c r="G7" s="0" t="n">
        <v>10.6680353758686</v>
      </c>
      <c r="H7" s="0" t="n">
        <v>212</v>
      </c>
      <c r="I7" s="0" t="n">
        <v>80.7</v>
      </c>
      <c r="J7" s="0" t="n">
        <v>6.37239418825016</v>
      </c>
      <c r="K7" s="0" t="n">
        <v>1.19</v>
      </c>
      <c r="L7" s="0" t="n">
        <v>187.4</v>
      </c>
      <c r="M7" s="0" t="n">
        <v>131.3</v>
      </c>
      <c r="N7" s="0" t="n">
        <v>56.1</v>
      </c>
      <c r="O7" s="0" t="n">
        <v>728.9</v>
      </c>
      <c r="P7" s="0" t="n">
        <v>1564</v>
      </c>
      <c r="Q7" s="0" t="n">
        <v>835.1</v>
      </c>
      <c r="R7" s="0" t="n">
        <v>411.5</v>
      </c>
      <c r="S7" s="0" t="n">
        <v>161.9</v>
      </c>
      <c r="T7" s="0" t="n">
        <v>71.8</v>
      </c>
      <c r="U7" s="0" t="n">
        <v>15.5</v>
      </c>
      <c r="V7" s="0" t="n">
        <v>0.37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1368.4</v>
      </c>
      <c r="C8" s="0" t="n">
        <v>933.7</v>
      </c>
      <c r="D8" s="0" t="n">
        <v>434.7</v>
      </c>
      <c r="E8" s="0" t="n">
        <v>31.7670271850336</v>
      </c>
      <c r="F8" s="0" t="n">
        <v>162.4</v>
      </c>
      <c r="G8" s="0" t="n">
        <v>11.8678748903829</v>
      </c>
      <c r="H8" s="0" t="n">
        <v>247.6</v>
      </c>
      <c r="I8" s="0" t="n">
        <v>112.3</v>
      </c>
      <c r="J8" s="0" t="n">
        <v>8.20666471791874</v>
      </c>
      <c r="K8" s="0" t="n">
        <v>1.61</v>
      </c>
      <c r="L8" s="0" t="n">
        <v>220.5</v>
      </c>
      <c r="M8" s="0" t="n">
        <v>151.9</v>
      </c>
      <c r="N8" s="0" t="n">
        <v>68.6</v>
      </c>
      <c r="O8" s="0" t="n">
        <v>906.4</v>
      </c>
      <c r="P8" s="0" t="n">
        <v>1670.2</v>
      </c>
      <c r="Q8" s="0" t="n">
        <v>765.2</v>
      </c>
      <c r="R8" s="0" t="n">
        <v>373.5</v>
      </c>
      <c r="S8" s="0" t="n">
        <v>230</v>
      </c>
      <c r="T8" s="0" t="n">
        <v>71.4</v>
      </c>
      <c r="U8" s="0" t="n">
        <v>21.2</v>
      </c>
      <c r="V8" s="0" t="n">
        <v>0.39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1421.4</v>
      </c>
      <c r="C9" s="0" t="n">
        <v>973.6</v>
      </c>
      <c r="D9" s="0" t="n">
        <v>447.8</v>
      </c>
      <c r="E9" s="0" t="n">
        <v>31.5041508372028</v>
      </c>
      <c r="F9" s="0" t="n">
        <v>182</v>
      </c>
      <c r="G9" s="0" t="n">
        <v>12.804277472914</v>
      </c>
      <c r="H9" s="0" t="n">
        <v>272</v>
      </c>
      <c r="I9" s="0" t="n">
        <v>127.1</v>
      </c>
      <c r="J9" s="0" t="n">
        <v>8.94188827916139</v>
      </c>
      <c r="K9" s="0" t="n">
        <v>1.79</v>
      </c>
      <c r="L9" s="0" t="n">
        <v>182.9</v>
      </c>
      <c r="M9" s="0" t="n">
        <v>111.9</v>
      </c>
      <c r="N9" s="0" t="n">
        <v>71</v>
      </c>
      <c r="O9" s="0" t="n">
        <v>956.9</v>
      </c>
      <c r="P9" s="0" t="n">
        <v>1669.7</v>
      </c>
      <c r="Q9" s="0" t="n">
        <v>712.8</v>
      </c>
      <c r="R9" s="0" t="n">
        <v>335.5</v>
      </c>
      <c r="S9" s="0" t="n">
        <v>255.3</v>
      </c>
      <c r="T9" s="0" t="n">
        <v>72.8</v>
      </c>
      <c r="U9" s="0" t="n">
        <v>18.6</v>
      </c>
      <c r="V9" s="0" t="n">
        <v>0.41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1399.8</v>
      </c>
      <c r="C10" s="0" t="n">
        <v>944</v>
      </c>
      <c r="D10" s="0" t="n">
        <v>455.8</v>
      </c>
      <c r="E10" s="0" t="n">
        <v>32.5617945420774</v>
      </c>
      <c r="F10" s="0" t="n">
        <v>128.6</v>
      </c>
      <c r="G10" s="0" t="n">
        <v>9.18702671810259</v>
      </c>
      <c r="H10" s="0" t="n">
        <v>218.5</v>
      </c>
      <c r="I10" s="0" t="n">
        <v>95.6</v>
      </c>
      <c r="J10" s="0" t="n">
        <v>6.82954707815402</v>
      </c>
      <c r="K10" s="0" t="n">
        <v>1.33</v>
      </c>
      <c r="L10" s="0" t="n">
        <v>212.4</v>
      </c>
      <c r="M10" s="0" t="n">
        <v>131.6</v>
      </c>
      <c r="N10" s="0" t="n">
        <v>80.8</v>
      </c>
      <c r="O10" s="0" t="n">
        <v>1023.9</v>
      </c>
      <c r="P10" s="0" t="n">
        <v>1695.1</v>
      </c>
      <c r="Q10" s="0" t="n">
        <v>671.2</v>
      </c>
      <c r="R10" s="0" t="n">
        <v>298.2</v>
      </c>
      <c r="S10" s="0" t="n">
        <v>274.6</v>
      </c>
      <c r="T10" s="0" t="n">
        <v>73.8</v>
      </c>
      <c r="U10" s="0" t="n">
        <v>29.6</v>
      </c>
      <c r="V10" s="0" t="n">
        <v>0.46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1509.1</v>
      </c>
      <c r="C11" s="0" t="n">
        <v>1007.7</v>
      </c>
      <c r="D11" s="0" t="n">
        <v>501.4</v>
      </c>
      <c r="E11" s="0" t="n">
        <v>33.2251010536081</v>
      </c>
      <c r="F11" s="0" t="n">
        <v>195.2</v>
      </c>
      <c r="G11" s="0" t="n">
        <v>12.9348618381817</v>
      </c>
      <c r="H11" s="0" t="n">
        <v>285.9</v>
      </c>
      <c r="I11" s="0" t="n">
        <v>143.6</v>
      </c>
      <c r="J11" s="0" t="n">
        <v>9.51560532767875</v>
      </c>
      <c r="K11" s="0" t="n">
        <v>1.96</v>
      </c>
      <c r="L11" s="0" t="n">
        <v>219.4</v>
      </c>
      <c r="M11" s="0" t="n">
        <v>170.2</v>
      </c>
      <c r="N11" s="0" t="n">
        <v>49.2</v>
      </c>
      <c r="O11" s="0" t="n">
        <v>1117.5</v>
      </c>
      <c r="P11" s="0" t="n">
        <v>1716.7</v>
      </c>
      <c r="Q11" s="0" t="n">
        <v>599.2</v>
      </c>
      <c r="R11" s="0" t="n">
        <v>228.6</v>
      </c>
      <c r="S11" s="0" t="n">
        <v>203</v>
      </c>
      <c r="T11" s="0" t="n">
        <v>75</v>
      </c>
      <c r="U11" s="0" t="n">
        <v>19.5</v>
      </c>
      <c r="V11" s="0" t="n">
        <v>0.5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1599.1</v>
      </c>
      <c r="C12" s="0" t="n">
        <v>1086.2</v>
      </c>
      <c r="D12" s="0" t="n">
        <v>512.9</v>
      </c>
      <c r="E12" s="0" t="n">
        <v>32.0742917891314</v>
      </c>
      <c r="F12" s="0" t="n">
        <v>225.8</v>
      </c>
      <c r="G12" s="0" t="n">
        <v>14.1204427490463</v>
      </c>
      <c r="H12" s="0" t="n">
        <v>322.5</v>
      </c>
      <c r="I12" s="0" t="n">
        <v>150.7</v>
      </c>
      <c r="J12" s="0" t="n">
        <v>9.42405102870364</v>
      </c>
      <c r="K12" s="0" t="n">
        <v>2.04</v>
      </c>
      <c r="L12" s="0" t="n">
        <v>263.3</v>
      </c>
      <c r="M12" s="0" t="n">
        <v>130.8</v>
      </c>
      <c r="N12" s="0" t="n">
        <v>132.5</v>
      </c>
      <c r="O12" s="0" t="n">
        <v>1279.9</v>
      </c>
      <c r="P12" s="0" t="n">
        <v>1862.8</v>
      </c>
      <c r="Q12" s="0" t="n">
        <v>582.9</v>
      </c>
      <c r="R12" s="0" t="n">
        <v>197</v>
      </c>
      <c r="S12" s="0" t="n">
        <v>235.9</v>
      </c>
      <c r="T12" s="0" t="n">
        <v>75.8</v>
      </c>
      <c r="U12" s="0" t="n">
        <v>16.1</v>
      </c>
      <c r="V12" s="0" t="n">
        <v>0.54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1717.4</v>
      </c>
      <c r="C13" s="0" t="n">
        <v>1172</v>
      </c>
      <c r="D13" s="0" t="n">
        <v>545.4</v>
      </c>
      <c r="E13" s="0" t="n">
        <v>31.7573075579364</v>
      </c>
      <c r="F13" s="0" t="n">
        <v>240.3</v>
      </c>
      <c r="G13" s="0" t="n">
        <v>13.9920810527542</v>
      </c>
      <c r="H13" s="0" t="n">
        <v>344.7</v>
      </c>
      <c r="I13" s="0" t="n">
        <v>206.9</v>
      </c>
      <c r="J13" s="0" t="n">
        <v>12.0472807732619</v>
      </c>
      <c r="K13" s="0" t="n">
        <v>2.8</v>
      </c>
      <c r="L13" s="0" t="n">
        <v>288.6</v>
      </c>
      <c r="M13" s="0" t="n">
        <v>104.7</v>
      </c>
      <c r="N13" s="0" t="n">
        <v>183.9</v>
      </c>
      <c r="O13" s="0" t="n">
        <v>1396.3</v>
      </c>
      <c r="P13" s="0" t="n">
        <v>1978.9</v>
      </c>
      <c r="Q13" s="0" t="n">
        <v>582.6</v>
      </c>
      <c r="R13" s="0" t="n">
        <v>196.1</v>
      </c>
      <c r="S13" s="0" t="n">
        <v>337.4</v>
      </c>
      <c r="T13" s="0" t="n">
        <v>75.4</v>
      </c>
      <c r="U13" s="0" t="n">
        <v>15.1</v>
      </c>
      <c r="V13" s="0" t="n">
        <v>0.58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1839.9</v>
      </c>
      <c r="C14" s="0" t="n">
        <v>1234.2</v>
      </c>
      <c r="D14" s="0" t="n">
        <v>605.7</v>
      </c>
      <c r="E14" s="0" t="n">
        <v>32.9202674058373</v>
      </c>
      <c r="F14" s="0" t="n">
        <v>296.6</v>
      </c>
      <c r="G14" s="0" t="n">
        <v>16.1204413283331</v>
      </c>
      <c r="H14" s="0" t="n">
        <v>400</v>
      </c>
      <c r="I14" s="0" t="n">
        <v>241.7</v>
      </c>
      <c r="J14" s="0" t="n">
        <v>13.1365835099734</v>
      </c>
      <c r="K14" s="0" t="n">
        <v>3.27</v>
      </c>
      <c r="L14" s="0" t="n">
        <v>367.2</v>
      </c>
      <c r="M14" s="0" t="n">
        <v>126.4</v>
      </c>
      <c r="N14" s="0" t="n">
        <v>240.8</v>
      </c>
      <c r="O14" s="0" t="n">
        <v>1573.2</v>
      </c>
      <c r="P14" s="0" t="n">
        <v>2341.4</v>
      </c>
      <c r="Q14" s="0" t="n">
        <v>768.2</v>
      </c>
      <c r="R14" s="0" t="n">
        <v>257.3</v>
      </c>
      <c r="S14" s="0" t="n">
        <v>439.1</v>
      </c>
      <c r="T14" s="0" t="n">
        <v>75.4</v>
      </c>
      <c r="U14" s="0" t="n">
        <v>24.4</v>
      </c>
      <c r="V14" s="0" t="n">
        <v>0.62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2146.9</v>
      </c>
      <c r="C15" s="0" t="n">
        <v>1379.1</v>
      </c>
      <c r="D15" s="0" t="n">
        <v>767.8</v>
      </c>
      <c r="E15" s="0" t="n">
        <v>35.7631934417066</v>
      </c>
      <c r="F15" s="0" t="n">
        <v>406.9</v>
      </c>
      <c r="G15" s="0" t="n">
        <v>18.9529088453119</v>
      </c>
      <c r="H15" s="0" t="n">
        <v>516</v>
      </c>
      <c r="I15" s="0" t="n">
        <v>346.2</v>
      </c>
      <c r="J15" s="0" t="n">
        <v>16.1255764125018</v>
      </c>
      <c r="K15" s="0" t="n">
        <v>4.68</v>
      </c>
      <c r="L15" s="0" t="n">
        <v>472.5</v>
      </c>
      <c r="M15" s="0" t="n">
        <v>174.4</v>
      </c>
      <c r="N15" s="0" t="n">
        <v>298.1</v>
      </c>
      <c r="O15" s="0" t="n">
        <v>1854.5</v>
      </c>
      <c r="P15" s="0" t="n">
        <v>2793.8</v>
      </c>
      <c r="Q15" s="0" t="n">
        <v>939.3</v>
      </c>
      <c r="R15" s="0" t="n">
        <v>255.2</v>
      </c>
      <c r="S15" s="0" t="n">
        <v>615.5</v>
      </c>
      <c r="T15" s="0" t="n">
        <v>75.8</v>
      </c>
      <c r="U15" s="0" t="n">
        <v>34</v>
      </c>
      <c r="V15" s="0" t="n">
        <v>0.66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2831.6</v>
      </c>
      <c r="C16" s="0" t="n">
        <v>1655.8</v>
      </c>
      <c r="D16" s="0" t="n">
        <v>1175.8</v>
      </c>
      <c r="E16" s="0" t="n">
        <v>41.524226585676</v>
      </c>
      <c r="F16" s="0" t="n">
        <v>752.3</v>
      </c>
      <c r="G16" s="0" t="n">
        <v>26.56801808165</v>
      </c>
      <c r="H16" s="0" t="n">
        <v>874.6</v>
      </c>
      <c r="I16" s="0" t="n">
        <v>661.8</v>
      </c>
      <c r="J16" s="0" t="n">
        <v>23.3719451899986</v>
      </c>
      <c r="K16" s="0" t="n">
        <v>8.89</v>
      </c>
      <c r="L16" s="0" t="n">
        <v>584</v>
      </c>
      <c r="M16" s="0" t="n">
        <v>253.4</v>
      </c>
      <c r="N16" s="0" t="n">
        <v>330.6</v>
      </c>
      <c r="O16" s="0" t="n">
        <v>2335.4</v>
      </c>
      <c r="P16" s="0" t="n">
        <v>3313.8</v>
      </c>
      <c r="Q16" s="0" t="n">
        <v>978.4</v>
      </c>
      <c r="R16" s="0" t="n">
        <v>253</v>
      </c>
      <c r="S16" s="0" t="n">
        <v>762.6</v>
      </c>
      <c r="T16" s="0" t="n">
        <v>76.3</v>
      </c>
      <c r="U16" s="0" t="n">
        <v>37.5</v>
      </c>
      <c r="V16" s="0" t="n">
        <v>0.7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2886.9</v>
      </c>
      <c r="C17" s="0" t="n">
        <v>1750.7</v>
      </c>
      <c r="D17" s="0" t="n">
        <v>1136.2</v>
      </c>
      <c r="E17" s="0" t="n">
        <v>39.357095846756</v>
      </c>
      <c r="F17" s="0" t="n">
        <v>734</v>
      </c>
      <c r="G17" s="0" t="n">
        <v>25.4251965776438</v>
      </c>
      <c r="H17" s="0" t="n">
        <v>854.6</v>
      </c>
      <c r="I17" s="0" t="n">
        <v>585.9</v>
      </c>
      <c r="J17" s="0" t="n">
        <v>20.2951262600021</v>
      </c>
      <c r="K17" s="0" t="n">
        <v>7.87</v>
      </c>
      <c r="L17" s="0" t="n">
        <v>724</v>
      </c>
      <c r="M17" s="0" t="n">
        <v>284.6</v>
      </c>
      <c r="N17" s="0" t="n">
        <v>439.4</v>
      </c>
      <c r="O17" s="0" t="n">
        <v>2684.9</v>
      </c>
      <c r="P17" s="0" t="n">
        <v>3616.8</v>
      </c>
      <c r="Q17" s="0" t="n">
        <v>931.9</v>
      </c>
      <c r="R17" s="0" t="n">
        <v>208.9</v>
      </c>
      <c r="S17" s="0" t="n">
        <v>894.3</v>
      </c>
      <c r="T17" s="0" t="n">
        <v>75.8</v>
      </c>
      <c r="U17" s="0" t="n">
        <v>23.7</v>
      </c>
      <c r="V17" s="0" t="n">
        <v>0.74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2949.8</v>
      </c>
      <c r="C18" s="0" t="n">
        <v>1820.6</v>
      </c>
      <c r="D18" s="0" t="n">
        <v>1129.2</v>
      </c>
      <c r="E18" s="0" t="n">
        <v>38.2805613939928</v>
      </c>
      <c r="F18" s="0" t="n">
        <v>676</v>
      </c>
      <c r="G18" s="0" t="n">
        <v>22.916807919181</v>
      </c>
      <c r="H18" s="0" t="n">
        <v>813.3</v>
      </c>
      <c r="I18" s="0" t="n">
        <v>593.4</v>
      </c>
      <c r="J18" s="0" t="n">
        <v>20.1166180758018</v>
      </c>
      <c r="K18" s="0" t="n">
        <v>7.98</v>
      </c>
      <c r="L18" s="0" t="n">
        <v>776.5</v>
      </c>
      <c r="M18" s="0" t="n">
        <v>362</v>
      </c>
      <c r="N18" s="0" t="n">
        <v>414.5</v>
      </c>
      <c r="O18" s="0" t="n">
        <v>2881</v>
      </c>
      <c r="P18" s="0" t="n">
        <v>3829.5</v>
      </c>
      <c r="Q18" s="0" t="n">
        <v>948.5</v>
      </c>
      <c r="R18" s="0" t="n">
        <v>206.8</v>
      </c>
      <c r="S18" s="0" t="n">
        <v>853.9</v>
      </c>
      <c r="T18" s="0" t="n">
        <v>75.3</v>
      </c>
      <c r="U18" s="0" t="n">
        <v>23.3</v>
      </c>
      <c r="V18" s="0" t="n">
        <v>0.78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2893.2</v>
      </c>
      <c r="C19" s="0" t="n">
        <v>1894.7</v>
      </c>
      <c r="D19" s="0" t="n">
        <v>998.5</v>
      </c>
      <c r="E19" s="0" t="n">
        <v>34.5119590764551</v>
      </c>
      <c r="F19" s="0" t="n">
        <v>569.9</v>
      </c>
      <c r="G19" s="0" t="n">
        <v>19.6979123461911</v>
      </c>
      <c r="H19" s="0" t="n">
        <v>725.3</v>
      </c>
      <c r="I19" s="0" t="n">
        <v>492.7</v>
      </c>
      <c r="J19" s="0" t="n">
        <v>17.0295866168948</v>
      </c>
      <c r="K19" s="0" t="n">
        <v>6.75</v>
      </c>
      <c r="L19" s="0" t="n">
        <v>653.4</v>
      </c>
      <c r="M19" s="0" t="n">
        <v>377</v>
      </c>
      <c r="N19" s="0" t="n">
        <v>276.4</v>
      </c>
      <c r="O19" s="0" t="n">
        <v>2682.3</v>
      </c>
      <c r="P19" s="0" t="n">
        <v>3643.4</v>
      </c>
      <c r="Q19" s="0" t="n">
        <v>961.1</v>
      </c>
      <c r="R19" s="0" t="n">
        <v>202.6</v>
      </c>
      <c r="S19" s="0" t="n">
        <v>484.6</v>
      </c>
      <c r="T19" s="0" t="n">
        <v>73.7</v>
      </c>
      <c r="U19" s="0" t="n">
        <v>18.7</v>
      </c>
      <c r="V19" s="0" t="n">
        <v>0.82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3074.1</v>
      </c>
      <c r="C20" s="0" t="n">
        <v>1970.1</v>
      </c>
      <c r="D20" s="0" t="n">
        <v>1104</v>
      </c>
      <c r="E20" s="0" t="n">
        <v>35.9129501317459</v>
      </c>
      <c r="F20" s="0" t="n">
        <v>584.9</v>
      </c>
      <c r="G20" s="0" t="n">
        <v>19.0267070036759</v>
      </c>
      <c r="H20" s="0" t="n">
        <v>756.3</v>
      </c>
      <c r="I20" s="0" t="n">
        <v>493.7</v>
      </c>
      <c r="J20" s="0" t="n">
        <v>16.0599850362708</v>
      </c>
      <c r="K20" s="0" t="n">
        <v>6.83</v>
      </c>
      <c r="L20" s="0" t="n">
        <v>754.8</v>
      </c>
      <c r="M20" s="0" t="n">
        <v>285.9</v>
      </c>
      <c r="N20" s="0" t="n">
        <v>468.9</v>
      </c>
      <c r="O20" s="0" t="n">
        <v>3176</v>
      </c>
      <c r="P20" s="0" t="n">
        <v>4270</v>
      </c>
      <c r="Q20" s="0" t="n">
        <v>1094</v>
      </c>
      <c r="R20" s="0" t="n">
        <v>202.8</v>
      </c>
      <c r="S20" s="0" t="n">
        <v>791.3</v>
      </c>
      <c r="T20" s="0" t="n">
        <v>72.7</v>
      </c>
      <c r="U20" s="0" t="n">
        <v>23.8</v>
      </c>
      <c r="V20" s="0" t="n">
        <v>0.86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364.98</v>
      </c>
    </row>
    <row r="3" customFormat="false" ht="15" hidden="false" customHeight="false" outlineLevel="0" collapsed="false">
      <c r="A3" s="0" t="s">
        <v>85</v>
      </c>
      <c r="B3" s="3" t="n">
        <v>71.3</v>
      </c>
    </row>
    <row r="4" customFormat="false" ht="15" hidden="false" customHeight="false" outlineLevel="0" collapsed="false">
      <c r="A4" s="0" t="s">
        <v>86</v>
      </c>
      <c r="B4" s="3" t="n">
        <v>-232.9</v>
      </c>
    </row>
    <row r="5" customFormat="false" ht="15" hidden="false" customHeight="false" outlineLevel="0" collapsed="false">
      <c r="A5" s="0" t="s">
        <v>87</v>
      </c>
      <c r="B5" s="3" t="n">
        <v>100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3074.1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8.8</v>
      </c>
      <c r="D13" s="3" t="n">
        <v>4</v>
      </c>
      <c r="E13" s="3" t="n">
        <v>4.5</v>
      </c>
      <c r="F13" s="3" t="n">
        <v>5</v>
      </c>
      <c r="G13" s="3" t="n">
        <v>5</v>
      </c>
      <c r="H13" s="3" t="n">
        <v>4.5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106</v>
      </c>
      <c r="C14" s="3" t="n">
        <v>27.3</v>
      </c>
      <c r="D14" s="3" t="n">
        <v>26.5</v>
      </c>
      <c r="E14" s="3" t="n">
        <v>26.8</v>
      </c>
      <c r="F14" s="3" t="n">
        <v>27</v>
      </c>
      <c r="G14" s="3" t="n">
        <v>27.3</v>
      </c>
      <c r="H14" s="3" t="n">
        <v>27.5</v>
      </c>
      <c r="I14" s="3" t="n">
        <v>27.5</v>
      </c>
      <c r="J14" s="3" t="n">
        <v>27.5</v>
      </c>
      <c r="K14" s="3" t="n">
        <v>27.5</v>
      </c>
      <c r="L14" s="3" t="n">
        <v>27.5</v>
      </c>
    </row>
    <row r="15" customFormat="false" ht="15" hidden="false" customHeight="false" outlineLevel="0" collapsed="false">
      <c r="A15" s="0" t="s">
        <v>107</v>
      </c>
      <c r="C15" s="3" t="n">
        <v>0.95</v>
      </c>
      <c r="D15" s="3" t="n">
        <v>0.95</v>
      </c>
      <c r="E15" s="3" t="n">
        <v>0.9</v>
      </c>
      <c r="F15" s="3" t="n">
        <v>0.9</v>
      </c>
      <c r="G15" s="3" t="n">
        <v>0.85</v>
      </c>
      <c r="H15" s="3" t="n">
        <v>0.85</v>
      </c>
      <c r="I15" s="3" t="n">
        <v>0.8</v>
      </c>
      <c r="J15" s="3" t="n">
        <v>0.8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5.5</v>
      </c>
      <c r="D17" s="3" t="n">
        <v>5.7</v>
      </c>
      <c r="E17" s="3" t="n">
        <v>5.8</v>
      </c>
      <c r="F17" s="3" t="n">
        <v>5.8</v>
      </c>
      <c r="G17" s="3" t="n">
        <v>5.7</v>
      </c>
      <c r="H17" s="3" t="n">
        <v>5.6</v>
      </c>
      <c r="I17" s="3" t="n">
        <v>5.6</v>
      </c>
      <c r="J17" s="3" t="n">
        <v>5.5</v>
      </c>
      <c r="K17" s="3" t="n">
        <v>5.5</v>
      </c>
      <c r="L17" s="3" t="n">
        <v>5.5</v>
      </c>
    </row>
    <row r="18" customFormat="false" ht="15" hidden="false" customHeight="false" outlineLevel="0" collapsed="false">
      <c r="A18" s="0" t="s">
        <v>110</v>
      </c>
      <c r="C18" s="3" t="n">
        <v>7.8</v>
      </c>
      <c r="D18" s="3" t="n">
        <v>7.5</v>
      </c>
      <c r="E18" s="3" t="n">
        <v>7</v>
      </c>
      <c r="F18" s="3" t="n">
        <v>6.8</v>
      </c>
      <c r="G18" s="3" t="n">
        <v>6.5</v>
      </c>
      <c r="H18" s="3" t="n">
        <v>6.3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111</v>
      </c>
      <c r="C19" s="3" t="n">
        <v>21</v>
      </c>
      <c r="D19" s="3" t="n">
        <v>21.5</v>
      </c>
      <c r="E19" s="3" t="n">
        <v>21.5</v>
      </c>
      <c r="F19" s="3" t="n">
        <v>21.5</v>
      </c>
      <c r="G19" s="3" t="n">
        <v>21.5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16</v>
      </c>
    </row>
    <row r="23" customFormat="false" ht="15" hidden="false" customHeight="false" outlineLevel="0" collapsed="false">
      <c r="A23" s="0" t="s">
        <v>115</v>
      </c>
      <c r="B23" s="3" t="n">
        <v>-15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9.4</v>
      </c>
      <c r="D27" s="3" t="n">
        <v>7.5</v>
      </c>
      <c r="E27" s="3" t="n">
        <v>8</v>
      </c>
      <c r="F27" s="3" t="n">
        <v>7.5</v>
      </c>
      <c r="G27" s="3" t="n">
        <v>7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106</v>
      </c>
      <c r="C28" s="3" t="n">
        <v>27.6</v>
      </c>
      <c r="D28" s="3" t="n">
        <v>28.6</v>
      </c>
      <c r="E28" s="3" t="n">
        <v>29.3</v>
      </c>
      <c r="F28" s="3" t="n">
        <v>29.8</v>
      </c>
      <c r="G28" s="3" t="n">
        <v>30.2</v>
      </c>
      <c r="H28" s="3" t="n">
        <v>30.5</v>
      </c>
      <c r="I28" s="3" t="n">
        <v>30.5</v>
      </c>
      <c r="J28" s="3" t="n">
        <v>30.5</v>
      </c>
      <c r="K28" s="3" t="n">
        <v>30.5</v>
      </c>
      <c r="L28" s="3" t="n">
        <v>30.5</v>
      </c>
    </row>
    <row r="29" customFormat="false" ht="15" hidden="false" customHeight="false" outlineLevel="0" collapsed="false">
      <c r="A29" s="0" t="s">
        <v>107</v>
      </c>
      <c r="C29" s="3" t="n">
        <v>0.95</v>
      </c>
      <c r="D29" s="3" t="n">
        <v>0.95</v>
      </c>
      <c r="E29" s="3" t="n">
        <v>0.9</v>
      </c>
      <c r="F29" s="3" t="n">
        <v>0.9</v>
      </c>
      <c r="G29" s="3" t="n">
        <v>0.85</v>
      </c>
      <c r="H29" s="3" t="n">
        <v>0.85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5.5</v>
      </c>
      <c r="D31" s="3" t="n">
        <v>5.6</v>
      </c>
      <c r="E31" s="3" t="n">
        <v>5.6</v>
      </c>
      <c r="F31" s="3" t="n">
        <v>5.6</v>
      </c>
      <c r="G31" s="3" t="n">
        <v>5.6</v>
      </c>
      <c r="H31" s="3" t="n">
        <v>5.5</v>
      </c>
      <c r="I31" s="3" t="n">
        <v>5.5</v>
      </c>
      <c r="J31" s="3" t="n">
        <v>5.5</v>
      </c>
      <c r="K31" s="3" t="n">
        <v>5.5</v>
      </c>
      <c r="L31" s="3" t="n">
        <v>5.5</v>
      </c>
    </row>
    <row r="32" customFormat="false" ht="15" hidden="false" customHeight="false" outlineLevel="0" collapsed="false">
      <c r="A32" s="0" t="s">
        <v>110</v>
      </c>
      <c r="C32" s="3" t="n">
        <v>7.8</v>
      </c>
      <c r="D32" s="3" t="n">
        <v>7.8</v>
      </c>
      <c r="E32" s="3" t="n">
        <v>7.5</v>
      </c>
      <c r="F32" s="3" t="n">
        <v>7.2</v>
      </c>
      <c r="G32" s="3" t="n">
        <v>7</v>
      </c>
      <c r="H32" s="3" t="n">
        <v>6.8</v>
      </c>
      <c r="I32" s="3" t="n">
        <v>6.5</v>
      </c>
      <c r="J32" s="3" t="n">
        <v>6.3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111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21.5</v>
      </c>
      <c r="I33" s="3" t="n">
        <v>21.5</v>
      </c>
      <c r="J33" s="3" t="n">
        <v>21.5</v>
      </c>
      <c r="K33" s="3" t="n">
        <v>21.5</v>
      </c>
      <c r="L33" s="3" t="n">
        <v>21.5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-15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10</v>
      </c>
      <c r="D41" s="3" t="n">
        <v>10</v>
      </c>
      <c r="E41" s="3" t="n">
        <v>10.5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5.5</v>
      </c>
      <c r="L41" s="3" t="n">
        <v>5</v>
      </c>
    </row>
    <row r="42" customFormat="false" ht="15" hidden="false" customHeight="false" outlineLevel="0" collapsed="false">
      <c r="A42" s="0" t="s">
        <v>106</v>
      </c>
      <c r="C42" s="3" t="n">
        <v>27.9</v>
      </c>
      <c r="D42" s="3" t="n">
        <v>29.2</v>
      </c>
      <c r="E42" s="3" t="n">
        <v>30.4</v>
      </c>
      <c r="F42" s="3" t="n">
        <v>31.4</v>
      </c>
      <c r="G42" s="3" t="n">
        <v>32.2</v>
      </c>
      <c r="H42" s="3" t="n">
        <v>32.8</v>
      </c>
      <c r="I42" s="3" t="n">
        <v>33</v>
      </c>
      <c r="J42" s="3" t="n">
        <v>33</v>
      </c>
      <c r="K42" s="3" t="n">
        <v>33</v>
      </c>
      <c r="L42" s="3" t="n">
        <v>33</v>
      </c>
    </row>
    <row r="43" customFormat="false" ht="15" hidden="false" customHeight="false" outlineLevel="0" collapsed="false">
      <c r="A43" s="0" t="s">
        <v>107</v>
      </c>
      <c r="C43" s="3" t="n">
        <v>0.95</v>
      </c>
      <c r="D43" s="3" t="n">
        <v>0.95</v>
      </c>
      <c r="E43" s="3" t="n">
        <v>0.9</v>
      </c>
      <c r="F43" s="3" t="n">
        <v>0.9</v>
      </c>
      <c r="G43" s="3" t="n">
        <v>0.85</v>
      </c>
      <c r="H43" s="3" t="n">
        <v>0.85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5.5</v>
      </c>
      <c r="D45" s="3" t="n">
        <v>5.6</v>
      </c>
      <c r="E45" s="3" t="n">
        <v>5.6</v>
      </c>
      <c r="F45" s="3" t="n">
        <v>5.6</v>
      </c>
      <c r="G45" s="3" t="n">
        <v>5.6</v>
      </c>
      <c r="H45" s="3" t="n">
        <v>5.5</v>
      </c>
      <c r="I45" s="3" t="n">
        <v>5.5</v>
      </c>
      <c r="J45" s="3" t="n">
        <v>5.5</v>
      </c>
      <c r="K45" s="3" t="n">
        <v>5.5</v>
      </c>
      <c r="L45" s="3" t="n">
        <v>5.5</v>
      </c>
    </row>
    <row r="46" customFormat="false" ht="15" hidden="false" customHeight="false" outlineLevel="0" collapsed="false">
      <c r="A46" s="0" t="s">
        <v>110</v>
      </c>
      <c r="C46" s="3" t="n">
        <v>7.8</v>
      </c>
      <c r="D46" s="3" t="n">
        <v>8</v>
      </c>
      <c r="E46" s="3" t="n">
        <v>8</v>
      </c>
      <c r="F46" s="3" t="n">
        <v>7.8</v>
      </c>
      <c r="G46" s="3" t="n">
        <v>7.5</v>
      </c>
      <c r="H46" s="3" t="n">
        <v>7</v>
      </c>
      <c r="I46" s="3" t="n">
        <v>6.8</v>
      </c>
      <c r="J46" s="3" t="n">
        <v>6.5</v>
      </c>
      <c r="K46" s="3" t="n">
        <v>6.2</v>
      </c>
      <c r="L46" s="3" t="n">
        <v>6</v>
      </c>
    </row>
    <row r="47" customFormat="false" ht="15" hidden="false" customHeight="false" outlineLevel="0" collapsed="false">
      <c r="A47" s="0" t="s">
        <v>111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21.5</v>
      </c>
      <c r="I47" s="3" t="n">
        <v>21.5</v>
      </c>
      <c r="J47" s="3" t="n">
        <v>21.5</v>
      </c>
      <c r="K47" s="3" t="n">
        <v>21.5</v>
      </c>
      <c r="L47" s="3" t="n">
        <v>21.5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-15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8.8</v>
      </c>
      <c r="D5" s="4" t="n">
        <f aca="false">Assumptions!D13</f>
        <v>4</v>
      </c>
      <c r="E5" s="4" t="n">
        <f aca="false">Assumptions!E13</f>
        <v>4.5</v>
      </c>
      <c r="F5" s="4" t="n">
        <f aca="false">Assumptions!F13</f>
        <v>5</v>
      </c>
      <c r="G5" s="4" t="n">
        <f aca="false">Assumptions!G13</f>
        <v>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3074.1</v>
      </c>
      <c r="C6" s="0" t="n">
        <f aca="false">B6*(1+C5/100)</f>
        <v>3344.6208</v>
      </c>
      <c r="D6" s="0" t="n">
        <f aca="false">C6*(1+D5/100)</f>
        <v>3478.405632</v>
      </c>
      <c r="E6" s="0" t="n">
        <f aca="false">D6*(1+E5/100)</f>
        <v>3634.93388544</v>
      </c>
      <c r="F6" s="0" t="n">
        <f aca="false">E6*(1+F5/100)</f>
        <v>3816.680579712</v>
      </c>
      <c r="G6" s="0" t="n">
        <f aca="false">F6*(1+G5/100)</f>
        <v>4007.5146086976</v>
      </c>
      <c r="H6" s="0" t="n">
        <f aca="false">G6*(1+H5/100)</f>
        <v>4187.85276608899</v>
      </c>
      <c r="I6" s="0" t="n">
        <f aca="false">H6*(1+I5/100)</f>
        <v>4355.36687673255</v>
      </c>
      <c r="J6" s="0" t="n">
        <f aca="false">I6*(1+J5/100)</f>
        <v>4507.80471741819</v>
      </c>
      <c r="K6" s="0" t="n">
        <f aca="false">J6*(1+K5/100)</f>
        <v>4643.03885894074</v>
      </c>
      <c r="L6" s="0" t="n">
        <f aca="false">K6*(1+L5/100)</f>
        <v>4782.33002470896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27.3</v>
      </c>
      <c r="D7" s="4" t="n">
        <f aca="false">Assumptions!D14</f>
        <v>26.5</v>
      </c>
      <c r="E7" s="4" t="n">
        <f aca="false">Assumptions!E14</f>
        <v>26.8</v>
      </c>
      <c r="F7" s="4" t="n">
        <f aca="false">Assumptions!F14</f>
        <v>27</v>
      </c>
      <c r="G7" s="4" t="n">
        <f aca="false">Assumptions!G14</f>
        <v>27.3</v>
      </c>
      <c r="H7" s="4" t="n">
        <f aca="false">Assumptions!H14</f>
        <v>27.5</v>
      </c>
      <c r="I7" s="4" t="n">
        <f aca="false">Assumptions!I14</f>
        <v>27.5</v>
      </c>
      <c r="J7" s="4" t="n">
        <f aca="false">Assumptions!J14</f>
        <v>27.5</v>
      </c>
      <c r="K7" s="4" t="n">
        <f aca="false">Assumptions!K14</f>
        <v>27.5</v>
      </c>
      <c r="L7" s="4" t="n">
        <f aca="false">Assumptions!L14</f>
        <v>27.5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913.0814784</v>
      </c>
      <c r="D8" s="0" t="n">
        <f aca="false">D6*D7/100</f>
        <v>921.77749248</v>
      </c>
      <c r="E8" s="0" t="n">
        <f aca="false">E6*E7/100</f>
        <v>974.16228129792</v>
      </c>
      <c r="F8" s="0" t="n">
        <f aca="false">F6*F7/100</f>
        <v>1030.50375652224</v>
      </c>
      <c r="G8" s="0" t="n">
        <f aca="false">G6*G7/100</f>
        <v>1094.05148817445</v>
      </c>
      <c r="H8" s="0" t="n">
        <f aca="false">H6*H7/100</f>
        <v>1151.65951067447</v>
      </c>
      <c r="I8" s="0" t="n">
        <f aca="false">I6*I7/100</f>
        <v>1197.72589110145</v>
      </c>
      <c r="J8" s="0" t="n">
        <f aca="false">J6*J7/100</f>
        <v>1239.64629729</v>
      </c>
      <c r="K8" s="0" t="n">
        <f aca="false">K6*K7/100</f>
        <v>1276.8356862087</v>
      </c>
      <c r="L8" s="0" t="n">
        <f aca="false">L6*L7/100</f>
        <v>1315.14075679496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0.95</v>
      </c>
      <c r="D9" s="4" t="n">
        <f aca="false">Assumptions!D15</f>
        <v>0.95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0.85</v>
      </c>
      <c r="H9" s="4" t="n">
        <f aca="false">Assumptions!H15</f>
        <v>0.85</v>
      </c>
      <c r="I9" s="4" t="n">
        <f aca="false">Assumptions!I15</f>
        <v>0.8</v>
      </c>
      <c r="J9" s="4" t="n">
        <f aca="false">Assumptions!J15</f>
        <v>0.8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-31.7738976</v>
      </c>
      <c r="D10" s="0" t="n">
        <f aca="false">-D6*D9/100</f>
        <v>-33.044853504</v>
      </c>
      <c r="E10" s="0" t="n">
        <f aca="false">-E6*E9/100</f>
        <v>-32.71440496896</v>
      </c>
      <c r="F10" s="0" t="n">
        <f aca="false">-F6*F9/100</f>
        <v>-34.350125217408</v>
      </c>
      <c r="G10" s="0" t="n">
        <f aca="false">-G6*G9/100</f>
        <v>-34.0638741739296</v>
      </c>
      <c r="H10" s="0" t="n">
        <f aca="false">-H6*H9/100</f>
        <v>-35.5967485117564</v>
      </c>
      <c r="I10" s="0" t="n">
        <f aca="false">-I6*I9/100</f>
        <v>-34.8429350138604</v>
      </c>
      <c r="J10" s="0" t="n">
        <f aca="false">-J6*J9/100</f>
        <v>-36.0624377393455</v>
      </c>
      <c r="K10" s="0" t="n">
        <f aca="false">-K6*K9/100</f>
        <v>-37.1443108715259</v>
      </c>
      <c r="L10" s="0" t="n">
        <f aca="false">-L6*L9/100</f>
        <v>-38.2586401976717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881.3075808</v>
      </c>
      <c r="D11" s="0" t="n">
        <f aca="false">D8+D10+D24</f>
        <v>888.732638976</v>
      </c>
      <c r="E11" s="0" t="n">
        <f aca="false">E8+E10+E24</f>
        <v>941.44787632896</v>
      </c>
      <c r="F11" s="0" t="n">
        <f aca="false">F8+F10+F24</f>
        <v>996.153631304832</v>
      </c>
      <c r="G11" s="0" t="n">
        <f aca="false">G8+G10+G24</f>
        <v>1059.98761400052</v>
      </c>
      <c r="H11" s="0" t="n">
        <f aca="false">H8+H10+H24</f>
        <v>1116.06276216272</v>
      </c>
      <c r="I11" s="0" t="n">
        <f aca="false">I8+I10+I24</f>
        <v>1162.88295608759</v>
      </c>
      <c r="J11" s="0" t="n">
        <f aca="false">J8+J10+J24</f>
        <v>1203.58385955066</v>
      </c>
      <c r="K11" s="0" t="n">
        <f aca="false">K8+K10+K24</f>
        <v>1239.69137533718</v>
      </c>
      <c r="L11" s="0" t="n">
        <f aca="false">L8+L10+L24</f>
        <v>1276.88211659729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-183.954144</v>
      </c>
      <c r="D12" s="4" t="n">
        <f aca="false">-D6*Assumptions!D17/100</f>
        <v>-198.269121024</v>
      </c>
      <c r="E12" s="4" t="n">
        <f aca="false">-E6*Assumptions!E17/100</f>
        <v>-210.82616535552</v>
      </c>
      <c r="F12" s="4" t="n">
        <f aca="false">-F6*Assumptions!F17/100</f>
        <v>-221.367473623296</v>
      </c>
      <c r="G12" s="4" t="n">
        <f aca="false">-G6*Assumptions!G17/100</f>
        <v>-228.428332695763</v>
      </c>
      <c r="H12" s="4" t="n">
        <f aca="false">-H6*Assumptions!H17/100</f>
        <v>-234.519754900984</v>
      </c>
      <c r="I12" s="4" t="n">
        <f aca="false">-I6*Assumptions!I17/100</f>
        <v>-243.900545097023</v>
      </c>
      <c r="J12" s="4" t="n">
        <f aca="false">-J6*Assumptions!J17/100</f>
        <v>-247.929259458</v>
      </c>
      <c r="K12" s="4" t="n">
        <f aca="false">-K6*Assumptions!K17/100</f>
        <v>-255.36713724174</v>
      </c>
      <c r="L12" s="4" t="n">
        <f aca="false">-L6*Assumptions!L17/100</f>
        <v>-263.028151358993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697.3534368</v>
      </c>
      <c r="D13" s="0" t="n">
        <f aca="false">D11+D12</f>
        <v>690.463517952</v>
      </c>
      <c r="E13" s="0" t="n">
        <f aca="false">E11+E12</f>
        <v>730.62171097344</v>
      </c>
      <c r="F13" s="0" t="n">
        <f aca="false">F11+F12</f>
        <v>774.786157681536</v>
      </c>
      <c r="G13" s="0" t="n">
        <f aca="false">G11+G12</f>
        <v>831.559281304752</v>
      </c>
      <c r="H13" s="0" t="n">
        <f aca="false">H11+H12</f>
        <v>881.543007261733</v>
      </c>
      <c r="I13" s="0" t="n">
        <f aca="false">I11+I12</f>
        <v>918.982410990569</v>
      </c>
      <c r="J13" s="0" t="n">
        <f aca="false">J11+J12</f>
        <v>955.654600092656</v>
      </c>
      <c r="K13" s="0" t="n">
        <f aca="false">K11+K12</f>
        <v>984.324238095436</v>
      </c>
      <c r="L13" s="0" t="n">
        <f aca="false">L11+L12</f>
        <v>1013.8539652383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21</v>
      </c>
      <c r="D14" s="4" t="n">
        <f aca="false">Assumptions!D19</f>
        <v>21.5</v>
      </c>
      <c r="E14" s="4" t="n">
        <f aca="false">Assumptions!E19</f>
        <v>21.5</v>
      </c>
      <c r="F14" s="4" t="n">
        <f aca="false">Assumptions!F19</f>
        <v>21.5</v>
      </c>
      <c r="G14" s="4" t="n">
        <f aca="false">Assumptions!G19</f>
        <v>21.5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550.909215072</v>
      </c>
      <c r="D15" s="0" t="n">
        <f aca="false">D13-MAX(0,D13)*D14/100</f>
        <v>542.01386159232</v>
      </c>
      <c r="E15" s="0" t="n">
        <f aca="false">E13-MAX(0,E13)*E14/100</f>
        <v>573.538043114151</v>
      </c>
      <c r="F15" s="0" t="n">
        <f aca="false">F13-MAX(0,F13)*F14/100</f>
        <v>608.207133780006</v>
      </c>
      <c r="G15" s="0" t="n">
        <f aca="false">G13-MAX(0,G13)*G14/100</f>
        <v>652.77403582423</v>
      </c>
      <c r="H15" s="0" t="n">
        <f aca="false">H13-MAX(0,H13)*H14/100</f>
        <v>687.603545664152</v>
      </c>
      <c r="I15" s="0" t="n">
        <f aca="false">I13-MAX(0,I13)*I14/100</f>
        <v>716.806280572643</v>
      </c>
      <c r="J15" s="0" t="n">
        <f aca="false">J13-MAX(0,J13)*J14/100</f>
        <v>745.410588072272</v>
      </c>
      <c r="K15" s="0" t="n">
        <f aca="false">K13-MAX(0,K13)*K14/100</f>
        <v>767.77290571444</v>
      </c>
      <c r="L15" s="0" t="n">
        <f aca="false">L13-MAX(0,L13)*L14/100</f>
        <v>790.806092885873</v>
      </c>
    </row>
    <row r="16" customFormat="false" ht="15" hidden="false" customHeight="false" outlineLevel="0" collapsed="false">
      <c r="A16" s="0" t="s">
        <v>127</v>
      </c>
      <c r="C16" s="0" t="n">
        <f aca="false">-C12</f>
        <v>183.954144</v>
      </c>
      <c r="D16" s="0" t="n">
        <f aca="false">-D12</f>
        <v>198.269121024</v>
      </c>
      <c r="E16" s="0" t="n">
        <f aca="false">-E12</f>
        <v>210.82616535552</v>
      </c>
      <c r="F16" s="0" t="n">
        <f aca="false">-F12</f>
        <v>221.367473623296</v>
      </c>
      <c r="G16" s="0" t="n">
        <f aca="false">-G12</f>
        <v>228.428332695763</v>
      </c>
      <c r="H16" s="0" t="n">
        <f aca="false">-H12</f>
        <v>234.519754900984</v>
      </c>
      <c r="I16" s="0" t="n">
        <f aca="false">-I12</f>
        <v>243.900545097023</v>
      </c>
      <c r="J16" s="0" t="n">
        <f aca="false">-J12</f>
        <v>247.929259458</v>
      </c>
      <c r="K16" s="0" t="n">
        <f aca="false">-K12</f>
        <v>255.36713724174</v>
      </c>
      <c r="L16" s="0" t="n">
        <f aca="false">-L12</f>
        <v>263.028151358993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-260.8804224</v>
      </c>
      <c r="D17" s="4" t="n">
        <f aca="false">-D6*Assumptions!D18/100</f>
        <v>-260.8804224</v>
      </c>
      <c r="E17" s="4" t="n">
        <f aca="false">-E6*Assumptions!E18/100</f>
        <v>-254.4453719808</v>
      </c>
      <c r="F17" s="4" t="n">
        <f aca="false">-F6*Assumptions!F18/100</f>
        <v>-259.534279420416</v>
      </c>
      <c r="G17" s="4" t="n">
        <f aca="false">-G6*Assumptions!G18/100</f>
        <v>-260.488449565344</v>
      </c>
      <c r="H17" s="4" t="n">
        <f aca="false">-H6*Assumptions!H18/100</f>
        <v>-263.834724263607</v>
      </c>
      <c r="I17" s="4" t="n">
        <f aca="false">-I6*Assumptions!I18/100</f>
        <v>-261.322012603953</v>
      </c>
      <c r="J17" s="4" t="n">
        <f aca="false">-J6*Assumptions!J18/100</f>
        <v>-270.468283045091</v>
      </c>
      <c r="K17" s="4" t="n">
        <f aca="false">-K6*Assumptions!K18/100</f>
        <v>-278.582331536444</v>
      </c>
      <c r="L17" s="4" t="n">
        <f aca="false">-L6*Assumptions!L18/100</f>
        <v>-286.939801482538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-40.57812</v>
      </c>
      <c r="D18" s="4" t="n">
        <f aca="false">(D6-C6)*Assumptions!$B$23/100</f>
        <v>-20.0677248</v>
      </c>
      <c r="E18" s="4" t="n">
        <f aca="false">(E6-D6)*Assumptions!$B$23/100</f>
        <v>-23.479238016</v>
      </c>
      <c r="F18" s="4" t="n">
        <f aca="false">(F6-E6)*Assumptions!$B$23/100</f>
        <v>-27.2620041408</v>
      </c>
      <c r="G18" s="4" t="n">
        <f aca="false">(G6-F6)*Assumptions!$B$23/100</f>
        <v>-28.62510434784</v>
      </c>
      <c r="H18" s="4" t="n">
        <f aca="false">(H6-G6)*Assumptions!$B$23/100</f>
        <v>-27.0507236087087</v>
      </c>
      <c r="I18" s="4" t="n">
        <f aca="false">(I6-H6)*Assumptions!$B$23/100</f>
        <v>-25.1271165965339</v>
      </c>
      <c r="J18" s="4" t="n">
        <f aca="false">(J6-I6)*Assumptions!$B$23/100</f>
        <v>-22.8656761028458</v>
      </c>
      <c r="K18" s="4" t="n">
        <f aca="false">(K6-J6)*Assumptions!$B$23/100</f>
        <v>-20.2851212283818</v>
      </c>
      <c r="L18" s="4" t="n">
        <f aca="false">(L6-K6)*Assumptions!$B$23/100</f>
        <v>-20.8936748652334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433.404816672</v>
      </c>
      <c r="D19" s="0" t="n">
        <f aca="false">D15+D16+D17+D18</f>
        <v>459.33483541632</v>
      </c>
      <c r="E19" s="0" t="n">
        <f aca="false">E15+E16+E17+E18</f>
        <v>506.439598472871</v>
      </c>
      <c r="F19" s="0" t="n">
        <f aca="false">F15+F16+F17+F18</f>
        <v>542.778323842086</v>
      </c>
      <c r="G19" s="0" t="n">
        <f aca="false">G15+G16+G17+G18</f>
        <v>592.08881460681</v>
      </c>
      <c r="H19" s="0" t="n">
        <f aca="false">H15+H16+H17+H18</f>
        <v>631.23785269282</v>
      </c>
      <c r="I19" s="0" t="n">
        <f aca="false">I15+I16+I17+I18</f>
        <v>674.257696469179</v>
      </c>
      <c r="J19" s="0" t="n">
        <f aca="false">J15+J16+J17+J18</f>
        <v>700.005888382335</v>
      </c>
      <c r="K19" s="0" t="n">
        <f aca="false">K15+K16+K17+K18</f>
        <v>724.272590191354</v>
      </c>
      <c r="L19" s="0" t="n">
        <f aca="false">L15+L16+L17+L18</f>
        <v>746.000767897095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397.61909786422</v>
      </c>
      <c r="D21" s="0" t="n">
        <f aca="false">D19*D20</f>
        <v>386.612941180305</v>
      </c>
      <c r="E21" s="0" t="n">
        <f aca="false">E19*E20</f>
        <v>391.064291589509</v>
      </c>
      <c r="F21" s="0" t="n">
        <f aca="false">F19*F20</f>
        <v>384.517848629443</v>
      </c>
      <c r="G21" s="0" t="n">
        <f aca="false">G19*G20</f>
        <v>384.817104089148</v>
      </c>
      <c r="H21" s="0" t="n">
        <f aca="false">H19*H20</f>
        <v>376.386507050124</v>
      </c>
      <c r="I21" s="0" t="n">
        <f aca="false">I19*I20</f>
        <v>368.842049817812</v>
      </c>
      <c r="J21" s="0" t="n">
        <f aca="false">J19*J20</f>
        <v>351.309350951473</v>
      </c>
      <c r="K21" s="0" t="n">
        <f aca="false">K19*K20</f>
        <v>333.475220466325</v>
      </c>
      <c r="L21" s="0" t="n">
        <f aca="false">L19*L20</f>
        <v>315.118786312215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3689.76319795057</v>
      </c>
    </row>
    <row r="31" customFormat="false" ht="15" hidden="false" customHeight="false" outlineLevel="0" collapsed="false">
      <c r="A31" s="0" t="s">
        <v>136</v>
      </c>
      <c r="B31" s="0" t="n">
        <f aca="false">L19</f>
        <v>746.000767897095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11763.8582629927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11936.0122863535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11763.8582629927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4969.18086107724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8658.94405902782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8991.84405902782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126.112819902213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-0.654466491582516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220.34586943543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254.844379285324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132.77747977207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6117.20629675618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65.2506821423875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9.4</v>
      </c>
      <c r="D5" s="4" t="n">
        <f aca="false">Assumptions!D27</f>
        <v>7.5</v>
      </c>
      <c r="E5" s="4" t="n">
        <f aca="false">Assumptions!E27</f>
        <v>8</v>
      </c>
      <c r="F5" s="4" t="n">
        <f aca="false">Assumptions!F27</f>
        <v>7.5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3074.1</v>
      </c>
      <c r="C6" s="0" t="n">
        <f aca="false">B6*(1+C5/100)</f>
        <v>3363.0654</v>
      </c>
      <c r="D6" s="0" t="n">
        <f aca="false">C6*(1+D5/100)</f>
        <v>3615.295305</v>
      </c>
      <c r="E6" s="0" t="n">
        <f aca="false">D6*(1+E5/100)</f>
        <v>3904.5189294</v>
      </c>
      <c r="F6" s="0" t="n">
        <f aca="false">E6*(1+F5/100)</f>
        <v>4197.357849105</v>
      </c>
      <c r="G6" s="0" t="n">
        <f aca="false">F6*(1+G5/100)</f>
        <v>4491.17289854235</v>
      </c>
      <c r="H6" s="0" t="n">
        <f aca="false">G6*(1+H5/100)</f>
        <v>4760.64327245489</v>
      </c>
      <c r="I6" s="0" t="n">
        <f aca="false">H6*(1+I5/100)</f>
        <v>5022.47865243991</v>
      </c>
      <c r="J6" s="0" t="n">
        <f aca="false">I6*(1+J5/100)</f>
        <v>5273.60258506191</v>
      </c>
      <c r="K6" s="0" t="n">
        <f aca="false">J6*(1+K5/100)</f>
        <v>5510.91470138969</v>
      </c>
      <c r="L6" s="0" t="n">
        <f aca="false">K6*(1+L5/100)</f>
        <v>5731.35128944528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27.6</v>
      </c>
      <c r="D7" s="4" t="n">
        <f aca="false">Assumptions!D28</f>
        <v>28.6</v>
      </c>
      <c r="E7" s="4" t="n">
        <f aca="false">Assumptions!E28</f>
        <v>29.3</v>
      </c>
      <c r="F7" s="4" t="n">
        <f aca="false">Assumptions!F28</f>
        <v>29.8</v>
      </c>
      <c r="G7" s="4" t="n">
        <f aca="false">Assumptions!G28</f>
        <v>30.2</v>
      </c>
      <c r="H7" s="4" t="n">
        <f aca="false">Assumptions!H28</f>
        <v>30.5</v>
      </c>
      <c r="I7" s="4" t="n">
        <f aca="false">Assumptions!I28</f>
        <v>30.5</v>
      </c>
      <c r="J7" s="4" t="n">
        <f aca="false">Assumptions!J28</f>
        <v>30.5</v>
      </c>
      <c r="K7" s="4" t="n">
        <f aca="false">Assumptions!K28</f>
        <v>30.5</v>
      </c>
      <c r="L7" s="4" t="n">
        <f aca="false">Assumptions!L28</f>
        <v>30.5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928.2060504</v>
      </c>
      <c r="D8" s="0" t="n">
        <f aca="false">D6*D7/100</f>
        <v>1033.97445723</v>
      </c>
      <c r="E8" s="0" t="n">
        <f aca="false">E6*E7/100</f>
        <v>1144.0240463142</v>
      </c>
      <c r="F8" s="0" t="n">
        <f aca="false">F6*F7/100</f>
        <v>1250.81263903329</v>
      </c>
      <c r="G8" s="0" t="n">
        <f aca="false">G6*G7/100</f>
        <v>1356.33421535979</v>
      </c>
      <c r="H8" s="0" t="n">
        <f aca="false">H6*H7/100</f>
        <v>1451.99619809874</v>
      </c>
      <c r="I8" s="0" t="n">
        <f aca="false">I6*I7/100</f>
        <v>1531.85598899417</v>
      </c>
      <c r="J8" s="0" t="n">
        <f aca="false">J6*J7/100</f>
        <v>1608.44878844388</v>
      </c>
      <c r="K8" s="0" t="n">
        <f aca="false">K6*K7/100</f>
        <v>1680.82898392386</v>
      </c>
      <c r="L8" s="0" t="n">
        <f aca="false">L6*L7/100</f>
        <v>1748.06214328081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0.95</v>
      </c>
      <c r="D9" s="4" t="n">
        <f aca="false">Assumptions!D29</f>
        <v>0.95</v>
      </c>
      <c r="E9" s="4" t="n">
        <f aca="false">Assumptions!E29</f>
        <v>0.9</v>
      </c>
      <c r="F9" s="4" t="n">
        <f aca="false">Assumptions!F29</f>
        <v>0.9</v>
      </c>
      <c r="G9" s="4" t="n">
        <f aca="false">Assumptions!G29</f>
        <v>0.85</v>
      </c>
      <c r="H9" s="4" t="n">
        <f aca="false">Assumptions!H29</f>
        <v>0.85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-31.9491213</v>
      </c>
      <c r="D10" s="0" t="n">
        <f aca="false">-D6*D9/100</f>
        <v>-34.3453053975</v>
      </c>
      <c r="E10" s="0" t="n">
        <f aca="false">-E6*E9/100</f>
        <v>-35.1406703646</v>
      </c>
      <c r="F10" s="0" t="n">
        <f aca="false">-F6*F9/100</f>
        <v>-37.776220641945</v>
      </c>
      <c r="G10" s="0" t="n">
        <f aca="false">-G6*G9/100</f>
        <v>-38.17496963761</v>
      </c>
      <c r="H10" s="0" t="n">
        <f aca="false">-H6*H9/100</f>
        <v>-40.4654678158666</v>
      </c>
      <c r="I10" s="0" t="n">
        <f aca="false">-I6*I9/100</f>
        <v>-40.1798292195193</v>
      </c>
      <c r="J10" s="0" t="n">
        <f aca="false">-J6*J9/100</f>
        <v>-42.1888206804953</v>
      </c>
      <c r="K10" s="0" t="n">
        <f aca="false">-K6*K9/100</f>
        <v>-44.0873176111175</v>
      </c>
      <c r="L10" s="0" t="n">
        <f aca="false">-L6*L9/100</f>
        <v>-45.8508103155622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896.2569291</v>
      </c>
      <c r="D11" s="0" t="n">
        <f aca="false">D8+D10+D24</f>
        <v>999.6291518325</v>
      </c>
      <c r="E11" s="0" t="n">
        <f aca="false">E8+E10+E24</f>
        <v>1108.8833759496</v>
      </c>
      <c r="F11" s="0" t="n">
        <f aca="false">F8+F10+F24</f>
        <v>1213.03641839135</v>
      </c>
      <c r="G11" s="0" t="n">
        <f aca="false">G8+G10+G24</f>
        <v>1318.15924572218</v>
      </c>
      <c r="H11" s="0" t="n">
        <f aca="false">H8+H10+H24</f>
        <v>1411.53073028288</v>
      </c>
      <c r="I11" s="0" t="n">
        <f aca="false">I8+I10+I24</f>
        <v>1491.67615977465</v>
      </c>
      <c r="J11" s="0" t="n">
        <f aca="false">J8+J10+J24</f>
        <v>1566.25996776339</v>
      </c>
      <c r="K11" s="0" t="n">
        <f aca="false">K8+K10+K24</f>
        <v>1636.74166631274</v>
      </c>
      <c r="L11" s="0" t="n">
        <f aca="false">L8+L10+L24</f>
        <v>1702.21133296525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-184.968597</v>
      </c>
      <c r="D12" s="4" t="n">
        <f aca="false">-D6*Assumptions!D31/100</f>
        <v>-202.45653708</v>
      </c>
      <c r="E12" s="4" t="n">
        <f aca="false">-E6*Assumptions!E31/100</f>
        <v>-218.6530600464</v>
      </c>
      <c r="F12" s="4" t="n">
        <f aca="false">-F6*Assumptions!F31/100</f>
        <v>-235.05203954988</v>
      </c>
      <c r="G12" s="4" t="n">
        <f aca="false">-G6*Assumptions!G31/100</f>
        <v>-251.505682318372</v>
      </c>
      <c r="H12" s="4" t="n">
        <f aca="false">-H6*Assumptions!H31/100</f>
        <v>-261.835379985019</v>
      </c>
      <c r="I12" s="4" t="n">
        <f aca="false">-I6*Assumptions!I31/100</f>
        <v>-276.236325884195</v>
      </c>
      <c r="J12" s="4" t="n">
        <f aca="false">-J6*Assumptions!J31/100</f>
        <v>-290.048142178405</v>
      </c>
      <c r="K12" s="4" t="n">
        <f aca="false">-K6*Assumptions!K31/100</f>
        <v>-303.100308576433</v>
      </c>
      <c r="L12" s="4" t="n">
        <f aca="false">-L6*Assumptions!L31/100</f>
        <v>-315.22432091949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711.2883321</v>
      </c>
      <c r="D13" s="0" t="n">
        <f aca="false">D11+D12</f>
        <v>797.1726147525</v>
      </c>
      <c r="E13" s="0" t="n">
        <f aca="false">E11+E12</f>
        <v>890.2303159032</v>
      </c>
      <c r="F13" s="0" t="n">
        <f aca="false">F11+F12</f>
        <v>977.984378841465</v>
      </c>
      <c r="G13" s="0" t="n">
        <f aca="false">G11+G12</f>
        <v>1066.65356340381</v>
      </c>
      <c r="H13" s="0" t="n">
        <f aca="false">H11+H12</f>
        <v>1149.69535029786</v>
      </c>
      <c r="I13" s="0" t="n">
        <f aca="false">I11+I12</f>
        <v>1215.43983389046</v>
      </c>
      <c r="J13" s="0" t="n">
        <f aca="false">J11+J12</f>
        <v>1276.21182558498</v>
      </c>
      <c r="K13" s="0" t="n">
        <f aca="false">K11+K12</f>
        <v>1333.64135773631</v>
      </c>
      <c r="L13" s="0" t="n">
        <f aca="false">L11+L12</f>
        <v>1386.98701204576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21.5</v>
      </c>
      <c r="I14" s="4" t="n">
        <f aca="false">Assumptions!I33</f>
        <v>21.5</v>
      </c>
      <c r="J14" s="4" t="n">
        <f aca="false">Assumptions!J33</f>
        <v>21.5</v>
      </c>
      <c r="K14" s="4" t="n">
        <f aca="false">Assumptions!K33</f>
        <v>21.5</v>
      </c>
      <c r="L14" s="4" t="n">
        <f aca="false">Assumptions!L33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561.917782359</v>
      </c>
      <c r="D15" s="0" t="n">
        <f aca="false">D13-MAX(0,D13)*D14/100</f>
        <v>629.766365654475</v>
      </c>
      <c r="E15" s="0" t="n">
        <f aca="false">E13-MAX(0,E13)*E14/100</f>
        <v>703.281949563528</v>
      </c>
      <c r="F15" s="0" t="n">
        <f aca="false">F13-MAX(0,F13)*F14/100</f>
        <v>772.607659284757</v>
      </c>
      <c r="G15" s="0" t="n">
        <f aca="false">G13-MAX(0,G13)*G14/100</f>
        <v>842.656315089008</v>
      </c>
      <c r="H15" s="0" t="n">
        <f aca="false">H13-MAX(0,H13)*H14/100</f>
        <v>902.510849983817</v>
      </c>
      <c r="I15" s="0" t="n">
        <f aca="false">I13-MAX(0,I13)*I14/100</f>
        <v>954.12026960401</v>
      </c>
      <c r="J15" s="0" t="n">
        <f aca="false">J13-MAX(0,J13)*J14/100</f>
        <v>1001.82628308421</v>
      </c>
      <c r="K15" s="0" t="n">
        <f aca="false">K13-MAX(0,K13)*K14/100</f>
        <v>1046.908465823</v>
      </c>
      <c r="L15" s="0" t="n">
        <f aca="false">L13-MAX(0,L13)*L14/100</f>
        <v>1088.78480445592</v>
      </c>
    </row>
    <row r="16" customFormat="false" ht="15" hidden="false" customHeight="false" outlineLevel="0" collapsed="false">
      <c r="A16" s="0" t="s">
        <v>127</v>
      </c>
      <c r="C16" s="0" t="n">
        <f aca="false">-C12</f>
        <v>184.968597</v>
      </c>
      <c r="D16" s="0" t="n">
        <f aca="false">-D12</f>
        <v>202.45653708</v>
      </c>
      <c r="E16" s="0" t="n">
        <f aca="false">-E12</f>
        <v>218.6530600464</v>
      </c>
      <c r="F16" s="0" t="n">
        <f aca="false">-F12</f>
        <v>235.05203954988</v>
      </c>
      <c r="G16" s="0" t="n">
        <f aca="false">-G12</f>
        <v>251.505682318372</v>
      </c>
      <c r="H16" s="0" t="n">
        <f aca="false">-H12</f>
        <v>261.835379985019</v>
      </c>
      <c r="I16" s="0" t="n">
        <f aca="false">-I12</f>
        <v>276.236325884195</v>
      </c>
      <c r="J16" s="0" t="n">
        <f aca="false">-J12</f>
        <v>290.048142178405</v>
      </c>
      <c r="K16" s="0" t="n">
        <f aca="false">-K12</f>
        <v>303.100308576433</v>
      </c>
      <c r="L16" s="0" t="n">
        <f aca="false">-L12</f>
        <v>315.22432091949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-262.3191012</v>
      </c>
      <c r="D17" s="4" t="n">
        <f aca="false">-D6*Assumptions!D32/100</f>
        <v>-281.99303379</v>
      </c>
      <c r="E17" s="4" t="n">
        <f aca="false">-E6*Assumptions!E32/100</f>
        <v>-292.838919705</v>
      </c>
      <c r="F17" s="4" t="n">
        <f aca="false">-F6*Assumptions!F32/100</f>
        <v>-302.20976513556</v>
      </c>
      <c r="G17" s="4" t="n">
        <f aca="false">-G6*Assumptions!G32/100</f>
        <v>-314.382102897964</v>
      </c>
      <c r="H17" s="4" t="n">
        <f aca="false">-H6*Assumptions!H32/100</f>
        <v>-323.723742526933</v>
      </c>
      <c r="I17" s="4" t="n">
        <f aca="false">-I6*Assumptions!I32/100</f>
        <v>-326.461112408594</v>
      </c>
      <c r="J17" s="4" t="n">
        <f aca="false">-J6*Assumptions!J32/100</f>
        <v>-332.2369628589</v>
      </c>
      <c r="K17" s="4" t="n">
        <f aca="false">-K6*Assumptions!K32/100</f>
        <v>-330.654882083381</v>
      </c>
      <c r="L17" s="4" t="n">
        <f aca="false">-L6*Assumptions!L32/100</f>
        <v>-343.881077366717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-43.34481</v>
      </c>
      <c r="D18" s="4" t="n">
        <f aca="false">(D6-C6)*Assumptions!$B$37/100</f>
        <v>-37.83448575</v>
      </c>
      <c r="E18" s="4" t="n">
        <f aca="false">(E6-D6)*Assumptions!$B$37/100</f>
        <v>-43.38354366</v>
      </c>
      <c r="F18" s="4" t="n">
        <f aca="false">(F6-E6)*Assumptions!$B$37/100</f>
        <v>-43.9258379557499</v>
      </c>
      <c r="G18" s="4" t="n">
        <f aca="false">(G6-F6)*Assumptions!$B$37/100</f>
        <v>-44.0722574156026</v>
      </c>
      <c r="H18" s="4" t="n">
        <f aca="false">(H6-G6)*Assumptions!$B$37/100</f>
        <v>-40.4205560868812</v>
      </c>
      <c r="I18" s="4" t="n">
        <f aca="false">(I6-H6)*Assumptions!$B$37/100</f>
        <v>-39.2753069977528</v>
      </c>
      <c r="J18" s="4" t="n">
        <f aca="false">(J6-I6)*Assumptions!$B$37/100</f>
        <v>-37.6685898932994</v>
      </c>
      <c r="K18" s="4" t="n">
        <f aca="false">(K6-J6)*Assumptions!$B$37/100</f>
        <v>-35.5968174491678</v>
      </c>
      <c r="L18" s="4" t="n">
        <f aca="false">(L6-K6)*Assumptions!$B$37/100</f>
        <v>-33.0654882083382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441.222468159</v>
      </c>
      <c r="D19" s="0" t="n">
        <f aca="false">D15+D16+D17+D18</f>
        <v>512.395383194475</v>
      </c>
      <c r="E19" s="0" t="n">
        <f aca="false">E15+E16+E17+E18</f>
        <v>585.712546244928</v>
      </c>
      <c r="F19" s="0" t="n">
        <f aca="false">F15+F16+F17+F18</f>
        <v>661.524095743327</v>
      </c>
      <c r="G19" s="0" t="n">
        <f aca="false">G15+G16+G17+G18</f>
        <v>735.707637093813</v>
      </c>
      <c r="H19" s="0" t="n">
        <f aca="false">H15+H16+H17+H18</f>
        <v>800.201931355023</v>
      </c>
      <c r="I19" s="0" t="n">
        <f aca="false">I15+I16+I17+I18</f>
        <v>864.620176081858</v>
      </c>
      <c r="J19" s="0" t="n">
        <f aca="false">J15+J16+J17+J18</f>
        <v>921.968872510416</v>
      </c>
      <c r="K19" s="0" t="n">
        <f aca="false">K15+K16+K17+K18</f>
        <v>983.757074866884</v>
      </c>
      <c r="L19" s="0" t="n">
        <f aca="false">L15+L16+L17+L18</f>
        <v>1027.06255980036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404.791255191743</v>
      </c>
      <c r="D21" s="0" t="n">
        <f aca="false">D19*D20</f>
        <v>431.272942676942</v>
      </c>
      <c r="E21" s="0" t="n">
        <f aca="false">E19*E20</f>
        <v>452.277552274835</v>
      </c>
      <c r="F21" s="0" t="n">
        <f aca="false">F19*F20</f>
        <v>468.64034715168</v>
      </c>
      <c r="G21" s="0" t="n">
        <f aca="false">G19*G20</f>
        <v>478.159484486662</v>
      </c>
      <c r="H21" s="0" t="n">
        <f aca="false">H19*H20</f>
        <v>477.134266572645</v>
      </c>
      <c r="I21" s="0" t="n">
        <f aca="false">I19*I20</f>
        <v>472.976845099235</v>
      </c>
      <c r="J21" s="0" t="n">
        <f aca="false">J19*J20</f>
        <v>462.705088020899</v>
      </c>
      <c r="K21" s="0" t="n">
        <f aca="false">K19*K20</f>
        <v>452.949085564411</v>
      </c>
      <c r="L21" s="0" t="n">
        <f aca="false">L19*L20</f>
        <v>433.84232461762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4534.74919165667</v>
      </c>
    </row>
    <row r="31" customFormat="false" ht="15" hidden="false" customHeight="false" outlineLevel="0" collapsed="false">
      <c r="A31" s="0" t="s">
        <v>136</v>
      </c>
      <c r="B31" s="0" t="n">
        <f aca="false">L19</f>
        <v>1027.06255980036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17631.2406099061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20541.2511960071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17631.2406099061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7447.62657260247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11982.3757642591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12315.2757642591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172.724765277127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-0.526755533790545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243.874688902174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332.481901928073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180.808307925517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8815.62030495305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83.0032009717955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10</v>
      </c>
      <c r="D5" s="4" t="n">
        <f aca="false">Assumptions!D41</f>
        <v>10</v>
      </c>
      <c r="E5" s="4" t="n">
        <f aca="false">Assumptions!E41</f>
        <v>10.5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5.5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3074.1</v>
      </c>
      <c r="C6" s="0" t="n">
        <f aca="false">B6*(1+C5/100)</f>
        <v>3381.51</v>
      </c>
      <c r="D6" s="0" t="n">
        <f aca="false">C6*(1+D5/100)</f>
        <v>3719.661</v>
      </c>
      <c r="E6" s="0" t="n">
        <f aca="false">D6*(1+E5/100)</f>
        <v>4110.225405</v>
      </c>
      <c r="F6" s="0" t="n">
        <f aca="false">E6*(1+F5/100)</f>
        <v>4521.2479455</v>
      </c>
      <c r="G6" s="0" t="n">
        <f aca="false">F6*(1+G5/100)</f>
        <v>4928.160260595</v>
      </c>
      <c r="H6" s="0" t="n">
        <f aca="false">G6*(1+H5/100)</f>
        <v>5322.4130814426</v>
      </c>
      <c r="I6" s="0" t="n">
        <f aca="false">H6*(1+I5/100)</f>
        <v>5694.98199714358</v>
      </c>
      <c r="J6" s="0" t="n">
        <f aca="false">I6*(1+J5/100)</f>
        <v>6036.6809169722</v>
      </c>
      <c r="K6" s="0" t="n">
        <f aca="false">J6*(1+K5/100)</f>
        <v>6368.69836740567</v>
      </c>
      <c r="L6" s="0" t="n">
        <f aca="false">K6*(1+L5/100)</f>
        <v>6687.13328577595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27.9</v>
      </c>
      <c r="D7" s="4" t="n">
        <f aca="false">Assumptions!D42</f>
        <v>29.2</v>
      </c>
      <c r="E7" s="4" t="n">
        <f aca="false">Assumptions!E42</f>
        <v>30.4</v>
      </c>
      <c r="F7" s="4" t="n">
        <f aca="false">Assumptions!F42</f>
        <v>31.4</v>
      </c>
      <c r="G7" s="4" t="n">
        <f aca="false">Assumptions!G42</f>
        <v>32.2</v>
      </c>
      <c r="H7" s="4" t="n">
        <f aca="false">Assumptions!H42</f>
        <v>32.8</v>
      </c>
      <c r="I7" s="4" t="n">
        <f aca="false">Assumptions!I42</f>
        <v>33</v>
      </c>
      <c r="J7" s="4" t="n">
        <f aca="false">Assumptions!J42</f>
        <v>33</v>
      </c>
      <c r="K7" s="4" t="n">
        <f aca="false">Assumptions!K42</f>
        <v>33</v>
      </c>
      <c r="L7" s="4" t="n">
        <f aca="false">Assumptions!L42</f>
        <v>33</v>
      </c>
    </row>
    <row r="8" customFormat="false" ht="15" hidden="false" customHeight="false" outlineLevel="0" collapsed="false">
      <c r="A8" s="0" t="s">
        <v>43</v>
      </c>
      <c r="C8" s="0" t="n">
        <f aca="false">C6*C7/100</f>
        <v>943.44129</v>
      </c>
      <c r="D8" s="0" t="n">
        <f aca="false">D6*D7/100</f>
        <v>1086.141012</v>
      </c>
      <c r="E8" s="0" t="n">
        <f aca="false">E6*E7/100</f>
        <v>1249.50852312</v>
      </c>
      <c r="F8" s="0" t="n">
        <f aca="false">F6*F7/100</f>
        <v>1419.671854887</v>
      </c>
      <c r="G8" s="0" t="n">
        <f aca="false">G6*G7/100</f>
        <v>1586.86760391159</v>
      </c>
      <c r="H8" s="0" t="n">
        <f aca="false">H6*H7/100</f>
        <v>1745.75149071317</v>
      </c>
      <c r="I8" s="0" t="n">
        <f aca="false">I6*I7/100</f>
        <v>1879.34405905738</v>
      </c>
      <c r="J8" s="0" t="n">
        <f aca="false">J6*J7/100</f>
        <v>1992.10470260083</v>
      </c>
      <c r="K8" s="0" t="n">
        <f aca="false">K6*K7/100</f>
        <v>2101.67046124387</v>
      </c>
      <c r="L8" s="0" t="n">
        <f aca="false">L6*L7/100</f>
        <v>2206.75398430606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0.95</v>
      </c>
      <c r="D9" s="4" t="n">
        <f aca="false">Assumptions!D43</f>
        <v>0.95</v>
      </c>
      <c r="E9" s="4" t="n">
        <f aca="false">Assumptions!E43</f>
        <v>0.9</v>
      </c>
      <c r="F9" s="4" t="n">
        <f aca="false">Assumptions!F43</f>
        <v>0.9</v>
      </c>
      <c r="G9" s="4" t="n">
        <f aca="false">Assumptions!G43</f>
        <v>0.85</v>
      </c>
      <c r="H9" s="4" t="n">
        <f aca="false">Assumptions!H43</f>
        <v>0.85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-32.124345</v>
      </c>
      <c r="D10" s="0" t="n">
        <f aca="false">-D6*D9/100</f>
        <v>-35.3367795</v>
      </c>
      <c r="E10" s="0" t="n">
        <f aca="false">-E6*E9/100</f>
        <v>-36.992028645</v>
      </c>
      <c r="F10" s="0" t="n">
        <f aca="false">-F6*F9/100</f>
        <v>-40.6912315095</v>
      </c>
      <c r="G10" s="0" t="n">
        <f aca="false">-G6*G9/100</f>
        <v>-41.8893622150575</v>
      </c>
      <c r="H10" s="0" t="n">
        <f aca="false">-H6*H9/100</f>
        <v>-45.2405111922621</v>
      </c>
      <c r="I10" s="0" t="n">
        <f aca="false">-I6*I9/100</f>
        <v>-45.5598559771487</v>
      </c>
      <c r="J10" s="0" t="n">
        <f aca="false">-J6*J9/100</f>
        <v>-48.2934473357776</v>
      </c>
      <c r="K10" s="0" t="n">
        <f aca="false">-K6*K9/100</f>
        <v>-50.9495869392454</v>
      </c>
      <c r="L10" s="0" t="n">
        <f aca="false">-L6*L9/100</f>
        <v>-53.4970662862076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911.316945</v>
      </c>
      <c r="D11" s="0" t="n">
        <f aca="false">D8+D10+D24</f>
        <v>1050.8042325</v>
      </c>
      <c r="E11" s="0" t="n">
        <f aca="false">E8+E10+E24</f>
        <v>1212.516494475</v>
      </c>
      <c r="F11" s="0" t="n">
        <f aca="false">F8+F10+F24</f>
        <v>1378.9806233775</v>
      </c>
      <c r="G11" s="0" t="n">
        <f aca="false">G8+G10+G24</f>
        <v>1544.97824169653</v>
      </c>
      <c r="H11" s="0" t="n">
        <f aca="false">H8+H10+H24</f>
        <v>1700.51097952091</v>
      </c>
      <c r="I11" s="0" t="n">
        <f aca="false">I8+I10+I24</f>
        <v>1833.78420308023</v>
      </c>
      <c r="J11" s="0" t="n">
        <f aca="false">J8+J10+J24</f>
        <v>1943.81125526505</v>
      </c>
      <c r="K11" s="0" t="n">
        <f aca="false">K8+K10+K24</f>
        <v>2050.72087430463</v>
      </c>
      <c r="L11" s="0" t="n">
        <f aca="false">L8+L10+L24</f>
        <v>2153.25691801986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-185.98305</v>
      </c>
      <c r="D12" s="4" t="n">
        <f aca="false">-D6*Assumptions!D45/100</f>
        <v>-208.301016</v>
      </c>
      <c r="E12" s="4" t="n">
        <f aca="false">-E6*Assumptions!E45/100</f>
        <v>-230.17262268</v>
      </c>
      <c r="F12" s="4" t="n">
        <f aca="false">-F6*Assumptions!F45/100</f>
        <v>-253.189884948</v>
      </c>
      <c r="G12" s="4" t="n">
        <f aca="false">-G6*Assumptions!G45/100</f>
        <v>-275.97697459332</v>
      </c>
      <c r="H12" s="4" t="n">
        <f aca="false">-H6*Assumptions!H45/100</f>
        <v>-292.732719479343</v>
      </c>
      <c r="I12" s="4" t="n">
        <f aca="false">-I6*Assumptions!I45/100</f>
        <v>-313.224009842897</v>
      </c>
      <c r="J12" s="4" t="n">
        <f aca="false">-J6*Assumptions!J45/100</f>
        <v>-332.017450433471</v>
      </c>
      <c r="K12" s="4" t="n">
        <f aca="false">-K6*Assumptions!K45/100</f>
        <v>-350.278410207312</v>
      </c>
      <c r="L12" s="4" t="n">
        <f aca="false">-L6*Assumptions!L45/100</f>
        <v>-367.792330717677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725.333895</v>
      </c>
      <c r="D13" s="0" t="n">
        <f aca="false">D11+D12</f>
        <v>842.5032165</v>
      </c>
      <c r="E13" s="0" t="n">
        <f aca="false">E11+E12</f>
        <v>982.343871795</v>
      </c>
      <c r="F13" s="0" t="n">
        <f aca="false">F11+F12</f>
        <v>1125.7907384295</v>
      </c>
      <c r="G13" s="0" t="n">
        <f aca="false">G11+G12</f>
        <v>1269.00126710321</v>
      </c>
      <c r="H13" s="0" t="n">
        <f aca="false">H11+H12</f>
        <v>1407.77826004157</v>
      </c>
      <c r="I13" s="0" t="n">
        <f aca="false">I11+I12</f>
        <v>1520.56019323734</v>
      </c>
      <c r="J13" s="0" t="n">
        <f aca="false">J11+J12</f>
        <v>1611.79380483158</v>
      </c>
      <c r="K13" s="0" t="n">
        <f aca="false">K11+K12</f>
        <v>1700.44246409731</v>
      </c>
      <c r="L13" s="0" t="n">
        <f aca="false">L11+L12</f>
        <v>1785.46458730218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21.5</v>
      </c>
      <c r="I14" s="4" t="n">
        <f aca="false">Assumptions!I47</f>
        <v>21.5</v>
      </c>
      <c r="J14" s="4" t="n">
        <f aca="false">Assumptions!J47</f>
        <v>21.5</v>
      </c>
      <c r="K14" s="4" t="n">
        <f aca="false">Assumptions!K47</f>
        <v>21.5</v>
      </c>
      <c r="L14" s="4" t="n">
        <f aca="false">Assumptions!L47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573.01377705</v>
      </c>
      <c r="D15" s="0" t="n">
        <f aca="false">D13-MAX(0,D13)*D14/100</f>
        <v>665.577541035</v>
      </c>
      <c r="E15" s="0" t="n">
        <f aca="false">E13-MAX(0,E13)*E14/100</f>
        <v>776.05165871805</v>
      </c>
      <c r="F15" s="0" t="n">
        <f aca="false">F13-MAX(0,F13)*F14/100</f>
        <v>889.374683359305</v>
      </c>
      <c r="G15" s="0" t="n">
        <f aca="false">G13-MAX(0,G13)*G14/100</f>
        <v>1002.51100101154</v>
      </c>
      <c r="H15" s="0" t="n">
        <f aca="false">H13-MAX(0,H13)*H14/100</f>
        <v>1105.10593413263</v>
      </c>
      <c r="I15" s="0" t="n">
        <f aca="false">I13-MAX(0,I13)*I14/100</f>
        <v>1193.63975169131</v>
      </c>
      <c r="J15" s="0" t="n">
        <f aca="false">J13-MAX(0,J13)*J14/100</f>
        <v>1265.25813679279</v>
      </c>
      <c r="K15" s="0" t="n">
        <f aca="false">K13-MAX(0,K13)*K14/100</f>
        <v>1334.84733431639</v>
      </c>
      <c r="L15" s="0" t="n">
        <f aca="false">L13-MAX(0,L13)*L14/100</f>
        <v>1401.58970103221</v>
      </c>
    </row>
    <row r="16" customFormat="false" ht="15" hidden="false" customHeight="false" outlineLevel="0" collapsed="false">
      <c r="A16" s="0" t="s">
        <v>127</v>
      </c>
      <c r="C16" s="0" t="n">
        <f aca="false">-C12</f>
        <v>185.98305</v>
      </c>
      <c r="D16" s="0" t="n">
        <f aca="false">-D12</f>
        <v>208.301016</v>
      </c>
      <c r="E16" s="0" t="n">
        <f aca="false">-E12</f>
        <v>230.17262268</v>
      </c>
      <c r="F16" s="0" t="n">
        <f aca="false">-F12</f>
        <v>253.189884948</v>
      </c>
      <c r="G16" s="0" t="n">
        <f aca="false">-G12</f>
        <v>275.97697459332</v>
      </c>
      <c r="H16" s="0" t="n">
        <f aca="false">-H12</f>
        <v>292.732719479343</v>
      </c>
      <c r="I16" s="0" t="n">
        <f aca="false">-I12</f>
        <v>313.224009842897</v>
      </c>
      <c r="J16" s="0" t="n">
        <f aca="false">-J12</f>
        <v>332.017450433471</v>
      </c>
      <c r="K16" s="0" t="n">
        <f aca="false">-K12</f>
        <v>350.278410207312</v>
      </c>
      <c r="L16" s="0" t="n">
        <f aca="false">-L12</f>
        <v>367.792330717677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-263.75778</v>
      </c>
      <c r="D17" s="4" t="n">
        <f aca="false">-D6*Assumptions!D46/100</f>
        <v>-297.57288</v>
      </c>
      <c r="E17" s="4" t="n">
        <f aca="false">-E6*Assumptions!E46/100</f>
        <v>-328.8180324</v>
      </c>
      <c r="F17" s="4" t="n">
        <f aca="false">-F6*Assumptions!F46/100</f>
        <v>-352.657339749</v>
      </c>
      <c r="G17" s="4" t="n">
        <f aca="false">-G6*Assumptions!G46/100</f>
        <v>-369.612019544625</v>
      </c>
      <c r="H17" s="4" t="n">
        <f aca="false">-H6*Assumptions!H46/100</f>
        <v>-372.568915700982</v>
      </c>
      <c r="I17" s="4" t="n">
        <f aca="false">-I6*Assumptions!I46/100</f>
        <v>-387.258775805764</v>
      </c>
      <c r="J17" s="4" t="n">
        <f aca="false">-J6*Assumptions!J46/100</f>
        <v>-392.384259603193</v>
      </c>
      <c r="K17" s="4" t="n">
        <f aca="false">-K6*Assumptions!K46/100</f>
        <v>-394.859298779152</v>
      </c>
      <c r="L17" s="4" t="n">
        <f aca="false">-L6*Assumptions!L46/100</f>
        <v>-401.227997146557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-46.1115000000001</v>
      </c>
      <c r="D18" s="4" t="n">
        <f aca="false">(D6-C6)*Assumptions!$B$51/100</f>
        <v>-50.7226500000001</v>
      </c>
      <c r="E18" s="4" t="n">
        <f aca="false">(E6-D6)*Assumptions!$B$51/100</f>
        <v>-58.58466075</v>
      </c>
      <c r="F18" s="4" t="n">
        <f aca="false">(F6-E6)*Assumptions!$B$51/100</f>
        <v>-61.653381075</v>
      </c>
      <c r="G18" s="4" t="n">
        <f aca="false">(G6-F6)*Assumptions!$B$51/100</f>
        <v>-61.03684726425</v>
      </c>
      <c r="H18" s="4" t="n">
        <f aca="false">(H6-G6)*Assumptions!$B$51/100</f>
        <v>-59.1379231271401</v>
      </c>
      <c r="I18" s="4" t="n">
        <f aca="false">(I6-H6)*Assumptions!$B$51/100</f>
        <v>-55.8853373551473</v>
      </c>
      <c r="J18" s="4" t="n">
        <f aca="false">(J6-I6)*Assumptions!$B$51/100</f>
        <v>-51.2548379742923</v>
      </c>
      <c r="K18" s="4" t="n">
        <f aca="false">(K6-J6)*Assumptions!$B$51/100</f>
        <v>-49.8026175650206</v>
      </c>
      <c r="L18" s="4" t="n">
        <f aca="false">(L6-K6)*Assumptions!$B$51/100</f>
        <v>-47.7652377555425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449.12754705</v>
      </c>
      <c r="D19" s="0" t="n">
        <f aca="false">D15+D16+D17+D18</f>
        <v>525.583027035</v>
      </c>
      <c r="E19" s="0" t="n">
        <f aca="false">E15+E16+E17+E18</f>
        <v>618.82158824805</v>
      </c>
      <c r="F19" s="0" t="n">
        <f aca="false">F15+F16+F17+F18</f>
        <v>728.253847483305</v>
      </c>
      <c r="G19" s="0" t="n">
        <f aca="false">G15+G16+G17+G18</f>
        <v>847.839108795983</v>
      </c>
      <c r="H19" s="0" t="n">
        <f aca="false">H15+H16+H17+H18</f>
        <v>966.131814783852</v>
      </c>
      <c r="I19" s="0" t="n">
        <f aca="false">I15+I16+I17+I18</f>
        <v>1063.7196483733</v>
      </c>
      <c r="J19" s="0" t="n">
        <f aca="false">J15+J16+J17+J18</f>
        <v>1153.63648964877</v>
      </c>
      <c r="K19" s="0" t="n">
        <f aca="false">K15+K16+K17+K18</f>
        <v>1240.46382817953</v>
      </c>
      <c r="L19" s="0" t="n">
        <f aca="false">L15+L16+L17+L18</f>
        <v>1320.38879684779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412.043621146789</v>
      </c>
      <c r="D21" s="0" t="n">
        <f aca="false">D19*D20</f>
        <v>442.372718655837</v>
      </c>
      <c r="E21" s="0" t="n">
        <f aca="false">E19*E20</f>
        <v>477.843807550294</v>
      </c>
      <c r="F21" s="0" t="n">
        <f aca="false">F19*F20</f>
        <v>515.913385612402</v>
      </c>
      <c r="G21" s="0" t="n">
        <f aca="false">G19*G20</f>
        <v>551.037247337727</v>
      </c>
      <c r="H21" s="0" t="n">
        <f aca="false">H19*H20</f>
        <v>576.072834614133</v>
      </c>
      <c r="I21" s="0" t="n">
        <f aca="false">I19*I20</f>
        <v>581.891074572885</v>
      </c>
      <c r="J21" s="0" t="n">
        <f aca="false">J19*J20</f>
        <v>578.971253154782</v>
      </c>
      <c r="K21" s="0" t="n">
        <f aca="false">K19*K20</f>
        <v>571.144005978992</v>
      </c>
      <c r="L21" s="0" t="n">
        <f aca="false">L19*L20</f>
        <v>557.746497092502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5265.03644571634</v>
      </c>
    </row>
    <row r="31" customFormat="false" ht="15" hidden="false" customHeight="false" outlineLevel="0" collapsed="false">
      <c r="A31" s="0" t="s">
        <v>136</v>
      </c>
      <c r="B31" s="0" t="n">
        <f aca="false">L19</f>
        <v>1320.38879684779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22666.674345887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26407.7759369558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22666.674345887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9574.64820008796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14839.6846458043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15172.5846458043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212.799223643819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-0.416956480783005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266.022112368319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387.927851743407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221.971032397139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11333.3371729435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98.748699040211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126.112819902213</v>
      </c>
      <c r="C4" s="0" t="n">
        <f aca="false">B4/Assumptions!$B$2-1</f>
        <v>-0.654466491582516</v>
      </c>
      <c r="D4" s="4" t="n">
        <f aca="false">Assumptions!$B$24</f>
        <v>0.2</v>
      </c>
      <c r="E4" s="4" t="n">
        <f aca="false">DCF_Bear!$B$43</f>
        <v>132.77747977207</v>
      </c>
      <c r="F4" s="4" t="n">
        <f aca="false">DCF_Bear!$B$47</f>
        <v>65.2506821423875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172.724765277127</v>
      </c>
      <c r="C5" s="0" t="n">
        <f aca="false">B5/Assumptions!$B$2-1</f>
        <v>-0.526755533790545</v>
      </c>
      <c r="D5" s="4" t="n">
        <f aca="false">Assumptions!$B$38</f>
        <v>0.5</v>
      </c>
      <c r="E5" s="4" t="n">
        <f aca="false">DCF_Base!$B$43</f>
        <v>180.808307925517</v>
      </c>
      <c r="F5" s="4" t="n">
        <f aca="false">DCF_Base!$B$47</f>
        <v>83.0032009717955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212.799223643819</v>
      </c>
      <c r="C6" s="0" t="n">
        <f aca="false">B6/Assumptions!$B$2-1</f>
        <v>-0.416956480783005</v>
      </c>
      <c r="D6" s="4" t="n">
        <f aca="false">Assumptions!$B$52</f>
        <v>0.3</v>
      </c>
      <c r="E6" s="4" t="n">
        <f aca="false">DCF_Bull!$B$43</f>
        <v>221.971032397139</v>
      </c>
      <c r="F6" s="4" t="n">
        <f aca="false">DCF_Bull!$B$47</f>
        <v>98.748699040211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175.424713712152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183.550959636314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-1.08055063780171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2332.63044284968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84.1763466264385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172.724765277127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146.863545021462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127.554372457075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112.607940013632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83.0032009717955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221.70718893524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221.70718893524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221.70718893524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221.70718893524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221.70718893524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185.059677153739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195.977841646908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205.076312057882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205.076312057882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205.076312057882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156.933403030643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164.221724067482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172.724765277127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182.773813979435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189.964876353563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135.954539172662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141.045408568769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146.863545021462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153.576779389954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161.408886153195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119.733268427852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123.413787971016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127.554372457075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132.247034874609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137.610077637504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2026-10-02T22:00:38Z</dcterms:created>
  <dc:creator>openpyxl</dc:creator>
  <dc:description/>
  <dc:language>en-NZ</dc:language>
  <cp:lastModifiedBy/>
  <dcterms:modified xsi:type="dcterms:W3CDTF">2026-10-02T22:00:38Z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