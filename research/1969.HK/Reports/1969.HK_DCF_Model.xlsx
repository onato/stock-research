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<sst xmlns="http://schemas.openxmlformats.org/spreadsheetml/2006/main" count="356" uniqueCount="165">
  <si>
    <t xml:space="preserve">Ticker</t>
  </si>
  <si>
    <t xml:space="preserve">1969.HK</t>
  </si>
  <si>
    <t xml:space="preserve">Company</t>
  </si>
  <si>
    <t xml:space="preserve">China Chunlai Education Group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</si>
  <si>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</si>
  <si>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</si>
  <si>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</si>
  <si>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</si>
  <si>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2026-10-16T03:37:47Z (HKEX intraday, last trade before the midday break on a 16k-share day; thin, should be replaced at the next regular close)</t>
  </si>
  <si>
    <t xml:space="preserve">Balance sheet date</t>
  </si>
  <si>
    <t xml:space="preserve">2026-02-28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</si>
  <si>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</si>
  <si>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</si>
  <si>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</si>
  <si>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</si>
  <si>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</si>
  <si>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</si>
  <si>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</si>
  <si>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</si>
  <si>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</si>
  <si>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</si>
  <si>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</si>
  <si>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2026-10-17T00:19:53Z</t>
  </si>
  <si>
    <t xml:space="preserve">Drivers file</t>
  </si>
  <si>
    <t xml:space="preserve">1969.HK_Drivers.json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</si>
  <si>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</si>
  <si>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</si>
  <si>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</si>
  <si>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Chunlai's own six campuses only, in CNY at a 12% CNY WACC that carries the structural VIE/policy/governance premium once; demographic, margin, tax and capex-leakage risk lives in the three scenario flows. The Tianping College exposure (RMB2.3bn, ~2.3x the market cap) is valued outside the flows at 30% recovery. Even the bear case is far above the price, which is not a buy signal by itself: the market is pricing a governance or cash-extraction event that the filings do not disclose, and the model cannot see it.
key_risks_to_valuation: Unexplained ~78% price collapse Jan-Mar 2026 on extreme volume (possible controlling-shareholder pledge enforcement or undisclosed governance issue); P/E ~1.2x implies the market discounts reported cash entirely; Related-party Tianping exposure RMB2,284.7m: sponsor change unapproved since 2019, advances unsecured, interest accrued not collected, chairman is a Tianping director; Opaque deposits/advances: USD40m offshore deposit backing an onshore third-party loan (due Jul-2026), RMB153.9m third-party advances with extended maturities; Demographic decline of the college-age cohort after ~2033 and early quota-fill failures across private HEIs; PRC policy: for-profit/non-profit re-registration, 25% tax on non-profit tuition income, quota and fee approvals, VIE enforceability; 0.93m sqm of buildings without ownership certificates</t>
  </si>
  <si>
    <t xml:space="preserve">Data sources</t>
  </si>
  <si>
    <t xml:space="preserve">price: Yahoo Finance chart API at inputs.price_as_of; 52-week range 0.82-5.59 HKD
fx: Yahoo Finance CNYHKD=X and HKDCNY=X, 2026-10-16
financials: 1969.HK_Metrics.csv (FY2017-FY2025, H1 FY2024-FY2026); FY2025 Annual Report (cash flow, other income note 7, note 18, note 20); H1 FY2026 Interim Report (balance sheet 28-Feb-2026, note 12, diluted EPS note)
qualitative: 1969.HK_Analysis.json (2026-10-17)</t>
  </si>
  <si>
    <t xml:space="preserve">Scenario narrative: bear</t>
  </si>
  <si>
    <t xml:space="preserve">The 2024 quota-shortfall signal spreads: private colleges in Henan/Hubei start competing on price as the cohort shrinks, enrolment falls 4-5% a year from FY2029, and fixed faculty and campus costs drive EBITDA margin down to 48%. Provinces apply the 25% enterprise tax on non-profit schools' tuition income. Cash keeps leaking into related-party projects (capex +10pp/+5pp in FY2027-28 for further Tianping advances). Exit at 5x with -2% terminal growth. The bridge still credits 30% of the Tianping book, so this scenario does NOT model outright loss of the RMB2.3bn; the 45% weight on it is how that risk is charged.</t>
  </si>
  <si>
    <t xml:space="preserve">Scenario narrative: base</t>
  </si>
  <si>
    <t xml:space="preserve">Chunlai keeps filling its Henan/Hubei dormitory capacity as quotas allow: enrolment grows mid-single digits for two to three years, then the demographic cliff in the college-age cohort (births halved 2016-2023) flattens and reverses it after FY2033. Staff costs keep outrunning tuition, fading core EBITDA margin from ~62% to 58%. Capex normalises to just above depreciation once the current dormitory build ends; Tianping advances taper after one more year and the existing RMB2.3bn exposure is worth 30 cents on the yuan. Schools are partially pulled into the tax net (10% cash rate) as for-profit re-registration is eventually forced. No re-rating: exit at 8x FCF with zero terminal growth.</t>
  </si>
  <si>
    <t xml:space="preserve">Scenario narrative: bull</t>
  </si>
  <si>
    <t xml:space="preserve">Henan quota increases and new dormitories lift enrolment high-single digits through FY2029, international/Sino-foreign programmes add a fee premium, and wage pressure eases so margins edge back to 64%. The schools stay effectively tax-exempt (5% cash rate). Capex settles at 16% without further related-party advances. Tianping conversion is NOT added to the flows (it would double-count the bridge); its upside sits only in the 30% recovery being conservative. Exit at 9x with 1% terminal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</si>
  <si>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</si>
  <si>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</si>
  <si>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</si>
  <si>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</si>
  <si>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</si>
  <si>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</si>
  <si>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</si>
  <si>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</si>
  <si>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</si>
  <si>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</si>
  <si>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</si>
  <si>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</si>
  <si>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</si>
  <si>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</si>
  <si>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</si>
  <si>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</si>
  <si>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</si>
  <si>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</si>
  <si>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</si>
  <si>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</si>
  <si>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</si>
  <si>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</si>
  <si>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</si>
  <si>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</si>
  <si>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</si>
  <si>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</si>
  <si>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</si>
  <si>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</si>
  <si>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</si>
  <si>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</si>
  <si>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</si>
  <si>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</si>
  <si>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</si>
  <si>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</si>
  <si>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</si>
  <si>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</si>
  <si>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</si>
  <si>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</si>
  <si>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</si>
  <si>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</si>
  <si>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</si>
  <si>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</si>
  <si>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</si>
  <si>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</si>
  <si>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</si>
  <si>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</si>
  <si>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</si>
  <si>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</si>
  <si>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</si>
  <si>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</si>
  <si>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</si>
  <si>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</si>
  <si>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</si>
  <si>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</si>
  <si>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</si>
  <si>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</si>
  <si>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</si>
  <si>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</si>
  <si>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</si>
  <si>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</si>
  <si>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</si>
  <si>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</si>
  <si>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</si>
  <si>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</si>
  <si>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</si>
  <si>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</si>
  <si>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</si>
  <si>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</si>
  <si>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</si>
  <si>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</si>
  <si>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</si>
  <si>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</si>
  <si>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</si>
  <si>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</si>
  <si>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1969.HK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</si>
  <si>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</si>
  <si>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</si>
  <si>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</si>
  <si>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</si>
  <si>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</si>
  <si>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</si>
  <si>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</si>
  <si>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</si>
  <si>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</si>
  <si>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</si>
  <si>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</si>
  <si>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</si>
  <si>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</si>
  <si>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</si>
  <si>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</si>
  <si>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</si>
  <si>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</si>
  <si>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</si>
  <si>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</si>
  <si>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</si>
  <si>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</si>
  <si>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</si>
  <si>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</si>
  <si>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</si>
  <si>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</si>
  <si>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</si>
  <si>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</si>
  <si>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</si>
  <si>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</si>
  <si>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</si>
  <si>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1969.HK owner-FCF component DCF: base case (millions, CNY)</t>
  </si>
  <si>
    <t xml:space="preserve">1969.HK owner-FCF component DCF: bull case (millions, CNY)</t>
  </si>
  <si>
    <t xml:space="preserve">1969.HK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</si>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</sst>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0.965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460.889</v>
      </c>
      <c r="C2" s="0" t="n">
        <v>170.043</v>
      </c>
      <c r="D2" s="0" t="n">
        <v>290.846</v>
      </c>
      <c r="E2" s="0" t="n">
        <v>63.1</v>
      </c>
      <c r="F2" s="0" t="n">
        <v>229.175</v>
      </c>
      <c r="G2" s="0" t="n">
        <v>49.7</v>
      </c>
      <c r="H2" s="0" t="n">
        <v>291.133</v>
      </c>
      <c r="I2" s="0" t="n">
        <v>151.649</v>
      </c>
      <c r="J2" s="0" t="n">
        <v>32.9</v>
      </c>
      <c r="K2" s="0" t="n">
        <v>0.21</v>
      </c>
      <c r="L2" s="0" t="n">
        <v>215.815</v>
      </c>
      <c r="M2" s="0" t="n">
        <v>155.457</v>
      </c>
      <c r="N2" s="0" t="n">
        <v>60.358</v>
      </c>
      <c r="O2" s="0" t="n">
        <v>445.182</v>
      </c>
      <c r="P2" s="0" t="n">
        <v>1783.708</v>
      </c>
      <c r="Q2" s="0" t="n">
        <v>1338.526</v>
      </c>
      <c r="R2" s="0" t="n">
        <v>992.329</v>
      </c>
      <c r="S2" s="0" t="n">
        <v>267.344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487.791</v>
      </c>
      <c r="C3" s="0" t="n">
        <v>204.363</v>
      </c>
      <c r="D3" s="0" t="n">
        <v>283.428</v>
      </c>
      <c r="E3" s="0" t="n">
        <v>58.1</v>
      </c>
      <c r="F3" s="0" t="n">
        <v>200.393</v>
      </c>
      <c r="G3" s="0" t="n">
        <v>41.1</v>
      </c>
      <c r="H3" s="0" t="n">
        <v>272.786</v>
      </c>
      <c r="I3" s="0" t="n">
        <v>118.948</v>
      </c>
      <c r="J3" s="0" t="n">
        <v>24.4</v>
      </c>
      <c r="K3" s="0" t="n">
        <v>0.14</v>
      </c>
      <c r="L3" s="0" t="n">
        <v>437.591</v>
      </c>
      <c r="M3" s="0" t="n">
        <v>300.445</v>
      </c>
      <c r="N3" s="0" t="n">
        <v>137.146</v>
      </c>
      <c r="O3" s="0" t="n">
        <v>594.834</v>
      </c>
      <c r="P3" s="0" t="n">
        <v>2075.145</v>
      </c>
      <c r="Q3" s="0" t="n">
        <v>1480.311</v>
      </c>
      <c r="R3" s="0" t="n">
        <v>952.106</v>
      </c>
      <c r="S3" s="0" t="n">
        <v>544.62</v>
      </c>
      <c r="U3" s="0" t="n">
        <v>0.697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559.38</v>
      </c>
      <c r="C4" s="0" t="n">
        <v>265.73</v>
      </c>
      <c r="D4" s="0" t="n">
        <v>293.65</v>
      </c>
      <c r="E4" s="0" t="n">
        <v>52.5</v>
      </c>
      <c r="F4" s="0" t="n">
        <v>229.87</v>
      </c>
      <c r="G4" s="0" t="n">
        <v>41.1</v>
      </c>
      <c r="H4" s="0" t="n">
        <v>313.683</v>
      </c>
      <c r="I4" s="0" t="n">
        <v>164.734</v>
      </c>
      <c r="J4" s="0" t="n">
        <v>29.4</v>
      </c>
      <c r="K4" s="0" t="n">
        <v>0.14</v>
      </c>
      <c r="L4" s="0" t="n">
        <v>372.944</v>
      </c>
      <c r="M4" s="0" t="n">
        <v>563.039</v>
      </c>
      <c r="N4" s="0" t="n">
        <v>-190.095</v>
      </c>
      <c r="O4" s="0" t="n">
        <v>1287.363</v>
      </c>
      <c r="P4" s="0" t="n">
        <v>3453.084</v>
      </c>
      <c r="Q4" s="0" t="n">
        <v>2165.721</v>
      </c>
      <c r="R4" s="0" t="n">
        <v>1520.111</v>
      </c>
      <c r="S4" s="0" t="n">
        <v>473.619</v>
      </c>
      <c r="T4" s="0" t="n">
        <v>1200</v>
      </c>
      <c r="U4" s="0" t="n">
        <v>11.852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702.493</v>
      </c>
      <c r="C5" s="0" t="n">
        <v>332.916</v>
      </c>
      <c r="D5" s="0" t="n">
        <v>369.577</v>
      </c>
      <c r="E5" s="0" t="n">
        <v>52.6</v>
      </c>
      <c r="F5" s="0" t="n">
        <v>240.533</v>
      </c>
      <c r="G5" s="0" t="n">
        <v>34.2</v>
      </c>
      <c r="H5" s="0" t="n">
        <v>363.784</v>
      </c>
      <c r="I5" s="0" t="n">
        <v>141.332</v>
      </c>
      <c r="J5" s="0" t="n">
        <v>20.1</v>
      </c>
      <c r="K5" s="0" t="n">
        <v>0.12</v>
      </c>
      <c r="L5" s="0" t="n">
        <v>8.987</v>
      </c>
      <c r="M5" s="0" t="n">
        <v>528.571</v>
      </c>
      <c r="N5" s="0" t="n">
        <v>-519.584</v>
      </c>
      <c r="O5" s="0" t="n">
        <v>1441.449</v>
      </c>
      <c r="P5" s="0" t="n">
        <v>3753.518</v>
      </c>
      <c r="Q5" s="0" t="n">
        <v>2312.069</v>
      </c>
      <c r="R5" s="0" t="n">
        <v>1793.151</v>
      </c>
      <c r="S5" s="0" t="n">
        <v>204.011</v>
      </c>
      <c r="T5" s="0" t="n">
        <v>1200</v>
      </c>
      <c r="U5" s="0" t="n">
        <v>12.263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1041.999</v>
      </c>
      <c r="C6" s="0" t="n">
        <v>410.56</v>
      </c>
      <c r="D6" s="0" t="n">
        <v>631.439</v>
      </c>
      <c r="E6" s="0" t="n">
        <v>60.6</v>
      </c>
      <c r="F6" s="0" t="n">
        <v>705.413</v>
      </c>
      <c r="G6" s="0" t="n">
        <v>67.7</v>
      </c>
      <c r="H6" s="0" t="n">
        <v>866.022</v>
      </c>
      <c r="I6" s="0" t="n">
        <v>606.925</v>
      </c>
      <c r="J6" s="0" t="n">
        <v>58.2</v>
      </c>
      <c r="K6" s="0" t="n">
        <v>0.5</v>
      </c>
      <c r="L6" s="0" t="n">
        <v>741.598</v>
      </c>
      <c r="M6" s="0" t="n">
        <v>549.731</v>
      </c>
      <c r="N6" s="0" t="n">
        <v>191.867</v>
      </c>
      <c r="O6" s="0" t="n">
        <v>2059.444</v>
      </c>
      <c r="P6" s="0" t="n">
        <v>5054.2</v>
      </c>
      <c r="Q6" s="0" t="n">
        <v>2994.756</v>
      </c>
      <c r="R6" s="0" t="n">
        <v>2368.232</v>
      </c>
      <c r="S6" s="0" t="n">
        <v>399.603</v>
      </c>
      <c r="T6" s="0" t="n">
        <v>1200</v>
      </c>
      <c r="U6" s="0" t="n">
        <v>11.07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1309.197</v>
      </c>
      <c r="C7" s="0" t="n">
        <v>482.494</v>
      </c>
      <c r="D7" s="0" t="n">
        <v>826.703</v>
      </c>
      <c r="E7" s="0" t="n">
        <v>63.1</v>
      </c>
      <c r="F7" s="0" t="n">
        <v>691.248</v>
      </c>
      <c r="G7" s="0" t="n">
        <v>52.8</v>
      </c>
      <c r="H7" s="0" t="n">
        <v>907.77</v>
      </c>
      <c r="I7" s="0" t="n">
        <v>552.26</v>
      </c>
      <c r="J7" s="0" t="n">
        <v>42.2</v>
      </c>
      <c r="K7" s="0" t="n">
        <v>0.45</v>
      </c>
      <c r="L7" s="0" t="n">
        <v>1160.039</v>
      </c>
      <c r="M7" s="0" t="n">
        <v>316.611</v>
      </c>
      <c r="N7" s="0" t="n">
        <v>843.428</v>
      </c>
      <c r="O7" s="0" t="n">
        <v>2615.69</v>
      </c>
      <c r="P7" s="0" t="n">
        <v>5870.437</v>
      </c>
      <c r="Q7" s="0" t="n">
        <v>3254.747</v>
      </c>
      <c r="R7" s="0" t="n">
        <v>2392.639</v>
      </c>
      <c r="S7" s="0" t="n">
        <v>630.927</v>
      </c>
      <c r="T7" s="0" t="n">
        <v>1200</v>
      </c>
      <c r="U7" s="0" t="n">
        <v>3.986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1497.962</v>
      </c>
      <c r="C8" s="0" t="n">
        <v>607.907</v>
      </c>
      <c r="D8" s="0" t="n">
        <v>890.055</v>
      </c>
      <c r="E8" s="0" t="n">
        <v>59.4</v>
      </c>
      <c r="F8" s="0" t="n">
        <v>812.72</v>
      </c>
      <c r="G8" s="0" t="n">
        <v>54.3</v>
      </c>
      <c r="H8" s="0" t="n">
        <v>1037.429</v>
      </c>
      <c r="I8" s="0" t="n">
        <v>684.393</v>
      </c>
      <c r="J8" s="0" t="n">
        <v>45.7</v>
      </c>
      <c r="K8" s="0" t="n">
        <v>0.56</v>
      </c>
      <c r="L8" s="0" t="n">
        <v>1074.228</v>
      </c>
      <c r="M8" s="0" t="n">
        <v>548.941</v>
      </c>
      <c r="N8" s="0" t="n">
        <v>525.287</v>
      </c>
      <c r="O8" s="0" t="n">
        <v>3275.659</v>
      </c>
      <c r="P8" s="0" t="n">
        <v>6457.803</v>
      </c>
      <c r="Q8" s="0" t="n">
        <v>3182.144</v>
      </c>
      <c r="R8" s="0" t="n">
        <v>2171.622</v>
      </c>
      <c r="S8" s="0" t="n">
        <v>789.72</v>
      </c>
      <c r="T8" s="0" t="n">
        <v>1200</v>
      </c>
      <c r="U8" s="0" t="n">
        <v>5.576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1631.496</v>
      </c>
      <c r="C9" s="0" t="n">
        <v>675.993</v>
      </c>
      <c r="D9" s="0" t="n">
        <v>955.503</v>
      </c>
      <c r="E9" s="0" t="n">
        <v>58.6</v>
      </c>
      <c r="F9" s="0" t="n">
        <v>882.633</v>
      </c>
      <c r="G9" s="0" t="n">
        <v>54.1</v>
      </c>
      <c r="H9" s="0" t="n">
        <v>1146.017</v>
      </c>
      <c r="I9" s="0" t="n">
        <v>778.171</v>
      </c>
      <c r="J9" s="0" t="n">
        <v>47.7</v>
      </c>
      <c r="K9" s="0" t="n">
        <v>0.63</v>
      </c>
      <c r="L9" s="0" t="n">
        <v>1034.214</v>
      </c>
      <c r="M9" s="0" t="n">
        <v>463.295</v>
      </c>
      <c r="N9" s="0" t="n">
        <v>570.919</v>
      </c>
      <c r="O9" s="0" t="n">
        <v>3883.903</v>
      </c>
      <c r="P9" s="0" t="n">
        <v>7253.83</v>
      </c>
      <c r="Q9" s="0" t="n">
        <v>3369.927</v>
      </c>
      <c r="R9" s="0" t="n">
        <v>2248.19</v>
      </c>
      <c r="S9" s="0" t="n">
        <v>675.9</v>
      </c>
      <c r="T9" s="0" t="n">
        <v>1200</v>
      </c>
      <c r="U9" s="0" t="n">
        <v>3.391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1790.614</v>
      </c>
      <c r="C10" s="0" t="n">
        <v>819.902</v>
      </c>
      <c r="D10" s="0" t="n">
        <v>970.712</v>
      </c>
      <c r="E10" s="0" t="n">
        <v>54.2</v>
      </c>
      <c r="F10" s="0" t="n">
        <v>909.911</v>
      </c>
      <c r="G10" s="0" t="n">
        <v>50.8</v>
      </c>
      <c r="H10" s="0" t="n">
        <v>1188.796</v>
      </c>
      <c r="I10" s="0" t="n">
        <v>835.546</v>
      </c>
      <c r="J10" s="0" t="n">
        <v>46.7</v>
      </c>
      <c r="K10" s="0" t="n">
        <v>0.68</v>
      </c>
      <c r="L10" s="0" t="n">
        <v>1199.166</v>
      </c>
      <c r="M10" s="0" t="n">
        <v>447.057</v>
      </c>
      <c r="N10" s="0" t="n">
        <v>752.109</v>
      </c>
      <c r="O10" s="0" t="n">
        <v>4611.857</v>
      </c>
      <c r="P10" s="0" t="n">
        <v>7734.242</v>
      </c>
      <c r="Q10" s="0" t="n">
        <v>3122.385</v>
      </c>
      <c r="R10" s="0" t="n">
        <v>1959.835</v>
      </c>
      <c r="S10" s="0" t="n">
        <v>600.147</v>
      </c>
      <c r="T10" s="0" t="n">
        <v>1200</v>
      </c>
      <c r="U10" s="0" t="n">
        <v>3.288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0.965</v>
      </c>
    </row>
    <row r="3" customFormat="false" ht="15" hidden="false" customHeight="false" outlineLevel="0" collapsed="false">
      <c r="A3" s="0" t="s">
        <v>76</v>
      </c>
      <c r="B3" s="3" t="n">
        <v>1231.4</v>
      </c>
    </row>
    <row r="4" customFormat="false" ht="15" hidden="false" customHeight="false" outlineLevel="0" collapsed="false">
      <c r="A4" s="0" t="s">
        <v>77</v>
      </c>
      <c r="B4" s="3" t="n">
        <v>788</v>
      </c>
    </row>
    <row r="5" customFormat="false" ht="15" hidden="false" customHeight="false" outlineLevel="0" collapsed="false">
      <c r="A5" s="0" t="s">
        <v>78</v>
      </c>
      <c r="B5" s="3" t="n">
        <v>1036.8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1919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2</v>
      </c>
      <c r="D13" s="3" t="n">
        <v>-2</v>
      </c>
      <c r="E13" s="3" t="n">
        <v>-4</v>
      </c>
      <c r="F13" s="3" t="n">
        <v>-5</v>
      </c>
      <c r="G13" s="3" t="n">
        <v>-5</v>
      </c>
      <c r="H13" s="3" t="n">
        <v>-5</v>
      </c>
      <c r="I13" s="3" t="n">
        <v>-5</v>
      </c>
      <c r="J13" s="3" t="n">
        <v>-5</v>
      </c>
      <c r="K13" s="3" t="n">
        <v>-5</v>
      </c>
      <c r="L13" s="3" t="n">
        <v>-5</v>
      </c>
    </row>
    <row r="14" customFormat="false" ht="15" hidden="false" customHeight="false" outlineLevel="0" collapsed="false">
      <c r="A14" s="0" t="s">
        <v>98</v>
      </c>
      <c r="C14" s="3" t="n">
        <v>59</v>
      </c>
      <c r="D14" s="3" t="n">
        <v>57</v>
      </c>
      <c r="E14" s="3" t="n">
        <v>55</v>
      </c>
      <c r="F14" s="3" t="n">
        <v>53</v>
      </c>
      <c r="G14" s="3" t="n">
        <v>51</v>
      </c>
      <c r="H14" s="3" t="n">
        <v>50</v>
      </c>
      <c r="I14" s="3" t="n">
        <v>49</v>
      </c>
      <c r="J14" s="3" t="n">
        <v>48</v>
      </c>
      <c r="K14" s="3" t="n">
        <v>48</v>
      </c>
      <c r="L14" s="3" t="n">
        <v>48</v>
      </c>
    </row>
    <row r="15" customFormat="false" ht="15" hidden="false" customHeight="false" outlineLevel="0" collapsed="false">
      <c r="A15" s="0" t="s">
        <v>99</v>
      </c>
      <c r="C15" s="3" t="n">
        <v>0.15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15.5</v>
      </c>
      <c r="D17" s="3" t="n">
        <v>15.5</v>
      </c>
      <c r="E17" s="3" t="n">
        <v>15.5</v>
      </c>
      <c r="F17" s="3" t="n">
        <v>15.5</v>
      </c>
      <c r="G17" s="3" t="n">
        <v>15.5</v>
      </c>
      <c r="H17" s="3" t="n">
        <v>15.5</v>
      </c>
      <c r="I17" s="3" t="n">
        <v>15.5</v>
      </c>
      <c r="J17" s="3" t="n">
        <v>15.5</v>
      </c>
      <c r="K17" s="3" t="n">
        <v>15.5</v>
      </c>
      <c r="L17" s="3" t="n">
        <v>15.5</v>
      </c>
    </row>
    <row r="18" customFormat="false" ht="15" hidden="false" customHeight="false" outlineLevel="0" collapsed="false">
      <c r="A18" s="0" t="s">
        <v>102</v>
      </c>
      <c r="C18" s="3" t="n">
        <v>32</v>
      </c>
      <c r="D18" s="3" t="n">
        <v>25</v>
      </c>
      <c r="E18" s="3" t="n">
        <v>20</v>
      </c>
      <c r="F18" s="3" t="n">
        <v>18</v>
      </c>
      <c r="G18" s="3" t="n">
        <v>17</v>
      </c>
      <c r="H18" s="3" t="n">
        <v>16</v>
      </c>
      <c r="I18" s="3" t="n">
        <v>16</v>
      </c>
      <c r="J18" s="3" t="n">
        <v>16</v>
      </c>
      <c r="K18" s="3" t="n">
        <v>16</v>
      </c>
      <c r="L18" s="3" t="n">
        <v>16</v>
      </c>
    </row>
    <row r="19" customFormat="false" ht="15" hidden="false" customHeight="false" outlineLevel="0" collapsed="false">
      <c r="A19" s="0" t="s">
        <v>103</v>
      </c>
      <c r="C19" s="3" t="n">
        <v>5</v>
      </c>
      <c r="D19" s="3" t="n">
        <v>10</v>
      </c>
      <c r="E19" s="3" t="n">
        <v>15</v>
      </c>
      <c r="F19" s="3" t="n">
        <v>20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12</v>
      </c>
    </row>
    <row r="21" customFormat="false" ht="15" hidden="false" customHeight="false" outlineLevel="0" collapsed="false">
      <c r="A21" s="0" t="s">
        <v>105</v>
      </c>
      <c r="B21" s="3" t="n">
        <v>-2</v>
      </c>
    </row>
    <row r="22" customFormat="false" ht="15" hidden="false" customHeight="false" outlineLevel="0" collapsed="false">
      <c r="A22" s="0" t="s">
        <v>106</v>
      </c>
      <c r="B22" s="3" t="n">
        <v>5</v>
      </c>
    </row>
    <row r="23" customFormat="false" ht="15" hidden="false" customHeight="false" outlineLevel="0" collapsed="false">
      <c r="A23" s="0" t="s">
        <v>107</v>
      </c>
      <c r="B23" s="3" t="n">
        <v>20</v>
      </c>
    </row>
    <row r="24" customFormat="false" ht="15" hidden="false" customHeight="false" outlineLevel="0" collapsed="false">
      <c r="A24" s="0" t="s">
        <v>108</v>
      </c>
      <c r="B24" s="3" t="n">
        <v>0.45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</v>
      </c>
      <c r="D27" s="3" t="n">
        <v>5</v>
      </c>
      <c r="E27" s="3" t="n">
        <v>5</v>
      </c>
      <c r="F27" s="3" t="n">
        <v>4</v>
      </c>
      <c r="G27" s="3" t="n">
        <v>3</v>
      </c>
      <c r="H27" s="3" t="n">
        <v>2</v>
      </c>
      <c r="I27" s="3" t="n">
        <v>0</v>
      </c>
      <c r="J27" s="3" t="n">
        <v>-2</v>
      </c>
      <c r="K27" s="3" t="n">
        <v>-3</v>
      </c>
      <c r="L27" s="3" t="n">
        <v>-3</v>
      </c>
    </row>
    <row r="28" customFormat="false" ht="15" hidden="false" customHeight="false" outlineLevel="0" collapsed="false">
      <c r="A28" s="0" t="s">
        <v>98</v>
      </c>
      <c r="C28" s="3" t="n">
        <v>62</v>
      </c>
      <c r="D28" s="3" t="n">
        <v>61.5</v>
      </c>
      <c r="E28" s="3" t="n">
        <v>61</v>
      </c>
      <c r="F28" s="3" t="n">
        <v>60.5</v>
      </c>
      <c r="G28" s="3" t="n">
        <v>60</v>
      </c>
      <c r="H28" s="3" t="n">
        <v>60</v>
      </c>
      <c r="I28" s="3" t="n">
        <v>59.5</v>
      </c>
      <c r="J28" s="3" t="n">
        <v>59</v>
      </c>
      <c r="K28" s="3" t="n">
        <v>58.5</v>
      </c>
      <c r="L28" s="3" t="n">
        <v>58</v>
      </c>
    </row>
    <row r="29" customFormat="false" ht="15" hidden="false" customHeight="false" outlineLevel="0" collapsed="false">
      <c r="A29" s="0" t="s">
        <v>99</v>
      </c>
      <c r="C29" s="3" t="n">
        <v>0.15</v>
      </c>
      <c r="D29" s="3" t="n">
        <v>0.15</v>
      </c>
      <c r="E29" s="3" t="n">
        <v>0.15</v>
      </c>
      <c r="F29" s="3" t="n">
        <v>0.15</v>
      </c>
      <c r="G29" s="3" t="n">
        <v>0.15</v>
      </c>
      <c r="H29" s="3" t="n">
        <v>0.15</v>
      </c>
      <c r="I29" s="3" t="n">
        <v>0.15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15.5</v>
      </c>
      <c r="D31" s="3" t="n">
        <v>15.5</v>
      </c>
      <c r="E31" s="3" t="n">
        <v>15.5</v>
      </c>
      <c r="F31" s="3" t="n">
        <v>15.5</v>
      </c>
      <c r="G31" s="3" t="n">
        <v>15.5</v>
      </c>
      <c r="H31" s="3" t="n">
        <v>15.5</v>
      </c>
      <c r="I31" s="3" t="n">
        <v>15.5</v>
      </c>
      <c r="J31" s="3" t="n">
        <v>15.5</v>
      </c>
      <c r="K31" s="3" t="n">
        <v>15.5</v>
      </c>
      <c r="L31" s="3" t="n">
        <v>15.5</v>
      </c>
    </row>
    <row r="32" customFormat="false" ht="15" hidden="false" customHeight="false" outlineLevel="0" collapsed="false">
      <c r="A32" s="0" t="s">
        <v>102</v>
      </c>
      <c r="C32" s="3" t="n">
        <v>25</v>
      </c>
      <c r="D32" s="3" t="n">
        <v>20</v>
      </c>
      <c r="E32" s="3" t="n">
        <v>19</v>
      </c>
      <c r="F32" s="3" t="n">
        <v>18</v>
      </c>
      <c r="G32" s="3" t="n">
        <v>17</v>
      </c>
      <c r="H32" s="3" t="n">
        <v>16.5</v>
      </c>
      <c r="I32" s="3" t="n">
        <v>16</v>
      </c>
      <c r="J32" s="3" t="n">
        <v>16</v>
      </c>
      <c r="K32" s="3" t="n">
        <v>16</v>
      </c>
      <c r="L32" s="3" t="n">
        <v>16</v>
      </c>
    </row>
    <row r="33" customFormat="false" ht="15" hidden="false" customHeight="false" outlineLevel="0" collapsed="false">
      <c r="A33" s="0" t="s">
        <v>103</v>
      </c>
      <c r="C33" s="3" t="n">
        <v>2</v>
      </c>
      <c r="D33" s="3" t="n">
        <v>3</v>
      </c>
      <c r="E33" s="3" t="n">
        <v>5</v>
      </c>
      <c r="F33" s="3" t="n">
        <v>7</v>
      </c>
      <c r="G33" s="3" t="n">
        <v>9</v>
      </c>
      <c r="H33" s="3" t="n">
        <v>10</v>
      </c>
      <c r="I33" s="3" t="n">
        <v>10</v>
      </c>
      <c r="J33" s="3" t="n">
        <v>10</v>
      </c>
      <c r="K33" s="3" t="n">
        <v>10</v>
      </c>
      <c r="L33" s="3" t="n">
        <v>10</v>
      </c>
    </row>
    <row r="34" customFormat="false" ht="15" hidden="false" customHeight="false" outlineLevel="0" collapsed="false">
      <c r="A34" s="0" t="s">
        <v>104</v>
      </c>
      <c r="B34" s="3" t="n">
        <v>12</v>
      </c>
    </row>
    <row r="35" customFormat="false" ht="15" hidden="false" customHeight="false" outlineLevel="0" collapsed="false">
      <c r="A35" s="0" t="s">
        <v>105</v>
      </c>
      <c r="B35" s="3" t="n">
        <v>0</v>
      </c>
    </row>
    <row r="36" customFormat="false" ht="15" hidden="false" customHeight="false" outlineLevel="0" collapsed="false">
      <c r="A36" s="0" t="s">
        <v>106</v>
      </c>
      <c r="B36" s="3" t="n">
        <v>8</v>
      </c>
    </row>
    <row r="37" customFormat="false" ht="15" hidden="false" customHeight="false" outlineLevel="0" collapsed="false">
      <c r="A37" s="0" t="s">
        <v>107</v>
      </c>
      <c r="B37" s="3" t="n">
        <v>20</v>
      </c>
    </row>
    <row r="38" customFormat="false" ht="15" hidden="false" customHeight="false" outlineLevel="0" collapsed="false">
      <c r="A38" s="0" t="s">
        <v>108</v>
      </c>
      <c r="B38" s="3" t="n">
        <v>0.4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7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</v>
      </c>
      <c r="J41" s="3" t="n">
        <v>2</v>
      </c>
      <c r="K41" s="3" t="n">
        <v>1</v>
      </c>
      <c r="L41" s="3" t="n">
        <v>1</v>
      </c>
    </row>
    <row r="42" customFormat="false" ht="15" hidden="false" customHeight="false" outlineLevel="0" collapsed="false">
      <c r="A42" s="0" t="s">
        <v>98</v>
      </c>
      <c r="C42" s="3" t="n">
        <v>63</v>
      </c>
      <c r="D42" s="3" t="n">
        <v>63</v>
      </c>
      <c r="E42" s="3" t="n">
        <v>63.5</v>
      </c>
      <c r="F42" s="3" t="n">
        <v>63.5</v>
      </c>
      <c r="G42" s="3" t="n">
        <v>64</v>
      </c>
      <c r="H42" s="3" t="n">
        <v>64</v>
      </c>
      <c r="I42" s="3" t="n">
        <v>64</v>
      </c>
      <c r="J42" s="3" t="n">
        <v>64</v>
      </c>
      <c r="K42" s="3" t="n">
        <v>64</v>
      </c>
      <c r="L42" s="3" t="n">
        <v>64</v>
      </c>
    </row>
    <row r="43" customFormat="false" ht="15" hidden="false" customHeight="false" outlineLevel="0" collapsed="false">
      <c r="A43" s="0" t="s">
        <v>99</v>
      </c>
      <c r="C43" s="3" t="n">
        <v>0.15</v>
      </c>
      <c r="D43" s="3" t="n">
        <v>0.15</v>
      </c>
      <c r="E43" s="3" t="n">
        <v>0.15</v>
      </c>
      <c r="F43" s="3" t="n">
        <v>0.15</v>
      </c>
      <c r="G43" s="3" t="n">
        <v>0.15</v>
      </c>
      <c r="H43" s="3" t="n">
        <v>0.15</v>
      </c>
      <c r="I43" s="3" t="n">
        <v>0.15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15.5</v>
      </c>
      <c r="D45" s="3" t="n">
        <v>15.5</v>
      </c>
      <c r="E45" s="3" t="n">
        <v>15.5</v>
      </c>
      <c r="F45" s="3" t="n">
        <v>15.5</v>
      </c>
      <c r="G45" s="3" t="n">
        <v>15.5</v>
      </c>
      <c r="H45" s="3" t="n">
        <v>15.5</v>
      </c>
      <c r="I45" s="3" t="n">
        <v>15.5</v>
      </c>
      <c r="J45" s="3" t="n">
        <v>15.5</v>
      </c>
      <c r="K45" s="3" t="n">
        <v>15.5</v>
      </c>
      <c r="L45" s="3" t="n">
        <v>15.5</v>
      </c>
    </row>
    <row r="46" customFormat="false" ht="15" hidden="false" customHeight="false" outlineLevel="0" collapsed="false">
      <c r="A46" s="0" t="s">
        <v>102</v>
      </c>
      <c r="C46" s="3" t="n">
        <v>20</v>
      </c>
      <c r="D46" s="3" t="n">
        <v>19</v>
      </c>
      <c r="E46" s="3" t="n">
        <v>18</v>
      </c>
      <c r="F46" s="3" t="n">
        <v>17</v>
      </c>
      <c r="G46" s="3" t="n">
        <v>16.5</v>
      </c>
      <c r="H46" s="3" t="n">
        <v>16</v>
      </c>
      <c r="I46" s="3" t="n">
        <v>16</v>
      </c>
      <c r="J46" s="3" t="n">
        <v>16</v>
      </c>
      <c r="K46" s="3" t="n">
        <v>16</v>
      </c>
      <c r="L46" s="3" t="n">
        <v>16</v>
      </c>
    </row>
    <row r="47" customFormat="false" ht="15" hidden="false" customHeight="false" outlineLevel="0" collapsed="false">
      <c r="A47" s="0" t="s">
        <v>103</v>
      </c>
      <c r="C47" s="3" t="n">
        <v>1</v>
      </c>
      <c r="D47" s="3" t="n">
        <v>2</v>
      </c>
      <c r="E47" s="3" t="n">
        <v>3</v>
      </c>
      <c r="F47" s="3" t="n">
        <v>4</v>
      </c>
      <c r="G47" s="3" t="n">
        <v>5</v>
      </c>
      <c r="H47" s="3" t="n">
        <v>5</v>
      </c>
      <c r="I47" s="3" t="n">
        <v>5</v>
      </c>
      <c r="J47" s="3" t="n">
        <v>5</v>
      </c>
      <c r="K47" s="3" t="n">
        <v>5</v>
      </c>
      <c r="L47" s="3" t="n">
        <v>5</v>
      </c>
    </row>
    <row r="48" customFormat="false" ht="15" hidden="false" customHeight="false" outlineLevel="0" collapsed="false">
      <c r="A48" s="0" t="s">
        <v>104</v>
      </c>
      <c r="B48" s="3" t="n">
        <v>12</v>
      </c>
    </row>
    <row r="49" customFormat="false" ht="15" hidden="false" customHeight="false" outlineLevel="0" collapsed="false">
      <c r="A49" s="0" t="s">
        <v>105</v>
      </c>
      <c r="B49" s="3" t="n">
        <v>1</v>
      </c>
    </row>
    <row r="50" customFormat="false" ht="15" hidden="false" customHeight="false" outlineLevel="0" collapsed="false">
      <c r="A50" s="0" t="s">
        <v>106</v>
      </c>
      <c r="B50" s="3" t="n">
        <v>9</v>
      </c>
    </row>
    <row r="51" customFormat="false" ht="15" hidden="false" customHeight="false" outlineLevel="0" collapsed="false">
      <c r="A51" s="0" t="s">
        <v>107</v>
      </c>
      <c r="B51" s="3" t="n">
        <v>20</v>
      </c>
    </row>
    <row r="52" customFormat="false" ht="15" hidden="false" customHeight="false" outlineLevel="0" collapsed="false">
      <c r="A52" s="0" t="s">
        <v>108</v>
      </c>
      <c r="B52" s="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2</v>
      </c>
      <c r="D5" s="4" t="n">
        <f aca="false">Assumptions!D13</f>
        <v>-2</v>
      </c>
      <c r="E5" s="4" t="n">
        <f aca="false">Assumptions!E13</f>
        <v>-4</v>
      </c>
      <c r="F5" s="4" t="n">
        <f aca="false">Assumptions!F13</f>
        <v>-5</v>
      </c>
      <c r="G5" s="4" t="n">
        <f aca="false">Assumptions!G13</f>
        <v>-5</v>
      </c>
      <c r="H5" s="4" t="n">
        <f aca="false">Assumptions!H13</f>
        <v>-5</v>
      </c>
      <c r="I5" s="4" t="n">
        <f aca="false">Assumptions!I13</f>
        <v>-5</v>
      </c>
      <c r="J5" s="4" t="n">
        <f aca="false">Assumptions!J13</f>
        <v>-5</v>
      </c>
      <c r="K5" s="4" t="n">
        <f aca="false">Assumptions!K13</f>
        <v>-5</v>
      </c>
      <c r="L5" s="4" t="n">
        <f aca="false">Assumptions!L13</f>
        <v>-5</v>
      </c>
    </row>
    <row r="6" customFormat="false" ht="15" hidden="false" customHeight="false" outlineLevel="0" collapsed="false">
      <c r="A6" s="0" t="s">
        <v>38</v>
      </c>
      <c r="B6" s="3" t="n">
        <v>1919</v>
      </c>
      <c r="C6" s="0" t="n">
        <f aca="false">B6*(1+C5/100)</f>
        <v>1957.38</v>
      </c>
      <c r="D6" s="0" t="n">
        <f aca="false">C6*(1+D5/100)</f>
        <v>1918.2324</v>
      </c>
      <c r="E6" s="0" t="n">
        <f aca="false">D6*(1+E5/100)</f>
        <v>1841.503104</v>
      </c>
      <c r="F6" s="0" t="n">
        <f aca="false">E6*(1+F5/100)</f>
        <v>1749.4279488</v>
      </c>
      <c r="G6" s="0" t="n">
        <f aca="false">F6*(1+G5/100)</f>
        <v>1661.95655136</v>
      </c>
      <c r="H6" s="0" t="n">
        <f aca="false">G6*(1+H5/100)</f>
        <v>1578.858723792</v>
      </c>
      <c r="I6" s="0" t="n">
        <f aca="false">H6*(1+I5/100)</f>
        <v>1499.9157876024</v>
      </c>
      <c r="J6" s="0" t="n">
        <f aca="false">I6*(1+J5/100)</f>
        <v>1424.91999822228</v>
      </c>
      <c r="K6" s="0" t="n">
        <f aca="false">J6*(1+K5/100)</f>
        <v>1353.67399831117</v>
      </c>
      <c r="L6" s="0" t="n">
        <f aca="false">K6*(1+L5/100)</f>
        <v>1285.99029839561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59</v>
      </c>
      <c r="D7" s="4" t="n">
        <f aca="false">Assumptions!D14</f>
        <v>57</v>
      </c>
      <c r="E7" s="4" t="n">
        <f aca="false">Assumptions!E14</f>
        <v>55</v>
      </c>
      <c r="F7" s="4" t="n">
        <f aca="false">Assumptions!F14</f>
        <v>53</v>
      </c>
      <c r="G7" s="4" t="n">
        <f aca="false">Assumptions!G14</f>
        <v>51</v>
      </c>
      <c r="H7" s="4" t="n">
        <f aca="false">Assumptions!H14</f>
        <v>50</v>
      </c>
      <c r="I7" s="4" t="n">
        <f aca="false">Assumptions!I14</f>
        <v>49</v>
      </c>
      <c r="J7" s="4" t="n">
        <f aca="false">Assumptions!J14</f>
        <v>48</v>
      </c>
      <c r="K7" s="4" t="n">
        <f aca="false">Assumptions!K14</f>
        <v>48</v>
      </c>
      <c r="L7" s="4" t="n">
        <f aca="false">Assumptions!L14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1154.8542</v>
      </c>
      <c r="D8" s="0" t="n">
        <f aca="false">D6*D7/100</f>
        <v>1093.392468</v>
      </c>
      <c r="E8" s="0" t="n">
        <f aca="false">E6*E7/100</f>
        <v>1012.8267072</v>
      </c>
      <c r="F8" s="0" t="n">
        <f aca="false">F6*F7/100</f>
        <v>927.196812864</v>
      </c>
      <c r="G8" s="0" t="n">
        <f aca="false">G6*G7/100</f>
        <v>847.5978411936</v>
      </c>
      <c r="H8" s="0" t="n">
        <f aca="false">H6*H7/100</f>
        <v>789.429361896</v>
      </c>
      <c r="I8" s="0" t="n">
        <f aca="false">I6*I7/100</f>
        <v>734.958735925176</v>
      </c>
      <c r="J8" s="0" t="n">
        <f aca="false">J6*J7/100</f>
        <v>683.961599146694</v>
      </c>
      <c r="K8" s="0" t="n">
        <f aca="false">K6*K7/100</f>
        <v>649.76351918936</v>
      </c>
      <c r="L8" s="0" t="n">
        <f aca="false">L6*L7/100</f>
        <v>617.275343229892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-2.93607</v>
      </c>
      <c r="D10" s="0" t="n">
        <f aca="false">-D6*D9/100</f>
        <v>-2.8773486</v>
      </c>
      <c r="E10" s="0" t="n">
        <f aca="false">-E6*E9/100</f>
        <v>-2.762254656</v>
      </c>
      <c r="F10" s="0" t="n">
        <f aca="false">-F6*F9/100</f>
        <v>-2.6241419232</v>
      </c>
      <c r="G10" s="0" t="n">
        <f aca="false">-G6*G9/100</f>
        <v>-2.49293482704</v>
      </c>
      <c r="H10" s="0" t="n">
        <f aca="false">-H6*H9/100</f>
        <v>-2.368288085688</v>
      </c>
      <c r="I10" s="0" t="n">
        <f aca="false">-I6*I9/100</f>
        <v>-2.2498736814036</v>
      </c>
      <c r="J10" s="0" t="n">
        <f aca="false">-J6*J9/100</f>
        <v>-2.13737999733342</v>
      </c>
      <c r="K10" s="0" t="n">
        <f aca="false">-K6*K9/100</f>
        <v>-2.03051099746675</v>
      </c>
      <c r="L10" s="0" t="n">
        <f aca="false">-L6*L9/100</f>
        <v>-1.92898544759341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1151.91813</v>
      </c>
      <c r="D11" s="0" t="n">
        <f aca="false">D8+D10+D24</f>
        <v>1090.5151194</v>
      </c>
      <c r="E11" s="0" t="n">
        <f aca="false">E8+E10+E24</f>
        <v>1010.064452544</v>
      </c>
      <c r="F11" s="0" t="n">
        <f aca="false">F8+F10+F24</f>
        <v>924.5726709408</v>
      </c>
      <c r="G11" s="0" t="n">
        <f aca="false">G8+G10+G24</f>
        <v>845.10490636656</v>
      </c>
      <c r="H11" s="0" t="n">
        <f aca="false">H8+H10+H24</f>
        <v>787.061073810312</v>
      </c>
      <c r="I11" s="0" t="n">
        <f aca="false">I8+I10+I24</f>
        <v>732.708862243772</v>
      </c>
      <c r="J11" s="0" t="n">
        <f aca="false">J8+J10+J24</f>
        <v>681.824219149361</v>
      </c>
      <c r="K11" s="0" t="n">
        <f aca="false">K8+K10+K24</f>
        <v>647.733008191893</v>
      </c>
      <c r="L11" s="0" t="n">
        <f aca="false">L8+L10+L24</f>
        <v>615.346357782298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-303.3939</v>
      </c>
      <c r="D12" s="4" t="n">
        <f aca="false">-D6*Assumptions!D17/100</f>
        <v>-297.326022</v>
      </c>
      <c r="E12" s="4" t="n">
        <f aca="false">-E6*Assumptions!E17/100</f>
        <v>-285.43298112</v>
      </c>
      <c r="F12" s="4" t="n">
        <f aca="false">-F6*Assumptions!F17/100</f>
        <v>-271.161332064</v>
      </c>
      <c r="G12" s="4" t="n">
        <f aca="false">-G6*Assumptions!G17/100</f>
        <v>-257.6032654608</v>
      </c>
      <c r="H12" s="4" t="n">
        <f aca="false">-H6*Assumptions!H17/100</f>
        <v>-244.72310218776</v>
      </c>
      <c r="I12" s="4" t="n">
        <f aca="false">-I6*Assumptions!I17/100</f>
        <v>-232.486947078372</v>
      </c>
      <c r="J12" s="4" t="n">
        <f aca="false">-J6*Assumptions!J17/100</f>
        <v>-220.862599724453</v>
      </c>
      <c r="K12" s="4" t="n">
        <f aca="false">-K6*Assumptions!K17/100</f>
        <v>-209.819469738231</v>
      </c>
      <c r="L12" s="4" t="n">
        <f aca="false">-L6*Assumptions!L17/100</f>
        <v>-199.328496251319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848.52423</v>
      </c>
      <c r="D13" s="0" t="n">
        <f aca="false">D11+D12</f>
        <v>793.1890974</v>
      </c>
      <c r="E13" s="0" t="n">
        <f aca="false">E11+E12</f>
        <v>724.631471424</v>
      </c>
      <c r="F13" s="0" t="n">
        <f aca="false">F11+F12</f>
        <v>653.4113388768</v>
      </c>
      <c r="G13" s="0" t="n">
        <f aca="false">G11+G12</f>
        <v>587.50164090576</v>
      </c>
      <c r="H13" s="0" t="n">
        <f aca="false">H11+H12</f>
        <v>542.337971622552</v>
      </c>
      <c r="I13" s="0" t="n">
        <f aca="false">I11+I12</f>
        <v>500.2219151654</v>
      </c>
      <c r="J13" s="0" t="n">
        <f aca="false">J11+J12</f>
        <v>460.961619424908</v>
      </c>
      <c r="K13" s="0" t="n">
        <f aca="false">K11+K12</f>
        <v>437.913538453662</v>
      </c>
      <c r="L13" s="0" t="n">
        <f aca="false">L11+L12</f>
        <v>416.017861530979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5</v>
      </c>
      <c r="D14" s="4" t="n">
        <f aca="false">Assumptions!D19</f>
        <v>10</v>
      </c>
      <c r="E14" s="4" t="n">
        <f aca="false">Assumptions!E19</f>
        <v>15</v>
      </c>
      <c r="F14" s="4" t="n">
        <f aca="false">Assumptions!F19</f>
        <v>20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806.0980185</v>
      </c>
      <c r="D15" s="0" t="n">
        <f aca="false">D13-MAX(0,D13)*D14/100</f>
        <v>713.87018766</v>
      </c>
      <c r="E15" s="0" t="n">
        <f aca="false">E13-MAX(0,E13)*E14/100</f>
        <v>615.9367507104</v>
      </c>
      <c r="F15" s="0" t="n">
        <f aca="false">F13-MAX(0,F13)*F14/100</f>
        <v>522.72907110144</v>
      </c>
      <c r="G15" s="0" t="n">
        <f aca="false">G13-MAX(0,G13)*G14/100</f>
        <v>440.62623067932</v>
      </c>
      <c r="H15" s="0" t="n">
        <f aca="false">H13-MAX(0,H13)*H14/100</f>
        <v>406.753478716914</v>
      </c>
      <c r="I15" s="0" t="n">
        <f aca="false">I13-MAX(0,I13)*I14/100</f>
        <v>375.16643637405</v>
      </c>
      <c r="J15" s="0" t="n">
        <f aca="false">J13-MAX(0,J13)*J14/100</f>
        <v>345.721214568681</v>
      </c>
      <c r="K15" s="0" t="n">
        <f aca="false">K13-MAX(0,K13)*K14/100</f>
        <v>328.435153840247</v>
      </c>
      <c r="L15" s="0" t="n">
        <f aca="false">L13-MAX(0,L13)*L14/100</f>
        <v>312.013396148234</v>
      </c>
    </row>
    <row r="16" customFormat="false" ht="15" hidden="false" customHeight="false" outlineLevel="0" collapsed="false">
      <c r="A16" s="0" t="s">
        <v>119</v>
      </c>
      <c r="C16" s="0" t="n">
        <f aca="false">-C12</f>
        <v>303.3939</v>
      </c>
      <c r="D16" s="0" t="n">
        <f aca="false">-D12</f>
        <v>297.326022</v>
      </c>
      <c r="E16" s="0" t="n">
        <f aca="false">-E12</f>
        <v>285.43298112</v>
      </c>
      <c r="F16" s="0" t="n">
        <f aca="false">-F12</f>
        <v>271.161332064</v>
      </c>
      <c r="G16" s="0" t="n">
        <f aca="false">-G12</f>
        <v>257.6032654608</v>
      </c>
      <c r="H16" s="0" t="n">
        <f aca="false">-H12</f>
        <v>244.72310218776</v>
      </c>
      <c r="I16" s="0" t="n">
        <f aca="false">-I12</f>
        <v>232.486947078372</v>
      </c>
      <c r="J16" s="0" t="n">
        <f aca="false">-J12</f>
        <v>220.862599724453</v>
      </c>
      <c r="K16" s="0" t="n">
        <f aca="false">-K12</f>
        <v>209.819469738231</v>
      </c>
      <c r="L16" s="0" t="n">
        <f aca="false">-L12</f>
        <v>199.328496251319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-626.3616</v>
      </c>
      <c r="D17" s="4" t="n">
        <f aca="false">-D6*Assumptions!D18/100</f>
        <v>-479.5581</v>
      </c>
      <c r="E17" s="4" t="n">
        <f aca="false">-E6*Assumptions!E18/100</f>
        <v>-368.3006208</v>
      </c>
      <c r="F17" s="4" t="n">
        <f aca="false">-F6*Assumptions!F18/100</f>
        <v>-314.897030784</v>
      </c>
      <c r="G17" s="4" t="n">
        <f aca="false">-G6*Assumptions!G18/100</f>
        <v>-282.5326137312</v>
      </c>
      <c r="H17" s="4" t="n">
        <f aca="false">-H6*Assumptions!H18/100</f>
        <v>-252.61739580672</v>
      </c>
      <c r="I17" s="4" t="n">
        <f aca="false">-I6*Assumptions!I18/100</f>
        <v>-239.986526016384</v>
      </c>
      <c r="J17" s="4" t="n">
        <f aca="false">-J6*Assumptions!J18/100</f>
        <v>-227.987199715565</v>
      </c>
      <c r="K17" s="4" t="n">
        <f aca="false">-K6*Assumptions!K18/100</f>
        <v>-216.587839729787</v>
      </c>
      <c r="L17" s="4" t="n">
        <f aca="false">-L6*Assumptions!L18/100</f>
        <v>-205.758447743297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7.67600000000002</v>
      </c>
      <c r="D18" s="4" t="n">
        <f aca="false">(D6-C6)*Assumptions!$B$23/100</f>
        <v>-7.82952</v>
      </c>
      <c r="E18" s="4" t="n">
        <f aca="false">(E6-D6)*Assumptions!$B$23/100</f>
        <v>-15.3458592</v>
      </c>
      <c r="F18" s="4" t="n">
        <f aca="false">(F6-E6)*Assumptions!$B$23/100</f>
        <v>-18.41503104</v>
      </c>
      <c r="G18" s="4" t="n">
        <f aca="false">(G6-F6)*Assumptions!$B$23/100</f>
        <v>-17.494279488</v>
      </c>
      <c r="H18" s="4" t="n">
        <f aca="false">(H6-G6)*Assumptions!$B$23/100</f>
        <v>-16.6195655136</v>
      </c>
      <c r="I18" s="4" t="n">
        <f aca="false">(I6-H6)*Assumptions!$B$23/100</f>
        <v>-15.78858723792</v>
      </c>
      <c r="J18" s="4" t="n">
        <f aca="false">(J6-I6)*Assumptions!$B$23/100</f>
        <v>-14.999157876024</v>
      </c>
      <c r="K18" s="4" t="n">
        <f aca="false">(K6-J6)*Assumptions!$B$23/100</f>
        <v>-14.2491999822228</v>
      </c>
      <c r="L18" s="4" t="n">
        <f aca="false">(L6-K6)*Assumptions!$B$23/100</f>
        <v>-13.5367399831117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490.8063185</v>
      </c>
      <c r="D19" s="0" t="n">
        <f aca="false">D15+D16+D17+D18</f>
        <v>523.80858966</v>
      </c>
      <c r="E19" s="0" t="n">
        <f aca="false">E15+E16+E17+E18</f>
        <v>517.7232518304</v>
      </c>
      <c r="F19" s="0" t="n">
        <f aca="false">F15+F16+F17+F18</f>
        <v>460.57834134144</v>
      </c>
      <c r="G19" s="0" t="n">
        <f aca="false">G15+G16+G17+G18</f>
        <v>398.20260292092</v>
      </c>
      <c r="H19" s="0" t="n">
        <f aca="false">H15+H16+H17+H18</f>
        <v>382.239619584354</v>
      </c>
      <c r="I19" s="0" t="n">
        <f aca="false">I15+I16+I17+I18</f>
        <v>351.878270198118</v>
      </c>
      <c r="J19" s="0" t="n">
        <f aca="false">J15+J16+J17+J18</f>
        <v>323.597456701545</v>
      </c>
      <c r="K19" s="0" t="n">
        <f aca="false">K15+K16+K17+K18</f>
        <v>307.417583866468</v>
      </c>
      <c r="L19" s="0" t="n">
        <f aca="false">L15+L16+L17+L18</f>
        <v>292.046704673145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438.219927232143</v>
      </c>
      <c r="D21" s="0" t="n">
        <f aca="false">D19*D20</f>
        <v>417.577000685587</v>
      </c>
      <c r="E21" s="0" t="n">
        <f aca="false">E19*E20</f>
        <v>368.505184486607</v>
      </c>
      <c r="F21" s="0" t="n">
        <f aca="false">F19*F20</f>
        <v>292.705862444196</v>
      </c>
      <c r="G21" s="0" t="n">
        <f aca="false">G19*G20</f>
        <v>225.950850914379</v>
      </c>
      <c r="H21" s="0" t="n">
        <f aca="false">H19*H20</f>
        <v>193.654487028414</v>
      </c>
      <c r="I21" s="0" t="n">
        <f aca="false">I19*I20</f>
        <v>159.171859418222</v>
      </c>
      <c r="J21" s="0" t="n">
        <f aca="false">J19*J20</f>
        <v>130.695585378534</v>
      </c>
      <c r="K21" s="0" t="n">
        <f aca="false">K19*K20</f>
        <v>110.857862597864</v>
      </c>
      <c r="L21" s="0" t="n">
        <f aca="false">L19*L20</f>
        <v>94.0312227392595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-2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2431.36984292521</v>
      </c>
    </row>
    <row r="31" customFormat="false" ht="15" hidden="false" customHeight="false" outlineLevel="0" collapsed="false">
      <c r="A31" s="0" t="s">
        <v>128</v>
      </c>
      <c r="B31" s="0" t="n">
        <f aca="false">L19</f>
        <v>292.046704673145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2044.32693271201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1460.23352336572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1460.23352336572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470.156113696297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2901.5259566215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3150.3259566215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2.99938456353991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2.10817053216571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14.3977951500868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4.34757181528602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3.01723178477607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1460.23352336572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2.6632101446244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3</v>
      </c>
      <c r="H5" s="4" t="n">
        <f aca="false">Assumptions!H27</f>
        <v>2</v>
      </c>
      <c r="I5" s="4" t="n">
        <f aca="false">Assumptions!I27</f>
        <v>0</v>
      </c>
      <c r="J5" s="4" t="n">
        <f aca="false">Assumptions!J27</f>
        <v>-2</v>
      </c>
      <c r="K5" s="4" t="n">
        <f aca="false">Assumptions!K27</f>
        <v>-3</v>
      </c>
      <c r="L5" s="4" t="n">
        <f aca="false">Assumptions!L27</f>
        <v>-3</v>
      </c>
    </row>
    <row r="6" customFormat="false" ht="15" hidden="false" customHeight="false" outlineLevel="0" collapsed="false">
      <c r="A6" s="0" t="s">
        <v>38</v>
      </c>
      <c r="B6" s="3" t="n">
        <v>1919</v>
      </c>
      <c r="C6" s="0" t="n">
        <f aca="false">B6*(1+C5/100)</f>
        <v>2034.14</v>
      </c>
      <c r="D6" s="0" t="n">
        <f aca="false">C6*(1+D5/100)</f>
        <v>2135.847</v>
      </c>
      <c r="E6" s="0" t="n">
        <f aca="false">D6*(1+E5/100)</f>
        <v>2242.63935</v>
      </c>
      <c r="F6" s="0" t="n">
        <f aca="false">E6*(1+F5/100)</f>
        <v>2332.344924</v>
      </c>
      <c r="G6" s="0" t="n">
        <f aca="false">F6*(1+G5/100)</f>
        <v>2402.31527172</v>
      </c>
      <c r="H6" s="0" t="n">
        <f aca="false">G6*(1+H5/100)</f>
        <v>2450.3615771544</v>
      </c>
      <c r="I6" s="0" t="n">
        <f aca="false">H6*(1+I5/100)</f>
        <v>2450.3615771544</v>
      </c>
      <c r="J6" s="0" t="n">
        <f aca="false">I6*(1+J5/100)</f>
        <v>2401.35434561131</v>
      </c>
      <c r="K6" s="0" t="n">
        <f aca="false">J6*(1+K5/100)</f>
        <v>2329.31371524297</v>
      </c>
      <c r="L6" s="0" t="n">
        <f aca="false">K6*(1+L5/100)</f>
        <v>2259.43430378568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62</v>
      </c>
      <c r="D7" s="4" t="n">
        <f aca="false">Assumptions!D28</f>
        <v>61.5</v>
      </c>
      <c r="E7" s="4" t="n">
        <f aca="false">Assumptions!E28</f>
        <v>61</v>
      </c>
      <c r="F7" s="4" t="n">
        <f aca="false">Assumptions!F28</f>
        <v>60.5</v>
      </c>
      <c r="G7" s="4" t="n">
        <f aca="false">Assumptions!G28</f>
        <v>60</v>
      </c>
      <c r="H7" s="4" t="n">
        <f aca="false">Assumptions!H28</f>
        <v>60</v>
      </c>
      <c r="I7" s="4" t="n">
        <f aca="false">Assumptions!I28</f>
        <v>59.5</v>
      </c>
      <c r="J7" s="4" t="n">
        <f aca="false">Assumptions!J28</f>
        <v>59</v>
      </c>
      <c r="K7" s="4" t="n">
        <f aca="false">Assumptions!K28</f>
        <v>58.5</v>
      </c>
      <c r="L7" s="4" t="n">
        <f aca="false">Assumptions!L28</f>
        <v>58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1261.1668</v>
      </c>
      <c r="D8" s="0" t="n">
        <f aca="false">D6*D7/100</f>
        <v>1313.545905</v>
      </c>
      <c r="E8" s="0" t="n">
        <f aca="false">E6*E7/100</f>
        <v>1368.0100035</v>
      </c>
      <c r="F8" s="0" t="n">
        <f aca="false">F6*F7/100</f>
        <v>1411.06867902</v>
      </c>
      <c r="G8" s="0" t="n">
        <f aca="false">G6*G7/100</f>
        <v>1441.389163032</v>
      </c>
      <c r="H8" s="0" t="n">
        <f aca="false">H6*H7/100</f>
        <v>1470.21694629264</v>
      </c>
      <c r="I8" s="0" t="n">
        <f aca="false">I6*I7/100</f>
        <v>1457.96513840687</v>
      </c>
      <c r="J8" s="0" t="n">
        <f aca="false">J6*J7/100</f>
        <v>1416.79906391067</v>
      </c>
      <c r="K8" s="0" t="n">
        <f aca="false">K6*K7/100</f>
        <v>1362.64852341714</v>
      </c>
      <c r="L8" s="0" t="n">
        <f aca="false">L6*L7/100</f>
        <v>1310.4718961957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0.15</v>
      </c>
      <c r="D9" s="4" t="n">
        <f aca="false">Assumptions!D29</f>
        <v>0.15</v>
      </c>
      <c r="E9" s="4" t="n">
        <f aca="false">Assumptions!E29</f>
        <v>0.15</v>
      </c>
      <c r="F9" s="4" t="n">
        <f aca="false">Assumptions!F29</f>
        <v>0.15</v>
      </c>
      <c r="G9" s="4" t="n">
        <f aca="false">Assumptions!G29</f>
        <v>0.15</v>
      </c>
      <c r="H9" s="4" t="n">
        <f aca="false">Assumptions!H29</f>
        <v>0.15</v>
      </c>
      <c r="I9" s="4" t="n">
        <f aca="false">Assumptions!I29</f>
        <v>0.15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-3.05121</v>
      </c>
      <c r="D10" s="0" t="n">
        <f aca="false">-D6*D9/100</f>
        <v>-3.2037705</v>
      </c>
      <c r="E10" s="0" t="n">
        <f aca="false">-E6*E9/100</f>
        <v>-3.363959025</v>
      </c>
      <c r="F10" s="0" t="n">
        <f aca="false">-F6*F9/100</f>
        <v>-3.498517386</v>
      </c>
      <c r="G10" s="0" t="n">
        <f aca="false">-G6*G9/100</f>
        <v>-3.60347290758</v>
      </c>
      <c r="H10" s="0" t="n">
        <f aca="false">-H6*H9/100</f>
        <v>-3.6755423657316</v>
      </c>
      <c r="I10" s="0" t="n">
        <f aca="false">-I6*I9/100</f>
        <v>-3.6755423657316</v>
      </c>
      <c r="J10" s="0" t="n">
        <f aca="false">-J6*J9/100</f>
        <v>-3.60203151841697</v>
      </c>
      <c r="K10" s="0" t="n">
        <f aca="false">-K6*K9/100</f>
        <v>-3.49397057286446</v>
      </c>
      <c r="L10" s="0" t="n">
        <f aca="false">-L6*L9/100</f>
        <v>-3.38915145567853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1258.11559</v>
      </c>
      <c r="D11" s="0" t="n">
        <f aca="false">D8+D10+D24</f>
        <v>1310.3421345</v>
      </c>
      <c r="E11" s="0" t="n">
        <f aca="false">E8+E10+E24</f>
        <v>1364.646044475</v>
      </c>
      <c r="F11" s="0" t="n">
        <f aca="false">F8+F10+F24</f>
        <v>1407.570161634</v>
      </c>
      <c r="G11" s="0" t="n">
        <f aca="false">G8+G10+G24</f>
        <v>1437.78569012442</v>
      </c>
      <c r="H11" s="0" t="n">
        <f aca="false">H8+H10+H24</f>
        <v>1466.54140392691</v>
      </c>
      <c r="I11" s="0" t="n">
        <f aca="false">I8+I10+I24</f>
        <v>1454.28959604114</v>
      </c>
      <c r="J11" s="0" t="n">
        <f aca="false">J8+J10+J24</f>
        <v>1413.19703239226</v>
      </c>
      <c r="K11" s="0" t="n">
        <f aca="false">K8+K10+K24</f>
        <v>1359.15455284427</v>
      </c>
      <c r="L11" s="0" t="n">
        <f aca="false">L8+L10+L24</f>
        <v>1307.08274474002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-315.2917</v>
      </c>
      <c r="D12" s="4" t="n">
        <f aca="false">-D6*Assumptions!D31/100</f>
        <v>-331.056285</v>
      </c>
      <c r="E12" s="4" t="n">
        <f aca="false">-E6*Assumptions!E31/100</f>
        <v>-347.60909925</v>
      </c>
      <c r="F12" s="4" t="n">
        <f aca="false">-F6*Assumptions!F31/100</f>
        <v>-361.51346322</v>
      </c>
      <c r="G12" s="4" t="n">
        <f aca="false">-G6*Assumptions!G31/100</f>
        <v>-372.3588671166</v>
      </c>
      <c r="H12" s="4" t="n">
        <f aca="false">-H6*Assumptions!H31/100</f>
        <v>-379.806044458932</v>
      </c>
      <c r="I12" s="4" t="n">
        <f aca="false">-I6*Assumptions!I31/100</f>
        <v>-379.806044458932</v>
      </c>
      <c r="J12" s="4" t="n">
        <f aca="false">-J6*Assumptions!J31/100</f>
        <v>-372.209923569753</v>
      </c>
      <c r="K12" s="4" t="n">
        <f aca="false">-K6*Assumptions!K31/100</f>
        <v>-361.043625862661</v>
      </c>
      <c r="L12" s="4" t="n">
        <f aca="false">-L6*Assumptions!L31/100</f>
        <v>-350.212317086781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942.82389</v>
      </c>
      <c r="D13" s="0" t="n">
        <f aca="false">D11+D12</f>
        <v>979.2858495</v>
      </c>
      <c r="E13" s="0" t="n">
        <f aca="false">E11+E12</f>
        <v>1017.036945225</v>
      </c>
      <c r="F13" s="0" t="n">
        <f aca="false">F11+F12</f>
        <v>1046.056698414</v>
      </c>
      <c r="G13" s="0" t="n">
        <f aca="false">G11+G12</f>
        <v>1065.42682300782</v>
      </c>
      <c r="H13" s="0" t="n">
        <f aca="false">H11+H12</f>
        <v>1086.73535946798</v>
      </c>
      <c r="I13" s="0" t="n">
        <f aca="false">I11+I12</f>
        <v>1074.4835515822</v>
      </c>
      <c r="J13" s="0" t="n">
        <f aca="false">J11+J12</f>
        <v>1040.9871088225</v>
      </c>
      <c r="K13" s="0" t="n">
        <f aca="false">K11+K12</f>
        <v>998.110926981614</v>
      </c>
      <c r="L13" s="0" t="n">
        <f aca="false">L11+L12</f>
        <v>956.870427653237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</v>
      </c>
      <c r="D14" s="4" t="n">
        <f aca="false">Assumptions!D33</f>
        <v>3</v>
      </c>
      <c r="E14" s="4" t="n">
        <f aca="false">Assumptions!E33</f>
        <v>5</v>
      </c>
      <c r="F14" s="4" t="n">
        <f aca="false">Assumptions!F33</f>
        <v>7</v>
      </c>
      <c r="G14" s="4" t="n">
        <f aca="false">Assumptions!G33</f>
        <v>9</v>
      </c>
      <c r="H14" s="4" t="n">
        <f aca="false">Assumptions!H33</f>
        <v>10</v>
      </c>
      <c r="I14" s="4" t="n">
        <f aca="false">Assumptions!I33</f>
        <v>10</v>
      </c>
      <c r="J14" s="4" t="n">
        <f aca="false">Assumptions!J33</f>
        <v>10</v>
      </c>
      <c r="K14" s="4" t="n">
        <f aca="false">Assumptions!K33</f>
        <v>10</v>
      </c>
      <c r="L14" s="4" t="n">
        <f aca="false">Assumptions!L33</f>
        <v>10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923.9674122</v>
      </c>
      <c r="D15" s="0" t="n">
        <f aca="false">D13-MAX(0,D13)*D14/100</f>
        <v>949.907274015</v>
      </c>
      <c r="E15" s="0" t="n">
        <f aca="false">E13-MAX(0,E13)*E14/100</f>
        <v>966.18509796375</v>
      </c>
      <c r="F15" s="0" t="n">
        <f aca="false">F13-MAX(0,F13)*F14/100</f>
        <v>972.83272952502</v>
      </c>
      <c r="G15" s="0" t="n">
        <f aca="false">G13-MAX(0,G13)*G14/100</f>
        <v>969.538408937117</v>
      </c>
      <c r="H15" s="0" t="n">
        <f aca="false">H13-MAX(0,H13)*H14/100</f>
        <v>978.061823521179</v>
      </c>
      <c r="I15" s="0" t="n">
        <f aca="false">I13-MAX(0,I13)*I14/100</f>
        <v>967.035196423984</v>
      </c>
      <c r="J15" s="0" t="n">
        <f aca="false">J13-MAX(0,J13)*J14/100</f>
        <v>936.888397940254</v>
      </c>
      <c r="K15" s="0" t="n">
        <f aca="false">K13-MAX(0,K13)*K14/100</f>
        <v>898.299834283453</v>
      </c>
      <c r="L15" s="0" t="n">
        <f aca="false">L13-MAX(0,L13)*L14/100</f>
        <v>861.183384887914</v>
      </c>
    </row>
    <row r="16" customFormat="false" ht="15" hidden="false" customHeight="false" outlineLevel="0" collapsed="false">
      <c r="A16" s="0" t="s">
        <v>119</v>
      </c>
      <c r="C16" s="0" t="n">
        <f aca="false">-C12</f>
        <v>315.2917</v>
      </c>
      <c r="D16" s="0" t="n">
        <f aca="false">-D12</f>
        <v>331.056285</v>
      </c>
      <c r="E16" s="0" t="n">
        <f aca="false">-E12</f>
        <v>347.60909925</v>
      </c>
      <c r="F16" s="0" t="n">
        <f aca="false">-F12</f>
        <v>361.51346322</v>
      </c>
      <c r="G16" s="0" t="n">
        <f aca="false">-G12</f>
        <v>372.3588671166</v>
      </c>
      <c r="H16" s="0" t="n">
        <f aca="false">-H12</f>
        <v>379.806044458932</v>
      </c>
      <c r="I16" s="0" t="n">
        <f aca="false">-I12</f>
        <v>379.806044458932</v>
      </c>
      <c r="J16" s="0" t="n">
        <f aca="false">-J12</f>
        <v>372.209923569753</v>
      </c>
      <c r="K16" s="0" t="n">
        <f aca="false">-K12</f>
        <v>361.043625862661</v>
      </c>
      <c r="L16" s="0" t="n">
        <f aca="false">-L12</f>
        <v>350.212317086781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-508.535</v>
      </c>
      <c r="D17" s="4" t="n">
        <f aca="false">-D6*Assumptions!D32/100</f>
        <v>-427.1694</v>
      </c>
      <c r="E17" s="4" t="n">
        <f aca="false">-E6*Assumptions!E32/100</f>
        <v>-426.1014765</v>
      </c>
      <c r="F17" s="4" t="n">
        <f aca="false">-F6*Assumptions!F32/100</f>
        <v>-419.82208632</v>
      </c>
      <c r="G17" s="4" t="n">
        <f aca="false">-G6*Assumptions!G32/100</f>
        <v>-408.3935961924</v>
      </c>
      <c r="H17" s="4" t="n">
        <f aca="false">-H6*Assumptions!H32/100</f>
        <v>-404.309660230476</v>
      </c>
      <c r="I17" s="4" t="n">
        <f aca="false">-I6*Assumptions!I32/100</f>
        <v>-392.057852344704</v>
      </c>
      <c r="J17" s="4" t="n">
        <f aca="false">-J6*Assumptions!J32/100</f>
        <v>-384.21669529781</v>
      </c>
      <c r="K17" s="4" t="n">
        <f aca="false">-K6*Assumptions!K32/100</f>
        <v>-372.690194438876</v>
      </c>
      <c r="L17" s="4" t="n">
        <f aca="false">-L6*Assumptions!L32/100</f>
        <v>-361.509488605709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23.028</v>
      </c>
      <c r="D18" s="4" t="n">
        <f aca="false">(D6-C6)*Assumptions!$B$37/100</f>
        <v>20.3414</v>
      </c>
      <c r="E18" s="4" t="n">
        <f aca="false">(E6-D6)*Assumptions!$B$37/100</f>
        <v>21.35847</v>
      </c>
      <c r="F18" s="4" t="n">
        <f aca="false">(F6-E6)*Assumptions!$B$37/100</f>
        <v>17.9411148</v>
      </c>
      <c r="G18" s="4" t="n">
        <f aca="false">(G6-F6)*Assumptions!$B$37/100</f>
        <v>13.994069544</v>
      </c>
      <c r="H18" s="4" t="n">
        <f aca="false">(H6-G6)*Assumptions!$B$37/100</f>
        <v>9.60926108688</v>
      </c>
      <c r="I18" s="4" t="n">
        <f aca="false">(I6-H6)*Assumptions!$B$37/100</f>
        <v>0</v>
      </c>
      <c r="J18" s="4" t="n">
        <f aca="false">(J6-I6)*Assumptions!$B$37/100</f>
        <v>-9.8014463086176</v>
      </c>
      <c r="K18" s="4" t="n">
        <f aca="false">(K6-J6)*Assumptions!$B$37/100</f>
        <v>-14.4081260736679</v>
      </c>
      <c r="L18" s="4" t="n">
        <f aca="false">(L6-K6)*Assumptions!$B$37/100</f>
        <v>-13.9758822914579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753.7521122</v>
      </c>
      <c r="D19" s="0" t="n">
        <f aca="false">D15+D16+D17+D18</f>
        <v>874.135559015</v>
      </c>
      <c r="E19" s="0" t="n">
        <f aca="false">E15+E16+E17+E18</f>
        <v>909.05119071375</v>
      </c>
      <c r="F19" s="0" t="n">
        <f aca="false">F15+F16+F17+F18</f>
        <v>932.46522122502</v>
      </c>
      <c r="G19" s="0" t="n">
        <f aca="false">G15+G16+G17+G18</f>
        <v>947.497749405317</v>
      </c>
      <c r="H19" s="0" t="n">
        <f aca="false">H15+H16+H17+H18</f>
        <v>963.167468836515</v>
      </c>
      <c r="I19" s="0" t="n">
        <f aca="false">I15+I16+I17+I18</f>
        <v>954.783388538212</v>
      </c>
      <c r="J19" s="0" t="n">
        <f aca="false">J15+J16+J17+J18</f>
        <v>915.080179903579</v>
      </c>
      <c r="K19" s="0" t="n">
        <f aca="false">K15+K16+K17+K18</f>
        <v>872.24513963357</v>
      </c>
      <c r="L19" s="0" t="n">
        <f aca="false">L15+L16+L17+L18</f>
        <v>835.910331077527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672.992957321428</v>
      </c>
      <c r="D21" s="0" t="n">
        <f aca="false">D19*D20</f>
        <v>696.855515796397</v>
      </c>
      <c r="E21" s="0" t="n">
        <f aca="false">E19*E20</f>
        <v>647.04468180131</v>
      </c>
      <c r="F21" s="0" t="n">
        <f aca="false">F19*F20</f>
        <v>592.59850557226</v>
      </c>
      <c r="G21" s="0" t="n">
        <f aca="false">G19*G20</f>
        <v>537.635668745508</v>
      </c>
      <c r="H21" s="0" t="n">
        <f aca="false">H19*H20</f>
        <v>487.970614618166</v>
      </c>
      <c r="I21" s="0" t="n">
        <f aca="false">I19*I20</f>
        <v>431.89551662196</v>
      </c>
      <c r="J21" s="0" t="n">
        <f aca="false">J19*J20</f>
        <v>369.585536919399</v>
      </c>
      <c r="K21" s="0" t="n">
        <f aca="false">K19*K20</f>
        <v>314.540341593323</v>
      </c>
      <c r="L21" s="0" t="n">
        <f aca="false">L19*L20</f>
        <v>269.140754796632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5020.26009378638</v>
      </c>
    </row>
    <row r="31" customFormat="false" ht="15" hidden="false" customHeight="false" outlineLevel="0" collapsed="false">
      <c r="A31" s="0" t="s">
        <v>128</v>
      </c>
      <c r="B31" s="0" t="n">
        <f aca="false">L19</f>
        <v>835.910331077527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6965.91942564606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6687.28264862022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6687.28264862022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2153.12603837305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7173.38613215944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7422.18613215944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7.0665673390805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6.32286770889171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19.2715486577659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9.09346719567403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7.09357330350032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5572.73554051685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5.78267958979636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7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2</v>
      </c>
      <c r="K5" s="4" t="n">
        <f aca="false">Assumptions!K41</f>
        <v>1</v>
      </c>
      <c r="L5" s="4" t="n">
        <f aca="false">Assumptions!L41</f>
        <v>1</v>
      </c>
    </row>
    <row r="6" customFormat="false" ht="15" hidden="false" customHeight="false" outlineLevel="0" collapsed="false">
      <c r="A6" s="0" t="s">
        <v>38</v>
      </c>
      <c r="B6" s="3" t="n">
        <v>1919</v>
      </c>
      <c r="C6" s="0" t="n">
        <f aca="false">B6*(1+C5/100)</f>
        <v>2053.33</v>
      </c>
      <c r="D6" s="0" t="n">
        <f aca="false">C6*(1+D5/100)</f>
        <v>2217.5964</v>
      </c>
      <c r="E6" s="0" t="n">
        <f aca="false">D6*(1+E5/100)</f>
        <v>2372.828148</v>
      </c>
      <c r="F6" s="0" t="n">
        <f aca="false">E6*(1+F5/100)</f>
        <v>2515.19783688</v>
      </c>
      <c r="G6" s="0" t="n">
        <f aca="false">F6*(1+G5/100)</f>
        <v>2640.957728724</v>
      </c>
      <c r="H6" s="0" t="n">
        <f aca="false">G6*(1+H5/100)</f>
        <v>2746.59603787296</v>
      </c>
      <c r="I6" s="0" t="n">
        <f aca="false">H6*(1+I5/100)</f>
        <v>2828.99391900915</v>
      </c>
      <c r="J6" s="0" t="n">
        <f aca="false">I6*(1+J5/100)</f>
        <v>2885.57379738933</v>
      </c>
      <c r="K6" s="0" t="n">
        <f aca="false">J6*(1+K5/100)</f>
        <v>2914.42953536323</v>
      </c>
      <c r="L6" s="0" t="n">
        <f aca="false">K6*(1+L5/100)</f>
        <v>2943.57383071686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63</v>
      </c>
      <c r="D7" s="4" t="n">
        <f aca="false">Assumptions!D42</f>
        <v>63</v>
      </c>
      <c r="E7" s="4" t="n">
        <f aca="false">Assumptions!E42</f>
        <v>63.5</v>
      </c>
      <c r="F7" s="4" t="n">
        <f aca="false">Assumptions!F42</f>
        <v>63.5</v>
      </c>
      <c r="G7" s="4" t="n">
        <f aca="false">Assumptions!G42</f>
        <v>64</v>
      </c>
      <c r="H7" s="4" t="n">
        <f aca="false">Assumptions!H42</f>
        <v>64</v>
      </c>
      <c r="I7" s="4" t="n">
        <f aca="false">Assumptions!I42</f>
        <v>64</v>
      </c>
      <c r="J7" s="4" t="n">
        <f aca="false">Assumptions!J42</f>
        <v>64</v>
      </c>
      <c r="K7" s="4" t="n">
        <f aca="false">Assumptions!K42</f>
        <v>64</v>
      </c>
      <c r="L7" s="4" t="n">
        <f aca="false">Assumptions!L42</f>
        <v>64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1293.5979</v>
      </c>
      <c r="D8" s="0" t="n">
        <f aca="false">D6*D7/100</f>
        <v>1397.085732</v>
      </c>
      <c r="E8" s="0" t="n">
        <f aca="false">E6*E7/100</f>
        <v>1506.74587398</v>
      </c>
      <c r="F8" s="0" t="n">
        <f aca="false">F6*F7/100</f>
        <v>1597.1506264188</v>
      </c>
      <c r="G8" s="0" t="n">
        <f aca="false">G6*G7/100</f>
        <v>1690.21294638336</v>
      </c>
      <c r="H8" s="0" t="n">
        <f aca="false">H6*H7/100</f>
        <v>1757.82146423869</v>
      </c>
      <c r="I8" s="0" t="n">
        <f aca="false">I6*I7/100</f>
        <v>1810.55610816586</v>
      </c>
      <c r="J8" s="0" t="n">
        <f aca="false">J6*J7/100</f>
        <v>1846.76723032917</v>
      </c>
      <c r="K8" s="0" t="n">
        <f aca="false">K6*K7/100</f>
        <v>1865.23490263246</v>
      </c>
      <c r="L8" s="0" t="n">
        <f aca="false">L6*L7/100</f>
        <v>1883.88725165879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0.15</v>
      </c>
      <c r="D9" s="4" t="n">
        <f aca="false">Assumptions!D43</f>
        <v>0.15</v>
      </c>
      <c r="E9" s="4" t="n">
        <f aca="false">Assumptions!E43</f>
        <v>0.15</v>
      </c>
      <c r="F9" s="4" t="n">
        <f aca="false">Assumptions!F43</f>
        <v>0.15</v>
      </c>
      <c r="G9" s="4" t="n">
        <f aca="false">Assumptions!G43</f>
        <v>0.15</v>
      </c>
      <c r="H9" s="4" t="n">
        <f aca="false">Assumptions!H43</f>
        <v>0.15</v>
      </c>
      <c r="I9" s="4" t="n">
        <f aca="false">Assumptions!I43</f>
        <v>0.15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-3.079995</v>
      </c>
      <c r="D10" s="0" t="n">
        <f aca="false">-D6*D9/100</f>
        <v>-3.3263946</v>
      </c>
      <c r="E10" s="0" t="n">
        <f aca="false">-E6*E9/100</f>
        <v>-3.559242222</v>
      </c>
      <c r="F10" s="0" t="n">
        <f aca="false">-F6*F9/100</f>
        <v>-3.77279675532</v>
      </c>
      <c r="G10" s="0" t="n">
        <f aca="false">-G6*G9/100</f>
        <v>-3.961436593086</v>
      </c>
      <c r="H10" s="0" t="n">
        <f aca="false">-H6*H9/100</f>
        <v>-4.11989405680944</v>
      </c>
      <c r="I10" s="0" t="n">
        <f aca="false">-I6*I9/100</f>
        <v>-4.24349087851372</v>
      </c>
      <c r="J10" s="0" t="n">
        <f aca="false">-J6*J9/100</f>
        <v>-4.328360696084</v>
      </c>
      <c r="K10" s="0" t="n">
        <f aca="false">-K6*K9/100</f>
        <v>-4.37164430304484</v>
      </c>
      <c r="L10" s="0" t="n">
        <f aca="false">-L6*L9/100</f>
        <v>-4.41536074607529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1290.517905</v>
      </c>
      <c r="D11" s="0" t="n">
        <f aca="false">D8+D10+D24</f>
        <v>1393.7593374</v>
      </c>
      <c r="E11" s="0" t="n">
        <f aca="false">E8+E10+E24</f>
        <v>1503.186631758</v>
      </c>
      <c r="F11" s="0" t="n">
        <f aca="false">F8+F10+F24</f>
        <v>1593.37782966348</v>
      </c>
      <c r="G11" s="0" t="n">
        <f aca="false">G8+G10+G24</f>
        <v>1686.25150979027</v>
      </c>
      <c r="H11" s="0" t="n">
        <f aca="false">H8+H10+H24</f>
        <v>1753.70157018189</v>
      </c>
      <c r="I11" s="0" t="n">
        <f aca="false">I8+I10+I24</f>
        <v>1806.31261728734</v>
      </c>
      <c r="J11" s="0" t="n">
        <f aca="false">J8+J10+J24</f>
        <v>1842.43886963309</v>
      </c>
      <c r="K11" s="0" t="n">
        <f aca="false">K8+K10+K24</f>
        <v>1860.86325832942</v>
      </c>
      <c r="L11" s="0" t="n">
        <f aca="false">L8+L10+L24</f>
        <v>1879.47189091271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-318.26615</v>
      </c>
      <c r="D12" s="4" t="n">
        <f aca="false">-D6*Assumptions!D45/100</f>
        <v>-343.727442</v>
      </c>
      <c r="E12" s="4" t="n">
        <f aca="false">-E6*Assumptions!E45/100</f>
        <v>-367.78836294</v>
      </c>
      <c r="F12" s="4" t="n">
        <f aca="false">-F6*Assumptions!F45/100</f>
        <v>-389.8556647164</v>
      </c>
      <c r="G12" s="4" t="n">
        <f aca="false">-G6*Assumptions!G45/100</f>
        <v>-409.34844795222</v>
      </c>
      <c r="H12" s="4" t="n">
        <f aca="false">-H6*Assumptions!H45/100</f>
        <v>-425.722385870309</v>
      </c>
      <c r="I12" s="4" t="n">
        <f aca="false">-I6*Assumptions!I45/100</f>
        <v>-438.494057446418</v>
      </c>
      <c r="J12" s="4" t="n">
        <f aca="false">-J6*Assumptions!J45/100</f>
        <v>-447.263938595347</v>
      </c>
      <c r="K12" s="4" t="n">
        <f aca="false">-K6*Assumptions!K45/100</f>
        <v>-451.7365779813</v>
      </c>
      <c r="L12" s="4" t="n">
        <f aca="false">-L6*Assumptions!L45/100</f>
        <v>-456.253943761113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972.251755</v>
      </c>
      <c r="D13" s="0" t="n">
        <f aca="false">D11+D12</f>
        <v>1050.0318954</v>
      </c>
      <c r="E13" s="0" t="n">
        <f aca="false">E11+E12</f>
        <v>1135.398268818</v>
      </c>
      <c r="F13" s="0" t="n">
        <f aca="false">F11+F12</f>
        <v>1203.52216494708</v>
      </c>
      <c r="G13" s="0" t="n">
        <f aca="false">G11+G12</f>
        <v>1276.90306183805</v>
      </c>
      <c r="H13" s="0" t="n">
        <f aca="false">H11+H12</f>
        <v>1327.97918431158</v>
      </c>
      <c r="I13" s="0" t="n">
        <f aca="false">I11+I12</f>
        <v>1367.81855984092</v>
      </c>
      <c r="J13" s="0" t="n">
        <f aca="false">J11+J12</f>
        <v>1395.17493103774</v>
      </c>
      <c r="K13" s="0" t="n">
        <f aca="false">K11+K12</f>
        <v>1409.12668034812</v>
      </c>
      <c r="L13" s="0" t="n">
        <f aca="false">L11+L12</f>
        <v>1423.2179471516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</v>
      </c>
      <c r="D14" s="4" t="n">
        <f aca="false">Assumptions!D47</f>
        <v>2</v>
      </c>
      <c r="E14" s="4" t="n">
        <f aca="false">Assumptions!E47</f>
        <v>3</v>
      </c>
      <c r="F14" s="4" t="n">
        <f aca="false">Assumptions!F47</f>
        <v>4</v>
      </c>
      <c r="G14" s="4" t="n">
        <f aca="false">Assumptions!G47</f>
        <v>5</v>
      </c>
      <c r="H14" s="4" t="n">
        <f aca="false">Assumptions!H47</f>
        <v>5</v>
      </c>
      <c r="I14" s="4" t="n">
        <f aca="false">Assumptions!I47</f>
        <v>5</v>
      </c>
      <c r="J14" s="4" t="n">
        <f aca="false">Assumptions!J47</f>
        <v>5</v>
      </c>
      <c r="K14" s="4" t="n">
        <f aca="false">Assumptions!K47</f>
        <v>5</v>
      </c>
      <c r="L14" s="4" t="n">
        <f aca="false">Assumptions!L47</f>
        <v>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962.52923745</v>
      </c>
      <c r="D15" s="0" t="n">
        <f aca="false">D13-MAX(0,D13)*D14/100</f>
        <v>1029.031257492</v>
      </c>
      <c r="E15" s="0" t="n">
        <f aca="false">E13-MAX(0,E13)*E14/100</f>
        <v>1101.33632075346</v>
      </c>
      <c r="F15" s="0" t="n">
        <f aca="false">F13-MAX(0,F13)*F14/100</f>
        <v>1155.3812783492</v>
      </c>
      <c r="G15" s="0" t="n">
        <f aca="false">G13-MAX(0,G13)*G14/100</f>
        <v>1213.05790874615</v>
      </c>
      <c r="H15" s="0" t="n">
        <f aca="false">H13-MAX(0,H13)*H14/100</f>
        <v>1261.580225096</v>
      </c>
      <c r="I15" s="0" t="n">
        <f aca="false">I13-MAX(0,I13)*I14/100</f>
        <v>1299.42763184888</v>
      </c>
      <c r="J15" s="0" t="n">
        <f aca="false">J13-MAX(0,J13)*J14/100</f>
        <v>1325.41618448586</v>
      </c>
      <c r="K15" s="0" t="n">
        <f aca="false">K13-MAX(0,K13)*K14/100</f>
        <v>1338.67034633071</v>
      </c>
      <c r="L15" s="0" t="n">
        <f aca="false">L13-MAX(0,L13)*L14/100</f>
        <v>1352.05704979402</v>
      </c>
    </row>
    <row r="16" customFormat="false" ht="15" hidden="false" customHeight="false" outlineLevel="0" collapsed="false">
      <c r="A16" s="0" t="s">
        <v>119</v>
      </c>
      <c r="C16" s="0" t="n">
        <f aca="false">-C12</f>
        <v>318.26615</v>
      </c>
      <c r="D16" s="0" t="n">
        <f aca="false">-D12</f>
        <v>343.727442</v>
      </c>
      <c r="E16" s="0" t="n">
        <f aca="false">-E12</f>
        <v>367.78836294</v>
      </c>
      <c r="F16" s="0" t="n">
        <f aca="false">-F12</f>
        <v>389.8556647164</v>
      </c>
      <c r="G16" s="0" t="n">
        <f aca="false">-G12</f>
        <v>409.34844795222</v>
      </c>
      <c r="H16" s="0" t="n">
        <f aca="false">-H12</f>
        <v>425.722385870309</v>
      </c>
      <c r="I16" s="0" t="n">
        <f aca="false">-I12</f>
        <v>438.494057446418</v>
      </c>
      <c r="J16" s="0" t="n">
        <f aca="false">-J12</f>
        <v>447.263938595347</v>
      </c>
      <c r="K16" s="0" t="n">
        <f aca="false">-K12</f>
        <v>451.7365779813</v>
      </c>
      <c r="L16" s="0" t="n">
        <f aca="false">-L12</f>
        <v>456.253943761113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-410.666</v>
      </c>
      <c r="D17" s="4" t="n">
        <f aca="false">-D6*Assumptions!D46/100</f>
        <v>-421.343316</v>
      </c>
      <c r="E17" s="4" t="n">
        <f aca="false">-E6*Assumptions!E46/100</f>
        <v>-427.10906664</v>
      </c>
      <c r="F17" s="4" t="n">
        <f aca="false">-F6*Assumptions!F46/100</f>
        <v>-427.5836322696</v>
      </c>
      <c r="G17" s="4" t="n">
        <f aca="false">-G6*Assumptions!G46/100</f>
        <v>-435.75802523946</v>
      </c>
      <c r="H17" s="4" t="n">
        <f aca="false">-H6*Assumptions!H46/100</f>
        <v>-439.455366059674</v>
      </c>
      <c r="I17" s="4" t="n">
        <f aca="false">-I6*Assumptions!I46/100</f>
        <v>-452.639027041464</v>
      </c>
      <c r="J17" s="4" t="n">
        <f aca="false">-J6*Assumptions!J46/100</f>
        <v>-461.691807582293</v>
      </c>
      <c r="K17" s="4" t="n">
        <f aca="false">-K6*Assumptions!K46/100</f>
        <v>-466.308725658116</v>
      </c>
      <c r="L17" s="4" t="n">
        <f aca="false">-L6*Assumptions!L46/100</f>
        <v>-470.971812914697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26.866</v>
      </c>
      <c r="D18" s="4" t="n">
        <f aca="false">(D6-C6)*Assumptions!$B$51/100</f>
        <v>32.85328</v>
      </c>
      <c r="E18" s="4" t="n">
        <f aca="false">(E6-D6)*Assumptions!$B$51/100</f>
        <v>31.0463496</v>
      </c>
      <c r="F18" s="4" t="n">
        <f aca="false">(F6-E6)*Assumptions!$B$51/100</f>
        <v>28.473937776</v>
      </c>
      <c r="G18" s="4" t="n">
        <f aca="false">(G6-F6)*Assumptions!$B$51/100</f>
        <v>25.1519783688001</v>
      </c>
      <c r="H18" s="4" t="n">
        <f aca="false">(H6-G6)*Assumptions!$B$51/100</f>
        <v>21.127661829792</v>
      </c>
      <c r="I18" s="4" t="n">
        <f aca="false">(I6-H6)*Assumptions!$B$51/100</f>
        <v>16.4795762272378</v>
      </c>
      <c r="J18" s="4" t="n">
        <f aca="false">(J6-I6)*Assumptions!$B$51/100</f>
        <v>11.3159756760366</v>
      </c>
      <c r="K18" s="4" t="n">
        <f aca="false">(K6-J6)*Assumptions!$B$51/100</f>
        <v>5.77114759477863</v>
      </c>
      <c r="L18" s="4" t="n">
        <f aca="false">(L6-K6)*Assumptions!$B$51/100</f>
        <v>5.82885907072641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896.99538745</v>
      </c>
      <c r="D19" s="0" t="n">
        <f aca="false">D15+D16+D17+D18</f>
        <v>984.268663492</v>
      </c>
      <c r="E19" s="0" t="n">
        <f aca="false">E15+E16+E17+E18</f>
        <v>1073.06196665346</v>
      </c>
      <c r="F19" s="0" t="n">
        <f aca="false">F15+F16+F17+F18</f>
        <v>1146.127248572</v>
      </c>
      <c r="G19" s="0" t="n">
        <f aca="false">G15+G16+G17+G18</f>
        <v>1211.80030982771</v>
      </c>
      <c r="H19" s="0" t="n">
        <f aca="false">H15+H16+H17+H18</f>
        <v>1268.97490673642</v>
      </c>
      <c r="I19" s="0" t="n">
        <f aca="false">I15+I16+I17+I18</f>
        <v>1301.76223848107</v>
      </c>
      <c r="J19" s="0" t="n">
        <f aca="false">J15+J16+J17+J18</f>
        <v>1322.30429117494</v>
      </c>
      <c r="K19" s="0" t="n">
        <f aca="false">K15+K16+K17+K18</f>
        <v>1329.86934624868</v>
      </c>
      <c r="L19" s="0" t="n">
        <f aca="false">L15+L16+L17+L18</f>
        <v>1343.16803971116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800.888738794643</v>
      </c>
      <c r="D21" s="0" t="n">
        <f aca="false">D19*D20</f>
        <v>784.652952401148</v>
      </c>
      <c r="E21" s="0" t="n">
        <f aca="false">E19*E20</f>
        <v>763.784312543746</v>
      </c>
      <c r="F21" s="0" t="n">
        <f aca="false">F19*F20</f>
        <v>728.384586619892</v>
      </c>
      <c r="G21" s="0" t="n">
        <f aca="false">G19*G20</f>
        <v>687.608039564363</v>
      </c>
      <c r="H21" s="0" t="n">
        <f aca="false">H19*H20</f>
        <v>642.902179745761</v>
      </c>
      <c r="I21" s="0" t="n">
        <f aca="false">I19*I20</f>
        <v>588.85112713211</v>
      </c>
      <c r="J21" s="0" t="n">
        <f aca="false">J19*J20</f>
        <v>534.056525490708</v>
      </c>
      <c r="K21" s="0" t="n">
        <f aca="false">K19*K20</f>
        <v>479.564218172972</v>
      </c>
      <c r="L21" s="0" t="n">
        <f aca="false">L19*L20</f>
        <v>432.464161030983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9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6443.15684149632</v>
      </c>
    </row>
    <row r="31" customFormat="false" ht="15" hidden="false" customHeight="false" outlineLevel="0" collapsed="false">
      <c r="A31" s="0" t="s">
        <v>128</v>
      </c>
      <c r="B31" s="0" t="n">
        <f aca="false">L19</f>
        <v>1343.16803971116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12332.724728257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12088.5123574005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12088.5123574005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3892.17744927885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10335.3342907752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10584.1342907752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10.0770172506942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9.44250492299915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21.333726665825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13.0531297275515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10.1097565315417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9689.99800077339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7.91365236569019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2.99938456353991</v>
      </c>
      <c r="C4" s="0" t="n">
        <f aca="false">B4/Assumptions!$B$2-1</f>
        <v>2.10817053216571</v>
      </c>
      <c r="D4" s="4" t="n">
        <f aca="false">Assumptions!$B$24</f>
        <v>0.45</v>
      </c>
      <c r="E4" s="4" t="n">
        <f aca="false">DCF_Bear!$B$43</f>
        <v>3.01723178477607</v>
      </c>
      <c r="F4" s="4" t="n">
        <f aca="false">DCF_Bear!$B$47</f>
        <v>2.6632101446244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7.0665673390805</v>
      </c>
      <c r="C5" s="0" t="n">
        <f aca="false">B5/Assumptions!$B$2-1</f>
        <v>6.32286770889171</v>
      </c>
      <c r="D5" s="4" t="n">
        <f aca="false">Assumptions!$B$38</f>
        <v>0.4</v>
      </c>
      <c r="E5" s="4" t="n">
        <f aca="false">DCF_Base!$B$43</f>
        <v>7.09357330350032</v>
      </c>
      <c r="F5" s="4" t="n">
        <f aca="false">DCF_Base!$B$47</f>
        <v>5.78267958979636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10.0770172506942</v>
      </c>
      <c r="C6" s="0" t="n">
        <f aca="false">B6/Assumptions!$B$2-1</f>
        <v>9.44250492299915</v>
      </c>
      <c r="D6" s="4" t="n">
        <f aca="false">Assumptions!$B$52</f>
        <v>0.15</v>
      </c>
      <c r="E6" s="4" t="n">
        <f aca="false">DCF_Bull!$B$43</f>
        <v>10.1097565315417</v>
      </c>
      <c r="F6" s="4" t="n">
        <f aca="false">DCF_Bull!$B$47</f>
        <v>7.91365236569019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5.68790257682929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5.71164710428061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0.830341679210347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4.69856425585305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8.36859683336943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7.89814272956445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7.46530658499386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7.0665673390805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5.78267958979636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-1</v>
      </c>
      <c r="C22" s="3" t="n">
        <v>-0.5</v>
      </c>
      <c r="D22" s="3" t="n">
        <v>0</v>
      </c>
      <c r="E22" s="3" t="n">
        <v>0.5</v>
      </c>
      <c r="F22" s="3" t="n">
        <v>1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7.89814272956445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7.89814272956445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7.89814272956445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7.89814272956445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7.89814272956445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7.46530658499386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7.46530658499386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7.46530658499386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7.46530658499386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7.46530658499386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6.96801140495812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7.05631752193177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7.0665673390805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7.0665673390805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7.0665673390805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6.48106636535795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6.55115354145741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6.62663203879529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6.69877077961379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6.69877077961379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6.05853854251708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6.1147990226642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6.1750781085361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6.23982231188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6.30954683855805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2026-10-17T00:19:53Z</dcterms:created>
  <dc:creator>openpyxl</dc:creator>
  <dc:description/>
  <dc:language>en-NZ</dc:language>
  <cp:lastModifiedBy/>
  <dcterms:modified xsi:type="dcterms:W3CDTF">2026-10-17T00:19:53Z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