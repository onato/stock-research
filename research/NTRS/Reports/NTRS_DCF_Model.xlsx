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<sst xmlns="http://schemas.openxmlformats.org/spreadsheetml/2006/main" count="387" uniqueCount="175">
  <si>
    <t xml:space="preserve">Ticker</t>
  </si>
  <si>
    <t xml:space="preserve">NTRS</t>
  </si>
  <si>
    <t xml:space="preserve">Company</t>
  </si>
  <si>
    <t xml:space="preserve">Northern Trust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</si>
  <si>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</si>
  <si>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</si>
  <si>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</si>
  <si>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</si>
  <si>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2026-10-01T20:00:00Z regular close (Yahoo chart API); 52-week range 121.12-195.78</t>
  </si>
  <si>
    <t xml:space="preserve">Balance sheet date</t>
  </si>
  <si>
    <t xml:space="preserve">2026-06-30</t>
  </si>
  <si>
    <t xml:space="preserve">Model</t>
  </si>
  <si>
    <t xml:space="preserve">Bank FCFE at cost of equity on tangible book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</si>
  <si>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</si>
  <si>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</si>
  <si>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</si>
  <si>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</si>
  <si>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</si>
  <si>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</si>
  <si>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</si>
  <si>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</si>
  <si>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2026-10-02T02:52:23Z</t>
  </si>
  <si>
    <t xml:space="preserve">Drivers file</t>
  </si>
  <si>
    <t xml:space="preserve">NTRS_Drivers.json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</si>
  <si>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</si>
  <si>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</si>
  <si>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</si>
  <si>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Northern Trust is a fee-led trust and custody bank that distributes essentially all of its earnings, so it is valued as a stream of free cash flow to equity (net income less the capital retained to grow risk-weighted assets at a ~12% CET1) capitalised at a 9.75% USD cost of equity, with deposits and wholesale funding treated as operating liabilities and only the $885M preferred deducted ahead of common. FY0 is the FY2026 guided run-rate with the Visa gain, the securities loss and the restructuring charges stripped out, so the valuation does not capitalise a one-off. The three cases differ on where capital-markets income settles after 2026, how much of the 2026 operating leverage is structural, and how much capital Basel III endgame absorbs.
key_risks_to_valuation: Net interest income (~27% of revenue) is the swing factor: a faster or deeper Fed easing cycle than guidance assumes compresses NIM from the 1.81% Q2-26 level and takes FY2027 revenue growth negative, as in the bear case; 2026 capital-markets, FX and securities-lending income (+69% YoY in Q2) is cyclically elevated; the base case already assumes moderation, but a sharp reversal produces the FY2027 air-pocket; Ad-valorem trust fees make ~55% of revenue directly sensitive to equity and bond market levels; a 20% market drawdown would cut fee revenue high-single-digits with a lag; Basel III endgame could lift RWAs 5-15%, raising the capital retention the model charges (bear case uses 1.3x growth plus a two-year CET1 rebuild) and reducing buyback capacity; Restructuring charges (~$220M in Q2-26) must convert into durable cost savings; if the efficiency programme stalls, the base case's 33% pretax margin is not reached; The model holds the share count flat and treats buybacks as the FCFE distribution channel; the per-share value is therefore insensitive to the pace of repurchases but sensitive to the 25.5% tax rate and 9.75% cost of equity (see sensitivity grid)</t>
  </si>
  <si>
    <t xml:space="preserve">Data sources</t>
  </si>
  <si>
    <t xml:space="preserve">price: Yahoo Finance chart API at inputs.price_as_of; 52-week range 121.12-195.78
financials: SEC XBRL companyfacts (CIK 0000073124): FY2025 10-K filed 2026-02-24 and Q2-2026 10-Q filed 2026-07-30 for revenue components, noninterest expense, pretax income, tax, preferred dividends, D&amp;A, software/premises capex, buybacks, dividends, goodwill, AOCI, deposits and share counts; NTRS_Metrics.csv (XBRL-derived) for the FY2007-FY2025 history
qualitative: NTRS_Analysis.json (2026-10-02): Q2-2026 results and raised FY2026 guidance (NII and revenue +9-10%, ~400bps operating leverage), notable items, CET1 trajectory, Basel III endgame and rate-sensitivity risks, BNY Mellon 2025 approach</t>
  </si>
  <si>
    <t xml:space="preserve">Scenario narrative: bear</t>
  </si>
  <si>
    <t xml:space="preserve">The 2026 air-pocket risk materialises in FY2027: capital-markets and securities-lending revenue falls a quarter from cyclically high levels, Fed easing compresses NIM faster than deposit growth offsets it, and flat equity markets stall ad-valorem fee growth, so revenue drops 2% against a sticky cost base and the pretax margin falls to FY2023's ~28%. Basel III endgame lands at the unfavourable end (RWA +10%), forcing ~$130M/yr of extra retention in FY2027-28 and curtailing buybacks; the sub-scale franchise then grows only 2.5-3% with the margin recovering to 30%, and the market exits at 13x FCFE. No solvency or going-concern element - this is a de-rating and an earnings reset, not a credit event.</t>
  </si>
  <si>
    <t xml:space="preserve">Scenario narrative: base</t>
  </si>
  <si>
    <t xml:space="preserve">Northern Trust's value turns on three axes: (1) organic trust-fee growth on AUC/A of $17.4T and wealth AUC of $1.3T, which the base case holds at mid-single digits as market levels compound and alternatives/family-office mandates add net new business (eight straight quarters of positive organic fee growth); (2) net interest income, ~27% of revenue, which gives back some of 2026's NIM expansion (1.81% in Q2-26) as the Fed eases, netting revenue growth to 4-5% through FY2031 and 3% thereafter; (3) operating leverage, where the restructuring programme and management's ~400bps FY2026 target lift the pretax margin from 32% to 33% - the level NTRS already achieved in FY2018-19 - rather than to BNY's mid-30s. Capital retention runs at 0.8x growth, so ~90% of earnings is distributed through the $0.80 quarterly dividend and buybacks. FY2027 is modelled as a soft year (+4%, 50bps margin give-back) because 2026 revenue was lifted by a 69% jump in capital-markets income that management itself expects to moderate.</t>
  </si>
  <si>
    <t xml:space="preserve">Scenario narrative: bull</t>
  </si>
  <si>
    <t xml:space="preserve">Fee growth stays high-single-digit as the alternatives-servicing and ultra-high-net-worth franchises take share and equity markets keep compounding; capital-markets and securities-lending income holds near the 2026 level instead of mean-reverting; the restructuring charges convert into durable cost savings so the 2026 operating-leverage run-rate persists and the pretax margin reaches 35% by FY2031. Lower capital intensity (0.7x growth) and a stable 12% CET1 let payout stay ~100%. The scarcity value of being one of three scaled global custodians (BNY Mellon's 2025 approach) is NOT separately priced - it is upside to this case, not inside 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</si>
  <si>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</si>
  <si>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</si>
  <si>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</si>
  <si>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</si>
  <si>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</si>
  <si>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</si>
  <si>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</si>
  <si>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</si>
  <si>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</si>
  <si>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</si>
  <si>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</si>
  <si>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</si>
  <si>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</si>
  <si>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</si>
  <si>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</si>
  <si>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</si>
  <si>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</si>
  <si>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</si>
  <si>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</si>
  <si>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</si>
  <si>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</si>
  <si>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</si>
  <si>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</si>
  <si>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</si>
  <si>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</si>
  <si>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</si>
  <si>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</si>
  <si>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</si>
  <si>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</si>
  <si>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</si>
  <si>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</si>
  <si>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</si>
  <si>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</si>
  <si>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</si>
  <si>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</si>
  <si>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</si>
  <si>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</si>
  <si>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</si>
  <si>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</si>
  <si>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</si>
  <si>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</si>
  <si>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</si>
  <si>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</si>
  <si>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</si>
  <si>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</si>
  <si>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</si>
  <si>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</si>
  <si>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</si>
  <si>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</si>
  <si>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</si>
  <si>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</si>
  <si>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</si>
  <si>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</si>
  <si>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</si>
  <si>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</si>
  <si>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</si>
  <si>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</si>
  <si>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</si>
  <si>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</si>
  <si>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</si>
  <si>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</si>
  <si>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</si>
  <si>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</si>
  <si>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</si>
  <si>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</si>
  <si>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</si>
  <si>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</si>
  <si>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</si>
  <si>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</si>
  <si>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</si>
  <si>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</si>
  <si>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</si>
  <si>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</si>
  <si>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</si>
  <si>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</si>
  <si>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</si>
  <si>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</si>
  <si>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</si>
  <si>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</si>
  <si>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</si>
  <si>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</si>
  <si>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</si>
  <si>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</si>
  <si>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</si>
  <si>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NTRS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</si>
  <si>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</si>
  <si>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</si>
  <si>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</si>
  <si>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</si>
  <si>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</si>
  <si>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</si>
  <si>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</si>
  <si>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</si>
  <si>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</si>
  <si>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</si>
  <si>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</si>
  <si>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</si>
  <si>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</si>
  <si>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</si>
  <si>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</si>
  <si>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</si>
  <si>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</si>
  <si>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</si>
  <si>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</si>
  <si>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</si>
  <si>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</si>
  <si>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</si>
  <si>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</si>
  <si>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</si>
  <si>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</si>
  <si>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</si>
  <si>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</si>
  <si>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</si>
  <si>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</si>
  <si>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</si>
  <si>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NTRS owner-FCF component DCF: base case (millions, USD)</t>
  </si>
  <si>
    <t xml:space="preserve">NTRS owner-FCF component DCF: bull case (millions, USD)</t>
  </si>
  <si>
    <t xml:space="preserve">NTRS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</si>
  <si>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</si>
  <si>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</si>
  <si>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</si>
  <si>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</si>
  <si>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</si>
  <si>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</si>
  <si>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</si>
  <si>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</si>
  <si>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</si>
  <si>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</si>
  <si>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</si>
  <si>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</si>
  <si>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</si>
  <si>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</si>
  <si>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</si>
  <si>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9.75%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</si>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</sst>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169.2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I2" s="0" t="n">
        <v>726.9</v>
      </c>
      <c r="K2" s="0" t="n">
        <v>3.28</v>
      </c>
      <c r="L2" s="0" t="n">
        <v>880.7</v>
      </c>
      <c r="M2" s="0" t="n">
        <v>89.5</v>
      </c>
      <c r="N2" s="0" t="n">
        <v>791.2</v>
      </c>
      <c r="O2" s="0" t="n">
        <v>4509.1</v>
      </c>
      <c r="T2" s="0" t="n">
        <v>220.608834</v>
      </c>
      <c r="V2" s="0" t="n">
        <v>1.03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4278.5</v>
      </c>
      <c r="I3" s="0" t="n">
        <v>794.8</v>
      </c>
      <c r="J3" s="0" t="n">
        <v>18.5766039499825</v>
      </c>
      <c r="K3" s="0" t="n">
        <v>3.51</v>
      </c>
      <c r="L3" s="0" t="n">
        <v>855.3</v>
      </c>
      <c r="M3" s="0" t="n">
        <v>102.3</v>
      </c>
      <c r="N3" s="0" t="n">
        <v>753</v>
      </c>
      <c r="O3" s="0" t="n">
        <v>6389.4</v>
      </c>
      <c r="P3" s="0" t="n">
        <v>82053.6</v>
      </c>
      <c r="Q3" s="0" t="n">
        <v>75664.2</v>
      </c>
      <c r="R3" s="0" t="n">
        <v>3293.4</v>
      </c>
      <c r="T3" s="0" t="n">
        <v>223.263132</v>
      </c>
      <c r="U3" s="0" t="n">
        <v>42.6</v>
      </c>
      <c r="V3" s="0" t="n">
        <v>1.12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3786.9</v>
      </c>
      <c r="I4" s="0" t="n">
        <v>864.2</v>
      </c>
      <c r="J4" s="0" t="n">
        <v>22.8207768887481</v>
      </c>
      <c r="K4" s="0" t="n">
        <v>3.18</v>
      </c>
      <c r="L4" s="0" t="n">
        <v>1014.7</v>
      </c>
      <c r="M4" s="0" t="n">
        <v>132.6</v>
      </c>
      <c r="N4" s="0" t="n">
        <v>882.1</v>
      </c>
      <c r="O4" s="0" t="n">
        <v>6312.1</v>
      </c>
      <c r="P4" s="0" t="n">
        <v>82141.5</v>
      </c>
      <c r="Q4" s="0" t="n">
        <v>75829.4</v>
      </c>
      <c r="R4" s="0" t="n">
        <v>2837.8</v>
      </c>
      <c r="T4" s="0" t="n">
        <v>241.679942</v>
      </c>
      <c r="U4" s="0" t="n">
        <v>25.4</v>
      </c>
      <c r="V4" s="0" t="n">
        <v>1.12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3647.7</v>
      </c>
      <c r="I5" s="0" t="n">
        <v>669.5</v>
      </c>
      <c r="J5" s="0" t="n">
        <v>18.3540313073992</v>
      </c>
      <c r="K5" s="0" t="n">
        <v>2.74</v>
      </c>
      <c r="L5" s="0" t="n">
        <v>790.2</v>
      </c>
      <c r="M5" s="0" t="n">
        <v>90.5</v>
      </c>
      <c r="N5" s="0" t="n">
        <v>699.7</v>
      </c>
      <c r="O5" s="0" t="n">
        <v>6830.3</v>
      </c>
      <c r="P5" s="0" t="n">
        <v>83843.9</v>
      </c>
      <c r="Q5" s="0" t="n">
        <v>77013.6</v>
      </c>
      <c r="R5" s="0" t="n">
        <v>2729.3</v>
      </c>
      <c r="T5" s="0" t="n">
        <v>242.268903</v>
      </c>
      <c r="U5" s="0" t="n">
        <v>52.7</v>
      </c>
      <c r="V5" s="0" t="n">
        <v>1.12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3769.9</v>
      </c>
      <c r="I6" s="0" t="n">
        <v>603.6</v>
      </c>
      <c r="J6" s="0" t="n">
        <v>16.0110347754582</v>
      </c>
      <c r="K6" s="0" t="n">
        <v>2.47</v>
      </c>
      <c r="L6" s="0" t="n">
        <v>1254.3</v>
      </c>
      <c r="M6" s="0" t="n">
        <v>96.9</v>
      </c>
      <c r="N6" s="0" t="n">
        <v>1157.4</v>
      </c>
      <c r="O6" s="0" t="n">
        <v>7117.3</v>
      </c>
      <c r="P6" s="0" t="n">
        <v>100223.7</v>
      </c>
      <c r="Q6" s="0" t="n">
        <v>93106.4</v>
      </c>
      <c r="R6" s="0" t="n">
        <v>2133.3</v>
      </c>
      <c r="T6" s="0" t="n">
        <v>241.008509</v>
      </c>
      <c r="U6" s="0" t="n">
        <v>70.3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3896.1</v>
      </c>
      <c r="I7" s="0" t="n">
        <v>687.3</v>
      </c>
      <c r="J7" s="0" t="n">
        <v>17.6407176407176</v>
      </c>
      <c r="K7" s="0" t="n">
        <v>2.82</v>
      </c>
      <c r="L7" s="0" t="n">
        <v>814.4</v>
      </c>
      <c r="M7" s="0" t="n">
        <v>73.3</v>
      </c>
      <c r="N7" s="0" t="n">
        <v>741.1</v>
      </c>
      <c r="O7" s="0" t="n">
        <v>7527</v>
      </c>
      <c r="P7" s="0" t="n">
        <v>97463.8</v>
      </c>
      <c r="Q7" s="0" t="n">
        <v>89936.8</v>
      </c>
      <c r="R7" s="0" t="n">
        <v>1421.6</v>
      </c>
      <c r="T7" s="0" t="n">
        <v>238.914988</v>
      </c>
      <c r="U7" s="0" t="n">
        <v>73.9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4089.3</v>
      </c>
      <c r="I8" s="0" t="n">
        <v>731.3</v>
      </c>
      <c r="J8" s="0" t="n">
        <v>17.8832563030348</v>
      </c>
      <c r="K8" s="0" t="n">
        <v>3.01</v>
      </c>
      <c r="L8" s="0" t="n">
        <v>839.3</v>
      </c>
      <c r="M8" s="0" t="n">
        <v>91.9</v>
      </c>
      <c r="N8" s="0" t="n">
        <v>747.4</v>
      </c>
      <c r="O8" s="0" t="n">
        <v>7912</v>
      </c>
      <c r="P8" s="0" t="n">
        <v>102947.3</v>
      </c>
      <c r="Q8" s="0" t="n">
        <v>95035.3</v>
      </c>
      <c r="T8" s="0" t="n">
        <v>237.322035</v>
      </c>
      <c r="U8" s="0" t="n">
        <v>73.8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4331.2</v>
      </c>
      <c r="I9" s="0" t="n">
        <v>811.8</v>
      </c>
      <c r="J9" s="0" t="n">
        <v>18.7430735131142</v>
      </c>
      <c r="K9" s="0" t="n">
        <v>3.34</v>
      </c>
      <c r="L9" s="0" t="n">
        <v>936</v>
      </c>
      <c r="M9" s="0" t="n">
        <v>81.9</v>
      </c>
      <c r="N9" s="0" t="n">
        <v>854.1</v>
      </c>
      <c r="O9" s="0" t="n">
        <v>8448.9</v>
      </c>
      <c r="P9" s="0" t="n">
        <v>109946.5</v>
      </c>
      <c r="Q9" s="0" t="n">
        <v>101497.6</v>
      </c>
      <c r="T9" s="0" t="n">
        <v>233.390705</v>
      </c>
      <c r="U9" s="0" t="n">
        <v>77.7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4702.6</v>
      </c>
      <c r="I10" s="0" t="n">
        <v>973.8</v>
      </c>
      <c r="J10" s="0" t="n">
        <v>20.7076936162974</v>
      </c>
      <c r="K10" s="0" t="n">
        <v>4.03</v>
      </c>
      <c r="L10" s="0" t="n">
        <v>1834.4</v>
      </c>
      <c r="M10" s="0" t="n">
        <v>98.5</v>
      </c>
      <c r="N10" s="0" t="n">
        <v>1735.9</v>
      </c>
      <c r="O10" s="0" t="n">
        <v>8705.9</v>
      </c>
      <c r="P10" s="0" t="n">
        <v>116749.6</v>
      </c>
      <c r="Q10" s="0" t="n">
        <v>108043.7</v>
      </c>
      <c r="T10" s="0" t="n">
        <v>229.293783</v>
      </c>
      <c r="U10" s="0" t="n">
        <v>76.4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4961.8</v>
      </c>
      <c r="I11" s="0" t="n">
        <v>1032.5</v>
      </c>
      <c r="J11" s="0" t="n">
        <v>20.8089806118747</v>
      </c>
      <c r="K11" s="0" t="n">
        <v>4.35</v>
      </c>
      <c r="L11" s="0" t="n">
        <v>1510</v>
      </c>
      <c r="M11" s="0" t="n">
        <v>111.3</v>
      </c>
      <c r="N11" s="0" t="n">
        <v>1398.7</v>
      </c>
      <c r="O11" s="0" t="n">
        <v>9770.4</v>
      </c>
      <c r="P11" s="0" t="n">
        <v>123926.9</v>
      </c>
      <c r="Q11" s="0" t="n">
        <v>114156.5</v>
      </c>
      <c r="T11" s="0" t="n">
        <v>228.605485</v>
      </c>
      <c r="U11" s="0" t="n">
        <v>86.8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5375.3</v>
      </c>
      <c r="I12" s="0" t="n">
        <v>1199</v>
      </c>
      <c r="J12" s="0" t="n">
        <v>22.3057317731103</v>
      </c>
      <c r="K12" s="0" t="n">
        <v>4.95</v>
      </c>
      <c r="L12" s="0" t="n">
        <v>1720.4</v>
      </c>
      <c r="M12" s="0" t="n">
        <v>91.6</v>
      </c>
      <c r="N12" s="0" t="n">
        <v>1628.8</v>
      </c>
      <c r="O12" s="0" t="n">
        <v>10216.2</v>
      </c>
      <c r="P12" s="0" t="n">
        <v>138590.5</v>
      </c>
      <c r="Q12" s="0" t="n">
        <v>128374.3</v>
      </c>
      <c r="T12" s="0" t="n">
        <v>226.126674</v>
      </c>
      <c r="U12" s="0" t="n">
        <v>128</v>
      </c>
      <c r="V12" s="0" t="n">
        <v>1.6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5960.2</v>
      </c>
      <c r="I13" s="0" t="n">
        <v>1556.4</v>
      </c>
      <c r="J13" s="0" t="n">
        <v>26.1132176772592</v>
      </c>
      <c r="K13" s="0" t="n">
        <v>6.68</v>
      </c>
      <c r="L13" s="0" t="n">
        <v>1767.5</v>
      </c>
      <c r="M13" s="0" t="n">
        <v>97.6</v>
      </c>
      <c r="N13" s="0" t="n">
        <v>1669.9</v>
      </c>
      <c r="O13" s="0" t="n">
        <v>10508.3</v>
      </c>
      <c r="P13" s="0" t="n">
        <v>132212.5</v>
      </c>
      <c r="Q13" s="0" t="n">
        <v>121704.2</v>
      </c>
      <c r="T13" s="0" t="n">
        <v>219.01205</v>
      </c>
      <c r="U13" s="0" t="n">
        <v>130.9</v>
      </c>
      <c r="V13" s="0" t="n">
        <v>1.94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6073.1</v>
      </c>
      <c r="I14" s="0" t="n">
        <v>1492.2</v>
      </c>
      <c r="J14" s="0" t="n">
        <v>24.5706476099521</v>
      </c>
      <c r="K14" s="0" t="n">
        <v>6.66</v>
      </c>
      <c r="L14" s="0" t="n">
        <v>2592</v>
      </c>
      <c r="M14" s="0" t="n">
        <v>158</v>
      </c>
      <c r="N14" s="0" t="n">
        <v>2434</v>
      </c>
      <c r="O14" s="0" t="n">
        <v>11080.9</v>
      </c>
      <c r="P14" s="0" t="n">
        <v>136828.4</v>
      </c>
      <c r="Q14" s="0" t="n">
        <v>125737.4</v>
      </c>
      <c r="T14" s="0" t="n">
        <v>209.709046</v>
      </c>
      <c r="U14" s="0" t="n">
        <v>107.9</v>
      </c>
      <c r="V14" s="0" t="n">
        <v>2.6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6100.8</v>
      </c>
      <c r="I15" s="0" t="n">
        <v>1209.3</v>
      </c>
      <c r="J15" s="0" t="n">
        <v>19.8219905586153</v>
      </c>
      <c r="K15" s="0" t="n">
        <v>5.48</v>
      </c>
      <c r="L15" s="0" t="n">
        <v>1896.8</v>
      </c>
      <c r="M15" s="0" t="n">
        <v>135.8</v>
      </c>
      <c r="N15" s="0" t="n">
        <v>1761</v>
      </c>
      <c r="O15" s="0" t="n">
        <v>11688.3</v>
      </c>
      <c r="P15" s="0" t="n">
        <v>170003.9</v>
      </c>
      <c r="Q15" s="0" t="n">
        <v>158315.6</v>
      </c>
      <c r="T15" s="0" t="n">
        <v>208.289178</v>
      </c>
      <c r="U15" s="0" t="n">
        <v>91.4</v>
      </c>
      <c r="V15" s="0" t="n">
        <v>2.8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6464.5</v>
      </c>
      <c r="I16" s="0" t="n">
        <v>1545.3</v>
      </c>
      <c r="J16" s="0" t="n">
        <v>23.9044009590842</v>
      </c>
      <c r="K16" s="0" t="n">
        <v>7.16</v>
      </c>
      <c r="L16" s="0" t="n">
        <v>1356</v>
      </c>
      <c r="M16" s="0" t="n">
        <v>95.5</v>
      </c>
      <c r="N16" s="0" t="n">
        <v>1260.5</v>
      </c>
      <c r="O16" s="0" t="n">
        <v>12016.8</v>
      </c>
      <c r="P16" s="0" t="n">
        <v>183889.8</v>
      </c>
      <c r="Q16" s="0" t="n">
        <v>171873</v>
      </c>
      <c r="T16" s="0" t="n">
        <v>207.761875</v>
      </c>
      <c r="U16" s="0" t="n">
        <v>95.5</v>
      </c>
      <c r="V16" s="0" t="n">
        <v>2.8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6761.2</v>
      </c>
      <c r="I17" s="0" t="n">
        <v>1336</v>
      </c>
      <c r="J17" s="0" t="n">
        <v>19.7598059516062</v>
      </c>
      <c r="K17" s="0" t="n">
        <v>6.16</v>
      </c>
      <c r="L17" s="0" t="n">
        <v>2392.4</v>
      </c>
      <c r="M17" s="0" t="n">
        <v>128.6</v>
      </c>
      <c r="N17" s="0" t="n">
        <v>2263.8</v>
      </c>
      <c r="O17" s="0" t="n">
        <v>11259.5</v>
      </c>
      <c r="P17" s="0" t="n">
        <v>155036.7</v>
      </c>
      <c r="Q17" s="0" t="n">
        <v>143777.2</v>
      </c>
      <c r="T17" s="0" t="n">
        <v>208.428309</v>
      </c>
      <c r="U17" s="0" t="n">
        <v>125.2</v>
      </c>
      <c r="V17" s="0" t="n">
        <v>2.9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6773.5</v>
      </c>
      <c r="I18" s="0" t="n">
        <v>1107.3</v>
      </c>
      <c r="J18" s="0" t="n">
        <v>16.3475308186314</v>
      </c>
      <c r="K18" s="0" t="n">
        <v>5.09</v>
      </c>
      <c r="L18" s="0" t="n">
        <v>2625.6</v>
      </c>
      <c r="M18" s="0" t="n">
        <v>116.5</v>
      </c>
      <c r="N18" s="0" t="n">
        <v>2509.1</v>
      </c>
      <c r="O18" s="0" t="n">
        <v>11897.9</v>
      </c>
      <c r="P18" s="0" t="n">
        <v>150783.1</v>
      </c>
      <c r="Q18" s="0" t="n">
        <v>138885.2</v>
      </c>
      <c r="T18" s="0" t="n">
        <v>207.563746</v>
      </c>
      <c r="U18" s="0" t="n">
        <v>118.2</v>
      </c>
      <c r="V18" s="0" t="n">
        <v>3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8290.4</v>
      </c>
      <c r="I19" s="0" t="n">
        <v>2031.1</v>
      </c>
      <c r="J19" s="0" t="n">
        <v>24.49942101708</v>
      </c>
      <c r="K19" s="0" t="n">
        <v>9.8</v>
      </c>
      <c r="L19" s="0" t="n">
        <v>-486</v>
      </c>
      <c r="M19" s="0" t="n">
        <v>101.5</v>
      </c>
      <c r="N19" s="0" t="n">
        <v>-587.5</v>
      </c>
      <c r="O19" s="0" t="n">
        <v>12788.4</v>
      </c>
      <c r="P19" s="0" t="n">
        <v>155508.4</v>
      </c>
      <c r="Q19" s="0" t="n">
        <v>142720</v>
      </c>
      <c r="T19" s="0" t="n">
        <v>201.870105</v>
      </c>
      <c r="U19" s="0" t="n">
        <v>119.4</v>
      </c>
      <c r="V19" s="0" t="n">
        <v>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8086.4</v>
      </c>
      <c r="I20" s="0" t="n">
        <v>1736.9</v>
      </c>
      <c r="J20" s="0" t="n">
        <v>21.479273842501</v>
      </c>
      <c r="K20" s="0" t="n">
        <v>8.78</v>
      </c>
      <c r="L20" s="0" t="n">
        <v>5533.5</v>
      </c>
      <c r="M20" s="0" t="n">
        <v>74</v>
      </c>
      <c r="N20" s="0" t="n">
        <v>5459.5</v>
      </c>
      <c r="O20" s="0" t="n">
        <v>12957.9</v>
      </c>
      <c r="P20" s="0" t="n">
        <v>177132.7</v>
      </c>
      <c r="Q20" s="0" t="n">
        <v>164174.8</v>
      </c>
      <c r="T20" s="0" t="n">
        <v>192.246525</v>
      </c>
      <c r="U20" s="0" t="n">
        <v>126.5</v>
      </c>
      <c r="V20" s="0" t="n">
        <v>3.1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169.2</v>
      </c>
    </row>
    <row r="3" customFormat="false" ht="15" hidden="false" customHeight="false" outlineLevel="0" collapsed="false">
      <c r="A3" s="0" t="s">
        <v>85</v>
      </c>
      <c r="B3" s="3" t="n">
        <v>183.9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-885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8880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-2</v>
      </c>
      <c r="D13" s="3" t="n">
        <v>1.5</v>
      </c>
      <c r="E13" s="3" t="n">
        <v>2.5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38.9</v>
      </c>
      <c r="D14" s="3" t="n">
        <v>38.4</v>
      </c>
      <c r="E14" s="3" t="n">
        <v>38.9</v>
      </c>
      <c r="F14" s="3" t="n">
        <v>39.3</v>
      </c>
      <c r="G14" s="3" t="n">
        <v>39.8</v>
      </c>
      <c r="H14" s="3" t="n">
        <v>40.3</v>
      </c>
      <c r="I14" s="3" t="n">
        <v>40.3</v>
      </c>
      <c r="J14" s="3" t="n">
        <v>40.3</v>
      </c>
      <c r="K14" s="3" t="n">
        <v>40.3</v>
      </c>
      <c r="L14" s="3" t="n">
        <v>40.3</v>
      </c>
    </row>
    <row r="15" customFormat="false" ht="15" hidden="false" customHeight="false" outlineLevel="0" collapsed="false">
      <c r="A15" s="0" t="s">
        <v>108</v>
      </c>
      <c r="C15" s="3" t="n">
        <v>1.6</v>
      </c>
      <c r="D15" s="3" t="n">
        <v>1.6</v>
      </c>
      <c r="E15" s="3" t="n">
        <v>1.6</v>
      </c>
      <c r="F15" s="3" t="n">
        <v>1.5</v>
      </c>
      <c r="G15" s="3" t="n">
        <v>1.5</v>
      </c>
      <c r="H15" s="3" t="n">
        <v>1.5</v>
      </c>
      <c r="I15" s="3" t="n">
        <v>1.5</v>
      </c>
      <c r="J15" s="3" t="n">
        <v>1.5</v>
      </c>
      <c r="K15" s="3" t="n">
        <v>1.5</v>
      </c>
      <c r="L15" s="3" t="n">
        <v>1.5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8.8</v>
      </c>
      <c r="D17" s="3" t="n">
        <v>8.8</v>
      </c>
      <c r="E17" s="3" t="n">
        <v>8.8</v>
      </c>
      <c r="F17" s="3" t="n">
        <v>8.8</v>
      </c>
      <c r="G17" s="3" t="n">
        <v>8.8</v>
      </c>
      <c r="H17" s="3" t="n">
        <v>8.8</v>
      </c>
      <c r="I17" s="3" t="n">
        <v>8.8</v>
      </c>
      <c r="J17" s="3" t="n">
        <v>8.8</v>
      </c>
      <c r="K17" s="3" t="n">
        <v>8.8</v>
      </c>
      <c r="L17" s="3" t="n">
        <v>8.8</v>
      </c>
    </row>
    <row r="18" customFormat="false" ht="15" hidden="false" customHeight="false" outlineLevel="0" collapsed="false">
      <c r="A18" s="0" t="s">
        <v>111</v>
      </c>
      <c r="C18" s="3" t="n">
        <v>10.3</v>
      </c>
      <c r="D18" s="3" t="n">
        <v>12.25</v>
      </c>
      <c r="E18" s="3" t="n">
        <v>12.05</v>
      </c>
      <c r="F18" s="3" t="n">
        <v>12.7</v>
      </c>
      <c r="G18" s="3" t="n">
        <v>12.7</v>
      </c>
      <c r="H18" s="3" t="n">
        <v>12.7</v>
      </c>
      <c r="I18" s="3" t="n">
        <v>12.7</v>
      </c>
      <c r="J18" s="3" t="n">
        <v>12.05</v>
      </c>
      <c r="K18" s="3" t="n">
        <v>12.05</v>
      </c>
      <c r="L18" s="3" t="n">
        <v>12.05</v>
      </c>
    </row>
    <row r="19" customFormat="false" ht="15" hidden="false" customHeight="false" outlineLevel="0" collapsed="false">
      <c r="A19" s="0" t="s">
        <v>112</v>
      </c>
      <c r="C19" s="3" t="n">
        <v>25.5</v>
      </c>
      <c r="D19" s="3" t="n">
        <v>25.5</v>
      </c>
      <c r="E19" s="3" t="n">
        <v>25.5</v>
      </c>
      <c r="F19" s="3" t="n">
        <v>25.5</v>
      </c>
      <c r="G19" s="3" t="n">
        <v>25.5</v>
      </c>
      <c r="H19" s="3" t="n">
        <v>25.5</v>
      </c>
      <c r="I19" s="3" t="n">
        <v>25.5</v>
      </c>
      <c r="J19" s="3" t="n">
        <v>25.5</v>
      </c>
      <c r="K19" s="3" t="n">
        <v>25.5</v>
      </c>
      <c r="L19" s="3" t="n">
        <v>25.5</v>
      </c>
    </row>
    <row r="20" customFormat="false" ht="15" hidden="false" customHeight="false" outlineLevel="0" collapsed="false">
      <c r="A20" s="0" t="s">
        <v>113</v>
      </c>
      <c r="B20" s="3" t="n">
        <v>9.75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4</v>
      </c>
      <c r="D27" s="3" t="n">
        <v>5</v>
      </c>
      <c r="E27" s="3" t="n">
        <v>5</v>
      </c>
      <c r="F27" s="3" t="n">
        <v>4.5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41.8</v>
      </c>
      <c r="D28" s="3" t="n">
        <v>42.3</v>
      </c>
      <c r="E28" s="3" t="n">
        <v>42.75</v>
      </c>
      <c r="F28" s="3" t="n">
        <v>43.25</v>
      </c>
      <c r="G28" s="3" t="n">
        <v>43.2</v>
      </c>
      <c r="H28" s="3" t="n">
        <v>43.2</v>
      </c>
      <c r="I28" s="3" t="n">
        <v>43.2</v>
      </c>
      <c r="J28" s="3" t="n">
        <v>43.2</v>
      </c>
      <c r="K28" s="3" t="n">
        <v>43.2</v>
      </c>
      <c r="L28" s="3" t="n">
        <v>43.2</v>
      </c>
    </row>
    <row r="29" customFormat="false" ht="15" hidden="false" customHeight="false" outlineLevel="0" collapsed="false">
      <c r="A29" s="0" t="s">
        <v>108</v>
      </c>
      <c r="C29" s="3" t="n">
        <v>1.5</v>
      </c>
      <c r="D29" s="3" t="n">
        <v>1.5</v>
      </c>
      <c r="E29" s="3" t="n">
        <v>1.45</v>
      </c>
      <c r="F29" s="3" t="n">
        <v>1.45</v>
      </c>
      <c r="G29" s="3" t="n">
        <v>1.4</v>
      </c>
      <c r="H29" s="3" t="n">
        <v>1.4</v>
      </c>
      <c r="I29" s="3" t="n">
        <v>1.4</v>
      </c>
      <c r="J29" s="3" t="n">
        <v>1.4</v>
      </c>
      <c r="K29" s="3" t="n">
        <v>1.4</v>
      </c>
      <c r="L29" s="3" t="n">
        <v>1.4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8.8</v>
      </c>
      <c r="D31" s="3" t="n">
        <v>8.8</v>
      </c>
      <c r="E31" s="3" t="n">
        <v>8.8</v>
      </c>
      <c r="F31" s="3" t="n">
        <v>8.8</v>
      </c>
      <c r="G31" s="3" t="n">
        <v>8.8</v>
      </c>
      <c r="H31" s="3" t="n">
        <v>8.8</v>
      </c>
      <c r="I31" s="3" t="n">
        <v>8.8</v>
      </c>
      <c r="J31" s="3" t="n">
        <v>8.8</v>
      </c>
      <c r="K31" s="3" t="n">
        <v>8.8</v>
      </c>
      <c r="L31" s="3" t="n">
        <v>8.8</v>
      </c>
    </row>
    <row r="32" customFormat="false" ht="15" hidden="false" customHeight="false" outlineLevel="0" collapsed="false">
      <c r="A32" s="0" t="s">
        <v>111</v>
      </c>
      <c r="C32" s="3" t="n">
        <v>12</v>
      </c>
      <c r="D32" s="3" t="n">
        <v>12.8</v>
      </c>
      <c r="E32" s="3" t="n">
        <v>12.8</v>
      </c>
      <c r="F32" s="3" t="n">
        <v>12.4</v>
      </c>
      <c r="G32" s="3" t="n">
        <v>12.4</v>
      </c>
      <c r="H32" s="3" t="n">
        <v>12</v>
      </c>
      <c r="I32" s="3" t="n">
        <v>12</v>
      </c>
      <c r="J32" s="3" t="n">
        <v>11.6</v>
      </c>
      <c r="K32" s="3" t="n">
        <v>11.2</v>
      </c>
      <c r="L32" s="3" t="n">
        <v>11.2</v>
      </c>
    </row>
    <row r="33" customFormat="false" ht="15" hidden="false" customHeight="false" outlineLevel="0" collapsed="false">
      <c r="A33" s="0" t="s">
        <v>112</v>
      </c>
      <c r="C33" s="3" t="n">
        <v>25.5</v>
      </c>
      <c r="D33" s="3" t="n">
        <v>25.5</v>
      </c>
      <c r="E33" s="3" t="n">
        <v>25.5</v>
      </c>
      <c r="F33" s="3" t="n">
        <v>25.5</v>
      </c>
      <c r="G33" s="3" t="n">
        <v>25.5</v>
      </c>
      <c r="H33" s="3" t="n">
        <v>25.5</v>
      </c>
      <c r="I33" s="3" t="n">
        <v>25.5</v>
      </c>
      <c r="J33" s="3" t="n">
        <v>25.5</v>
      </c>
      <c r="K33" s="3" t="n">
        <v>25.5</v>
      </c>
      <c r="L33" s="3" t="n">
        <v>25.5</v>
      </c>
    </row>
    <row r="34" customFormat="false" ht="15" hidden="false" customHeight="false" outlineLevel="0" collapsed="false">
      <c r="A34" s="0" t="s">
        <v>113</v>
      </c>
      <c r="B34" s="3" t="n">
        <v>9.75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6.5</v>
      </c>
      <c r="D41" s="3" t="n">
        <v>6.5</v>
      </c>
      <c r="E41" s="3" t="n">
        <v>6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43.3</v>
      </c>
      <c r="D42" s="3" t="n">
        <v>43.8</v>
      </c>
      <c r="E42" s="3" t="n">
        <v>44.25</v>
      </c>
      <c r="F42" s="3" t="n">
        <v>44.75</v>
      </c>
      <c r="G42" s="3" t="n">
        <v>45.2</v>
      </c>
      <c r="H42" s="3" t="n">
        <v>45.2</v>
      </c>
      <c r="I42" s="3" t="n">
        <v>45.2</v>
      </c>
      <c r="J42" s="3" t="n">
        <v>45.2</v>
      </c>
      <c r="K42" s="3" t="n">
        <v>45.2</v>
      </c>
      <c r="L42" s="3" t="n">
        <v>45.2</v>
      </c>
    </row>
    <row r="43" customFormat="false" ht="15" hidden="false" customHeight="false" outlineLevel="0" collapsed="false">
      <c r="A43" s="0" t="s">
        <v>108</v>
      </c>
      <c r="C43" s="3" t="n">
        <v>1.5</v>
      </c>
      <c r="D43" s="3" t="n">
        <v>1.5</v>
      </c>
      <c r="E43" s="3" t="n">
        <v>1.45</v>
      </c>
      <c r="F43" s="3" t="n">
        <v>1.45</v>
      </c>
      <c r="G43" s="3" t="n">
        <v>1.4</v>
      </c>
      <c r="H43" s="3" t="n">
        <v>1.4</v>
      </c>
      <c r="I43" s="3" t="n">
        <v>1.4</v>
      </c>
      <c r="J43" s="3" t="n">
        <v>1.4</v>
      </c>
      <c r="K43" s="3" t="n">
        <v>1.4</v>
      </c>
      <c r="L43" s="3" t="n">
        <v>1.4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8.8</v>
      </c>
      <c r="D45" s="3" t="n">
        <v>8.8</v>
      </c>
      <c r="E45" s="3" t="n">
        <v>8.8</v>
      </c>
      <c r="F45" s="3" t="n">
        <v>8.8</v>
      </c>
      <c r="G45" s="3" t="n">
        <v>8.8</v>
      </c>
      <c r="H45" s="3" t="n">
        <v>8.8</v>
      </c>
      <c r="I45" s="3" t="n">
        <v>8.8</v>
      </c>
      <c r="J45" s="3" t="n">
        <v>8.8</v>
      </c>
      <c r="K45" s="3" t="n">
        <v>8.8</v>
      </c>
      <c r="L45" s="3" t="n">
        <v>8.8</v>
      </c>
    </row>
    <row r="46" customFormat="false" ht="15" hidden="false" customHeight="false" outlineLevel="0" collapsed="false">
      <c r="A46" s="0" t="s">
        <v>111</v>
      </c>
      <c r="C46" s="3" t="n">
        <v>13.35</v>
      </c>
      <c r="D46" s="3" t="n">
        <v>13.35</v>
      </c>
      <c r="E46" s="3" t="n">
        <v>13</v>
      </c>
      <c r="F46" s="3" t="n">
        <v>13</v>
      </c>
      <c r="G46" s="3" t="n">
        <v>12.65</v>
      </c>
      <c r="H46" s="3" t="n">
        <v>12.3</v>
      </c>
      <c r="I46" s="3" t="n">
        <v>11.95</v>
      </c>
      <c r="J46" s="3" t="n">
        <v>11.6</v>
      </c>
      <c r="K46" s="3" t="n">
        <v>11.25</v>
      </c>
      <c r="L46" s="3" t="n">
        <v>10.9</v>
      </c>
    </row>
    <row r="47" customFormat="false" ht="15" hidden="false" customHeight="false" outlineLevel="0" collapsed="false">
      <c r="A47" s="0" t="s">
        <v>112</v>
      </c>
      <c r="C47" s="3" t="n">
        <v>25.5</v>
      </c>
      <c r="D47" s="3" t="n">
        <v>25.5</v>
      </c>
      <c r="E47" s="3" t="n">
        <v>25.5</v>
      </c>
      <c r="F47" s="3" t="n">
        <v>25.5</v>
      </c>
      <c r="G47" s="3" t="n">
        <v>25.5</v>
      </c>
      <c r="H47" s="3" t="n">
        <v>25.5</v>
      </c>
      <c r="I47" s="3" t="n">
        <v>25.5</v>
      </c>
      <c r="J47" s="3" t="n">
        <v>25.5</v>
      </c>
      <c r="K47" s="3" t="n">
        <v>25.5</v>
      </c>
      <c r="L47" s="3" t="n">
        <v>25.5</v>
      </c>
    </row>
    <row r="48" customFormat="false" ht="15" hidden="false" customHeight="false" outlineLevel="0" collapsed="false">
      <c r="A48" s="0" t="s">
        <v>113</v>
      </c>
      <c r="B48" s="3" t="n">
        <v>9.75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-2</v>
      </c>
      <c r="D5" s="4" t="n">
        <f aca="false">Assumptions!D13</f>
        <v>1.5</v>
      </c>
      <c r="E5" s="4" t="n">
        <f aca="false">Assumptions!E13</f>
        <v>2.5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8880</v>
      </c>
      <c r="C6" s="0" t="n">
        <f aca="false">B6*(1+C5/100)</f>
        <v>8702.4</v>
      </c>
      <c r="D6" s="0" t="n">
        <f aca="false">C6*(1+D5/100)</f>
        <v>8832.936</v>
      </c>
      <c r="E6" s="0" t="n">
        <f aca="false">D6*(1+E5/100)</f>
        <v>9053.7594</v>
      </c>
      <c r="F6" s="0" t="n">
        <f aca="false">E6*(1+F5/100)</f>
        <v>9325.372182</v>
      </c>
      <c r="G6" s="0" t="n">
        <f aca="false">F6*(1+G5/100)</f>
        <v>9605.13334746</v>
      </c>
      <c r="H6" s="0" t="n">
        <f aca="false">G6*(1+H5/100)</f>
        <v>9893.2873478838</v>
      </c>
      <c r="I6" s="0" t="n">
        <f aca="false">H6*(1+I5/100)</f>
        <v>10190.0859683203</v>
      </c>
      <c r="J6" s="0" t="n">
        <f aca="false">I6*(1+J5/100)</f>
        <v>10444.8381175283</v>
      </c>
      <c r="K6" s="0" t="n">
        <f aca="false">J6*(1+K5/100)</f>
        <v>10705.9590704665</v>
      </c>
      <c r="L6" s="0" t="n">
        <f aca="false">K6*(1+L5/100)</f>
        <v>10973.6080472282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38.9</v>
      </c>
      <c r="D7" s="4" t="n">
        <f aca="false">Assumptions!D14</f>
        <v>38.4</v>
      </c>
      <c r="E7" s="4" t="n">
        <f aca="false">Assumptions!E14</f>
        <v>38.9</v>
      </c>
      <c r="F7" s="4" t="n">
        <f aca="false">Assumptions!F14</f>
        <v>39.3</v>
      </c>
      <c r="G7" s="4" t="n">
        <f aca="false">Assumptions!G14</f>
        <v>39.8</v>
      </c>
      <c r="H7" s="4" t="n">
        <f aca="false">Assumptions!H14</f>
        <v>40.3</v>
      </c>
      <c r="I7" s="4" t="n">
        <f aca="false">Assumptions!I14</f>
        <v>40.3</v>
      </c>
      <c r="J7" s="4" t="n">
        <f aca="false">Assumptions!J14</f>
        <v>40.3</v>
      </c>
      <c r="K7" s="4" t="n">
        <f aca="false">Assumptions!K14</f>
        <v>40.3</v>
      </c>
      <c r="L7" s="4" t="n">
        <f aca="false">Assumptions!L14</f>
        <v>40.3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3385.2336</v>
      </c>
      <c r="D8" s="0" t="n">
        <f aca="false">D6*D7/100</f>
        <v>3391.847424</v>
      </c>
      <c r="E8" s="0" t="n">
        <f aca="false">E6*E7/100</f>
        <v>3521.9124066</v>
      </c>
      <c r="F8" s="0" t="n">
        <f aca="false">F6*F7/100</f>
        <v>3664.871267526</v>
      </c>
      <c r="G8" s="0" t="n">
        <f aca="false">G6*G7/100</f>
        <v>3822.84307228908</v>
      </c>
      <c r="H8" s="0" t="n">
        <f aca="false">H6*H7/100</f>
        <v>3986.99480119717</v>
      </c>
      <c r="I8" s="0" t="n">
        <f aca="false">I6*I7/100</f>
        <v>4106.60464523309</v>
      </c>
      <c r="J8" s="0" t="n">
        <f aca="false">J6*J7/100</f>
        <v>4209.26976136391</v>
      </c>
      <c r="K8" s="0" t="n">
        <f aca="false">K6*K7/100</f>
        <v>4314.50150539801</v>
      </c>
      <c r="L8" s="0" t="n">
        <f aca="false">L6*L7/100</f>
        <v>4422.36404303296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1.6</v>
      </c>
      <c r="D9" s="4" t="n">
        <f aca="false">Assumptions!D15</f>
        <v>1.6</v>
      </c>
      <c r="E9" s="4" t="n">
        <f aca="false">Assumptions!E15</f>
        <v>1.6</v>
      </c>
      <c r="F9" s="4" t="n">
        <f aca="false">Assumptions!F15</f>
        <v>1.5</v>
      </c>
      <c r="G9" s="4" t="n">
        <f aca="false">Assumptions!G15</f>
        <v>1.5</v>
      </c>
      <c r="H9" s="4" t="n">
        <f aca="false">Assumptions!H15</f>
        <v>1.5</v>
      </c>
      <c r="I9" s="4" t="n">
        <f aca="false">Assumptions!I15</f>
        <v>1.5</v>
      </c>
      <c r="J9" s="4" t="n">
        <f aca="false">Assumptions!J15</f>
        <v>1.5</v>
      </c>
      <c r="K9" s="4" t="n">
        <f aca="false">Assumptions!K15</f>
        <v>1.5</v>
      </c>
      <c r="L9" s="4" t="n">
        <f aca="false">Assumptions!L15</f>
        <v>1.5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-139.2384</v>
      </c>
      <c r="D10" s="0" t="n">
        <f aca="false">-D6*D9/100</f>
        <v>-141.326976</v>
      </c>
      <c r="E10" s="0" t="n">
        <f aca="false">-E6*E9/100</f>
        <v>-144.8601504</v>
      </c>
      <c r="F10" s="0" t="n">
        <f aca="false">-F6*F9/100</f>
        <v>-139.88058273</v>
      </c>
      <c r="G10" s="0" t="n">
        <f aca="false">-G6*G9/100</f>
        <v>-144.0770002119</v>
      </c>
      <c r="H10" s="0" t="n">
        <f aca="false">-H6*H9/100</f>
        <v>-148.399310218257</v>
      </c>
      <c r="I10" s="0" t="n">
        <f aca="false">-I6*I9/100</f>
        <v>-152.851289524805</v>
      </c>
      <c r="J10" s="0" t="n">
        <f aca="false">-J6*J9/100</f>
        <v>-156.672571762925</v>
      </c>
      <c r="K10" s="0" t="n">
        <f aca="false">-K6*K9/100</f>
        <v>-160.589386056998</v>
      </c>
      <c r="L10" s="0" t="n">
        <f aca="false">-L6*L9/100</f>
        <v>-164.604120708423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3245.9952</v>
      </c>
      <c r="D11" s="0" t="n">
        <f aca="false">D8+D10+D24</f>
        <v>3250.520448</v>
      </c>
      <c r="E11" s="0" t="n">
        <f aca="false">E8+E10+E24</f>
        <v>3377.0522562</v>
      </c>
      <c r="F11" s="0" t="n">
        <f aca="false">F8+F10+F24</f>
        <v>3524.990684796</v>
      </c>
      <c r="G11" s="0" t="n">
        <f aca="false">G8+G10+G24</f>
        <v>3678.76607207718</v>
      </c>
      <c r="H11" s="0" t="n">
        <f aca="false">H8+H10+H24</f>
        <v>3838.59549097891</v>
      </c>
      <c r="I11" s="0" t="n">
        <f aca="false">I8+I10+I24</f>
        <v>3953.75335570828</v>
      </c>
      <c r="J11" s="0" t="n">
        <f aca="false">J8+J10+J24</f>
        <v>4052.59718960099</v>
      </c>
      <c r="K11" s="0" t="n">
        <f aca="false">K8+K10+K24</f>
        <v>4153.91211934101</v>
      </c>
      <c r="L11" s="0" t="n">
        <f aca="false">L8+L10+L24</f>
        <v>4257.75992232454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-765.8112</v>
      </c>
      <c r="D12" s="4" t="n">
        <f aca="false">-D6*Assumptions!D17/100</f>
        <v>-777.298368</v>
      </c>
      <c r="E12" s="4" t="n">
        <f aca="false">-E6*Assumptions!E17/100</f>
        <v>-796.7308272</v>
      </c>
      <c r="F12" s="4" t="n">
        <f aca="false">-F6*Assumptions!F17/100</f>
        <v>-820.632752016</v>
      </c>
      <c r="G12" s="4" t="n">
        <f aca="false">-G6*Assumptions!G17/100</f>
        <v>-845.25173457648</v>
      </c>
      <c r="H12" s="4" t="n">
        <f aca="false">-H6*Assumptions!H17/100</f>
        <v>-870.609286613774</v>
      </c>
      <c r="I12" s="4" t="n">
        <f aca="false">-I6*Assumptions!I17/100</f>
        <v>-896.727565212188</v>
      </c>
      <c r="J12" s="4" t="n">
        <f aca="false">-J6*Assumptions!J17/100</f>
        <v>-919.145754342492</v>
      </c>
      <c r="K12" s="4" t="n">
        <f aca="false">-K6*Assumptions!K17/100</f>
        <v>-942.124398201054</v>
      </c>
      <c r="L12" s="4" t="n">
        <f aca="false">-L6*Assumptions!L17/100</f>
        <v>-965.67750815608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2480.184</v>
      </c>
      <c r="D13" s="0" t="n">
        <f aca="false">D11+D12</f>
        <v>2473.22208</v>
      </c>
      <c r="E13" s="0" t="n">
        <f aca="false">E11+E12</f>
        <v>2580.321429</v>
      </c>
      <c r="F13" s="0" t="n">
        <f aca="false">F11+F12</f>
        <v>2704.35793278</v>
      </c>
      <c r="G13" s="0" t="n">
        <f aca="false">G11+G12</f>
        <v>2833.5143375007</v>
      </c>
      <c r="H13" s="0" t="n">
        <f aca="false">H11+H12</f>
        <v>2967.98620436514</v>
      </c>
      <c r="I13" s="0" t="n">
        <f aca="false">I11+I12</f>
        <v>3057.02579049609</v>
      </c>
      <c r="J13" s="0" t="n">
        <f aca="false">J11+J12</f>
        <v>3133.4514352585</v>
      </c>
      <c r="K13" s="0" t="n">
        <f aca="false">K11+K12</f>
        <v>3211.78772113996</v>
      </c>
      <c r="L13" s="0" t="n">
        <f aca="false">L11+L12</f>
        <v>3292.08241416846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25.5</v>
      </c>
      <c r="D14" s="4" t="n">
        <f aca="false">Assumptions!D19</f>
        <v>25.5</v>
      </c>
      <c r="E14" s="4" t="n">
        <f aca="false">Assumptions!E19</f>
        <v>25.5</v>
      </c>
      <c r="F14" s="4" t="n">
        <f aca="false">Assumptions!F19</f>
        <v>25.5</v>
      </c>
      <c r="G14" s="4" t="n">
        <f aca="false">Assumptions!G19</f>
        <v>25.5</v>
      </c>
      <c r="H14" s="4" t="n">
        <f aca="false">Assumptions!H19</f>
        <v>25.5</v>
      </c>
      <c r="I14" s="4" t="n">
        <f aca="false">Assumptions!I19</f>
        <v>25.5</v>
      </c>
      <c r="J14" s="4" t="n">
        <f aca="false">Assumptions!J19</f>
        <v>25.5</v>
      </c>
      <c r="K14" s="4" t="n">
        <f aca="false">Assumptions!K19</f>
        <v>25.5</v>
      </c>
      <c r="L14" s="4" t="n">
        <f aca="false">Assumptions!L19</f>
        <v>25.5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1847.73708</v>
      </c>
      <c r="D15" s="0" t="n">
        <f aca="false">D13-MAX(0,D13)*D14/100</f>
        <v>1842.5504496</v>
      </c>
      <c r="E15" s="0" t="n">
        <f aca="false">E13-MAX(0,E13)*E14/100</f>
        <v>1922.339464605</v>
      </c>
      <c r="F15" s="0" t="n">
        <f aca="false">F13-MAX(0,F13)*F14/100</f>
        <v>2014.7466599211</v>
      </c>
      <c r="G15" s="0" t="n">
        <f aca="false">G13-MAX(0,G13)*G14/100</f>
        <v>2110.96818143802</v>
      </c>
      <c r="H15" s="0" t="n">
        <f aca="false">H13-MAX(0,H13)*H14/100</f>
        <v>2211.14972225203</v>
      </c>
      <c r="I15" s="0" t="n">
        <f aca="false">I13-MAX(0,I13)*I14/100</f>
        <v>2277.48421391959</v>
      </c>
      <c r="J15" s="0" t="n">
        <f aca="false">J13-MAX(0,J13)*J14/100</f>
        <v>2334.42131926758</v>
      </c>
      <c r="K15" s="0" t="n">
        <f aca="false">K13-MAX(0,K13)*K14/100</f>
        <v>2392.78185224927</v>
      </c>
      <c r="L15" s="0" t="n">
        <f aca="false">L13-MAX(0,L13)*L14/100</f>
        <v>2452.6013985555</v>
      </c>
    </row>
    <row r="16" customFormat="false" ht="15" hidden="false" customHeight="false" outlineLevel="0" collapsed="false">
      <c r="A16" s="0" t="s">
        <v>128</v>
      </c>
      <c r="C16" s="0" t="n">
        <f aca="false">-C12</f>
        <v>765.8112</v>
      </c>
      <c r="D16" s="0" t="n">
        <f aca="false">-D12</f>
        <v>777.298368</v>
      </c>
      <c r="E16" s="0" t="n">
        <f aca="false">-E12</f>
        <v>796.7308272</v>
      </c>
      <c r="F16" s="0" t="n">
        <f aca="false">-F12</f>
        <v>820.632752016</v>
      </c>
      <c r="G16" s="0" t="n">
        <f aca="false">-G12</f>
        <v>845.25173457648</v>
      </c>
      <c r="H16" s="0" t="n">
        <f aca="false">-H12</f>
        <v>870.609286613774</v>
      </c>
      <c r="I16" s="0" t="n">
        <f aca="false">-I12</f>
        <v>896.727565212188</v>
      </c>
      <c r="J16" s="0" t="n">
        <f aca="false">-J12</f>
        <v>919.145754342492</v>
      </c>
      <c r="K16" s="0" t="n">
        <f aca="false">-K12</f>
        <v>942.124398201054</v>
      </c>
      <c r="L16" s="0" t="n">
        <f aca="false">-L12</f>
        <v>965.67750815608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-896.3472</v>
      </c>
      <c r="D17" s="4" t="n">
        <f aca="false">-D6*Assumptions!D18/100</f>
        <v>-1082.03466</v>
      </c>
      <c r="E17" s="4" t="n">
        <f aca="false">-E6*Assumptions!E18/100</f>
        <v>-1090.9780077</v>
      </c>
      <c r="F17" s="4" t="n">
        <f aca="false">-F6*Assumptions!F18/100</f>
        <v>-1184.322267114</v>
      </c>
      <c r="G17" s="4" t="n">
        <f aca="false">-G6*Assumptions!G18/100</f>
        <v>-1219.85193512742</v>
      </c>
      <c r="H17" s="4" t="n">
        <f aca="false">-H6*Assumptions!H18/100</f>
        <v>-1256.44749318124</v>
      </c>
      <c r="I17" s="4" t="n">
        <f aca="false">-I6*Assumptions!I18/100</f>
        <v>-1294.14091797668</v>
      </c>
      <c r="J17" s="4" t="n">
        <f aca="false">-J6*Assumptions!J18/100</f>
        <v>-1258.60299316216</v>
      </c>
      <c r="K17" s="4" t="n">
        <f aca="false">-K6*Assumptions!K18/100</f>
        <v>-1290.06806799122</v>
      </c>
      <c r="L17" s="4" t="n">
        <f aca="false">-L6*Assumptions!L18/100</f>
        <v>-1322.319769691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1717.20108</v>
      </c>
      <c r="D19" s="0" t="n">
        <f aca="false">D15+D16+D17+D18</f>
        <v>1537.8141576</v>
      </c>
      <c r="E19" s="0" t="n">
        <f aca="false">E15+E16+E17+E18</f>
        <v>1628.092284105</v>
      </c>
      <c r="F19" s="0" t="n">
        <f aca="false">F15+F16+F17+F18</f>
        <v>1651.0571448231</v>
      </c>
      <c r="G19" s="0" t="n">
        <f aca="false">G15+G16+G17+G18</f>
        <v>1736.36798088708</v>
      </c>
      <c r="H19" s="0" t="n">
        <f aca="false">H15+H16+H17+H18</f>
        <v>1825.31151568456</v>
      </c>
      <c r="I19" s="0" t="n">
        <f aca="false">I15+I16+I17+I18</f>
        <v>1880.0708611551</v>
      </c>
      <c r="J19" s="0" t="n">
        <f aca="false">J15+J16+J17+J18</f>
        <v>1994.96408044791</v>
      </c>
      <c r="K19" s="0" t="n">
        <f aca="false">K15+K16+K17+K18</f>
        <v>2044.83818245911</v>
      </c>
      <c r="L19" s="0" t="n">
        <f aca="false">L15+L16+L17+L18</f>
        <v>2095.95913702058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0.911161731207289</v>
      </c>
      <c r="D20" s="0" t="n">
        <f aca="false">1/(1+$B$27/100)^D4</f>
        <v>0.830215700416665</v>
      </c>
      <c r="E20" s="0" t="n">
        <f aca="false">1/(1+$B$27/100)^E4</f>
        <v>0.756460774867121</v>
      </c>
      <c r="F20" s="0" t="n">
        <f aca="false">1/(1+$B$27/100)^F4</f>
        <v>0.689258109218333</v>
      </c>
      <c r="G20" s="0" t="n">
        <f aca="false">1/(1+$B$27/100)^G4</f>
        <v>0.628025612044039</v>
      </c>
      <c r="H20" s="0" t="n">
        <f aca="false">1/(1+$B$27/100)^H4</f>
        <v>0.572232903912564</v>
      </c>
      <c r="I20" s="0" t="n">
        <f aca="false">1/(1+$B$27/100)^I4</f>
        <v>0.521396723382747</v>
      </c>
      <c r="J20" s="0" t="n">
        <f aca="false">1/(1+$B$27/100)^J4</f>
        <v>0.475076741123232</v>
      </c>
      <c r="K20" s="0" t="n">
        <f aca="false">1/(1+$B$27/100)^K4</f>
        <v>0.432871745898161</v>
      </c>
      <c r="L20" s="0" t="n">
        <f aca="false">1/(1+$B$27/100)^L4</f>
        <v>0.39441616938329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1564.64790888383</v>
      </c>
      <c r="D21" s="0" t="n">
        <f aca="false">D19*D20</f>
        <v>1276.71745796255</v>
      </c>
      <c r="E21" s="0" t="n">
        <f aca="false">E19*E20</f>
        <v>1231.58795078925</v>
      </c>
      <c r="F21" s="0" t="n">
        <f aca="false">F19*F20</f>
        <v>1138.00452585219</v>
      </c>
      <c r="G21" s="0" t="n">
        <f aca="false">G19*G20</f>
        <v>1090.48356393028</v>
      </c>
      <c r="H21" s="0" t="n">
        <f aca="false">H19*H20</f>
        <v>1044.50330916522</v>
      </c>
      <c r="I21" s="0" t="n">
        <f aca="false">I19*I20</f>
        <v>980.262786733646</v>
      </c>
      <c r="J21" s="0" t="n">
        <f aca="false">J19*J20</f>
        <v>947.761033997097</v>
      </c>
      <c r="K21" s="0" t="n">
        <f aca="false">K19*K20</f>
        <v>885.152674120295</v>
      </c>
      <c r="L21" s="0" t="n">
        <f aca="false">L19*L20</f>
        <v>826.680174007565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9.75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10985.8013854419</v>
      </c>
    </row>
    <row r="31" customFormat="false" ht="15" hidden="false" customHeight="false" outlineLevel="0" collapsed="false">
      <c r="A31" s="0" t="s">
        <v>137</v>
      </c>
      <c r="B31" s="0" t="n">
        <f aca="false">L19</f>
        <v>2095.95913702058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29632.525730291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27247.4687812676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27247.4687812676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10746.8422620983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21732.6436475403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20847.6436475403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113.364022009463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-0.329999869920431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914.163229023608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917.870205839777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123.32613965418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17186.8649235688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66.0389932578114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4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8880</v>
      </c>
      <c r="C6" s="0" t="n">
        <f aca="false">B6*(1+C5/100)</f>
        <v>9235.2</v>
      </c>
      <c r="D6" s="0" t="n">
        <f aca="false">C6*(1+D5/100)</f>
        <v>9696.96</v>
      </c>
      <c r="E6" s="0" t="n">
        <f aca="false">D6*(1+E5/100)</f>
        <v>10181.808</v>
      </c>
      <c r="F6" s="0" t="n">
        <f aca="false">E6*(1+F5/100)</f>
        <v>10639.98936</v>
      </c>
      <c r="G6" s="0" t="n">
        <f aca="false">F6*(1+G5/100)</f>
        <v>11118.7888812</v>
      </c>
      <c r="H6" s="0" t="n">
        <f aca="false">G6*(1+H5/100)</f>
        <v>11563.540436448</v>
      </c>
      <c r="I6" s="0" t="n">
        <f aca="false">H6*(1+I5/100)</f>
        <v>12026.0820539059</v>
      </c>
      <c r="J6" s="0" t="n">
        <f aca="false">I6*(1+J5/100)</f>
        <v>12446.9949257926</v>
      </c>
      <c r="K6" s="0" t="n">
        <f aca="false">J6*(1+K5/100)</f>
        <v>12820.4047735664</v>
      </c>
      <c r="L6" s="0" t="n">
        <f aca="false">K6*(1+L5/100)</f>
        <v>13205.0169167734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41.8</v>
      </c>
      <c r="D7" s="4" t="n">
        <f aca="false">Assumptions!D28</f>
        <v>42.3</v>
      </c>
      <c r="E7" s="4" t="n">
        <f aca="false">Assumptions!E28</f>
        <v>42.75</v>
      </c>
      <c r="F7" s="4" t="n">
        <f aca="false">Assumptions!F28</f>
        <v>43.25</v>
      </c>
      <c r="G7" s="4" t="n">
        <f aca="false">Assumptions!G28</f>
        <v>43.2</v>
      </c>
      <c r="H7" s="4" t="n">
        <f aca="false">Assumptions!H28</f>
        <v>43.2</v>
      </c>
      <c r="I7" s="4" t="n">
        <f aca="false">Assumptions!I28</f>
        <v>43.2</v>
      </c>
      <c r="J7" s="4" t="n">
        <f aca="false">Assumptions!J28</f>
        <v>43.2</v>
      </c>
      <c r="K7" s="4" t="n">
        <f aca="false">Assumptions!K28</f>
        <v>43.2</v>
      </c>
      <c r="L7" s="4" t="n">
        <f aca="false">Assumptions!L28</f>
        <v>43.2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3860.3136</v>
      </c>
      <c r="D8" s="0" t="n">
        <f aca="false">D6*D7/100</f>
        <v>4101.81408</v>
      </c>
      <c r="E8" s="0" t="n">
        <f aca="false">E6*E7/100</f>
        <v>4352.72292</v>
      </c>
      <c r="F8" s="0" t="n">
        <f aca="false">F6*F7/100</f>
        <v>4601.7953982</v>
      </c>
      <c r="G8" s="0" t="n">
        <f aca="false">G6*G7/100</f>
        <v>4803.3167966784</v>
      </c>
      <c r="H8" s="0" t="n">
        <f aca="false">H6*H7/100</f>
        <v>4995.44946854554</v>
      </c>
      <c r="I8" s="0" t="n">
        <f aca="false">I6*I7/100</f>
        <v>5195.26744728736</v>
      </c>
      <c r="J8" s="0" t="n">
        <f aca="false">J6*J7/100</f>
        <v>5377.10180794242</v>
      </c>
      <c r="K8" s="0" t="n">
        <f aca="false">K6*K7/100</f>
        <v>5538.41486218069</v>
      </c>
      <c r="L8" s="0" t="n">
        <f aca="false">L6*L7/100</f>
        <v>5704.56730804611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1.5</v>
      </c>
      <c r="D9" s="4" t="n">
        <f aca="false">Assumptions!D29</f>
        <v>1.5</v>
      </c>
      <c r="E9" s="4" t="n">
        <f aca="false">Assumptions!E29</f>
        <v>1.45</v>
      </c>
      <c r="F9" s="4" t="n">
        <f aca="false">Assumptions!F29</f>
        <v>1.45</v>
      </c>
      <c r="G9" s="4" t="n">
        <f aca="false">Assumptions!G29</f>
        <v>1.4</v>
      </c>
      <c r="H9" s="4" t="n">
        <f aca="false">Assumptions!H29</f>
        <v>1.4</v>
      </c>
      <c r="I9" s="4" t="n">
        <f aca="false">Assumptions!I29</f>
        <v>1.4</v>
      </c>
      <c r="J9" s="4" t="n">
        <f aca="false">Assumptions!J29</f>
        <v>1.4</v>
      </c>
      <c r="K9" s="4" t="n">
        <f aca="false">Assumptions!K29</f>
        <v>1.4</v>
      </c>
      <c r="L9" s="4" t="n">
        <f aca="false">Assumptions!L29</f>
        <v>1.4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-138.528</v>
      </c>
      <c r="D10" s="0" t="n">
        <f aca="false">-D6*D9/100</f>
        <v>-145.4544</v>
      </c>
      <c r="E10" s="0" t="n">
        <f aca="false">-E6*E9/100</f>
        <v>-147.636216</v>
      </c>
      <c r="F10" s="0" t="n">
        <f aca="false">-F6*F9/100</f>
        <v>-154.27984572</v>
      </c>
      <c r="G10" s="0" t="n">
        <f aca="false">-G6*G9/100</f>
        <v>-155.6630443368</v>
      </c>
      <c r="H10" s="0" t="n">
        <f aca="false">-H6*H9/100</f>
        <v>-161.889566110272</v>
      </c>
      <c r="I10" s="0" t="n">
        <f aca="false">-I6*I9/100</f>
        <v>-168.365148754683</v>
      </c>
      <c r="J10" s="0" t="n">
        <f aca="false">-J6*J9/100</f>
        <v>-174.257928961097</v>
      </c>
      <c r="K10" s="0" t="n">
        <f aca="false">-K6*K9/100</f>
        <v>-179.48566682993</v>
      </c>
      <c r="L10" s="0" t="n">
        <f aca="false">-L6*L9/100</f>
        <v>-184.870236834828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3721.7856</v>
      </c>
      <c r="D11" s="0" t="n">
        <f aca="false">D8+D10+D24</f>
        <v>3956.35968</v>
      </c>
      <c r="E11" s="0" t="n">
        <f aca="false">E8+E10+E24</f>
        <v>4205.086704</v>
      </c>
      <c r="F11" s="0" t="n">
        <f aca="false">F8+F10+F24</f>
        <v>4447.51555248</v>
      </c>
      <c r="G11" s="0" t="n">
        <f aca="false">G8+G10+G24</f>
        <v>4647.6537523416</v>
      </c>
      <c r="H11" s="0" t="n">
        <f aca="false">H8+H10+H24</f>
        <v>4833.55990243526</v>
      </c>
      <c r="I11" s="0" t="n">
        <f aca="false">I8+I10+I24</f>
        <v>5026.90229853267</v>
      </c>
      <c r="J11" s="0" t="n">
        <f aca="false">J8+J10+J24</f>
        <v>5202.84387898132</v>
      </c>
      <c r="K11" s="0" t="n">
        <f aca="false">K8+K10+K24</f>
        <v>5358.92919535076</v>
      </c>
      <c r="L11" s="0" t="n">
        <f aca="false">L8+L10+L24</f>
        <v>5519.69707121128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-812.6976</v>
      </c>
      <c r="D12" s="4" t="n">
        <f aca="false">-D6*Assumptions!D31/100</f>
        <v>-853.33248</v>
      </c>
      <c r="E12" s="4" t="n">
        <f aca="false">-E6*Assumptions!E31/100</f>
        <v>-895.999104</v>
      </c>
      <c r="F12" s="4" t="n">
        <f aca="false">-F6*Assumptions!F31/100</f>
        <v>-936.31906368</v>
      </c>
      <c r="G12" s="4" t="n">
        <f aca="false">-G6*Assumptions!G31/100</f>
        <v>-978.4534215456</v>
      </c>
      <c r="H12" s="4" t="n">
        <f aca="false">-H6*Assumptions!H31/100</f>
        <v>-1017.59155840742</v>
      </c>
      <c r="I12" s="4" t="n">
        <f aca="false">-I6*Assumptions!I31/100</f>
        <v>-1058.29522074372</v>
      </c>
      <c r="J12" s="4" t="n">
        <f aca="false">-J6*Assumptions!J31/100</f>
        <v>-1095.33555346975</v>
      </c>
      <c r="K12" s="4" t="n">
        <f aca="false">-K6*Assumptions!K31/100</f>
        <v>-1128.19562007384</v>
      </c>
      <c r="L12" s="4" t="n">
        <f aca="false">-L6*Assumptions!L31/100</f>
        <v>-1162.04148867606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2909.088</v>
      </c>
      <c r="D13" s="0" t="n">
        <f aca="false">D11+D12</f>
        <v>3103.0272</v>
      </c>
      <c r="E13" s="0" t="n">
        <f aca="false">E11+E12</f>
        <v>3309.0876</v>
      </c>
      <c r="F13" s="0" t="n">
        <f aca="false">F11+F12</f>
        <v>3511.1964888</v>
      </c>
      <c r="G13" s="0" t="n">
        <f aca="false">G11+G12</f>
        <v>3669.200330796</v>
      </c>
      <c r="H13" s="0" t="n">
        <f aca="false">H11+H12</f>
        <v>3815.96834402784</v>
      </c>
      <c r="I13" s="0" t="n">
        <f aca="false">I11+I12</f>
        <v>3968.60707778895</v>
      </c>
      <c r="J13" s="0" t="n">
        <f aca="false">J11+J12</f>
        <v>4107.50832551157</v>
      </c>
      <c r="K13" s="0" t="n">
        <f aca="false">K11+K12</f>
        <v>4230.73357527691</v>
      </c>
      <c r="L13" s="0" t="n">
        <f aca="false">L11+L12</f>
        <v>4357.65558253522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25.5</v>
      </c>
      <c r="D14" s="4" t="n">
        <f aca="false">Assumptions!D33</f>
        <v>25.5</v>
      </c>
      <c r="E14" s="4" t="n">
        <f aca="false">Assumptions!E33</f>
        <v>25.5</v>
      </c>
      <c r="F14" s="4" t="n">
        <f aca="false">Assumptions!F33</f>
        <v>25.5</v>
      </c>
      <c r="G14" s="4" t="n">
        <f aca="false">Assumptions!G33</f>
        <v>25.5</v>
      </c>
      <c r="H14" s="4" t="n">
        <f aca="false">Assumptions!H33</f>
        <v>25.5</v>
      </c>
      <c r="I14" s="4" t="n">
        <f aca="false">Assumptions!I33</f>
        <v>25.5</v>
      </c>
      <c r="J14" s="4" t="n">
        <f aca="false">Assumptions!J33</f>
        <v>25.5</v>
      </c>
      <c r="K14" s="4" t="n">
        <f aca="false">Assumptions!K33</f>
        <v>25.5</v>
      </c>
      <c r="L14" s="4" t="n">
        <f aca="false">Assumptions!L33</f>
        <v>25.5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2167.27056</v>
      </c>
      <c r="D15" s="0" t="n">
        <f aca="false">D13-MAX(0,D13)*D14/100</f>
        <v>2311.755264</v>
      </c>
      <c r="E15" s="0" t="n">
        <f aca="false">E13-MAX(0,E13)*E14/100</f>
        <v>2465.270262</v>
      </c>
      <c r="F15" s="0" t="n">
        <f aca="false">F13-MAX(0,F13)*F14/100</f>
        <v>2615.841384156</v>
      </c>
      <c r="G15" s="0" t="n">
        <f aca="false">G13-MAX(0,G13)*G14/100</f>
        <v>2733.55424644302</v>
      </c>
      <c r="H15" s="0" t="n">
        <f aca="false">H13-MAX(0,H13)*H14/100</f>
        <v>2842.89641630074</v>
      </c>
      <c r="I15" s="0" t="n">
        <f aca="false">I13-MAX(0,I13)*I14/100</f>
        <v>2956.61227295277</v>
      </c>
      <c r="J15" s="0" t="n">
        <f aca="false">J13-MAX(0,J13)*J14/100</f>
        <v>3060.09370250612</v>
      </c>
      <c r="K15" s="0" t="n">
        <f aca="false">K13-MAX(0,K13)*K14/100</f>
        <v>3151.8965135813</v>
      </c>
      <c r="L15" s="0" t="n">
        <f aca="false">L13-MAX(0,L13)*L14/100</f>
        <v>3246.45340898874</v>
      </c>
    </row>
    <row r="16" customFormat="false" ht="15" hidden="false" customHeight="false" outlineLevel="0" collapsed="false">
      <c r="A16" s="0" t="s">
        <v>128</v>
      </c>
      <c r="C16" s="0" t="n">
        <f aca="false">-C12</f>
        <v>812.6976</v>
      </c>
      <c r="D16" s="0" t="n">
        <f aca="false">-D12</f>
        <v>853.33248</v>
      </c>
      <c r="E16" s="0" t="n">
        <f aca="false">-E12</f>
        <v>895.999104</v>
      </c>
      <c r="F16" s="0" t="n">
        <f aca="false">-F12</f>
        <v>936.31906368</v>
      </c>
      <c r="G16" s="0" t="n">
        <f aca="false">-G12</f>
        <v>978.4534215456</v>
      </c>
      <c r="H16" s="0" t="n">
        <f aca="false">-H12</f>
        <v>1017.59155840742</v>
      </c>
      <c r="I16" s="0" t="n">
        <f aca="false">-I12</f>
        <v>1058.29522074372</v>
      </c>
      <c r="J16" s="0" t="n">
        <f aca="false">-J12</f>
        <v>1095.33555346975</v>
      </c>
      <c r="K16" s="0" t="n">
        <f aca="false">-K12</f>
        <v>1128.19562007384</v>
      </c>
      <c r="L16" s="0" t="n">
        <f aca="false">-L12</f>
        <v>1162.04148867606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-1108.224</v>
      </c>
      <c r="D17" s="4" t="n">
        <f aca="false">-D6*Assumptions!D32/100</f>
        <v>-1241.21088</v>
      </c>
      <c r="E17" s="4" t="n">
        <f aca="false">-E6*Assumptions!E32/100</f>
        <v>-1303.271424</v>
      </c>
      <c r="F17" s="4" t="n">
        <f aca="false">-F6*Assumptions!F32/100</f>
        <v>-1319.35868064</v>
      </c>
      <c r="G17" s="4" t="n">
        <f aca="false">-G6*Assumptions!G32/100</f>
        <v>-1378.7298212688</v>
      </c>
      <c r="H17" s="4" t="n">
        <f aca="false">-H6*Assumptions!H32/100</f>
        <v>-1387.62485237376</v>
      </c>
      <c r="I17" s="4" t="n">
        <f aca="false">-I6*Assumptions!I32/100</f>
        <v>-1443.12984646871</v>
      </c>
      <c r="J17" s="4" t="n">
        <f aca="false">-J6*Assumptions!J32/100</f>
        <v>-1443.85141139194</v>
      </c>
      <c r="K17" s="4" t="n">
        <f aca="false">-K6*Assumptions!K32/100</f>
        <v>-1435.88533463944</v>
      </c>
      <c r="L17" s="4" t="n">
        <f aca="false">-L6*Assumptions!L32/100</f>
        <v>-1478.96189467862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1871.74416</v>
      </c>
      <c r="D19" s="0" t="n">
        <f aca="false">D15+D16+D17+D18</f>
        <v>1923.876864</v>
      </c>
      <c r="E19" s="0" t="n">
        <f aca="false">E15+E16+E17+E18</f>
        <v>2057.997942</v>
      </c>
      <c r="F19" s="0" t="n">
        <f aca="false">F15+F16+F17+F18</f>
        <v>2232.801767196</v>
      </c>
      <c r="G19" s="0" t="n">
        <f aca="false">G15+G16+G17+G18</f>
        <v>2333.27784671982</v>
      </c>
      <c r="H19" s="0" t="n">
        <f aca="false">H15+H16+H17+H18</f>
        <v>2472.8631223344</v>
      </c>
      <c r="I19" s="0" t="n">
        <f aca="false">I15+I16+I17+I18</f>
        <v>2571.77764722778</v>
      </c>
      <c r="J19" s="0" t="n">
        <f aca="false">J15+J16+J17+J18</f>
        <v>2711.57784458392</v>
      </c>
      <c r="K19" s="0" t="n">
        <f aca="false">K15+K16+K17+K18</f>
        <v>2844.20679901571</v>
      </c>
      <c r="L19" s="0" t="n">
        <f aca="false">L15+L16+L17+L18</f>
        <v>2929.53300298618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0.911161731207289</v>
      </c>
      <c r="D20" s="0" t="n">
        <f aca="false">1/(1+$B$27/100)^D4</f>
        <v>0.830215700416665</v>
      </c>
      <c r="E20" s="0" t="n">
        <f aca="false">1/(1+$B$27/100)^E4</f>
        <v>0.756460774867121</v>
      </c>
      <c r="F20" s="0" t="n">
        <f aca="false">1/(1+$B$27/100)^F4</f>
        <v>0.689258109218333</v>
      </c>
      <c r="G20" s="0" t="n">
        <f aca="false">1/(1+$B$27/100)^G4</f>
        <v>0.628025612044039</v>
      </c>
      <c r="H20" s="0" t="n">
        <f aca="false">1/(1+$B$27/100)^H4</f>
        <v>0.572232903912564</v>
      </c>
      <c r="I20" s="0" t="n">
        <f aca="false">1/(1+$B$27/100)^I4</f>
        <v>0.521396723382747</v>
      </c>
      <c r="J20" s="0" t="n">
        <f aca="false">1/(1+$B$27/100)^J4</f>
        <v>0.475076741123232</v>
      </c>
      <c r="K20" s="0" t="n">
        <f aca="false">1/(1+$B$27/100)^K4</f>
        <v>0.432871745898161</v>
      </c>
      <c r="L20" s="0" t="n">
        <f aca="false">1/(1+$B$27/100)^L4</f>
        <v>0.39441616938329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1705.46164920273</v>
      </c>
      <c r="D21" s="0" t="n">
        <f aca="false">D19*D20</f>
        <v>1597.23277816118</v>
      </c>
      <c r="E21" s="0" t="n">
        <f aca="false">E19*E20</f>
        <v>1556.79471788026</v>
      </c>
      <c r="F21" s="0" t="n">
        <f aca="false">F19*F20</f>
        <v>1538.97672431687</v>
      </c>
      <c r="G21" s="0" t="n">
        <f aca="false">G19*G20</f>
        <v>1465.35824775501</v>
      </c>
      <c r="H21" s="0" t="n">
        <f aca="false">H19*H20</f>
        <v>1415.05364547171</v>
      </c>
      <c r="I21" s="0" t="n">
        <f aca="false">I19*I20</f>
        <v>1340.91643853355</v>
      </c>
      <c r="J21" s="0" t="n">
        <f aca="false">J19*J20</f>
        <v>1288.20756570689</v>
      </c>
      <c r="K21" s="0" t="n">
        <f aca="false">K19*K20</f>
        <v>1231.17676278535</v>
      </c>
      <c r="L21" s="0" t="n">
        <f aca="false">L19*L20</f>
        <v>1155.45518511974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9.75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14294.6337149333</v>
      </c>
    </row>
    <row r="31" customFormat="false" ht="15" hidden="false" customHeight="false" outlineLevel="0" collapsed="false">
      <c r="A31" s="0" t="s">
        <v>137</v>
      </c>
      <c r="B31" s="0" t="n">
        <f aca="false">L19</f>
        <v>2929.53300298618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44702.5036011224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43942.9950447927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43942.9950447927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17331.827776796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31626.4614917293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30741.4614917293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167.164010286728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-0.0120330361304483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976.579505709329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1112.64125873682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178.524645221182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25145.1582756314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90.579823533038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6.5</v>
      </c>
      <c r="D5" s="4" t="n">
        <f aca="false">Assumptions!D41</f>
        <v>6.5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8880</v>
      </c>
      <c r="C6" s="0" t="n">
        <f aca="false">B6*(1+C5/100)</f>
        <v>9457.2</v>
      </c>
      <c r="D6" s="0" t="n">
        <f aca="false">C6*(1+D5/100)</f>
        <v>10071.918</v>
      </c>
      <c r="E6" s="0" t="n">
        <f aca="false">D6*(1+E5/100)</f>
        <v>10676.23308</v>
      </c>
      <c r="F6" s="0" t="n">
        <f aca="false">E6*(1+F5/100)</f>
        <v>11316.8070648</v>
      </c>
      <c r="G6" s="0" t="n">
        <f aca="false">F6*(1+G5/100)</f>
        <v>11939.231453364</v>
      </c>
      <c r="H6" s="0" t="n">
        <f aca="false">G6*(1+H5/100)</f>
        <v>12536.1930260322</v>
      </c>
      <c r="I6" s="0" t="n">
        <f aca="false">H6*(1+I5/100)</f>
        <v>13100.3217122036</v>
      </c>
      <c r="J6" s="0" t="n">
        <f aca="false">I6*(1+J5/100)</f>
        <v>13624.3345806918</v>
      </c>
      <c r="K6" s="0" t="n">
        <f aca="false">J6*(1+K5/100)</f>
        <v>14101.186291016</v>
      </c>
      <c r="L6" s="0" t="n">
        <f aca="false">K6*(1+L5/100)</f>
        <v>14524.2218797465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43.3</v>
      </c>
      <c r="D7" s="4" t="n">
        <f aca="false">Assumptions!D42</f>
        <v>43.8</v>
      </c>
      <c r="E7" s="4" t="n">
        <f aca="false">Assumptions!E42</f>
        <v>44.25</v>
      </c>
      <c r="F7" s="4" t="n">
        <f aca="false">Assumptions!F42</f>
        <v>44.75</v>
      </c>
      <c r="G7" s="4" t="n">
        <f aca="false">Assumptions!G42</f>
        <v>45.2</v>
      </c>
      <c r="H7" s="4" t="n">
        <f aca="false">Assumptions!H42</f>
        <v>45.2</v>
      </c>
      <c r="I7" s="4" t="n">
        <f aca="false">Assumptions!I42</f>
        <v>45.2</v>
      </c>
      <c r="J7" s="4" t="n">
        <f aca="false">Assumptions!J42</f>
        <v>45.2</v>
      </c>
      <c r="K7" s="4" t="n">
        <f aca="false">Assumptions!K42</f>
        <v>45.2</v>
      </c>
      <c r="L7" s="4" t="n">
        <f aca="false">Assumptions!L42</f>
        <v>45.2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4094.9676</v>
      </c>
      <c r="D8" s="0" t="n">
        <f aca="false">D6*D7/100</f>
        <v>4411.500084</v>
      </c>
      <c r="E8" s="0" t="n">
        <f aca="false">E6*E7/100</f>
        <v>4724.2331379</v>
      </c>
      <c r="F8" s="0" t="n">
        <f aca="false">F6*F7/100</f>
        <v>5064.271161498</v>
      </c>
      <c r="G8" s="0" t="n">
        <f aca="false">G6*G7/100</f>
        <v>5396.53261692053</v>
      </c>
      <c r="H8" s="0" t="n">
        <f aca="false">H6*H7/100</f>
        <v>5666.35924776655</v>
      </c>
      <c r="I8" s="0" t="n">
        <f aca="false">I6*I7/100</f>
        <v>5921.34541391605</v>
      </c>
      <c r="J8" s="0" t="n">
        <f aca="false">J6*J7/100</f>
        <v>6158.19923047269</v>
      </c>
      <c r="K8" s="0" t="n">
        <f aca="false">K6*K7/100</f>
        <v>6373.73620353924</v>
      </c>
      <c r="L8" s="0" t="n">
        <f aca="false">L6*L7/100</f>
        <v>6564.94828964541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1.5</v>
      </c>
      <c r="D9" s="4" t="n">
        <f aca="false">Assumptions!D43</f>
        <v>1.5</v>
      </c>
      <c r="E9" s="4" t="n">
        <f aca="false">Assumptions!E43</f>
        <v>1.45</v>
      </c>
      <c r="F9" s="4" t="n">
        <f aca="false">Assumptions!F43</f>
        <v>1.45</v>
      </c>
      <c r="G9" s="4" t="n">
        <f aca="false">Assumptions!G43</f>
        <v>1.4</v>
      </c>
      <c r="H9" s="4" t="n">
        <f aca="false">Assumptions!H43</f>
        <v>1.4</v>
      </c>
      <c r="I9" s="4" t="n">
        <f aca="false">Assumptions!I43</f>
        <v>1.4</v>
      </c>
      <c r="J9" s="4" t="n">
        <f aca="false">Assumptions!J43</f>
        <v>1.4</v>
      </c>
      <c r="K9" s="4" t="n">
        <f aca="false">Assumptions!K43</f>
        <v>1.4</v>
      </c>
      <c r="L9" s="4" t="n">
        <f aca="false">Assumptions!L43</f>
        <v>1.4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-141.858</v>
      </c>
      <c r="D10" s="0" t="n">
        <f aca="false">-D6*D9/100</f>
        <v>-151.07877</v>
      </c>
      <c r="E10" s="0" t="n">
        <f aca="false">-E6*E9/100</f>
        <v>-154.80537966</v>
      </c>
      <c r="F10" s="0" t="n">
        <f aca="false">-F6*F9/100</f>
        <v>-164.0937024396</v>
      </c>
      <c r="G10" s="0" t="n">
        <f aca="false">-G6*G9/100</f>
        <v>-167.149240347096</v>
      </c>
      <c r="H10" s="0" t="n">
        <f aca="false">-H6*H9/100</f>
        <v>-175.506702364451</v>
      </c>
      <c r="I10" s="0" t="n">
        <f aca="false">-I6*I9/100</f>
        <v>-183.404503970851</v>
      </c>
      <c r="J10" s="0" t="n">
        <f aca="false">-J6*J9/100</f>
        <v>-190.740684129685</v>
      </c>
      <c r="K10" s="0" t="n">
        <f aca="false">-K6*K9/100</f>
        <v>-197.416608074224</v>
      </c>
      <c r="L10" s="0" t="n">
        <f aca="false">-L6*L9/100</f>
        <v>-203.339106316451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3953.1096</v>
      </c>
      <c r="D11" s="0" t="n">
        <f aca="false">D8+D10+D24</f>
        <v>4260.421314</v>
      </c>
      <c r="E11" s="0" t="n">
        <f aca="false">E8+E10+E24</f>
        <v>4569.42775824</v>
      </c>
      <c r="F11" s="0" t="n">
        <f aca="false">F8+F10+F24</f>
        <v>4900.1774590584</v>
      </c>
      <c r="G11" s="0" t="n">
        <f aca="false">G8+G10+G24</f>
        <v>5229.38337657343</v>
      </c>
      <c r="H11" s="0" t="n">
        <f aca="false">H8+H10+H24</f>
        <v>5490.8525454021</v>
      </c>
      <c r="I11" s="0" t="n">
        <f aca="false">I8+I10+I24</f>
        <v>5737.9409099452</v>
      </c>
      <c r="J11" s="0" t="n">
        <f aca="false">J8+J10+J24</f>
        <v>5967.45854634301</v>
      </c>
      <c r="K11" s="0" t="n">
        <f aca="false">K8+K10+K24</f>
        <v>6176.31959546501</v>
      </c>
      <c r="L11" s="0" t="n">
        <f aca="false">L8+L10+L24</f>
        <v>6361.60918332896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-832.2336</v>
      </c>
      <c r="D12" s="4" t="n">
        <f aca="false">-D6*Assumptions!D45/100</f>
        <v>-886.328784</v>
      </c>
      <c r="E12" s="4" t="n">
        <f aca="false">-E6*Assumptions!E45/100</f>
        <v>-939.50851104</v>
      </c>
      <c r="F12" s="4" t="n">
        <f aca="false">-F6*Assumptions!F45/100</f>
        <v>-995.8790217024</v>
      </c>
      <c r="G12" s="4" t="n">
        <f aca="false">-G6*Assumptions!G45/100</f>
        <v>-1050.65236789603</v>
      </c>
      <c r="H12" s="4" t="n">
        <f aca="false">-H6*Assumptions!H45/100</f>
        <v>-1103.18498629083</v>
      </c>
      <c r="I12" s="4" t="n">
        <f aca="false">-I6*Assumptions!I45/100</f>
        <v>-1152.82831067392</v>
      </c>
      <c r="J12" s="4" t="n">
        <f aca="false">-J6*Assumptions!J45/100</f>
        <v>-1198.94144310088</v>
      </c>
      <c r="K12" s="4" t="n">
        <f aca="false">-K6*Assumptions!K45/100</f>
        <v>-1240.90439360941</v>
      </c>
      <c r="L12" s="4" t="n">
        <f aca="false">-L6*Assumptions!L45/100</f>
        <v>-1278.13152541769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3120.876</v>
      </c>
      <c r="D13" s="0" t="n">
        <f aca="false">D11+D12</f>
        <v>3374.09253</v>
      </c>
      <c r="E13" s="0" t="n">
        <f aca="false">E11+E12</f>
        <v>3629.9192472</v>
      </c>
      <c r="F13" s="0" t="n">
        <f aca="false">F11+F12</f>
        <v>3904.298437356</v>
      </c>
      <c r="G13" s="0" t="n">
        <f aca="false">G11+G12</f>
        <v>4178.7310086774</v>
      </c>
      <c r="H13" s="0" t="n">
        <f aca="false">H11+H12</f>
        <v>4387.66755911127</v>
      </c>
      <c r="I13" s="0" t="n">
        <f aca="false">I11+I12</f>
        <v>4585.11259927128</v>
      </c>
      <c r="J13" s="0" t="n">
        <f aca="false">J11+J12</f>
        <v>4768.51710324213</v>
      </c>
      <c r="K13" s="0" t="n">
        <f aca="false">K11+K12</f>
        <v>4935.4152018556</v>
      </c>
      <c r="L13" s="0" t="n">
        <f aca="false">L11+L12</f>
        <v>5083.47765791127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25.5</v>
      </c>
      <c r="D14" s="4" t="n">
        <f aca="false">Assumptions!D47</f>
        <v>25.5</v>
      </c>
      <c r="E14" s="4" t="n">
        <f aca="false">Assumptions!E47</f>
        <v>25.5</v>
      </c>
      <c r="F14" s="4" t="n">
        <f aca="false">Assumptions!F47</f>
        <v>25.5</v>
      </c>
      <c r="G14" s="4" t="n">
        <f aca="false">Assumptions!G47</f>
        <v>25.5</v>
      </c>
      <c r="H14" s="4" t="n">
        <f aca="false">Assumptions!H47</f>
        <v>25.5</v>
      </c>
      <c r="I14" s="4" t="n">
        <f aca="false">Assumptions!I47</f>
        <v>25.5</v>
      </c>
      <c r="J14" s="4" t="n">
        <f aca="false">Assumptions!J47</f>
        <v>25.5</v>
      </c>
      <c r="K14" s="4" t="n">
        <f aca="false">Assumptions!K47</f>
        <v>25.5</v>
      </c>
      <c r="L14" s="4" t="n">
        <f aca="false">Assumptions!L47</f>
        <v>25.5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2325.05262</v>
      </c>
      <c r="D15" s="0" t="n">
        <f aca="false">D13-MAX(0,D13)*D14/100</f>
        <v>2513.69893485</v>
      </c>
      <c r="E15" s="0" t="n">
        <f aca="false">E13-MAX(0,E13)*E14/100</f>
        <v>2704.289839164</v>
      </c>
      <c r="F15" s="0" t="n">
        <f aca="false">F13-MAX(0,F13)*F14/100</f>
        <v>2908.70233583022</v>
      </c>
      <c r="G15" s="0" t="n">
        <f aca="false">G13-MAX(0,G13)*G14/100</f>
        <v>3113.15460146466</v>
      </c>
      <c r="H15" s="0" t="n">
        <f aca="false">H13-MAX(0,H13)*H14/100</f>
        <v>3268.8123315379</v>
      </c>
      <c r="I15" s="0" t="n">
        <f aca="false">I13-MAX(0,I13)*I14/100</f>
        <v>3415.9088864571</v>
      </c>
      <c r="J15" s="0" t="n">
        <f aca="false">J13-MAX(0,J13)*J14/100</f>
        <v>3552.54524191539</v>
      </c>
      <c r="K15" s="0" t="n">
        <f aca="false">K13-MAX(0,K13)*K14/100</f>
        <v>3676.88432538242</v>
      </c>
      <c r="L15" s="0" t="n">
        <f aca="false">L13-MAX(0,L13)*L14/100</f>
        <v>3787.1908551439</v>
      </c>
    </row>
    <row r="16" customFormat="false" ht="15" hidden="false" customHeight="false" outlineLevel="0" collapsed="false">
      <c r="A16" s="0" t="s">
        <v>128</v>
      </c>
      <c r="C16" s="0" t="n">
        <f aca="false">-C12</f>
        <v>832.2336</v>
      </c>
      <c r="D16" s="0" t="n">
        <f aca="false">-D12</f>
        <v>886.328784</v>
      </c>
      <c r="E16" s="0" t="n">
        <f aca="false">-E12</f>
        <v>939.50851104</v>
      </c>
      <c r="F16" s="0" t="n">
        <f aca="false">-F12</f>
        <v>995.8790217024</v>
      </c>
      <c r="G16" s="0" t="n">
        <f aca="false">-G12</f>
        <v>1050.65236789603</v>
      </c>
      <c r="H16" s="0" t="n">
        <f aca="false">-H12</f>
        <v>1103.18498629083</v>
      </c>
      <c r="I16" s="0" t="n">
        <f aca="false">-I12</f>
        <v>1152.82831067392</v>
      </c>
      <c r="J16" s="0" t="n">
        <f aca="false">-J12</f>
        <v>1198.94144310088</v>
      </c>
      <c r="K16" s="0" t="n">
        <f aca="false">-K12</f>
        <v>1240.90439360941</v>
      </c>
      <c r="L16" s="0" t="n">
        <f aca="false">-L12</f>
        <v>1278.13152541769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-1262.5362</v>
      </c>
      <c r="D17" s="4" t="n">
        <f aca="false">-D6*Assumptions!D46/100</f>
        <v>-1344.601053</v>
      </c>
      <c r="E17" s="4" t="n">
        <f aca="false">-E6*Assumptions!E46/100</f>
        <v>-1387.9103004</v>
      </c>
      <c r="F17" s="4" t="n">
        <f aca="false">-F6*Assumptions!F46/100</f>
        <v>-1471.184918424</v>
      </c>
      <c r="G17" s="4" t="n">
        <f aca="false">-G6*Assumptions!G46/100</f>
        <v>-1510.31277885055</v>
      </c>
      <c r="H17" s="4" t="n">
        <f aca="false">-H6*Assumptions!H46/100</f>
        <v>-1541.95174220196</v>
      </c>
      <c r="I17" s="4" t="n">
        <f aca="false">-I6*Assumptions!I46/100</f>
        <v>-1565.48844460834</v>
      </c>
      <c r="J17" s="4" t="n">
        <f aca="false">-J6*Assumptions!J46/100</f>
        <v>-1580.42281136025</v>
      </c>
      <c r="K17" s="4" t="n">
        <f aca="false">-K6*Assumptions!K46/100</f>
        <v>-1586.3834577393</v>
      </c>
      <c r="L17" s="4" t="n">
        <f aca="false">-L6*Assumptions!L46/100</f>
        <v>-1583.14018489237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1894.75002</v>
      </c>
      <c r="D19" s="0" t="n">
        <f aca="false">D15+D16+D17+D18</f>
        <v>2055.42666585</v>
      </c>
      <c r="E19" s="0" t="n">
        <f aca="false">E15+E16+E17+E18</f>
        <v>2255.888049804</v>
      </c>
      <c r="F19" s="0" t="n">
        <f aca="false">F15+F16+F17+F18</f>
        <v>2433.39643910862</v>
      </c>
      <c r="G19" s="0" t="n">
        <f aca="false">G15+G16+G17+G18</f>
        <v>2653.49419051015</v>
      </c>
      <c r="H19" s="0" t="n">
        <f aca="false">H15+H16+H17+H18</f>
        <v>2830.04557562677</v>
      </c>
      <c r="I19" s="0" t="n">
        <f aca="false">I15+I16+I17+I18</f>
        <v>3003.24875252269</v>
      </c>
      <c r="J19" s="0" t="n">
        <f aca="false">J15+J16+J17+J18</f>
        <v>3171.06387365602</v>
      </c>
      <c r="K19" s="0" t="n">
        <f aca="false">K15+K16+K17+K18</f>
        <v>3331.40526125253</v>
      </c>
      <c r="L19" s="0" t="n">
        <f aca="false">L15+L16+L17+L18</f>
        <v>3482.18219566922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0.911161731207289</v>
      </c>
      <c r="D20" s="0" t="n">
        <f aca="false">1/(1+$B$27/100)^D4</f>
        <v>0.830215700416665</v>
      </c>
      <c r="E20" s="0" t="n">
        <f aca="false">1/(1+$B$27/100)^E4</f>
        <v>0.756460774867121</v>
      </c>
      <c r="F20" s="0" t="n">
        <f aca="false">1/(1+$B$27/100)^F4</f>
        <v>0.689258109218333</v>
      </c>
      <c r="G20" s="0" t="n">
        <f aca="false">1/(1+$B$27/100)^G4</f>
        <v>0.628025612044039</v>
      </c>
      <c r="H20" s="0" t="n">
        <f aca="false">1/(1+$B$27/100)^H4</f>
        <v>0.572232903912564</v>
      </c>
      <c r="I20" s="0" t="n">
        <f aca="false">1/(1+$B$27/100)^I4</f>
        <v>0.521396723382747</v>
      </c>
      <c r="J20" s="0" t="n">
        <f aca="false">1/(1+$B$27/100)^J4</f>
        <v>0.475076741123232</v>
      </c>
      <c r="K20" s="0" t="n">
        <f aca="false">1/(1+$B$27/100)^K4</f>
        <v>0.432871745898161</v>
      </c>
      <c r="L20" s="0" t="n">
        <f aca="false">1/(1+$B$27/100)^L4</f>
        <v>0.39441616938329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1726.42370842825</v>
      </c>
      <c r="D21" s="0" t="n">
        <f aca="false">D19*D20</f>
        <v>1706.44748904375</v>
      </c>
      <c r="E21" s="0" t="n">
        <f aca="false">E19*E20</f>
        <v>1706.49082216821</v>
      </c>
      <c r="F21" s="0" t="n">
        <f aca="false">F19*F20</f>
        <v>1677.23822859863</v>
      </c>
      <c r="G21" s="0" t="n">
        <f aca="false">G19*G20</f>
        <v>1666.46231305044</v>
      </c>
      <c r="H21" s="0" t="n">
        <f aca="false">H19*H20</f>
        <v>1619.44519794581</v>
      </c>
      <c r="I21" s="0" t="n">
        <f aca="false">I19*I20</f>
        <v>1565.88405906865</v>
      </c>
      <c r="J21" s="0" t="n">
        <f aca="false">J19*J20</f>
        <v>1506.49869099011</v>
      </c>
      <c r="K21" s="0" t="n">
        <f aca="false">K19*K20</f>
        <v>1442.0712117327</v>
      </c>
      <c r="L21" s="0" t="n">
        <f aca="false">L19*L20</f>
        <v>1373.42896271055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9.75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15990.3906837371</v>
      </c>
    </row>
    <row r="31" customFormat="false" ht="15" hidden="false" customHeight="false" outlineLevel="0" collapsed="false">
      <c r="A31" s="0" t="s">
        <v>137</v>
      </c>
      <c r="B31" s="0" t="n">
        <f aca="false">L19</f>
        <v>3482.18219566922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53135.5209116933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52232.7329350383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52232.7329350383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20601.4344406582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36591.8251243953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35706.8251243953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194.164356304488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0.147543476976879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1042.19464741593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1223.79612357231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206.486220203282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29888.7305128275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103.836789936703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113.364022009463</v>
      </c>
      <c r="C4" s="0" t="n">
        <f aca="false">B4/Assumptions!$B$2-1</f>
        <v>-0.329999869920431</v>
      </c>
      <c r="D4" s="4" t="n">
        <f aca="false">Assumptions!$B$24</f>
        <v>0.25</v>
      </c>
      <c r="E4" s="4" t="n">
        <f aca="false">DCF_Bear!$B$43</f>
        <v>123.32613965418</v>
      </c>
      <c r="F4" s="4" t="n">
        <f aca="false">DCF_Bear!$B$47</f>
        <v>66.0389932578114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167.164010286728</v>
      </c>
      <c r="C5" s="0" t="n">
        <f aca="false">B5/Assumptions!$B$2-1</f>
        <v>-0.0120330361304483</v>
      </c>
      <c r="D5" s="4" t="n">
        <f aca="false">Assumptions!$B$38</f>
        <v>0.5</v>
      </c>
      <c r="E5" s="4" t="n">
        <f aca="false">DCF_Base!$B$43</f>
        <v>178.524645221182</v>
      </c>
      <c r="F5" s="4" t="n">
        <f aca="false">DCF_Base!$B$47</f>
        <v>90.579823533038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194.164356304488</v>
      </c>
      <c r="C6" s="0" t="n">
        <f aca="false">B6/Assumptions!$B$2-1</f>
        <v>0.147543476976879</v>
      </c>
      <c r="D6" s="4" t="n">
        <f aca="false">Assumptions!$B$52</f>
        <v>0.25</v>
      </c>
      <c r="E6" s="4" t="n">
        <f aca="false">DCF_Bull!$B$43</f>
        <v>206.486220203282</v>
      </c>
      <c r="F6" s="4" t="n">
        <f aca="false">DCF_Bull!$B$47</f>
        <v>103.836789936703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160.464099721852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171.715412574957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-0.0544414625657139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77.643386084829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87.7588575651477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176.67255220857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167.164010286728</v>
      </c>
      <c r="C16" s="3" t="n">
        <v>9.75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162.382052415183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140.770291208074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123.994918701149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90.579823533038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7.75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194.061019335411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194.061019335411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194.061019335411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194.061019335411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194.061019335411</v>
      </c>
    </row>
    <row r="25" customFormat="false" ht="15" hidden="false" customHeight="false" outlineLevel="0" collapsed="false">
      <c r="A25" s="3" t="n">
        <v>8.75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179.990739706525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179.990739706525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179.990739706525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179.990739706525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179.990739706525</v>
      </c>
    </row>
    <row r="26" customFormat="false" ht="15" hidden="false" customHeight="false" outlineLevel="0" collapsed="false">
      <c r="A26" s="3" t="n">
        <v>9.75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155.611282550437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161.747577137529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167.164010286728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167.164010286728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167.164010286728</v>
      </c>
    </row>
    <row r="27" customFormat="false" ht="15" hidden="false" customHeight="false" outlineLevel="0" collapsed="false">
      <c r="A27" s="3" t="n">
        <v>10.75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136.274991194527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140.676798779497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145.646581536723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151.301851570807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155.457134631968</v>
      </c>
    </row>
    <row r="28" customFormat="false" ht="15" hidden="false" customHeight="false" outlineLevel="0" collapsed="false">
      <c r="A28" s="3" t="n">
        <v>11.75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120.955855374543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124.205325401433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127.826163431396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131.885890919536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136.469454212597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2026-10-02T02:52:23Z</dcterms:created>
  <dc:creator>openpyxl</dc:creator>
  <dc:description/>
  <dc:language>en-NZ</dc:language>
  <cp:lastModifiedBy/>
  <dcterms:modified xsi:type="dcterms:W3CDTF">2026-10-02T02:52:23Z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