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Base" sheetId="3" state="visible" r:id="rId3"/>
    <sheet xmlns:r="http://schemas.openxmlformats.org/officeDocument/2006/relationships" name="Bull" sheetId="4" state="visible" r:id="rId4"/>
    <sheet xmlns:r="http://schemas.openxmlformats.org/officeDocument/2006/relationships" name="Bear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Ticker</t>
        </is>
      </c>
      <c r="B1" s="2" t="inlineStr">
        <is>
          <t>ANZ.AX</t>
        </is>
      </c>
    </row>
    <row r="2">
      <c r="A2" s="1" t="inlineStr">
        <is>
          <t>Valuation date</t>
        </is>
      </c>
      <c r="B2" s="2" t="inlineStr">
        <is>
          <t>2026-09-21</t>
        </is>
      </c>
    </row>
    <row r="3">
      <c r="A3" s="1" t="inlineStr">
        <is>
          <t>Model</t>
        </is>
      </c>
      <c r="B3" s="2" t="inlineStr">
        <is>
          <t>Residual income on tangible book at cost of equity (bank)</t>
        </is>
      </c>
    </row>
    <row r="4">
      <c r="A4" s="1" t="inlineStr">
        <is>
          <t>Currency / units</t>
        </is>
      </c>
      <c r="B4" s="2" t="inlineStr">
        <is>
          <t>AUD millions</t>
        </is>
      </c>
    </row>
    <row r="5">
      <c r="A5" s="1" t="inlineStr">
        <is>
          <t>Current price (AUD)</t>
        </is>
      </c>
      <c r="B5" s="2" t="n">
        <v>38.03</v>
      </c>
    </row>
    <row r="6">
      <c r="A6" s="1" t="inlineStr">
        <is>
          <t>Price as of</t>
        </is>
      </c>
      <c r="B6" s="2" t="inlineStr">
        <is>
          <t>2026-09-21T06:11:49Z (16:11 AEST, ASX regular close incl. closing auction)</t>
        </is>
      </c>
    </row>
    <row r="7">
      <c r="A7" s="1" t="inlineStr">
        <is>
          <t>Balance sheet date</t>
        </is>
      </c>
      <c r="B7" s="2" t="inlineStr">
        <is>
          <t>2026-03-31</t>
        </is>
      </c>
    </row>
    <row r="8">
      <c r="A8" s="1" t="inlineStr">
        <is>
          <t>Equity attributable to shareholders</t>
        </is>
      </c>
      <c r="B8" s="2" t="n">
        <v>71053</v>
      </c>
    </row>
    <row r="9">
      <c r="A9" s="1" t="inlineStr">
        <is>
          <t>Goodwill and other intangibles</t>
        </is>
      </c>
      <c r="B9" s="2" t="n">
        <v>5584</v>
      </c>
    </row>
    <row r="10">
      <c r="A10" s="1" t="inlineStr">
        <is>
          <t>Non-controlling interests (excluded)</t>
        </is>
      </c>
      <c r="B10" s="2" t="n">
        <v>703</v>
      </c>
    </row>
    <row r="11">
      <c r="A11" s="1" t="inlineStr">
        <is>
          <t>Tangible book value (NTA)</t>
        </is>
      </c>
      <c r="B11">
        <f>B8-B9</f>
        <v/>
      </c>
    </row>
    <row r="12">
      <c r="A12" s="1" t="inlineStr">
        <is>
          <t>Issued shares (m)</t>
        </is>
      </c>
      <c r="B12" s="2" t="n">
        <v>3014.2</v>
      </c>
    </row>
    <row r="13">
      <c r="A13" s="1" t="inlineStr">
        <is>
          <t>TBV per share</t>
        </is>
      </c>
      <c r="B13">
        <f>B11/B12</f>
        <v/>
      </c>
    </row>
    <row r="14">
      <c r="A14" s="1" t="inlineStr">
        <is>
          <t>TTM cash profit reported</t>
        </is>
      </c>
      <c r="B14" s="2" t="n">
        <v>5999</v>
      </c>
    </row>
    <row r="15">
      <c r="A15" s="1" t="inlineStr">
        <is>
          <t>Sep-25 half significant items (after tax)</t>
        </is>
      </c>
      <c r="B15" s="2" t="n">
        <v>1109</v>
      </c>
    </row>
    <row r="16">
      <c r="A16" s="1" t="inlineStr">
        <is>
          <t>TTM cash profit ex significant items</t>
        </is>
      </c>
      <c r="B16">
        <f>B14+B15</f>
        <v/>
      </c>
    </row>
    <row r="17">
      <c r="A17" s="1" t="inlineStr">
        <is>
          <t>TTM statutory net income</t>
        </is>
      </c>
      <c r="B17" s="2" t="n">
        <v>5899</v>
      </c>
    </row>
    <row r="18">
      <c r="A18" s="1" t="inlineStr">
        <is>
          <t>Dividend per share (annual)</t>
        </is>
      </c>
      <c r="B18" s="2" t="n">
        <v>1.66</v>
      </c>
    </row>
    <row r="19">
      <c r="A19" s="1" t="inlineStr">
        <is>
          <t>Hurdle rate (entry price)</t>
        </is>
      </c>
      <c r="B19" s="2" t="n">
        <v>0.15</v>
      </c>
    </row>
    <row r="20">
      <c r="A20" s="1" t="inlineStr">
        <is>
          <t>Current P/TBV</t>
        </is>
      </c>
      <c r="B20">
        <f>B5/B13</f>
        <v/>
      </c>
    </row>
    <row r="21">
      <c r="A21" s="1" t="inlineStr">
        <is>
          <t>Current P/E (TTM cash ex sig)</t>
        </is>
      </c>
      <c r="B21">
        <f>B5/(B16/B12)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Period</t>
        </is>
      </c>
      <c r="B1" s="1" t="inlineStr">
        <is>
          <t>Revenue</t>
        </is>
      </c>
      <c r="C1" s="1" t="inlineStr">
        <is>
          <t>Statutory NI</t>
        </is>
      </c>
      <c r="D1" s="1" t="inlineStr">
        <is>
          <t>Cash profit</t>
        </is>
      </c>
      <c r="E1" s="1" t="inlineStr">
        <is>
          <t>Equity</t>
        </is>
      </c>
      <c r="F1" s="1" t="inlineStr">
        <is>
          <t>Shares (m)</t>
        </is>
      </c>
      <c r="G1" s="1" t="inlineStr">
        <is>
          <t>EPS</t>
        </is>
      </c>
      <c r="H1" s="1" t="inlineStr">
        <is>
          <t>DPS</t>
        </is>
      </c>
      <c r="I1" s="1" t="inlineStr">
        <is>
          <t>NIM %</t>
        </is>
      </c>
      <c r="J1" s="1" t="inlineStr">
        <is>
          <t>CET1 %</t>
        </is>
      </c>
      <c r="K1" s="1" t="inlineStr">
        <is>
          <t>Cash ROTE %</t>
        </is>
      </c>
      <c r="L1" s="1" t="inlineStr">
        <is>
          <t>NTA/share</t>
        </is>
      </c>
      <c r="M1" s="1" t="inlineStr">
        <is>
          <t>FY close price</t>
        </is>
      </c>
      <c r="N1" s="1" t="inlineStr">
        <is>
          <t>P/NTA</t>
        </is>
      </c>
    </row>
    <row r="2">
      <c r="A2" t="inlineStr">
        <is>
          <t>H1 FY2016</t>
        </is>
      </c>
      <c r="B2" t="n">
        <v>10265</v>
      </c>
      <c r="C2" t="n">
        <v>2738</v>
      </c>
      <c r="E2" t="n">
        <v>56500</v>
      </c>
      <c r="F2" t="n">
        <v>2917.6</v>
      </c>
      <c r="G2" t="n">
        <v>0.948</v>
      </c>
      <c r="H2" t="n">
        <v>0.8</v>
      </c>
    </row>
    <row r="3">
      <c r="A3" t="inlineStr">
        <is>
          <t>FY2016</t>
        </is>
      </c>
      <c r="B3" t="n">
        <v>20529</v>
      </c>
      <c r="C3" t="n">
        <v>5709</v>
      </c>
      <c r="D3" t="n">
        <v>5889</v>
      </c>
      <c r="E3" t="n">
        <v>57927</v>
      </c>
      <c r="F3" t="n">
        <v>2891.7</v>
      </c>
      <c r="G3" t="n">
        <v>1.974</v>
      </c>
      <c r="H3" t="n">
        <v>1.6</v>
      </c>
      <c r="I3" t="n">
        <v>2.07</v>
      </c>
    </row>
    <row r="4">
      <c r="A4" t="inlineStr">
        <is>
          <t>H1 FY2017</t>
        </is>
      </c>
      <c r="B4" t="n">
        <v>9996</v>
      </c>
      <c r="C4" t="n">
        <v>2911</v>
      </c>
      <c r="E4" t="n">
        <v>57908</v>
      </c>
      <c r="F4" t="n">
        <v>2906.6</v>
      </c>
      <c r="G4" t="n">
        <v>1.002</v>
      </c>
      <c r="H4" t="n">
        <v>0.8</v>
      </c>
    </row>
    <row r="5">
      <c r="A5" t="inlineStr">
        <is>
          <t>FY2017</t>
        </is>
      </c>
      <c r="B5" t="n">
        <v>20273</v>
      </c>
      <c r="C5" t="n">
        <v>6406</v>
      </c>
      <c r="D5" t="n">
        <v>6938</v>
      </c>
      <c r="E5" t="n">
        <v>59075</v>
      </c>
      <c r="F5" t="n">
        <v>2910</v>
      </c>
      <c r="G5" t="n">
        <v>2.201</v>
      </c>
      <c r="H5" t="n">
        <v>1.6</v>
      </c>
      <c r="I5" t="n">
        <v>1.99</v>
      </c>
    </row>
    <row r="6">
      <c r="A6" t="inlineStr">
        <is>
          <t>H1 FY2018</t>
        </is>
      </c>
      <c r="B6" t="n">
        <v>10175</v>
      </c>
      <c r="C6" t="n">
        <v>3323</v>
      </c>
      <c r="E6" t="n">
        <v>59500</v>
      </c>
      <c r="F6" t="n">
        <v>2909.8</v>
      </c>
      <c r="G6" t="n">
        <v>1.142</v>
      </c>
      <c r="H6" t="n">
        <v>0.8</v>
      </c>
    </row>
    <row r="7">
      <c r="A7" t="inlineStr">
        <is>
          <t>FY2018</t>
        </is>
      </c>
      <c r="B7" t="n">
        <v>19831</v>
      </c>
      <c r="C7" t="n">
        <v>6400</v>
      </c>
      <c r="D7" t="n">
        <v>5805</v>
      </c>
      <c r="E7" t="n">
        <v>59383</v>
      </c>
      <c r="F7" t="n">
        <v>2888.3</v>
      </c>
      <c r="G7" t="n">
        <v>2.216</v>
      </c>
      <c r="H7" t="n">
        <v>1.6</v>
      </c>
      <c r="I7" t="n">
        <v>1.87</v>
      </c>
      <c r="J7" t="n">
        <v>11.4</v>
      </c>
    </row>
    <row r="8">
      <c r="A8" t="inlineStr">
        <is>
          <t>H1 FY2019</t>
        </is>
      </c>
      <c r="B8" t="n">
        <v>9293</v>
      </c>
      <c r="C8" t="n">
        <v>3173</v>
      </c>
      <c r="E8" t="n">
        <v>59971</v>
      </c>
      <c r="F8" t="n">
        <v>2840.6</v>
      </c>
      <c r="G8" t="n">
        <v>1.117</v>
      </c>
      <c r="H8" t="n">
        <v>0.8</v>
      </c>
    </row>
    <row r="9">
      <c r="A9" t="inlineStr">
        <is>
          <t>FY2019</t>
        </is>
      </c>
      <c r="B9" t="n">
        <v>18785</v>
      </c>
      <c r="C9" t="n">
        <v>5953</v>
      </c>
      <c r="D9" t="n">
        <v>6161</v>
      </c>
      <c r="E9" t="n">
        <v>60794</v>
      </c>
      <c r="F9" t="n">
        <v>2834.9</v>
      </c>
      <c r="G9" t="n">
        <v>2.1</v>
      </c>
      <c r="H9" t="n">
        <v>1.6</v>
      </c>
      <c r="I9" t="n">
        <v>1.76</v>
      </c>
      <c r="J9" t="n">
        <v>11.4</v>
      </c>
    </row>
    <row r="10">
      <c r="A10" t="inlineStr">
        <is>
          <t>H1 FY2020</t>
        </is>
      </c>
      <c r="B10" t="n">
        <v>8893</v>
      </c>
      <c r="C10" t="n">
        <v>1545</v>
      </c>
      <c r="E10" t="n">
        <v>61375</v>
      </c>
      <c r="F10" t="n">
        <v>2829.7</v>
      </c>
      <c r="G10" t="n">
        <v>0.546</v>
      </c>
      <c r="H10" t="n">
        <v>0</v>
      </c>
    </row>
    <row r="11">
      <c r="A11" t="inlineStr">
        <is>
          <t>FY2020</t>
        </is>
      </c>
      <c r="B11" t="n">
        <v>17637</v>
      </c>
      <c r="C11" t="n">
        <v>3577</v>
      </c>
      <c r="D11" t="n">
        <v>3660</v>
      </c>
      <c r="E11" t="n">
        <v>61297</v>
      </c>
      <c r="F11" t="n">
        <v>2831</v>
      </c>
      <c r="G11" t="n">
        <v>1.264</v>
      </c>
      <c r="H11" t="n">
        <v>0.6</v>
      </c>
      <c r="I11" t="n">
        <v>1.63</v>
      </c>
      <c r="J11" t="n">
        <v>11.3</v>
      </c>
    </row>
    <row r="12">
      <c r="A12" t="inlineStr">
        <is>
          <t>H1 FY2021</t>
        </is>
      </c>
      <c r="B12" t="n">
        <v>8367</v>
      </c>
      <c r="C12" t="n">
        <v>2943</v>
      </c>
      <c r="E12" t="n">
        <v>62576</v>
      </c>
      <c r="F12" t="n">
        <v>2838</v>
      </c>
      <c r="G12" t="n">
        <v>1.037</v>
      </c>
      <c r="H12" t="n">
        <v>0.7</v>
      </c>
    </row>
    <row r="13">
      <c r="A13" t="inlineStr">
        <is>
          <t>FY2021</t>
        </is>
      </c>
      <c r="B13" t="n">
        <v>17420</v>
      </c>
      <c r="C13" t="n">
        <v>6162</v>
      </c>
      <c r="D13" t="n">
        <v>6181</v>
      </c>
      <c r="E13" t="n">
        <v>63676</v>
      </c>
      <c r="F13" t="n">
        <v>2838.6</v>
      </c>
      <c r="G13" t="n">
        <v>2.171</v>
      </c>
      <c r="H13" t="n">
        <v>1.42</v>
      </c>
      <c r="I13" t="n">
        <v>1.64</v>
      </c>
      <c r="J13" t="n">
        <v>12.3</v>
      </c>
      <c r="K13" t="n">
        <v>10.6</v>
      </c>
      <c r="L13" t="n">
        <v>21.09</v>
      </c>
      <c r="M13" t="n">
        <v>28.15</v>
      </c>
      <c r="N13">
        <f>M13/L13</f>
        <v/>
      </c>
    </row>
    <row r="14">
      <c r="A14" t="inlineStr">
        <is>
          <t>H1 FY2022</t>
        </is>
      </c>
      <c r="B14" t="n">
        <v>9542</v>
      </c>
      <c r="C14" t="n">
        <v>3530</v>
      </c>
      <c r="E14" t="n">
        <v>61756</v>
      </c>
      <c r="F14" t="n">
        <v>2862.5</v>
      </c>
      <c r="G14" t="n">
        <v>1.257</v>
      </c>
      <c r="H14" t="n">
        <v>0.72</v>
      </c>
    </row>
    <row r="15">
      <c r="A15" t="inlineStr">
        <is>
          <t>FY2022</t>
        </is>
      </c>
      <c r="B15" t="n">
        <v>19426</v>
      </c>
      <c r="C15" t="n">
        <v>7119</v>
      </c>
      <c r="D15" t="n">
        <v>6496</v>
      </c>
      <c r="E15" t="n">
        <v>66401</v>
      </c>
      <c r="F15" t="n">
        <v>2847.5</v>
      </c>
      <c r="G15" t="n">
        <v>2.5</v>
      </c>
      <c r="H15" t="n">
        <v>1.46</v>
      </c>
      <c r="I15" t="n">
        <v>1.63</v>
      </c>
      <c r="J15" t="n">
        <v>12.3</v>
      </c>
      <c r="K15" t="n">
        <v>11.1</v>
      </c>
      <c r="L15" t="n">
        <v>20.75</v>
      </c>
      <c r="M15" t="n">
        <v>22.8</v>
      </c>
      <c r="N15">
        <f>M15/L15</f>
        <v/>
      </c>
    </row>
    <row r="16">
      <c r="A16" t="inlineStr">
        <is>
          <t>H1 FY2023</t>
        </is>
      </c>
      <c r="B16" t="n">
        <v>10139</v>
      </c>
      <c r="C16" t="n">
        <v>3547</v>
      </c>
      <c r="E16" t="n">
        <v>69609</v>
      </c>
      <c r="F16" t="n">
        <v>2994.1</v>
      </c>
      <c r="G16" t="n">
        <v>1.185</v>
      </c>
      <c r="H16" t="n">
        <v>0.8100000000000001</v>
      </c>
    </row>
    <row r="17">
      <c r="A17" t="inlineStr">
        <is>
          <t>FY2023</t>
        </is>
      </c>
      <c r="B17" t="n">
        <v>20459</v>
      </c>
      <c r="C17" t="n">
        <v>7098</v>
      </c>
      <c r="D17" t="n">
        <v>7413</v>
      </c>
      <c r="E17" t="n">
        <v>70046</v>
      </c>
      <c r="F17" t="n">
        <v>2997.2</v>
      </c>
      <c r="G17" t="n">
        <v>2.368</v>
      </c>
      <c r="H17" t="n">
        <v>1.75</v>
      </c>
      <c r="I17" t="n">
        <v>1.7</v>
      </c>
      <c r="J17" t="n">
        <v>13.3</v>
      </c>
      <c r="K17" t="n">
        <v>11.6</v>
      </c>
      <c r="L17" t="n">
        <v>21.77</v>
      </c>
      <c r="M17" t="n">
        <v>25.66</v>
      </c>
      <c r="N17">
        <f>M17/L17</f>
        <v/>
      </c>
    </row>
    <row r="18">
      <c r="A18" t="inlineStr">
        <is>
          <t>H1 FY2024</t>
        </is>
      </c>
      <c r="B18" t="n">
        <v>10145</v>
      </c>
      <c r="C18" t="n">
        <v>3407</v>
      </c>
      <c r="E18" t="n">
        <v>71074</v>
      </c>
      <c r="F18" t="n">
        <v>3001.8</v>
      </c>
      <c r="G18" t="n">
        <v>1.135</v>
      </c>
      <c r="H18" t="n">
        <v>0.83</v>
      </c>
    </row>
    <row r="19">
      <c r="A19" t="inlineStr">
        <is>
          <t>FY2024</t>
        </is>
      </c>
      <c r="B19" t="n">
        <v>20521</v>
      </c>
      <c r="C19" t="n">
        <v>6595</v>
      </c>
      <c r="D19" t="n">
        <v>6725</v>
      </c>
      <c r="E19" t="n">
        <v>68760</v>
      </c>
      <c r="F19" t="n">
        <v>2998.4</v>
      </c>
      <c r="G19" t="n">
        <v>2.179</v>
      </c>
      <c r="H19" t="n">
        <v>1.66</v>
      </c>
      <c r="I19" t="n">
        <v>1.57</v>
      </c>
      <c r="J19" t="n">
        <v>12.2</v>
      </c>
      <c r="K19" t="n">
        <v>10.3</v>
      </c>
      <c r="L19" t="n">
        <v>21.6</v>
      </c>
      <c r="M19" t="n">
        <v>30.48</v>
      </c>
      <c r="N19">
        <f>M19/L19</f>
        <v/>
      </c>
    </row>
    <row r="20">
      <c r="A20" t="inlineStr">
        <is>
          <t>H1 FY2025</t>
        </is>
      </c>
      <c r="B20" t="n">
        <v>11179</v>
      </c>
      <c r="C20" t="n">
        <v>3642</v>
      </c>
      <c r="E20" t="n">
        <v>72331</v>
      </c>
      <c r="F20" t="n">
        <v>2971.9</v>
      </c>
      <c r="G20" t="n">
        <v>1.225</v>
      </c>
      <c r="H20" t="n">
        <v>0.83</v>
      </c>
    </row>
    <row r="21">
      <c r="A21" t="inlineStr">
        <is>
          <t>FY2025</t>
        </is>
      </c>
      <c r="B21" t="n">
        <v>22186</v>
      </c>
      <c r="C21" t="n">
        <v>5891</v>
      </c>
      <c r="D21" t="n">
        <v>5787</v>
      </c>
      <c r="E21" t="n">
        <v>71867</v>
      </c>
      <c r="F21" t="n">
        <v>2972.6</v>
      </c>
      <c r="G21" t="n">
        <v>1.982</v>
      </c>
      <c r="H21" t="n">
        <v>1.66</v>
      </c>
      <c r="I21" t="n">
        <v>1.55</v>
      </c>
      <c r="J21" t="n">
        <v>12</v>
      </c>
      <c r="K21" t="n">
        <v>8.800000000000001</v>
      </c>
      <c r="L21" t="n">
        <v>21.91</v>
      </c>
      <c r="M21" t="n">
        <v>33.21</v>
      </c>
      <c r="N21">
        <f>M21/L21</f>
        <v/>
      </c>
    </row>
    <row r="22">
      <c r="A22" t="inlineStr">
        <is>
          <t>H1 FY2026</t>
        </is>
      </c>
      <c r="B22" t="n">
        <v>11079</v>
      </c>
      <c r="C22" t="n">
        <v>3650</v>
      </c>
      <c r="E22" t="n">
        <v>71756</v>
      </c>
      <c r="F22" t="n">
        <v>2997.7</v>
      </c>
      <c r="G22" t="n">
        <v>1.218</v>
      </c>
      <c r="L22" t="n">
        <v>21.72</v>
      </c>
      <c r="M22" t="n">
        <v>38.03</v>
      </c>
      <c r="N22">
        <f>M22/L22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BASE — residual income on tangible book</t>
        </is>
      </c>
    </row>
    <row r="3">
      <c r="A3" t="inlineStr">
        <is>
          <t>Cost of equity</t>
        </is>
      </c>
      <c r="B3" s="2" t="n">
        <v>0.1</v>
      </c>
    </row>
    <row r="4">
      <c r="A4" t="inlineStr">
        <is>
          <t>Terminal growth of residual income</t>
        </is>
      </c>
      <c r="B4" s="2" t="n">
        <v>0.03</v>
      </c>
    </row>
    <row r="5">
      <c r="A5" t="inlineStr">
        <is>
          <t>Dividend payout ratio</t>
        </is>
      </c>
      <c r="B5" s="2" t="n">
        <v>0.7</v>
      </c>
    </row>
    <row r="6">
      <c r="A6" t="inlineStr">
        <is>
          <t>Opening TBV</t>
        </is>
      </c>
      <c r="B6">
        <f>Inputs!B11</f>
        <v/>
      </c>
    </row>
    <row r="7">
      <c r="A7" t="inlineStr">
        <is>
          <t>Shares (m)</t>
        </is>
      </c>
      <c r="B7">
        <f>Inputs!B12</f>
        <v/>
      </c>
    </row>
    <row r="8">
      <c r="A8" t="inlineStr">
        <is>
          <t>Hurdle rate</t>
        </is>
      </c>
      <c r="B8">
        <f>Inputs!B19</f>
        <v/>
      </c>
    </row>
    <row r="10">
      <c r="A10" s="1" t="inlineStr">
        <is>
          <t>Year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</row>
    <row r="11">
      <c r="A11" t="inlineStr">
        <is>
          <t>ROTE on opening TBV</t>
        </is>
      </c>
      <c r="B11" s="2" t="n">
        <v>0.112</v>
      </c>
      <c r="C11" s="2" t="n">
        <v>0.115</v>
      </c>
      <c r="D11" s="2" t="n">
        <v>0.118</v>
      </c>
      <c r="E11" s="2" t="n">
        <v>0.12</v>
      </c>
      <c r="F11" s="2" t="n">
        <v>0.12</v>
      </c>
    </row>
    <row r="12">
      <c r="A12" t="inlineStr">
        <is>
          <t>One-off after tax</t>
        </is>
      </c>
      <c r="B12" s="2" t="n">
        <v>140</v>
      </c>
      <c r="C12" s="2" t="n">
        <v>140</v>
      </c>
      <c r="D12" s="2" t="n">
        <v>40</v>
      </c>
      <c r="E12" s="2" t="n">
        <v>0</v>
      </c>
      <c r="F12" s="2" t="n">
        <v>0</v>
      </c>
    </row>
    <row r="13">
      <c r="A13" t="inlineStr">
        <is>
          <t>Opening TBV</t>
        </is>
      </c>
      <c r="B13">
        <f>$B$6</f>
        <v/>
      </c>
      <c r="C13">
        <f>B18</f>
        <v/>
      </c>
      <c r="D13">
        <f>C18</f>
        <v/>
      </c>
      <c r="E13">
        <f>D18</f>
        <v/>
      </c>
      <c r="F13">
        <f>E18</f>
        <v/>
      </c>
    </row>
    <row r="14">
      <c r="A14" t="inlineStr">
        <is>
          <t>Underlying cash profit</t>
        </is>
      </c>
      <c r="B14">
        <f>B11*B13</f>
        <v/>
      </c>
      <c r="C14">
        <f>C11*C13</f>
        <v/>
      </c>
      <c r="D14">
        <f>D11*D13</f>
        <v/>
      </c>
      <c r="E14">
        <f>E11*E13</f>
        <v/>
      </c>
      <c r="F14">
        <f>F11*F13</f>
        <v/>
      </c>
    </row>
    <row r="15">
      <c r="A15" t="inlineStr">
        <is>
          <t>Net income</t>
        </is>
      </c>
      <c r="B15">
        <f>B14-B12</f>
        <v/>
      </c>
      <c r="C15">
        <f>C14-C12</f>
        <v/>
      </c>
      <c r="D15">
        <f>D14-D12</f>
        <v/>
      </c>
      <c r="E15">
        <f>E14-E12</f>
        <v/>
      </c>
      <c r="F15">
        <f>F14-F12</f>
        <v/>
      </c>
    </row>
    <row r="16">
      <c r="A16" t="inlineStr">
        <is>
          <t>Dividends</t>
        </is>
      </c>
      <c r="B16">
        <f>$B$5*B15</f>
        <v/>
      </c>
      <c r="C16">
        <f>$B$5*C15</f>
        <v/>
      </c>
      <c r="D16">
        <f>$B$5*D15</f>
        <v/>
      </c>
      <c r="E16">
        <f>$B$5*E15</f>
        <v/>
      </c>
      <c r="F16">
        <f>$B$5*F15</f>
        <v/>
      </c>
    </row>
    <row r="17">
      <c r="A17" t="inlineStr">
        <is>
          <t>Retained</t>
        </is>
      </c>
      <c r="B17">
        <f>B15-B16</f>
        <v/>
      </c>
      <c r="C17">
        <f>C15-C16</f>
        <v/>
      </c>
      <c r="D17">
        <f>D15-D16</f>
        <v/>
      </c>
      <c r="E17">
        <f>E15-E16</f>
        <v/>
      </c>
      <c r="F17">
        <f>F15-F16</f>
        <v/>
      </c>
    </row>
    <row r="18">
      <c r="A18" t="inlineStr">
        <is>
          <t>Closing TBV</t>
        </is>
      </c>
      <c r="B18">
        <f>B13+B17</f>
        <v/>
      </c>
      <c r="C18">
        <f>C13+C17</f>
        <v/>
      </c>
      <c r="D18">
        <f>D13+D17</f>
        <v/>
      </c>
      <c r="E18">
        <f>E13+E17</f>
        <v/>
      </c>
      <c r="F18">
        <f>F13+F17</f>
        <v/>
      </c>
    </row>
    <row r="19">
      <c r="A19" t="inlineStr">
        <is>
          <t>Equity charge (CoE x opening TBV)</t>
        </is>
      </c>
      <c r="B19">
        <f>$B$3*B13</f>
        <v/>
      </c>
      <c r="C19">
        <f>$B$3*C13</f>
        <v/>
      </c>
      <c r="D19">
        <f>$B$3*D13</f>
        <v/>
      </c>
      <c r="E19">
        <f>$B$3*E13</f>
        <v/>
      </c>
      <c r="F19">
        <f>$B$3*F13</f>
        <v/>
      </c>
    </row>
    <row r="20">
      <c r="A20" t="inlineStr">
        <is>
          <t>Residual income</t>
        </is>
      </c>
      <c r="B20">
        <f>B15-B19</f>
        <v/>
      </c>
      <c r="C20">
        <f>C15-C19</f>
        <v/>
      </c>
      <c r="D20">
        <f>D15-D19</f>
        <v/>
      </c>
      <c r="E20">
        <f>E15-E19</f>
        <v/>
      </c>
      <c r="F20">
        <f>F15-F19</f>
        <v/>
      </c>
    </row>
    <row r="21">
      <c r="A21" t="inlineStr">
        <is>
          <t>Discount factor</t>
        </is>
      </c>
      <c r="B21">
        <f>1/(1+$B$3)^B10</f>
        <v/>
      </c>
      <c r="C21">
        <f>1/(1+$B$3)^C10</f>
        <v/>
      </c>
      <c r="D21">
        <f>1/(1+$B$3)^D10</f>
        <v/>
      </c>
      <c r="E21">
        <f>1/(1+$B$3)^E10</f>
        <v/>
      </c>
      <c r="F21">
        <f>1/(1+$B$3)^F10</f>
        <v/>
      </c>
    </row>
    <row r="22">
      <c r="A22" t="inlineStr">
        <is>
          <t>PV residual income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</row>
    <row r="23">
      <c r="A23" t="inlineStr">
        <is>
          <t>Hurdle discount factor</t>
        </is>
      </c>
      <c r="B23">
        <f>1/(1+$B$8)^B10</f>
        <v/>
      </c>
      <c r="C23">
        <f>1/(1+$B$8)^C10</f>
        <v/>
      </c>
      <c r="D23">
        <f>1/(1+$B$8)^D10</f>
        <v/>
      </c>
      <c r="E23">
        <f>1/(1+$B$8)^E10</f>
        <v/>
      </c>
      <c r="F23">
        <f>1/(1+$B$8)^F10</f>
        <v/>
      </c>
    </row>
    <row r="24">
      <c r="A24" t="inlineStr">
        <is>
          <t>PV dividends at hurdle</t>
        </is>
      </c>
      <c r="B24">
        <f>B16*B23</f>
        <v/>
      </c>
      <c r="C24">
        <f>C16*C23</f>
        <v/>
      </c>
      <c r="D24">
        <f>D16*D23</f>
        <v/>
      </c>
      <c r="E24">
        <f>E16*E23</f>
        <v/>
      </c>
      <c r="F24">
        <f>F16*F23</f>
        <v/>
      </c>
    </row>
    <row r="25">
      <c r="A25" t="inlineStr">
        <is>
          <t>EPS</t>
        </is>
      </c>
      <c r="B25">
        <f>B15/$B$7</f>
        <v/>
      </c>
      <c r="C25">
        <f>C15/$B$7</f>
        <v/>
      </c>
      <c r="D25">
        <f>D15/$B$7</f>
        <v/>
      </c>
      <c r="E25">
        <f>E15/$B$7</f>
        <v/>
      </c>
      <c r="F25">
        <f>F15/$B$7</f>
        <v/>
      </c>
    </row>
    <row r="26">
      <c r="A26" t="inlineStr">
        <is>
          <t>TBV per share</t>
        </is>
      </c>
      <c r="B26">
        <f>B18/$B$7</f>
        <v/>
      </c>
      <c r="C26">
        <f>C18/$B$7</f>
        <v/>
      </c>
      <c r="D26">
        <f>D18/$B$7</f>
        <v/>
      </c>
      <c r="E26">
        <f>E18/$B$7</f>
        <v/>
      </c>
      <c r="F26">
        <f>F18/$B$7</f>
        <v/>
      </c>
    </row>
    <row r="28">
      <c r="A28" s="1" t="inlineStr">
        <is>
          <t>Sum PV residual income</t>
        </is>
      </c>
      <c r="B28">
        <f>SUM(B22:F22)</f>
        <v/>
      </c>
    </row>
    <row r="29">
      <c r="A29" s="1" t="inlineStr">
        <is>
          <t>Terminal value (Gordon on Y5 RI)</t>
        </is>
      </c>
      <c r="B29">
        <f>F20*(1+B4)/(B3-B4)</f>
        <v/>
      </c>
    </row>
    <row r="30">
      <c r="A30" s="1" t="inlineStr">
        <is>
          <t>PV terminal value</t>
        </is>
      </c>
      <c r="B30">
        <f>B29*F21</f>
        <v/>
      </c>
    </row>
    <row r="31">
      <c r="A31" s="1" t="inlineStr">
        <is>
          <t>Equity value</t>
        </is>
      </c>
      <c r="B31">
        <f>B6+B28+B30</f>
        <v/>
      </c>
    </row>
    <row r="32">
      <c r="A32" s="1" t="inlineStr">
        <is>
          <t>Intrinsic value per share</t>
        </is>
      </c>
      <c r="B32">
        <f>B31/B7</f>
        <v/>
      </c>
    </row>
    <row r="33">
      <c r="A33" s="1" t="inlineStr">
        <is>
          <t>Upside vs price</t>
        </is>
      </c>
      <c r="B33">
        <f>B32/Inputs!B5-1</f>
        <v/>
      </c>
    </row>
    <row r="34">
      <c r="A34" s="1" t="inlineStr">
        <is>
          <t>Implied P/TBV of IV</t>
        </is>
      </c>
      <c r="B34">
        <f>B32/Inputs!B13</f>
        <v/>
      </c>
    </row>
    <row r="35">
      <c r="A35" s="1" t="inlineStr">
        <is>
          <t>Y5 terminal equity value (TBV5 + TV)</t>
        </is>
      </c>
      <c r="B35">
        <f>F18+B29</f>
        <v/>
      </c>
    </row>
    <row r="36">
      <c r="A36" s="1" t="inlineStr">
        <is>
          <t>Implied exit P/TBV</t>
        </is>
      </c>
      <c r="B36">
        <f>B35/F18</f>
        <v/>
      </c>
    </row>
    <row r="37">
      <c r="A37" s="1" t="inlineStr">
        <is>
          <t>Terminal % of value</t>
        </is>
      </c>
      <c r="B37">
        <f>B30/B31</f>
        <v/>
      </c>
    </row>
    <row r="38">
      <c r="A38" s="1" t="inlineStr">
        <is>
          <t>PV dividends at hurdle</t>
        </is>
      </c>
      <c r="B38">
        <f>SUM(B24:F24)</f>
        <v/>
      </c>
    </row>
    <row r="39">
      <c r="A39" s="1" t="inlineStr">
        <is>
          <t>PV terminal at hurdle</t>
        </is>
      </c>
      <c r="B39">
        <f>B35*F23</f>
        <v/>
      </c>
    </row>
    <row r="40">
      <c r="A40" s="1" t="inlineStr">
        <is>
          <t>Entry price (15% IRR)</t>
        </is>
      </c>
      <c r="B40">
        <f>(B38+B39)/B7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BULL — residual income on tangible book</t>
        </is>
      </c>
    </row>
    <row r="3">
      <c r="A3" t="inlineStr">
        <is>
          <t>Cost of equity</t>
        </is>
      </c>
      <c r="B3" s="2" t="n">
        <v>0.09</v>
      </c>
    </row>
    <row r="4">
      <c r="A4" t="inlineStr">
        <is>
          <t>Terminal growth of residual income</t>
        </is>
      </c>
      <c r="B4" s="2" t="n">
        <v>0.03</v>
      </c>
    </row>
    <row r="5">
      <c r="A5" t="inlineStr">
        <is>
          <t>Dividend payout ratio</t>
        </is>
      </c>
      <c r="B5" s="2" t="n">
        <v>0.7</v>
      </c>
    </row>
    <row r="6">
      <c r="A6" t="inlineStr">
        <is>
          <t>Opening TBV</t>
        </is>
      </c>
      <c r="B6">
        <f>Inputs!B11</f>
        <v/>
      </c>
    </row>
    <row r="7">
      <c r="A7" t="inlineStr">
        <is>
          <t>Shares (m)</t>
        </is>
      </c>
      <c r="B7">
        <f>Inputs!B12</f>
        <v/>
      </c>
    </row>
    <row r="8">
      <c r="A8" t="inlineStr">
        <is>
          <t>Hurdle rate</t>
        </is>
      </c>
      <c r="B8">
        <f>Inputs!B19</f>
        <v/>
      </c>
    </row>
    <row r="10">
      <c r="A10" s="1" t="inlineStr">
        <is>
          <t>Year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</row>
    <row r="11">
      <c r="A11" t="inlineStr">
        <is>
          <t>ROTE on opening TBV</t>
        </is>
      </c>
      <c r="B11" s="2" t="n">
        <v>0.116</v>
      </c>
      <c r="C11" s="2" t="n">
        <v>0.125</v>
      </c>
      <c r="D11" s="2" t="n">
        <v>0.13</v>
      </c>
      <c r="E11" s="2" t="n">
        <v>0.135</v>
      </c>
      <c r="F11" s="2" t="n">
        <v>0.135</v>
      </c>
    </row>
    <row r="12">
      <c r="A12" t="inlineStr">
        <is>
          <t>One-off after tax</t>
        </is>
      </c>
      <c r="B12" s="2" t="n">
        <v>140</v>
      </c>
      <c r="C12" s="2" t="n">
        <v>100</v>
      </c>
      <c r="D12" s="2" t="n">
        <v>0</v>
      </c>
      <c r="E12" s="2" t="n">
        <v>0</v>
      </c>
      <c r="F12" s="2" t="n">
        <v>0</v>
      </c>
    </row>
    <row r="13">
      <c r="A13" t="inlineStr">
        <is>
          <t>Opening TBV</t>
        </is>
      </c>
      <c r="B13">
        <f>$B$6</f>
        <v/>
      </c>
      <c r="C13">
        <f>B18</f>
        <v/>
      </c>
      <c r="D13">
        <f>C18</f>
        <v/>
      </c>
      <c r="E13">
        <f>D18</f>
        <v/>
      </c>
      <c r="F13">
        <f>E18</f>
        <v/>
      </c>
    </row>
    <row r="14">
      <c r="A14" t="inlineStr">
        <is>
          <t>Underlying cash profit</t>
        </is>
      </c>
      <c r="B14">
        <f>B11*B13</f>
        <v/>
      </c>
      <c r="C14">
        <f>C11*C13</f>
        <v/>
      </c>
      <c r="D14">
        <f>D11*D13</f>
        <v/>
      </c>
      <c r="E14">
        <f>E11*E13</f>
        <v/>
      </c>
      <c r="F14">
        <f>F11*F13</f>
        <v/>
      </c>
    </row>
    <row r="15">
      <c r="A15" t="inlineStr">
        <is>
          <t>Net income</t>
        </is>
      </c>
      <c r="B15">
        <f>B14-B12</f>
        <v/>
      </c>
      <c r="C15">
        <f>C14-C12</f>
        <v/>
      </c>
      <c r="D15">
        <f>D14-D12</f>
        <v/>
      </c>
      <c r="E15">
        <f>E14-E12</f>
        <v/>
      </c>
      <c r="F15">
        <f>F14-F12</f>
        <v/>
      </c>
    </row>
    <row r="16">
      <c r="A16" t="inlineStr">
        <is>
          <t>Dividends</t>
        </is>
      </c>
      <c r="B16">
        <f>$B$5*B15</f>
        <v/>
      </c>
      <c r="C16">
        <f>$B$5*C15</f>
        <v/>
      </c>
      <c r="D16">
        <f>$B$5*D15</f>
        <v/>
      </c>
      <c r="E16">
        <f>$B$5*E15</f>
        <v/>
      </c>
      <c r="F16">
        <f>$B$5*F15</f>
        <v/>
      </c>
    </row>
    <row r="17">
      <c r="A17" t="inlineStr">
        <is>
          <t>Retained</t>
        </is>
      </c>
      <c r="B17">
        <f>B15-B16</f>
        <v/>
      </c>
      <c r="C17">
        <f>C15-C16</f>
        <v/>
      </c>
      <c r="D17">
        <f>D15-D16</f>
        <v/>
      </c>
      <c r="E17">
        <f>E15-E16</f>
        <v/>
      </c>
      <c r="F17">
        <f>F15-F16</f>
        <v/>
      </c>
    </row>
    <row r="18">
      <c r="A18" t="inlineStr">
        <is>
          <t>Closing TBV</t>
        </is>
      </c>
      <c r="B18">
        <f>B13+B17</f>
        <v/>
      </c>
      <c r="C18">
        <f>C13+C17</f>
        <v/>
      </c>
      <c r="D18">
        <f>D13+D17</f>
        <v/>
      </c>
      <c r="E18">
        <f>E13+E17</f>
        <v/>
      </c>
      <c r="F18">
        <f>F13+F17</f>
        <v/>
      </c>
    </row>
    <row r="19">
      <c r="A19" t="inlineStr">
        <is>
          <t>Equity charge (CoE x opening TBV)</t>
        </is>
      </c>
      <c r="B19">
        <f>$B$3*B13</f>
        <v/>
      </c>
      <c r="C19">
        <f>$B$3*C13</f>
        <v/>
      </c>
      <c r="D19">
        <f>$B$3*D13</f>
        <v/>
      </c>
      <c r="E19">
        <f>$B$3*E13</f>
        <v/>
      </c>
      <c r="F19">
        <f>$B$3*F13</f>
        <v/>
      </c>
    </row>
    <row r="20">
      <c r="A20" t="inlineStr">
        <is>
          <t>Residual income</t>
        </is>
      </c>
      <c r="B20">
        <f>B15-B19</f>
        <v/>
      </c>
      <c r="C20">
        <f>C15-C19</f>
        <v/>
      </c>
      <c r="D20">
        <f>D15-D19</f>
        <v/>
      </c>
      <c r="E20">
        <f>E15-E19</f>
        <v/>
      </c>
      <c r="F20">
        <f>F15-F19</f>
        <v/>
      </c>
    </row>
    <row r="21">
      <c r="A21" t="inlineStr">
        <is>
          <t>Discount factor</t>
        </is>
      </c>
      <c r="B21">
        <f>1/(1+$B$3)^B10</f>
        <v/>
      </c>
      <c r="C21">
        <f>1/(1+$B$3)^C10</f>
        <v/>
      </c>
      <c r="D21">
        <f>1/(1+$B$3)^D10</f>
        <v/>
      </c>
      <c r="E21">
        <f>1/(1+$B$3)^E10</f>
        <v/>
      </c>
      <c r="F21">
        <f>1/(1+$B$3)^F10</f>
        <v/>
      </c>
    </row>
    <row r="22">
      <c r="A22" t="inlineStr">
        <is>
          <t>PV residual income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</row>
    <row r="23">
      <c r="A23" t="inlineStr">
        <is>
          <t>Hurdle discount factor</t>
        </is>
      </c>
      <c r="B23">
        <f>1/(1+$B$8)^B10</f>
        <v/>
      </c>
      <c r="C23">
        <f>1/(1+$B$8)^C10</f>
        <v/>
      </c>
      <c r="D23">
        <f>1/(1+$B$8)^D10</f>
        <v/>
      </c>
      <c r="E23">
        <f>1/(1+$B$8)^E10</f>
        <v/>
      </c>
      <c r="F23">
        <f>1/(1+$B$8)^F10</f>
        <v/>
      </c>
    </row>
    <row r="24">
      <c r="A24" t="inlineStr">
        <is>
          <t>PV dividends at hurdle</t>
        </is>
      </c>
      <c r="B24">
        <f>B16*B23</f>
        <v/>
      </c>
      <c r="C24">
        <f>C16*C23</f>
        <v/>
      </c>
      <c r="D24">
        <f>D16*D23</f>
        <v/>
      </c>
      <c r="E24">
        <f>E16*E23</f>
        <v/>
      </c>
      <c r="F24">
        <f>F16*F23</f>
        <v/>
      </c>
    </row>
    <row r="25">
      <c r="A25" t="inlineStr">
        <is>
          <t>EPS</t>
        </is>
      </c>
      <c r="B25">
        <f>B15/$B$7</f>
        <v/>
      </c>
      <c r="C25">
        <f>C15/$B$7</f>
        <v/>
      </c>
      <c r="D25">
        <f>D15/$B$7</f>
        <v/>
      </c>
      <c r="E25">
        <f>E15/$B$7</f>
        <v/>
      </c>
      <c r="F25">
        <f>F15/$B$7</f>
        <v/>
      </c>
    </row>
    <row r="26">
      <c r="A26" t="inlineStr">
        <is>
          <t>TBV per share</t>
        </is>
      </c>
      <c r="B26">
        <f>B18/$B$7</f>
        <v/>
      </c>
      <c r="C26">
        <f>C18/$B$7</f>
        <v/>
      </c>
      <c r="D26">
        <f>D18/$B$7</f>
        <v/>
      </c>
      <c r="E26">
        <f>E18/$B$7</f>
        <v/>
      </c>
      <c r="F26">
        <f>F18/$B$7</f>
        <v/>
      </c>
    </row>
    <row r="28">
      <c r="A28" s="1" t="inlineStr">
        <is>
          <t>Sum PV residual income</t>
        </is>
      </c>
      <c r="B28">
        <f>SUM(B22:F22)</f>
        <v/>
      </c>
    </row>
    <row r="29">
      <c r="A29" s="1" t="inlineStr">
        <is>
          <t>Terminal value (Gordon on Y5 RI)</t>
        </is>
      </c>
      <c r="B29">
        <f>F20*(1+B4)/(B3-B4)</f>
        <v/>
      </c>
    </row>
    <row r="30">
      <c r="A30" s="1" t="inlineStr">
        <is>
          <t>PV terminal value</t>
        </is>
      </c>
      <c r="B30">
        <f>B29*F21</f>
        <v/>
      </c>
    </row>
    <row r="31">
      <c r="A31" s="1" t="inlineStr">
        <is>
          <t>Equity value</t>
        </is>
      </c>
      <c r="B31">
        <f>B6+B28+B30</f>
        <v/>
      </c>
    </row>
    <row r="32">
      <c r="A32" s="1" t="inlineStr">
        <is>
          <t>Intrinsic value per share</t>
        </is>
      </c>
      <c r="B32">
        <f>B31/B7</f>
        <v/>
      </c>
    </row>
    <row r="33">
      <c r="A33" s="1" t="inlineStr">
        <is>
          <t>Upside vs price</t>
        </is>
      </c>
      <c r="B33">
        <f>B32/Inputs!B5-1</f>
        <v/>
      </c>
    </row>
    <row r="34">
      <c r="A34" s="1" t="inlineStr">
        <is>
          <t>Implied P/TBV of IV</t>
        </is>
      </c>
      <c r="B34">
        <f>B32/Inputs!B13</f>
        <v/>
      </c>
    </row>
    <row r="35">
      <c r="A35" s="1" t="inlineStr">
        <is>
          <t>Y5 terminal equity value (TBV5 + TV)</t>
        </is>
      </c>
      <c r="B35">
        <f>F18+B29</f>
        <v/>
      </c>
    </row>
    <row r="36">
      <c r="A36" s="1" t="inlineStr">
        <is>
          <t>Implied exit P/TBV</t>
        </is>
      </c>
      <c r="B36">
        <f>B35/F18</f>
        <v/>
      </c>
    </row>
    <row r="37">
      <c r="A37" s="1" t="inlineStr">
        <is>
          <t>Terminal % of value</t>
        </is>
      </c>
      <c r="B37">
        <f>B30/B31</f>
        <v/>
      </c>
    </row>
    <row r="38">
      <c r="A38" s="1" t="inlineStr">
        <is>
          <t>PV dividends at hurdle</t>
        </is>
      </c>
      <c r="B38">
        <f>SUM(B24:F24)</f>
        <v/>
      </c>
    </row>
    <row r="39">
      <c r="A39" s="1" t="inlineStr">
        <is>
          <t>PV terminal at hurdle</t>
        </is>
      </c>
      <c r="B39">
        <f>B35*F23</f>
        <v/>
      </c>
    </row>
    <row r="40">
      <c r="A40" s="1" t="inlineStr">
        <is>
          <t>Entry price (15% IRR)</t>
        </is>
      </c>
      <c r="B40">
        <f>(B38+B39)/B7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BEAR — residual income on tangible book</t>
        </is>
      </c>
    </row>
    <row r="3">
      <c r="A3" t="inlineStr">
        <is>
          <t>Cost of equity</t>
        </is>
      </c>
      <c r="B3" s="2" t="n">
        <v>0.11</v>
      </c>
    </row>
    <row r="4">
      <c r="A4" t="inlineStr">
        <is>
          <t>Terminal growth of residual income</t>
        </is>
      </c>
      <c r="B4" s="2" t="n">
        <v>0.025</v>
      </c>
    </row>
    <row r="5">
      <c r="A5" t="inlineStr">
        <is>
          <t>Dividend payout ratio</t>
        </is>
      </c>
      <c r="B5" s="2" t="n">
        <v>0.78</v>
      </c>
    </row>
    <row r="6">
      <c r="A6" t="inlineStr">
        <is>
          <t>Opening TBV</t>
        </is>
      </c>
      <c r="B6">
        <f>Inputs!B11</f>
        <v/>
      </c>
    </row>
    <row r="7">
      <c r="A7" t="inlineStr">
        <is>
          <t>Shares (m)</t>
        </is>
      </c>
      <c r="B7">
        <f>Inputs!B12</f>
        <v/>
      </c>
    </row>
    <row r="8">
      <c r="A8" t="inlineStr">
        <is>
          <t>Hurdle rate</t>
        </is>
      </c>
      <c r="B8">
        <f>Inputs!B19</f>
        <v/>
      </c>
    </row>
    <row r="10">
      <c r="A10" s="1" t="inlineStr">
        <is>
          <t>Year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</row>
    <row r="11">
      <c r="A11" t="inlineStr">
        <is>
          <t>ROTE on opening TBV</t>
        </is>
      </c>
      <c r="B11" s="2" t="n">
        <v>0.1</v>
      </c>
      <c r="C11" s="2" t="n">
        <v>0.095</v>
      </c>
      <c r="D11" s="2" t="n">
        <v>0.095</v>
      </c>
      <c r="E11" s="2" t="n">
        <v>0.1</v>
      </c>
      <c r="F11" s="2" t="n">
        <v>0.1</v>
      </c>
    </row>
    <row r="12">
      <c r="A12" t="inlineStr">
        <is>
          <t>One-off after tax</t>
        </is>
      </c>
      <c r="B12" s="2" t="n">
        <v>250</v>
      </c>
      <c r="C12" s="2" t="n">
        <v>250</v>
      </c>
      <c r="D12" s="2" t="n">
        <v>150</v>
      </c>
      <c r="E12" s="2" t="n">
        <v>100</v>
      </c>
      <c r="F12" s="2" t="n">
        <v>100</v>
      </c>
    </row>
    <row r="13">
      <c r="A13" t="inlineStr">
        <is>
          <t>Opening TBV</t>
        </is>
      </c>
      <c r="B13">
        <f>$B$6</f>
        <v/>
      </c>
      <c r="C13">
        <f>B18</f>
        <v/>
      </c>
      <c r="D13">
        <f>C18</f>
        <v/>
      </c>
      <c r="E13">
        <f>D18</f>
        <v/>
      </c>
      <c r="F13">
        <f>E18</f>
        <v/>
      </c>
    </row>
    <row r="14">
      <c r="A14" t="inlineStr">
        <is>
          <t>Underlying cash profit</t>
        </is>
      </c>
      <c r="B14">
        <f>B11*B13</f>
        <v/>
      </c>
      <c r="C14">
        <f>C11*C13</f>
        <v/>
      </c>
      <c r="D14">
        <f>D11*D13</f>
        <v/>
      </c>
      <c r="E14">
        <f>E11*E13</f>
        <v/>
      </c>
      <c r="F14">
        <f>F11*F13</f>
        <v/>
      </c>
    </row>
    <row r="15">
      <c r="A15" t="inlineStr">
        <is>
          <t>Net income</t>
        </is>
      </c>
      <c r="B15">
        <f>B14-B12</f>
        <v/>
      </c>
      <c r="C15">
        <f>C14-C12</f>
        <v/>
      </c>
      <c r="D15">
        <f>D14-D12</f>
        <v/>
      </c>
      <c r="E15">
        <f>E14-E12</f>
        <v/>
      </c>
      <c r="F15">
        <f>F14-F12</f>
        <v/>
      </c>
    </row>
    <row r="16">
      <c r="A16" t="inlineStr">
        <is>
          <t>Dividends</t>
        </is>
      </c>
      <c r="B16">
        <f>$B$5*B15</f>
        <v/>
      </c>
      <c r="C16">
        <f>$B$5*C15</f>
        <v/>
      </c>
      <c r="D16">
        <f>$B$5*D15</f>
        <v/>
      </c>
      <c r="E16">
        <f>$B$5*E15</f>
        <v/>
      </c>
      <c r="F16">
        <f>$B$5*F15</f>
        <v/>
      </c>
    </row>
    <row r="17">
      <c r="A17" t="inlineStr">
        <is>
          <t>Retained</t>
        </is>
      </c>
      <c r="B17">
        <f>B15-B16</f>
        <v/>
      </c>
      <c r="C17">
        <f>C15-C16</f>
        <v/>
      </c>
      <c r="D17">
        <f>D15-D16</f>
        <v/>
      </c>
      <c r="E17">
        <f>E15-E16</f>
        <v/>
      </c>
      <c r="F17">
        <f>F15-F16</f>
        <v/>
      </c>
    </row>
    <row r="18">
      <c r="A18" t="inlineStr">
        <is>
          <t>Closing TBV</t>
        </is>
      </c>
      <c r="B18">
        <f>B13+B17</f>
        <v/>
      </c>
      <c r="C18">
        <f>C13+C17</f>
        <v/>
      </c>
      <c r="D18">
        <f>D13+D17</f>
        <v/>
      </c>
      <c r="E18">
        <f>E13+E17</f>
        <v/>
      </c>
      <c r="F18">
        <f>F13+F17</f>
        <v/>
      </c>
    </row>
    <row r="19">
      <c r="A19" t="inlineStr">
        <is>
          <t>Equity charge (CoE x opening TBV)</t>
        </is>
      </c>
      <c r="B19">
        <f>$B$3*B13</f>
        <v/>
      </c>
      <c r="C19">
        <f>$B$3*C13</f>
        <v/>
      </c>
      <c r="D19">
        <f>$B$3*D13</f>
        <v/>
      </c>
      <c r="E19">
        <f>$B$3*E13</f>
        <v/>
      </c>
      <c r="F19">
        <f>$B$3*F13</f>
        <v/>
      </c>
    </row>
    <row r="20">
      <c r="A20" t="inlineStr">
        <is>
          <t>Residual income</t>
        </is>
      </c>
      <c r="B20">
        <f>B15-B19</f>
        <v/>
      </c>
      <c r="C20">
        <f>C15-C19</f>
        <v/>
      </c>
      <c r="D20">
        <f>D15-D19</f>
        <v/>
      </c>
      <c r="E20">
        <f>E15-E19</f>
        <v/>
      </c>
      <c r="F20">
        <f>F15-F19</f>
        <v/>
      </c>
    </row>
    <row r="21">
      <c r="A21" t="inlineStr">
        <is>
          <t>Discount factor</t>
        </is>
      </c>
      <c r="B21">
        <f>1/(1+$B$3)^B10</f>
        <v/>
      </c>
      <c r="C21">
        <f>1/(1+$B$3)^C10</f>
        <v/>
      </c>
      <c r="D21">
        <f>1/(1+$B$3)^D10</f>
        <v/>
      </c>
      <c r="E21">
        <f>1/(1+$B$3)^E10</f>
        <v/>
      </c>
      <c r="F21">
        <f>1/(1+$B$3)^F10</f>
        <v/>
      </c>
    </row>
    <row r="22">
      <c r="A22" t="inlineStr">
        <is>
          <t>PV residual income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</row>
    <row r="23">
      <c r="A23" t="inlineStr">
        <is>
          <t>Hurdle discount factor</t>
        </is>
      </c>
      <c r="B23">
        <f>1/(1+$B$8)^B10</f>
        <v/>
      </c>
      <c r="C23">
        <f>1/(1+$B$8)^C10</f>
        <v/>
      </c>
      <c r="D23">
        <f>1/(1+$B$8)^D10</f>
        <v/>
      </c>
      <c r="E23">
        <f>1/(1+$B$8)^E10</f>
        <v/>
      </c>
      <c r="F23">
        <f>1/(1+$B$8)^F10</f>
        <v/>
      </c>
    </row>
    <row r="24">
      <c r="A24" t="inlineStr">
        <is>
          <t>PV dividends at hurdle</t>
        </is>
      </c>
      <c r="B24">
        <f>B16*B23</f>
        <v/>
      </c>
      <c r="C24">
        <f>C16*C23</f>
        <v/>
      </c>
      <c r="D24">
        <f>D16*D23</f>
        <v/>
      </c>
      <c r="E24">
        <f>E16*E23</f>
        <v/>
      </c>
      <c r="F24">
        <f>F16*F23</f>
        <v/>
      </c>
    </row>
    <row r="25">
      <c r="A25" t="inlineStr">
        <is>
          <t>EPS</t>
        </is>
      </c>
      <c r="B25">
        <f>B15/$B$7</f>
        <v/>
      </c>
      <c r="C25">
        <f>C15/$B$7</f>
        <v/>
      </c>
      <c r="D25">
        <f>D15/$B$7</f>
        <v/>
      </c>
      <c r="E25">
        <f>E15/$B$7</f>
        <v/>
      </c>
      <c r="F25">
        <f>F15/$B$7</f>
        <v/>
      </c>
    </row>
    <row r="26">
      <c r="A26" t="inlineStr">
        <is>
          <t>TBV per share</t>
        </is>
      </c>
      <c r="B26">
        <f>B18/$B$7</f>
        <v/>
      </c>
      <c r="C26">
        <f>C18/$B$7</f>
        <v/>
      </c>
      <c r="D26">
        <f>D18/$B$7</f>
        <v/>
      </c>
      <c r="E26">
        <f>E18/$B$7</f>
        <v/>
      </c>
      <c r="F26">
        <f>F18/$B$7</f>
        <v/>
      </c>
    </row>
    <row r="28">
      <c r="A28" s="1" t="inlineStr">
        <is>
          <t>Sum PV residual income</t>
        </is>
      </c>
      <c r="B28">
        <f>SUM(B22:F22)</f>
        <v/>
      </c>
    </row>
    <row r="29">
      <c r="A29" s="1" t="inlineStr">
        <is>
          <t>Terminal value (Gordon on Y5 RI)</t>
        </is>
      </c>
      <c r="B29">
        <f>F20*(1+B4)/(B3-B4)</f>
        <v/>
      </c>
    </row>
    <row r="30">
      <c r="A30" s="1" t="inlineStr">
        <is>
          <t>PV terminal value</t>
        </is>
      </c>
      <c r="B30">
        <f>B29*F21</f>
        <v/>
      </c>
    </row>
    <row r="31">
      <c r="A31" s="1" t="inlineStr">
        <is>
          <t>Equity value</t>
        </is>
      </c>
      <c r="B31">
        <f>B6+B28+B30</f>
        <v/>
      </c>
    </row>
    <row r="32">
      <c r="A32" s="1" t="inlineStr">
        <is>
          <t>Intrinsic value per share</t>
        </is>
      </c>
      <c r="B32">
        <f>B31/B7</f>
        <v/>
      </c>
    </row>
    <row r="33">
      <c r="A33" s="1" t="inlineStr">
        <is>
          <t>Upside vs price</t>
        </is>
      </c>
      <c r="B33">
        <f>B32/Inputs!B5-1</f>
        <v/>
      </c>
    </row>
    <row r="34">
      <c r="A34" s="1" t="inlineStr">
        <is>
          <t>Implied P/TBV of IV</t>
        </is>
      </c>
      <c r="B34">
        <f>B32/Inputs!B13</f>
        <v/>
      </c>
    </row>
    <row r="35">
      <c r="A35" s="1" t="inlineStr">
        <is>
          <t>Y5 terminal equity value (TBV5 + TV)</t>
        </is>
      </c>
      <c r="B35">
        <f>F18+B29</f>
        <v/>
      </c>
    </row>
    <row r="36">
      <c r="A36" s="1" t="inlineStr">
        <is>
          <t>Implied exit P/TBV</t>
        </is>
      </c>
      <c r="B36">
        <f>B35/F18</f>
        <v/>
      </c>
    </row>
    <row r="37">
      <c r="A37" s="1" t="inlineStr">
        <is>
          <t>Terminal % of value</t>
        </is>
      </c>
      <c r="B37">
        <f>B30/B31</f>
        <v/>
      </c>
    </row>
    <row r="38">
      <c r="A38" s="1" t="inlineStr">
        <is>
          <t>PV dividends at hurdle</t>
        </is>
      </c>
      <c r="B38">
        <f>SUM(B24:F24)</f>
        <v/>
      </c>
    </row>
    <row r="39">
      <c r="A39" s="1" t="inlineStr">
        <is>
          <t>PV terminal at hurdle</t>
        </is>
      </c>
      <c r="B39">
        <f>B35*F23</f>
        <v/>
      </c>
    </row>
    <row r="40">
      <c r="A40" s="1" t="inlineStr">
        <is>
          <t>Entry price (15% IRR)</t>
        </is>
      </c>
      <c r="B40">
        <f>(B38+B39)/B7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Scenario</t>
        </is>
      </c>
      <c r="B1" s="1" t="inlineStr">
        <is>
          <t>Weight</t>
        </is>
      </c>
      <c r="C1" s="1" t="inlineStr">
        <is>
          <t>Intrinsic value</t>
        </is>
      </c>
      <c r="D1" s="1" t="inlineStr">
        <is>
          <t>Upside</t>
        </is>
      </c>
      <c r="E1" s="1" t="inlineStr">
        <is>
          <t>Entry price</t>
        </is>
      </c>
      <c r="F1" s="1" t="inlineStr">
        <is>
          <t>Implied P/TBV</t>
        </is>
      </c>
      <c r="G1" s="1" t="inlineStr">
        <is>
          <t>Exit P/TBV</t>
        </is>
      </c>
    </row>
    <row r="2">
      <c r="A2" t="inlineStr">
        <is>
          <t>Bear</t>
        </is>
      </c>
      <c r="B2" s="2" t="n">
        <v>0.2</v>
      </c>
      <c r="C2">
        <f>Bear!B32</f>
        <v/>
      </c>
      <c r="D2">
        <f>Bear!B33</f>
        <v/>
      </c>
      <c r="E2">
        <f>Bear!B40</f>
        <v/>
      </c>
      <c r="F2">
        <f>Bear!B34</f>
        <v/>
      </c>
      <c r="G2">
        <f>Bear!B36</f>
        <v/>
      </c>
    </row>
    <row r="3">
      <c r="A3" t="inlineStr">
        <is>
          <t>Base</t>
        </is>
      </c>
      <c r="B3" s="2" t="n">
        <v>0.5</v>
      </c>
      <c r="C3">
        <f>Base!B32</f>
        <v/>
      </c>
      <c r="D3">
        <f>Base!B33</f>
        <v/>
      </c>
      <c r="E3">
        <f>Base!B40</f>
        <v/>
      </c>
      <c r="F3">
        <f>Base!B34</f>
        <v/>
      </c>
      <c r="G3">
        <f>Base!B36</f>
        <v/>
      </c>
    </row>
    <row r="4">
      <c r="A4" t="inlineStr">
        <is>
          <t>Bull</t>
        </is>
      </c>
      <c r="B4" s="2" t="n">
        <v>0.3</v>
      </c>
      <c r="C4">
        <f>Bull!B32</f>
        <v/>
      </c>
      <c r="D4">
        <f>Bull!B33</f>
        <v/>
      </c>
      <c r="E4">
        <f>Bull!B40</f>
        <v/>
      </c>
      <c r="F4">
        <f>Bull!B34</f>
        <v/>
      </c>
      <c r="G4">
        <f>Bull!B36</f>
        <v/>
      </c>
    </row>
    <row r="5">
      <c r="A5" s="1" t="inlineStr">
        <is>
          <t>Weighted</t>
        </is>
      </c>
      <c r="B5">
        <f>SUM(B2:B4)</f>
        <v/>
      </c>
      <c r="C5">
        <f>SUMPRODUCT(B2:B4,C2:C4)</f>
        <v/>
      </c>
      <c r="D5">
        <f>C5/Inputs!B5-1</f>
        <v/>
      </c>
      <c r="E5">
        <f>SUMPRODUCT(B2:B4,E2:E4)</f>
        <v/>
      </c>
    </row>
    <row r="7">
      <c r="A7" t="inlineStr">
        <is>
          <t>Current price</t>
        </is>
      </c>
      <c r="B7">
        <f>Inputs!B5</f>
        <v/>
      </c>
    </row>
    <row r="8">
      <c r="A8" t="inlineStr">
        <is>
          <t>Sensitivity (base): rows CoE, cols terminal g — static values from build script</t>
        </is>
      </c>
    </row>
    <row r="9">
      <c r="A9" t="inlineStr">
        <is>
          <t>CoE \ g</t>
        </is>
      </c>
      <c r="B9" t="n">
        <v>2</v>
      </c>
      <c r="C9" t="n">
        <v>2.5</v>
      </c>
      <c r="D9" t="n">
        <v>3</v>
      </c>
      <c r="E9" t="n">
        <v>3.5</v>
      </c>
      <c r="F9" t="n">
        <v>4</v>
      </c>
    </row>
    <row r="10">
      <c r="A10" t="n">
        <v>8</v>
      </c>
      <c r="B10" t="n">
        <v>36.54</v>
      </c>
      <c r="C10" t="n">
        <v>37.65</v>
      </c>
      <c r="D10" t="n">
        <v>38.98</v>
      </c>
      <c r="E10" t="n">
        <v>40.6</v>
      </c>
      <c r="F10" t="n">
        <v>42.64</v>
      </c>
    </row>
    <row r="11">
      <c r="A11" t="n">
        <v>9</v>
      </c>
      <c r="B11" t="n">
        <v>31.1</v>
      </c>
      <c r="C11" t="n">
        <v>31.68</v>
      </c>
      <c r="D11" t="n">
        <v>32.36</v>
      </c>
      <c r="E11" t="n">
        <v>33.16</v>
      </c>
      <c r="F11" t="n">
        <v>34.13</v>
      </c>
    </row>
    <row r="12">
      <c r="A12" t="n">
        <v>10</v>
      </c>
      <c r="B12" t="n">
        <v>27.03</v>
      </c>
      <c r="C12" t="n">
        <v>27.32</v>
      </c>
      <c r="D12" t="n">
        <v>27.64</v>
      </c>
      <c r="E12" t="n">
        <v>28.01</v>
      </c>
      <c r="F12" t="n">
        <v>28.45</v>
      </c>
    </row>
    <row r="13">
      <c r="A13" t="n">
        <v>11</v>
      </c>
      <c r="B13" t="n">
        <v>23.88</v>
      </c>
      <c r="C13" t="n">
        <v>23.98</v>
      </c>
      <c r="D13" t="n">
        <v>24.1</v>
      </c>
      <c r="E13" t="n">
        <v>24.24</v>
      </c>
      <c r="F13" t="n">
        <v>24.4</v>
      </c>
    </row>
    <row r="14">
      <c r="A14" t="n">
        <v>12</v>
      </c>
      <c r="B14" t="n">
        <v>21.35</v>
      </c>
      <c r="C14" t="n">
        <v>21.35</v>
      </c>
      <c r="D14" t="n">
        <v>21.35</v>
      </c>
      <c r="E14" t="n">
        <v>21.35</v>
      </c>
      <c r="F14" t="n">
        <v>21.35</v>
      </c>
    </row>
    <row r="16">
      <c r="A16" t="inlineStr">
        <is>
          <t>Sensitivity (base): rows CoE, cols steady-state ROTE from Y2 — static values</t>
        </is>
      </c>
    </row>
    <row r="17">
      <c r="A17" t="inlineStr">
        <is>
          <t>CoE \ ROTE</t>
        </is>
      </c>
      <c r="B17" t="n">
        <v>10</v>
      </c>
      <c r="C17" t="n">
        <v>11</v>
      </c>
      <c r="D17" t="n">
        <v>12</v>
      </c>
      <c r="E17" t="n">
        <v>13</v>
      </c>
      <c r="F17" t="n">
        <v>14</v>
      </c>
    </row>
    <row r="18">
      <c r="A18" t="n">
        <v>8</v>
      </c>
      <c r="B18" t="n">
        <v>30.57</v>
      </c>
      <c r="C18" t="n">
        <v>34.83</v>
      </c>
      <c r="D18" t="n">
        <v>39.14</v>
      </c>
      <c r="E18" t="n">
        <v>43.53</v>
      </c>
      <c r="F18" t="n">
        <v>47.98</v>
      </c>
    </row>
    <row r="19">
      <c r="A19" t="n">
        <v>9</v>
      </c>
      <c r="B19" t="n">
        <v>25.49</v>
      </c>
      <c r="C19" t="n">
        <v>28.98</v>
      </c>
      <c r="D19" t="n">
        <v>32.51</v>
      </c>
      <c r="E19" t="n">
        <v>36.1</v>
      </c>
      <c r="F19" t="n">
        <v>39.75</v>
      </c>
    </row>
    <row r="20">
      <c r="A20" t="n">
        <v>10</v>
      </c>
      <c r="B20" t="n">
        <v>21.87</v>
      </c>
      <c r="C20" t="n">
        <v>24.8</v>
      </c>
      <c r="D20" t="n">
        <v>27.78</v>
      </c>
      <c r="E20" t="n">
        <v>30.8</v>
      </c>
      <c r="F20" t="n">
        <v>33.87</v>
      </c>
    </row>
    <row r="21">
      <c r="A21" t="n">
        <v>11</v>
      </c>
      <c r="B21" t="n">
        <v>19.15</v>
      </c>
      <c r="C21" t="n">
        <v>21.67</v>
      </c>
      <c r="D21" t="n">
        <v>24.23</v>
      </c>
      <c r="E21" t="n">
        <v>26.83</v>
      </c>
      <c r="F21" t="n">
        <v>29.48</v>
      </c>
    </row>
    <row r="22">
      <c r="A22" t="n">
        <v>12</v>
      </c>
      <c r="B22" t="n">
        <v>17.03</v>
      </c>
      <c r="C22" t="n">
        <v>19.24</v>
      </c>
      <c r="D22" t="n">
        <v>21.48</v>
      </c>
      <c r="E22" t="n">
        <v>23.75</v>
      </c>
      <c r="F22" t="n">
        <v>26.06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2026-09-21T11:19:08Z</dcterms:created>
  <dcterms:modified xsi:type="dcterms:W3CDTF">2026-09-21T11:19:08Z</dcterms:modified>
</cp:coreProperties>
</file>