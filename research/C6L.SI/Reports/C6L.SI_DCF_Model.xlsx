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<sst xmlns="http://schemas.openxmlformats.org/spreadsheetml/2006/main" count="369" uniqueCount="170">
  <si>
    <t xml:space="preserve">Ticker</t>
  </si>
  <si>
    <t xml:space="preserve">C6L.SI</t>
  </si>
  <si>
    <t xml:space="preserve">Company</t>
  </si>
  <si>
    <t xml:space="preserve">Singapore Airlines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</si>
  <si>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</si>
  <si>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</si>
  <si>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</si>
  <si>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</si>
  <si>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2026-10-23T09:06:12Z (SGX regular-session last trade, Yahoo chart API regularMarketTime)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</si>
  <si>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</si>
  <si>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</si>
  <si>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</si>
  <si>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</si>
  <si>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</si>
  <si>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</si>
  <si>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</si>
  <si>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</si>
  <si>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</si>
  <si>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</si>
  <si>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</si>
  <si>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</si>
  <si>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2026-10-24T02:55:22Z</t>
  </si>
  <si>
    <t xml:space="preserve">Drivers file</t>
  </si>
  <si>
    <t xml:space="preserve">C6L.SI_Drivers.json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</si>
  <si>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</si>
  <si>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</si>
  <si>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</si>
  <si>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Through-cycle owner-FCF DCF for a cyclical, capital-intensive airline: leases charged as operating cost (treatment B), cash taxes on SIA's structurally deferred basis, an FY27 fuel trough in every scenario, a 21.5% mid-cycle EBITDA margin rather than the FY23-24 peak, and a 12x cyclical terminal cap. Associates (Air India) enter at book in the bridge, outside the flows; SIAEC's minority is deducted at market.
key_risks_to_valuation: Jet fuel: fuel was 5.0bn (24.5% of revenue) in FY26; every 10% sustained move after hedging is roughly +/-2.5pp of EBITDA margin before fare pass-through; Yield normalisation toward pre-COVID levels under Gulf and Asian LCC capacity growth; Air India: further losses, a recapitalisation call on SIA's 25.1%, or another impairment (carrying value 1,134.6 after a 960.9 write-down); Capex: 9.9bn of fleet commitments plus a 1.1bn cabin retrofit keep capex elevated regardless of the cycle; Cash-tax deferral unwinding if fleet growth slows (deferred tax liability 2,452); Terminal value is capped at 12x terminal FCF; at an 8.5% WACC Gordon would imply more, so the cap binds and the terminal assumption is the dominant value driver</t>
  </si>
  <si>
    <t xml:space="preserve">Data sources</t>
  </si>
  <si>
    <t xml:space="preserve">price: Yahoo Finance chart API at inputs.price_as_of; 52-week range 6.21-7.92
financials: C6L.SI_Metrics.csv / core_metrics; Annual Report FY2025/26 (C6L.SI_Annual_FY2026.txt): balance sheet, cash flow statement, notes 7, 8, 21, 24, 27, 31, 37; shareholding statistics as at 2 June 2026
qualitative: C6L.SI_Analysis.json (bull/bear cases, guidance, risks); AR FY2025/26 Outlook section
nci_market_value: Yahoo Finance chart API, S59.SI (SIA Engineering), 2026-10-23</t>
  </si>
  <si>
    <t xml:space="preserve">Scenario narrative: bear</t>
  </si>
  <si>
    <t xml:space="preserve">Fuel stays elevated and drives a macro slowdown: FY27 EBITDA ~15%, FY28 revenue falls 2% as discretionary premium long-haul demand weakens (cf. FY2020 pre-COVID softness). Gulf super-connectors and Asian LCCs push yields back to pre-COVID levels; Scoot stays marginal. Mid-cycle margin settles at 19.5% while the fleet commitments keep capex at 12-13.5% of revenue, and the cash-tax deferral unwinds toward 15%. Not modelled but adjacent: an Air India recapitalisation call on SIA's 25.1%.</t>
  </si>
  <si>
    <t xml:space="preserve">Scenario narrative: base</t>
  </si>
  <si>
    <t xml:space="preserve">SIA's axes are fuel versus fare pass-through, premium long-haul yield versus Gulf/LCC competition, and the fleet capex cycle. Base: the doubled jet-fuel price takes FY27 group EBITDA (pre-lease) from 24.1% to ~19% because fares lag and hedges only partly cover; margins recover to a 21.5% mid-cycle by FY29 -- below the FY23-24 yield supercycle, above pre-COVID -- as fuel normalises. Revenue grows with 3-4% capacity (ASK +3.4% in FY26) plus fare pass-through. Capex stays ~13% of revenue through the 777-9 and A350F deliveries (9.9bn committed), then ~11.5%. Air India held at its written-down book value with no further cash call.</t>
  </si>
  <si>
    <t xml:space="preserve">Scenario narrative: bull</t>
  </si>
  <si>
    <t xml:space="preserve">Fuel spike fades within FY27 and in-the-money hedges cushion it; competitors retrench capacity under fuel and Middle East airspace disruption, letting SIA's Changi hub and premium brand hold yields near post-COVID levels (passenger yield 11.5c vs 10.1c pre-COVID). EBITDA holds ~23.5%, revenue grows 5-7% early on network expansion (Riyadh, Madrid, Western Sydney) and Scoot's regional growth. Air India's turnaround is upside that the book-value bridge does not capture.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</si>
  <si>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</si>
  <si>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</si>
  <si>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</si>
  <si>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</si>
  <si>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</si>
  <si>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</si>
  <si>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</si>
  <si>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</si>
  <si>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</si>
  <si>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</si>
  <si>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</si>
  <si>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</si>
  <si>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</si>
  <si>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</si>
  <si>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</si>
  <si>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</si>
  <si>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</si>
  <si>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</si>
  <si>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</si>
  <si>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</si>
  <si>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</si>
  <si>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</si>
  <si>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</si>
  <si>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</si>
  <si>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</si>
  <si>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</si>
  <si>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</si>
  <si>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</si>
  <si>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EPSDiluted</t>
  </si>
  <si>
    <t xml:space="preserve">SpecialDividendPerShare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</si>
  <si>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</si>
  <si>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</si>
  <si>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</si>
  <si>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</si>
  <si>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</si>
  <si>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</si>
  <si>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</si>
  <si>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</si>
  <si>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</si>
  <si>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</si>
  <si>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</si>
  <si>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</si>
  <si>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</si>
  <si>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</si>
  <si>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</si>
  <si>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</si>
  <si>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</si>
  <si>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</si>
  <si>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</si>
  <si>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</si>
  <si>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</si>
  <si>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</si>
  <si>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</si>
  <si>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</si>
  <si>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</si>
  <si>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</si>
  <si>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</si>
  <si>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</si>
  <si>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</si>
  <si>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</si>
  <si>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</si>
  <si>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</si>
  <si>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</si>
  <si>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</si>
  <si>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</si>
  <si>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</si>
  <si>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</si>
  <si>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</si>
  <si>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</si>
  <si>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</si>
  <si>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</si>
  <si>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</si>
  <si>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</si>
  <si>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</si>
  <si>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</si>
  <si>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</si>
  <si>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</si>
  <si>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</si>
  <si>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</si>
  <si>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C6L.SI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</si>
  <si>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</si>
  <si>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</si>
  <si>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</si>
  <si>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</si>
  <si>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</si>
  <si>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</si>
  <si>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</si>
  <si>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</si>
  <si>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</si>
  <si>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</si>
  <si>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</si>
  <si>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</si>
  <si>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</si>
  <si>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</si>
  <si>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</si>
  <si>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</si>
  <si>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</si>
  <si>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</si>
  <si>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</si>
  <si>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</si>
  <si>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</si>
  <si>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</si>
  <si>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</si>
  <si>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</si>
  <si>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</si>
  <si>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</si>
  <si>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</si>
  <si>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</si>
  <si>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</si>
  <si>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</si>
  <si>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C6L.SI owner-FCF component DCF: base case (millions, SGD)</t>
  </si>
  <si>
    <t xml:space="preserve">C6L.SI owner-FCF component DCF: bull case (millions, SGD)</t>
  </si>
  <si>
    <t xml:space="preserve">C6L.SI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</si>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</sst>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15565.5</v>
      </c>
      <c r="F2" s="0" t="n">
        <v>409.4</v>
      </c>
      <c r="G2" s="0" t="n">
        <v>2.6</v>
      </c>
      <c r="I2" s="0" t="n">
        <v>367.9</v>
      </c>
      <c r="J2" s="0" t="n">
        <v>2.4</v>
      </c>
      <c r="K2" s="0" t="n">
        <v>0.314</v>
      </c>
      <c r="L2" s="0" t="n">
        <v>2067.2</v>
      </c>
      <c r="M2" s="0" t="n">
        <v>2600.2</v>
      </c>
      <c r="N2" s="0" t="n">
        <v>-533</v>
      </c>
      <c r="O2" s="0" t="n">
        <v>12930.1</v>
      </c>
      <c r="P2" s="0" t="n">
        <v>23921.6</v>
      </c>
      <c r="Q2" s="0" t="n">
        <v>10991.5</v>
      </c>
      <c r="R2" s="0" t="n">
        <v>1739.5</v>
      </c>
      <c r="S2" s="0" t="n">
        <v>5042.7</v>
      </c>
      <c r="U2" s="0" t="n">
        <v>9.2</v>
      </c>
      <c r="V2" s="0" t="n">
        <v>0.22</v>
      </c>
      <c r="AA2" s="0" t="s">
        <v>17</v>
      </c>
      <c r="AB2" s="0" t="s">
        <v>14</v>
      </c>
      <c r="AD2" s="0" t="n">
        <v>0.312</v>
      </c>
    </row>
    <row r="3" customFormat="false" ht="15" hidden="false" customHeight="false" outlineLevel="0" collapsed="false">
      <c r="A3" s="0" t="s">
        <v>67</v>
      </c>
      <c r="B3" s="0" t="n">
        <v>15228.5</v>
      </c>
      <c r="F3" s="0" t="n">
        <v>681.2</v>
      </c>
      <c r="G3" s="0" t="n">
        <v>4.5</v>
      </c>
      <c r="I3" s="0" t="n">
        <v>804.4</v>
      </c>
      <c r="J3" s="0" t="n">
        <v>5.3</v>
      </c>
      <c r="K3" s="0" t="n">
        <v>0.69</v>
      </c>
      <c r="L3" s="0" t="n">
        <v>3005.5</v>
      </c>
      <c r="M3" s="0" t="n">
        <v>2909</v>
      </c>
      <c r="N3" s="0" t="n">
        <v>96.5</v>
      </c>
      <c r="O3" s="0" t="n">
        <v>13132.9</v>
      </c>
      <c r="P3" s="0" t="n">
        <v>23769.7</v>
      </c>
      <c r="Q3" s="0" t="n">
        <v>10636.8</v>
      </c>
      <c r="R3" s="0" t="n">
        <v>1347.5</v>
      </c>
      <c r="S3" s="0" t="n">
        <v>3972.4</v>
      </c>
      <c r="T3" s="0" t="n">
        <v>1166</v>
      </c>
      <c r="U3" s="0" t="n">
        <v>12.4</v>
      </c>
      <c r="V3" s="0" t="n">
        <v>0.45</v>
      </c>
      <c r="AA3" s="0" t="s">
        <v>17</v>
      </c>
      <c r="AB3" s="0" t="s">
        <v>14</v>
      </c>
      <c r="AD3" s="0" t="n">
        <v>0.687</v>
      </c>
    </row>
    <row r="4" customFormat="false" ht="15" hidden="false" customHeight="false" outlineLevel="0" collapsed="false">
      <c r="A4" s="0" t="s">
        <v>68</v>
      </c>
      <c r="B4" s="0" t="n">
        <v>14868.5</v>
      </c>
      <c r="F4" s="0" t="n">
        <v>622.8</v>
      </c>
      <c r="G4" s="0" t="n">
        <v>4.2</v>
      </c>
      <c r="I4" s="0" t="n">
        <v>360.4</v>
      </c>
      <c r="J4" s="0" t="n">
        <v>2.4</v>
      </c>
      <c r="K4" s="0" t="n">
        <v>0.305</v>
      </c>
      <c r="L4" s="0" t="n">
        <v>2532.9</v>
      </c>
      <c r="M4" s="0" t="n">
        <v>3944.7</v>
      </c>
      <c r="N4" s="0" t="n">
        <v>-1411.8</v>
      </c>
      <c r="O4" s="0" t="n">
        <v>13470.2</v>
      </c>
      <c r="P4" s="0" t="n">
        <v>24720</v>
      </c>
      <c r="Q4" s="0" t="n">
        <v>11249.8</v>
      </c>
      <c r="R4" s="0" t="n">
        <v>1567.8</v>
      </c>
      <c r="S4" s="0" t="n">
        <v>3380.5</v>
      </c>
      <c r="T4" s="0" t="n">
        <v>1182.6</v>
      </c>
      <c r="U4" s="0" t="n">
        <v>15.2</v>
      </c>
      <c r="AA4" s="0" t="s">
        <v>17</v>
      </c>
      <c r="AB4" s="0" t="s">
        <v>14</v>
      </c>
      <c r="AD4" s="0" t="n">
        <v>0.303</v>
      </c>
    </row>
    <row r="5" customFormat="false" ht="15" hidden="false" customHeight="false" outlineLevel="0" collapsed="false">
      <c r="A5" s="0" t="s">
        <v>69</v>
      </c>
      <c r="B5" s="0" t="n">
        <v>15806.1</v>
      </c>
      <c r="F5" s="0" t="n">
        <v>1548.8</v>
      </c>
      <c r="G5" s="0" t="n">
        <v>9.8</v>
      </c>
      <c r="I5" s="0" t="n">
        <v>1301.6</v>
      </c>
      <c r="J5" s="0" t="n">
        <v>8.2</v>
      </c>
      <c r="K5" s="0" t="n">
        <v>1.101</v>
      </c>
      <c r="L5" s="0" t="n">
        <v>2610.9</v>
      </c>
      <c r="M5" s="0" t="n">
        <v>5209.5</v>
      </c>
      <c r="N5" s="0" t="n">
        <v>-2598.6</v>
      </c>
      <c r="O5" s="0" t="n">
        <v>13228.4</v>
      </c>
      <c r="P5" s="0" t="n">
        <v>25892.5</v>
      </c>
      <c r="Q5" s="0" t="n">
        <v>12664.1</v>
      </c>
      <c r="R5" s="0" t="n">
        <v>3127.3</v>
      </c>
      <c r="S5" s="0" t="n">
        <v>2568.3</v>
      </c>
      <c r="T5" s="0" t="n">
        <v>1182.2</v>
      </c>
      <c r="U5" s="0" t="n">
        <v>13.1</v>
      </c>
      <c r="AA5" s="0" t="s">
        <v>17</v>
      </c>
      <c r="AB5" s="0" t="s">
        <v>14</v>
      </c>
      <c r="AD5" s="0" t="n">
        <v>1.097</v>
      </c>
    </row>
    <row r="6" customFormat="false" ht="15" hidden="false" customHeight="false" outlineLevel="0" collapsed="false">
      <c r="A6" s="0" t="s">
        <v>70</v>
      </c>
      <c r="B6" s="0" t="n">
        <v>16323.2</v>
      </c>
      <c r="F6" s="0" t="n">
        <v>1067.1</v>
      </c>
      <c r="G6" s="0" t="n">
        <v>6.5</v>
      </c>
      <c r="I6" s="0" t="n">
        <v>682.7</v>
      </c>
      <c r="J6" s="0" t="n">
        <v>4.2</v>
      </c>
      <c r="K6" s="0" t="n">
        <v>0.577</v>
      </c>
      <c r="L6" s="0" t="n">
        <v>2801.1</v>
      </c>
      <c r="M6" s="0" t="n">
        <v>5562.3</v>
      </c>
      <c r="N6" s="0" t="n">
        <v>-2761.2</v>
      </c>
      <c r="O6" s="0" t="n">
        <v>13683.2</v>
      </c>
      <c r="P6" s="0" t="n">
        <v>30505.2</v>
      </c>
      <c r="Q6" s="0" t="n">
        <v>16822</v>
      </c>
      <c r="R6" s="0" t="n">
        <v>6654.4</v>
      </c>
      <c r="S6" s="0" t="n">
        <v>2944</v>
      </c>
      <c r="T6" s="0" t="n">
        <v>1183.3</v>
      </c>
      <c r="U6" s="0" t="n">
        <v>21</v>
      </c>
      <c r="AA6" s="0" t="s">
        <v>17</v>
      </c>
      <c r="AB6" s="0" t="s">
        <v>14</v>
      </c>
      <c r="AD6" s="0" t="n">
        <v>0.574</v>
      </c>
    </row>
    <row r="7" customFormat="false" ht="15" hidden="false" customHeight="false" outlineLevel="0" collapsed="false">
      <c r="A7" s="0" t="s">
        <v>71</v>
      </c>
      <c r="B7" s="0" t="n">
        <v>15975.9</v>
      </c>
      <c r="F7" s="0" t="n">
        <v>59.1</v>
      </c>
      <c r="G7" s="0" t="n">
        <v>0.4</v>
      </c>
      <c r="I7" s="0" t="n">
        <v>-212</v>
      </c>
      <c r="J7" s="0" t="n">
        <v>-1.3</v>
      </c>
      <c r="K7" s="0" t="n">
        <v>-0.179</v>
      </c>
      <c r="L7" s="0" t="n">
        <v>2731.9</v>
      </c>
      <c r="M7" s="0" t="n">
        <v>5103.5</v>
      </c>
      <c r="N7" s="0" t="n">
        <v>-2371.6</v>
      </c>
      <c r="O7" s="0" t="n">
        <v>9732.7</v>
      </c>
      <c r="P7" s="0" t="n">
        <v>33712.8</v>
      </c>
      <c r="Q7" s="0" t="n">
        <v>23980.1</v>
      </c>
      <c r="R7" s="0" t="n">
        <v>11784.5</v>
      </c>
      <c r="S7" s="0" t="n">
        <v>2685.3</v>
      </c>
      <c r="T7" s="0" t="n">
        <v>1184.7</v>
      </c>
      <c r="U7" s="0" t="n">
        <v>20.5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3815.9</v>
      </c>
      <c r="F8" s="0" t="n">
        <v>-2512.5</v>
      </c>
      <c r="G8" s="0" t="n">
        <v>-65.8</v>
      </c>
      <c r="I8" s="0" t="n">
        <v>-4270.7</v>
      </c>
      <c r="J8" s="0" t="n">
        <v>-111.9</v>
      </c>
      <c r="K8" s="0" t="n">
        <v>-1.156</v>
      </c>
      <c r="L8" s="0" t="n">
        <v>-3292.4</v>
      </c>
      <c r="M8" s="0" t="n">
        <v>2695.5</v>
      </c>
      <c r="N8" s="0" t="n">
        <v>-5987.9</v>
      </c>
      <c r="O8" s="0" t="n">
        <v>16278.1</v>
      </c>
      <c r="P8" s="0" t="n">
        <v>37581.3</v>
      </c>
      <c r="Q8" s="0" t="n">
        <v>21303.2</v>
      </c>
      <c r="R8" s="0" t="n">
        <v>14336.9</v>
      </c>
      <c r="S8" s="0" t="n">
        <v>7783</v>
      </c>
      <c r="T8" s="0" t="n">
        <v>3694.7</v>
      </c>
      <c r="U8" s="0" t="n">
        <v>13.2</v>
      </c>
      <c r="AA8" s="0" t="s">
        <v>17</v>
      </c>
      <c r="AB8" s="0" t="s">
        <v>14</v>
      </c>
      <c r="AD8" s="0" t="n">
        <v>-1.156</v>
      </c>
    </row>
    <row r="9" customFormat="false" ht="15" hidden="false" customHeight="false" outlineLevel="0" collapsed="false">
      <c r="A9" s="0" t="s">
        <v>73</v>
      </c>
      <c r="B9" s="0" t="n">
        <v>7614.8</v>
      </c>
      <c r="F9" s="0" t="n">
        <v>-609.7</v>
      </c>
      <c r="G9" s="0" t="n">
        <v>-8</v>
      </c>
      <c r="I9" s="0" t="n">
        <v>-962</v>
      </c>
      <c r="J9" s="0" t="n">
        <v>-12.6</v>
      </c>
      <c r="K9" s="0" t="n">
        <v>-0.162</v>
      </c>
      <c r="L9" s="0" t="n">
        <v>3041.5</v>
      </c>
      <c r="M9" s="0" t="n">
        <v>3048.7</v>
      </c>
      <c r="N9" s="0" t="n">
        <v>-7.2</v>
      </c>
      <c r="O9" s="0" t="n">
        <v>22800.4</v>
      </c>
      <c r="P9" s="0" t="n">
        <v>48671</v>
      </c>
      <c r="Q9" s="0" t="n">
        <v>25870.6</v>
      </c>
      <c r="R9" s="0" t="n">
        <v>15694.8</v>
      </c>
      <c r="S9" s="0" t="n">
        <v>13762.7</v>
      </c>
      <c r="T9" s="0" t="n">
        <v>5945</v>
      </c>
      <c r="U9" s="0" t="n">
        <v>17</v>
      </c>
      <c r="V9" s="0" t="n">
        <v>0</v>
      </c>
      <c r="AA9" s="0" t="s">
        <v>17</v>
      </c>
      <c r="AB9" s="0" t="s">
        <v>14</v>
      </c>
      <c r="AD9" s="0" t="n">
        <v>-0.162</v>
      </c>
    </row>
    <row r="10" customFormat="false" ht="15" hidden="false" customHeight="false" outlineLevel="0" collapsed="false">
      <c r="A10" s="0" t="s">
        <v>74</v>
      </c>
      <c r="B10" s="0" t="n">
        <v>17774.8</v>
      </c>
      <c r="F10" s="0" t="n">
        <v>2692.1</v>
      </c>
      <c r="G10" s="0" t="n">
        <v>15.1</v>
      </c>
      <c r="I10" s="0" t="n">
        <v>2156.8</v>
      </c>
      <c r="J10" s="0" t="n">
        <v>12.1</v>
      </c>
      <c r="K10" s="0" t="n">
        <v>0.356</v>
      </c>
      <c r="L10" s="0" t="n">
        <v>9130.1</v>
      </c>
      <c r="M10" s="0" t="n">
        <v>1601.8</v>
      </c>
      <c r="N10" s="0" t="n">
        <v>7528.3</v>
      </c>
      <c r="O10" s="0" t="n">
        <v>20249.8</v>
      </c>
      <c r="P10" s="0" t="n">
        <v>49101.2</v>
      </c>
      <c r="Q10" s="0" t="n">
        <v>28851.4</v>
      </c>
      <c r="R10" s="0" t="n">
        <v>15339.3</v>
      </c>
      <c r="S10" s="0" t="n">
        <v>16327.6</v>
      </c>
      <c r="T10" s="0" t="n">
        <v>6053.7</v>
      </c>
      <c r="U10" s="0" t="n">
        <v>23.5</v>
      </c>
      <c r="V10" s="0" t="n">
        <v>0.38</v>
      </c>
      <c r="AA10" s="0" t="s">
        <v>17</v>
      </c>
      <c r="AB10" s="0" t="s">
        <v>14</v>
      </c>
      <c r="AD10" s="0" t="n">
        <v>0.351</v>
      </c>
    </row>
    <row r="11" customFormat="false" ht="15" hidden="false" customHeight="false" outlineLevel="0" collapsed="false">
      <c r="A11" s="0" t="s">
        <v>75</v>
      </c>
      <c r="B11" s="0" t="n">
        <v>19012.7</v>
      </c>
      <c r="F11" s="0" t="n">
        <v>2727.5</v>
      </c>
      <c r="G11" s="0" t="n">
        <v>14.3</v>
      </c>
      <c r="I11" s="0" t="n">
        <v>2674.8</v>
      </c>
      <c r="J11" s="0" t="n">
        <v>14.1</v>
      </c>
      <c r="K11" s="0" t="n">
        <v>0.633</v>
      </c>
      <c r="L11" s="0" t="n">
        <v>5054.9</v>
      </c>
      <c r="M11" s="0" t="n">
        <v>1231.3</v>
      </c>
      <c r="N11" s="0" t="n">
        <v>3823.6</v>
      </c>
      <c r="O11" s="0" t="n">
        <v>16744.6</v>
      </c>
      <c r="P11" s="0" t="n">
        <v>44264.7</v>
      </c>
      <c r="Q11" s="0" t="n">
        <v>27520.1</v>
      </c>
      <c r="R11" s="0" t="n">
        <v>13448</v>
      </c>
      <c r="S11" s="0" t="n">
        <v>11256</v>
      </c>
      <c r="T11" s="0" t="n">
        <v>4228.4</v>
      </c>
      <c r="U11" s="0" t="n">
        <v>31.4</v>
      </c>
      <c r="V11" s="0" t="n">
        <v>0.48</v>
      </c>
      <c r="AA11" s="0" t="s">
        <v>17</v>
      </c>
      <c r="AB11" s="0" t="s">
        <v>14</v>
      </c>
      <c r="AD11" s="0" t="n">
        <v>0.614</v>
      </c>
    </row>
    <row r="12" customFormat="false" ht="15" hidden="false" customHeight="false" outlineLevel="0" collapsed="false">
      <c r="A12" s="0" t="s">
        <v>76</v>
      </c>
      <c r="B12" s="0" t="n">
        <v>19539.8</v>
      </c>
      <c r="F12" s="0" t="n">
        <v>1709.1</v>
      </c>
      <c r="G12" s="0" t="n">
        <v>8.7</v>
      </c>
      <c r="I12" s="0" t="n">
        <v>2778</v>
      </c>
      <c r="J12" s="0" t="n">
        <v>14.2</v>
      </c>
      <c r="K12" s="0" t="n">
        <v>0.893</v>
      </c>
      <c r="L12" s="0" t="n">
        <v>4707.7</v>
      </c>
      <c r="M12" s="0" t="n">
        <v>1768</v>
      </c>
      <c r="N12" s="0" t="n">
        <v>2939.7</v>
      </c>
      <c r="O12" s="0" t="n">
        <v>16070</v>
      </c>
      <c r="P12" s="0" t="n">
        <v>43086.8</v>
      </c>
      <c r="Q12" s="0" t="n">
        <v>27016.8</v>
      </c>
      <c r="R12" s="0" t="n">
        <v>12914.3</v>
      </c>
      <c r="S12" s="0" t="n">
        <v>8257.1</v>
      </c>
      <c r="T12" s="0" t="n">
        <v>3109.8</v>
      </c>
      <c r="U12" s="0" t="n">
        <v>25.2</v>
      </c>
      <c r="V12" s="0" t="n">
        <v>0.4</v>
      </c>
      <c r="AA12" s="0" t="s">
        <v>17</v>
      </c>
      <c r="AB12" s="0" t="s">
        <v>14</v>
      </c>
      <c r="AD12" s="0" t="n">
        <v>0.853</v>
      </c>
    </row>
    <row r="13" customFormat="false" ht="15" hidden="false" customHeight="false" outlineLevel="0" collapsed="false">
      <c r="A13" s="0" t="s">
        <v>77</v>
      </c>
      <c r="B13" s="0" t="n">
        <v>20522</v>
      </c>
      <c r="F13" s="0" t="n">
        <v>2374.5</v>
      </c>
      <c r="G13" s="0" t="n">
        <v>11.6</v>
      </c>
      <c r="I13" s="0" t="n">
        <v>1184</v>
      </c>
      <c r="J13" s="0" t="n">
        <v>5.8</v>
      </c>
      <c r="K13" s="0" t="n">
        <v>0.384</v>
      </c>
      <c r="L13" s="0" t="n">
        <v>5103</v>
      </c>
      <c r="M13" s="0" t="n">
        <v>2628.5</v>
      </c>
      <c r="N13" s="0" t="n">
        <v>2474.5</v>
      </c>
      <c r="O13" s="0" t="n">
        <v>17686</v>
      </c>
      <c r="P13" s="0" t="n">
        <v>43412.7</v>
      </c>
      <c r="Q13" s="0" t="n">
        <v>25726.7</v>
      </c>
      <c r="R13" s="0" t="n">
        <v>10644.7</v>
      </c>
      <c r="S13" s="0" t="n">
        <v>7931.2</v>
      </c>
      <c r="T13" s="0" t="n">
        <v>3086</v>
      </c>
      <c r="U13" s="0" t="n">
        <v>28.1</v>
      </c>
      <c r="V13" s="0" t="n">
        <v>0.37</v>
      </c>
      <c r="AA13" s="0" t="s">
        <v>17</v>
      </c>
      <c r="AB13" s="0" t="s">
        <v>14</v>
      </c>
      <c r="AD13" s="0" t="n">
        <v>0.382</v>
      </c>
      <c r="AE13" s="0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6.63</v>
      </c>
    </row>
    <row r="3" customFormat="false" ht="15" hidden="false" customHeight="false" outlineLevel="0" collapsed="false">
      <c r="A3" s="0" t="s">
        <v>81</v>
      </c>
      <c r="B3" s="3" t="n">
        <v>3150.9</v>
      </c>
    </row>
    <row r="4" customFormat="false" ht="15" hidden="false" customHeight="false" outlineLevel="0" collapsed="false">
      <c r="A4" s="0" t="s">
        <v>82</v>
      </c>
      <c r="B4" s="3" t="n">
        <v>-2532.6</v>
      </c>
    </row>
    <row r="5" customFormat="false" ht="15" hidden="false" customHeight="false" outlineLevel="0" collapsed="false">
      <c r="A5" s="0" t="s">
        <v>83</v>
      </c>
      <c r="B5" s="3" t="n">
        <v>1686.9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20522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2</v>
      </c>
      <c r="D13" s="3" t="n">
        <v>-2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15</v>
      </c>
      <c r="D14" s="3" t="n">
        <v>16.5</v>
      </c>
      <c r="E14" s="3" t="n">
        <v>18.5</v>
      </c>
      <c r="F14" s="3" t="n">
        <v>19</v>
      </c>
      <c r="G14" s="3" t="n">
        <v>19.5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103</v>
      </c>
      <c r="C15" s="3" t="n">
        <v>0.14</v>
      </c>
      <c r="D15" s="3" t="n">
        <v>0.14</v>
      </c>
      <c r="E15" s="3" t="n">
        <v>0.14</v>
      </c>
      <c r="F15" s="3" t="n">
        <v>0.14</v>
      </c>
      <c r="G15" s="3" t="n">
        <v>0.14</v>
      </c>
      <c r="H15" s="3" t="n">
        <v>0.14</v>
      </c>
      <c r="I15" s="3" t="n">
        <v>0.14</v>
      </c>
      <c r="J15" s="3" t="n">
        <v>0.14</v>
      </c>
      <c r="K15" s="3" t="n">
        <v>0.14</v>
      </c>
      <c r="L15" s="3" t="n">
        <v>0.14</v>
      </c>
    </row>
    <row r="16" customFormat="false" ht="15" hidden="false" customHeight="false" outlineLevel="0" collapsed="false">
      <c r="A16" s="0" t="s">
        <v>104</v>
      </c>
      <c r="C16" s="3" t="n">
        <v>3.4</v>
      </c>
      <c r="D16" s="3" t="n">
        <v>3.4</v>
      </c>
      <c r="E16" s="3" t="n">
        <v>3.3</v>
      </c>
      <c r="F16" s="3" t="n">
        <v>3.2</v>
      </c>
      <c r="G16" s="3" t="n">
        <v>3.1</v>
      </c>
      <c r="H16" s="3" t="n">
        <v>3.1</v>
      </c>
      <c r="I16" s="3" t="n">
        <v>3.1</v>
      </c>
      <c r="J16" s="3" t="n">
        <v>3.1</v>
      </c>
      <c r="K16" s="3" t="n">
        <v>3.1</v>
      </c>
      <c r="L16" s="3" t="n">
        <v>3.1</v>
      </c>
    </row>
    <row r="17" customFormat="false" ht="15" hidden="false" customHeight="false" outlineLevel="0" collapsed="false">
      <c r="A17" s="0" t="s">
        <v>105</v>
      </c>
      <c r="C17" s="3" t="n">
        <v>10</v>
      </c>
      <c r="D17" s="3" t="n">
        <v>10.3</v>
      </c>
      <c r="E17" s="3" t="n">
        <v>10.4</v>
      </c>
      <c r="F17" s="3" t="n">
        <v>10.5</v>
      </c>
      <c r="G17" s="3" t="n">
        <v>10.5</v>
      </c>
      <c r="H17" s="3" t="n">
        <v>10.5</v>
      </c>
      <c r="I17" s="3" t="n">
        <v>10.5</v>
      </c>
      <c r="J17" s="3" t="n">
        <v>10.5</v>
      </c>
      <c r="K17" s="3" t="n">
        <v>10.5</v>
      </c>
      <c r="L17" s="3" t="n">
        <v>10.5</v>
      </c>
    </row>
    <row r="18" customFormat="false" ht="15" hidden="false" customHeight="false" outlineLevel="0" collapsed="false">
      <c r="A18" s="0" t="s">
        <v>106</v>
      </c>
      <c r="C18" s="3" t="n">
        <v>13.5</v>
      </c>
      <c r="D18" s="3" t="n">
        <v>13.5</v>
      </c>
      <c r="E18" s="3" t="n">
        <v>13</v>
      </c>
      <c r="F18" s="3" t="n">
        <v>12.5</v>
      </c>
      <c r="G18" s="3" t="n">
        <v>12</v>
      </c>
      <c r="H18" s="3" t="n">
        <v>12</v>
      </c>
      <c r="I18" s="3" t="n">
        <v>12</v>
      </c>
      <c r="J18" s="3" t="n">
        <v>12</v>
      </c>
      <c r="K18" s="3" t="n">
        <v>12</v>
      </c>
      <c r="L18" s="3" t="n">
        <v>12</v>
      </c>
    </row>
    <row r="19" customFormat="false" ht="15" hidden="false" customHeight="false" outlineLevel="0" collapsed="false">
      <c r="A19" s="0" t="s">
        <v>107</v>
      </c>
      <c r="C19" s="3" t="n">
        <v>6</v>
      </c>
      <c r="D19" s="3" t="n">
        <v>7</v>
      </c>
      <c r="E19" s="3" t="n">
        <v>9</v>
      </c>
      <c r="F19" s="3" t="n">
        <v>11</v>
      </c>
      <c r="G19" s="3" t="n">
        <v>13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108</v>
      </c>
      <c r="B20" s="3" t="n">
        <v>8.5</v>
      </c>
    </row>
    <row r="21" customFormat="false" ht="15" hidden="false" customHeight="false" outlineLevel="0" collapsed="false">
      <c r="A21" s="0" t="s">
        <v>109</v>
      </c>
      <c r="B21" s="3" t="n">
        <v>1.5</v>
      </c>
    </row>
    <row r="22" customFormat="false" ht="15" hidden="false" customHeight="false" outlineLevel="0" collapsed="false">
      <c r="A22" s="0" t="s">
        <v>110</v>
      </c>
      <c r="B22" s="3" t="n">
        <v>12</v>
      </c>
    </row>
    <row r="23" customFormat="false" ht="15" hidden="false" customHeight="false" outlineLevel="0" collapsed="false">
      <c r="A23" s="0" t="s">
        <v>111</v>
      </c>
      <c r="B23" s="3" t="n">
        <v>15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5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19</v>
      </c>
      <c r="D28" s="3" t="n">
        <v>20.5</v>
      </c>
      <c r="E28" s="3" t="n">
        <v>21.5</v>
      </c>
      <c r="F28" s="3" t="n">
        <v>21.5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103</v>
      </c>
      <c r="C29" s="3" t="n">
        <v>0.14</v>
      </c>
      <c r="D29" s="3" t="n">
        <v>0.14</v>
      </c>
      <c r="E29" s="3" t="n">
        <v>0.14</v>
      </c>
      <c r="F29" s="3" t="n">
        <v>0.14</v>
      </c>
      <c r="G29" s="3" t="n">
        <v>0.14</v>
      </c>
      <c r="H29" s="3" t="n">
        <v>0.14</v>
      </c>
      <c r="I29" s="3" t="n">
        <v>0.14</v>
      </c>
      <c r="J29" s="3" t="n">
        <v>0.14</v>
      </c>
      <c r="K29" s="3" t="n">
        <v>0.14</v>
      </c>
      <c r="L29" s="3" t="n">
        <v>0.14</v>
      </c>
    </row>
    <row r="30" customFormat="false" ht="15" hidden="false" customHeight="false" outlineLevel="0" collapsed="false">
      <c r="A30" s="0" t="s">
        <v>104</v>
      </c>
      <c r="C30" s="3" t="n">
        <v>3.4</v>
      </c>
      <c r="D30" s="3" t="n">
        <v>3.3</v>
      </c>
      <c r="E30" s="3" t="n">
        <v>3.2</v>
      </c>
      <c r="F30" s="3" t="n">
        <v>3.1</v>
      </c>
      <c r="G30" s="3" t="n">
        <v>3</v>
      </c>
      <c r="H30" s="3" t="n">
        <v>3</v>
      </c>
      <c r="I30" s="3" t="n">
        <v>3</v>
      </c>
      <c r="J30" s="3" t="n">
        <v>3</v>
      </c>
      <c r="K30" s="3" t="n">
        <v>3</v>
      </c>
      <c r="L30" s="3" t="n">
        <v>3</v>
      </c>
    </row>
    <row r="31" customFormat="false" ht="15" hidden="false" customHeight="false" outlineLevel="0" collapsed="false">
      <c r="A31" s="0" t="s">
        <v>105</v>
      </c>
      <c r="C31" s="3" t="n">
        <v>10</v>
      </c>
      <c r="D31" s="3" t="n">
        <v>10.1</v>
      </c>
      <c r="E31" s="3" t="n">
        <v>10.2</v>
      </c>
      <c r="F31" s="3" t="n">
        <v>10.3</v>
      </c>
      <c r="G31" s="3" t="n">
        <v>10.3</v>
      </c>
      <c r="H31" s="3" t="n">
        <v>10.3</v>
      </c>
      <c r="I31" s="3" t="n">
        <v>10.3</v>
      </c>
      <c r="J31" s="3" t="n">
        <v>10.3</v>
      </c>
      <c r="K31" s="3" t="n">
        <v>10.3</v>
      </c>
      <c r="L31" s="3" t="n">
        <v>10.3</v>
      </c>
    </row>
    <row r="32" customFormat="false" ht="15" hidden="false" customHeight="false" outlineLevel="0" collapsed="false">
      <c r="A32" s="0" t="s">
        <v>106</v>
      </c>
      <c r="C32" s="3" t="n">
        <v>13</v>
      </c>
      <c r="D32" s="3" t="n">
        <v>13</v>
      </c>
      <c r="E32" s="3" t="n">
        <v>12.5</v>
      </c>
      <c r="F32" s="3" t="n">
        <v>12.5</v>
      </c>
      <c r="G32" s="3" t="n">
        <v>12</v>
      </c>
      <c r="H32" s="3" t="n">
        <v>11.5</v>
      </c>
      <c r="I32" s="3" t="n">
        <v>11.5</v>
      </c>
      <c r="J32" s="3" t="n">
        <v>11.5</v>
      </c>
      <c r="K32" s="3" t="n">
        <v>11.5</v>
      </c>
      <c r="L32" s="3" t="n">
        <v>11.5</v>
      </c>
    </row>
    <row r="33" customFormat="false" ht="15" hidden="false" customHeight="false" outlineLevel="0" collapsed="false">
      <c r="A33" s="0" t="s">
        <v>107</v>
      </c>
      <c r="C33" s="3" t="n">
        <v>6</v>
      </c>
      <c r="D33" s="3" t="n">
        <v>7</v>
      </c>
      <c r="E33" s="3" t="n">
        <v>8</v>
      </c>
      <c r="F33" s="3" t="n">
        <v>10</v>
      </c>
      <c r="G33" s="3" t="n">
        <v>12</v>
      </c>
      <c r="H33" s="3" t="n">
        <v>12</v>
      </c>
      <c r="I33" s="3" t="n">
        <v>12</v>
      </c>
      <c r="J33" s="3" t="n">
        <v>12</v>
      </c>
      <c r="K33" s="3" t="n">
        <v>12</v>
      </c>
      <c r="L33" s="3" t="n">
        <v>12</v>
      </c>
    </row>
    <row r="34" customFormat="false" ht="15" hidden="false" customHeight="false" outlineLevel="0" collapsed="false">
      <c r="A34" s="0" t="s">
        <v>108</v>
      </c>
      <c r="B34" s="3" t="n">
        <v>8.5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12</v>
      </c>
    </row>
    <row r="37" customFormat="false" ht="15" hidden="false" customHeight="false" outlineLevel="0" collapsed="false">
      <c r="A37" s="0" t="s">
        <v>111</v>
      </c>
      <c r="B37" s="3" t="n">
        <v>15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7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21</v>
      </c>
      <c r="D42" s="3" t="n">
        <v>23</v>
      </c>
      <c r="E42" s="3" t="n">
        <v>23.5</v>
      </c>
      <c r="F42" s="3" t="n">
        <v>23.5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103</v>
      </c>
      <c r="C43" s="3" t="n">
        <v>0.14</v>
      </c>
      <c r="D43" s="3" t="n">
        <v>0.14</v>
      </c>
      <c r="E43" s="3" t="n">
        <v>0.14</v>
      </c>
      <c r="F43" s="3" t="n">
        <v>0.14</v>
      </c>
      <c r="G43" s="3" t="n">
        <v>0.14</v>
      </c>
      <c r="H43" s="3" t="n">
        <v>0.14</v>
      </c>
      <c r="I43" s="3" t="n">
        <v>0.14</v>
      </c>
      <c r="J43" s="3" t="n">
        <v>0.14</v>
      </c>
      <c r="K43" s="3" t="n">
        <v>0.14</v>
      </c>
      <c r="L43" s="3" t="n">
        <v>0.14</v>
      </c>
    </row>
    <row r="44" customFormat="false" ht="15" hidden="false" customHeight="false" outlineLevel="0" collapsed="false">
      <c r="A44" s="0" t="s">
        <v>104</v>
      </c>
      <c r="C44" s="3" t="n">
        <v>3.4</v>
      </c>
      <c r="D44" s="3" t="n">
        <v>3.3</v>
      </c>
      <c r="E44" s="3" t="n">
        <v>3.2</v>
      </c>
      <c r="F44" s="3" t="n">
        <v>3.1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</row>
    <row r="45" customFormat="false" ht="15" hidden="false" customHeight="false" outlineLevel="0" collapsed="false">
      <c r="A45" s="0" t="s">
        <v>105</v>
      </c>
      <c r="C45" s="3" t="n">
        <v>10</v>
      </c>
      <c r="D45" s="3" t="n">
        <v>10.1</v>
      </c>
      <c r="E45" s="3" t="n">
        <v>10.2</v>
      </c>
      <c r="F45" s="3" t="n">
        <v>10.3</v>
      </c>
      <c r="G45" s="3" t="n">
        <v>10.3</v>
      </c>
      <c r="H45" s="3" t="n">
        <v>10.3</v>
      </c>
      <c r="I45" s="3" t="n">
        <v>10.3</v>
      </c>
      <c r="J45" s="3" t="n">
        <v>10.3</v>
      </c>
      <c r="K45" s="3" t="n">
        <v>10.3</v>
      </c>
      <c r="L45" s="3" t="n">
        <v>10.3</v>
      </c>
    </row>
    <row r="46" customFormat="false" ht="15" hidden="false" customHeight="false" outlineLevel="0" collapsed="false">
      <c r="A46" s="0" t="s">
        <v>106</v>
      </c>
      <c r="C46" s="3" t="n">
        <v>13</v>
      </c>
      <c r="D46" s="3" t="n">
        <v>13</v>
      </c>
      <c r="E46" s="3" t="n">
        <v>12.5</v>
      </c>
      <c r="F46" s="3" t="n">
        <v>12.5</v>
      </c>
      <c r="G46" s="3" t="n">
        <v>12</v>
      </c>
      <c r="H46" s="3" t="n">
        <v>11.5</v>
      </c>
      <c r="I46" s="3" t="n">
        <v>11.5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107</v>
      </c>
      <c r="C47" s="3" t="n">
        <v>6</v>
      </c>
      <c r="D47" s="3" t="n">
        <v>7</v>
      </c>
      <c r="E47" s="3" t="n">
        <v>8</v>
      </c>
      <c r="F47" s="3" t="n">
        <v>9</v>
      </c>
      <c r="G47" s="3" t="n">
        <v>10</v>
      </c>
      <c r="H47" s="3" t="n">
        <v>10</v>
      </c>
      <c r="I47" s="3" t="n">
        <v>10</v>
      </c>
      <c r="J47" s="3" t="n">
        <v>10</v>
      </c>
      <c r="K47" s="3" t="n">
        <v>10</v>
      </c>
      <c r="L47" s="3" t="n">
        <v>10</v>
      </c>
    </row>
    <row r="48" customFormat="false" ht="15" hidden="false" customHeight="false" outlineLevel="0" collapsed="false">
      <c r="A48" s="0" t="s">
        <v>108</v>
      </c>
      <c r="B48" s="3" t="n">
        <v>8.5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12</v>
      </c>
    </row>
    <row r="51" customFormat="false" ht="15" hidden="false" customHeight="false" outlineLevel="0" collapsed="false">
      <c r="A51" s="0" t="s">
        <v>111</v>
      </c>
      <c r="B51" s="3" t="n">
        <v>15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2</v>
      </c>
      <c r="D5" s="4" t="n">
        <f aca="false">Assumptions!D13</f>
        <v>-2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20522</v>
      </c>
      <c r="C6" s="0" t="n">
        <f aca="false">B6*(1+C5/100)</f>
        <v>20932.44</v>
      </c>
      <c r="D6" s="0" t="n">
        <f aca="false">C6*(1+D5/100)</f>
        <v>20513.7912</v>
      </c>
      <c r="E6" s="0" t="n">
        <f aca="false">D6*(1+E5/100)</f>
        <v>21129.204936</v>
      </c>
      <c r="F6" s="0" t="n">
        <f aca="false">E6*(1+F5/100)</f>
        <v>21763.08108408</v>
      </c>
      <c r="G6" s="0" t="n">
        <f aca="false">F6*(1+G5/100)</f>
        <v>22415.9735166024</v>
      </c>
      <c r="H6" s="0" t="n">
        <f aca="false">G6*(1+H5/100)</f>
        <v>22976.3728545175</v>
      </c>
      <c r="I6" s="0" t="n">
        <f aca="false">H6*(1+I5/100)</f>
        <v>23550.7821758804</v>
      </c>
      <c r="J6" s="0" t="n">
        <f aca="false">I6*(1+J5/100)</f>
        <v>24021.797819398</v>
      </c>
      <c r="K6" s="0" t="n">
        <f aca="false">J6*(1+K5/100)</f>
        <v>24502.233775786</v>
      </c>
      <c r="L6" s="0" t="n">
        <f aca="false">K6*(1+L5/100)</f>
        <v>24992.2784513017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15</v>
      </c>
      <c r="D7" s="4" t="n">
        <f aca="false">Assumptions!D14</f>
        <v>16.5</v>
      </c>
      <c r="E7" s="4" t="n">
        <f aca="false">Assumptions!E14</f>
        <v>18.5</v>
      </c>
      <c r="F7" s="4" t="n">
        <f aca="false">Assumptions!F14</f>
        <v>19</v>
      </c>
      <c r="G7" s="4" t="n">
        <f aca="false">Assumptions!G14</f>
        <v>19.5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3139.866</v>
      </c>
      <c r="D8" s="0" t="n">
        <f aca="false">D6*D7/100</f>
        <v>3384.775548</v>
      </c>
      <c r="E8" s="0" t="n">
        <f aca="false">E6*E7/100</f>
        <v>3908.90291316</v>
      </c>
      <c r="F8" s="0" t="n">
        <f aca="false">F6*F7/100</f>
        <v>4134.9854059752</v>
      </c>
      <c r="G8" s="0" t="n">
        <f aca="false">G6*G7/100</f>
        <v>4371.11483573747</v>
      </c>
      <c r="H8" s="0" t="n">
        <f aca="false">H6*H7/100</f>
        <v>4480.39270663091</v>
      </c>
      <c r="I8" s="0" t="n">
        <f aca="false">I6*I7/100</f>
        <v>4592.40252429668</v>
      </c>
      <c r="J8" s="0" t="n">
        <f aca="false">J6*J7/100</f>
        <v>4684.25057478261</v>
      </c>
      <c r="K8" s="0" t="n">
        <f aca="false">K6*K7/100</f>
        <v>4777.93558627826</v>
      </c>
      <c r="L8" s="0" t="n">
        <f aca="false">L6*L7/100</f>
        <v>4873.49429800383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0.14</v>
      </c>
      <c r="D9" s="4" t="n">
        <f aca="false">Assumptions!D15</f>
        <v>0.14</v>
      </c>
      <c r="E9" s="4" t="n">
        <f aca="false">Assumptions!E15</f>
        <v>0.14</v>
      </c>
      <c r="F9" s="4" t="n">
        <f aca="false">Assumptions!F15</f>
        <v>0.14</v>
      </c>
      <c r="G9" s="4" t="n">
        <f aca="false">Assumptions!G15</f>
        <v>0.14</v>
      </c>
      <c r="H9" s="4" t="n">
        <f aca="false">Assumptions!H15</f>
        <v>0.14</v>
      </c>
      <c r="I9" s="4" t="n">
        <f aca="false">Assumptions!I15</f>
        <v>0.14</v>
      </c>
      <c r="J9" s="4" t="n">
        <f aca="false">Assumptions!J15</f>
        <v>0.14</v>
      </c>
      <c r="K9" s="4" t="n">
        <f aca="false">Assumptions!K15</f>
        <v>0.14</v>
      </c>
      <c r="L9" s="4" t="n">
        <f aca="false">Assumptions!L15</f>
        <v>0.14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-29.305416</v>
      </c>
      <c r="D10" s="0" t="n">
        <f aca="false">-D6*D9/100</f>
        <v>-28.71930768</v>
      </c>
      <c r="E10" s="0" t="n">
        <f aca="false">-E6*E9/100</f>
        <v>-29.5808869104</v>
      </c>
      <c r="F10" s="0" t="n">
        <f aca="false">-F6*F9/100</f>
        <v>-30.468313517712</v>
      </c>
      <c r="G10" s="0" t="n">
        <f aca="false">-G6*G9/100</f>
        <v>-31.3823629232434</v>
      </c>
      <c r="H10" s="0" t="n">
        <f aca="false">-H6*H9/100</f>
        <v>-32.1669219963245</v>
      </c>
      <c r="I10" s="0" t="n">
        <f aca="false">-I6*I9/100</f>
        <v>-32.9710950462326</v>
      </c>
      <c r="J10" s="0" t="n">
        <f aca="false">-J6*J9/100</f>
        <v>-33.6305169471572</v>
      </c>
      <c r="K10" s="0" t="n">
        <f aca="false">-K6*K9/100</f>
        <v>-34.3031272861004</v>
      </c>
      <c r="L10" s="0" t="n">
        <f aca="false">-L6*L9/100</f>
        <v>-34.9891898318224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2398.857624</v>
      </c>
      <c r="D11" s="0" t="n">
        <f aca="false">D8+D10+D24</f>
        <v>2658.58733952</v>
      </c>
      <c r="E11" s="0" t="n">
        <f aca="false">E8+E10+E24</f>
        <v>3182.0582633616</v>
      </c>
      <c r="F11" s="0" t="n">
        <f aca="false">F8+F10+F24</f>
        <v>3408.09849776693</v>
      </c>
      <c r="G11" s="0" t="n">
        <f aca="false">G8+G10+G24</f>
        <v>3644.83729379955</v>
      </c>
      <c r="H11" s="0" t="n">
        <f aca="false">H8+H10+H24</f>
        <v>3735.95822614454</v>
      </c>
      <c r="I11" s="0" t="n">
        <f aca="false">I8+I10+I24</f>
        <v>3829.35718179815</v>
      </c>
      <c r="J11" s="0" t="n">
        <f aca="false">J8+J10+J24</f>
        <v>3905.94432543412</v>
      </c>
      <c r="K11" s="0" t="n">
        <f aca="false">K8+K10+K24</f>
        <v>3984.0632119428</v>
      </c>
      <c r="L11" s="0" t="n">
        <f aca="false">L8+L10+L24</f>
        <v>4063.74447618165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-2093.244</v>
      </c>
      <c r="D12" s="4" t="n">
        <f aca="false">-D6*Assumptions!D17/100</f>
        <v>-2112.9204936</v>
      </c>
      <c r="E12" s="4" t="n">
        <f aca="false">-E6*Assumptions!E17/100</f>
        <v>-2197.437313344</v>
      </c>
      <c r="F12" s="4" t="n">
        <f aca="false">-F6*Assumptions!F17/100</f>
        <v>-2285.1235138284</v>
      </c>
      <c r="G12" s="4" t="n">
        <f aca="false">-G6*Assumptions!G17/100</f>
        <v>-2353.67721924325</v>
      </c>
      <c r="H12" s="4" t="n">
        <f aca="false">-H6*Assumptions!H17/100</f>
        <v>-2412.51914972433</v>
      </c>
      <c r="I12" s="4" t="n">
        <f aca="false">-I6*Assumptions!I17/100</f>
        <v>-2472.83212846744</v>
      </c>
      <c r="J12" s="4" t="n">
        <f aca="false">-J6*Assumptions!J17/100</f>
        <v>-2522.28877103679</v>
      </c>
      <c r="K12" s="4" t="n">
        <f aca="false">-K6*Assumptions!K17/100</f>
        <v>-2572.73454645753</v>
      </c>
      <c r="L12" s="4" t="n">
        <f aca="false">-L6*Assumptions!L17/100</f>
        <v>-2624.18923738668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305.613624</v>
      </c>
      <c r="D13" s="0" t="n">
        <f aca="false">D11+D12</f>
        <v>545.66684592</v>
      </c>
      <c r="E13" s="0" t="n">
        <f aca="false">E11+E12</f>
        <v>984.6209500176</v>
      </c>
      <c r="F13" s="0" t="n">
        <f aca="false">F11+F12</f>
        <v>1122.97498393853</v>
      </c>
      <c r="G13" s="0" t="n">
        <f aca="false">G11+G12</f>
        <v>1291.1600745563</v>
      </c>
      <c r="H13" s="0" t="n">
        <f aca="false">H11+H12</f>
        <v>1323.43907642021</v>
      </c>
      <c r="I13" s="0" t="n">
        <f aca="false">I11+I12</f>
        <v>1356.52505333071</v>
      </c>
      <c r="J13" s="0" t="n">
        <f aca="false">J11+J12</f>
        <v>1383.65555439733</v>
      </c>
      <c r="K13" s="0" t="n">
        <f aca="false">K11+K12</f>
        <v>1411.32866548527</v>
      </c>
      <c r="L13" s="0" t="n">
        <f aca="false">L11+L12</f>
        <v>1439.55523879498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6</v>
      </c>
      <c r="D14" s="4" t="n">
        <f aca="false">Assumptions!D19</f>
        <v>7</v>
      </c>
      <c r="E14" s="4" t="n">
        <f aca="false">Assumptions!E19</f>
        <v>9</v>
      </c>
      <c r="F14" s="4" t="n">
        <f aca="false">Assumptions!F19</f>
        <v>11</v>
      </c>
      <c r="G14" s="4" t="n">
        <f aca="false">Assumptions!G19</f>
        <v>13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287.27680656</v>
      </c>
      <c r="D15" s="0" t="n">
        <f aca="false">D13-MAX(0,D13)*D14/100</f>
        <v>507.4701667056</v>
      </c>
      <c r="E15" s="0" t="n">
        <f aca="false">E13-MAX(0,E13)*E14/100</f>
        <v>896.005064516016</v>
      </c>
      <c r="F15" s="0" t="n">
        <f aca="false">F13-MAX(0,F13)*F14/100</f>
        <v>999.44773570529</v>
      </c>
      <c r="G15" s="0" t="n">
        <f aca="false">G13-MAX(0,G13)*G14/100</f>
        <v>1123.30926486398</v>
      </c>
      <c r="H15" s="0" t="n">
        <f aca="false">H13-MAX(0,H13)*H14/100</f>
        <v>1124.92321495717</v>
      </c>
      <c r="I15" s="0" t="n">
        <f aca="false">I13-MAX(0,I13)*I14/100</f>
        <v>1153.0462953311</v>
      </c>
      <c r="J15" s="0" t="n">
        <f aca="false">J13-MAX(0,J13)*J14/100</f>
        <v>1176.10722123773</v>
      </c>
      <c r="K15" s="0" t="n">
        <f aca="false">K13-MAX(0,K13)*K14/100</f>
        <v>1199.62936566248</v>
      </c>
      <c r="L15" s="0" t="n">
        <f aca="false">L13-MAX(0,L13)*L14/100</f>
        <v>1223.62195297573</v>
      </c>
    </row>
    <row r="16" customFormat="false" ht="15" hidden="false" customHeight="false" outlineLevel="0" collapsed="false">
      <c r="A16" s="0" t="s">
        <v>123</v>
      </c>
      <c r="C16" s="0" t="n">
        <f aca="false">-C12</f>
        <v>2093.244</v>
      </c>
      <c r="D16" s="0" t="n">
        <f aca="false">-D12</f>
        <v>2112.9204936</v>
      </c>
      <c r="E16" s="0" t="n">
        <f aca="false">-E12</f>
        <v>2197.437313344</v>
      </c>
      <c r="F16" s="0" t="n">
        <f aca="false">-F12</f>
        <v>2285.1235138284</v>
      </c>
      <c r="G16" s="0" t="n">
        <f aca="false">-G12</f>
        <v>2353.67721924325</v>
      </c>
      <c r="H16" s="0" t="n">
        <f aca="false">-H12</f>
        <v>2412.51914972433</v>
      </c>
      <c r="I16" s="0" t="n">
        <f aca="false">-I12</f>
        <v>2472.83212846744</v>
      </c>
      <c r="J16" s="0" t="n">
        <f aca="false">-J12</f>
        <v>2522.28877103679</v>
      </c>
      <c r="K16" s="0" t="n">
        <f aca="false">-K12</f>
        <v>2572.73454645753</v>
      </c>
      <c r="L16" s="0" t="n">
        <f aca="false">-L12</f>
        <v>2624.18923738668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-2825.8794</v>
      </c>
      <c r="D17" s="4" t="n">
        <f aca="false">-D6*Assumptions!D18/100</f>
        <v>-2769.361812</v>
      </c>
      <c r="E17" s="4" t="n">
        <f aca="false">-E6*Assumptions!E18/100</f>
        <v>-2746.79664168</v>
      </c>
      <c r="F17" s="4" t="n">
        <f aca="false">-F6*Assumptions!F18/100</f>
        <v>-2720.38513551</v>
      </c>
      <c r="G17" s="4" t="n">
        <f aca="false">-G6*Assumptions!G18/100</f>
        <v>-2689.91682199229</v>
      </c>
      <c r="H17" s="4" t="n">
        <f aca="false">-H6*Assumptions!H18/100</f>
        <v>-2757.1647425421</v>
      </c>
      <c r="I17" s="4" t="n">
        <f aca="false">-I6*Assumptions!I18/100</f>
        <v>-2826.09386110565</v>
      </c>
      <c r="J17" s="4" t="n">
        <f aca="false">-J6*Assumptions!J18/100</f>
        <v>-2882.61573832776</v>
      </c>
      <c r="K17" s="4" t="n">
        <f aca="false">-K6*Assumptions!K18/100</f>
        <v>-2940.26805309432</v>
      </c>
      <c r="L17" s="4" t="n">
        <f aca="false">-L6*Assumptions!L18/100</f>
        <v>-2999.0734141562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61.5659999999998</v>
      </c>
      <c r="D18" s="4" t="n">
        <f aca="false">(D6-C6)*Assumptions!$B$23/100</f>
        <v>-62.7973199999999</v>
      </c>
      <c r="E18" s="4" t="n">
        <f aca="false">(E6-D6)*Assumptions!$B$23/100</f>
        <v>92.3120604000003</v>
      </c>
      <c r="F18" s="4" t="n">
        <f aca="false">(F6-E6)*Assumptions!$B$23/100</f>
        <v>95.0814222120003</v>
      </c>
      <c r="G18" s="4" t="n">
        <f aca="false">(G6-F6)*Assumptions!$B$23/100</f>
        <v>97.93386487836</v>
      </c>
      <c r="H18" s="4" t="n">
        <f aca="false">(H6-G6)*Assumptions!$B$23/100</f>
        <v>84.059900687259</v>
      </c>
      <c r="I18" s="4" t="n">
        <f aca="false">(I6-H6)*Assumptions!$B$23/100</f>
        <v>86.1613982044402</v>
      </c>
      <c r="J18" s="4" t="n">
        <f aca="false">(J6-I6)*Assumptions!$B$23/100</f>
        <v>70.652346527641</v>
      </c>
      <c r="K18" s="4" t="n">
        <f aca="false">(K6-J6)*Assumptions!$B$23/100</f>
        <v>72.0653934581938</v>
      </c>
      <c r="L18" s="4" t="n">
        <f aca="false">(L6-K6)*Assumptions!$B$23/100</f>
        <v>73.5067013273581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-383.79259344</v>
      </c>
      <c r="D19" s="0" t="n">
        <f aca="false">D15+D16+D17+D18</f>
        <v>-211.7684716944</v>
      </c>
      <c r="E19" s="0" t="n">
        <f aca="false">E15+E16+E17+E18</f>
        <v>438.957796580017</v>
      </c>
      <c r="F19" s="0" t="n">
        <f aca="false">F15+F16+F17+F18</f>
        <v>659.267536235691</v>
      </c>
      <c r="G19" s="0" t="n">
        <f aca="false">G15+G16+G17+G18</f>
        <v>885.003526993303</v>
      </c>
      <c r="H19" s="0" t="n">
        <f aca="false">H15+H16+H17+H18</f>
        <v>864.337522826672</v>
      </c>
      <c r="I19" s="0" t="n">
        <f aca="false">I15+I16+I17+I18</f>
        <v>885.945960897339</v>
      </c>
      <c r="J19" s="0" t="n">
        <f aca="false">J15+J16+J17+J18</f>
        <v>886.432600474397</v>
      </c>
      <c r="K19" s="0" t="n">
        <f aca="false">K15+K16+K17+K18</f>
        <v>904.161252483885</v>
      </c>
      <c r="L19" s="0" t="n">
        <f aca="false">L15+L16+L17+L18</f>
        <v>922.244477533563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-353.725892571429</v>
      </c>
      <c r="D21" s="0" t="n">
        <f aca="false">D19*D20</f>
        <v>-179.887847857801</v>
      </c>
      <c r="E21" s="0" t="n">
        <f aca="false">E19*E20</f>
        <v>343.663613811804</v>
      </c>
      <c r="F21" s="0" t="n">
        <f aca="false">F19*F20</f>
        <v>475.710500600365</v>
      </c>
      <c r="G21" s="0" t="n">
        <f aca="false">G19*G20</f>
        <v>588.56754522102</v>
      </c>
      <c r="H21" s="0" t="n">
        <f aca="false">H19*H20</f>
        <v>529.791441227965</v>
      </c>
      <c r="I21" s="0" t="n">
        <f aca="false">I19*I20</f>
        <v>500.49421867158</v>
      </c>
      <c r="J21" s="0" t="n">
        <f aca="false">J19*J20</f>
        <v>461.538372527179</v>
      </c>
      <c r="K21" s="0" t="n">
        <f aca="false">K19*K20</f>
        <v>433.888608274399</v>
      </c>
      <c r="L21" s="0" t="n">
        <f aca="false">L19*L20</f>
        <v>407.895281511417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3.4</v>
      </c>
      <c r="D23" s="4" t="n">
        <f aca="false">Assumptions!D16</f>
        <v>3.4</v>
      </c>
      <c r="E23" s="4" t="n">
        <f aca="false">Assumptions!E16</f>
        <v>3.3</v>
      </c>
      <c r="F23" s="4" t="n">
        <f aca="false">Assumptions!F16</f>
        <v>3.2</v>
      </c>
      <c r="G23" s="4" t="n">
        <f aca="false">Assumptions!G16</f>
        <v>3.1</v>
      </c>
      <c r="H23" s="4" t="n">
        <f aca="false">Assumptions!H16</f>
        <v>3.1</v>
      </c>
      <c r="I23" s="4" t="n">
        <f aca="false">Assumptions!I16</f>
        <v>3.1</v>
      </c>
      <c r="J23" s="4" t="n">
        <f aca="false">Assumptions!J16</f>
        <v>3.1</v>
      </c>
      <c r="K23" s="4" t="n">
        <f aca="false">Assumptions!K16</f>
        <v>3.1</v>
      </c>
      <c r="L23" s="4" t="n">
        <f aca="false">Assumptions!L16</f>
        <v>3.1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-711.70296</v>
      </c>
      <c r="D24" s="0" t="n">
        <f aca="false">-D6*D23/100</f>
        <v>-697.4689008</v>
      </c>
      <c r="E24" s="0" t="n">
        <f aca="false">-E6*E23/100</f>
        <v>-697.263762888</v>
      </c>
      <c r="F24" s="0" t="n">
        <f aca="false">-F6*F23/100</f>
        <v>-696.41859469056</v>
      </c>
      <c r="G24" s="0" t="n">
        <f aca="false">-G6*G23/100</f>
        <v>-694.895179014675</v>
      </c>
      <c r="H24" s="0" t="n">
        <f aca="false">-H6*H23/100</f>
        <v>-712.267558490041</v>
      </c>
      <c r="I24" s="0" t="n">
        <f aca="false">-I6*I23/100</f>
        <v>-730.074247452292</v>
      </c>
      <c r="J24" s="0" t="n">
        <f aca="false">-J6*J23/100</f>
        <v>-744.675732401338</v>
      </c>
      <c r="K24" s="0" t="n">
        <f aca="false">-K6*K23/100</f>
        <v>-759.569247049365</v>
      </c>
      <c r="L24" s="0" t="n">
        <f aca="false">-L6*L23/100</f>
        <v>-774.760631990352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3207.9358414165</v>
      </c>
    </row>
    <row r="31" customFormat="false" ht="15" hidden="false" customHeight="false" outlineLevel="0" collapsed="false">
      <c r="A31" s="0" t="s">
        <v>132</v>
      </c>
      <c r="B31" s="0" t="n">
        <f aca="false">L19</f>
        <v>922.244477533563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13372.5449242367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11066.9337304028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11066.9337304028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4894.743378137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8102.6792195535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12322.1792195535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3.91068558810292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-0.410153003302727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205.210093954986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224.390521025298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4.04702778080351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6933.91218293753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2.54741737421622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20522</v>
      </c>
      <c r="C6" s="0" t="n">
        <f aca="false">B6*(1+C5/100)</f>
        <v>21548.1</v>
      </c>
      <c r="D6" s="0" t="n">
        <f aca="false">C6*(1+D5/100)</f>
        <v>22410.024</v>
      </c>
      <c r="E6" s="0" t="n">
        <f aca="false">D6*(1+E5/100)</f>
        <v>23306.42496</v>
      </c>
      <c r="F6" s="0" t="n">
        <f aca="false">E6*(1+F5/100)</f>
        <v>24122.1498336</v>
      </c>
      <c r="G6" s="0" t="n">
        <f aca="false">F6*(1+G5/100)</f>
        <v>24966.425077776</v>
      </c>
      <c r="H6" s="0" t="n">
        <f aca="false">G6*(1+H5/100)</f>
        <v>25715.4178301093</v>
      </c>
      <c r="I6" s="0" t="n">
        <f aca="false">H6*(1+I5/100)</f>
        <v>26486.8803650126</v>
      </c>
      <c r="J6" s="0" t="n">
        <f aca="false">I6*(1+J5/100)</f>
        <v>27281.4867759629</v>
      </c>
      <c r="K6" s="0" t="n">
        <f aca="false">J6*(1+K5/100)</f>
        <v>27963.523945362</v>
      </c>
      <c r="L6" s="0" t="n">
        <f aca="false">K6*(1+L5/100)</f>
        <v>28662.6120439961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19</v>
      </c>
      <c r="D7" s="4" t="n">
        <f aca="false">Assumptions!D28</f>
        <v>20.5</v>
      </c>
      <c r="E7" s="4" t="n">
        <f aca="false">Assumptions!E28</f>
        <v>21.5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4094.139</v>
      </c>
      <c r="D8" s="0" t="n">
        <f aca="false">D6*D7/100</f>
        <v>4594.05492</v>
      </c>
      <c r="E8" s="0" t="n">
        <f aca="false">E6*E7/100</f>
        <v>5010.8813664</v>
      </c>
      <c r="F8" s="0" t="n">
        <f aca="false">F6*F7/100</f>
        <v>5186.262214224</v>
      </c>
      <c r="G8" s="0" t="n">
        <f aca="false">G6*G7/100</f>
        <v>5367.78139172184</v>
      </c>
      <c r="H8" s="0" t="n">
        <f aca="false">H6*H7/100</f>
        <v>5528.81483347349</v>
      </c>
      <c r="I8" s="0" t="n">
        <f aca="false">I6*I7/100</f>
        <v>5694.6792784777</v>
      </c>
      <c r="J8" s="0" t="n">
        <f aca="false">J6*J7/100</f>
        <v>5865.51965683203</v>
      </c>
      <c r="K8" s="0" t="n">
        <f aca="false">K6*K7/100</f>
        <v>6012.15764825283</v>
      </c>
      <c r="L8" s="0" t="n">
        <f aca="false">L6*L7/100</f>
        <v>6162.46158945915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0.14</v>
      </c>
      <c r="D9" s="4" t="n">
        <f aca="false">Assumptions!D29</f>
        <v>0.14</v>
      </c>
      <c r="E9" s="4" t="n">
        <f aca="false">Assumptions!E29</f>
        <v>0.14</v>
      </c>
      <c r="F9" s="4" t="n">
        <f aca="false">Assumptions!F29</f>
        <v>0.14</v>
      </c>
      <c r="G9" s="4" t="n">
        <f aca="false">Assumptions!G29</f>
        <v>0.14</v>
      </c>
      <c r="H9" s="4" t="n">
        <f aca="false">Assumptions!H29</f>
        <v>0.14</v>
      </c>
      <c r="I9" s="4" t="n">
        <f aca="false">Assumptions!I29</f>
        <v>0.14</v>
      </c>
      <c r="J9" s="4" t="n">
        <f aca="false">Assumptions!J29</f>
        <v>0.14</v>
      </c>
      <c r="K9" s="4" t="n">
        <f aca="false">Assumptions!K29</f>
        <v>0.14</v>
      </c>
      <c r="L9" s="4" t="n">
        <f aca="false">Assumptions!L29</f>
        <v>0.14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-30.16734</v>
      </c>
      <c r="D10" s="0" t="n">
        <f aca="false">-D6*D9/100</f>
        <v>-31.3740336</v>
      </c>
      <c r="E10" s="0" t="n">
        <f aca="false">-E6*E9/100</f>
        <v>-32.628994944</v>
      </c>
      <c r="F10" s="0" t="n">
        <f aca="false">-F6*F9/100</f>
        <v>-33.77100976704</v>
      </c>
      <c r="G10" s="0" t="n">
        <f aca="false">-G6*G9/100</f>
        <v>-34.9529951088864</v>
      </c>
      <c r="H10" s="0" t="n">
        <f aca="false">-H6*H9/100</f>
        <v>-36.001584962153</v>
      </c>
      <c r="I10" s="0" t="n">
        <f aca="false">-I6*I9/100</f>
        <v>-37.0816325110176</v>
      </c>
      <c r="J10" s="0" t="n">
        <f aca="false">-J6*J9/100</f>
        <v>-38.1940814863481</v>
      </c>
      <c r="K10" s="0" t="n">
        <f aca="false">-K6*K9/100</f>
        <v>-39.1489335235068</v>
      </c>
      <c r="L10" s="0" t="n">
        <f aca="false">-L6*L9/100</f>
        <v>-40.1276568615945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3331.33626</v>
      </c>
      <c r="D11" s="0" t="n">
        <f aca="false">D8+D10+D24</f>
        <v>3823.1500944</v>
      </c>
      <c r="E11" s="0" t="n">
        <f aca="false">E8+E10+E24</f>
        <v>4232.446772736</v>
      </c>
      <c r="F11" s="0" t="n">
        <f aca="false">F8+F10+F24</f>
        <v>4404.70455961536</v>
      </c>
      <c r="G11" s="0" t="n">
        <f aca="false">G8+G10+G24</f>
        <v>4583.83564427967</v>
      </c>
      <c r="H11" s="0" t="n">
        <f aca="false">H8+H10+H24</f>
        <v>4721.35071360806</v>
      </c>
      <c r="I11" s="0" t="n">
        <f aca="false">I8+I10+I24</f>
        <v>4862.99123501631</v>
      </c>
      <c r="J11" s="0" t="n">
        <f aca="false">J8+J10+J24</f>
        <v>5008.88097206679</v>
      </c>
      <c r="K11" s="0" t="n">
        <f aca="false">K8+K10+K24</f>
        <v>5134.10299636846</v>
      </c>
      <c r="L11" s="0" t="n">
        <f aca="false">L8+L10+L24</f>
        <v>5262.45557127768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-2154.81</v>
      </c>
      <c r="D12" s="4" t="n">
        <f aca="false">-D6*Assumptions!D31/100</f>
        <v>-2263.412424</v>
      </c>
      <c r="E12" s="4" t="n">
        <f aca="false">-E6*Assumptions!E31/100</f>
        <v>-2377.25534592</v>
      </c>
      <c r="F12" s="4" t="n">
        <f aca="false">-F6*Assumptions!F31/100</f>
        <v>-2484.5814328608</v>
      </c>
      <c r="G12" s="4" t="n">
        <f aca="false">-G6*Assumptions!G31/100</f>
        <v>-2571.54178301093</v>
      </c>
      <c r="H12" s="4" t="n">
        <f aca="false">-H6*Assumptions!H31/100</f>
        <v>-2648.68803650126</v>
      </c>
      <c r="I12" s="4" t="n">
        <f aca="false">-I6*Assumptions!I31/100</f>
        <v>-2728.14867759629</v>
      </c>
      <c r="J12" s="4" t="n">
        <f aca="false">-J6*Assumptions!J31/100</f>
        <v>-2809.99313792418</v>
      </c>
      <c r="K12" s="4" t="n">
        <f aca="false">-K6*Assumptions!K31/100</f>
        <v>-2880.24296637229</v>
      </c>
      <c r="L12" s="4" t="n">
        <f aca="false">-L6*Assumptions!L31/100</f>
        <v>-2952.24904053159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1176.52626</v>
      </c>
      <c r="D13" s="0" t="n">
        <f aca="false">D11+D12</f>
        <v>1559.7376704</v>
      </c>
      <c r="E13" s="0" t="n">
        <f aca="false">E11+E12</f>
        <v>1855.191426816</v>
      </c>
      <c r="F13" s="0" t="n">
        <f aca="false">F11+F12</f>
        <v>1920.12312675456</v>
      </c>
      <c r="G13" s="0" t="n">
        <f aca="false">G11+G12</f>
        <v>2012.29386126875</v>
      </c>
      <c r="H13" s="0" t="n">
        <f aca="false">H11+H12</f>
        <v>2072.66267710681</v>
      </c>
      <c r="I13" s="0" t="n">
        <f aca="false">I11+I12</f>
        <v>2134.84255742001</v>
      </c>
      <c r="J13" s="0" t="n">
        <f aca="false">J11+J12</f>
        <v>2198.88783414261</v>
      </c>
      <c r="K13" s="0" t="n">
        <f aca="false">K11+K12</f>
        <v>2253.86002999618</v>
      </c>
      <c r="L13" s="0" t="n">
        <f aca="false">L11+L12</f>
        <v>2310.20653074608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6</v>
      </c>
      <c r="D14" s="4" t="n">
        <f aca="false">Assumptions!D33</f>
        <v>7</v>
      </c>
      <c r="E14" s="4" t="n">
        <f aca="false">Assumptions!E33</f>
        <v>8</v>
      </c>
      <c r="F14" s="4" t="n">
        <f aca="false">Assumptions!F33</f>
        <v>10</v>
      </c>
      <c r="G14" s="4" t="n">
        <f aca="false">Assumptions!G33</f>
        <v>12</v>
      </c>
      <c r="H14" s="4" t="n">
        <f aca="false">Assumptions!H33</f>
        <v>12</v>
      </c>
      <c r="I14" s="4" t="n">
        <f aca="false">Assumptions!I33</f>
        <v>12</v>
      </c>
      <c r="J14" s="4" t="n">
        <f aca="false">Assumptions!J33</f>
        <v>12</v>
      </c>
      <c r="K14" s="4" t="n">
        <f aca="false">Assumptions!K33</f>
        <v>12</v>
      </c>
      <c r="L14" s="4" t="n">
        <f aca="false">Assumptions!L33</f>
        <v>12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1105.9346844</v>
      </c>
      <c r="D15" s="0" t="n">
        <f aca="false">D13-MAX(0,D13)*D14/100</f>
        <v>1450.556033472</v>
      </c>
      <c r="E15" s="0" t="n">
        <f aca="false">E13-MAX(0,E13)*E14/100</f>
        <v>1706.77611267072</v>
      </c>
      <c r="F15" s="0" t="n">
        <f aca="false">F13-MAX(0,F13)*F14/100</f>
        <v>1728.1108140791</v>
      </c>
      <c r="G15" s="0" t="n">
        <f aca="false">G13-MAX(0,G13)*G14/100</f>
        <v>1770.8185979165</v>
      </c>
      <c r="H15" s="0" t="n">
        <f aca="false">H13-MAX(0,H13)*H14/100</f>
        <v>1823.94315585399</v>
      </c>
      <c r="I15" s="0" t="n">
        <f aca="false">I13-MAX(0,I13)*I14/100</f>
        <v>1878.66145052961</v>
      </c>
      <c r="J15" s="0" t="n">
        <f aca="false">J13-MAX(0,J13)*J14/100</f>
        <v>1935.0212940455</v>
      </c>
      <c r="K15" s="0" t="n">
        <f aca="false">K13-MAX(0,K13)*K14/100</f>
        <v>1983.39682639664</v>
      </c>
      <c r="L15" s="0" t="n">
        <f aca="false">L13-MAX(0,L13)*L14/100</f>
        <v>2032.98174705655</v>
      </c>
    </row>
    <row r="16" customFormat="false" ht="15" hidden="false" customHeight="false" outlineLevel="0" collapsed="false">
      <c r="A16" s="0" t="s">
        <v>123</v>
      </c>
      <c r="C16" s="0" t="n">
        <f aca="false">-C12</f>
        <v>2154.81</v>
      </c>
      <c r="D16" s="0" t="n">
        <f aca="false">-D12</f>
        <v>2263.412424</v>
      </c>
      <c r="E16" s="0" t="n">
        <f aca="false">-E12</f>
        <v>2377.25534592</v>
      </c>
      <c r="F16" s="0" t="n">
        <f aca="false">-F12</f>
        <v>2484.5814328608</v>
      </c>
      <c r="G16" s="0" t="n">
        <f aca="false">-G12</f>
        <v>2571.54178301093</v>
      </c>
      <c r="H16" s="0" t="n">
        <f aca="false">-H12</f>
        <v>2648.68803650126</v>
      </c>
      <c r="I16" s="0" t="n">
        <f aca="false">-I12</f>
        <v>2728.14867759629</v>
      </c>
      <c r="J16" s="0" t="n">
        <f aca="false">-J12</f>
        <v>2809.99313792418</v>
      </c>
      <c r="K16" s="0" t="n">
        <f aca="false">-K12</f>
        <v>2880.24296637229</v>
      </c>
      <c r="L16" s="0" t="n">
        <f aca="false">-L12</f>
        <v>2952.24904053159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-2801.253</v>
      </c>
      <c r="D17" s="4" t="n">
        <f aca="false">-D6*Assumptions!D32/100</f>
        <v>-2913.30312</v>
      </c>
      <c r="E17" s="4" t="n">
        <f aca="false">-E6*Assumptions!E32/100</f>
        <v>-2913.30312</v>
      </c>
      <c r="F17" s="4" t="n">
        <f aca="false">-F6*Assumptions!F32/100</f>
        <v>-3015.2687292</v>
      </c>
      <c r="G17" s="4" t="n">
        <f aca="false">-G6*Assumptions!G32/100</f>
        <v>-2995.97100933312</v>
      </c>
      <c r="H17" s="4" t="n">
        <f aca="false">-H6*Assumptions!H32/100</f>
        <v>-2957.27305046257</v>
      </c>
      <c r="I17" s="4" t="n">
        <f aca="false">-I6*Assumptions!I32/100</f>
        <v>-3045.99124197644</v>
      </c>
      <c r="J17" s="4" t="n">
        <f aca="false">-J6*Assumptions!J32/100</f>
        <v>-3137.37097923574</v>
      </c>
      <c r="K17" s="4" t="n">
        <f aca="false">-K6*Assumptions!K32/100</f>
        <v>-3215.80525371663</v>
      </c>
      <c r="L17" s="4" t="n">
        <f aca="false">-L6*Assumptions!L32/100</f>
        <v>-3296.20038505955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153.915</v>
      </c>
      <c r="D18" s="4" t="n">
        <f aca="false">(D6-C6)*Assumptions!$B$37/100</f>
        <v>129.2886</v>
      </c>
      <c r="E18" s="4" t="n">
        <f aca="false">(E6-D6)*Assumptions!$B$37/100</f>
        <v>134.460144</v>
      </c>
      <c r="F18" s="4" t="n">
        <f aca="false">(F6-E6)*Assumptions!$B$37/100</f>
        <v>122.358731039999</v>
      </c>
      <c r="G18" s="4" t="n">
        <f aca="false">(G6-F6)*Assumptions!$B$37/100</f>
        <v>126.6412866264</v>
      </c>
      <c r="H18" s="4" t="n">
        <f aca="false">(H6-G6)*Assumptions!$B$37/100</f>
        <v>112.348912849992</v>
      </c>
      <c r="I18" s="4" t="n">
        <f aca="false">(I6-H6)*Assumptions!$B$37/100</f>
        <v>115.719380235492</v>
      </c>
      <c r="J18" s="4" t="n">
        <f aca="false">(J6-I6)*Assumptions!$B$37/100</f>
        <v>119.190961642557</v>
      </c>
      <c r="K18" s="4" t="n">
        <f aca="false">(K6-J6)*Assumptions!$B$37/100</f>
        <v>102.305575409861</v>
      </c>
      <c r="L18" s="4" t="n">
        <f aca="false">(L6-K6)*Assumptions!$B$37/100</f>
        <v>104.863214795107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613.4066844</v>
      </c>
      <c r="D19" s="0" t="n">
        <f aca="false">D15+D16+D17+D18</f>
        <v>929.953937472</v>
      </c>
      <c r="E19" s="0" t="n">
        <f aca="false">E15+E16+E17+E18</f>
        <v>1305.18848259072</v>
      </c>
      <c r="F19" s="0" t="n">
        <f aca="false">F15+F16+F17+F18</f>
        <v>1319.7822487799</v>
      </c>
      <c r="G19" s="0" t="n">
        <f aca="false">G15+G16+G17+G18</f>
        <v>1473.0306582207</v>
      </c>
      <c r="H19" s="0" t="n">
        <f aca="false">H15+H16+H17+H18</f>
        <v>1627.70705474267</v>
      </c>
      <c r="I19" s="0" t="n">
        <f aca="false">I15+I16+I17+I18</f>
        <v>1676.53826638495</v>
      </c>
      <c r="J19" s="0" t="n">
        <f aca="false">J15+J16+J17+J18</f>
        <v>1726.8344143765</v>
      </c>
      <c r="K19" s="0" t="n">
        <f aca="false">K15+K16+K17+K18</f>
        <v>1750.14011446215</v>
      </c>
      <c r="L19" s="0" t="n">
        <f aca="false">L15+L16+L17+L18</f>
        <v>1793.89361732371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565.351782857143</v>
      </c>
      <c r="D21" s="0" t="n">
        <f aca="false">D19*D20</f>
        <v>789.954288663594</v>
      </c>
      <c r="E21" s="0" t="n">
        <f aca="false">E19*E20</f>
        <v>1021.84263299879</v>
      </c>
      <c r="F21" s="0" t="n">
        <f aca="false">F19*F20</f>
        <v>952.320931552909</v>
      </c>
      <c r="G21" s="0" t="n">
        <f aca="false">G19*G20</f>
        <v>979.632297613232</v>
      </c>
      <c r="H21" s="0" t="n">
        <f aca="false">H19*H20</f>
        <v>997.695048120658</v>
      </c>
      <c r="I21" s="0" t="n">
        <f aca="false">I19*I20</f>
        <v>947.120644759703</v>
      </c>
      <c r="J21" s="0" t="n">
        <f aca="false">J19*J20</f>
        <v>899.109920831792</v>
      </c>
      <c r="K21" s="0" t="n">
        <f aca="false">K19*K20</f>
        <v>839.85666988391</v>
      </c>
      <c r="L21" s="0" t="n">
        <f aca="false">L19*L20</f>
        <v>793.412983070053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3.4</v>
      </c>
      <c r="D23" s="4" t="n">
        <f aca="false">Assumptions!D30</f>
        <v>3.3</v>
      </c>
      <c r="E23" s="4" t="n">
        <f aca="false">Assumptions!E30</f>
        <v>3.2</v>
      </c>
      <c r="F23" s="4" t="n">
        <f aca="false">Assumptions!F30</f>
        <v>3.1</v>
      </c>
      <c r="G23" s="4" t="n">
        <f aca="false">Assumptions!G30</f>
        <v>3</v>
      </c>
      <c r="H23" s="4" t="n">
        <f aca="false">Assumptions!H30</f>
        <v>3</v>
      </c>
      <c r="I23" s="4" t="n">
        <f aca="false">Assumptions!I30</f>
        <v>3</v>
      </c>
      <c r="J23" s="4" t="n">
        <f aca="false">Assumptions!J30</f>
        <v>3</v>
      </c>
      <c r="K23" s="4" t="n">
        <f aca="false">Assumptions!K30</f>
        <v>3</v>
      </c>
      <c r="L23" s="4" t="n">
        <f aca="false">Assumptions!L30</f>
        <v>3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-732.6354</v>
      </c>
      <c r="D24" s="0" t="n">
        <f aca="false">-D6*D23/100</f>
        <v>-739.530792</v>
      </c>
      <c r="E24" s="0" t="n">
        <f aca="false">-E6*E23/100</f>
        <v>-745.80559872</v>
      </c>
      <c r="F24" s="0" t="n">
        <f aca="false">-F6*F23/100</f>
        <v>-747.7866448416</v>
      </c>
      <c r="G24" s="0" t="n">
        <f aca="false">-G6*G23/100</f>
        <v>-748.99275233328</v>
      </c>
      <c r="H24" s="0" t="n">
        <f aca="false">-H6*H23/100</f>
        <v>-771.462534903278</v>
      </c>
      <c r="I24" s="0" t="n">
        <f aca="false">-I6*I23/100</f>
        <v>-794.606410950377</v>
      </c>
      <c r="J24" s="0" t="n">
        <f aca="false">-J6*J23/100</f>
        <v>-818.444603278888</v>
      </c>
      <c r="K24" s="0" t="n">
        <f aca="false">-K6*K23/100</f>
        <v>-838.90571836086</v>
      </c>
      <c r="L24" s="0" t="n">
        <f aca="false">-L6*L23/100</f>
        <v>-859.878361319882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8786.29720035178</v>
      </c>
    </row>
    <row r="31" customFormat="false" ht="15" hidden="false" customHeight="false" outlineLevel="0" collapsed="false">
      <c r="A31" s="0" t="s">
        <v>132</v>
      </c>
      <c r="B31" s="0" t="n">
        <f aca="false">L19</f>
        <v>1793.89361732371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28150.3306103105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21526.7234078845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21526.7234078845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9520.95579684064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18307.2529971924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22526.7529971924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7.14930749855356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0.0783269228587575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227.050497006361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278.505152567357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7.30975551327117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14075.1653051552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4.48118738451002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7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20522</v>
      </c>
      <c r="C6" s="0" t="n">
        <f aca="false">B6*(1+C5/100)</f>
        <v>21958.54</v>
      </c>
      <c r="D6" s="0" t="n">
        <f aca="false">C6*(1+D5/100)</f>
        <v>23166.2597</v>
      </c>
      <c r="E6" s="0" t="n">
        <f aca="false">D6*(1+E5/100)</f>
        <v>24324.572685</v>
      </c>
      <c r="F6" s="0" t="n">
        <f aca="false">E6*(1+F5/100)</f>
        <v>25419.178455825</v>
      </c>
      <c r="G6" s="0" t="n">
        <f aca="false">F6*(1+G5/100)</f>
        <v>26435.945594058</v>
      </c>
      <c r="H6" s="0" t="n">
        <f aca="false">G6*(1+H5/100)</f>
        <v>27493.3834178203</v>
      </c>
      <c r="I6" s="0" t="n">
        <f aca="false">H6*(1+I5/100)</f>
        <v>28455.651837444</v>
      </c>
      <c r="J6" s="0" t="n">
        <f aca="false">I6*(1+J5/100)</f>
        <v>29309.3213925673</v>
      </c>
      <c r="K6" s="0" t="n">
        <f aca="false">J6*(1+K5/100)</f>
        <v>30188.6010343444</v>
      </c>
      <c r="L6" s="0" t="n">
        <f aca="false">K6*(1+L5/100)</f>
        <v>31094.2590653747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21</v>
      </c>
      <c r="D7" s="4" t="n">
        <f aca="false">Assumptions!D42</f>
        <v>23</v>
      </c>
      <c r="E7" s="4" t="n">
        <f aca="false">Assumptions!E42</f>
        <v>23.5</v>
      </c>
      <c r="F7" s="4" t="n">
        <f aca="false">Assumptions!F42</f>
        <v>23.5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4611.2934</v>
      </c>
      <c r="D8" s="0" t="n">
        <f aca="false">D6*D7/100</f>
        <v>5328.239731</v>
      </c>
      <c r="E8" s="0" t="n">
        <f aca="false">E6*E7/100</f>
        <v>5716.274580975</v>
      </c>
      <c r="F8" s="0" t="n">
        <f aca="false">F6*F7/100</f>
        <v>5973.50693711888</v>
      </c>
      <c r="G8" s="0" t="n">
        <f aca="false">G6*G7/100</f>
        <v>6212.44721460363</v>
      </c>
      <c r="H8" s="0" t="n">
        <f aca="false">H6*H7/100</f>
        <v>6460.94510318778</v>
      </c>
      <c r="I8" s="0" t="n">
        <f aca="false">I6*I7/100</f>
        <v>6687.07818179935</v>
      </c>
      <c r="J8" s="0" t="n">
        <f aca="false">J6*J7/100</f>
        <v>6887.69052725333</v>
      </c>
      <c r="K8" s="0" t="n">
        <f aca="false">K6*K7/100</f>
        <v>7094.32124307093</v>
      </c>
      <c r="L8" s="0" t="n">
        <f aca="false">L6*L7/100</f>
        <v>7307.15088036306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0.14</v>
      </c>
      <c r="D9" s="4" t="n">
        <f aca="false">Assumptions!D43</f>
        <v>0.14</v>
      </c>
      <c r="E9" s="4" t="n">
        <f aca="false">Assumptions!E43</f>
        <v>0.14</v>
      </c>
      <c r="F9" s="4" t="n">
        <f aca="false">Assumptions!F43</f>
        <v>0.14</v>
      </c>
      <c r="G9" s="4" t="n">
        <f aca="false">Assumptions!G43</f>
        <v>0.14</v>
      </c>
      <c r="H9" s="4" t="n">
        <f aca="false">Assumptions!H43</f>
        <v>0.14</v>
      </c>
      <c r="I9" s="4" t="n">
        <f aca="false">Assumptions!I43</f>
        <v>0.14</v>
      </c>
      <c r="J9" s="4" t="n">
        <f aca="false">Assumptions!J43</f>
        <v>0.14</v>
      </c>
      <c r="K9" s="4" t="n">
        <f aca="false">Assumptions!K43</f>
        <v>0.14</v>
      </c>
      <c r="L9" s="4" t="n">
        <f aca="false">Assumptions!L43</f>
        <v>0.14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-30.741956</v>
      </c>
      <c r="D10" s="0" t="n">
        <f aca="false">-D6*D9/100</f>
        <v>-32.43276358</v>
      </c>
      <c r="E10" s="0" t="n">
        <f aca="false">-E6*E9/100</f>
        <v>-34.054401759</v>
      </c>
      <c r="F10" s="0" t="n">
        <f aca="false">-F6*F9/100</f>
        <v>-35.586849838155</v>
      </c>
      <c r="G10" s="0" t="n">
        <f aca="false">-G6*G9/100</f>
        <v>-37.0103238316812</v>
      </c>
      <c r="H10" s="0" t="n">
        <f aca="false">-H6*H9/100</f>
        <v>-38.4907367849484</v>
      </c>
      <c r="I10" s="0" t="n">
        <f aca="false">-I6*I9/100</f>
        <v>-39.8379125724216</v>
      </c>
      <c r="J10" s="0" t="n">
        <f aca="false">-J6*J9/100</f>
        <v>-41.0330499495943</v>
      </c>
      <c r="K10" s="0" t="n">
        <f aca="false">-K6*K9/100</f>
        <v>-42.2640414480821</v>
      </c>
      <c r="L10" s="0" t="n">
        <f aca="false">-L6*L9/100</f>
        <v>-43.5319626915246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3833.961084</v>
      </c>
      <c r="D11" s="0" t="n">
        <f aca="false">D8+D10+D24</f>
        <v>4531.32039732</v>
      </c>
      <c r="E11" s="0" t="n">
        <f aca="false">E8+E10+E24</f>
        <v>4903.833853296</v>
      </c>
      <c r="F11" s="0" t="n">
        <f aca="false">F8+F10+F24</f>
        <v>5149.92555515015</v>
      </c>
      <c r="G11" s="0" t="n">
        <f aca="false">G8+G10+G24</f>
        <v>5382.35852295021</v>
      </c>
      <c r="H11" s="0" t="n">
        <f aca="false">H8+H10+H24</f>
        <v>5597.65286386822</v>
      </c>
      <c r="I11" s="0" t="n">
        <f aca="false">I8+I10+I24</f>
        <v>5793.57071410361</v>
      </c>
      <c r="J11" s="0" t="n">
        <f aca="false">J8+J10+J24</f>
        <v>5967.37783552671</v>
      </c>
      <c r="K11" s="0" t="n">
        <f aca="false">K8+K10+K24</f>
        <v>6146.39917059252</v>
      </c>
      <c r="L11" s="0" t="n">
        <f aca="false">L8+L10+L24</f>
        <v>6330.79114571029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-2195.854</v>
      </c>
      <c r="D12" s="4" t="n">
        <f aca="false">-D6*Assumptions!D45/100</f>
        <v>-2339.7922297</v>
      </c>
      <c r="E12" s="4" t="n">
        <f aca="false">-E6*Assumptions!E45/100</f>
        <v>-2481.10641387</v>
      </c>
      <c r="F12" s="4" t="n">
        <f aca="false">-F6*Assumptions!F45/100</f>
        <v>-2618.17538094998</v>
      </c>
      <c r="G12" s="4" t="n">
        <f aca="false">-G6*Assumptions!G45/100</f>
        <v>-2722.90239618797</v>
      </c>
      <c r="H12" s="4" t="n">
        <f aca="false">-H6*Assumptions!H45/100</f>
        <v>-2831.81849203549</v>
      </c>
      <c r="I12" s="4" t="n">
        <f aca="false">-I6*Assumptions!I45/100</f>
        <v>-2930.93213925674</v>
      </c>
      <c r="J12" s="4" t="n">
        <f aca="false">-J6*Assumptions!J45/100</f>
        <v>-3018.86010343444</v>
      </c>
      <c r="K12" s="4" t="n">
        <f aca="false">-K6*Assumptions!K45/100</f>
        <v>-3109.42590653747</v>
      </c>
      <c r="L12" s="4" t="n">
        <f aca="false">-L6*Assumptions!L45/100</f>
        <v>-3202.70868373359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1638.107084</v>
      </c>
      <c r="D13" s="0" t="n">
        <f aca="false">D11+D12</f>
        <v>2191.52816762</v>
      </c>
      <c r="E13" s="0" t="n">
        <f aca="false">E11+E12</f>
        <v>2422.727439426</v>
      </c>
      <c r="F13" s="0" t="n">
        <f aca="false">F11+F12</f>
        <v>2531.75017420017</v>
      </c>
      <c r="G13" s="0" t="n">
        <f aca="false">G11+G12</f>
        <v>2659.45612676223</v>
      </c>
      <c r="H13" s="0" t="n">
        <f aca="false">H11+H12</f>
        <v>2765.83437183273</v>
      </c>
      <c r="I13" s="0" t="n">
        <f aca="false">I11+I12</f>
        <v>2862.63857484687</v>
      </c>
      <c r="J13" s="0" t="n">
        <f aca="false">J11+J12</f>
        <v>2948.51773209228</v>
      </c>
      <c r="K13" s="0" t="n">
        <f aca="false">K11+K12</f>
        <v>3036.97326405504</v>
      </c>
      <c r="L13" s="0" t="n">
        <f aca="false">L11+L12</f>
        <v>3128.0824619767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6</v>
      </c>
      <c r="D14" s="4" t="n">
        <f aca="false">Assumptions!D47</f>
        <v>7</v>
      </c>
      <c r="E14" s="4" t="n">
        <f aca="false">Assumptions!E47</f>
        <v>8</v>
      </c>
      <c r="F14" s="4" t="n">
        <f aca="false">Assumptions!F47</f>
        <v>9</v>
      </c>
      <c r="G14" s="4" t="n">
        <f aca="false">Assumptions!G47</f>
        <v>10</v>
      </c>
      <c r="H14" s="4" t="n">
        <f aca="false">Assumptions!H47</f>
        <v>10</v>
      </c>
      <c r="I14" s="4" t="n">
        <f aca="false">Assumptions!I47</f>
        <v>10</v>
      </c>
      <c r="J14" s="4" t="n">
        <f aca="false">Assumptions!J47</f>
        <v>10</v>
      </c>
      <c r="K14" s="4" t="n">
        <f aca="false">Assumptions!K47</f>
        <v>10</v>
      </c>
      <c r="L14" s="4" t="n">
        <f aca="false">Assumptions!L47</f>
        <v>10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1539.82065896</v>
      </c>
      <c r="D15" s="0" t="n">
        <f aca="false">D13-MAX(0,D13)*D14/100</f>
        <v>2038.1211958866</v>
      </c>
      <c r="E15" s="0" t="n">
        <f aca="false">E13-MAX(0,E13)*E14/100</f>
        <v>2228.90924427192</v>
      </c>
      <c r="F15" s="0" t="n">
        <f aca="false">F13-MAX(0,F13)*F14/100</f>
        <v>2303.89265852215</v>
      </c>
      <c r="G15" s="0" t="n">
        <f aca="false">G13-MAX(0,G13)*G14/100</f>
        <v>2393.51051408601</v>
      </c>
      <c r="H15" s="0" t="n">
        <f aca="false">H13-MAX(0,H13)*H14/100</f>
        <v>2489.25093464945</v>
      </c>
      <c r="I15" s="0" t="n">
        <f aca="false">I13-MAX(0,I13)*I14/100</f>
        <v>2576.37471736218</v>
      </c>
      <c r="J15" s="0" t="n">
        <f aca="false">J13-MAX(0,J13)*J14/100</f>
        <v>2653.66595888305</v>
      </c>
      <c r="K15" s="0" t="n">
        <f aca="false">K13-MAX(0,K13)*K14/100</f>
        <v>2733.27593764954</v>
      </c>
      <c r="L15" s="0" t="n">
        <f aca="false">L13-MAX(0,L13)*L14/100</f>
        <v>2815.27421577903</v>
      </c>
    </row>
    <row r="16" customFormat="false" ht="15" hidden="false" customHeight="false" outlineLevel="0" collapsed="false">
      <c r="A16" s="0" t="s">
        <v>123</v>
      </c>
      <c r="C16" s="0" t="n">
        <f aca="false">-C12</f>
        <v>2195.854</v>
      </c>
      <c r="D16" s="0" t="n">
        <f aca="false">-D12</f>
        <v>2339.7922297</v>
      </c>
      <c r="E16" s="0" t="n">
        <f aca="false">-E12</f>
        <v>2481.10641387</v>
      </c>
      <c r="F16" s="0" t="n">
        <f aca="false">-F12</f>
        <v>2618.17538094998</v>
      </c>
      <c r="G16" s="0" t="n">
        <f aca="false">-G12</f>
        <v>2722.90239618797</v>
      </c>
      <c r="H16" s="0" t="n">
        <f aca="false">-H12</f>
        <v>2831.81849203549</v>
      </c>
      <c r="I16" s="0" t="n">
        <f aca="false">-I12</f>
        <v>2930.93213925674</v>
      </c>
      <c r="J16" s="0" t="n">
        <f aca="false">-J12</f>
        <v>3018.86010343444</v>
      </c>
      <c r="K16" s="0" t="n">
        <f aca="false">-K12</f>
        <v>3109.42590653747</v>
      </c>
      <c r="L16" s="0" t="n">
        <f aca="false">-L12</f>
        <v>3202.70868373359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-2854.6102</v>
      </c>
      <c r="D17" s="4" t="n">
        <f aca="false">-D6*Assumptions!D46/100</f>
        <v>-3011.613761</v>
      </c>
      <c r="E17" s="4" t="n">
        <f aca="false">-E6*Assumptions!E46/100</f>
        <v>-3040.571585625</v>
      </c>
      <c r="F17" s="4" t="n">
        <f aca="false">-F6*Assumptions!F46/100</f>
        <v>-3177.39730697812</v>
      </c>
      <c r="G17" s="4" t="n">
        <f aca="false">-G6*Assumptions!G46/100</f>
        <v>-3172.31347128696</v>
      </c>
      <c r="H17" s="4" t="n">
        <f aca="false">-H6*Assumptions!H46/100</f>
        <v>-3161.73909304934</v>
      </c>
      <c r="I17" s="4" t="n">
        <f aca="false">-I6*Assumptions!I46/100</f>
        <v>-3272.39996130606</v>
      </c>
      <c r="J17" s="4" t="n">
        <f aca="false">-J6*Assumptions!J46/100</f>
        <v>-3370.57196014525</v>
      </c>
      <c r="K17" s="4" t="n">
        <f aca="false">-K6*Assumptions!K46/100</f>
        <v>-3471.6891189496</v>
      </c>
      <c r="L17" s="4" t="n">
        <f aca="false">-L6*Assumptions!L46/100</f>
        <v>-3575.83979251809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215.481</v>
      </c>
      <c r="D18" s="4" t="n">
        <f aca="false">(D6-C6)*Assumptions!$B$51/100</f>
        <v>181.157955</v>
      </c>
      <c r="E18" s="4" t="n">
        <f aca="false">(E6-D6)*Assumptions!$B$51/100</f>
        <v>173.74694775</v>
      </c>
      <c r="F18" s="4" t="n">
        <f aca="false">(F6-E6)*Assumptions!$B$51/100</f>
        <v>164.19086562375</v>
      </c>
      <c r="G18" s="4" t="n">
        <f aca="false">(G6-F6)*Assumptions!$B$51/100</f>
        <v>152.51507073495</v>
      </c>
      <c r="H18" s="4" t="n">
        <f aca="false">(H6-G6)*Assumptions!$B$51/100</f>
        <v>158.615673564348</v>
      </c>
      <c r="I18" s="4" t="n">
        <f aca="false">(I6-H6)*Assumptions!$B$51/100</f>
        <v>144.340262943556</v>
      </c>
      <c r="J18" s="4" t="n">
        <f aca="false">(J6-I6)*Assumptions!$B$51/100</f>
        <v>128.050433268498</v>
      </c>
      <c r="K18" s="4" t="n">
        <f aca="false">(K6-J6)*Assumptions!$B$51/100</f>
        <v>131.891946266553</v>
      </c>
      <c r="L18" s="4" t="n">
        <f aca="false">(L6-K6)*Assumptions!$B$51/100</f>
        <v>135.84870465455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1096.54545896</v>
      </c>
      <c r="D19" s="0" t="n">
        <f aca="false">D15+D16+D17+D18</f>
        <v>1547.4576195866</v>
      </c>
      <c r="E19" s="0" t="n">
        <f aca="false">E15+E16+E17+E18</f>
        <v>1843.19102026692</v>
      </c>
      <c r="F19" s="0" t="n">
        <f aca="false">F15+F16+F17+F18</f>
        <v>1908.86159811775</v>
      </c>
      <c r="G19" s="0" t="n">
        <f aca="false">G15+G16+G17+G18</f>
        <v>2096.61450972198</v>
      </c>
      <c r="H19" s="0" t="n">
        <f aca="false">H15+H16+H17+H18</f>
        <v>2317.94600719996</v>
      </c>
      <c r="I19" s="0" t="n">
        <f aca="false">I15+I16+I17+I18</f>
        <v>2379.24715825641</v>
      </c>
      <c r="J19" s="0" t="n">
        <f aca="false">J15+J16+J17+J18</f>
        <v>2430.00453544074</v>
      </c>
      <c r="K19" s="0" t="n">
        <f aca="false">K15+K16+K17+K18</f>
        <v>2502.90467150396</v>
      </c>
      <c r="L19" s="0" t="n">
        <f aca="false">L15+L16+L17+L18</f>
        <v>2577.99181164908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1010.640976</v>
      </c>
      <c r="D21" s="0" t="n">
        <f aca="false">D19*D20</f>
        <v>1314.49605605267</v>
      </c>
      <c r="E21" s="0" t="n">
        <f aca="false">E19*E20</f>
        <v>1443.04917672177</v>
      </c>
      <c r="F21" s="0" t="n">
        <f aca="false">F19*F20</f>
        <v>1377.3854414284</v>
      </c>
      <c r="G21" s="0" t="n">
        <f aca="false">G19*G20</f>
        <v>1394.34388409073</v>
      </c>
      <c r="H21" s="0" t="n">
        <f aca="false">H19*H20</f>
        <v>1420.77362536225</v>
      </c>
      <c r="I21" s="0" t="n">
        <f aca="false">I19*I20</f>
        <v>1344.0994147002</v>
      </c>
      <c r="J21" s="0" t="n">
        <f aca="false">J19*J20</f>
        <v>1265.22911941727</v>
      </c>
      <c r="K21" s="0" t="n">
        <f aca="false">K19*K20</f>
        <v>1201.0930811058</v>
      </c>
      <c r="L21" s="0" t="n">
        <f aca="false">L19*L20</f>
        <v>1140.20817837693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3.4</v>
      </c>
      <c r="D23" s="4" t="n">
        <f aca="false">Assumptions!D44</f>
        <v>3.3</v>
      </c>
      <c r="E23" s="4" t="n">
        <f aca="false">Assumptions!E44</f>
        <v>3.2</v>
      </c>
      <c r="F23" s="4" t="n">
        <f aca="false">Assumptions!F44</f>
        <v>3.1</v>
      </c>
      <c r="G23" s="4" t="n">
        <f aca="false">Assumptions!G44</f>
        <v>3</v>
      </c>
      <c r="H23" s="4" t="n">
        <f aca="false">Assumptions!H44</f>
        <v>3</v>
      </c>
      <c r="I23" s="4" t="n">
        <f aca="false">Assumptions!I44</f>
        <v>3</v>
      </c>
      <c r="J23" s="4" t="n">
        <f aca="false">Assumptions!J44</f>
        <v>3</v>
      </c>
      <c r="K23" s="4" t="n">
        <f aca="false">Assumptions!K44</f>
        <v>3</v>
      </c>
      <c r="L23" s="4" t="n">
        <f aca="false">Assumptions!L44</f>
        <v>3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-746.59036</v>
      </c>
      <c r="D24" s="0" t="n">
        <f aca="false">-D6*D23/100</f>
        <v>-764.4865701</v>
      </c>
      <c r="E24" s="0" t="n">
        <f aca="false">-E6*E23/100</f>
        <v>-778.38632592</v>
      </c>
      <c r="F24" s="0" t="n">
        <f aca="false">-F6*F23/100</f>
        <v>-787.994532130575</v>
      </c>
      <c r="G24" s="0" t="n">
        <f aca="false">-G6*G23/100</f>
        <v>-793.07836782174</v>
      </c>
      <c r="H24" s="0" t="n">
        <f aca="false">-H6*H23/100</f>
        <v>-824.801502534609</v>
      </c>
      <c r="I24" s="0" t="n">
        <f aca="false">-I6*I23/100</f>
        <v>-853.669555123321</v>
      </c>
      <c r="J24" s="0" t="n">
        <f aca="false">-J6*J23/100</f>
        <v>-879.27964177702</v>
      </c>
      <c r="K24" s="0" t="n">
        <f aca="false">-K6*K23/100</f>
        <v>-905.658031030331</v>
      </c>
      <c r="L24" s="0" t="n">
        <f aca="false">-L6*L23/100</f>
        <v>-932.827771961241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12911.318953256</v>
      </c>
    </row>
    <row r="31" customFormat="false" ht="15" hidden="false" customHeight="false" outlineLevel="0" collapsed="false">
      <c r="A31" s="0" t="s">
        <v>132</v>
      </c>
      <c r="B31" s="0" t="n">
        <f aca="false">L19</f>
        <v>2577.99181164908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44040.6934490051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30935.9017397889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30935.9017397889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13682.4981405232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26593.8170937792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30813.3170937792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9.77921136620622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0.474994172881782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239.835408439611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328.914849850856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9.95971543116876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21139.5328555224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6.01537811164116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3.91068558810292</v>
      </c>
      <c r="C4" s="0" t="n">
        <f aca="false">B4/Assumptions!$B$2-1</f>
        <v>-0.410153003302727</v>
      </c>
      <c r="D4" s="4" t="n">
        <f aca="false">Assumptions!$B$24</f>
        <v>0.25</v>
      </c>
      <c r="E4" s="4" t="n">
        <f aca="false">DCF_Bear!$B$43</f>
        <v>4.04702778080351</v>
      </c>
      <c r="F4" s="4" t="n">
        <f aca="false">DCF_Bear!$B$47</f>
        <v>2.54741737421622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7.14930749855356</v>
      </c>
      <c r="C5" s="0" t="n">
        <f aca="false">B5/Assumptions!$B$2-1</f>
        <v>0.0783269228587575</v>
      </c>
      <c r="D5" s="4" t="n">
        <f aca="false">Assumptions!$B$38</f>
        <v>0.5</v>
      </c>
      <c r="E5" s="4" t="n">
        <f aca="false">DCF_Base!$B$43</f>
        <v>7.30975551327117</v>
      </c>
      <c r="F5" s="4" t="n">
        <f aca="false">DCF_Base!$B$47</f>
        <v>4.48118738451002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9.77921136620622</v>
      </c>
      <c r="C6" s="0" t="n">
        <f aca="false">B6/Assumptions!$B$2-1</f>
        <v>0.474994172881782</v>
      </c>
      <c r="D6" s="4" t="n">
        <f aca="false">Assumptions!$B$52</f>
        <v>0.25</v>
      </c>
      <c r="E6" s="4" t="n">
        <f aca="false">DCF_Bull!$B$43</f>
        <v>9.95971543116876</v>
      </c>
      <c r="F6" s="4" t="n">
        <f aca="false">DCF_Bull!$B$47</f>
        <v>6.01537811164116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6.99712798785407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7.15656355962865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0.0524683825265657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-230.267300934021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4.38129256371935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7.14930749855356</v>
      </c>
      <c r="C15" s="3" t="n">
        <v>8.5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6.94283190016028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6.5569894602417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6.07064888451364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5.55164356495605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4.48118738451002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8.07742076388189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8.07742076388189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8.07742076388189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8.07742076388189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8.07742076388189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7.59183107027942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7.59183107027942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7.59183107027942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7.59183107027942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7.59183107027942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7.14930749855356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7.14930749855356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7.14930749855356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7.14930749855356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7.14930749855356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6.71852023820112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6.74554749368523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6.74554749368523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6.74554749368523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6.74554749368523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6.08966787970773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6.22521973054831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6.37671885795838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6.37671885795838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6.37671885795838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2026-10-24T02:55:22Z</dcterms:created>
  <dc:creator>openpyxl</dc:creator>
  <dc:description/>
  <dc:language>en-NZ</dc:language>
  <cp:lastModifiedBy/>
  <dcterms:modified xsi:type="dcterms:W3CDTF">2026-10-24T02:55:22Z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