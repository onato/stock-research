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<sst xmlns="http://schemas.openxmlformats.org/spreadsheetml/2006/main" count="363" uniqueCount="167">
  <si>
    <t xml:space="preserve">Ticker</t>
  </si>
  <si>
    <t xml:space="preserve">DCC.L</t>
  </si>
  <si>
    <t xml:space="preserve">Company</t>
  </si>
  <si>
    <t xml:space="preserve">DCC Energy plc (formerly DCC plc)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</si>
  <si>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</si>
  <si>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</si>
  <si>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</si>
  <si>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</si>
  <si>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2026-10-09T15:36:23Z (LSE regular close; today's session 2026-10-10 not yet closed at build time)</t>
  </si>
  <si>
    <t xml:space="preserve">Balance sheet date</t>
  </si>
  <si>
    <t xml:space="preserve">2026-03-31</t>
  </si>
  <si>
    <t xml:space="preserve">Model</t>
  </si>
  <si>
    <t xml:space="preserve">Takeover scheme: deal-completes vs deal-breaks weighting over a standalone Energy-only owner-FCF DCF (engine route)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</si>
  <si>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</si>
  <si>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</si>
  <si>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</si>
  <si>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</si>
  <si>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</si>
  <si>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</si>
  <si>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</si>
  <si>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</si>
  <si>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</si>
  <si>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2026-10-09T23:09:30Z</t>
  </si>
  <si>
    <t xml:space="preserve">Drivers file</t>
  </si>
  <si>
    <t xml:space="preserve">DCC.L_Drivers.json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</si>
  <si>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</si>
  <si>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</si>
  <si>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</si>
  <si>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DCC Energy is a live, shareholder-approved take-private, so the valuation is an event-weighted one: P(complete) x PV(6,525p cash + ~42p Nexora-linked payment, expected Q1 2027) plus P(break) x standalone intrinsic value. The standalone leg is an owner-FCF DCF of DCC Energy alone (Solutions + Mobility), built from FY2026 segment components with leases charged as operating cost, SBC expensed (immaterial), NCI and deferred consideration charged once in the bridge, and Nexora's US$725m sale added as net proceeds rather than modelled as a flow. The engine's three scenarios and their weights describe the deal-breaks world only; `takeover.deal_weighted_iv` is the figure a holder today should compare with the price, and `probability_weighted.weighted_iv` is the answer to 'was 6,525p a fair price?'. Statutory FY2026 profit (13.4 after the 258.7 discontinued loss) and the group-level ten-year history are not inputs: the perimeter changed too much.
key_risks_to_valuation: Completion risk: Irish High Court sanction and remaining regulatory clearances; the scheme passed with only 78.09% against a 75% threshold and large holders argued publicly the price is too low -- a break sends the stock toward its ~5,380p undisturbed level, not toward standalone IV; Nexora contingent payment: the c.42p estimate depends on the Transaction Agreement's net-proceeds deductions and the undisclosed hurdle; it could settle lower or at zero if the Nexora sale fails to complete by 31 July 2027; Timing: each quarter of delay beyond Q1 2027 costs ~1pp of annualised return on the merger-arb spread; Standalone leg: DCC Energy's lease, ROU-depreciation and SBC splits by segment are estimated at ~90% of continuing totals; NCI fair value (GBP165m) and Nexora net proceeds (GBP500m of GBP548m gross) are judgments; Standalone leg: terminal multiple -- DCC never sustainably traded at the 15x FCF cap used in the base; the consortium is paying ~16x, which is itself the re-rating the public market never granted; FX: 77% of Energy AOP is earned outside sterling (EUR, USD, NOK/SEK) and is unhedged in translation; a stronger pound lowers every GBP flow; Working capital: the FY2026 71.4 inflow was commodity-price driven and is modelled as non-recurring (wc_capture 0); a sharp fall in LPG/fuel prices would make it an outflow</t>
  </si>
  <si>
    <t xml:space="preserve">Data sources</t>
  </si>
  <si>
    <t xml:space="preserve">price: Yahoo Finance chart API at inputs.price_as_of (LSE regular close); 52-week range 4,188-6,740p; prior close 6,435p
financials: DCC.L_Annual_FY2026.txt (segment note 2.1 lines 9399-9553; income statement 8881-8904; cash flow 9109-9159; finance costs note 2.6 line 9938; leases 11315-11330; net debt/capital structure 12505-12530; notes 3.5, 4.1, 4.4), DCC.L_Metrics.csv (22 periods FY2016-FY2026), DCC.L_Quarterly_Q3-2026.txt (Q3 FY2026 trading statement, 2026-02-04)
qualitative: DCC.L_Analysis.json (2026-10-10); Rule 2.7 announcement 'Recommended Acquisition of DCC Energy plc' 2026-07-27 (Investegate RNS 9687627) for offer terms, 86,243,641 fully-diluted count, Q1-2027 expected effective date, 31 July 2027 Technology Disposal long-stop; RNS 'Nexora Sale and Additional Consideration Estimate' 2026-10-09 and Reuters/RTE/Peel Hunt coverage for US$725m and the c.42p estimate; scheme meeting result 2026-09-18 (78.09%) per Irish Independent/RTE
fx: GBPUSD 1.3233, Yahoo GBPUSD=X 2026-10-09T21:29Z</t>
  </si>
  <si>
    <t xml:space="preserve">Scenario narrative: bear</t>
  </si>
  <si>
    <t xml:space="preserve">Standalone downside: scheme fails into a soft market -- volumes -3%/yr, Energy Services losses persist, working-capital tailwind reverses, margin erodes to 5.4%, terminal 12x; the stock reverts toward its undisturbed ~5,380p.</t>
  </si>
  <si>
    <t xml:space="preserve">Scenario narrative: base</t>
  </si>
  <si>
    <t xml:space="preserve">Standalone DCC Energy (deal-breaks leg): 2% nominal revenue growth, EBITDA margin 5.9% -&gt; 6.2% over ten years (AOP ~3%/yr), capex ~1.2% of revenue, 23% cash tax, lease cash charged inside EBITDA (treatment B), 8% GBP WACC, terminal min(Gordon 2%, 15x FCF). Nexora enters as ~GBP500m of net sale proceeds in the bridge. Answers 'what is the business worth if the consortium walks?'</t>
  </si>
  <si>
    <t xml:space="preserve">Scenario narrative: bull</t>
  </si>
  <si>
    <t xml:space="preserve">Standalone upside: organic delivery toward the 2030 doubling ambition -- CEE liquid gas, bioLPG/HVO, Energy Services recovery, Mobility services -- gives revenue +4% then +3% and EBITDA margin to 6.8% (AOP ~6%/yr), terminal 16x. Approximately the dissenting shareholders' case.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</si>
  <si>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</si>
  <si>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</si>
  <si>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</si>
  <si>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</si>
  <si>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</si>
  <si>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</si>
  <si>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</si>
  <si>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</si>
  <si>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</si>
  <si>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</si>
  <si>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</si>
  <si>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</si>
  <si>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</si>
  <si>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</si>
  <si>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</si>
  <si>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</si>
  <si>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</si>
  <si>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</si>
  <si>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</si>
  <si>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</si>
  <si>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</si>
  <si>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</si>
  <si>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</si>
  <si>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</si>
  <si>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</si>
  <si>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</si>
  <si>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</si>
  <si>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</si>
  <si>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</si>
  <si>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</si>
  <si>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</si>
  <si>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</si>
  <si>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</si>
  <si>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</si>
  <si>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</si>
  <si>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</si>
  <si>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</si>
  <si>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</si>
  <si>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</si>
  <si>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</si>
  <si>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</si>
  <si>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</si>
  <si>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</si>
  <si>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</si>
  <si>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</si>
  <si>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</si>
  <si>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</si>
  <si>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</si>
  <si>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</si>
  <si>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</si>
  <si>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</si>
  <si>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</si>
  <si>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</si>
  <si>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</si>
  <si>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</si>
  <si>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</si>
  <si>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</si>
  <si>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</si>
  <si>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</si>
  <si>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</si>
  <si>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</si>
  <si>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</si>
  <si>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</si>
  <si>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</si>
  <si>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</si>
  <si>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</si>
  <si>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</si>
  <si>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</si>
  <si>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</si>
  <si>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</si>
  <si>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</si>
  <si>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</si>
  <si>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</si>
  <si>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</si>
  <si>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</si>
  <si>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DCC.L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</si>
  <si>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</si>
  <si>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</si>
  <si>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</si>
  <si>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</si>
  <si>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</si>
  <si>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</si>
  <si>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</si>
  <si>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</si>
  <si>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</si>
  <si>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</si>
  <si>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</si>
  <si>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</si>
  <si>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</si>
  <si>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</si>
  <si>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</si>
  <si>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</si>
  <si>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</si>
  <si>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</si>
  <si>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</si>
  <si>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</si>
  <si>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</si>
  <si>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</si>
  <si>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</si>
  <si>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</si>
  <si>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</si>
  <si>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</si>
  <si>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</si>
  <si>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</si>
  <si>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</si>
  <si>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</si>
  <si>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DCC.L owner-FCF component DCF: base case (millions, GBP)</t>
  </si>
  <si>
    <t xml:space="preserve">DCC.L owner-FCF component DCF: bull case (millions, GBP)</t>
  </si>
  <si>
    <t xml:space="preserve">DCC.L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</si>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</sst>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6425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10601.085</v>
      </c>
      <c r="C2" s="0" t="n">
        <v>9545.194</v>
      </c>
      <c r="D2" s="0" t="n">
        <v>1055.891</v>
      </c>
      <c r="E2" s="0" t="n">
        <v>10</v>
      </c>
      <c r="F2" s="0" t="n">
        <v>254.261</v>
      </c>
      <c r="G2" s="0" t="n">
        <v>2.4</v>
      </c>
      <c r="I2" s="0" t="n">
        <v>178.031</v>
      </c>
      <c r="J2" s="0" t="n">
        <v>1.7</v>
      </c>
      <c r="K2" s="0" t="n">
        <v>2.0102</v>
      </c>
      <c r="L2" s="0" t="n">
        <v>292.367</v>
      </c>
      <c r="M2" s="0" t="n">
        <v>134.172</v>
      </c>
      <c r="N2" s="0" t="n">
        <v>158.195</v>
      </c>
      <c r="O2" s="0" t="n">
        <v>1319.643</v>
      </c>
      <c r="P2" s="0" t="n">
        <v>4797.476</v>
      </c>
      <c r="Q2" s="0" t="n">
        <v>3447</v>
      </c>
      <c r="R2" s="0" t="n">
        <v>1453.225</v>
      </c>
      <c r="S2" s="0" t="n">
        <v>1182.034</v>
      </c>
      <c r="T2" s="0" t="n">
        <v>88.56</v>
      </c>
      <c r="U2" s="0" t="n">
        <v>2.198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12269.802</v>
      </c>
      <c r="C3" s="0" t="n">
        <v>11006.805</v>
      </c>
      <c r="D3" s="0" t="n">
        <v>1262.997</v>
      </c>
      <c r="E3" s="0" t="n">
        <v>10.3</v>
      </c>
      <c r="F3" s="0" t="n">
        <v>269.578</v>
      </c>
      <c r="G3" s="0" t="n">
        <v>2.2</v>
      </c>
      <c r="H3" s="0" t="n">
        <v>455.6</v>
      </c>
      <c r="I3" s="0" t="n">
        <v>216.197</v>
      </c>
      <c r="J3" s="0" t="n">
        <v>1.8</v>
      </c>
      <c r="K3" s="0" t="n">
        <v>2.42</v>
      </c>
      <c r="L3" s="0" t="n">
        <v>383.313</v>
      </c>
      <c r="M3" s="0" t="n">
        <v>143.698</v>
      </c>
      <c r="N3" s="0" t="n">
        <v>239.615</v>
      </c>
      <c r="O3" s="0" t="n">
        <v>1478.134</v>
      </c>
      <c r="P3" s="0" t="n">
        <v>5432.375</v>
      </c>
      <c r="Q3" s="0" t="n">
        <v>3924.654</v>
      </c>
      <c r="R3" s="0" t="n">
        <v>1468.412</v>
      </c>
      <c r="S3" s="0" t="n">
        <v>1048.064</v>
      </c>
      <c r="T3" s="0" t="n">
        <v>89.34</v>
      </c>
      <c r="U3" s="0" t="n">
        <v>3.192</v>
      </c>
      <c r="W3" s="0" t="n">
        <v>455.6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14264.639</v>
      </c>
      <c r="C4" s="0" t="n">
        <v>12857.814</v>
      </c>
      <c r="D4" s="0" t="n">
        <v>1406.825</v>
      </c>
      <c r="E4" s="0" t="n">
        <v>9.9</v>
      </c>
      <c r="F4" s="0" t="n">
        <v>295.228</v>
      </c>
      <c r="G4" s="0" t="n">
        <v>2.1</v>
      </c>
      <c r="H4" s="0" t="n">
        <v>478.1</v>
      </c>
      <c r="I4" s="0" t="n">
        <v>261.824</v>
      </c>
      <c r="J4" s="0" t="n">
        <v>1.8</v>
      </c>
      <c r="K4" s="0" t="n">
        <v>2.9279</v>
      </c>
      <c r="L4" s="0" t="n">
        <v>325.495</v>
      </c>
      <c r="M4" s="0" t="n">
        <v>152.997</v>
      </c>
      <c r="N4" s="0" t="n">
        <v>172.498</v>
      </c>
      <c r="O4" s="0" t="n">
        <v>1642.658</v>
      </c>
      <c r="P4" s="0" t="n">
        <v>6027.267</v>
      </c>
      <c r="Q4" s="0" t="n">
        <v>4349.35</v>
      </c>
      <c r="R4" s="0" t="n">
        <v>1673.418</v>
      </c>
      <c r="S4" s="0" t="n">
        <v>1038.827</v>
      </c>
      <c r="T4" s="0" t="n">
        <v>89.42</v>
      </c>
      <c r="U4" s="0" t="n">
        <v>4.737</v>
      </c>
      <c r="W4" s="0" t="n">
        <v>478.1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15226.893</v>
      </c>
      <c r="C5" s="0" t="n">
        <v>13589.254</v>
      </c>
      <c r="D5" s="0" t="n">
        <v>1637.639</v>
      </c>
      <c r="E5" s="0" t="n">
        <v>10.8</v>
      </c>
      <c r="F5" s="0" t="n">
        <v>369.025</v>
      </c>
      <c r="G5" s="0" t="n">
        <v>2.4</v>
      </c>
      <c r="H5" s="0" t="n">
        <v>570.1</v>
      </c>
      <c r="I5" s="0" t="n">
        <v>262.593</v>
      </c>
      <c r="J5" s="0" t="n">
        <v>1.7</v>
      </c>
      <c r="K5" s="0" t="n">
        <v>2.7973</v>
      </c>
      <c r="L5" s="0" t="n">
        <v>460.355</v>
      </c>
      <c r="M5" s="0" t="n">
        <v>182.311</v>
      </c>
      <c r="N5" s="0" t="n">
        <v>278.044</v>
      </c>
      <c r="O5" s="0" t="n">
        <v>2390.706</v>
      </c>
      <c r="P5" s="0" t="n">
        <v>7077.616</v>
      </c>
      <c r="Q5" s="0" t="n">
        <v>4644.089</v>
      </c>
      <c r="R5" s="0" t="n">
        <v>1773.929</v>
      </c>
      <c r="S5" s="0" t="n">
        <v>1554.093</v>
      </c>
      <c r="T5" s="0" t="n">
        <v>93.87</v>
      </c>
      <c r="U5" s="0" t="n">
        <v>5.823</v>
      </c>
      <c r="W5" s="0" t="n">
        <v>570.1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14755.393</v>
      </c>
      <c r="C6" s="0" t="n">
        <v>13015.419</v>
      </c>
      <c r="D6" s="0" t="n">
        <v>1739.974</v>
      </c>
      <c r="E6" s="0" t="n">
        <v>11.8</v>
      </c>
      <c r="F6" s="0" t="n">
        <v>366.644</v>
      </c>
      <c r="G6" s="0" t="n">
        <v>2.5</v>
      </c>
      <c r="H6" s="0" t="n">
        <v>607.814</v>
      </c>
      <c r="I6" s="0" t="n">
        <v>245.509</v>
      </c>
      <c r="J6" s="0" t="n">
        <v>1.7</v>
      </c>
      <c r="K6" s="0" t="n">
        <v>2.4921</v>
      </c>
      <c r="L6" s="0" t="n">
        <v>529.107</v>
      </c>
      <c r="M6" s="0" t="n">
        <v>181.014</v>
      </c>
      <c r="N6" s="0" t="n">
        <v>348.093</v>
      </c>
      <c r="O6" s="0" t="n">
        <v>2486.693</v>
      </c>
      <c r="P6" s="0" t="n">
        <v>7921.109</v>
      </c>
      <c r="Q6" s="0" t="n">
        <v>5379.651</v>
      </c>
      <c r="R6" s="0" t="n">
        <v>2086.268</v>
      </c>
      <c r="S6" s="0" t="n">
        <v>1794.467</v>
      </c>
      <c r="T6" s="0" t="n">
        <v>98.51</v>
      </c>
      <c r="U6" s="0" t="n">
        <v>6.208</v>
      </c>
      <c r="W6" s="0" t="n">
        <v>607.814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13412.45</v>
      </c>
      <c r="C7" s="0" t="n">
        <v>11592.97</v>
      </c>
      <c r="D7" s="0" t="n">
        <v>1819.48</v>
      </c>
      <c r="E7" s="0" t="n">
        <v>13.6</v>
      </c>
      <c r="F7" s="0" t="n">
        <v>422.85</v>
      </c>
      <c r="G7" s="0" t="n">
        <v>3.2</v>
      </c>
      <c r="H7" s="0" t="n">
        <v>655.879</v>
      </c>
      <c r="I7" s="0" t="n">
        <v>292.619</v>
      </c>
      <c r="J7" s="0" t="n">
        <v>2.2</v>
      </c>
      <c r="K7" s="0" t="n">
        <v>2.9662</v>
      </c>
      <c r="L7" s="0" t="n">
        <v>727.768</v>
      </c>
      <c r="M7" s="0" t="n">
        <v>162.879</v>
      </c>
      <c r="N7" s="0" t="n">
        <v>564.889</v>
      </c>
      <c r="O7" s="0" t="n">
        <v>2647.434</v>
      </c>
      <c r="P7" s="0" t="n">
        <v>8034.802</v>
      </c>
      <c r="Q7" s="0" t="n">
        <v>5329.158</v>
      </c>
      <c r="R7" s="0" t="n">
        <v>1772.859</v>
      </c>
      <c r="S7" s="0" t="n">
        <v>1786.556</v>
      </c>
      <c r="T7" s="0" t="n">
        <v>98.65</v>
      </c>
      <c r="U7" s="0" t="n">
        <v>6.055</v>
      </c>
      <c r="W7" s="0" t="n">
        <v>655.879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17732.02</v>
      </c>
      <c r="C8" s="0" t="n">
        <v>15694.347</v>
      </c>
      <c r="D8" s="0" t="n">
        <v>2037.673</v>
      </c>
      <c r="E8" s="0" t="n">
        <v>11.5</v>
      </c>
      <c r="F8" s="0" t="n">
        <v>458.36</v>
      </c>
      <c r="G8" s="0" t="n">
        <v>2.6</v>
      </c>
      <c r="H8" s="0" t="n">
        <v>727.21</v>
      </c>
      <c r="I8" s="0" t="n">
        <v>312.373</v>
      </c>
      <c r="J8" s="0" t="n">
        <v>1.8</v>
      </c>
      <c r="K8" s="0" t="n">
        <v>3.1636</v>
      </c>
      <c r="L8" s="0" t="n">
        <v>451.768</v>
      </c>
      <c r="M8" s="0" t="n">
        <v>194.353</v>
      </c>
      <c r="N8" s="0" t="n">
        <v>257.415</v>
      </c>
      <c r="O8" s="0" t="n">
        <v>2905.184</v>
      </c>
      <c r="P8" s="0" t="n">
        <v>9559.176</v>
      </c>
      <c r="Q8" s="0" t="n">
        <v>6588.613</v>
      </c>
      <c r="R8" s="0" t="n">
        <v>2001.15</v>
      </c>
      <c r="S8" s="0" t="n">
        <v>1394.272</v>
      </c>
      <c r="T8" s="0" t="n">
        <v>98.74</v>
      </c>
      <c r="U8" s="0" t="n">
        <v>6.467</v>
      </c>
      <c r="W8" s="0" t="n">
        <v>727.21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22204.846</v>
      </c>
      <c r="C9" s="0" t="n">
        <v>19800.114</v>
      </c>
      <c r="D9" s="0" t="n">
        <v>2404.732</v>
      </c>
      <c r="E9" s="0" t="n">
        <v>10.8</v>
      </c>
      <c r="F9" s="0" t="n">
        <v>511.988</v>
      </c>
      <c r="G9" s="0" t="n">
        <v>2.3</v>
      </c>
      <c r="H9" s="0" t="n">
        <v>800.105</v>
      </c>
      <c r="I9" s="0" t="n">
        <v>334.022</v>
      </c>
      <c r="J9" s="0" t="n">
        <v>1.5</v>
      </c>
      <c r="K9" s="0" t="n">
        <v>3.3804</v>
      </c>
      <c r="L9" s="0" t="n">
        <v>656.905</v>
      </c>
      <c r="M9" s="0" t="n">
        <v>229.44</v>
      </c>
      <c r="N9" s="0" t="n">
        <v>427.465</v>
      </c>
      <c r="O9" s="0" t="n">
        <v>2978.091</v>
      </c>
      <c r="P9" s="0" t="n">
        <v>9840.776</v>
      </c>
      <c r="Q9" s="0" t="n">
        <v>6782.466</v>
      </c>
      <c r="R9" s="0" t="n">
        <v>2254.615</v>
      </c>
      <c r="S9" s="0" t="n">
        <v>1421.749</v>
      </c>
      <c r="T9" s="0" t="n">
        <v>98.81</v>
      </c>
      <c r="U9" s="0" t="n">
        <v>7.16</v>
      </c>
      <c r="W9" s="0" t="n">
        <v>800.105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19858.763</v>
      </c>
      <c r="C10" s="0" t="n">
        <v>17261.487</v>
      </c>
      <c r="D10" s="0" t="n">
        <v>2597.276</v>
      </c>
      <c r="E10" s="0" t="n">
        <v>13.1</v>
      </c>
      <c r="F10" s="0" t="n">
        <v>529.396</v>
      </c>
      <c r="G10" s="0" t="n">
        <v>2.7</v>
      </c>
      <c r="H10" s="0" t="n">
        <v>833.166</v>
      </c>
      <c r="I10" s="0" t="n">
        <v>326.255</v>
      </c>
      <c r="J10" s="0" t="n">
        <v>1.6</v>
      </c>
      <c r="K10" s="0" t="n">
        <v>3.2985</v>
      </c>
      <c r="L10" s="0" t="n">
        <v>722.022</v>
      </c>
      <c r="M10" s="0" t="n">
        <v>230.354</v>
      </c>
      <c r="N10" s="0" t="n">
        <v>491.668</v>
      </c>
      <c r="O10" s="0" t="n">
        <v>3091.391</v>
      </c>
      <c r="P10" s="0" t="n">
        <v>9483.219</v>
      </c>
      <c r="Q10" s="0" t="n">
        <v>6300.187</v>
      </c>
      <c r="R10" s="0" t="n">
        <v>1943.518</v>
      </c>
      <c r="S10" s="0" t="n">
        <v>1109.446</v>
      </c>
      <c r="T10" s="0" t="n">
        <v>98.91</v>
      </c>
      <c r="U10" s="0" t="n">
        <v>9.21</v>
      </c>
      <c r="W10" s="0" t="n">
        <v>833.166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18011.111</v>
      </c>
      <c r="C11" s="0" t="n">
        <v>15612.712</v>
      </c>
      <c r="D11" s="0" t="n">
        <v>2398.399</v>
      </c>
      <c r="E11" s="0" t="n">
        <v>13.3</v>
      </c>
      <c r="F11" s="0" t="n">
        <v>396.336</v>
      </c>
      <c r="G11" s="0" t="n">
        <v>2.2</v>
      </c>
      <c r="I11" s="0" t="n">
        <v>206.49</v>
      </c>
      <c r="J11" s="0" t="n">
        <v>1.1</v>
      </c>
      <c r="K11" s="0" t="n">
        <v>2.0844</v>
      </c>
      <c r="L11" s="0" t="n">
        <v>582.029</v>
      </c>
      <c r="M11" s="0" t="n">
        <v>214.295</v>
      </c>
      <c r="N11" s="0" t="n">
        <v>367.734</v>
      </c>
      <c r="O11" s="0" t="n">
        <v>3073.427</v>
      </c>
      <c r="P11" s="0" t="n">
        <v>9257.629</v>
      </c>
      <c r="Q11" s="0" t="n">
        <v>6089.333</v>
      </c>
      <c r="R11" s="0" t="n">
        <v>1966.042</v>
      </c>
      <c r="S11" s="0" t="n">
        <v>1088.175</v>
      </c>
      <c r="T11" s="0" t="n">
        <v>99.06</v>
      </c>
      <c r="U11" s="0" t="n">
        <v>7.544</v>
      </c>
      <c r="X11" s="0" t="n">
        <v>15904.204</v>
      </c>
      <c r="Z11" s="0" t="n">
        <v>504.543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15441.862</v>
      </c>
      <c r="C12" s="0" t="n">
        <v>13079.865</v>
      </c>
      <c r="D12" s="0" t="n">
        <v>2361.997</v>
      </c>
      <c r="E12" s="0" t="n">
        <v>15.3</v>
      </c>
      <c r="F12" s="0" t="n">
        <v>461.04</v>
      </c>
      <c r="G12" s="0" t="n">
        <v>3</v>
      </c>
      <c r="I12" s="0" t="n">
        <v>13.358</v>
      </c>
      <c r="J12" s="0" t="n">
        <v>0.1</v>
      </c>
      <c r="K12" s="0" t="n">
        <v>0.1412</v>
      </c>
      <c r="L12" s="0" t="n">
        <v>672.501</v>
      </c>
      <c r="M12" s="0" t="n">
        <v>209.472</v>
      </c>
      <c r="N12" s="0" t="n">
        <v>463.029</v>
      </c>
      <c r="O12" s="0" t="n">
        <v>2260.929</v>
      </c>
      <c r="P12" s="0" t="n">
        <v>8269.869</v>
      </c>
      <c r="Q12" s="0" t="n">
        <v>5906.274</v>
      </c>
      <c r="R12" s="0" t="n">
        <v>1885.452</v>
      </c>
      <c r="S12" s="0" t="n">
        <v>1085.607</v>
      </c>
      <c r="T12" s="0" t="n">
        <v>94.55</v>
      </c>
      <c r="U12" s="0" t="n">
        <v>3.432</v>
      </c>
      <c r="X12" s="0" t="n">
        <v>15441.862</v>
      </c>
      <c r="Z12" s="0" t="n">
        <v>532.941</v>
      </c>
      <c r="AA12" s="0" t="s">
        <v>18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6425</v>
      </c>
    </row>
    <row r="3" customFormat="false" ht="15" hidden="false" customHeight="false" outlineLevel="0" collapsed="false">
      <c r="A3" s="0" t="s">
        <v>78</v>
      </c>
      <c r="B3" s="3" t="n">
        <v>85.67</v>
      </c>
    </row>
    <row r="4" customFormat="false" ht="15" hidden="false" customHeight="false" outlineLevel="0" collapsed="false">
      <c r="A4" s="0" t="s">
        <v>79</v>
      </c>
      <c r="B4" s="3" t="n">
        <v>799.8</v>
      </c>
    </row>
    <row r="5" customFormat="false" ht="15" hidden="false" customHeight="false" outlineLevel="0" collapsed="false">
      <c r="A5" s="0" t="s">
        <v>80</v>
      </c>
      <c r="B5" s="3" t="n">
        <v>592.5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12990.4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100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99</v>
      </c>
      <c r="C14" s="3" t="n">
        <v>5.7</v>
      </c>
      <c r="D14" s="3" t="n">
        <v>5.65</v>
      </c>
      <c r="E14" s="3" t="n">
        <v>5.6</v>
      </c>
      <c r="F14" s="3" t="n">
        <v>5.55</v>
      </c>
      <c r="G14" s="3" t="n">
        <v>5.5</v>
      </c>
      <c r="H14" s="3" t="n">
        <v>5.45</v>
      </c>
      <c r="I14" s="3" t="n">
        <v>5.4</v>
      </c>
      <c r="J14" s="3" t="n">
        <v>5.4</v>
      </c>
      <c r="K14" s="3" t="n">
        <v>5.4</v>
      </c>
      <c r="L14" s="3" t="n">
        <v>5.4</v>
      </c>
    </row>
    <row r="15" customFormat="false" ht="15" hidden="false" customHeight="false" outlineLevel="0" collapsed="false">
      <c r="A15" s="0" t="s">
        <v>100</v>
      </c>
      <c r="C15" s="3" t="n">
        <v>0.026</v>
      </c>
      <c r="D15" s="3" t="n">
        <v>0.026</v>
      </c>
      <c r="E15" s="3" t="n">
        <v>0.026</v>
      </c>
      <c r="F15" s="3" t="n">
        <v>0.026</v>
      </c>
      <c r="G15" s="3" t="n">
        <v>0.026</v>
      </c>
      <c r="H15" s="3" t="n">
        <v>0.026</v>
      </c>
      <c r="I15" s="3" t="n">
        <v>0.026</v>
      </c>
      <c r="J15" s="3" t="n">
        <v>0.026</v>
      </c>
      <c r="K15" s="3" t="n">
        <v>0.026</v>
      </c>
      <c r="L15" s="3" t="n">
        <v>0.026</v>
      </c>
    </row>
    <row r="16" customFormat="false" ht="15" hidden="false" customHeight="false" outlineLevel="0" collapsed="false">
      <c r="A16" s="0" t="s">
        <v>101</v>
      </c>
      <c r="C16" s="3" t="n">
        <v>0.66</v>
      </c>
      <c r="D16" s="3" t="n">
        <v>0.66</v>
      </c>
      <c r="E16" s="3" t="n">
        <v>0.66</v>
      </c>
      <c r="F16" s="3" t="n">
        <v>0.66</v>
      </c>
      <c r="G16" s="3" t="n">
        <v>0.66</v>
      </c>
      <c r="H16" s="3" t="n">
        <v>0.66</v>
      </c>
      <c r="I16" s="3" t="n">
        <v>0.66</v>
      </c>
      <c r="J16" s="3" t="n">
        <v>0.66</v>
      </c>
      <c r="K16" s="3" t="n">
        <v>0.66</v>
      </c>
      <c r="L16" s="3" t="n">
        <v>0.66</v>
      </c>
    </row>
    <row r="17" customFormat="false" ht="15" hidden="false" customHeight="false" outlineLevel="0" collapsed="false">
      <c r="A17" s="0" t="s">
        <v>102</v>
      </c>
      <c r="C17" s="3" t="n">
        <v>1.08</v>
      </c>
      <c r="D17" s="3" t="n">
        <v>1.08</v>
      </c>
      <c r="E17" s="3" t="n">
        <v>1.08</v>
      </c>
      <c r="F17" s="3" t="n">
        <v>1.08</v>
      </c>
      <c r="G17" s="3" t="n">
        <v>1.08</v>
      </c>
      <c r="H17" s="3" t="n">
        <v>1.08</v>
      </c>
      <c r="I17" s="3" t="n">
        <v>1.08</v>
      </c>
      <c r="J17" s="3" t="n">
        <v>1.08</v>
      </c>
      <c r="K17" s="3" t="n">
        <v>1.08</v>
      </c>
      <c r="L17" s="3" t="n">
        <v>1.08</v>
      </c>
    </row>
    <row r="18" customFormat="false" ht="15" hidden="false" customHeight="false" outlineLevel="0" collapsed="false">
      <c r="A18" s="0" t="s">
        <v>103</v>
      </c>
      <c r="C18" s="3" t="n">
        <v>1.15</v>
      </c>
      <c r="D18" s="3" t="n">
        <v>1.15</v>
      </c>
      <c r="E18" s="3" t="n">
        <v>1.15</v>
      </c>
      <c r="F18" s="3" t="n">
        <v>1.15</v>
      </c>
      <c r="G18" s="3" t="n">
        <v>1.15</v>
      </c>
      <c r="H18" s="3" t="n">
        <v>1.15</v>
      </c>
      <c r="I18" s="3" t="n">
        <v>1.15</v>
      </c>
      <c r="J18" s="3" t="n">
        <v>1.15</v>
      </c>
      <c r="K18" s="3" t="n">
        <v>1.15</v>
      </c>
      <c r="L18" s="3" t="n">
        <v>1.15</v>
      </c>
    </row>
    <row r="19" customFormat="false" ht="15" hidden="false" customHeight="false" outlineLevel="0" collapsed="false">
      <c r="A19" s="0" t="s">
        <v>104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105</v>
      </c>
      <c r="B20" s="3" t="n">
        <v>8</v>
      </c>
    </row>
    <row r="21" customFormat="false" ht="15" hidden="false" customHeight="false" outlineLevel="0" collapsed="false">
      <c r="A21" s="0" t="s">
        <v>106</v>
      </c>
      <c r="B21" s="3" t="n">
        <v>1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</v>
      </c>
      <c r="D27" s="3" t="n">
        <v>2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5.9</v>
      </c>
      <c r="D28" s="3" t="n">
        <v>5.95</v>
      </c>
      <c r="E28" s="3" t="n">
        <v>6</v>
      </c>
      <c r="F28" s="3" t="n">
        <v>6.05</v>
      </c>
      <c r="G28" s="3" t="n">
        <v>6.1</v>
      </c>
      <c r="H28" s="3" t="n">
        <v>6.15</v>
      </c>
      <c r="I28" s="3" t="n">
        <v>6.2</v>
      </c>
      <c r="J28" s="3" t="n">
        <v>6.2</v>
      </c>
      <c r="K28" s="3" t="n">
        <v>6.2</v>
      </c>
      <c r="L28" s="3" t="n">
        <v>6.2</v>
      </c>
    </row>
    <row r="29" customFormat="false" ht="15" hidden="false" customHeight="false" outlineLevel="0" collapsed="false">
      <c r="A29" s="0" t="s">
        <v>100</v>
      </c>
      <c r="C29" s="3" t="n">
        <v>0.026</v>
      </c>
      <c r="D29" s="3" t="n">
        <v>0.026</v>
      </c>
      <c r="E29" s="3" t="n">
        <v>0.026</v>
      </c>
      <c r="F29" s="3" t="n">
        <v>0.026</v>
      </c>
      <c r="G29" s="3" t="n">
        <v>0.026</v>
      </c>
      <c r="H29" s="3" t="n">
        <v>0.026</v>
      </c>
      <c r="I29" s="3" t="n">
        <v>0.026</v>
      </c>
      <c r="J29" s="3" t="n">
        <v>0.026</v>
      </c>
      <c r="K29" s="3" t="n">
        <v>0.026</v>
      </c>
      <c r="L29" s="3" t="n">
        <v>0.026</v>
      </c>
    </row>
    <row r="30" customFormat="false" ht="15" hidden="false" customHeight="false" outlineLevel="0" collapsed="false">
      <c r="A30" s="0" t="s">
        <v>101</v>
      </c>
      <c r="C30" s="3" t="n">
        <v>0.64</v>
      </c>
      <c r="D30" s="3" t="n">
        <v>0.64</v>
      </c>
      <c r="E30" s="3" t="n">
        <v>0.64</v>
      </c>
      <c r="F30" s="3" t="n">
        <v>0.64</v>
      </c>
      <c r="G30" s="3" t="n">
        <v>0.64</v>
      </c>
      <c r="H30" s="3" t="n">
        <v>0.64</v>
      </c>
      <c r="I30" s="3" t="n">
        <v>0.64</v>
      </c>
      <c r="J30" s="3" t="n">
        <v>0.64</v>
      </c>
      <c r="K30" s="3" t="n">
        <v>0.64</v>
      </c>
      <c r="L30" s="3" t="n">
        <v>0.64</v>
      </c>
    </row>
    <row r="31" customFormat="false" ht="15" hidden="false" customHeight="false" outlineLevel="0" collapsed="false">
      <c r="A31" s="0" t="s">
        <v>102</v>
      </c>
      <c r="C31" s="3" t="n">
        <v>1.07</v>
      </c>
      <c r="D31" s="3" t="n">
        <v>1.07</v>
      </c>
      <c r="E31" s="3" t="n">
        <v>1.07</v>
      </c>
      <c r="F31" s="3" t="n">
        <v>1.07</v>
      </c>
      <c r="G31" s="3" t="n">
        <v>1.07</v>
      </c>
      <c r="H31" s="3" t="n">
        <v>1.07</v>
      </c>
      <c r="I31" s="3" t="n">
        <v>1.07</v>
      </c>
      <c r="J31" s="3" t="n">
        <v>1.07</v>
      </c>
      <c r="K31" s="3" t="n">
        <v>1.07</v>
      </c>
      <c r="L31" s="3" t="n">
        <v>1.07</v>
      </c>
    </row>
    <row r="32" customFormat="false" ht="15" hidden="false" customHeight="false" outlineLevel="0" collapsed="false">
      <c r="A32" s="0" t="s">
        <v>103</v>
      </c>
      <c r="C32" s="3" t="n">
        <v>1.2</v>
      </c>
      <c r="D32" s="3" t="n">
        <v>1.2</v>
      </c>
      <c r="E32" s="3" t="n">
        <v>1.2</v>
      </c>
      <c r="F32" s="3" t="n">
        <v>1.2</v>
      </c>
      <c r="G32" s="3" t="n">
        <v>1.2</v>
      </c>
      <c r="H32" s="3" t="n">
        <v>1.2</v>
      </c>
      <c r="I32" s="3" t="n">
        <v>1.2</v>
      </c>
      <c r="J32" s="3" t="n">
        <v>1.2</v>
      </c>
      <c r="K32" s="3" t="n">
        <v>1.2</v>
      </c>
      <c r="L32" s="3" t="n">
        <v>1.2</v>
      </c>
    </row>
    <row r="33" customFormat="false" ht="15" hidden="false" customHeight="false" outlineLevel="0" collapsed="false">
      <c r="A33" s="0" t="s">
        <v>104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105</v>
      </c>
      <c r="B34" s="3" t="n">
        <v>8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3.5</v>
      </c>
      <c r="D41" s="3" t="n">
        <v>4</v>
      </c>
      <c r="E41" s="3" t="n">
        <v>4</v>
      </c>
      <c r="F41" s="3" t="n">
        <v>4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5.95</v>
      </c>
      <c r="D42" s="3" t="n">
        <v>6.1</v>
      </c>
      <c r="E42" s="3" t="n">
        <v>6.25</v>
      </c>
      <c r="F42" s="3" t="n">
        <v>6.4</v>
      </c>
      <c r="G42" s="3" t="n">
        <v>6.5</v>
      </c>
      <c r="H42" s="3" t="n">
        <v>6.6</v>
      </c>
      <c r="I42" s="3" t="n">
        <v>6.7</v>
      </c>
      <c r="J42" s="3" t="n">
        <v>6.75</v>
      </c>
      <c r="K42" s="3" t="n">
        <v>6.8</v>
      </c>
      <c r="L42" s="3" t="n">
        <v>6.8</v>
      </c>
    </row>
    <row r="43" customFormat="false" ht="15" hidden="false" customHeight="false" outlineLevel="0" collapsed="false">
      <c r="A43" s="0" t="s">
        <v>100</v>
      </c>
      <c r="C43" s="3" t="n">
        <v>0.026</v>
      </c>
      <c r="D43" s="3" t="n">
        <v>0.026</v>
      </c>
      <c r="E43" s="3" t="n">
        <v>0.026</v>
      </c>
      <c r="F43" s="3" t="n">
        <v>0.026</v>
      </c>
      <c r="G43" s="3" t="n">
        <v>0.026</v>
      </c>
      <c r="H43" s="3" t="n">
        <v>0.026</v>
      </c>
      <c r="I43" s="3" t="n">
        <v>0.026</v>
      </c>
      <c r="J43" s="3" t="n">
        <v>0.026</v>
      </c>
      <c r="K43" s="3" t="n">
        <v>0.026</v>
      </c>
      <c r="L43" s="3" t="n">
        <v>0.026</v>
      </c>
    </row>
    <row r="44" customFormat="false" ht="15" hidden="false" customHeight="false" outlineLevel="0" collapsed="false">
      <c r="A44" s="0" t="s">
        <v>101</v>
      </c>
      <c r="C44" s="3" t="n">
        <v>0.64</v>
      </c>
      <c r="D44" s="3" t="n">
        <v>0.64</v>
      </c>
      <c r="E44" s="3" t="n">
        <v>0.64</v>
      </c>
      <c r="F44" s="3" t="n">
        <v>0.64</v>
      </c>
      <c r="G44" s="3" t="n">
        <v>0.64</v>
      </c>
      <c r="H44" s="3" t="n">
        <v>0.64</v>
      </c>
      <c r="I44" s="3" t="n">
        <v>0.64</v>
      </c>
      <c r="J44" s="3" t="n">
        <v>0.64</v>
      </c>
      <c r="K44" s="3" t="n">
        <v>0.64</v>
      </c>
      <c r="L44" s="3" t="n">
        <v>0.64</v>
      </c>
    </row>
    <row r="45" customFormat="false" ht="15" hidden="false" customHeight="false" outlineLevel="0" collapsed="false">
      <c r="A45" s="0" t="s">
        <v>102</v>
      </c>
      <c r="C45" s="3" t="n">
        <v>1.07</v>
      </c>
      <c r="D45" s="3" t="n">
        <v>1.07</v>
      </c>
      <c r="E45" s="3" t="n">
        <v>1.07</v>
      </c>
      <c r="F45" s="3" t="n">
        <v>1.07</v>
      </c>
      <c r="G45" s="3" t="n">
        <v>1.07</v>
      </c>
      <c r="H45" s="3" t="n">
        <v>1.07</v>
      </c>
      <c r="I45" s="3" t="n">
        <v>1.07</v>
      </c>
      <c r="J45" s="3" t="n">
        <v>1.07</v>
      </c>
      <c r="K45" s="3" t="n">
        <v>1.07</v>
      </c>
      <c r="L45" s="3" t="n">
        <v>1.07</v>
      </c>
    </row>
    <row r="46" customFormat="false" ht="15" hidden="false" customHeight="false" outlineLevel="0" collapsed="false">
      <c r="A46" s="0" t="s">
        <v>103</v>
      </c>
      <c r="C46" s="3" t="n">
        <v>1.25</v>
      </c>
      <c r="D46" s="3" t="n">
        <v>1.25</v>
      </c>
      <c r="E46" s="3" t="n">
        <v>1.25</v>
      </c>
      <c r="F46" s="3" t="n">
        <v>1.25</v>
      </c>
      <c r="G46" s="3" t="n">
        <v>1.25</v>
      </c>
      <c r="H46" s="3" t="n">
        <v>1.2</v>
      </c>
      <c r="I46" s="3" t="n">
        <v>1.2</v>
      </c>
      <c r="J46" s="3" t="n">
        <v>1.2</v>
      </c>
      <c r="K46" s="3" t="n">
        <v>1.2</v>
      </c>
      <c r="L46" s="3" t="n">
        <v>1.2</v>
      </c>
    </row>
    <row r="47" customFormat="false" ht="15" hidden="false" customHeight="false" outlineLevel="0" collapsed="false">
      <c r="A47" s="0" t="s">
        <v>104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105</v>
      </c>
      <c r="B48" s="3" t="n">
        <v>8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16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-1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0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12990.4</v>
      </c>
      <c r="C6" s="0" t="n">
        <f aca="false">B6*(1+C5/100)</f>
        <v>12860.496</v>
      </c>
      <c r="D6" s="0" t="n">
        <f aca="false">C6*(1+D5/100)</f>
        <v>12860.496</v>
      </c>
      <c r="E6" s="0" t="n">
        <f aca="false">D6*(1+E5/100)</f>
        <v>12860.496</v>
      </c>
      <c r="F6" s="0" t="n">
        <f aca="false">E6*(1+F5/100)</f>
        <v>12860.496</v>
      </c>
      <c r="G6" s="0" t="n">
        <f aca="false">F6*(1+G5/100)</f>
        <v>12860.496</v>
      </c>
      <c r="H6" s="0" t="n">
        <f aca="false">G6*(1+H5/100)</f>
        <v>12860.496</v>
      </c>
      <c r="I6" s="0" t="n">
        <f aca="false">H6*(1+I5/100)</f>
        <v>12860.496</v>
      </c>
      <c r="J6" s="0" t="n">
        <f aca="false">I6*(1+J5/100)</f>
        <v>12860.496</v>
      </c>
      <c r="K6" s="0" t="n">
        <f aca="false">J6*(1+K5/100)</f>
        <v>12860.496</v>
      </c>
      <c r="L6" s="0" t="n">
        <f aca="false">K6*(1+L5/100)</f>
        <v>12860.496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5.7</v>
      </c>
      <c r="D7" s="4" t="n">
        <f aca="false">Assumptions!D14</f>
        <v>5.65</v>
      </c>
      <c r="E7" s="4" t="n">
        <f aca="false">Assumptions!E14</f>
        <v>5.6</v>
      </c>
      <c r="F7" s="4" t="n">
        <f aca="false">Assumptions!F14</f>
        <v>5.55</v>
      </c>
      <c r="G7" s="4" t="n">
        <f aca="false">Assumptions!G14</f>
        <v>5.5</v>
      </c>
      <c r="H7" s="4" t="n">
        <f aca="false">Assumptions!H14</f>
        <v>5.45</v>
      </c>
      <c r="I7" s="4" t="n">
        <f aca="false">Assumptions!I14</f>
        <v>5.4</v>
      </c>
      <c r="J7" s="4" t="n">
        <f aca="false">Assumptions!J14</f>
        <v>5.4</v>
      </c>
      <c r="K7" s="4" t="n">
        <f aca="false">Assumptions!K14</f>
        <v>5.4</v>
      </c>
      <c r="L7" s="4" t="n">
        <f aca="false">Assumptions!L14</f>
        <v>5.4</v>
      </c>
    </row>
    <row r="8" customFormat="false" ht="15" hidden="false" customHeight="false" outlineLevel="0" collapsed="false">
      <c r="A8" s="0" t="s">
        <v>44</v>
      </c>
      <c r="C8" s="0" t="n">
        <f aca="false">C6*C7/100</f>
        <v>733.048272</v>
      </c>
      <c r="D8" s="0" t="n">
        <f aca="false">D6*D7/100</f>
        <v>726.618024</v>
      </c>
      <c r="E8" s="0" t="n">
        <f aca="false">E6*E7/100</f>
        <v>720.187776</v>
      </c>
      <c r="F8" s="0" t="n">
        <f aca="false">F6*F7/100</f>
        <v>713.757528</v>
      </c>
      <c r="G8" s="0" t="n">
        <f aca="false">G6*G7/100</f>
        <v>707.32728</v>
      </c>
      <c r="H8" s="0" t="n">
        <f aca="false">H6*H7/100</f>
        <v>700.897032</v>
      </c>
      <c r="I8" s="0" t="n">
        <f aca="false">I6*I7/100</f>
        <v>694.466784</v>
      </c>
      <c r="J8" s="0" t="n">
        <f aca="false">J6*J7/100</f>
        <v>694.466784</v>
      </c>
      <c r="K8" s="0" t="n">
        <f aca="false">K6*K7/100</f>
        <v>694.466784</v>
      </c>
      <c r="L8" s="0" t="n">
        <f aca="false">L6*L7/100</f>
        <v>694.466784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0.026</v>
      </c>
      <c r="D9" s="4" t="n">
        <f aca="false">Assumptions!D15</f>
        <v>0.026</v>
      </c>
      <c r="E9" s="4" t="n">
        <f aca="false">Assumptions!E15</f>
        <v>0.026</v>
      </c>
      <c r="F9" s="4" t="n">
        <f aca="false">Assumptions!F15</f>
        <v>0.026</v>
      </c>
      <c r="G9" s="4" t="n">
        <f aca="false">Assumptions!G15</f>
        <v>0.026</v>
      </c>
      <c r="H9" s="4" t="n">
        <f aca="false">Assumptions!H15</f>
        <v>0.026</v>
      </c>
      <c r="I9" s="4" t="n">
        <f aca="false">Assumptions!I15</f>
        <v>0.026</v>
      </c>
      <c r="J9" s="4" t="n">
        <f aca="false">Assumptions!J15</f>
        <v>0.026</v>
      </c>
      <c r="K9" s="4" t="n">
        <f aca="false">Assumptions!K15</f>
        <v>0.026</v>
      </c>
      <c r="L9" s="4" t="n">
        <f aca="false">Assumptions!L15</f>
        <v>0.026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-3.34372896</v>
      </c>
      <c r="D10" s="0" t="n">
        <f aca="false">-D6*D9/100</f>
        <v>-3.34372896</v>
      </c>
      <c r="E10" s="0" t="n">
        <f aca="false">-E6*E9/100</f>
        <v>-3.34372896</v>
      </c>
      <c r="F10" s="0" t="n">
        <f aca="false">-F6*F9/100</f>
        <v>-3.34372896</v>
      </c>
      <c r="G10" s="0" t="n">
        <f aca="false">-G6*G9/100</f>
        <v>-3.34372896</v>
      </c>
      <c r="H10" s="0" t="n">
        <f aca="false">-H6*H9/100</f>
        <v>-3.34372896</v>
      </c>
      <c r="I10" s="0" t="n">
        <f aca="false">-I6*I9/100</f>
        <v>-3.34372896</v>
      </c>
      <c r="J10" s="0" t="n">
        <f aca="false">-J6*J9/100</f>
        <v>-3.34372896</v>
      </c>
      <c r="K10" s="0" t="n">
        <f aca="false">-K6*K9/100</f>
        <v>-3.34372896</v>
      </c>
      <c r="L10" s="0" t="n">
        <f aca="false">-L6*L9/100</f>
        <v>-3.34372896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644.82526944</v>
      </c>
      <c r="D11" s="0" t="n">
        <f aca="false">D8+D10+D24</f>
        <v>638.39502144</v>
      </c>
      <c r="E11" s="0" t="n">
        <f aca="false">E8+E10+E24</f>
        <v>631.96477344</v>
      </c>
      <c r="F11" s="0" t="n">
        <f aca="false">F8+F10+F24</f>
        <v>625.53452544</v>
      </c>
      <c r="G11" s="0" t="n">
        <f aca="false">G8+G10+G24</f>
        <v>619.10427744</v>
      </c>
      <c r="H11" s="0" t="n">
        <f aca="false">H8+H10+H24</f>
        <v>612.67402944</v>
      </c>
      <c r="I11" s="0" t="n">
        <f aca="false">I8+I10+I24</f>
        <v>606.24378144</v>
      </c>
      <c r="J11" s="0" t="n">
        <f aca="false">J8+J10+J24</f>
        <v>606.24378144</v>
      </c>
      <c r="K11" s="0" t="n">
        <f aca="false">K8+K10+K24</f>
        <v>606.24378144</v>
      </c>
      <c r="L11" s="0" t="n">
        <f aca="false">L8+L10+L24</f>
        <v>606.24378144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-138.8933568</v>
      </c>
      <c r="D12" s="4" t="n">
        <f aca="false">-D6*Assumptions!D17/100</f>
        <v>-138.8933568</v>
      </c>
      <c r="E12" s="4" t="n">
        <f aca="false">-E6*Assumptions!E17/100</f>
        <v>-138.8933568</v>
      </c>
      <c r="F12" s="4" t="n">
        <f aca="false">-F6*Assumptions!F17/100</f>
        <v>-138.8933568</v>
      </c>
      <c r="G12" s="4" t="n">
        <f aca="false">-G6*Assumptions!G17/100</f>
        <v>-138.8933568</v>
      </c>
      <c r="H12" s="4" t="n">
        <f aca="false">-H6*Assumptions!H17/100</f>
        <v>-138.8933568</v>
      </c>
      <c r="I12" s="4" t="n">
        <f aca="false">-I6*Assumptions!I17/100</f>
        <v>-138.8933568</v>
      </c>
      <c r="J12" s="4" t="n">
        <f aca="false">-J6*Assumptions!J17/100</f>
        <v>-138.8933568</v>
      </c>
      <c r="K12" s="4" t="n">
        <f aca="false">-K6*Assumptions!K17/100</f>
        <v>-138.8933568</v>
      </c>
      <c r="L12" s="4" t="n">
        <f aca="false">-L6*Assumptions!L17/100</f>
        <v>-138.8933568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505.93191264</v>
      </c>
      <c r="D13" s="0" t="n">
        <f aca="false">D11+D12</f>
        <v>499.50166464</v>
      </c>
      <c r="E13" s="0" t="n">
        <f aca="false">E11+E12</f>
        <v>493.07141664</v>
      </c>
      <c r="F13" s="0" t="n">
        <f aca="false">F11+F12</f>
        <v>486.64116864</v>
      </c>
      <c r="G13" s="0" t="n">
        <f aca="false">G11+G12</f>
        <v>480.21092064</v>
      </c>
      <c r="H13" s="0" t="n">
        <f aca="false">H11+H12</f>
        <v>473.78067264</v>
      </c>
      <c r="I13" s="0" t="n">
        <f aca="false">I11+I12</f>
        <v>467.35042464</v>
      </c>
      <c r="J13" s="0" t="n">
        <f aca="false">J11+J12</f>
        <v>467.35042464</v>
      </c>
      <c r="K13" s="0" t="n">
        <f aca="false">K11+K12</f>
        <v>467.35042464</v>
      </c>
      <c r="L13" s="0" t="n">
        <f aca="false">L11+L12</f>
        <v>467.35042464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389.5675727328</v>
      </c>
      <c r="D15" s="0" t="n">
        <f aca="false">D13-MAX(0,D13)*D14/100</f>
        <v>384.6162817728</v>
      </c>
      <c r="E15" s="0" t="n">
        <f aca="false">E13-MAX(0,E13)*E14/100</f>
        <v>379.6649908128</v>
      </c>
      <c r="F15" s="0" t="n">
        <f aca="false">F13-MAX(0,F13)*F14/100</f>
        <v>374.7136998528</v>
      </c>
      <c r="G15" s="0" t="n">
        <f aca="false">G13-MAX(0,G13)*G14/100</f>
        <v>369.7624088928</v>
      </c>
      <c r="H15" s="0" t="n">
        <f aca="false">H13-MAX(0,H13)*H14/100</f>
        <v>364.8111179328</v>
      </c>
      <c r="I15" s="0" t="n">
        <f aca="false">I13-MAX(0,I13)*I14/100</f>
        <v>359.8598269728</v>
      </c>
      <c r="J15" s="0" t="n">
        <f aca="false">J13-MAX(0,J13)*J14/100</f>
        <v>359.8598269728</v>
      </c>
      <c r="K15" s="0" t="n">
        <f aca="false">K13-MAX(0,K13)*K14/100</f>
        <v>359.8598269728</v>
      </c>
      <c r="L15" s="0" t="n">
        <f aca="false">L13-MAX(0,L13)*L14/100</f>
        <v>359.8598269728</v>
      </c>
    </row>
    <row r="16" customFormat="false" ht="15" hidden="false" customHeight="false" outlineLevel="0" collapsed="false">
      <c r="A16" s="0" t="s">
        <v>120</v>
      </c>
      <c r="C16" s="0" t="n">
        <f aca="false">-C12</f>
        <v>138.8933568</v>
      </c>
      <c r="D16" s="0" t="n">
        <f aca="false">-D12</f>
        <v>138.8933568</v>
      </c>
      <c r="E16" s="0" t="n">
        <f aca="false">-E12</f>
        <v>138.8933568</v>
      </c>
      <c r="F16" s="0" t="n">
        <f aca="false">-F12</f>
        <v>138.8933568</v>
      </c>
      <c r="G16" s="0" t="n">
        <f aca="false">-G12</f>
        <v>138.8933568</v>
      </c>
      <c r="H16" s="0" t="n">
        <f aca="false">-H12</f>
        <v>138.8933568</v>
      </c>
      <c r="I16" s="0" t="n">
        <f aca="false">-I12</f>
        <v>138.8933568</v>
      </c>
      <c r="J16" s="0" t="n">
        <f aca="false">-J12</f>
        <v>138.8933568</v>
      </c>
      <c r="K16" s="0" t="n">
        <f aca="false">-K12</f>
        <v>138.8933568</v>
      </c>
      <c r="L16" s="0" t="n">
        <f aca="false">-L12</f>
        <v>138.8933568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-147.895704</v>
      </c>
      <c r="D17" s="4" t="n">
        <f aca="false">-D6*Assumptions!D18/100</f>
        <v>-147.895704</v>
      </c>
      <c r="E17" s="4" t="n">
        <f aca="false">-E6*Assumptions!E18/100</f>
        <v>-147.895704</v>
      </c>
      <c r="F17" s="4" t="n">
        <f aca="false">-F6*Assumptions!F18/100</f>
        <v>-147.895704</v>
      </c>
      <c r="G17" s="4" t="n">
        <f aca="false">-G6*Assumptions!G18/100</f>
        <v>-147.895704</v>
      </c>
      <c r="H17" s="4" t="n">
        <f aca="false">-H6*Assumptions!H18/100</f>
        <v>-147.895704</v>
      </c>
      <c r="I17" s="4" t="n">
        <f aca="false">-I6*Assumptions!I18/100</f>
        <v>-147.895704</v>
      </c>
      <c r="J17" s="4" t="n">
        <f aca="false">-J6*Assumptions!J18/100</f>
        <v>-147.895704</v>
      </c>
      <c r="K17" s="4" t="n">
        <f aca="false">-K6*Assumptions!K18/100</f>
        <v>-147.895704</v>
      </c>
      <c r="L17" s="4" t="n">
        <f aca="false">-L6*Assumptions!L18/100</f>
        <v>-147.895704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380.5652255328</v>
      </c>
      <c r="D19" s="0" t="n">
        <f aca="false">D15+D16+D17+D18</f>
        <v>375.6139345728</v>
      </c>
      <c r="E19" s="0" t="n">
        <f aca="false">E15+E16+E17+E18</f>
        <v>370.6626436128</v>
      </c>
      <c r="F19" s="0" t="n">
        <f aca="false">F15+F16+F17+F18</f>
        <v>365.7113526528</v>
      </c>
      <c r="G19" s="0" t="n">
        <f aca="false">G15+G16+G17+G18</f>
        <v>360.7600616928</v>
      </c>
      <c r="H19" s="0" t="n">
        <f aca="false">H15+H16+H17+H18</f>
        <v>355.8087707328</v>
      </c>
      <c r="I19" s="0" t="n">
        <f aca="false">I15+I16+I17+I18</f>
        <v>350.8574797728</v>
      </c>
      <c r="J19" s="0" t="n">
        <f aca="false">J15+J16+J17+J18</f>
        <v>350.8574797728</v>
      </c>
      <c r="K19" s="0" t="n">
        <f aca="false">K15+K16+K17+K18</f>
        <v>350.8574797728</v>
      </c>
      <c r="L19" s="0" t="n">
        <f aca="false">L15+L16+L17+L18</f>
        <v>350.8574797728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352.375208826667</v>
      </c>
      <c r="D21" s="0" t="n">
        <f aca="false">D19*D20</f>
        <v>322.028407555556</v>
      </c>
      <c r="E21" s="0" t="n">
        <f aca="false">E19*E20</f>
        <v>294.243957041609</v>
      </c>
      <c r="F21" s="0" t="n">
        <f aca="false">F19*F20</f>
        <v>268.808761706379</v>
      </c>
      <c r="G21" s="0" t="n">
        <f aca="false">G19*G20</f>
        <v>245.52723614898</v>
      </c>
      <c r="H21" s="0" t="n">
        <f aca="false">H19*H20</f>
        <v>224.219880294425</v>
      </c>
      <c r="I21" s="0" t="n">
        <f aca="false">I19*I20</f>
        <v>204.721969553307</v>
      </c>
      <c r="J21" s="0" t="n">
        <f aca="false">J19*J20</f>
        <v>189.557379216025</v>
      </c>
      <c r="K21" s="0" t="n">
        <f aca="false">K19*K20</f>
        <v>175.51609186669</v>
      </c>
      <c r="L21" s="0" t="n">
        <f aca="false">L19*L20</f>
        <v>162.514899876565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0.66</v>
      </c>
      <c r="D23" s="4" t="n">
        <f aca="false">Assumptions!D16</f>
        <v>0.66</v>
      </c>
      <c r="E23" s="4" t="n">
        <f aca="false">Assumptions!E16</f>
        <v>0.66</v>
      </c>
      <c r="F23" s="4" t="n">
        <f aca="false">Assumptions!F16</f>
        <v>0.66</v>
      </c>
      <c r="G23" s="4" t="n">
        <f aca="false">Assumptions!G16</f>
        <v>0.66</v>
      </c>
      <c r="H23" s="4" t="n">
        <f aca="false">Assumptions!H16</f>
        <v>0.66</v>
      </c>
      <c r="I23" s="4" t="n">
        <f aca="false">Assumptions!I16</f>
        <v>0.66</v>
      </c>
      <c r="J23" s="4" t="n">
        <f aca="false">Assumptions!J16</f>
        <v>0.66</v>
      </c>
      <c r="K23" s="4" t="n">
        <f aca="false">Assumptions!K16</f>
        <v>0.66</v>
      </c>
      <c r="L23" s="4" t="n">
        <f aca="false">Assumptions!L16</f>
        <v>0.66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-84.8792736</v>
      </c>
      <c r="D24" s="0" t="n">
        <f aca="false">-D6*D23/100</f>
        <v>-84.8792736</v>
      </c>
      <c r="E24" s="0" t="n">
        <f aca="false">-E6*E23/100</f>
        <v>-84.8792736</v>
      </c>
      <c r="F24" s="0" t="n">
        <f aca="false">-F6*F23/100</f>
        <v>-84.8792736</v>
      </c>
      <c r="G24" s="0" t="n">
        <f aca="false">-G6*G23/100</f>
        <v>-84.8792736</v>
      </c>
      <c r="H24" s="0" t="n">
        <f aca="false">-H6*H23/100</f>
        <v>-84.8792736</v>
      </c>
      <c r="I24" s="0" t="n">
        <f aca="false">-I6*I23/100</f>
        <v>-84.8792736</v>
      </c>
      <c r="J24" s="0" t="n">
        <f aca="false">-J6*J23/100</f>
        <v>-84.8792736</v>
      </c>
      <c r="K24" s="0" t="n">
        <f aca="false">-K6*K23/100</f>
        <v>-84.8792736</v>
      </c>
      <c r="L24" s="0" t="n">
        <f aca="false">-L6*L23/100</f>
        <v>-84.8792736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2439.5137920862</v>
      </c>
    </row>
    <row r="31" customFormat="false" ht="15" hidden="false" customHeight="false" outlineLevel="0" collapsed="false">
      <c r="A31" s="0" t="s">
        <v>129</v>
      </c>
      <c r="B31" s="0" t="n">
        <f aca="false">L19</f>
        <v>350.8574797728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5062.3722081504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4210.2897572736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4210.2897572736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1950.17879851878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4389.69259060498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4182.39259060498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4881.98037890157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-0.240158695890806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22.4366934975978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22.3468773570585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4934.25488672772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2531.1861040752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2629.12821715219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</v>
      </c>
      <c r="D5" s="4" t="n">
        <f aca="false">Assumptions!D27</f>
        <v>2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12990.4</v>
      </c>
      <c r="C6" s="0" t="n">
        <f aca="false">B6*(1+C5/100)</f>
        <v>13250.208</v>
      </c>
      <c r="D6" s="0" t="n">
        <f aca="false">C6*(1+D5/100)</f>
        <v>13515.21216</v>
      </c>
      <c r="E6" s="0" t="n">
        <f aca="false">D6*(1+E5/100)</f>
        <v>13785.5164032</v>
      </c>
      <c r="F6" s="0" t="n">
        <f aca="false">E6*(1+F5/100)</f>
        <v>14061.226731264</v>
      </c>
      <c r="G6" s="0" t="n">
        <f aca="false">F6*(1+G5/100)</f>
        <v>14342.4512658893</v>
      </c>
      <c r="H6" s="0" t="n">
        <f aca="false">G6*(1+H5/100)</f>
        <v>14629.3002912071</v>
      </c>
      <c r="I6" s="0" t="n">
        <f aca="false">H6*(1+I5/100)</f>
        <v>14921.8862970312</v>
      </c>
      <c r="J6" s="0" t="n">
        <f aca="false">I6*(1+J5/100)</f>
        <v>15220.3240229718</v>
      </c>
      <c r="K6" s="0" t="n">
        <f aca="false">J6*(1+K5/100)</f>
        <v>15524.7305034313</v>
      </c>
      <c r="L6" s="0" t="n">
        <f aca="false">K6*(1+L5/100)</f>
        <v>15835.2251134999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5.9</v>
      </c>
      <c r="D7" s="4" t="n">
        <f aca="false">Assumptions!D28</f>
        <v>5.95</v>
      </c>
      <c r="E7" s="4" t="n">
        <f aca="false">Assumptions!E28</f>
        <v>6</v>
      </c>
      <c r="F7" s="4" t="n">
        <f aca="false">Assumptions!F28</f>
        <v>6.05</v>
      </c>
      <c r="G7" s="4" t="n">
        <f aca="false">Assumptions!G28</f>
        <v>6.1</v>
      </c>
      <c r="H7" s="4" t="n">
        <f aca="false">Assumptions!H28</f>
        <v>6.15</v>
      </c>
      <c r="I7" s="4" t="n">
        <f aca="false">Assumptions!I28</f>
        <v>6.2</v>
      </c>
      <c r="J7" s="4" t="n">
        <f aca="false">Assumptions!J28</f>
        <v>6.2</v>
      </c>
      <c r="K7" s="4" t="n">
        <f aca="false">Assumptions!K28</f>
        <v>6.2</v>
      </c>
      <c r="L7" s="4" t="n">
        <f aca="false">Assumptions!L28</f>
        <v>6.2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781.762272</v>
      </c>
      <c r="D8" s="0" t="n">
        <f aca="false">D6*D7/100</f>
        <v>804.15512352</v>
      </c>
      <c r="E8" s="0" t="n">
        <f aca="false">E6*E7/100</f>
        <v>827.130984192</v>
      </c>
      <c r="F8" s="0" t="n">
        <f aca="false">F6*F7/100</f>
        <v>850.704217241472</v>
      </c>
      <c r="G8" s="0" t="n">
        <f aca="false">G6*G7/100</f>
        <v>874.889527219246</v>
      </c>
      <c r="H8" s="0" t="n">
        <f aca="false">H6*H7/100</f>
        <v>899.701967909235</v>
      </c>
      <c r="I8" s="0" t="n">
        <f aca="false">I6*I7/100</f>
        <v>925.156950415935</v>
      </c>
      <c r="J8" s="0" t="n">
        <f aca="false">J6*J7/100</f>
        <v>943.660089424254</v>
      </c>
      <c r="K8" s="0" t="n">
        <f aca="false">K6*K7/100</f>
        <v>962.533291212739</v>
      </c>
      <c r="L8" s="0" t="n">
        <f aca="false">L6*L7/100</f>
        <v>981.783957036994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0.026</v>
      </c>
      <c r="D9" s="4" t="n">
        <f aca="false">Assumptions!D29</f>
        <v>0.026</v>
      </c>
      <c r="E9" s="4" t="n">
        <f aca="false">Assumptions!E29</f>
        <v>0.026</v>
      </c>
      <c r="F9" s="4" t="n">
        <f aca="false">Assumptions!F29</f>
        <v>0.026</v>
      </c>
      <c r="G9" s="4" t="n">
        <f aca="false">Assumptions!G29</f>
        <v>0.026</v>
      </c>
      <c r="H9" s="4" t="n">
        <f aca="false">Assumptions!H29</f>
        <v>0.026</v>
      </c>
      <c r="I9" s="4" t="n">
        <f aca="false">Assumptions!I29</f>
        <v>0.026</v>
      </c>
      <c r="J9" s="4" t="n">
        <f aca="false">Assumptions!J29</f>
        <v>0.026</v>
      </c>
      <c r="K9" s="4" t="n">
        <f aca="false">Assumptions!K29</f>
        <v>0.026</v>
      </c>
      <c r="L9" s="4" t="n">
        <f aca="false">Assumptions!L29</f>
        <v>0.026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-3.44505408</v>
      </c>
      <c r="D10" s="0" t="n">
        <f aca="false">-D6*D9/100</f>
        <v>-3.5139551616</v>
      </c>
      <c r="E10" s="0" t="n">
        <f aca="false">-E6*E9/100</f>
        <v>-3.584234264832</v>
      </c>
      <c r="F10" s="0" t="n">
        <f aca="false">-F6*F9/100</f>
        <v>-3.65591895012864</v>
      </c>
      <c r="G10" s="0" t="n">
        <f aca="false">-G6*G9/100</f>
        <v>-3.72903732913121</v>
      </c>
      <c r="H10" s="0" t="n">
        <f aca="false">-H6*H9/100</f>
        <v>-3.80361807571384</v>
      </c>
      <c r="I10" s="0" t="n">
        <f aca="false">-I6*I9/100</f>
        <v>-3.87969043722811</v>
      </c>
      <c r="J10" s="0" t="n">
        <f aca="false">-J6*J9/100</f>
        <v>-3.95728424597268</v>
      </c>
      <c r="K10" s="0" t="n">
        <f aca="false">-K6*K9/100</f>
        <v>-4.03642993089213</v>
      </c>
      <c r="L10" s="0" t="n">
        <f aca="false">-L6*L9/100</f>
        <v>-4.11715852950997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693.51588672</v>
      </c>
      <c r="D11" s="0" t="n">
        <f aca="false">D8+D10+D24</f>
        <v>714.1438105344</v>
      </c>
      <c r="E11" s="0" t="n">
        <f aca="false">E8+E10+E24</f>
        <v>735.319444946688</v>
      </c>
      <c r="F11" s="0" t="n">
        <f aca="false">F8+F10+F24</f>
        <v>757.056447211254</v>
      </c>
      <c r="G11" s="0" t="n">
        <f aca="false">G8+G10+G24</f>
        <v>779.368801788424</v>
      </c>
      <c r="H11" s="0" t="n">
        <f aca="false">H8+H10+H24</f>
        <v>802.270827969796</v>
      </c>
      <c r="I11" s="0" t="n">
        <f aca="false">I8+I10+I24</f>
        <v>825.777187677707</v>
      </c>
      <c r="J11" s="0" t="n">
        <f aca="false">J8+J10+J24</f>
        <v>842.292731431261</v>
      </c>
      <c r="K11" s="0" t="n">
        <f aca="false">K8+K10+K24</f>
        <v>859.138586059887</v>
      </c>
      <c r="L11" s="0" t="n">
        <f aca="false">L8+L10+L24</f>
        <v>876.321357781084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-141.7772256</v>
      </c>
      <c r="D12" s="4" t="n">
        <f aca="false">-D6*Assumptions!D31/100</f>
        <v>-144.612770112</v>
      </c>
      <c r="E12" s="4" t="n">
        <f aca="false">-E6*Assumptions!E31/100</f>
        <v>-147.50502551424</v>
      </c>
      <c r="F12" s="4" t="n">
        <f aca="false">-F6*Assumptions!F31/100</f>
        <v>-150.455126024525</v>
      </c>
      <c r="G12" s="4" t="n">
        <f aca="false">-G6*Assumptions!G31/100</f>
        <v>-153.464228545015</v>
      </c>
      <c r="H12" s="4" t="n">
        <f aca="false">-H6*Assumptions!H31/100</f>
        <v>-156.533513115916</v>
      </c>
      <c r="I12" s="4" t="n">
        <f aca="false">-I6*Assumptions!I31/100</f>
        <v>-159.664183378234</v>
      </c>
      <c r="J12" s="4" t="n">
        <f aca="false">-J6*Assumptions!J31/100</f>
        <v>-162.857467045799</v>
      </c>
      <c r="K12" s="4" t="n">
        <f aca="false">-K6*Assumptions!K31/100</f>
        <v>-166.114616386715</v>
      </c>
      <c r="L12" s="4" t="n">
        <f aca="false">-L6*Assumptions!L31/100</f>
        <v>-169.436908714449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551.73866112</v>
      </c>
      <c r="D13" s="0" t="n">
        <f aca="false">D11+D12</f>
        <v>569.5310404224</v>
      </c>
      <c r="E13" s="0" t="n">
        <f aca="false">E11+E12</f>
        <v>587.814419432448</v>
      </c>
      <c r="F13" s="0" t="n">
        <f aca="false">F11+F12</f>
        <v>606.601321186729</v>
      </c>
      <c r="G13" s="0" t="n">
        <f aca="false">G11+G12</f>
        <v>625.904573243408</v>
      </c>
      <c r="H13" s="0" t="n">
        <f aca="false">H11+H12</f>
        <v>645.73731485388</v>
      </c>
      <c r="I13" s="0" t="n">
        <f aca="false">I11+I12</f>
        <v>666.113004299473</v>
      </c>
      <c r="J13" s="0" t="n">
        <f aca="false">J11+J12</f>
        <v>679.435264385463</v>
      </c>
      <c r="K13" s="0" t="n">
        <f aca="false">K11+K12</f>
        <v>693.023969673172</v>
      </c>
      <c r="L13" s="0" t="n">
        <f aca="false">L11+L12</f>
        <v>706.884449066635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424.8387690624</v>
      </c>
      <c r="D15" s="0" t="n">
        <f aca="false">D13-MAX(0,D13)*D14/100</f>
        <v>438.538901125248</v>
      </c>
      <c r="E15" s="0" t="n">
        <f aca="false">E13-MAX(0,E13)*E14/100</f>
        <v>452.617102962985</v>
      </c>
      <c r="F15" s="0" t="n">
        <f aca="false">F13-MAX(0,F13)*F14/100</f>
        <v>467.083017313781</v>
      </c>
      <c r="G15" s="0" t="n">
        <f aca="false">G13-MAX(0,G13)*G14/100</f>
        <v>481.946521397424</v>
      </c>
      <c r="H15" s="0" t="n">
        <f aca="false">H13-MAX(0,H13)*H14/100</f>
        <v>497.217732437488</v>
      </c>
      <c r="I15" s="0" t="n">
        <f aca="false">I13-MAX(0,I13)*I14/100</f>
        <v>512.907013310594</v>
      </c>
      <c r="J15" s="0" t="n">
        <f aca="false">J13-MAX(0,J13)*J14/100</f>
        <v>523.165153576806</v>
      </c>
      <c r="K15" s="0" t="n">
        <f aca="false">K13-MAX(0,K13)*K14/100</f>
        <v>533.628456648342</v>
      </c>
      <c r="L15" s="0" t="n">
        <f aca="false">L13-MAX(0,L13)*L14/100</f>
        <v>544.301025781309</v>
      </c>
    </row>
    <row r="16" customFormat="false" ht="15" hidden="false" customHeight="false" outlineLevel="0" collapsed="false">
      <c r="A16" s="0" t="s">
        <v>120</v>
      </c>
      <c r="C16" s="0" t="n">
        <f aca="false">-C12</f>
        <v>141.7772256</v>
      </c>
      <c r="D16" s="0" t="n">
        <f aca="false">-D12</f>
        <v>144.612770112</v>
      </c>
      <c r="E16" s="0" t="n">
        <f aca="false">-E12</f>
        <v>147.50502551424</v>
      </c>
      <c r="F16" s="0" t="n">
        <f aca="false">-F12</f>
        <v>150.455126024525</v>
      </c>
      <c r="G16" s="0" t="n">
        <f aca="false">-G12</f>
        <v>153.464228545015</v>
      </c>
      <c r="H16" s="0" t="n">
        <f aca="false">-H12</f>
        <v>156.533513115916</v>
      </c>
      <c r="I16" s="0" t="n">
        <f aca="false">-I12</f>
        <v>159.664183378234</v>
      </c>
      <c r="J16" s="0" t="n">
        <f aca="false">-J12</f>
        <v>162.857467045799</v>
      </c>
      <c r="K16" s="0" t="n">
        <f aca="false">-K12</f>
        <v>166.114616386715</v>
      </c>
      <c r="L16" s="0" t="n">
        <f aca="false">-L12</f>
        <v>169.436908714449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-159.002496</v>
      </c>
      <c r="D17" s="4" t="n">
        <f aca="false">-D6*Assumptions!D32/100</f>
        <v>-162.18254592</v>
      </c>
      <c r="E17" s="4" t="n">
        <f aca="false">-E6*Assumptions!E32/100</f>
        <v>-165.4261968384</v>
      </c>
      <c r="F17" s="4" t="n">
        <f aca="false">-F6*Assumptions!F32/100</f>
        <v>-168.734720775168</v>
      </c>
      <c r="G17" s="4" t="n">
        <f aca="false">-G6*Assumptions!G32/100</f>
        <v>-172.109415190671</v>
      </c>
      <c r="H17" s="4" t="n">
        <f aca="false">-H6*Assumptions!H32/100</f>
        <v>-175.551603494485</v>
      </c>
      <c r="I17" s="4" t="n">
        <f aca="false">-I6*Assumptions!I32/100</f>
        <v>-179.062635564375</v>
      </c>
      <c r="J17" s="4" t="n">
        <f aca="false">-J6*Assumptions!J32/100</f>
        <v>-182.643888275662</v>
      </c>
      <c r="K17" s="4" t="n">
        <f aca="false">-K6*Assumptions!K32/100</f>
        <v>-186.296766041175</v>
      </c>
      <c r="L17" s="4" t="n">
        <f aca="false">-L6*Assumptions!L32/100</f>
        <v>-190.022701361999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407.6134986624</v>
      </c>
      <c r="D19" s="0" t="n">
        <f aca="false">D15+D16+D17+D18</f>
        <v>420.969125317248</v>
      </c>
      <c r="E19" s="0" t="n">
        <f aca="false">E15+E16+E17+E18</f>
        <v>434.695931638825</v>
      </c>
      <c r="F19" s="0" t="n">
        <f aca="false">F15+F16+F17+F18</f>
        <v>448.803422563138</v>
      </c>
      <c r="G19" s="0" t="n">
        <f aca="false">G15+G16+G17+G18</f>
        <v>463.301334751768</v>
      </c>
      <c r="H19" s="0" t="n">
        <f aca="false">H15+H16+H17+H18</f>
        <v>478.199642058918</v>
      </c>
      <c r="I19" s="0" t="n">
        <f aca="false">I15+I16+I17+I18</f>
        <v>493.508561124454</v>
      </c>
      <c r="J19" s="0" t="n">
        <f aca="false">J15+J16+J17+J18</f>
        <v>503.378732346943</v>
      </c>
      <c r="K19" s="0" t="n">
        <f aca="false">K15+K16+K17+K18</f>
        <v>513.446306993882</v>
      </c>
      <c r="L19" s="0" t="n">
        <f aca="false">L15+L16+L17+L18</f>
        <v>523.715233133759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377.419906168889</v>
      </c>
      <c r="D21" s="0" t="n">
        <f aca="false">D19*D20</f>
        <v>360.913173282963</v>
      </c>
      <c r="E21" s="0" t="n">
        <f aca="false">E19*E20</f>
        <v>345.075645575199</v>
      </c>
      <c r="F21" s="0" t="n">
        <f aca="false">F19*F20</f>
        <v>329.883913621128</v>
      </c>
      <c r="G21" s="0" t="n">
        <f aca="false">G19*G20</f>
        <v>315.315103595363</v>
      </c>
      <c r="H21" s="0" t="n">
        <f aca="false">H19*H20</f>
        <v>301.346890011903</v>
      </c>
      <c r="I21" s="0" t="n">
        <f aca="false">I19*I20</f>
        <v>287.957505395754</v>
      </c>
      <c r="J21" s="0" t="n">
        <f aca="false">J19*J20</f>
        <v>271.959866207101</v>
      </c>
      <c r="K21" s="0" t="n">
        <f aca="false">K19*K20</f>
        <v>256.850984751151</v>
      </c>
      <c r="L21" s="0" t="n">
        <f aca="false">L19*L20</f>
        <v>242.58148559831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0.64</v>
      </c>
      <c r="D23" s="4" t="n">
        <f aca="false">Assumptions!D30</f>
        <v>0.64</v>
      </c>
      <c r="E23" s="4" t="n">
        <f aca="false">Assumptions!E30</f>
        <v>0.64</v>
      </c>
      <c r="F23" s="4" t="n">
        <f aca="false">Assumptions!F30</f>
        <v>0.64</v>
      </c>
      <c r="G23" s="4" t="n">
        <f aca="false">Assumptions!G30</f>
        <v>0.64</v>
      </c>
      <c r="H23" s="4" t="n">
        <f aca="false">Assumptions!H30</f>
        <v>0.64</v>
      </c>
      <c r="I23" s="4" t="n">
        <f aca="false">Assumptions!I30</f>
        <v>0.64</v>
      </c>
      <c r="J23" s="4" t="n">
        <f aca="false">Assumptions!J30</f>
        <v>0.64</v>
      </c>
      <c r="K23" s="4" t="n">
        <f aca="false">Assumptions!K30</f>
        <v>0.64</v>
      </c>
      <c r="L23" s="4" t="n">
        <f aca="false">Assumptions!L30</f>
        <v>0.64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-84.8013312</v>
      </c>
      <c r="D24" s="0" t="n">
        <f aca="false">-D6*D23/100</f>
        <v>-86.497357824</v>
      </c>
      <c r="E24" s="0" t="n">
        <f aca="false">-E6*E23/100</f>
        <v>-88.22730498048</v>
      </c>
      <c r="F24" s="0" t="n">
        <f aca="false">-F6*F23/100</f>
        <v>-89.9918510800896</v>
      </c>
      <c r="G24" s="0" t="n">
        <f aca="false">-G6*G23/100</f>
        <v>-91.7916881016914</v>
      </c>
      <c r="H24" s="0" t="n">
        <f aca="false">-H6*H23/100</f>
        <v>-93.6275218637252</v>
      </c>
      <c r="I24" s="0" t="n">
        <f aca="false">-I6*I23/100</f>
        <v>-95.5000723009998</v>
      </c>
      <c r="J24" s="0" t="n">
        <f aca="false">-J6*J23/100</f>
        <v>-97.4100737470197</v>
      </c>
      <c r="K24" s="0" t="n">
        <f aca="false">-K6*K23/100</f>
        <v>-99.3582752219601</v>
      </c>
      <c r="L24" s="0" t="n">
        <f aca="false">-L6*L23/100</f>
        <v>-101.345440726399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3089.30447420776</v>
      </c>
    </row>
    <row r="31" customFormat="false" ht="15" hidden="false" customHeight="false" outlineLevel="0" collapsed="false">
      <c r="A31" s="0" t="s">
        <v>129</v>
      </c>
      <c r="B31" s="0" t="n">
        <f aca="false">L19</f>
        <v>523.715233133759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8903.15896327391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7855.72849700639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7855.72849700639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3638.72228397464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6728.02675818241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6520.7267581824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7611.44713223113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0.184661032253872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24.9978706552173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32.4196973447827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7678.46892282293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4109.1502907418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3602.40012498636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3.5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12990.4</v>
      </c>
      <c r="C6" s="0" t="n">
        <f aca="false">B6*(1+C5/100)</f>
        <v>13445.064</v>
      </c>
      <c r="D6" s="0" t="n">
        <f aca="false">C6*(1+D5/100)</f>
        <v>13982.86656</v>
      </c>
      <c r="E6" s="0" t="n">
        <f aca="false">D6*(1+E5/100)</f>
        <v>14542.1812224</v>
      </c>
      <c r="F6" s="0" t="n">
        <f aca="false">E6*(1+F5/100)</f>
        <v>15123.868471296</v>
      </c>
      <c r="G6" s="0" t="n">
        <f aca="false">F6*(1+G5/100)</f>
        <v>15728.8232101478</v>
      </c>
      <c r="H6" s="0" t="n">
        <f aca="false">G6*(1+H5/100)</f>
        <v>16279.332022503</v>
      </c>
      <c r="I6" s="0" t="n">
        <f aca="false">H6*(1+I5/100)</f>
        <v>16849.1086432906</v>
      </c>
      <c r="J6" s="0" t="n">
        <f aca="false">I6*(1+J5/100)</f>
        <v>17354.5819025893</v>
      </c>
      <c r="K6" s="0" t="n">
        <f aca="false">J6*(1+K5/100)</f>
        <v>17875.219359667</v>
      </c>
      <c r="L6" s="0" t="n">
        <f aca="false">K6*(1+L5/100)</f>
        <v>18411.475940457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5.95</v>
      </c>
      <c r="D7" s="4" t="n">
        <f aca="false">Assumptions!D42</f>
        <v>6.1</v>
      </c>
      <c r="E7" s="4" t="n">
        <f aca="false">Assumptions!E42</f>
        <v>6.25</v>
      </c>
      <c r="F7" s="4" t="n">
        <f aca="false">Assumptions!F42</f>
        <v>6.4</v>
      </c>
      <c r="G7" s="4" t="n">
        <f aca="false">Assumptions!G42</f>
        <v>6.5</v>
      </c>
      <c r="H7" s="4" t="n">
        <f aca="false">Assumptions!H42</f>
        <v>6.6</v>
      </c>
      <c r="I7" s="4" t="n">
        <f aca="false">Assumptions!I42</f>
        <v>6.7</v>
      </c>
      <c r="J7" s="4" t="n">
        <f aca="false">Assumptions!J42</f>
        <v>6.75</v>
      </c>
      <c r="K7" s="4" t="n">
        <f aca="false">Assumptions!K42</f>
        <v>6.8</v>
      </c>
      <c r="L7" s="4" t="n">
        <f aca="false">Assumptions!L42</f>
        <v>6.8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799.981308</v>
      </c>
      <c r="D8" s="0" t="n">
        <f aca="false">D6*D7/100</f>
        <v>852.95486016</v>
      </c>
      <c r="E8" s="0" t="n">
        <f aca="false">E6*E7/100</f>
        <v>908.8863264</v>
      </c>
      <c r="F8" s="0" t="n">
        <f aca="false">F6*F7/100</f>
        <v>967.927582162944</v>
      </c>
      <c r="G8" s="0" t="n">
        <f aca="false">G6*G7/100</f>
        <v>1022.37350865961</v>
      </c>
      <c r="H8" s="0" t="n">
        <f aca="false">H6*H7/100</f>
        <v>1074.4359134852</v>
      </c>
      <c r="I8" s="0" t="n">
        <f aca="false">I6*I7/100</f>
        <v>1128.89027910047</v>
      </c>
      <c r="J8" s="0" t="n">
        <f aca="false">J6*J7/100</f>
        <v>1171.43427842478</v>
      </c>
      <c r="K8" s="0" t="n">
        <f aca="false">K6*K7/100</f>
        <v>1215.51491645736</v>
      </c>
      <c r="L8" s="0" t="n">
        <f aca="false">L6*L7/100</f>
        <v>1251.98036395108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0.026</v>
      </c>
      <c r="D9" s="4" t="n">
        <f aca="false">Assumptions!D43</f>
        <v>0.026</v>
      </c>
      <c r="E9" s="4" t="n">
        <f aca="false">Assumptions!E43</f>
        <v>0.026</v>
      </c>
      <c r="F9" s="4" t="n">
        <f aca="false">Assumptions!F43</f>
        <v>0.026</v>
      </c>
      <c r="G9" s="4" t="n">
        <f aca="false">Assumptions!G43</f>
        <v>0.026</v>
      </c>
      <c r="H9" s="4" t="n">
        <f aca="false">Assumptions!H43</f>
        <v>0.026</v>
      </c>
      <c r="I9" s="4" t="n">
        <f aca="false">Assumptions!I43</f>
        <v>0.026</v>
      </c>
      <c r="J9" s="4" t="n">
        <f aca="false">Assumptions!J43</f>
        <v>0.026</v>
      </c>
      <c r="K9" s="4" t="n">
        <f aca="false">Assumptions!K43</f>
        <v>0.026</v>
      </c>
      <c r="L9" s="4" t="n">
        <f aca="false">Assumptions!L43</f>
        <v>0.026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-3.49571664</v>
      </c>
      <c r="D10" s="0" t="n">
        <f aca="false">-D6*D9/100</f>
        <v>-3.6355453056</v>
      </c>
      <c r="E10" s="0" t="n">
        <f aca="false">-E6*E9/100</f>
        <v>-3.780967117824</v>
      </c>
      <c r="F10" s="0" t="n">
        <f aca="false">-F6*F9/100</f>
        <v>-3.93220580253696</v>
      </c>
      <c r="G10" s="0" t="n">
        <f aca="false">-G6*G9/100</f>
        <v>-4.08949403463844</v>
      </c>
      <c r="H10" s="0" t="n">
        <f aca="false">-H6*H9/100</f>
        <v>-4.23262632585078</v>
      </c>
      <c r="I10" s="0" t="n">
        <f aca="false">-I6*I9/100</f>
        <v>-4.38076824725556</v>
      </c>
      <c r="J10" s="0" t="n">
        <f aca="false">-J6*J9/100</f>
        <v>-4.51219129467323</v>
      </c>
      <c r="K10" s="0" t="n">
        <f aca="false">-K6*K9/100</f>
        <v>-4.64755703351342</v>
      </c>
      <c r="L10" s="0" t="n">
        <f aca="false">-L6*L9/100</f>
        <v>-4.78698374451883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710.43718176</v>
      </c>
      <c r="D11" s="0" t="n">
        <f aca="false">D8+D10+D24</f>
        <v>759.8289688704</v>
      </c>
      <c r="E11" s="0" t="n">
        <f aca="false">E8+E10+E24</f>
        <v>812.035399458816</v>
      </c>
      <c r="F11" s="0" t="n">
        <f aca="false">F8+F10+F24</f>
        <v>867.202618144113</v>
      </c>
      <c r="G11" s="0" t="n">
        <f aca="false">G8+G10+G24</f>
        <v>917.619546080025</v>
      </c>
      <c r="H11" s="0" t="n">
        <f aca="false">H8+H10+H24</f>
        <v>966.015562215329</v>
      </c>
      <c r="I11" s="0" t="n">
        <f aca="false">I8+I10+I24</f>
        <v>1016.67521553616</v>
      </c>
      <c r="J11" s="0" t="n">
        <f aca="false">J8+J10+J24</f>
        <v>1055.85276295354</v>
      </c>
      <c r="K11" s="0" t="n">
        <f aca="false">K8+K10+K24</f>
        <v>1096.46595552197</v>
      </c>
      <c r="L11" s="0" t="n">
        <f aca="false">L8+L10+L24</f>
        <v>1129.35993418763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-143.8621848</v>
      </c>
      <c r="D12" s="4" t="n">
        <f aca="false">-D6*Assumptions!D45/100</f>
        <v>-149.616672192</v>
      </c>
      <c r="E12" s="4" t="n">
        <f aca="false">-E6*Assumptions!E45/100</f>
        <v>-155.60133907968</v>
      </c>
      <c r="F12" s="4" t="n">
        <f aca="false">-F6*Assumptions!F45/100</f>
        <v>-161.825392642867</v>
      </c>
      <c r="G12" s="4" t="n">
        <f aca="false">-G6*Assumptions!G45/100</f>
        <v>-168.298408348582</v>
      </c>
      <c r="H12" s="4" t="n">
        <f aca="false">-H6*Assumptions!H45/100</f>
        <v>-174.188852640782</v>
      </c>
      <c r="I12" s="4" t="n">
        <f aca="false">-I6*Assumptions!I45/100</f>
        <v>-180.28546248321</v>
      </c>
      <c r="J12" s="4" t="n">
        <f aca="false">-J6*Assumptions!J45/100</f>
        <v>-185.694026357706</v>
      </c>
      <c r="K12" s="4" t="n">
        <f aca="false">-K6*Assumptions!K45/100</f>
        <v>-191.264847148437</v>
      </c>
      <c r="L12" s="4" t="n">
        <f aca="false">-L6*Assumptions!L45/100</f>
        <v>-197.00279256289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566.57499696</v>
      </c>
      <c r="D13" s="0" t="n">
        <f aca="false">D11+D12</f>
        <v>610.2122966784</v>
      </c>
      <c r="E13" s="0" t="n">
        <f aca="false">E11+E12</f>
        <v>656.434060379136</v>
      </c>
      <c r="F13" s="0" t="n">
        <f aca="false">F11+F12</f>
        <v>705.377225501245</v>
      </c>
      <c r="G13" s="0" t="n">
        <f aca="false">G11+G12</f>
        <v>749.321137731443</v>
      </c>
      <c r="H13" s="0" t="n">
        <f aca="false">H11+H12</f>
        <v>791.826709574546</v>
      </c>
      <c r="I13" s="0" t="n">
        <f aca="false">I11+I12</f>
        <v>836.389753052946</v>
      </c>
      <c r="J13" s="0" t="n">
        <f aca="false">J11+J12</f>
        <v>870.158736595829</v>
      </c>
      <c r="K13" s="0" t="n">
        <f aca="false">K11+K12</f>
        <v>905.201108373538</v>
      </c>
      <c r="L13" s="0" t="n">
        <f aca="false">L11+L12</f>
        <v>932.357141624744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436.2627476592</v>
      </c>
      <c r="D15" s="0" t="n">
        <f aca="false">D13-MAX(0,D13)*D14/100</f>
        <v>469.863468442368</v>
      </c>
      <c r="E15" s="0" t="n">
        <f aca="false">E13-MAX(0,E13)*E14/100</f>
        <v>505.454226491935</v>
      </c>
      <c r="F15" s="0" t="n">
        <f aca="false">F13-MAX(0,F13)*F14/100</f>
        <v>543.140463635959</v>
      </c>
      <c r="G15" s="0" t="n">
        <f aca="false">G13-MAX(0,G13)*G14/100</f>
        <v>576.977276053211</v>
      </c>
      <c r="H15" s="0" t="n">
        <f aca="false">H13-MAX(0,H13)*H14/100</f>
        <v>609.706566372401</v>
      </c>
      <c r="I15" s="0" t="n">
        <f aca="false">I13-MAX(0,I13)*I14/100</f>
        <v>644.020109850768</v>
      </c>
      <c r="J15" s="0" t="n">
        <f aca="false">J13-MAX(0,J13)*J14/100</f>
        <v>670.022227178788</v>
      </c>
      <c r="K15" s="0" t="n">
        <f aca="false">K13-MAX(0,K13)*K14/100</f>
        <v>697.004853447624</v>
      </c>
      <c r="L15" s="0" t="n">
        <f aca="false">L13-MAX(0,L13)*L14/100</f>
        <v>717.914999051053</v>
      </c>
    </row>
    <row r="16" customFormat="false" ht="15" hidden="false" customHeight="false" outlineLevel="0" collapsed="false">
      <c r="A16" s="0" t="s">
        <v>120</v>
      </c>
      <c r="C16" s="0" t="n">
        <f aca="false">-C12</f>
        <v>143.8621848</v>
      </c>
      <c r="D16" s="0" t="n">
        <f aca="false">-D12</f>
        <v>149.616672192</v>
      </c>
      <c r="E16" s="0" t="n">
        <f aca="false">-E12</f>
        <v>155.60133907968</v>
      </c>
      <c r="F16" s="0" t="n">
        <f aca="false">-F12</f>
        <v>161.825392642867</v>
      </c>
      <c r="G16" s="0" t="n">
        <f aca="false">-G12</f>
        <v>168.298408348582</v>
      </c>
      <c r="H16" s="0" t="n">
        <f aca="false">-H12</f>
        <v>174.188852640782</v>
      </c>
      <c r="I16" s="0" t="n">
        <f aca="false">-I12</f>
        <v>180.28546248321</v>
      </c>
      <c r="J16" s="0" t="n">
        <f aca="false">-J12</f>
        <v>185.694026357706</v>
      </c>
      <c r="K16" s="0" t="n">
        <f aca="false">-K12</f>
        <v>191.264847148437</v>
      </c>
      <c r="L16" s="0" t="n">
        <f aca="false">-L12</f>
        <v>197.00279256289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-168.0633</v>
      </c>
      <c r="D17" s="4" t="n">
        <f aca="false">-D6*Assumptions!D46/100</f>
        <v>-174.785832</v>
      </c>
      <c r="E17" s="4" t="n">
        <f aca="false">-E6*Assumptions!E46/100</f>
        <v>-181.77726528</v>
      </c>
      <c r="F17" s="4" t="n">
        <f aca="false">-F6*Assumptions!F46/100</f>
        <v>-189.0483558912</v>
      </c>
      <c r="G17" s="4" t="n">
        <f aca="false">-G6*Assumptions!G46/100</f>
        <v>-196.610290126848</v>
      </c>
      <c r="H17" s="4" t="n">
        <f aca="false">-H6*Assumptions!H46/100</f>
        <v>-195.351984270036</v>
      </c>
      <c r="I17" s="4" t="n">
        <f aca="false">-I6*Assumptions!I46/100</f>
        <v>-202.189303719487</v>
      </c>
      <c r="J17" s="4" t="n">
        <f aca="false">-J6*Assumptions!J46/100</f>
        <v>-208.254982831072</v>
      </c>
      <c r="K17" s="4" t="n">
        <f aca="false">-K6*Assumptions!K46/100</f>
        <v>-214.502632316004</v>
      </c>
      <c r="L17" s="4" t="n">
        <f aca="false">-L6*Assumptions!L46/100</f>
        <v>-220.937711285484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412.0616324592</v>
      </c>
      <c r="D19" s="0" t="n">
        <f aca="false">D15+D16+D17+D18</f>
        <v>444.694308634368</v>
      </c>
      <c r="E19" s="0" t="n">
        <f aca="false">E15+E16+E17+E18</f>
        <v>479.278300291615</v>
      </c>
      <c r="F19" s="0" t="n">
        <f aca="false">F15+F16+F17+F18</f>
        <v>515.917500387626</v>
      </c>
      <c r="G19" s="0" t="n">
        <f aca="false">G15+G16+G17+G18</f>
        <v>548.665394274945</v>
      </c>
      <c r="H19" s="0" t="n">
        <f aca="false">H15+H16+H17+H18</f>
        <v>588.543434743147</v>
      </c>
      <c r="I19" s="0" t="n">
        <f aca="false">I15+I16+I17+I18</f>
        <v>622.116268614491</v>
      </c>
      <c r="J19" s="0" t="n">
        <f aca="false">J15+J16+J17+J18</f>
        <v>647.461270705422</v>
      </c>
      <c r="K19" s="0" t="n">
        <f aca="false">K15+K16+K17+K18</f>
        <v>673.767068280057</v>
      </c>
      <c r="L19" s="0" t="n">
        <f aca="false">L15+L16+L17+L18</f>
        <v>693.980080328459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381.538548573333</v>
      </c>
      <c r="D21" s="0" t="n">
        <f aca="false">D19*D20</f>
        <v>381.253693959506</v>
      </c>
      <c r="E21" s="0" t="n">
        <f aca="false">E19*E20</f>
        <v>380.46656719283</v>
      </c>
      <c r="F21" s="0" t="n">
        <f aca="false">F19*F20</f>
        <v>379.214764365031</v>
      </c>
      <c r="G21" s="0" t="n">
        <f aca="false">G19*G20</f>
        <v>373.412448137427</v>
      </c>
      <c r="H21" s="0" t="n">
        <f aca="false">H19*H20</f>
        <v>370.88219667659</v>
      </c>
      <c r="I21" s="0" t="n">
        <f aca="false">I19*I20</f>
        <v>362.998867472873</v>
      </c>
      <c r="J21" s="0" t="n">
        <f aca="false">J19*J20</f>
        <v>349.80317848225</v>
      </c>
      <c r="K21" s="0" t="n">
        <f aca="false">K19*K20</f>
        <v>337.05127999429</v>
      </c>
      <c r="L21" s="0" t="n">
        <f aca="false">L19*L20</f>
        <v>321.447054068628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0.64</v>
      </c>
      <c r="D23" s="4" t="n">
        <f aca="false">Assumptions!D44</f>
        <v>0.64</v>
      </c>
      <c r="E23" s="4" t="n">
        <f aca="false">Assumptions!E44</f>
        <v>0.64</v>
      </c>
      <c r="F23" s="4" t="n">
        <f aca="false">Assumptions!F44</f>
        <v>0.64</v>
      </c>
      <c r="G23" s="4" t="n">
        <f aca="false">Assumptions!G44</f>
        <v>0.64</v>
      </c>
      <c r="H23" s="4" t="n">
        <f aca="false">Assumptions!H44</f>
        <v>0.64</v>
      </c>
      <c r="I23" s="4" t="n">
        <f aca="false">Assumptions!I44</f>
        <v>0.64</v>
      </c>
      <c r="J23" s="4" t="n">
        <f aca="false">Assumptions!J44</f>
        <v>0.64</v>
      </c>
      <c r="K23" s="4" t="n">
        <f aca="false">Assumptions!K44</f>
        <v>0.64</v>
      </c>
      <c r="L23" s="4" t="n">
        <f aca="false">Assumptions!L44</f>
        <v>0.64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-86.0484096</v>
      </c>
      <c r="D24" s="0" t="n">
        <f aca="false">-D6*D23/100</f>
        <v>-89.490345984</v>
      </c>
      <c r="E24" s="0" t="n">
        <f aca="false">-E6*E23/100</f>
        <v>-93.06995982336</v>
      </c>
      <c r="F24" s="0" t="n">
        <f aca="false">-F6*F23/100</f>
        <v>-96.7927582162944</v>
      </c>
      <c r="G24" s="0" t="n">
        <f aca="false">-G6*G23/100</f>
        <v>-100.664468544946</v>
      </c>
      <c r="H24" s="0" t="n">
        <f aca="false">-H6*H23/100</f>
        <v>-104.187724944019</v>
      </c>
      <c r="I24" s="0" t="n">
        <f aca="false">-I6*I23/100</f>
        <v>-107.83429531706</v>
      </c>
      <c r="J24" s="0" t="n">
        <f aca="false">-J6*J23/100</f>
        <v>-111.069324176572</v>
      </c>
      <c r="K24" s="0" t="n">
        <f aca="false">-K6*K23/100</f>
        <v>-114.401403901869</v>
      </c>
      <c r="L24" s="0" t="n">
        <f aca="false">-L6*L23/100</f>
        <v>-117.833446018925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3638.06859892276</v>
      </c>
    </row>
    <row r="31" customFormat="false" ht="15" hidden="false" customHeight="false" outlineLevel="0" collapsed="false">
      <c r="A31" s="0" t="s">
        <v>129</v>
      </c>
      <c r="B31" s="0" t="n">
        <f aca="false">L19</f>
        <v>693.980080328459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12933.265133394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11103.6812852553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11103.6812852553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5143.15286509805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8781.22146402081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8573.92146402081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10008.079215619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0.557677698929029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27.2320925768386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41.3224034632558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10088.1008054872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5690.63665869336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4482.13412444521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4881.98037890157</v>
      </c>
      <c r="C4" s="0" t="n">
        <f aca="false">B4/Assumptions!$B$2-1</f>
        <v>-0.240158695890806</v>
      </c>
      <c r="D4" s="4" t="n">
        <f aca="false">Assumptions!$B$24</f>
        <v>0.3</v>
      </c>
      <c r="E4" s="4" t="n">
        <f aca="false">DCF_Bear!$B$43</f>
        <v>4934.25488672772</v>
      </c>
      <c r="F4" s="4" t="n">
        <f aca="false">DCF_Bear!$B$47</f>
        <v>2629.12821715219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7611.44713223113</v>
      </c>
      <c r="C5" s="0" t="n">
        <f aca="false">B5/Assumptions!$B$2-1</f>
        <v>0.184661032253872</v>
      </c>
      <c r="D5" s="4" t="n">
        <f aca="false">Assumptions!$B$38</f>
        <v>0.5</v>
      </c>
      <c r="E5" s="4" t="n">
        <f aca="false">DCF_Base!$B$43</f>
        <v>7678.46892282293</v>
      </c>
      <c r="F5" s="4" t="n">
        <f aca="false">DCF_Base!$B$47</f>
        <v>3602.40012498636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10008.079215619</v>
      </c>
      <c r="C6" s="0" t="n">
        <f aca="false">B6/Assumptions!$B$2-1</f>
        <v>0.557677698929029</v>
      </c>
      <c r="D6" s="4" t="n">
        <f aca="false">Assumptions!$B$52</f>
        <v>0.2</v>
      </c>
      <c r="E6" s="4" t="n">
        <f aca="false">DCF_Bull!$B$43</f>
        <v>10088.1008054872</v>
      </c>
      <c r="F6" s="4" t="n">
        <f aca="false">DCF_Bull!$B$47</f>
        <v>4482.13412444521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7271.93352290984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7337.13108852722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0.116466070576913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3486.36535252788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7611.44713223113</v>
      </c>
      <c r="C15" s="3" t="n">
        <v>8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6962.28993289247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6051.19905399818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5343.00293231999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4776.81066481037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3602.40012498636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8851.02859321117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8851.02859321117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8851.02859321117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8851.02859321117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8851.02859321117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8202.18248712968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8202.18248712968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8202.18248712968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8202.18248712968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8202.18248712968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7449.64254279438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7611.44713223113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7611.44713223113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7611.44713223113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7611.44713223113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6459.66974185494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6694.22583100579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6962.28993289247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7072.95859880899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7072.95859880899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5691.1184101234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5860.568124888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6051.19905399818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6267.24744032305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6514.15988183718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2026-10-09T23:09:30Z</dcterms:created>
  <dc:creator>openpyxl</dc:creator>
  <dc:description/>
  <dc:language>en-NZ</dc:language>
  <cp:lastModifiedBy/>
  <dcterms:modified xsi:type="dcterms:W3CDTF">2026-10-09T23:09:30Z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