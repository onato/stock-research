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<sst xmlns="http://schemas.openxmlformats.org/spreadsheetml/2006/main" count="387" uniqueCount="174">
  <si>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</si>
  <si>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O</t>
  </si>
  <si>
    <t xml:space="preserve">Company</t>
  </si>
  <si>
    <t xml:space="preserve">Realty Income Corporation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</si>
  <si>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</si>
  <si>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</si>
  <si>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</si>
  <si>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</si>
  <si>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2026-10-01T20:00:03Z regular close</t>
  </si>
  <si>
    <t xml:space="preserve">Balance sheet date</t>
  </si>
  <si>
    <t xml:space="preserve">2026-06-30</t>
  </si>
  <si>
    <t xml:space="preserve">Model</t>
  </si>
  <si>
    <t xml:space="preserve">REIT AFFO capitalisation at cost of equity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</si>
  <si>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</si>
  <si>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</si>
  <si>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</si>
  <si>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</si>
  <si>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</si>
  <si>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</si>
  <si>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</si>
  <si>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</si>
  <si>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2026-10-02T06:24:03Z</t>
  </si>
  <si>
    <t xml:space="preserve">Drivers file</t>
  </si>
  <si>
    <t xml:space="preserve">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</si>
  <si>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</si>
  <si>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</si>
  <si>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</si>
  <si>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Realty Income is valued on the cash it actually distributes - AFFO available to common stockholders, after interest, NCI, recurring capex and (house basis) stock compensation - capitalised at a 9.5% USD cost of equity built off a 5.24% 10-year Treasury, with net debt NOT deducted a second time. Three explicit ten-year per-share AFFO paths bracket the rate regime, the investment spread and tenant credit; the market price is read against where it sits between them. GAAP net income, EPS, P/E, EV/EBITDA and book equity are not used: ~$2.5B/yr of real-estate depreciation, stock-funded mergers and a &gt;100% payout of GAAP earnings make them structurally uninformative for a net-lease REIT.
key_risks_to_valuation: Cost of equity: every 50bp on the 9.5% discount rate moves base value roughly 7-8%; the 5.24% 10-year Treasury reading is high by post-2009 standards, so the valuation is richer if rates mean-revert and cheaper if they do not; Refinancing: ~$31B of debt at a 3.9% average coupon with 5.1 years average maturity re-prices toward 4.5-5.5%; each 100bp on the full stack is ~$310M (~7%) of AFFO once fully rolled; External-growth dependence: per-share growth above the ~1.2% same-store rate requires issuing equity at a multiple above the acquisition yield; at ~12x AFFO (8.3% yield) against a 7.3% cash yield the spread is thin, and the base path assumes it recovers; Tenant credit: top 20 clients are ~32% of rent; drugstore, dollar-store and casual-dining exposures have produced bankruptcies in 2024-2026 and the bear path carries 300-400bp of margin compression from bad debt; Share count: modelled flat with dilution netted inside the per-share growth path; 22.5M unsettled forward shares and ~$10B/yr of equity-funded volume mean the absolute count will rise materially, so the paths must be read as per-share, not total-company, AFFO; New asset classes: $1.4B into the Cloud Capital hyperscale data-centre JV and European expansion carry underwriting and partner risk outside the retail net-lease core</t>
  </si>
  <si>
    <t xml:space="preserve">Data sources</t>
  </si>
  <si>
    <t xml:space="preserve">price: Yahoo Finance chart API at inputs.price_as_of (regular close, not after-hours); 52-week range 53.33-67.94, so the price sits at the very bottom of its range
financials: SEC EDGAR: Form 10-Q for the quarter ended 2026-06-30 (accession 0000726728-26-000048) for the balance sheet, debt maturity table, net-debt reconciliation, H1-2026 AFFO reconciliation and share count; 8-K ex99.1 Q2-2026 earnings release (0000726728-26-000044) for guidance, investment yields, same-store growth and forward-equity; Form 10-K FY2025 (0000726728-26-000011) for FY2024-FY2025 AFFO, dividends, debt and OP units; Forms 10-K FY2019-FY2023 (0000726728-20-000033 through 0000726728-24-000047) for the AFFO/share and dividend history; SEC XBRL companyfacts (CIK 726728) for revenue, SBC, shares and D&amp;A as carried in O_Metrics.csv
qualitative: research/O/Reports/O_Analysis.json (2026-10-02)</t>
  </si>
  <si>
    <t xml:space="preserve">Scenario narrative: bear</t>
  </si>
  <si>
    <t xml:space="preserve">Rates stay above 5%, the equity stays at ~12x AFFO so external growth is throttled, debt re-prices 100-150bp higher, and a retail tenant credit cycle takes bad debt to 2-3% of revenue; per-share AFFO goes nowhere for three years and the stock is valued as a 1.5% grower at a sub-13x multiple. The A-rated balance sheet, 5.1-year maturities and 73% payout keep this a stagnation case, not a solvency one.</t>
  </si>
  <si>
    <t xml:space="preserve">Scenario narrative: base</t>
  </si>
  <si>
    <t xml:space="preserve">Guidance delivered for FY2026, then per-share AFFO compounds ~3-3.5% as the industrial, data-centre and European pipelines plus 1.1-1.3% same-store growth outrun the refinancing drag and the dilution needed to fund ~$10B/yr of investment; the margin drifts 60bp lower as JV revenue consolidates. House AFFO/share compounds 3.1% over ten years, the dividend grows in step, and the exit multiple is 14x AFFO.</t>
  </si>
  <si>
    <t xml:space="preserve">Scenario narrative: bull</t>
  </si>
  <si>
    <t xml:space="preserve">Falling long rates restore a 150bp+ investment spread and a mid-teens-plus AFFO multiple, volume reaccelerates, and the Apollo/KKR/GIC/Cloud Capital fee platform adds a capital-light earnings stream, so per-share AFFO grows 4-5% for five years and the margin expands to 68.5%.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</si>
  <si>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</si>
  <si>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</si>
  <si>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</si>
  <si>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</si>
  <si>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</si>
  <si>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</si>
  <si>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</si>
  <si>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</si>
  <si>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</si>
  <si>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</si>
  <si>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</si>
  <si>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</si>
  <si>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</si>
  <si>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</si>
  <si>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</si>
  <si>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</si>
  <si>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</si>
  <si>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</si>
  <si>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</si>
  <si>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</si>
  <si>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</si>
  <si>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</si>
  <si>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</si>
  <si>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</si>
  <si>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</si>
  <si>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</si>
  <si>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</si>
  <si>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</si>
  <si>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</si>
  <si>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</si>
  <si>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</si>
  <si>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</si>
  <si>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</si>
  <si>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</si>
  <si>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</si>
  <si>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</si>
  <si>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</si>
  <si>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</si>
  <si>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</si>
  <si>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</si>
  <si>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</si>
  <si>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</si>
  <si>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</si>
  <si>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</si>
  <si>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</si>
  <si>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</si>
  <si>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</si>
  <si>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</si>
  <si>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</si>
  <si>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</si>
  <si>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</si>
  <si>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</si>
  <si>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</si>
  <si>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</si>
  <si>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</si>
  <si>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</si>
  <si>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</si>
  <si>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</si>
  <si>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</si>
  <si>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</si>
  <si>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</si>
  <si>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</si>
  <si>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</si>
  <si>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</si>
  <si>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</si>
  <si>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</si>
  <si>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</si>
  <si>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</si>
  <si>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</si>
  <si>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</si>
  <si>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</si>
  <si>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</si>
  <si>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</si>
  <si>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</si>
  <si>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</si>
  <si>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</si>
  <si>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</si>
  <si>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</si>
  <si>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</si>
  <si>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</si>
  <si>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</si>
  <si>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</si>
  <si>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</si>
  <si>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O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</si>
  <si>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</si>
  <si>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</si>
  <si>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</si>
  <si>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</si>
  <si>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</si>
  <si>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</si>
  <si>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</si>
  <si>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</si>
  <si>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</si>
  <si>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</si>
  <si>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</si>
  <si>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</si>
  <si>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</si>
  <si>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</si>
  <si>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</si>
  <si>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</si>
  <si>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</si>
  <si>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</si>
  <si>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</si>
  <si>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</si>
  <si>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</si>
  <si>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</si>
  <si>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</si>
  <si>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</si>
  <si>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</si>
  <si>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</si>
  <si>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</si>
  <si>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</si>
  <si>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</si>
  <si>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</si>
  <si>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O owner-FCF component DCF: base case (millions, USD)</t>
  </si>
  <si>
    <t xml:space="preserve">O owner-FCF component DCF: bull case (millions, USD)</t>
  </si>
  <si>
    <t xml:space="preserve">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</si>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</sst>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53.53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1538.092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325.041</v>
      </c>
      <c r="I3" s="0" t="n">
        <v>131.841</v>
      </c>
      <c r="J3" s="0" t="n">
        <v>40.561344568839</v>
      </c>
      <c r="L3" s="0" t="n">
        <v>246.155</v>
      </c>
      <c r="O3" s="0" t="n">
        <v>1554.661</v>
      </c>
      <c r="T3" s="0" t="n">
        <v>101.209883</v>
      </c>
      <c r="U3" s="0" t="n">
        <v>5.049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322.55</v>
      </c>
      <c r="I4" s="0" t="n">
        <v>131.127</v>
      </c>
      <c r="J4" s="0" t="n">
        <v>40.6532320570454</v>
      </c>
      <c r="L4" s="0" t="n">
        <v>226.707</v>
      </c>
      <c r="O4" s="0" t="n">
        <v>1488.009</v>
      </c>
      <c r="P4" s="0" t="n">
        <v>2914.787</v>
      </c>
      <c r="Q4" s="0" t="n">
        <v>1426.778</v>
      </c>
      <c r="T4" s="0" t="n">
        <v>104.286705</v>
      </c>
      <c r="U4" s="0" t="n">
        <v>4.726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333.437</v>
      </c>
      <c r="I5" s="0" t="n">
        <v>130.784</v>
      </c>
      <c r="J5" s="0" t="n">
        <v>39.2230016464879</v>
      </c>
      <c r="K5" s="0" t="n">
        <v>1.01</v>
      </c>
      <c r="L5" s="0" t="n">
        <v>243.368</v>
      </c>
      <c r="O5" s="0" t="n">
        <v>1846.965</v>
      </c>
      <c r="P5" s="0" t="n">
        <v>3535.59</v>
      </c>
      <c r="Q5" s="0" t="n">
        <v>1688.625</v>
      </c>
      <c r="T5" s="0" t="n">
        <v>118.058988</v>
      </c>
      <c r="U5" s="0" t="n">
        <v>6.2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412.36</v>
      </c>
      <c r="I6" s="0" t="n">
        <v>157.032</v>
      </c>
      <c r="J6" s="0" t="n">
        <v>38.0812881947813</v>
      </c>
      <c r="K6" s="0" t="n">
        <v>1.05</v>
      </c>
      <c r="L6" s="0" t="n">
        <v>298.952</v>
      </c>
      <c r="O6" s="0" t="n">
        <v>2254.854</v>
      </c>
      <c r="P6" s="0" t="n">
        <v>4419.389</v>
      </c>
      <c r="Q6" s="0" t="n">
        <v>2164.535</v>
      </c>
      <c r="R6" s="0" t="n">
        <v>1750</v>
      </c>
      <c r="T6" s="0" t="n">
        <v>133.223338</v>
      </c>
      <c r="U6" s="0" t="n">
        <v>7.9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484.581</v>
      </c>
      <c r="I7" s="0" t="n">
        <v>159.152</v>
      </c>
      <c r="J7" s="0" t="n">
        <v>32.8432191934888</v>
      </c>
      <c r="K7" s="0" t="n">
        <v>0.86</v>
      </c>
      <c r="L7" s="0" t="n">
        <v>326.469</v>
      </c>
      <c r="O7" s="0" t="n">
        <v>2412.794</v>
      </c>
      <c r="P7" s="0" t="n">
        <v>5429.348</v>
      </c>
      <c r="Q7" s="0" t="n">
        <v>3016.554</v>
      </c>
      <c r="R7" s="0" t="n">
        <v>2550</v>
      </c>
      <c r="T7" s="0" t="n">
        <v>133.452411</v>
      </c>
      <c r="U7" s="0" t="n">
        <v>10.001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780.209</v>
      </c>
      <c r="I8" s="0" t="n">
        <v>246.283</v>
      </c>
      <c r="J8" s="0" t="n">
        <v>31.5662854440285</v>
      </c>
      <c r="K8" s="0" t="n">
        <v>1.06</v>
      </c>
      <c r="L8" s="0" t="n">
        <v>518.906</v>
      </c>
      <c r="O8" s="0" t="n">
        <v>5421.358</v>
      </c>
      <c r="P8" s="0" t="n">
        <v>9924.441</v>
      </c>
      <c r="Q8" s="0" t="n">
        <v>4503.083</v>
      </c>
      <c r="R8" s="0" t="n">
        <v>3200</v>
      </c>
      <c r="T8" s="0" t="n">
        <v>207.485073</v>
      </c>
      <c r="U8" s="0" t="n">
        <v>20.8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933.505</v>
      </c>
      <c r="I9" s="0" t="n">
        <v>271.94</v>
      </c>
      <c r="J9" s="0" t="n">
        <v>29.1310705352408</v>
      </c>
      <c r="L9" s="0" t="n">
        <v>627.692</v>
      </c>
      <c r="O9" s="0" t="n">
        <v>5641.099</v>
      </c>
      <c r="P9" s="0" t="n">
        <v>11012.622</v>
      </c>
      <c r="Q9" s="0" t="n">
        <v>5371.523</v>
      </c>
      <c r="R9" s="0" t="n">
        <v>3800</v>
      </c>
      <c r="T9" s="0" t="n">
        <v>224.881192</v>
      </c>
      <c r="U9" s="0" t="n">
        <v>12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1023.285</v>
      </c>
      <c r="I10" s="0" t="n">
        <v>284.855</v>
      </c>
      <c r="J10" s="0" t="n">
        <v>27.8373082767753</v>
      </c>
      <c r="L10" s="0" t="n">
        <v>693.567</v>
      </c>
      <c r="O10" s="0" t="n">
        <v>6553.333</v>
      </c>
      <c r="P10" s="0" t="n">
        <v>11845.379</v>
      </c>
      <c r="Q10" s="0" t="n">
        <v>5292.046</v>
      </c>
      <c r="R10" s="0" t="n">
        <v>3650</v>
      </c>
      <c r="T10" s="0" t="n">
        <v>250.416757</v>
      </c>
      <c r="U10" s="0" t="n">
        <v>10.4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1103.172</v>
      </c>
      <c r="I11" s="0" t="n">
        <v>316.477</v>
      </c>
      <c r="J11" s="0" t="n">
        <v>28.6879108606817</v>
      </c>
      <c r="L11" s="0" t="n">
        <v>799.863</v>
      </c>
      <c r="O11" s="0" t="n">
        <v>6787.053</v>
      </c>
      <c r="P11" s="0" t="n">
        <v>13152.871</v>
      </c>
      <c r="Q11" s="0" t="n">
        <v>6365.818</v>
      </c>
      <c r="R11" s="0" t="n">
        <v>3975</v>
      </c>
      <c r="S11" s="0" t="n">
        <v>9.42</v>
      </c>
      <c r="T11" s="0" t="n">
        <v>260.168259</v>
      </c>
      <c r="U11" s="0" t="n">
        <v>12.007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1215.768</v>
      </c>
      <c r="I12" s="0" t="n">
        <v>319.318</v>
      </c>
      <c r="J12" s="0" t="n">
        <v>26.2647149785156</v>
      </c>
      <c r="L12" s="0" t="n">
        <v>875.85</v>
      </c>
      <c r="O12" s="0" t="n">
        <v>7390.708</v>
      </c>
      <c r="P12" s="0" t="n">
        <v>14058.166</v>
      </c>
      <c r="Q12" s="0" t="n">
        <v>6667.458</v>
      </c>
      <c r="S12" s="0" t="n">
        <v>6.898</v>
      </c>
      <c r="T12" s="0" t="n">
        <v>284.213685</v>
      </c>
      <c r="U12" s="0" t="n">
        <v>13.946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1327.838</v>
      </c>
      <c r="I13" s="0" t="n">
        <v>364.598</v>
      </c>
      <c r="J13" s="0" t="n">
        <v>27.4580182221024</v>
      </c>
      <c r="K13" s="0" t="n">
        <v>1.26</v>
      </c>
      <c r="L13" s="0" t="n">
        <v>940.742</v>
      </c>
      <c r="O13" s="0" t="n">
        <v>8120.978</v>
      </c>
      <c r="P13" s="0" t="n">
        <v>15260.483</v>
      </c>
      <c r="Q13" s="0" t="n">
        <v>7139.505</v>
      </c>
      <c r="S13" s="0" t="n">
        <v>10.387</v>
      </c>
      <c r="T13" s="0" t="n">
        <v>303.74209</v>
      </c>
      <c r="U13" s="0" t="n">
        <v>27.267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1488.163</v>
      </c>
      <c r="I14" s="0" t="n">
        <v>437.478</v>
      </c>
      <c r="J14" s="0" t="n">
        <v>29.3971829698763</v>
      </c>
      <c r="K14" s="0" t="n">
        <v>1.38</v>
      </c>
      <c r="L14" s="0" t="n">
        <v>1068.937</v>
      </c>
      <c r="O14" s="0" t="n">
        <v>9804.158</v>
      </c>
      <c r="P14" s="0" t="n">
        <v>18554.796</v>
      </c>
      <c r="Q14" s="0" t="n">
        <v>8750.638</v>
      </c>
      <c r="S14" s="0" t="n">
        <v>54.011</v>
      </c>
      <c r="T14" s="0" t="n">
        <v>333.619106</v>
      </c>
      <c r="U14" s="0" t="n">
        <v>13.662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1647.087</v>
      </c>
      <c r="I15" s="0" t="n">
        <v>396.506</v>
      </c>
      <c r="J15" s="0" t="n">
        <v>24.073166748326</v>
      </c>
      <c r="K15" s="0" t="n">
        <v>1.15</v>
      </c>
      <c r="L15" s="0" t="n">
        <v>1115.543</v>
      </c>
      <c r="O15" s="0" t="n">
        <v>11017.73</v>
      </c>
      <c r="P15" s="0" t="n">
        <v>20740.285</v>
      </c>
      <c r="Q15" s="0" t="n">
        <v>9722.555</v>
      </c>
      <c r="S15" s="0" t="n">
        <v>824.476</v>
      </c>
      <c r="T15" s="0" t="n">
        <v>361.303445</v>
      </c>
      <c r="U15" s="0" t="n">
        <v>16.503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2080.463</v>
      </c>
      <c r="I16" s="0" t="n">
        <v>360.747</v>
      </c>
      <c r="J16" s="0" t="n">
        <v>17.3397460084606</v>
      </c>
      <c r="K16" s="0" t="n">
        <v>0.87</v>
      </c>
      <c r="L16" s="0" t="n">
        <v>1322.189</v>
      </c>
      <c r="O16" s="0" t="n">
        <v>25129.4</v>
      </c>
      <c r="P16" s="0" t="n">
        <v>43137.502</v>
      </c>
      <c r="Q16" s="0" t="n">
        <v>18008.102</v>
      </c>
      <c r="S16" s="0" t="n">
        <v>258.579</v>
      </c>
      <c r="T16" s="0" t="n">
        <v>591.261991</v>
      </c>
      <c r="U16" s="0" t="n">
        <v>41.773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3343.681</v>
      </c>
      <c r="I17" s="0" t="n">
        <v>872.416</v>
      </c>
      <c r="J17" s="0" t="n">
        <v>26.0914842055806</v>
      </c>
      <c r="K17" s="0" t="n">
        <v>1.42</v>
      </c>
      <c r="L17" s="0" t="n">
        <v>2563.856</v>
      </c>
      <c r="O17" s="0" t="n">
        <v>28843.289</v>
      </c>
      <c r="P17" s="0" t="n">
        <v>49673.092</v>
      </c>
      <c r="Q17" s="0" t="n">
        <v>20829.803</v>
      </c>
      <c r="S17" s="0" t="n">
        <v>171.102</v>
      </c>
      <c r="T17" s="0" t="n">
        <v>660.3</v>
      </c>
      <c r="U17" s="0" t="n">
        <v>21.617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4078.993</v>
      </c>
      <c r="I18" s="0" t="n">
        <v>876.914</v>
      </c>
      <c r="J18" s="0" t="n">
        <v>21.4982962706727</v>
      </c>
      <c r="K18" s="0" t="n">
        <v>1.26</v>
      </c>
      <c r="L18" s="0" t="n">
        <v>2958.769</v>
      </c>
      <c r="O18" s="0" t="n">
        <v>33106.969</v>
      </c>
      <c r="P18" s="0" t="n">
        <v>57779.357</v>
      </c>
      <c r="Q18" s="0" t="n">
        <v>24672.388</v>
      </c>
      <c r="S18" s="0" t="n">
        <v>232.923</v>
      </c>
      <c r="T18" s="0" t="n">
        <v>752.46</v>
      </c>
      <c r="U18" s="0" t="n">
        <v>26.227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5271.142</v>
      </c>
      <c r="I19" s="0" t="n">
        <v>867.341</v>
      </c>
      <c r="J19" s="0" t="n">
        <v>16.454517825549</v>
      </c>
      <c r="K19" s="0" t="n">
        <v>0.98</v>
      </c>
      <c r="L19" s="0" t="n">
        <v>3573.276</v>
      </c>
      <c r="O19" s="0" t="n">
        <v>39051.686</v>
      </c>
      <c r="P19" s="0" t="n">
        <v>68835.039</v>
      </c>
      <c r="Q19" s="0" t="n">
        <v>29783.353</v>
      </c>
      <c r="S19" s="0" t="n">
        <v>444.962</v>
      </c>
      <c r="T19" s="0" t="n">
        <v>891.511</v>
      </c>
      <c r="U19" s="0" t="n">
        <v>57.493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5749.377</v>
      </c>
      <c r="I20" s="0" t="n">
        <v>1069.783</v>
      </c>
      <c r="J20" s="0" t="n">
        <v>18.6069377603869</v>
      </c>
      <c r="K20" s="0" t="n">
        <v>1.17</v>
      </c>
      <c r="L20" s="0" t="n">
        <v>3994.754</v>
      </c>
      <c r="O20" s="0" t="n">
        <v>40123.968</v>
      </c>
      <c r="P20" s="0" t="n">
        <v>72795.612</v>
      </c>
      <c r="Q20" s="0" t="n">
        <v>32671.644</v>
      </c>
      <c r="S20" s="0" t="n">
        <v>434.842</v>
      </c>
      <c r="T20" s="0" t="n">
        <v>933.975</v>
      </c>
      <c r="U20" s="0" t="n">
        <v>30.77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53.53</v>
      </c>
    </row>
    <row r="3" customFormat="false" ht="15" hidden="false" customHeight="false" outlineLevel="0" collapsed="false">
      <c r="A3" s="0" t="s">
        <v>85</v>
      </c>
      <c r="B3" s="3" t="n">
        <v>948.9</v>
      </c>
    </row>
    <row r="4" customFormat="false" ht="15" hidden="false" customHeight="false" outlineLevel="0" collapsed="false">
      <c r="A4" s="0" t="s">
        <v>86</v>
      </c>
      <c r="B4" s="3" t="n">
        <v>0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5749.377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8.5</v>
      </c>
      <c r="D13" s="3" t="n">
        <v>0.5</v>
      </c>
      <c r="E13" s="3" t="n">
        <v>0.5</v>
      </c>
      <c r="F13" s="3" t="n">
        <v>1</v>
      </c>
      <c r="G13" s="3" t="n">
        <v>1.5</v>
      </c>
      <c r="H13" s="3" t="n">
        <v>2</v>
      </c>
      <c r="I13" s="3" t="n">
        <v>2</v>
      </c>
      <c r="J13" s="3" t="n">
        <v>2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106</v>
      </c>
      <c r="C14" s="3" t="n">
        <v>67</v>
      </c>
      <c r="D14" s="3" t="n">
        <v>66</v>
      </c>
      <c r="E14" s="3" t="n">
        <v>65</v>
      </c>
      <c r="F14" s="3" t="n">
        <v>64.5</v>
      </c>
      <c r="G14" s="3" t="n">
        <v>64</v>
      </c>
      <c r="H14" s="3" t="n">
        <v>64</v>
      </c>
      <c r="I14" s="3" t="n">
        <v>64</v>
      </c>
      <c r="J14" s="3" t="n">
        <v>64</v>
      </c>
      <c r="K14" s="3" t="n">
        <v>64</v>
      </c>
      <c r="L14" s="3" t="n">
        <v>64</v>
      </c>
    </row>
    <row r="15" customFormat="false" ht="15" hidden="false" customHeight="false" outlineLevel="0" collapsed="false">
      <c r="A15" s="0" t="s">
        <v>107</v>
      </c>
      <c r="C15" s="3" t="n">
        <v>0.65</v>
      </c>
      <c r="D15" s="3" t="n">
        <v>0.65</v>
      </c>
      <c r="E15" s="3" t="n">
        <v>0.65</v>
      </c>
      <c r="F15" s="3" t="n">
        <v>0.65</v>
      </c>
      <c r="G15" s="3" t="n">
        <v>0.65</v>
      </c>
      <c r="H15" s="3" t="n">
        <v>0.65</v>
      </c>
      <c r="I15" s="3" t="n">
        <v>0.65</v>
      </c>
      <c r="J15" s="3" t="n">
        <v>0.65</v>
      </c>
      <c r="K15" s="3" t="n">
        <v>0.65</v>
      </c>
      <c r="L15" s="3" t="n">
        <v>0.65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 customFormat="false" ht="15" hidden="false" customHeight="false" outlineLevel="0" collapsed="false">
      <c r="A19" s="0" t="s">
        <v>111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112</v>
      </c>
      <c r="B20" s="3" t="n">
        <v>9.5</v>
      </c>
    </row>
    <row r="21" customFormat="false" ht="15" hidden="false" customHeight="false" outlineLevel="0" collapsed="false">
      <c r="A21" s="0" t="s">
        <v>113</v>
      </c>
      <c r="B21" s="3" t="n">
        <v>1.5</v>
      </c>
    </row>
    <row r="22" customFormat="false" ht="15" hidden="false" customHeight="false" outlineLevel="0" collapsed="false">
      <c r="A22" s="0" t="s">
        <v>114</v>
      </c>
      <c r="B22" s="3" t="n">
        <v>14</v>
      </c>
    </row>
    <row r="23" customFormat="false" ht="15" hidden="false" customHeight="false" outlineLevel="0" collapsed="false">
      <c r="A23" s="0" t="s">
        <v>115</v>
      </c>
      <c r="B23" s="3" t="n">
        <v>0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9</v>
      </c>
      <c r="D27" s="3" t="n">
        <v>3.75</v>
      </c>
      <c r="E27" s="3" t="n">
        <v>3.5</v>
      </c>
      <c r="F27" s="3" t="n">
        <v>3.5</v>
      </c>
      <c r="G27" s="3" t="n">
        <v>3.25</v>
      </c>
      <c r="H27" s="3" t="n">
        <v>3</v>
      </c>
      <c r="I27" s="3" t="n">
        <v>3</v>
      </c>
      <c r="J27" s="3" t="n">
        <v>2.75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106</v>
      </c>
      <c r="C28" s="3" t="n">
        <v>67.3</v>
      </c>
      <c r="D28" s="3" t="n">
        <v>67.3</v>
      </c>
      <c r="E28" s="3" t="n">
        <v>67.2</v>
      </c>
      <c r="F28" s="3" t="n">
        <v>67.2</v>
      </c>
      <c r="G28" s="3" t="n">
        <v>67.1</v>
      </c>
      <c r="H28" s="3" t="n">
        <v>67</v>
      </c>
      <c r="I28" s="3" t="n">
        <v>67</v>
      </c>
      <c r="J28" s="3" t="n">
        <v>67</v>
      </c>
      <c r="K28" s="3" t="n">
        <v>67</v>
      </c>
      <c r="L28" s="3" t="n">
        <v>67</v>
      </c>
    </row>
    <row r="29" customFormat="false" ht="15" hidden="false" customHeight="false" outlineLevel="0" collapsed="false">
      <c r="A29" s="0" t="s">
        <v>107</v>
      </c>
      <c r="C29" s="3" t="n">
        <v>0.65</v>
      </c>
      <c r="D29" s="3" t="n">
        <v>0.65</v>
      </c>
      <c r="E29" s="3" t="n">
        <v>0.65</v>
      </c>
      <c r="F29" s="3" t="n">
        <v>0.65</v>
      </c>
      <c r="G29" s="3" t="n">
        <v>0.65</v>
      </c>
      <c r="H29" s="3" t="n">
        <v>0.65</v>
      </c>
      <c r="I29" s="3" t="n">
        <v>0.65</v>
      </c>
      <c r="J29" s="3" t="n">
        <v>0.65</v>
      </c>
      <c r="K29" s="3" t="n">
        <v>0.65</v>
      </c>
      <c r="L29" s="3" t="n">
        <v>0.65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 customFormat="false" ht="15" hidden="false" customHeight="false" outlineLevel="0" collapsed="false">
      <c r="A33" s="0" t="s">
        <v>111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112</v>
      </c>
      <c r="B34" s="3" t="n">
        <v>9.5</v>
      </c>
    </row>
    <row r="35" customFormat="false" ht="15" hidden="false" customHeight="false" outlineLevel="0" collapsed="false">
      <c r="A35" s="0" t="s">
        <v>113</v>
      </c>
      <c r="B35" s="3" t="n">
        <v>2.25</v>
      </c>
    </row>
    <row r="36" customFormat="false" ht="15" hidden="false" customHeight="false" outlineLevel="0" collapsed="false">
      <c r="A36" s="0" t="s">
        <v>114</v>
      </c>
      <c r="B36" s="3" t="n">
        <v>17</v>
      </c>
    </row>
    <row r="37" customFormat="false" ht="15" hidden="false" customHeight="false" outlineLevel="0" collapsed="false">
      <c r="A37" s="0" t="s">
        <v>115</v>
      </c>
      <c r="B37" s="3" t="n">
        <v>0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9.2</v>
      </c>
      <c r="D41" s="3" t="n">
        <v>5</v>
      </c>
      <c r="E41" s="3" t="n">
        <v>5</v>
      </c>
      <c r="F41" s="3" t="n">
        <v>4.5</v>
      </c>
      <c r="G41" s="3" t="n">
        <v>4.5</v>
      </c>
      <c r="H41" s="3" t="n">
        <v>4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106</v>
      </c>
      <c r="C42" s="3" t="n">
        <v>67.4</v>
      </c>
      <c r="D42" s="3" t="n">
        <v>67.6</v>
      </c>
      <c r="E42" s="3" t="n">
        <v>67.9</v>
      </c>
      <c r="F42" s="3" t="n">
        <v>68.2</v>
      </c>
      <c r="G42" s="3" t="n">
        <v>68.4</v>
      </c>
      <c r="H42" s="3" t="n">
        <v>68.5</v>
      </c>
      <c r="I42" s="3" t="n">
        <v>68.5</v>
      </c>
      <c r="J42" s="3" t="n">
        <v>68.5</v>
      </c>
      <c r="K42" s="3" t="n">
        <v>68.5</v>
      </c>
      <c r="L42" s="3" t="n">
        <v>68.5</v>
      </c>
    </row>
    <row r="43" customFormat="false" ht="15" hidden="false" customHeight="false" outlineLevel="0" collapsed="false">
      <c r="A43" s="0" t="s">
        <v>107</v>
      </c>
      <c r="C43" s="3" t="n">
        <v>0.65</v>
      </c>
      <c r="D43" s="3" t="n">
        <v>0.65</v>
      </c>
      <c r="E43" s="3" t="n">
        <v>0.65</v>
      </c>
      <c r="F43" s="3" t="n">
        <v>0.65</v>
      </c>
      <c r="G43" s="3" t="n">
        <v>0.65</v>
      </c>
      <c r="H43" s="3" t="n">
        <v>0.65</v>
      </c>
      <c r="I43" s="3" t="n">
        <v>0.65</v>
      </c>
      <c r="J43" s="3" t="n">
        <v>0.65</v>
      </c>
      <c r="K43" s="3" t="n">
        <v>0.65</v>
      </c>
      <c r="L43" s="3" t="n">
        <v>0.65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 customFormat="false" ht="15" hidden="false" customHeight="false" outlineLevel="0" collapsed="false">
      <c r="A47" s="0" t="s">
        <v>111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112</v>
      </c>
      <c r="B48" s="3" t="n">
        <v>9.5</v>
      </c>
    </row>
    <row r="49" customFormat="false" ht="15" hidden="false" customHeight="false" outlineLevel="0" collapsed="false">
      <c r="A49" s="0" t="s">
        <v>113</v>
      </c>
      <c r="B49" s="3" t="n">
        <v>2.75</v>
      </c>
    </row>
    <row r="50" customFormat="false" ht="15" hidden="false" customHeight="false" outlineLevel="0" collapsed="false">
      <c r="A50" s="0" t="s">
        <v>114</v>
      </c>
      <c r="B50" s="3" t="n">
        <v>19</v>
      </c>
    </row>
    <row r="51" customFormat="false" ht="15" hidden="false" customHeight="false" outlineLevel="0" collapsed="false">
      <c r="A51" s="0" t="s">
        <v>115</v>
      </c>
      <c r="B51" s="3" t="n">
        <v>0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8.5</v>
      </c>
      <c r="D5" s="4" t="n">
        <f aca="false">Assumptions!D13</f>
        <v>0.5</v>
      </c>
      <c r="E5" s="4" t="n">
        <f aca="false">Assumptions!E13</f>
        <v>0.5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5749.377</v>
      </c>
      <c r="C6" s="0" t="n">
        <f aca="false">B6*(1+C5/100)</f>
        <v>6238.074045</v>
      </c>
      <c r="D6" s="0" t="n">
        <f aca="false">C6*(1+D5/100)</f>
        <v>6269.264415225</v>
      </c>
      <c r="E6" s="0" t="n">
        <f aca="false">D6*(1+E5/100)</f>
        <v>6300.61073730112</v>
      </c>
      <c r="F6" s="0" t="n">
        <f aca="false">E6*(1+F5/100)</f>
        <v>6363.61684467414</v>
      </c>
      <c r="G6" s="0" t="n">
        <f aca="false">F6*(1+G5/100)</f>
        <v>6459.07109734425</v>
      </c>
      <c r="H6" s="0" t="n">
        <f aca="false">G6*(1+H5/100)</f>
        <v>6588.25251929113</v>
      </c>
      <c r="I6" s="0" t="n">
        <f aca="false">H6*(1+I5/100)</f>
        <v>6720.01756967696</v>
      </c>
      <c r="J6" s="0" t="n">
        <f aca="false">I6*(1+J5/100)</f>
        <v>6854.41792107049</v>
      </c>
      <c r="K6" s="0" t="n">
        <f aca="false">J6*(1+K5/100)</f>
        <v>6957.23418988655</v>
      </c>
      <c r="L6" s="0" t="n">
        <f aca="false">K6*(1+L5/100)</f>
        <v>7061.59270273485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67</v>
      </c>
      <c r="D7" s="4" t="n">
        <f aca="false">Assumptions!D14</f>
        <v>66</v>
      </c>
      <c r="E7" s="4" t="n">
        <f aca="false">Assumptions!E14</f>
        <v>65</v>
      </c>
      <c r="F7" s="4" t="n">
        <f aca="false">Assumptions!F14</f>
        <v>64.5</v>
      </c>
      <c r="G7" s="4" t="n">
        <f aca="false">Assumptions!G14</f>
        <v>64</v>
      </c>
      <c r="H7" s="4" t="n">
        <f aca="false">Assumptions!H14</f>
        <v>64</v>
      </c>
      <c r="I7" s="4" t="n">
        <f aca="false">Assumptions!I14</f>
        <v>64</v>
      </c>
      <c r="J7" s="4" t="n">
        <f aca="false">Assumptions!J14</f>
        <v>64</v>
      </c>
      <c r="K7" s="4" t="n">
        <f aca="false">Assumptions!K14</f>
        <v>64</v>
      </c>
      <c r="L7" s="4" t="n">
        <f aca="false">Assumptions!L14</f>
        <v>64</v>
      </c>
    </row>
    <row r="8" customFormat="false" ht="15" hidden="false" customHeight="false" outlineLevel="0" collapsed="false">
      <c r="A8" s="0" t="s">
        <v>43</v>
      </c>
      <c r="C8" s="0" t="n">
        <f aca="false">C6*C7/100</f>
        <v>4179.50961015</v>
      </c>
      <c r="D8" s="0" t="n">
        <f aca="false">D6*D7/100</f>
        <v>4137.7145140485</v>
      </c>
      <c r="E8" s="0" t="n">
        <f aca="false">E6*E7/100</f>
        <v>4095.39697924573</v>
      </c>
      <c r="F8" s="0" t="n">
        <f aca="false">F6*F7/100</f>
        <v>4104.53286481482</v>
      </c>
      <c r="G8" s="0" t="n">
        <f aca="false">G6*G7/100</f>
        <v>4133.80550230032</v>
      </c>
      <c r="H8" s="0" t="n">
        <f aca="false">H6*H7/100</f>
        <v>4216.48161234632</v>
      </c>
      <c r="I8" s="0" t="n">
        <f aca="false">I6*I7/100</f>
        <v>4300.81124459325</v>
      </c>
      <c r="J8" s="0" t="n">
        <f aca="false">J6*J7/100</f>
        <v>4386.82746948512</v>
      </c>
      <c r="K8" s="0" t="n">
        <f aca="false">K6*K7/100</f>
        <v>4452.62988152739</v>
      </c>
      <c r="L8" s="0" t="n">
        <f aca="false">L6*L7/100</f>
        <v>4519.4193297503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0.65</v>
      </c>
      <c r="D9" s="4" t="n">
        <f aca="false">Assumptions!D15</f>
        <v>0.65</v>
      </c>
      <c r="E9" s="4" t="n">
        <f aca="false">Assumptions!E15</f>
        <v>0.65</v>
      </c>
      <c r="F9" s="4" t="n">
        <f aca="false">Assumptions!F15</f>
        <v>0.65</v>
      </c>
      <c r="G9" s="4" t="n">
        <f aca="false">Assumptions!G15</f>
        <v>0.65</v>
      </c>
      <c r="H9" s="4" t="n">
        <f aca="false">Assumptions!H15</f>
        <v>0.65</v>
      </c>
      <c r="I9" s="4" t="n">
        <f aca="false">Assumptions!I15</f>
        <v>0.65</v>
      </c>
      <c r="J9" s="4" t="n">
        <f aca="false">Assumptions!J15</f>
        <v>0.65</v>
      </c>
      <c r="K9" s="4" t="n">
        <f aca="false">Assumptions!K15</f>
        <v>0.65</v>
      </c>
      <c r="L9" s="4" t="n">
        <f aca="false">Assumptions!L15</f>
        <v>0.65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-40.5474812925</v>
      </c>
      <c r="D10" s="0" t="n">
        <f aca="false">-D6*D9/100</f>
        <v>-40.7502186989625</v>
      </c>
      <c r="E10" s="0" t="n">
        <f aca="false">-E6*E9/100</f>
        <v>-40.9539697924573</v>
      </c>
      <c r="F10" s="0" t="n">
        <f aca="false">-F6*F9/100</f>
        <v>-41.3635094903819</v>
      </c>
      <c r="G10" s="0" t="n">
        <f aca="false">-G6*G9/100</f>
        <v>-41.9839621327376</v>
      </c>
      <c r="H10" s="0" t="n">
        <f aca="false">-H6*H9/100</f>
        <v>-42.8236413753924</v>
      </c>
      <c r="I10" s="0" t="n">
        <f aca="false">-I6*I9/100</f>
        <v>-43.6801142029002</v>
      </c>
      <c r="J10" s="0" t="n">
        <f aca="false">-J6*J9/100</f>
        <v>-44.5537164869582</v>
      </c>
      <c r="K10" s="0" t="n">
        <f aca="false">-K6*K9/100</f>
        <v>-45.2220222342626</v>
      </c>
      <c r="L10" s="0" t="n">
        <f aca="false">-L6*L9/100</f>
        <v>-45.9003525677765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4138.9621288575</v>
      </c>
      <c r="D11" s="0" t="n">
        <f aca="false">D8+D10+D24</f>
        <v>4096.96429534954</v>
      </c>
      <c r="E11" s="0" t="n">
        <f aca="false">E8+E10+E24</f>
        <v>4054.44300945327</v>
      </c>
      <c r="F11" s="0" t="n">
        <f aca="false">F8+F10+F24</f>
        <v>4063.16935532444</v>
      </c>
      <c r="G11" s="0" t="n">
        <f aca="false">G8+G10+G24</f>
        <v>4091.82154016758</v>
      </c>
      <c r="H11" s="0" t="n">
        <f aca="false">H8+H10+H24</f>
        <v>4173.65797097093</v>
      </c>
      <c r="I11" s="0" t="n">
        <f aca="false">I8+I10+I24</f>
        <v>4257.13113039035</v>
      </c>
      <c r="J11" s="0" t="n">
        <f aca="false">J8+J10+J24</f>
        <v>4342.27375299816</v>
      </c>
      <c r="K11" s="0" t="n">
        <f aca="false">K8+K10+K24</f>
        <v>4407.40785929313</v>
      </c>
      <c r="L11" s="0" t="n">
        <f aca="false">L8+L10+L24</f>
        <v>4473.51897718253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4138.9621288575</v>
      </c>
      <c r="D13" s="0" t="n">
        <f aca="false">D11+D12</f>
        <v>4096.96429534954</v>
      </c>
      <c r="E13" s="0" t="n">
        <f aca="false">E11+E12</f>
        <v>4054.44300945327</v>
      </c>
      <c r="F13" s="0" t="n">
        <f aca="false">F11+F12</f>
        <v>4063.16935532444</v>
      </c>
      <c r="G13" s="0" t="n">
        <f aca="false">G11+G12</f>
        <v>4091.82154016758</v>
      </c>
      <c r="H13" s="0" t="n">
        <f aca="false">H11+H12</f>
        <v>4173.65797097093</v>
      </c>
      <c r="I13" s="0" t="n">
        <f aca="false">I11+I12</f>
        <v>4257.13113039035</v>
      </c>
      <c r="J13" s="0" t="n">
        <f aca="false">J11+J12</f>
        <v>4342.27375299816</v>
      </c>
      <c r="K13" s="0" t="n">
        <f aca="false">K11+K12</f>
        <v>4407.40785929313</v>
      </c>
      <c r="L13" s="0" t="n">
        <f aca="false">L11+L12</f>
        <v>4473.51897718253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4138.9621288575</v>
      </c>
      <c r="D15" s="0" t="n">
        <f aca="false">D13-MAX(0,D13)*D14/100</f>
        <v>4096.96429534954</v>
      </c>
      <c r="E15" s="0" t="n">
        <f aca="false">E13-MAX(0,E13)*E14/100</f>
        <v>4054.44300945327</v>
      </c>
      <c r="F15" s="0" t="n">
        <f aca="false">F13-MAX(0,F13)*F14/100</f>
        <v>4063.16935532444</v>
      </c>
      <c r="G15" s="0" t="n">
        <f aca="false">G13-MAX(0,G13)*G14/100</f>
        <v>4091.82154016758</v>
      </c>
      <c r="H15" s="0" t="n">
        <f aca="false">H13-MAX(0,H13)*H14/100</f>
        <v>4173.65797097093</v>
      </c>
      <c r="I15" s="0" t="n">
        <f aca="false">I13-MAX(0,I13)*I14/100</f>
        <v>4257.13113039035</v>
      </c>
      <c r="J15" s="0" t="n">
        <f aca="false">J13-MAX(0,J13)*J14/100</f>
        <v>4342.27375299816</v>
      </c>
      <c r="K15" s="0" t="n">
        <f aca="false">K13-MAX(0,K13)*K14/100</f>
        <v>4407.40785929313</v>
      </c>
      <c r="L15" s="0" t="n">
        <f aca="false">L13-MAX(0,L13)*L14/100</f>
        <v>4473.51897718253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-0</v>
      </c>
      <c r="D17" s="4" t="n">
        <f aca="false">-D6*Assumptions!D18/100</f>
        <v>-0</v>
      </c>
      <c r="E17" s="4" t="n">
        <f aca="false">-E6*Assumptions!E18/100</f>
        <v>-0</v>
      </c>
      <c r="F17" s="4" t="n">
        <f aca="false">-F6*Assumptions!F18/100</f>
        <v>-0</v>
      </c>
      <c r="G17" s="4" t="n">
        <f aca="false">-G6*Assumptions!G18/100</f>
        <v>-0</v>
      </c>
      <c r="H17" s="4" t="n">
        <f aca="false">-H6*Assumptions!H18/100</f>
        <v>-0</v>
      </c>
      <c r="I17" s="4" t="n">
        <f aca="false">-I6*Assumptions!I18/100</f>
        <v>-0</v>
      </c>
      <c r="J17" s="4" t="n">
        <f aca="false">-J6*Assumptions!J18/100</f>
        <v>-0</v>
      </c>
      <c r="K17" s="4" t="n">
        <f aca="false">-K6*Assumptions!K18/100</f>
        <v>-0</v>
      </c>
      <c r="L17" s="4" t="n">
        <f aca="false">-L6*Assumptions!L18/100</f>
        <v>-0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4138.9621288575</v>
      </c>
      <c r="D19" s="0" t="n">
        <f aca="false">D15+D16+D17+D18</f>
        <v>4096.96429534954</v>
      </c>
      <c r="E19" s="0" t="n">
        <f aca="false">E15+E16+E17+E18</f>
        <v>4054.44300945327</v>
      </c>
      <c r="F19" s="0" t="n">
        <f aca="false">F15+F16+F17+F18</f>
        <v>4063.16935532444</v>
      </c>
      <c r="G19" s="0" t="n">
        <f aca="false">G15+G16+G17+G18</f>
        <v>4091.82154016758</v>
      </c>
      <c r="H19" s="0" t="n">
        <f aca="false">H15+H16+H17+H18</f>
        <v>4173.65797097093</v>
      </c>
      <c r="I19" s="0" t="n">
        <f aca="false">I15+I16+I17+I18</f>
        <v>4257.13113039035</v>
      </c>
      <c r="J19" s="0" t="n">
        <f aca="false">J15+J16+J17+J18</f>
        <v>4342.27375299816</v>
      </c>
      <c r="K19" s="0" t="n">
        <f aca="false">K15+K16+K17+K18</f>
        <v>4407.40785929313</v>
      </c>
      <c r="L19" s="0" t="n">
        <f aca="false">L15+L16+L17+L18</f>
        <v>4473.51897718253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3779.87409028082</v>
      </c>
      <c r="D21" s="0" t="n">
        <f aca="false">D19*D20</f>
        <v>3416.9131547295</v>
      </c>
      <c r="E21" s="0" t="n">
        <f aca="false">E19*E20</f>
        <v>3088.0821332883</v>
      </c>
      <c r="F21" s="0" t="n">
        <f aca="false">F19*F20</f>
        <v>2826.23615363416</v>
      </c>
      <c r="G21" s="0" t="n">
        <f aca="false">G19*G20</f>
        <v>2599.23824371068</v>
      </c>
      <c r="H21" s="0" t="n">
        <f aca="false">H19*H20</f>
        <v>2421.20822701817</v>
      </c>
      <c r="I21" s="0" t="n">
        <f aca="false">I19*I20</f>
        <v>2255.37204708542</v>
      </c>
      <c r="J21" s="0" t="n">
        <f aca="false">J19*J20</f>
        <v>2100.89450961382</v>
      </c>
      <c r="K21" s="0" t="n">
        <f aca="false">K19*K20</f>
        <v>1947.40449977902</v>
      </c>
      <c r="L21" s="0" t="n">
        <f aca="false">L19*L20</f>
        <v>1805.12837194128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26240.3514310812</v>
      </c>
    </row>
    <row r="31" customFormat="false" ht="15" hidden="false" customHeight="false" outlineLevel="0" collapsed="false">
      <c r="A31" s="0" t="s">
        <v>136</v>
      </c>
      <c r="B31" s="0" t="n">
        <f aca="false">L19</f>
        <v>4473.51897718253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56757.7720230033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62629.2656805554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56757.7720230033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22902.566219005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49142.9176500861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49142.9176500861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51.7893536200718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-0.0325172124029178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265.692008460446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234.990813612522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52.3169991275784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33634.2352728908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30.7905513254523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9</v>
      </c>
      <c r="D5" s="4" t="n">
        <f aca="false">Assumptions!D27</f>
        <v>3.75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3.25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2.75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5749.377</v>
      </c>
      <c r="C6" s="0" t="n">
        <f aca="false">B6*(1+C5/100)</f>
        <v>6266.82093</v>
      </c>
      <c r="D6" s="0" t="n">
        <f aca="false">C6*(1+D5/100)</f>
        <v>6501.826714875</v>
      </c>
      <c r="E6" s="0" t="n">
        <f aca="false">D6*(1+E5/100)</f>
        <v>6729.39064989563</v>
      </c>
      <c r="F6" s="0" t="n">
        <f aca="false">E6*(1+F5/100)</f>
        <v>6964.91932264197</v>
      </c>
      <c r="G6" s="0" t="n">
        <f aca="false">F6*(1+G5/100)</f>
        <v>7191.27920062784</v>
      </c>
      <c r="H6" s="0" t="n">
        <f aca="false">G6*(1+H5/100)</f>
        <v>7407.01757664667</v>
      </c>
      <c r="I6" s="0" t="n">
        <f aca="false">H6*(1+I5/100)</f>
        <v>7629.22810394607</v>
      </c>
      <c r="J6" s="0" t="n">
        <f aca="false">I6*(1+J5/100)</f>
        <v>7839.03187680459</v>
      </c>
      <c r="K6" s="0" t="n">
        <f aca="false">J6*(1+K5/100)</f>
        <v>8035.0076737247</v>
      </c>
      <c r="L6" s="0" t="n">
        <f aca="false">K6*(1+L5/100)</f>
        <v>8235.88286556782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67.3</v>
      </c>
      <c r="D7" s="4" t="n">
        <f aca="false">Assumptions!D28</f>
        <v>67.3</v>
      </c>
      <c r="E7" s="4" t="n">
        <f aca="false">Assumptions!E28</f>
        <v>67.2</v>
      </c>
      <c r="F7" s="4" t="n">
        <f aca="false">Assumptions!F28</f>
        <v>67.2</v>
      </c>
      <c r="G7" s="4" t="n">
        <f aca="false">Assumptions!G28</f>
        <v>67.1</v>
      </c>
      <c r="H7" s="4" t="n">
        <f aca="false">Assumptions!H28</f>
        <v>67</v>
      </c>
      <c r="I7" s="4" t="n">
        <f aca="false">Assumptions!I28</f>
        <v>67</v>
      </c>
      <c r="J7" s="4" t="n">
        <f aca="false">Assumptions!J28</f>
        <v>67</v>
      </c>
      <c r="K7" s="4" t="n">
        <f aca="false">Assumptions!K28</f>
        <v>67</v>
      </c>
      <c r="L7" s="4" t="n">
        <f aca="false">Assumptions!L28</f>
        <v>67</v>
      </c>
    </row>
    <row r="8" customFormat="false" ht="15" hidden="false" customHeight="false" outlineLevel="0" collapsed="false">
      <c r="A8" s="0" t="s">
        <v>43</v>
      </c>
      <c r="C8" s="0" t="n">
        <f aca="false">C6*C7/100</f>
        <v>4217.57048589</v>
      </c>
      <c r="D8" s="0" t="n">
        <f aca="false">D6*D7/100</f>
        <v>4375.72937911088</v>
      </c>
      <c r="E8" s="0" t="n">
        <f aca="false">E6*E7/100</f>
        <v>4522.15051672986</v>
      </c>
      <c r="F8" s="0" t="n">
        <f aca="false">F6*F7/100</f>
        <v>4680.42578481541</v>
      </c>
      <c r="G8" s="0" t="n">
        <f aca="false">G6*G7/100</f>
        <v>4825.34834362128</v>
      </c>
      <c r="H8" s="0" t="n">
        <f aca="false">H6*H7/100</f>
        <v>4962.70177635327</v>
      </c>
      <c r="I8" s="0" t="n">
        <f aca="false">I6*I7/100</f>
        <v>5111.58282964387</v>
      </c>
      <c r="J8" s="0" t="n">
        <f aca="false">J6*J7/100</f>
        <v>5252.15135745907</v>
      </c>
      <c r="K8" s="0" t="n">
        <f aca="false">K6*K7/100</f>
        <v>5383.45514139555</v>
      </c>
      <c r="L8" s="0" t="n">
        <f aca="false">L6*L7/100</f>
        <v>5518.04151993044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0.65</v>
      </c>
      <c r="D9" s="4" t="n">
        <f aca="false">Assumptions!D29</f>
        <v>0.65</v>
      </c>
      <c r="E9" s="4" t="n">
        <f aca="false">Assumptions!E29</f>
        <v>0.65</v>
      </c>
      <c r="F9" s="4" t="n">
        <f aca="false">Assumptions!F29</f>
        <v>0.65</v>
      </c>
      <c r="G9" s="4" t="n">
        <f aca="false">Assumptions!G29</f>
        <v>0.65</v>
      </c>
      <c r="H9" s="4" t="n">
        <f aca="false">Assumptions!H29</f>
        <v>0.65</v>
      </c>
      <c r="I9" s="4" t="n">
        <f aca="false">Assumptions!I29</f>
        <v>0.65</v>
      </c>
      <c r="J9" s="4" t="n">
        <f aca="false">Assumptions!J29</f>
        <v>0.65</v>
      </c>
      <c r="K9" s="4" t="n">
        <f aca="false">Assumptions!K29</f>
        <v>0.65</v>
      </c>
      <c r="L9" s="4" t="n">
        <f aca="false">Assumptions!L29</f>
        <v>0.65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-40.734336045</v>
      </c>
      <c r="D10" s="0" t="n">
        <f aca="false">-D6*D9/100</f>
        <v>-42.2618736466875</v>
      </c>
      <c r="E10" s="0" t="n">
        <f aca="false">-E6*E9/100</f>
        <v>-43.7410392243216</v>
      </c>
      <c r="F10" s="0" t="n">
        <f aca="false">-F6*F9/100</f>
        <v>-45.2719755971728</v>
      </c>
      <c r="G10" s="0" t="n">
        <f aca="false">-G6*G9/100</f>
        <v>-46.7433148040809</v>
      </c>
      <c r="H10" s="0" t="n">
        <f aca="false">-H6*H9/100</f>
        <v>-48.1456142482034</v>
      </c>
      <c r="I10" s="0" t="n">
        <f aca="false">-I6*I9/100</f>
        <v>-49.5899826756495</v>
      </c>
      <c r="J10" s="0" t="n">
        <f aca="false">-J6*J9/100</f>
        <v>-50.9537071992298</v>
      </c>
      <c r="K10" s="0" t="n">
        <f aca="false">-K6*K9/100</f>
        <v>-52.2275498792106</v>
      </c>
      <c r="L10" s="0" t="n">
        <f aca="false">-L6*L9/100</f>
        <v>-53.5332386261908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4176.836149845</v>
      </c>
      <c r="D11" s="0" t="n">
        <f aca="false">D8+D10+D24</f>
        <v>4333.46750546419</v>
      </c>
      <c r="E11" s="0" t="n">
        <f aca="false">E8+E10+E24</f>
        <v>4478.40947750554</v>
      </c>
      <c r="F11" s="0" t="n">
        <f aca="false">F8+F10+F24</f>
        <v>4635.15380921823</v>
      </c>
      <c r="G11" s="0" t="n">
        <f aca="false">G8+G10+G24</f>
        <v>4778.6050288172</v>
      </c>
      <c r="H11" s="0" t="n">
        <f aca="false">H8+H10+H24</f>
        <v>4914.55616210507</v>
      </c>
      <c r="I11" s="0" t="n">
        <f aca="false">I8+I10+I24</f>
        <v>5061.99284696822</v>
      </c>
      <c r="J11" s="0" t="n">
        <f aca="false">J8+J10+J24</f>
        <v>5201.19765025984</v>
      </c>
      <c r="K11" s="0" t="n">
        <f aca="false">K8+K10+K24</f>
        <v>5331.22759151634</v>
      </c>
      <c r="L11" s="0" t="n">
        <f aca="false">L8+L10+L24</f>
        <v>5464.50828130425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4176.836149845</v>
      </c>
      <c r="D13" s="0" t="n">
        <f aca="false">D11+D12</f>
        <v>4333.46750546419</v>
      </c>
      <c r="E13" s="0" t="n">
        <f aca="false">E11+E12</f>
        <v>4478.40947750554</v>
      </c>
      <c r="F13" s="0" t="n">
        <f aca="false">F11+F12</f>
        <v>4635.15380921823</v>
      </c>
      <c r="G13" s="0" t="n">
        <f aca="false">G11+G12</f>
        <v>4778.6050288172</v>
      </c>
      <c r="H13" s="0" t="n">
        <f aca="false">H11+H12</f>
        <v>4914.55616210507</v>
      </c>
      <c r="I13" s="0" t="n">
        <f aca="false">I11+I12</f>
        <v>5061.99284696822</v>
      </c>
      <c r="J13" s="0" t="n">
        <f aca="false">J11+J12</f>
        <v>5201.19765025984</v>
      </c>
      <c r="K13" s="0" t="n">
        <f aca="false">K11+K12</f>
        <v>5331.22759151634</v>
      </c>
      <c r="L13" s="0" t="n">
        <f aca="false">L11+L12</f>
        <v>5464.50828130425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4176.836149845</v>
      </c>
      <c r="D15" s="0" t="n">
        <f aca="false">D13-MAX(0,D13)*D14/100</f>
        <v>4333.46750546419</v>
      </c>
      <c r="E15" s="0" t="n">
        <f aca="false">E13-MAX(0,E13)*E14/100</f>
        <v>4478.40947750554</v>
      </c>
      <c r="F15" s="0" t="n">
        <f aca="false">F13-MAX(0,F13)*F14/100</f>
        <v>4635.15380921823</v>
      </c>
      <c r="G15" s="0" t="n">
        <f aca="false">G13-MAX(0,G13)*G14/100</f>
        <v>4778.6050288172</v>
      </c>
      <c r="H15" s="0" t="n">
        <f aca="false">H13-MAX(0,H13)*H14/100</f>
        <v>4914.55616210507</v>
      </c>
      <c r="I15" s="0" t="n">
        <f aca="false">I13-MAX(0,I13)*I14/100</f>
        <v>5061.99284696822</v>
      </c>
      <c r="J15" s="0" t="n">
        <f aca="false">J13-MAX(0,J13)*J14/100</f>
        <v>5201.19765025984</v>
      </c>
      <c r="K15" s="0" t="n">
        <f aca="false">K13-MAX(0,K13)*K14/100</f>
        <v>5331.22759151634</v>
      </c>
      <c r="L15" s="0" t="n">
        <f aca="false">L13-MAX(0,L13)*L14/100</f>
        <v>5464.50828130425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-0</v>
      </c>
      <c r="D17" s="4" t="n">
        <f aca="false">-D6*Assumptions!D32/100</f>
        <v>-0</v>
      </c>
      <c r="E17" s="4" t="n">
        <f aca="false">-E6*Assumptions!E32/100</f>
        <v>-0</v>
      </c>
      <c r="F17" s="4" t="n">
        <f aca="false">-F6*Assumptions!F32/100</f>
        <v>-0</v>
      </c>
      <c r="G17" s="4" t="n">
        <f aca="false">-G6*Assumptions!G32/100</f>
        <v>-0</v>
      </c>
      <c r="H17" s="4" t="n">
        <f aca="false">-H6*Assumptions!H32/100</f>
        <v>-0</v>
      </c>
      <c r="I17" s="4" t="n">
        <f aca="false">-I6*Assumptions!I32/100</f>
        <v>-0</v>
      </c>
      <c r="J17" s="4" t="n">
        <f aca="false">-J6*Assumptions!J32/100</f>
        <v>-0</v>
      </c>
      <c r="K17" s="4" t="n">
        <f aca="false">-K6*Assumptions!K32/100</f>
        <v>-0</v>
      </c>
      <c r="L17" s="4" t="n">
        <f aca="false">-L6*Assumptions!L32/100</f>
        <v>-0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4176.836149845</v>
      </c>
      <c r="D19" s="0" t="n">
        <f aca="false">D15+D16+D17+D18</f>
        <v>4333.46750546419</v>
      </c>
      <c r="E19" s="0" t="n">
        <f aca="false">E15+E16+E17+E18</f>
        <v>4478.40947750554</v>
      </c>
      <c r="F19" s="0" t="n">
        <f aca="false">F15+F16+F17+F18</f>
        <v>4635.15380921823</v>
      </c>
      <c r="G19" s="0" t="n">
        <f aca="false">G15+G16+G17+G18</f>
        <v>4778.6050288172</v>
      </c>
      <c r="H19" s="0" t="n">
        <f aca="false">H15+H16+H17+H18</f>
        <v>4914.55616210507</v>
      </c>
      <c r="I19" s="0" t="n">
        <f aca="false">I15+I16+I17+I18</f>
        <v>5061.99284696822</v>
      </c>
      <c r="J19" s="0" t="n">
        <f aca="false">J15+J16+J17+J18</f>
        <v>5201.19765025984</v>
      </c>
      <c r="K19" s="0" t="n">
        <f aca="false">K15+K16+K17+K18</f>
        <v>5331.22759151634</v>
      </c>
      <c r="L19" s="0" t="n">
        <f aca="false">L15+L16+L17+L18</f>
        <v>5464.50828130425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3814.46223730137</v>
      </c>
      <c r="D21" s="0" t="n">
        <f aca="false">D19*D20</f>
        <v>3614.15942575358</v>
      </c>
      <c r="E21" s="0" t="n">
        <f aca="false">E19*E20</f>
        <v>3410.99782652975</v>
      </c>
      <c r="F21" s="0" t="n">
        <f aca="false">F19*F20</f>
        <v>3224.09383603497</v>
      </c>
      <c r="G21" s="0" t="n">
        <f aca="false">G19*G20</f>
        <v>3035.50211575971</v>
      </c>
      <c r="H21" s="0" t="n">
        <f aca="false">H19*H20</f>
        <v>2851.01555867634</v>
      </c>
      <c r="I21" s="0" t="n">
        <f aca="false">I19*I20</f>
        <v>2681.77719217957</v>
      </c>
      <c r="J21" s="0" t="n">
        <f aca="false">J19*J20</f>
        <v>2516.46215978494</v>
      </c>
      <c r="K21" s="0" t="n">
        <f aca="false">K19*K20</f>
        <v>2355.5924326754</v>
      </c>
      <c r="L21" s="0" t="n">
        <f aca="false">L19*L20</f>
        <v>2205.00661506144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2.25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17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29709.0693997571</v>
      </c>
    </row>
    <row r="31" customFormat="false" ht="15" hidden="false" customHeight="false" outlineLevel="0" collapsed="false">
      <c r="A31" s="0" t="s">
        <v>136</v>
      </c>
      <c r="B31" s="0" t="n">
        <f aca="false">L19</f>
        <v>5464.50828130425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77068.4098983944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92896.6407821722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77068.4098983944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31098.1967434528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60807.2661432098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60807.2661432098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64.081848607029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0.197120280348011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290.478230332795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304.654527253117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64.7090303517713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43823.213471636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36.1534050814374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9.2</v>
      </c>
      <c r="D5" s="4" t="n">
        <f aca="false">Assumptions!D41</f>
        <v>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5749.377</v>
      </c>
      <c r="C6" s="0" t="n">
        <f aca="false">B6*(1+C5/100)</f>
        <v>6278.319684</v>
      </c>
      <c r="D6" s="0" t="n">
        <f aca="false">C6*(1+D5/100)</f>
        <v>6592.2356682</v>
      </c>
      <c r="E6" s="0" t="n">
        <f aca="false">D6*(1+E5/100)</f>
        <v>6921.84745161</v>
      </c>
      <c r="F6" s="0" t="n">
        <f aca="false">E6*(1+F5/100)</f>
        <v>7233.33058693245</v>
      </c>
      <c r="G6" s="0" t="n">
        <f aca="false">F6*(1+G5/100)</f>
        <v>7558.83046334441</v>
      </c>
      <c r="H6" s="0" t="n">
        <f aca="false">G6*(1+H5/100)</f>
        <v>7861.18368187819</v>
      </c>
      <c r="I6" s="0" t="n">
        <f aca="false">H6*(1+I5/100)</f>
        <v>8175.63102915332</v>
      </c>
      <c r="J6" s="0" t="n">
        <f aca="false">I6*(1+J5/100)</f>
        <v>8461.77811517368</v>
      </c>
      <c r="K6" s="0" t="n">
        <f aca="false">J6*(1+K5/100)</f>
        <v>8715.63145862889</v>
      </c>
      <c r="L6" s="0" t="n">
        <f aca="false">K6*(1+L5/100)</f>
        <v>8977.10040238776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67.4</v>
      </c>
      <c r="D7" s="4" t="n">
        <f aca="false">Assumptions!D42</f>
        <v>67.6</v>
      </c>
      <c r="E7" s="4" t="n">
        <f aca="false">Assumptions!E42</f>
        <v>67.9</v>
      </c>
      <c r="F7" s="4" t="n">
        <f aca="false">Assumptions!F42</f>
        <v>68.2</v>
      </c>
      <c r="G7" s="4" t="n">
        <f aca="false">Assumptions!G42</f>
        <v>68.4</v>
      </c>
      <c r="H7" s="4" t="n">
        <f aca="false">Assumptions!H42</f>
        <v>68.5</v>
      </c>
      <c r="I7" s="4" t="n">
        <f aca="false">Assumptions!I42</f>
        <v>68.5</v>
      </c>
      <c r="J7" s="4" t="n">
        <f aca="false">Assumptions!J42</f>
        <v>68.5</v>
      </c>
      <c r="K7" s="4" t="n">
        <f aca="false">Assumptions!K42</f>
        <v>68.5</v>
      </c>
      <c r="L7" s="4" t="n">
        <f aca="false">Assumptions!L42</f>
        <v>68.5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4231.587467016</v>
      </c>
      <c r="D8" s="0" t="n">
        <f aca="false">D6*D7/100</f>
        <v>4456.3513117032</v>
      </c>
      <c r="E8" s="0" t="n">
        <f aca="false">E6*E7/100</f>
        <v>4699.93441964319</v>
      </c>
      <c r="F8" s="0" t="n">
        <f aca="false">F6*F7/100</f>
        <v>4933.13146028793</v>
      </c>
      <c r="G8" s="0" t="n">
        <f aca="false">G6*G7/100</f>
        <v>5170.24003692758</v>
      </c>
      <c r="H8" s="0" t="n">
        <f aca="false">H6*H7/100</f>
        <v>5384.91082208656</v>
      </c>
      <c r="I8" s="0" t="n">
        <f aca="false">I6*I7/100</f>
        <v>5600.30725497002</v>
      </c>
      <c r="J8" s="0" t="n">
        <f aca="false">J6*J7/100</f>
        <v>5796.31800889397</v>
      </c>
      <c r="K8" s="0" t="n">
        <f aca="false">K6*K7/100</f>
        <v>5970.20754916079</v>
      </c>
      <c r="L8" s="0" t="n">
        <f aca="false">L6*L7/100</f>
        <v>6149.31377563562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0.65</v>
      </c>
      <c r="D9" s="4" t="n">
        <f aca="false">Assumptions!D43</f>
        <v>0.65</v>
      </c>
      <c r="E9" s="4" t="n">
        <f aca="false">Assumptions!E43</f>
        <v>0.65</v>
      </c>
      <c r="F9" s="4" t="n">
        <f aca="false">Assumptions!F43</f>
        <v>0.65</v>
      </c>
      <c r="G9" s="4" t="n">
        <f aca="false">Assumptions!G43</f>
        <v>0.65</v>
      </c>
      <c r="H9" s="4" t="n">
        <f aca="false">Assumptions!H43</f>
        <v>0.65</v>
      </c>
      <c r="I9" s="4" t="n">
        <f aca="false">Assumptions!I43</f>
        <v>0.65</v>
      </c>
      <c r="J9" s="4" t="n">
        <f aca="false">Assumptions!J43</f>
        <v>0.65</v>
      </c>
      <c r="K9" s="4" t="n">
        <f aca="false">Assumptions!K43</f>
        <v>0.65</v>
      </c>
      <c r="L9" s="4" t="n">
        <f aca="false">Assumptions!L43</f>
        <v>0.65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-40.809077946</v>
      </c>
      <c r="D10" s="0" t="n">
        <f aca="false">-D6*D9/100</f>
        <v>-42.8495318433</v>
      </c>
      <c r="E10" s="0" t="n">
        <f aca="false">-E6*E9/100</f>
        <v>-44.992008435465</v>
      </c>
      <c r="F10" s="0" t="n">
        <f aca="false">-F6*F9/100</f>
        <v>-47.0166488150609</v>
      </c>
      <c r="G10" s="0" t="n">
        <f aca="false">-G6*G9/100</f>
        <v>-49.1323980117387</v>
      </c>
      <c r="H10" s="0" t="n">
        <f aca="false">-H6*H9/100</f>
        <v>-51.0976939322082</v>
      </c>
      <c r="I10" s="0" t="n">
        <f aca="false">-I6*I9/100</f>
        <v>-53.1416016894966</v>
      </c>
      <c r="J10" s="0" t="n">
        <f aca="false">-J6*J9/100</f>
        <v>-55.0015577486289</v>
      </c>
      <c r="K10" s="0" t="n">
        <f aca="false">-K6*K9/100</f>
        <v>-56.6516044810878</v>
      </c>
      <c r="L10" s="0" t="n">
        <f aca="false">-L6*L9/100</f>
        <v>-58.3511526155204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4190.77838907</v>
      </c>
      <c r="D11" s="0" t="n">
        <f aca="false">D8+D10+D24</f>
        <v>4413.5017798599</v>
      </c>
      <c r="E11" s="0" t="n">
        <f aca="false">E8+E10+E24</f>
        <v>4654.94241120773</v>
      </c>
      <c r="F11" s="0" t="n">
        <f aca="false">F8+F10+F24</f>
        <v>4886.11481147287</v>
      </c>
      <c r="G11" s="0" t="n">
        <f aca="false">G8+G10+G24</f>
        <v>5121.10763891584</v>
      </c>
      <c r="H11" s="0" t="n">
        <f aca="false">H8+H10+H24</f>
        <v>5333.81312815435</v>
      </c>
      <c r="I11" s="0" t="n">
        <f aca="false">I8+I10+I24</f>
        <v>5547.16565328053</v>
      </c>
      <c r="J11" s="0" t="n">
        <f aca="false">J8+J10+J24</f>
        <v>5741.31645114534</v>
      </c>
      <c r="K11" s="0" t="n">
        <f aca="false">K8+K10+K24</f>
        <v>5913.5559446797</v>
      </c>
      <c r="L11" s="0" t="n">
        <f aca="false">L8+L10+L24</f>
        <v>6090.9626230201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4190.77838907</v>
      </c>
      <c r="D13" s="0" t="n">
        <f aca="false">D11+D12</f>
        <v>4413.5017798599</v>
      </c>
      <c r="E13" s="0" t="n">
        <f aca="false">E11+E12</f>
        <v>4654.94241120773</v>
      </c>
      <c r="F13" s="0" t="n">
        <f aca="false">F11+F12</f>
        <v>4886.11481147287</v>
      </c>
      <c r="G13" s="0" t="n">
        <f aca="false">G11+G12</f>
        <v>5121.10763891584</v>
      </c>
      <c r="H13" s="0" t="n">
        <f aca="false">H11+H12</f>
        <v>5333.81312815435</v>
      </c>
      <c r="I13" s="0" t="n">
        <f aca="false">I11+I12</f>
        <v>5547.16565328053</v>
      </c>
      <c r="J13" s="0" t="n">
        <f aca="false">J11+J12</f>
        <v>5741.31645114534</v>
      </c>
      <c r="K13" s="0" t="n">
        <f aca="false">K11+K12</f>
        <v>5913.5559446797</v>
      </c>
      <c r="L13" s="0" t="n">
        <f aca="false">L11+L12</f>
        <v>6090.9626230201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4190.77838907</v>
      </c>
      <c r="D15" s="0" t="n">
        <f aca="false">D13-MAX(0,D13)*D14/100</f>
        <v>4413.5017798599</v>
      </c>
      <c r="E15" s="0" t="n">
        <f aca="false">E13-MAX(0,E13)*E14/100</f>
        <v>4654.94241120773</v>
      </c>
      <c r="F15" s="0" t="n">
        <f aca="false">F13-MAX(0,F13)*F14/100</f>
        <v>4886.11481147287</v>
      </c>
      <c r="G15" s="0" t="n">
        <f aca="false">G13-MAX(0,G13)*G14/100</f>
        <v>5121.10763891584</v>
      </c>
      <c r="H15" s="0" t="n">
        <f aca="false">H13-MAX(0,H13)*H14/100</f>
        <v>5333.81312815435</v>
      </c>
      <c r="I15" s="0" t="n">
        <f aca="false">I13-MAX(0,I13)*I14/100</f>
        <v>5547.16565328053</v>
      </c>
      <c r="J15" s="0" t="n">
        <f aca="false">J13-MAX(0,J13)*J14/100</f>
        <v>5741.31645114534</v>
      </c>
      <c r="K15" s="0" t="n">
        <f aca="false">K13-MAX(0,K13)*K14/100</f>
        <v>5913.5559446797</v>
      </c>
      <c r="L15" s="0" t="n">
        <f aca="false">L13-MAX(0,L13)*L14/100</f>
        <v>6090.9626230201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-0</v>
      </c>
      <c r="D17" s="4" t="n">
        <f aca="false">-D6*Assumptions!D46/100</f>
        <v>-0</v>
      </c>
      <c r="E17" s="4" t="n">
        <f aca="false">-E6*Assumptions!E46/100</f>
        <v>-0</v>
      </c>
      <c r="F17" s="4" t="n">
        <f aca="false">-F6*Assumptions!F46/100</f>
        <v>-0</v>
      </c>
      <c r="G17" s="4" t="n">
        <f aca="false">-G6*Assumptions!G46/100</f>
        <v>-0</v>
      </c>
      <c r="H17" s="4" t="n">
        <f aca="false">-H6*Assumptions!H46/100</f>
        <v>-0</v>
      </c>
      <c r="I17" s="4" t="n">
        <f aca="false">-I6*Assumptions!I46/100</f>
        <v>-0</v>
      </c>
      <c r="J17" s="4" t="n">
        <f aca="false">-J6*Assumptions!J46/100</f>
        <v>-0</v>
      </c>
      <c r="K17" s="4" t="n">
        <f aca="false">-K6*Assumptions!K46/100</f>
        <v>-0</v>
      </c>
      <c r="L17" s="4" t="n">
        <f aca="false">-L6*Assumptions!L46/100</f>
        <v>-0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4190.77838907</v>
      </c>
      <c r="D19" s="0" t="n">
        <f aca="false">D15+D16+D17+D18</f>
        <v>4413.5017798599</v>
      </c>
      <c r="E19" s="0" t="n">
        <f aca="false">E15+E16+E17+E18</f>
        <v>4654.94241120773</v>
      </c>
      <c r="F19" s="0" t="n">
        <f aca="false">F15+F16+F17+F18</f>
        <v>4886.11481147287</v>
      </c>
      <c r="G19" s="0" t="n">
        <f aca="false">G15+G16+G17+G18</f>
        <v>5121.10763891584</v>
      </c>
      <c r="H19" s="0" t="n">
        <f aca="false">H15+H16+H17+H18</f>
        <v>5333.81312815435</v>
      </c>
      <c r="I19" s="0" t="n">
        <f aca="false">I15+I16+I17+I18</f>
        <v>5547.16565328053</v>
      </c>
      <c r="J19" s="0" t="n">
        <f aca="false">J15+J16+J17+J18</f>
        <v>5741.31645114534</v>
      </c>
      <c r="K19" s="0" t="n">
        <f aca="false">K15+K16+K17+K18</f>
        <v>5913.5559446797</v>
      </c>
      <c r="L19" s="0" t="n">
        <f aca="false">L15+L16+L17+L18</f>
        <v>6090.9626230201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3827.19487586302</v>
      </c>
      <c r="D21" s="0" t="n">
        <f aca="false">D19*D20</f>
        <v>3680.90888835504</v>
      </c>
      <c r="E21" s="0" t="n">
        <f aca="false">E19*E20</f>
        <v>3545.45481537671</v>
      </c>
      <c r="F21" s="0" t="n">
        <f aca="false">F19*F20</f>
        <v>3398.65585787018</v>
      </c>
      <c r="G21" s="0" t="n">
        <f aca="false">G19*G20</f>
        <v>3253.06924912562</v>
      </c>
      <c r="H21" s="0" t="n">
        <f aca="false">H19*H20</f>
        <v>3094.23347986048</v>
      </c>
      <c r="I21" s="0" t="n">
        <f aca="false">I19*I20</f>
        <v>2938.81535986749</v>
      </c>
      <c r="J21" s="0" t="n">
        <f aca="false">J19*J20</f>
        <v>2777.78438124462</v>
      </c>
      <c r="K21" s="0" t="n">
        <f aca="false">K19*K20</f>
        <v>2612.89307094242</v>
      </c>
      <c r="L21" s="0" t="n">
        <f aca="false">L19*L20</f>
        <v>2457.78982928831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2.75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19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31586.7998077939</v>
      </c>
    </row>
    <row r="31" customFormat="false" ht="15" hidden="false" customHeight="false" outlineLevel="0" collapsed="false">
      <c r="A31" s="0" t="s">
        <v>136</v>
      </c>
      <c r="B31" s="0" t="n">
        <f aca="false">L19</f>
        <v>6090.9626230201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92717.9865948615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115728.289837382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92717.9865948615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37413.0229569442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68999.8227647381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68999.8227647381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72.7155893821668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0.358408170785855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304.172021765926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358.415105703961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73.4138580379471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51089.5028175767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39.4827365523308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51.7893536200718</v>
      </c>
      <c r="C4" s="0" t="n">
        <f aca="false">B4/Assumptions!$B$2-1</f>
        <v>-0.0325172124029178</v>
      </c>
      <c r="D4" s="4" t="n">
        <f aca="false">Assumptions!$B$24</f>
        <v>0.25</v>
      </c>
      <c r="E4" s="4" t="n">
        <f aca="false">DCF_Bear!$B$43</f>
        <v>52.3169991275784</v>
      </c>
      <c r="F4" s="4" t="n">
        <f aca="false">DCF_Bear!$B$47</f>
        <v>30.7905513254523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64.081848607029</v>
      </c>
      <c r="C5" s="0" t="n">
        <f aca="false">B5/Assumptions!$B$2-1</f>
        <v>0.197120280348011</v>
      </c>
      <c r="D5" s="4" t="n">
        <f aca="false">Assumptions!$B$38</f>
        <v>0.5</v>
      </c>
      <c r="E5" s="4" t="n">
        <f aca="false">DCF_Base!$B$43</f>
        <v>64.7090303517713</v>
      </c>
      <c r="F5" s="4" t="n">
        <f aca="false">DCF_Base!$B$47</f>
        <v>36.1534050814374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72.7155893821668</v>
      </c>
      <c r="C6" s="0" t="n">
        <f aca="false">B6/Assumptions!$B$2-1</f>
        <v>0.358408170785855</v>
      </c>
      <c r="D6" s="4" t="n">
        <f aca="false">Assumptions!$B$52</f>
        <v>0.25</v>
      </c>
      <c r="E6" s="4" t="n">
        <f aca="false">DCF_Bull!$B$43</f>
        <v>73.4138580379471</v>
      </c>
      <c r="F6" s="4" t="n">
        <f aca="false">DCF_Bull!$B$47</f>
        <v>39.4827365523308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63.1671600540742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63.787229467267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0.152565985962077</v>
      </c>
    </row>
    <row r="11" customFormat="false" ht="15" hidden="false" customHeight="false" outlineLevel="0" collapsed="false">
      <c r="A11" s="0" t="s">
        <v>163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35.6450245101645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68.8856555611885</v>
      </c>
      <c r="C15" s="3" t="n">
        <v>9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64.081848607029</v>
      </c>
      <c r="C16" s="3" t="n">
        <v>9.5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59.8991869848215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52.9712149580066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47.4680891563073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36.1534050814374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1.25</v>
      </c>
      <c r="C23" s="3" t="n">
        <v>1.75</v>
      </c>
      <c r="D23" s="3" t="n">
        <v>2.25</v>
      </c>
      <c r="E23" s="3" t="n">
        <v>2.75</v>
      </c>
      <c r="F23" s="3" t="n">
        <v>3.25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79.645262845465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81.880563711092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81.880563711092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81.880563711092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81.880563711092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68.3609323045107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71.1844546108808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74.45974048627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76.0898366823162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76.0898366823162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59.8277102128419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61.8175491391552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64.081848607029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66.6815998479211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69.697311287356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53.1523165699685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54.6007227133799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56.2246932378109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58.0582083460393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60.1446220898855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47.7901489083981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48.8718278095915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50.0704449703733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51.4060469495302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52.9035400776758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2026-10-02T06:24:03Z</dcterms:created>
  <dc:creator>openpyxl</dc:creator>
  <dc:description/>
  <dc:language>en-NZ</dc:language>
  <cp:lastModifiedBy/>
  <dcterms:modified xsi:type="dcterms:W3CDTF">2026-10-02T06:24:03Z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