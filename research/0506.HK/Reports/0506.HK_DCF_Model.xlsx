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<sst xmlns="http://schemas.openxmlformats.org/spreadsheetml/2006/main" count="354" uniqueCount="164">
  <si>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</si>
  <si>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0506.HK</t>
  </si>
  <si>
    <t xml:space="preserve">Company</t>
  </si>
  <si>
    <t xml:space="preserve">China Foods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</si>
  <si>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</si>
  <si>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</si>
  <si>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</si>
  <si>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</si>
  <si>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Finance chart API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</si>
  <si>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</si>
  <si>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</si>
  <si>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</si>
  <si>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</si>
  <si>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</si>
  <si>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</si>
  <si>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</si>
  <si>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</si>
  <si>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</si>
  <si>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</si>
  <si>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</si>
  <si>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</si>
  <si>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</si>
  <si>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2026-10-10T22:45:22Z</t>
  </si>
  <si>
    <t xml:space="preserve">Drivers file</t>
  </si>
  <si>
    <t xml:space="preserve">0506.HK_Drivers.json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</si>
  <si>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</si>
  <si>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</si>
  <si>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</si>
  <si>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no-SBC, ~50%-payout SOE consumer staple whose value is the attributable (~60%) share of a mature Coca-Cola bottling franchise's free cash flow plus its share of the cash pile. The valuation hinges on three things: the NCI leakage being charged once (via the combined rate, with the NCI share of cash deducted), a slow-growth revenue path, and an EBITDA margin that holds 12-14.5% against water-mix dilution. Value is computed in CNY and reported in HKD at the CNY/HKD rate in fx_note.
key_risks_to_valuation: Franchise/licensor dependence: any change in the Coca-Cola Company bottling agreement, territory or concentrate pricing hits the whole value; Chinese beverage price deflation and water-mix gross-margin dilution (gross margin -0.7pp FY2025, -1.4pp H1 FY2026); NCI look-through approximation: ~40% leakage rate assumed stable; a change in Coca-Cola's 35% or in sub-level minorities moves it; SOE capital allocation: cash keeps accumulating at a low yield rather than being returned; the bridge credits it at face value; CNY/HKD rate is a dated snapshot; refresh_price.py does not move fx_rate</t>
  </si>
  <si>
    <t xml:space="preserve">Data sources</t>
  </si>
  <si>
    <t xml:space="preserve">price: Yahoo Finance chart API at inputs.price_as_of; 52-week range 3.02-4.95 HKD
fx: Yahoo Finance CNYHKD=X at the date in inputs.fx_note
financials: 0506.HK_Metrics.csv (core_metrics) and kpis; FY2025 annual report (balance sheet, cash flow, note 34(b) COFCO Coca-Cola summarised financials); H1 FY2026 interim report (share count, dividends payable, liquidity)
qualitative: 0506.HK_Analysis.json</t>
  </si>
  <si>
    <t xml:space="preserve">Scenario narrative: bear</t>
  </si>
  <si>
    <t xml:space="preserve">Price war with Nongfu Spring, Master Kong and domestic sugar-free challengers, plus weak Chinese consumption, keeps volume flat and price negative; water keeps diluting gross margin and The Coca-Cola Company presses concentrate pricing or bottler economics, so EBITDA margin slides to 12.0%. Revenue grows ~1%/yr. The franchise survives (no territory loss is modelled -- that tail is the reason for the bear weight, not a scenario of its own), but the business is an ex-growth cash cow.</t>
  </si>
  <si>
    <t xml:space="preserve">Scenario narrative: base</t>
  </si>
  <si>
    <t xml:space="preserve">The 19-province Coca-Cola franchise keeps compounding volume at low single digits in a soft, price-deflationary Chinese beverage market: sugar-free sparkling and Monster/Predator energy grow fast, water grows volume at thin margin, juice shrinks. Revenue grows ~3.5% near-term (H1 FY2026 +4%) fading to 2.5%, and distribution-cost efficiency and the digital factories roughly offset the water-mix gross-margin drag, lifting EBITDA margin half a point to 13.5%. Innovative businesses (vending, Yuexiang Club, nutrition foods) stay immaterial. The JV with The Coca-Cola Company is stable and dividends keep flowing at ~50% payout with cash accumulating.</t>
  </si>
  <si>
    <t xml:space="preserve">Scenario narrative: bull</t>
  </si>
  <si>
    <t xml:space="preserve">Sugar-free and functional drinks keep taking share, RFP channel partners open lower-tier markets and smart-vending scale lifts on-premise mix: revenue grows 4.5-5% for several years and EBITDA margin climbs to 14.5% as digital-intelligent plants cut unit costs and the mix moves away from water. The nutrition/health-food 'second curve' begins to contribute. Terminal growth 2.5% reflects a franchise still gaining share at the end of the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</si>
  <si>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</si>
  <si>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</si>
  <si>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</si>
  <si>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</si>
  <si>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</si>
  <si>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</si>
  <si>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</si>
  <si>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</si>
  <si>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</si>
  <si>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</si>
  <si>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</si>
  <si>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</si>
  <si>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</si>
  <si>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</si>
  <si>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</si>
  <si>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</si>
  <si>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</si>
  <si>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</si>
  <si>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</si>
  <si>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</si>
  <si>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</si>
  <si>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</si>
  <si>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</si>
  <si>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</si>
  <si>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</si>
  <si>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</si>
  <si>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</si>
  <si>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</si>
  <si>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</si>
  <si>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</si>
  <si>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</si>
  <si>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</si>
  <si>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</si>
  <si>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</si>
  <si>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</si>
  <si>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</si>
  <si>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</si>
  <si>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</si>
  <si>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</si>
  <si>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</si>
  <si>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</si>
  <si>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</si>
  <si>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</si>
  <si>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</si>
  <si>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</si>
  <si>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</si>
  <si>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</si>
  <si>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</si>
  <si>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</si>
  <si>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</si>
  <si>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</si>
  <si>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</si>
  <si>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</si>
  <si>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</si>
  <si>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</si>
  <si>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</si>
  <si>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</si>
  <si>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</si>
  <si>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</si>
  <si>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</si>
  <si>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</si>
  <si>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</si>
  <si>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</si>
  <si>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</si>
  <si>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</si>
  <si>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</si>
  <si>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</si>
  <si>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</si>
  <si>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</si>
  <si>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</si>
  <si>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</si>
  <si>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</si>
  <si>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0506.HK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</si>
  <si>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</si>
  <si>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</si>
  <si>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</si>
  <si>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</si>
  <si>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</si>
  <si>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</si>
  <si>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</si>
  <si>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</si>
  <si>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</si>
  <si>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</si>
  <si>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</si>
  <si>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</si>
  <si>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</si>
  <si>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</si>
  <si>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</si>
  <si>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</si>
  <si>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</si>
  <si>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</si>
  <si>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</si>
  <si>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</si>
  <si>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</si>
  <si>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</si>
  <si>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</si>
  <si>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</si>
  <si>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</si>
  <si>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</si>
  <si>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</si>
  <si>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</si>
  <si>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</si>
  <si>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</si>
  <si>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0506.HK owner-FCF component DCF: base case (millions, CNY)</t>
  </si>
  <si>
    <t xml:space="preserve">0506.HK owner-FCF component DCF: bull case (millions, CNY)</t>
  </si>
  <si>
    <t xml:space="preserve">0506.HK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</si>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</sst>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3.775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15648.051</v>
      </c>
      <c r="C2" s="0" t="n">
        <v>10106.74</v>
      </c>
      <c r="D2" s="0" t="n">
        <v>5541.311</v>
      </c>
      <c r="E2" s="0" t="n">
        <v>35.4</v>
      </c>
      <c r="F2" s="0" t="n">
        <v>768.822</v>
      </c>
      <c r="G2" s="0" t="n">
        <v>4.9</v>
      </c>
      <c r="H2" s="0" t="n">
        <v>1198.786</v>
      </c>
      <c r="I2" s="0" t="n">
        <v>320.858</v>
      </c>
      <c r="J2" s="0" t="n">
        <v>2.1</v>
      </c>
      <c r="K2" s="0" t="n">
        <v>0.1147</v>
      </c>
      <c r="L2" s="0" t="n">
        <v>1274.538</v>
      </c>
      <c r="M2" s="0" t="n">
        <v>686.305</v>
      </c>
      <c r="N2" s="0" t="n">
        <v>588.233</v>
      </c>
      <c r="O2" s="0" t="n">
        <v>4218.912</v>
      </c>
      <c r="P2" s="0" t="n">
        <v>13288.45</v>
      </c>
      <c r="Q2" s="0" t="n">
        <v>6575.014</v>
      </c>
      <c r="R2" s="0" t="n">
        <v>1166.5</v>
      </c>
      <c r="S2" s="0" t="n">
        <v>243.235</v>
      </c>
      <c r="T2" s="0" t="n">
        <v>2797.22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17172.027</v>
      </c>
      <c r="C3" s="0" t="n">
        <v>10898.054</v>
      </c>
      <c r="D3" s="0" t="n">
        <v>6273.973</v>
      </c>
      <c r="E3" s="0" t="n">
        <v>36.5</v>
      </c>
      <c r="F3" s="0" t="n">
        <v>1025.202</v>
      </c>
      <c r="G3" s="0" t="n">
        <v>6</v>
      </c>
      <c r="H3" s="0" t="n">
        <v>1464.389</v>
      </c>
      <c r="I3" s="0" t="n">
        <v>417.789</v>
      </c>
      <c r="J3" s="0" t="n">
        <v>2.4</v>
      </c>
      <c r="K3" s="0" t="n">
        <v>0.1494</v>
      </c>
      <c r="L3" s="0" t="n">
        <v>1901.304</v>
      </c>
      <c r="M3" s="0" t="n">
        <v>705.144</v>
      </c>
      <c r="N3" s="0" t="n">
        <v>1196.16</v>
      </c>
      <c r="O3" s="0" t="n">
        <v>4540.467</v>
      </c>
      <c r="P3" s="0" t="n">
        <v>14448.364</v>
      </c>
      <c r="Q3" s="0" t="n">
        <v>7136.009</v>
      </c>
      <c r="R3" s="0" t="n">
        <v>606.5</v>
      </c>
      <c r="S3" s="0" t="n">
        <v>834.789</v>
      </c>
      <c r="T3" s="0" t="n">
        <v>2797.22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17249.138</v>
      </c>
      <c r="C4" s="0" t="n">
        <v>10423.563</v>
      </c>
      <c r="D4" s="0" t="n">
        <v>6825.575</v>
      </c>
      <c r="E4" s="0" t="n">
        <v>39.6</v>
      </c>
      <c r="F4" s="0" t="n">
        <v>1242.675</v>
      </c>
      <c r="G4" s="0" t="n">
        <v>7.2</v>
      </c>
      <c r="I4" s="0" t="n">
        <v>498.734</v>
      </c>
      <c r="J4" s="0" t="n">
        <v>2.9</v>
      </c>
      <c r="K4" s="0" t="n">
        <v>0.1783</v>
      </c>
      <c r="L4" s="0" t="n">
        <v>2214.333</v>
      </c>
      <c r="M4" s="0" t="n">
        <v>579.635</v>
      </c>
      <c r="N4" s="0" t="n">
        <v>1634.698</v>
      </c>
      <c r="O4" s="0" t="n">
        <v>4953.921</v>
      </c>
      <c r="P4" s="0" t="n">
        <v>15110.192</v>
      </c>
      <c r="Q4" s="0" t="n">
        <v>7030.972</v>
      </c>
      <c r="R4" s="0" t="n">
        <v>20</v>
      </c>
      <c r="S4" s="0" t="n">
        <v>1860.415</v>
      </c>
      <c r="T4" s="0" t="n">
        <v>2797.22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19784.422</v>
      </c>
      <c r="C5" s="0" t="n">
        <v>12723.534</v>
      </c>
      <c r="D5" s="0" t="n">
        <v>7060.888</v>
      </c>
      <c r="E5" s="0" t="n">
        <v>35.7</v>
      </c>
      <c r="F5" s="0" t="n">
        <v>1397.896</v>
      </c>
      <c r="G5" s="0" t="n">
        <v>7.1</v>
      </c>
      <c r="I5" s="0" t="n">
        <v>572.415</v>
      </c>
      <c r="J5" s="0" t="n">
        <v>2.9</v>
      </c>
      <c r="K5" s="0" t="n">
        <v>0.2046</v>
      </c>
      <c r="L5" s="0" t="n">
        <v>1073.988</v>
      </c>
      <c r="M5" s="0" t="n">
        <v>727.204</v>
      </c>
      <c r="N5" s="0" t="n">
        <v>346.784</v>
      </c>
      <c r="O5" s="0" t="n">
        <v>5157.431</v>
      </c>
      <c r="P5" s="0" t="n">
        <v>15168.064</v>
      </c>
      <c r="Q5" s="0" t="n">
        <v>6778.769</v>
      </c>
      <c r="R5" s="0" t="n">
        <v>0</v>
      </c>
      <c r="S5" s="0" t="n">
        <v>1591.703</v>
      </c>
      <c r="T5" s="0" t="n">
        <v>2797.22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20967.837</v>
      </c>
      <c r="C6" s="0" t="n">
        <v>13469.507</v>
      </c>
      <c r="D6" s="0" t="n">
        <v>7498.33</v>
      </c>
      <c r="E6" s="0" t="n">
        <v>35.8</v>
      </c>
      <c r="F6" s="0" t="n">
        <v>1588.062</v>
      </c>
      <c r="G6" s="0" t="n">
        <v>7.6</v>
      </c>
      <c r="I6" s="0" t="n">
        <v>659.836</v>
      </c>
      <c r="J6" s="0" t="n">
        <v>3.1</v>
      </c>
      <c r="K6" s="0" t="n">
        <v>0.2359</v>
      </c>
      <c r="L6" s="0" t="n">
        <v>1141.066</v>
      </c>
      <c r="M6" s="0" t="n">
        <v>888.707</v>
      </c>
      <c r="N6" s="0" t="n">
        <v>252.359</v>
      </c>
      <c r="O6" s="0" t="n">
        <v>5520.216</v>
      </c>
      <c r="P6" s="0" t="n">
        <v>15062.955</v>
      </c>
      <c r="Q6" s="0" t="n">
        <v>6200.743</v>
      </c>
      <c r="R6" s="0" t="n">
        <v>0</v>
      </c>
      <c r="S6" s="0" t="n">
        <v>1037.408</v>
      </c>
      <c r="T6" s="0" t="n">
        <v>2797.22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21446.436</v>
      </c>
      <c r="C7" s="0" t="n">
        <v>13902.63</v>
      </c>
      <c r="D7" s="0" t="n">
        <v>7543.806</v>
      </c>
      <c r="E7" s="0" t="n">
        <v>35.2</v>
      </c>
      <c r="F7" s="0" t="n">
        <v>1848.961</v>
      </c>
      <c r="G7" s="0" t="n">
        <v>8.6</v>
      </c>
      <c r="I7" s="0" t="n">
        <v>832.577</v>
      </c>
      <c r="J7" s="0" t="n">
        <v>3.9</v>
      </c>
      <c r="K7" s="0" t="n">
        <v>0.2976</v>
      </c>
      <c r="L7" s="0" t="n">
        <v>2429.687</v>
      </c>
      <c r="M7" s="0" t="n">
        <v>647.709</v>
      </c>
      <c r="N7" s="0" t="n">
        <v>1781.978</v>
      </c>
      <c r="O7" s="0" t="n">
        <v>6015.432</v>
      </c>
      <c r="P7" s="0" t="n">
        <v>16225.607</v>
      </c>
      <c r="Q7" s="0" t="n">
        <v>6538.651</v>
      </c>
      <c r="R7" s="0" t="n">
        <v>0</v>
      </c>
      <c r="S7" s="0" t="n">
        <v>2293.015</v>
      </c>
      <c r="T7" s="0" t="n">
        <v>2797.22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21491.811</v>
      </c>
      <c r="C8" s="0" t="n">
        <v>13370.967</v>
      </c>
      <c r="D8" s="0" t="n">
        <v>8120.844</v>
      </c>
      <c r="E8" s="0" t="n">
        <v>37.8</v>
      </c>
      <c r="F8" s="0" t="n">
        <v>1865.899</v>
      </c>
      <c r="G8" s="0" t="n">
        <v>8.7</v>
      </c>
      <c r="H8" s="0" t="n">
        <v>2722.434</v>
      </c>
      <c r="I8" s="0" t="n">
        <v>860.535</v>
      </c>
      <c r="J8" s="0" t="n">
        <v>4</v>
      </c>
      <c r="K8" s="0" t="n">
        <v>0.3076</v>
      </c>
      <c r="L8" s="0" t="n">
        <v>2847.149</v>
      </c>
      <c r="M8" s="0" t="n">
        <v>774.634</v>
      </c>
      <c r="N8" s="0" t="n">
        <v>2072.515</v>
      </c>
      <c r="O8" s="0" t="n">
        <v>6461.978</v>
      </c>
      <c r="P8" s="0" t="n">
        <v>17598.367</v>
      </c>
      <c r="Q8" s="0" t="n">
        <v>7400.151</v>
      </c>
      <c r="R8" s="0" t="n">
        <v>0</v>
      </c>
      <c r="S8" s="0" t="n">
        <v>4014.404</v>
      </c>
      <c r="T8" s="0" t="n">
        <v>2797.22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22070.162</v>
      </c>
      <c r="C9" s="0" t="n">
        <v>13887.379</v>
      </c>
      <c r="D9" s="0" t="n">
        <v>8182.783</v>
      </c>
      <c r="E9" s="0" t="n">
        <v>37.1</v>
      </c>
      <c r="F9" s="0" t="n">
        <v>1978.925</v>
      </c>
      <c r="G9" s="0" t="n">
        <v>9</v>
      </c>
      <c r="H9" s="0" t="n">
        <v>2872.49</v>
      </c>
      <c r="I9" s="0" t="n">
        <v>861.968</v>
      </c>
      <c r="J9" s="0" t="n">
        <v>3.9</v>
      </c>
      <c r="K9" s="0" t="n">
        <v>0.3082</v>
      </c>
      <c r="L9" s="0" t="n">
        <v>3229.308</v>
      </c>
      <c r="M9" s="0" t="n">
        <v>1060.515</v>
      </c>
      <c r="N9" s="0" t="n">
        <v>2168.793</v>
      </c>
      <c r="O9" s="0" t="n">
        <v>6896.338</v>
      </c>
      <c r="P9" s="0" t="n">
        <v>18385.358</v>
      </c>
      <c r="Q9" s="0" t="n">
        <v>7824.163</v>
      </c>
      <c r="R9" s="0" t="n">
        <v>0</v>
      </c>
      <c r="S9" s="0" t="n">
        <v>4549.48</v>
      </c>
      <c r="T9" s="0" t="n">
        <v>2797.22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3.775</v>
      </c>
    </row>
    <row r="3" customFormat="false" ht="15" hidden="false" customHeight="false" outlineLevel="0" collapsed="false">
      <c r="A3" s="0" t="s">
        <v>75</v>
      </c>
      <c r="B3" s="3" t="n">
        <v>2797.223</v>
      </c>
    </row>
    <row r="4" customFormat="false" ht="15" hidden="false" customHeight="false" outlineLevel="0" collapsed="false">
      <c r="A4" s="0" t="s">
        <v>76</v>
      </c>
      <c r="B4" s="3" t="n">
        <v>-4481</v>
      </c>
    </row>
    <row r="5" customFormat="false" ht="15" hidden="false" customHeight="false" outlineLevel="0" collapsed="false">
      <c r="A5" s="0" t="s">
        <v>77</v>
      </c>
      <c r="B5" s="3" t="n">
        <v>-1775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22070.162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96</v>
      </c>
      <c r="C14" s="3" t="n">
        <v>12.8</v>
      </c>
      <c r="D14" s="3" t="n">
        <v>12.5</v>
      </c>
      <c r="E14" s="3" t="n">
        <v>12.2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4.3</v>
      </c>
      <c r="D17" s="3" t="n">
        <v>4.3</v>
      </c>
      <c r="E17" s="3" t="n">
        <v>4.3</v>
      </c>
      <c r="F17" s="3" t="n">
        <v>4.3</v>
      </c>
      <c r="G17" s="3" t="n">
        <v>4.3</v>
      </c>
      <c r="H17" s="3" t="n">
        <v>4.3</v>
      </c>
      <c r="I17" s="3" t="n">
        <v>4.3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100</v>
      </c>
      <c r="C18" s="3" t="n">
        <v>4.5</v>
      </c>
      <c r="D18" s="3" t="n">
        <v>4.4</v>
      </c>
      <c r="E18" s="3" t="n">
        <v>4.3</v>
      </c>
      <c r="F18" s="3" t="n">
        <v>4.3</v>
      </c>
      <c r="G18" s="3" t="n">
        <v>4.3</v>
      </c>
      <c r="H18" s="3" t="n">
        <v>4.3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101</v>
      </c>
      <c r="C19" s="3" t="n">
        <v>57</v>
      </c>
      <c r="D19" s="3" t="n">
        <v>57</v>
      </c>
      <c r="E19" s="3" t="n">
        <v>57</v>
      </c>
      <c r="F19" s="3" t="n">
        <v>57</v>
      </c>
      <c r="G19" s="3" t="n">
        <v>57</v>
      </c>
      <c r="H19" s="3" t="n">
        <v>57</v>
      </c>
      <c r="I19" s="3" t="n">
        <v>57</v>
      </c>
      <c r="J19" s="3" t="n">
        <v>57</v>
      </c>
      <c r="K19" s="3" t="n">
        <v>57</v>
      </c>
      <c r="L19" s="3" t="n">
        <v>57</v>
      </c>
    </row>
    <row r="20" customFormat="false" ht="15" hidden="false" customHeight="false" outlineLevel="0" collapsed="false">
      <c r="A20" s="0" t="s">
        <v>102</v>
      </c>
      <c r="B20" s="3" t="n">
        <v>8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8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3.5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13.2</v>
      </c>
      <c r="D28" s="3" t="n">
        <v>13.3</v>
      </c>
      <c r="E28" s="3" t="n">
        <v>13.4</v>
      </c>
      <c r="F28" s="3" t="n">
        <v>13.5</v>
      </c>
      <c r="G28" s="3" t="n">
        <v>13.5</v>
      </c>
      <c r="H28" s="3" t="n">
        <v>13.5</v>
      </c>
      <c r="I28" s="3" t="n">
        <v>13.5</v>
      </c>
      <c r="J28" s="3" t="n">
        <v>13.5</v>
      </c>
      <c r="K28" s="3" t="n">
        <v>13.5</v>
      </c>
      <c r="L28" s="3" t="n">
        <v>13.5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4.3</v>
      </c>
      <c r="D31" s="3" t="n">
        <v>4.3</v>
      </c>
      <c r="E31" s="3" t="n">
        <v>4.3</v>
      </c>
      <c r="F31" s="3" t="n">
        <v>4.3</v>
      </c>
      <c r="G31" s="3" t="n">
        <v>4.3</v>
      </c>
      <c r="H31" s="3" t="n">
        <v>4.3</v>
      </c>
      <c r="I31" s="3" t="n">
        <v>4.3</v>
      </c>
      <c r="J31" s="3" t="n">
        <v>4.3</v>
      </c>
      <c r="K31" s="3" t="n">
        <v>4.3</v>
      </c>
      <c r="L31" s="3" t="n">
        <v>4.3</v>
      </c>
    </row>
    <row r="32" customFormat="false" ht="15" hidden="false" customHeight="false" outlineLevel="0" collapsed="false">
      <c r="A32" s="0" t="s">
        <v>100</v>
      </c>
      <c r="C32" s="3" t="n">
        <v>4.6</v>
      </c>
      <c r="D32" s="3" t="n">
        <v>4.5</v>
      </c>
      <c r="E32" s="3" t="n">
        <v>4.4</v>
      </c>
      <c r="F32" s="3" t="n">
        <v>4.4</v>
      </c>
      <c r="G32" s="3" t="n">
        <v>4.4</v>
      </c>
      <c r="H32" s="3" t="n">
        <v>4.4</v>
      </c>
      <c r="I32" s="3" t="n">
        <v>4.4</v>
      </c>
      <c r="J32" s="3" t="n">
        <v>4.4</v>
      </c>
      <c r="K32" s="3" t="n">
        <v>4.4</v>
      </c>
      <c r="L32" s="3" t="n">
        <v>4.4</v>
      </c>
    </row>
    <row r="33" customFormat="false" ht="15" hidden="false" customHeight="false" outlineLevel="0" collapsed="false">
      <c r="A33" s="0" t="s">
        <v>101</v>
      </c>
      <c r="C33" s="3" t="n">
        <v>57</v>
      </c>
      <c r="D33" s="3" t="n">
        <v>57</v>
      </c>
      <c r="E33" s="3" t="n">
        <v>57</v>
      </c>
      <c r="F33" s="3" t="n">
        <v>57</v>
      </c>
      <c r="G33" s="3" t="n">
        <v>57</v>
      </c>
      <c r="H33" s="3" t="n">
        <v>57</v>
      </c>
      <c r="I33" s="3" t="n">
        <v>57</v>
      </c>
      <c r="J33" s="3" t="n">
        <v>57</v>
      </c>
      <c r="K33" s="3" t="n">
        <v>57</v>
      </c>
      <c r="L33" s="3" t="n">
        <v>57</v>
      </c>
    </row>
    <row r="34" customFormat="false" ht="15" hidden="false" customHeight="false" outlineLevel="0" collapsed="false">
      <c r="A34" s="0" t="s">
        <v>102</v>
      </c>
      <c r="B34" s="3" t="n">
        <v>8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8</v>
      </c>
    </row>
    <row r="38" customFormat="false" ht="15" hidden="false" customHeight="false" outlineLevel="0" collapsed="false">
      <c r="A38" s="0" t="s">
        <v>106</v>
      </c>
      <c r="B38" s="3" t="n">
        <v>0.55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4.5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13.4</v>
      </c>
      <c r="D42" s="3" t="n">
        <v>13.7</v>
      </c>
      <c r="E42" s="3" t="n">
        <v>14</v>
      </c>
      <c r="F42" s="3" t="n">
        <v>14.2</v>
      </c>
      <c r="G42" s="3" t="n">
        <v>14.4</v>
      </c>
      <c r="H42" s="3" t="n">
        <v>14.5</v>
      </c>
      <c r="I42" s="3" t="n">
        <v>14.5</v>
      </c>
      <c r="J42" s="3" t="n">
        <v>14.5</v>
      </c>
      <c r="K42" s="3" t="n">
        <v>14.5</v>
      </c>
      <c r="L42" s="3" t="n">
        <v>14.5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4.3</v>
      </c>
      <c r="D45" s="3" t="n">
        <v>4.3</v>
      </c>
      <c r="E45" s="3" t="n">
        <v>4.3</v>
      </c>
      <c r="F45" s="3" t="n">
        <v>4.3</v>
      </c>
      <c r="G45" s="3" t="n">
        <v>4.3</v>
      </c>
      <c r="H45" s="3" t="n">
        <v>4.3</v>
      </c>
      <c r="I45" s="3" t="n">
        <v>4.3</v>
      </c>
      <c r="J45" s="3" t="n">
        <v>4.3</v>
      </c>
      <c r="K45" s="3" t="n">
        <v>4.3</v>
      </c>
      <c r="L45" s="3" t="n">
        <v>4.3</v>
      </c>
    </row>
    <row r="46" customFormat="false" ht="15" hidden="false" customHeight="false" outlineLevel="0" collapsed="false">
      <c r="A46" s="0" t="s">
        <v>100</v>
      </c>
      <c r="C46" s="3" t="n">
        <v>4.7</v>
      </c>
      <c r="D46" s="3" t="n">
        <v>4.6</v>
      </c>
      <c r="E46" s="3" t="n">
        <v>4.5</v>
      </c>
      <c r="F46" s="3" t="n">
        <v>4.5</v>
      </c>
      <c r="G46" s="3" t="n">
        <v>4.5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101</v>
      </c>
      <c r="C47" s="3" t="n">
        <v>57</v>
      </c>
      <c r="D47" s="3" t="n">
        <v>57</v>
      </c>
      <c r="E47" s="3" t="n">
        <v>57</v>
      </c>
      <c r="F47" s="3" t="n">
        <v>57</v>
      </c>
      <c r="G47" s="3" t="n">
        <v>57</v>
      </c>
      <c r="H47" s="3" t="n">
        <v>57</v>
      </c>
      <c r="I47" s="3" t="n">
        <v>57</v>
      </c>
      <c r="J47" s="3" t="n">
        <v>57</v>
      </c>
      <c r="K47" s="3" t="n">
        <v>57</v>
      </c>
      <c r="L47" s="3" t="n">
        <v>57</v>
      </c>
    </row>
    <row r="48" customFormat="false" ht="15" hidden="false" customHeight="false" outlineLevel="0" collapsed="false">
      <c r="A48" s="0" t="s">
        <v>102</v>
      </c>
      <c r="B48" s="3" t="n">
        <v>8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8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22070.162</v>
      </c>
      <c r="C6" s="0" t="n">
        <f aca="false">B6*(1+C5/100)</f>
        <v>22511.56524</v>
      </c>
      <c r="D6" s="0" t="n">
        <f aca="false">C6*(1+D5/100)</f>
        <v>22736.6808924</v>
      </c>
      <c r="E6" s="0" t="n">
        <f aca="false">D6*(1+E5/100)</f>
        <v>22964.047701324</v>
      </c>
      <c r="F6" s="0" t="n">
        <f aca="false">E6*(1+F5/100)</f>
        <v>23193.6881783372</v>
      </c>
      <c r="G6" s="0" t="n">
        <f aca="false">F6*(1+G5/100)</f>
        <v>23425.6250601206</v>
      </c>
      <c r="H6" s="0" t="n">
        <f aca="false">G6*(1+H5/100)</f>
        <v>23659.8813107218</v>
      </c>
      <c r="I6" s="0" t="n">
        <f aca="false">H6*(1+I5/100)</f>
        <v>23896.480123829</v>
      </c>
      <c r="J6" s="0" t="n">
        <f aca="false">I6*(1+J5/100)</f>
        <v>24135.4449250673</v>
      </c>
      <c r="K6" s="0" t="n">
        <f aca="false">J6*(1+K5/100)</f>
        <v>24376.799374318</v>
      </c>
      <c r="L6" s="0" t="n">
        <f aca="false">K6*(1+L5/100)</f>
        <v>24620.5673680612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12.8</v>
      </c>
      <c r="D7" s="4" t="n">
        <f aca="false">Assumptions!D14</f>
        <v>12.5</v>
      </c>
      <c r="E7" s="4" t="n">
        <f aca="false">Assumptions!E14</f>
        <v>12.2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2881.48035072</v>
      </c>
      <c r="D8" s="0" t="n">
        <f aca="false">D6*D7/100</f>
        <v>2842.08511155</v>
      </c>
      <c r="E8" s="0" t="n">
        <f aca="false">E6*E7/100</f>
        <v>2801.61381956153</v>
      </c>
      <c r="F8" s="0" t="n">
        <f aca="false">F6*F7/100</f>
        <v>2783.24258140047</v>
      </c>
      <c r="G8" s="0" t="n">
        <f aca="false">G6*G7/100</f>
        <v>2811.07500721447</v>
      </c>
      <c r="H8" s="0" t="n">
        <f aca="false">H6*H7/100</f>
        <v>2839.18575728662</v>
      </c>
      <c r="I8" s="0" t="n">
        <f aca="false">I6*I7/100</f>
        <v>2867.57761485948</v>
      </c>
      <c r="J8" s="0" t="n">
        <f aca="false">J6*J7/100</f>
        <v>2896.25339100808</v>
      </c>
      <c r="K8" s="0" t="n">
        <f aca="false">K6*K7/100</f>
        <v>2925.21592491816</v>
      </c>
      <c r="L8" s="0" t="n">
        <f aca="false">L6*L7/100</f>
        <v>2954.46808416734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2881.48035072</v>
      </c>
      <c r="D11" s="0" t="n">
        <f aca="false">D8+D10+D24</f>
        <v>2842.08511155</v>
      </c>
      <c r="E11" s="0" t="n">
        <f aca="false">E8+E10+E24</f>
        <v>2801.61381956153</v>
      </c>
      <c r="F11" s="0" t="n">
        <f aca="false">F8+F10+F24</f>
        <v>2783.24258140047</v>
      </c>
      <c r="G11" s="0" t="n">
        <f aca="false">G8+G10+G24</f>
        <v>2811.07500721447</v>
      </c>
      <c r="H11" s="0" t="n">
        <f aca="false">H8+H10+H24</f>
        <v>2839.18575728662</v>
      </c>
      <c r="I11" s="0" t="n">
        <f aca="false">I8+I10+I24</f>
        <v>2867.57761485948</v>
      </c>
      <c r="J11" s="0" t="n">
        <f aca="false">J8+J10+J24</f>
        <v>2896.25339100808</v>
      </c>
      <c r="K11" s="0" t="n">
        <f aca="false">K8+K10+K24</f>
        <v>2925.21592491816</v>
      </c>
      <c r="L11" s="0" t="n">
        <f aca="false">L8+L10+L24</f>
        <v>2954.46808416734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-967.99730532</v>
      </c>
      <c r="D12" s="4" t="n">
        <f aca="false">-D6*Assumptions!D17/100</f>
        <v>-977.6772783732</v>
      </c>
      <c r="E12" s="4" t="n">
        <f aca="false">-E6*Assumptions!E17/100</f>
        <v>-987.454051156932</v>
      </c>
      <c r="F12" s="4" t="n">
        <f aca="false">-F6*Assumptions!F17/100</f>
        <v>-997.328591668501</v>
      </c>
      <c r="G12" s="4" t="n">
        <f aca="false">-G6*Assumptions!G17/100</f>
        <v>-1007.30187758519</v>
      </c>
      <c r="H12" s="4" t="n">
        <f aca="false">-H6*Assumptions!H17/100</f>
        <v>-1017.37489636104</v>
      </c>
      <c r="I12" s="4" t="n">
        <f aca="false">-I6*Assumptions!I17/100</f>
        <v>-1027.54864532465</v>
      </c>
      <c r="J12" s="4" t="n">
        <f aca="false">-J6*Assumptions!J17/100</f>
        <v>-1037.8241317779</v>
      </c>
      <c r="K12" s="4" t="n">
        <f aca="false">-K6*Assumptions!K17/100</f>
        <v>-1048.20237309567</v>
      </c>
      <c r="L12" s="4" t="n">
        <f aca="false">-L6*Assumptions!L17/100</f>
        <v>-1058.68439682663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1913.4830454</v>
      </c>
      <c r="D13" s="0" t="n">
        <f aca="false">D11+D12</f>
        <v>1864.4078331768</v>
      </c>
      <c r="E13" s="0" t="n">
        <f aca="false">E11+E12</f>
        <v>1814.1597684046</v>
      </c>
      <c r="F13" s="0" t="n">
        <f aca="false">F11+F12</f>
        <v>1785.91398973197</v>
      </c>
      <c r="G13" s="0" t="n">
        <f aca="false">G11+G12</f>
        <v>1803.77312962929</v>
      </c>
      <c r="H13" s="0" t="n">
        <f aca="false">H11+H12</f>
        <v>1821.81086092558</v>
      </c>
      <c r="I13" s="0" t="n">
        <f aca="false">I11+I12</f>
        <v>1840.02896953484</v>
      </c>
      <c r="J13" s="0" t="n">
        <f aca="false">J11+J12</f>
        <v>1858.42925923018</v>
      </c>
      <c r="K13" s="0" t="n">
        <f aca="false">K11+K12</f>
        <v>1877.01355182249</v>
      </c>
      <c r="L13" s="0" t="n">
        <f aca="false">L11+L12</f>
        <v>1895.78368734071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57</v>
      </c>
      <c r="D14" s="4" t="n">
        <f aca="false">Assumptions!D19</f>
        <v>57</v>
      </c>
      <c r="E14" s="4" t="n">
        <f aca="false">Assumptions!E19</f>
        <v>57</v>
      </c>
      <c r="F14" s="4" t="n">
        <f aca="false">Assumptions!F19</f>
        <v>57</v>
      </c>
      <c r="G14" s="4" t="n">
        <f aca="false">Assumptions!G19</f>
        <v>57</v>
      </c>
      <c r="H14" s="4" t="n">
        <f aca="false">Assumptions!H19</f>
        <v>57</v>
      </c>
      <c r="I14" s="4" t="n">
        <f aca="false">Assumptions!I19</f>
        <v>57</v>
      </c>
      <c r="J14" s="4" t="n">
        <f aca="false">Assumptions!J19</f>
        <v>57</v>
      </c>
      <c r="K14" s="4" t="n">
        <f aca="false">Assumptions!K19</f>
        <v>57</v>
      </c>
      <c r="L14" s="4" t="n">
        <f aca="false">Assumptions!L19</f>
        <v>57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822.797709522</v>
      </c>
      <c r="D15" s="0" t="n">
        <f aca="false">D13-MAX(0,D13)*D14/100</f>
        <v>801.695368266024</v>
      </c>
      <c r="E15" s="0" t="n">
        <f aca="false">E13-MAX(0,E13)*E14/100</f>
        <v>780.088700413976</v>
      </c>
      <c r="F15" s="0" t="n">
        <f aca="false">F13-MAX(0,F13)*F14/100</f>
        <v>767.943015584746</v>
      </c>
      <c r="G15" s="0" t="n">
        <f aca="false">G13-MAX(0,G13)*G14/100</f>
        <v>775.622445740594</v>
      </c>
      <c r="H15" s="0" t="n">
        <f aca="false">H13-MAX(0,H13)*H14/100</f>
        <v>783.378670198</v>
      </c>
      <c r="I15" s="0" t="n">
        <f aca="false">I13-MAX(0,I13)*I14/100</f>
        <v>791.212456899979</v>
      </c>
      <c r="J15" s="0" t="n">
        <f aca="false">J13-MAX(0,J13)*J14/100</f>
        <v>799.124581468979</v>
      </c>
      <c r="K15" s="0" t="n">
        <f aca="false">K13-MAX(0,K13)*K14/100</f>
        <v>807.115827283669</v>
      </c>
      <c r="L15" s="0" t="n">
        <f aca="false">L13-MAX(0,L13)*L14/100</f>
        <v>815.186985556506</v>
      </c>
    </row>
    <row r="16" customFormat="false" ht="15" hidden="false" customHeight="false" outlineLevel="0" collapsed="false">
      <c r="A16" s="0" t="s">
        <v>117</v>
      </c>
      <c r="C16" s="0" t="n">
        <f aca="false">-C12</f>
        <v>967.99730532</v>
      </c>
      <c r="D16" s="0" t="n">
        <f aca="false">-D12</f>
        <v>977.6772783732</v>
      </c>
      <c r="E16" s="0" t="n">
        <f aca="false">-E12</f>
        <v>987.454051156932</v>
      </c>
      <c r="F16" s="0" t="n">
        <f aca="false">-F12</f>
        <v>997.328591668501</v>
      </c>
      <c r="G16" s="0" t="n">
        <f aca="false">-G12</f>
        <v>1007.30187758519</v>
      </c>
      <c r="H16" s="0" t="n">
        <f aca="false">-H12</f>
        <v>1017.37489636104</v>
      </c>
      <c r="I16" s="0" t="n">
        <f aca="false">-I12</f>
        <v>1027.54864532465</v>
      </c>
      <c r="J16" s="0" t="n">
        <f aca="false">-J12</f>
        <v>1037.8241317779</v>
      </c>
      <c r="K16" s="0" t="n">
        <f aca="false">-K12</f>
        <v>1048.20237309567</v>
      </c>
      <c r="L16" s="0" t="n">
        <f aca="false">-L12</f>
        <v>1058.68439682663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-1013.0204358</v>
      </c>
      <c r="D17" s="4" t="n">
        <f aca="false">-D6*Assumptions!D18/100</f>
        <v>-1000.4139592656</v>
      </c>
      <c r="E17" s="4" t="n">
        <f aca="false">-E6*Assumptions!E18/100</f>
        <v>-987.454051156932</v>
      </c>
      <c r="F17" s="4" t="n">
        <f aca="false">-F6*Assumptions!F18/100</f>
        <v>-997.328591668501</v>
      </c>
      <c r="G17" s="4" t="n">
        <f aca="false">-G6*Assumptions!G18/100</f>
        <v>-1007.30187758519</v>
      </c>
      <c r="H17" s="4" t="n">
        <f aca="false">-H6*Assumptions!H18/100</f>
        <v>-1017.37489636104</v>
      </c>
      <c r="I17" s="4" t="n">
        <f aca="false">-I6*Assumptions!I18/100</f>
        <v>-1027.54864532465</v>
      </c>
      <c r="J17" s="4" t="n">
        <f aca="false">-J6*Assumptions!J18/100</f>
        <v>-1037.8241317779</v>
      </c>
      <c r="K17" s="4" t="n">
        <f aca="false">-K6*Assumptions!K18/100</f>
        <v>-1048.20237309567</v>
      </c>
      <c r="L17" s="4" t="n">
        <f aca="false">-L6*Assumptions!L18/100</f>
        <v>-1058.68439682663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35.3122592</v>
      </c>
      <c r="D18" s="4" t="n">
        <f aca="false">(D6-C6)*Assumptions!$B$23/100</f>
        <v>18.009252192</v>
      </c>
      <c r="E18" s="4" t="n">
        <f aca="false">(E6-D6)*Assumptions!$B$23/100</f>
        <v>18.1893447139201</v>
      </c>
      <c r="F18" s="4" t="n">
        <f aca="false">(F6-E6)*Assumptions!$B$23/100</f>
        <v>18.3712381610592</v>
      </c>
      <c r="G18" s="4" t="n">
        <f aca="false">(G6-F6)*Assumptions!$B$23/100</f>
        <v>18.5549505426697</v>
      </c>
      <c r="H18" s="4" t="n">
        <f aca="false">(H6-G6)*Assumptions!$B$23/100</f>
        <v>18.7405000480966</v>
      </c>
      <c r="I18" s="4" t="n">
        <f aca="false">(I6-H6)*Assumptions!$B$23/100</f>
        <v>18.9279050485775</v>
      </c>
      <c r="J18" s="4" t="n">
        <f aca="false">(J6-I6)*Assumptions!$B$23/100</f>
        <v>19.1171840990632</v>
      </c>
      <c r="K18" s="4" t="n">
        <f aca="false">(K6-J6)*Assumptions!$B$23/100</f>
        <v>19.3083559400539</v>
      </c>
      <c r="L18" s="4" t="n">
        <f aca="false">(L6-K6)*Assumptions!$B$23/100</f>
        <v>19.5014394994543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813.086838242</v>
      </c>
      <c r="D19" s="0" t="n">
        <f aca="false">D15+D16+D17+D18</f>
        <v>796.967939565624</v>
      </c>
      <c r="E19" s="0" t="n">
        <f aca="false">E15+E16+E17+E18</f>
        <v>798.278045127897</v>
      </c>
      <c r="F19" s="0" t="n">
        <f aca="false">F15+F16+F17+F18</f>
        <v>786.314253745805</v>
      </c>
      <c r="G19" s="0" t="n">
        <f aca="false">G15+G16+G17+G18</f>
        <v>794.177396283263</v>
      </c>
      <c r="H19" s="0" t="n">
        <f aca="false">H15+H16+H17+H18</f>
        <v>802.119170246096</v>
      </c>
      <c r="I19" s="0" t="n">
        <f aca="false">I15+I16+I17+I18</f>
        <v>810.140361948557</v>
      </c>
      <c r="J19" s="0" t="n">
        <f aca="false">J15+J16+J17+J18</f>
        <v>818.241765568043</v>
      </c>
      <c r="K19" s="0" t="n">
        <f aca="false">K15+K16+K17+K18</f>
        <v>826.424183223723</v>
      </c>
      <c r="L19" s="0" t="n">
        <f aca="false">L15+L16+L17+L18</f>
        <v>834.68842505596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752.858183557407</v>
      </c>
      <c r="D21" s="0" t="n">
        <f aca="false">D19*D20</f>
        <v>683.271553125535</v>
      </c>
      <c r="E21" s="0" t="n">
        <f aca="false">E19*E20</f>
        <v>633.698849521078</v>
      </c>
      <c r="F21" s="0" t="n">
        <f aca="false">F19*F20</f>
        <v>577.964450182532</v>
      </c>
      <c r="G21" s="0" t="n">
        <f aca="false">G19*G20</f>
        <v>540.503791374405</v>
      </c>
      <c r="H21" s="0" t="n">
        <f aca="false">H19*H20</f>
        <v>505.471138229768</v>
      </c>
      <c r="I21" s="0" t="n">
        <f aca="false">I19*I20</f>
        <v>472.709120011172</v>
      </c>
      <c r="J21" s="0" t="n">
        <f aca="false">J19*J20</f>
        <v>442.070565936374</v>
      </c>
      <c r="K21" s="0" t="n">
        <f aca="false">K19*K20</f>
        <v>413.417844070127</v>
      </c>
      <c r="L21" s="0" t="n">
        <f aca="false">L19*L20</f>
        <v>386.622243065582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5408.58773907398</v>
      </c>
    </row>
    <row r="31" customFormat="false" ht="15" hidden="false" customHeight="false" outlineLevel="0" collapsed="false">
      <c r="A31" s="0" t="s">
        <v>126</v>
      </c>
      <c r="B31" s="0" t="n">
        <f aca="false">L19</f>
        <v>834.68842505596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13033.9807912585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12520.3263758394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12520.3263758394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5799.33364598372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11207.9213850577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13913.9213850577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5.83024923483974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0.544436883401257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5.83024923483974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6275.62038097629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3.47632353482129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22070.162</v>
      </c>
      <c r="C6" s="0" t="n">
        <f aca="false">B6*(1+C5/100)</f>
        <v>22842.61767</v>
      </c>
      <c r="D6" s="0" t="n">
        <f aca="false">C6*(1+D5/100)</f>
        <v>23642.10928845</v>
      </c>
      <c r="E6" s="0" t="n">
        <f aca="false">D6*(1+E5/100)</f>
        <v>24469.5831135458</v>
      </c>
      <c r="F6" s="0" t="n">
        <f aca="false">E6*(1+F5/100)</f>
        <v>25203.6706069521</v>
      </c>
      <c r="G6" s="0" t="n">
        <f aca="false">F6*(1+G5/100)</f>
        <v>25959.7807251607</v>
      </c>
      <c r="H6" s="0" t="n">
        <f aca="false">G6*(1+H5/100)</f>
        <v>26738.5741469155</v>
      </c>
      <c r="I6" s="0" t="n">
        <f aca="false">H6*(1+I5/100)</f>
        <v>27407.0385005884</v>
      </c>
      <c r="J6" s="0" t="n">
        <f aca="false">I6*(1+J5/100)</f>
        <v>28092.2144631031</v>
      </c>
      <c r="K6" s="0" t="n">
        <f aca="false">J6*(1+K5/100)</f>
        <v>28794.5198246807</v>
      </c>
      <c r="L6" s="0" t="n">
        <f aca="false">K6*(1+L5/100)</f>
        <v>29514.3828202977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13.2</v>
      </c>
      <c r="D7" s="4" t="n">
        <f aca="false">Assumptions!D28</f>
        <v>13.3</v>
      </c>
      <c r="E7" s="4" t="n">
        <f aca="false">Assumptions!E28</f>
        <v>13.4</v>
      </c>
      <c r="F7" s="4" t="n">
        <f aca="false">Assumptions!F28</f>
        <v>13.5</v>
      </c>
      <c r="G7" s="4" t="n">
        <f aca="false">Assumptions!G28</f>
        <v>13.5</v>
      </c>
      <c r="H7" s="4" t="n">
        <f aca="false">Assumptions!H28</f>
        <v>13.5</v>
      </c>
      <c r="I7" s="4" t="n">
        <f aca="false">Assumptions!I28</f>
        <v>13.5</v>
      </c>
      <c r="J7" s="4" t="n">
        <f aca="false">Assumptions!J28</f>
        <v>13.5</v>
      </c>
      <c r="K7" s="4" t="n">
        <f aca="false">Assumptions!K28</f>
        <v>13.5</v>
      </c>
      <c r="L7" s="4" t="n">
        <f aca="false">Assumptions!L28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3015.22553244</v>
      </c>
      <c r="D8" s="0" t="n">
        <f aca="false">D6*D7/100</f>
        <v>3144.40053536385</v>
      </c>
      <c r="E8" s="0" t="n">
        <f aca="false">E6*E7/100</f>
        <v>3278.92413721513</v>
      </c>
      <c r="F8" s="0" t="n">
        <f aca="false">F6*F7/100</f>
        <v>3402.49553193854</v>
      </c>
      <c r="G8" s="0" t="n">
        <f aca="false">G6*G7/100</f>
        <v>3504.57039789669</v>
      </c>
      <c r="H8" s="0" t="n">
        <f aca="false">H6*H7/100</f>
        <v>3609.70750983359</v>
      </c>
      <c r="I8" s="0" t="n">
        <f aca="false">I6*I7/100</f>
        <v>3699.95019757943</v>
      </c>
      <c r="J8" s="0" t="n">
        <f aca="false">J6*J7/100</f>
        <v>3792.44895251892</v>
      </c>
      <c r="K8" s="0" t="n">
        <f aca="false">K6*K7/100</f>
        <v>3887.26017633189</v>
      </c>
      <c r="L8" s="0" t="n">
        <f aca="false">L6*L7/100</f>
        <v>3984.44168074019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3015.22553244</v>
      </c>
      <c r="D11" s="0" t="n">
        <f aca="false">D8+D10+D24</f>
        <v>3144.40053536385</v>
      </c>
      <c r="E11" s="0" t="n">
        <f aca="false">E8+E10+E24</f>
        <v>3278.92413721513</v>
      </c>
      <c r="F11" s="0" t="n">
        <f aca="false">F8+F10+F24</f>
        <v>3402.49553193854</v>
      </c>
      <c r="G11" s="0" t="n">
        <f aca="false">G8+G10+G24</f>
        <v>3504.57039789669</v>
      </c>
      <c r="H11" s="0" t="n">
        <f aca="false">H8+H10+H24</f>
        <v>3609.70750983359</v>
      </c>
      <c r="I11" s="0" t="n">
        <f aca="false">I8+I10+I24</f>
        <v>3699.95019757943</v>
      </c>
      <c r="J11" s="0" t="n">
        <f aca="false">J8+J10+J24</f>
        <v>3792.44895251892</v>
      </c>
      <c r="K11" s="0" t="n">
        <f aca="false">K8+K10+K24</f>
        <v>3887.26017633189</v>
      </c>
      <c r="L11" s="0" t="n">
        <f aca="false">L8+L10+L24</f>
        <v>3984.44168074019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-982.23255981</v>
      </c>
      <c r="D12" s="4" t="n">
        <f aca="false">-D6*Assumptions!D31/100</f>
        <v>-1016.61069940335</v>
      </c>
      <c r="E12" s="4" t="n">
        <f aca="false">-E6*Assumptions!E31/100</f>
        <v>-1052.19207388247</v>
      </c>
      <c r="F12" s="4" t="n">
        <f aca="false">-F6*Assumptions!F31/100</f>
        <v>-1083.75783609894</v>
      </c>
      <c r="G12" s="4" t="n">
        <f aca="false">-G6*Assumptions!G31/100</f>
        <v>-1116.27057118191</v>
      </c>
      <c r="H12" s="4" t="n">
        <f aca="false">-H6*Assumptions!H31/100</f>
        <v>-1149.75868831737</v>
      </c>
      <c r="I12" s="4" t="n">
        <f aca="false">-I6*Assumptions!I31/100</f>
        <v>-1178.5026555253</v>
      </c>
      <c r="J12" s="4" t="n">
        <f aca="false">-J6*Assumptions!J31/100</f>
        <v>-1207.96522191343</v>
      </c>
      <c r="K12" s="4" t="n">
        <f aca="false">-K6*Assumptions!K31/100</f>
        <v>-1238.16435246127</v>
      </c>
      <c r="L12" s="4" t="n">
        <f aca="false">-L6*Assumptions!L31/100</f>
        <v>-1269.1184612728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2032.99297263</v>
      </c>
      <c r="D13" s="0" t="n">
        <f aca="false">D11+D12</f>
        <v>2127.7898359605</v>
      </c>
      <c r="E13" s="0" t="n">
        <f aca="false">E11+E12</f>
        <v>2226.73206333266</v>
      </c>
      <c r="F13" s="0" t="n">
        <f aca="false">F11+F12</f>
        <v>2318.7376958396</v>
      </c>
      <c r="G13" s="0" t="n">
        <f aca="false">G11+G12</f>
        <v>2388.29982671478</v>
      </c>
      <c r="H13" s="0" t="n">
        <f aca="false">H11+H12</f>
        <v>2459.94882151623</v>
      </c>
      <c r="I13" s="0" t="n">
        <f aca="false">I11+I12</f>
        <v>2521.44754205413</v>
      </c>
      <c r="J13" s="0" t="n">
        <f aca="false">J11+J12</f>
        <v>2584.48373060549</v>
      </c>
      <c r="K13" s="0" t="n">
        <f aca="false">K11+K12</f>
        <v>2649.09582387062</v>
      </c>
      <c r="L13" s="0" t="n">
        <f aca="false">L11+L12</f>
        <v>2715.32321946739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57</v>
      </c>
      <c r="D14" s="4" t="n">
        <f aca="false">Assumptions!D33</f>
        <v>57</v>
      </c>
      <c r="E14" s="4" t="n">
        <f aca="false">Assumptions!E33</f>
        <v>57</v>
      </c>
      <c r="F14" s="4" t="n">
        <f aca="false">Assumptions!F33</f>
        <v>57</v>
      </c>
      <c r="G14" s="4" t="n">
        <f aca="false">Assumptions!G33</f>
        <v>57</v>
      </c>
      <c r="H14" s="4" t="n">
        <f aca="false">Assumptions!H33</f>
        <v>57</v>
      </c>
      <c r="I14" s="4" t="n">
        <f aca="false">Assumptions!I33</f>
        <v>57</v>
      </c>
      <c r="J14" s="4" t="n">
        <f aca="false">Assumptions!J33</f>
        <v>57</v>
      </c>
      <c r="K14" s="4" t="n">
        <f aca="false">Assumptions!K33</f>
        <v>57</v>
      </c>
      <c r="L14" s="4" t="n">
        <f aca="false">Assumptions!L33</f>
        <v>57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874.1869782309</v>
      </c>
      <c r="D15" s="0" t="n">
        <f aca="false">D13-MAX(0,D13)*D14/100</f>
        <v>914.949629463015</v>
      </c>
      <c r="E15" s="0" t="n">
        <f aca="false">E13-MAX(0,E13)*E14/100</f>
        <v>957.494787233045</v>
      </c>
      <c r="F15" s="0" t="n">
        <f aca="false">F13-MAX(0,F13)*F14/100</f>
        <v>997.057209211026</v>
      </c>
      <c r="G15" s="0" t="n">
        <f aca="false">G13-MAX(0,G13)*G14/100</f>
        <v>1026.96892548736</v>
      </c>
      <c r="H15" s="0" t="n">
        <f aca="false">H13-MAX(0,H13)*H14/100</f>
        <v>1057.77799325198</v>
      </c>
      <c r="I15" s="0" t="n">
        <f aca="false">I13-MAX(0,I13)*I14/100</f>
        <v>1084.22244308328</v>
      </c>
      <c r="J15" s="0" t="n">
        <f aca="false">J13-MAX(0,J13)*J14/100</f>
        <v>1111.32800416036</v>
      </c>
      <c r="K15" s="0" t="n">
        <f aca="false">K13-MAX(0,K13)*K14/100</f>
        <v>1139.11120426437</v>
      </c>
      <c r="L15" s="0" t="n">
        <f aca="false">L13-MAX(0,L13)*L14/100</f>
        <v>1167.58898437098</v>
      </c>
    </row>
    <row r="16" customFormat="false" ht="15" hidden="false" customHeight="false" outlineLevel="0" collapsed="false">
      <c r="A16" s="0" t="s">
        <v>117</v>
      </c>
      <c r="C16" s="0" t="n">
        <f aca="false">-C12</f>
        <v>982.23255981</v>
      </c>
      <c r="D16" s="0" t="n">
        <f aca="false">-D12</f>
        <v>1016.61069940335</v>
      </c>
      <c r="E16" s="0" t="n">
        <f aca="false">-E12</f>
        <v>1052.19207388247</v>
      </c>
      <c r="F16" s="0" t="n">
        <f aca="false">-F12</f>
        <v>1083.75783609894</v>
      </c>
      <c r="G16" s="0" t="n">
        <f aca="false">-G12</f>
        <v>1116.27057118191</v>
      </c>
      <c r="H16" s="0" t="n">
        <f aca="false">-H12</f>
        <v>1149.75868831737</v>
      </c>
      <c r="I16" s="0" t="n">
        <f aca="false">-I12</f>
        <v>1178.5026555253</v>
      </c>
      <c r="J16" s="0" t="n">
        <f aca="false">-J12</f>
        <v>1207.96522191343</v>
      </c>
      <c r="K16" s="0" t="n">
        <f aca="false">-K12</f>
        <v>1238.16435246127</v>
      </c>
      <c r="L16" s="0" t="n">
        <f aca="false">-L12</f>
        <v>1269.1184612728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-1050.76041282</v>
      </c>
      <c r="D17" s="4" t="n">
        <f aca="false">-D6*Assumptions!D32/100</f>
        <v>-1063.89491798025</v>
      </c>
      <c r="E17" s="4" t="n">
        <f aca="false">-E6*Assumptions!E32/100</f>
        <v>-1076.66165699601</v>
      </c>
      <c r="F17" s="4" t="n">
        <f aca="false">-F6*Assumptions!F32/100</f>
        <v>-1108.96150670589</v>
      </c>
      <c r="G17" s="4" t="n">
        <f aca="false">-G6*Assumptions!G32/100</f>
        <v>-1142.23035190707</v>
      </c>
      <c r="H17" s="4" t="n">
        <f aca="false">-H6*Assumptions!H32/100</f>
        <v>-1176.49726246428</v>
      </c>
      <c r="I17" s="4" t="n">
        <f aca="false">-I6*Assumptions!I32/100</f>
        <v>-1205.90969402589</v>
      </c>
      <c r="J17" s="4" t="n">
        <f aca="false">-J6*Assumptions!J32/100</f>
        <v>-1236.05743637654</v>
      </c>
      <c r="K17" s="4" t="n">
        <f aca="false">-K6*Assumptions!K32/100</f>
        <v>-1266.95887228595</v>
      </c>
      <c r="L17" s="4" t="n">
        <f aca="false">-L6*Assumptions!L32/100</f>
        <v>-1298.6328440931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61.7964536</v>
      </c>
      <c r="D18" s="4" t="n">
        <f aca="false">(D6-C6)*Assumptions!$B$37/100</f>
        <v>63.959329476</v>
      </c>
      <c r="E18" s="4" t="n">
        <f aca="false">(E6-D6)*Assumptions!$B$37/100</f>
        <v>66.1979060076599</v>
      </c>
      <c r="F18" s="4" t="n">
        <f aca="false">(F6-E6)*Assumptions!$B$37/100</f>
        <v>58.7269994725098</v>
      </c>
      <c r="G18" s="4" t="n">
        <f aca="false">(G6-F6)*Assumptions!$B$37/100</f>
        <v>60.4888094566853</v>
      </c>
      <c r="H18" s="4" t="n">
        <f aca="false">(H6-G6)*Assumptions!$B$37/100</f>
        <v>62.3034737403857</v>
      </c>
      <c r="I18" s="4" t="n">
        <f aca="false">(I6-H6)*Assumptions!$B$37/100</f>
        <v>53.4771482938307</v>
      </c>
      <c r="J18" s="4" t="n">
        <f aca="false">(J6-I6)*Assumptions!$B$37/100</f>
        <v>54.8140770011765</v>
      </c>
      <c r="K18" s="4" t="n">
        <f aca="false">(K6-J6)*Assumptions!$B$37/100</f>
        <v>56.184428926206</v>
      </c>
      <c r="L18" s="4" t="n">
        <f aca="false">(L6-K6)*Assumptions!$B$37/100</f>
        <v>57.5890396493612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867.4555788209</v>
      </c>
      <c r="D19" s="0" t="n">
        <f aca="false">D15+D16+D17+D18</f>
        <v>931.624740362115</v>
      </c>
      <c r="E19" s="0" t="n">
        <f aca="false">E15+E16+E17+E18</f>
        <v>999.223110127159</v>
      </c>
      <c r="F19" s="0" t="n">
        <f aca="false">F15+F16+F17+F18</f>
        <v>1030.58053807658</v>
      </c>
      <c r="G19" s="0" t="n">
        <f aca="false">G15+G16+G17+G18</f>
        <v>1061.49795421888</v>
      </c>
      <c r="H19" s="0" t="n">
        <f aca="false">H15+H16+H17+H18</f>
        <v>1093.34289284545</v>
      </c>
      <c r="I19" s="0" t="n">
        <f aca="false">I15+I16+I17+I18</f>
        <v>1110.29255287652</v>
      </c>
      <c r="J19" s="0" t="n">
        <f aca="false">J15+J16+J17+J18</f>
        <v>1138.04986669843</v>
      </c>
      <c r="K19" s="0" t="n">
        <f aca="false">K15+K16+K17+K18</f>
        <v>1166.50111336589</v>
      </c>
      <c r="L19" s="0" t="n">
        <f aca="false">L15+L16+L17+L18</f>
        <v>1195.66364120004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803.199610019352</v>
      </c>
      <c r="D21" s="0" t="n">
        <f aca="false">D19*D20</f>
        <v>798.718055866011</v>
      </c>
      <c r="E21" s="0" t="n">
        <f aca="false">E19*E20</f>
        <v>793.215520791387</v>
      </c>
      <c r="F21" s="0" t="n">
        <f aca="false">F19*F20</f>
        <v>757.507461197321</v>
      </c>
      <c r="G21" s="0" t="n">
        <f aca="false">G19*G20</f>
        <v>722.437671327074</v>
      </c>
      <c r="H21" s="0" t="n">
        <f aca="false">H19*H20</f>
        <v>688.99148283971</v>
      </c>
      <c r="I21" s="0" t="n">
        <f aca="false">I19*I20</f>
        <v>647.845040534523</v>
      </c>
      <c r="J21" s="0" t="n">
        <f aca="false">J19*J20</f>
        <v>614.852931988784</v>
      </c>
      <c r="K21" s="0" t="n">
        <f aca="false">K19*K20</f>
        <v>583.540977118985</v>
      </c>
      <c r="L21" s="0" t="n">
        <f aca="false">L19*L20</f>
        <v>553.823612543481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6964.13236422663</v>
      </c>
    </row>
    <row r="31" customFormat="false" ht="15" hidden="false" customHeight="false" outlineLevel="0" collapsed="false">
      <c r="A31" s="0" t="s">
        <v>126</v>
      </c>
      <c r="B31" s="0" t="n">
        <f aca="false">L19</f>
        <v>1195.66364120004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20326.2819004007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17934.9546180006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17934.9546180006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8307.35418815221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15271.4865523788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17977.4865523788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7.53297537881078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0.995490166572393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7.53297537881078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9381.360877108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4.25179451888458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22070.162</v>
      </c>
      <c r="C6" s="0" t="n">
        <f aca="false">B6*(1+C5/100)</f>
        <v>23063.31929</v>
      </c>
      <c r="D6" s="0" t="n">
        <f aca="false">C6*(1+D5/100)</f>
        <v>24216.4852545</v>
      </c>
      <c r="E6" s="0" t="n">
        <f aca="false">D6*(1+E5/100)</f>
        <v>25427.309517225</v>
      </c>
      <c r="F6" s="0" t="n">
        <f aca="false">E6*(1+F5/100)</f>
        <v>26571.5384455001</v>
      </c>
      <c r="G6" s="0" t="n">
        <f aca="false">F6*(1+G5/100)</f>
        <v>27634.3999833201</v>
      </c>
      <c r="H6" s="0" t="n">
        <f aca="false">G6*(1+H5/100)</f>
        <v>28739.7759826529</v>
      </c>
      <c r="I6" s="0" t="n">
        <f aca="false">H6*(1+I5/100)</f>
        <v>29745.6681420458</v>
      </c>
      <c r="J6" s="0" t="n">
        <f aca="false">I6*(1+J5/100)</f>
        <v>30638.0381863072</v>
      </c>
      <c r="K6" s="0" t="n">
        <f aca="false">J6*(1+K5/100)</f>
        <v>31557.1793318964</v>
      </c>
      <c r="L6" s="0" t="n">
        <f aca="false">K6*(1+L5/100)</f>
        <v>32503.8947118533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13.4</v>
      </c>
      <c r="D7" s="4" t="n">
        <f aca="false">Assumptions!D42</f>
        <v>13.7</v>
      </c>
      <c r="E7" s="4" t="n">
        <f aca="false">Assumptions!E42</f>
        <v>14</v>
      </c>
      <c r="F7" s="4" t="n">
        <f aca="false">Assumptions!F42</f>
        <v>14.2</v>
      </c>
      <c r="G7" s="4" t="n">
        <f aca="false">Assumptions!G42</f>
        <v>14.4</v>
      </c>
      <c r="H7" s="4" t="n">
        <f aca="false">Assumptions!H42</f>
        <v>14.5</v>
      </c>
      <c r="I7" s="4" t="n">
        <f aca="false">Assumptions!I42</f>
        <v>14.5</v>
      </c>
      <c r="J7" s="4" t="n">
        <f aca="false">Assumptions!J42</f>
        <v>14.5</v>
      </c>
      <c r="K7" s="4" t="n">
        <f aca="false">Assumptions!K42</f>
        <v>14.5</v>
      </c>
      <c r="L7" s="4" t="n">
        <f aca="false">Assumptions!L42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3090.48478486</v>
      </c>
      <c r="D8" s="0" t="n">
        <f aca="false">D6*D7/100</f>
        <v>3317.6584798665</v>
      </c>
      <c r="E8" s="0" t="n">
        <f aca="false">E6*E7/100</f>
        <v>3559.8233324115</v>
      </c>
      <c r="F8" s="0" t="n">
        <f aca="false">F6*F7/100</f>
        <v>3773.15845926102</v>
      </c>
      <c r="G8" s="0" t="n">
        <f aca="false">G6*G7/100</f>
        <v>3979.3535975981</v>
      </c>
      <c r="H8" s="0" t="n">
        <f aca="false">H6*H7/100</f>
        <v>4167.26751748468</v>
      </c>
      <c r="I8" s="0" t="n">
        <f aca="false">I6*I7/100</f>
        <v>4313.12188059664</v>
      </c>
      <c r="J8" s="0" t="n">
        <f aca="false">J6*J7/100</f>
        <v>4442.51553701454</v>
      </c>
      <c r="K8" s="0" t="n">
        <f aca="false">K6*K7/100</f>
        <v>4575.79100312497</v>
      </c>
      <c r="L8" s="0" t="n">
        <f aca="false">L6*L7/100</f>
        <v>4713.06473321872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3090.48478486</v>
      </c>
      <c r="D11" s="0" t="n">
        <f aca="false">D8+D10+D24</f>
        <v>3317.6584798665</v>
      </c>
      <c r="E11" s="0" t="n">
        <f aca="false">E8+E10+E24</f>
        <v>3559.8233324115</v>
      </c>
      <c r="F11" s="0" t="n">
        <f aca="false">F8+F10+F24</f>
        <v>3773.15845926102</v>
      </c>
      <c r="G11" s="0" t="n">
        <f aca="false">G8+G10+G24</f>
        <v>3979.3535975981</v>
      </c>
      <c r="H11" s="0" t="n">
        <f aca="false">H8+H10+H24</f>
        <v>4167.26751748468</v>
      </c>
      <c r="I11" s="0" t="n">
        <f aca="false">I8+I10+I24</f>
        <v>4313.12188059664</v>
      </c>
      <c r="J11" s="0" t="n">
        <f aca="false">J8+J10+J24</f>
        <v>4442.51553701454</v>
      </c>
      <c r="K11" s="0" t="n">
        <f aca="false">K8+K10+K24</f>
        <v>4575.79100312497</v>
      </c>
      <c r="L11" s="0" t="n">
        <f aca="false">L8+L10+L24</f>
        <v>4713.06473321872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-991.72272947</v>
      </c>
      <c r="D12" s="4" t="n">
        <f aca="false">-D6*Assumptions!D45/100</f>
        <v>-1041.3088659435</v>
      </c>
      <c r="E12" s="4" t="n">
        <f aca="false">-E6*Assumptions!E45/100</f>
        <v>-1093.37430924067</v>
      </c>
      <c r="F12" s="4" t="n">
        <f aca="false">-F6*Assumptions!F45/100</f>
        <v>-1142.57615315651</v>
      </c>
      <c r="G12" s="4" t="n">
        <f aca="false">-G6*Assumptions!G45/100</f>
        <v>-1188.27919928277</v>
      </c>
      <c r="H12" s="4" t="n">
        <f aca="false">-H6*Assumptions!H45/100</f>
        <v>-1235.81036725408</v>
      </c>
      <c r="I12" s="4" t="n">
        <f aca="false">-I6*Assumptions!I45/100</f>
        <v>-1279.06373010797</v>
      </c>
      <c r="J12" s="4" t="n">
        <f aca="false">-J6*Assumptions!J45/100</f>
        <v>-1317.43564201121</v>
      </c>
      <c r="K12" s="4" t="n">
        <f aca="false">-K6*Assumptions!K45/100</f>
        <v>-1356.95871127154</v>
      </c>
      <c r="L12" s="4" t="n">
        <f aca="false">-L6*Assumptions!L45/100</f>
        <v>-1397.66747260969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2098.76205539</v>
      </c>
      <c r="D13" s="0" t="n">
        <f aca="false">D11+D12</f>
        <v>2276.349613923</v>
      </c>
      <c r="E13" s="0" t="n">
        <f aca="false">E11+E12</f>
        <v>2466.44902317083</v>
      </c>
      <c r="F13" s="0" t="n">
        <f aca="false">F11+F12</f>
        <v>2630.58230610451</v>
      </c>
      <c r="G13" s="0" t="n">
        <f aca="false">G11+G12</f>
        <v>2791.07439831533</v>
      </c>
      <c r="H13" s="0" t="n">
        <f aca="false">H11+H12</f>
        <v>2931.4571502306</v>
      </c>
      <c r="I13" s="0" t="n">
        <f aca="false">I11+I12</f>
        <v>3034.05815048867</v>
      </c>
      <c r="J13" s="0" t="n">
        <f aca="false">J11+J12</f>
        <v>3125.07989500333</v>
      </c>
      <c r="K13" s="0" t="n">
        <f aca="false">K11+K12</f>
        <v>3218.83229185343</v>
      </c>
      <c r="L13" s="0" t="n">
        <f aca="false">L11+L12</f>
        <v>3315.39726060903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57</v>
      </c>
      <c r="D14" s="4" t="n">
        <f aca="false">Assumptions!D47</f>
        <v>57</v>
      </c>
      <c r="E14" s="4" t="n">
        <f aca="false">Assumptions!E47</f>
        <v>57</v>
      </c>
      <c r="F14" s="4" t="n">
        <f aca="false">Assumptions!F47</f>
        <v>57</v>
      </c>
      <c r="G14" s="4" t="n">
        <f aca="false">Assumptions!G47</f>
        <v>57</v>
      </c>
      <c r="H14" s="4" t="n">
        <f aca="false">Assumptions!H47</f>
        <v>57</v>
      </c>
      <c r="I14" s="4" t="n">
        <f aca="false">Assumptions!I47</f>
        <v>57</v>
      </c>
      <c r="J14" s="4" t="n">
        <f aca="false">Assumptions!J47</f>
        <v>57</v>
      </c>
      <c r="K14" s="4" t="n">
        <f aca="false">Assumptions!K47</f>
        <v>57</v>
      </c>
      <c r="L14" s="4" t="n">
        <f aca="false">Assumptions!L47</f>
        <v>57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902.4676838177</v>
      </c>
      <c r="D15" s="0" t="n">
        <f aca="false">D13-MAX(0,D13)*D14/100</f>
        <v>978.83033398689</v>
      </c>
      <c r="E15" s="0" t="n">
        <f aca="false">E13-MAX(0,E13)*E14/100</f>
        <v>1060.57307996346</v>
      </c>
      <c r="F15" s="0" t="n">
        <f aca="false">F13-MAX(0,F13)*F14/100</f>
        <v>1131.15039162494</v>
      </c>
      <c r="G15" s="0" t="n">
        <f aca="false">G13-MAX(0,G13)*G14/100</f>
        <v>1200.16199127559</v>
      </c>
      <c r="H15" s="0" t="n">
        <f aca="false">H13-MAX(0,H13)*H14/100</f>
        <v>1260.52657459916</v>
      </c>
      <c r="I15" s="0" t="n">
        <f aca="false">I13-MAX(0,I13)*I14/100</f>
        <v>1304.64500471013</v>
      </c>
      <c r="J15" s="0" t="n">
        <f aca="false">J13-MAX(0,J13)*J14/100</f>
        <v>1343.78435485143</v>
      </c>
      <c r="K15" s="0" t="n">
        <f aca="false">K13-MAX(0,K13)*K14/100</f>
        <v>1384.09788549697</v>
      </c>
      <c r="L15" s="0" t="n">
        <f aca="false">L13-MAX(0,L13)*L14/100</f>
        <v>1425.62082206188</v>
      </c>
    </row>
    <row r="16" customFormat="false" ht="15" hidden="false" customHeight="false" outlineLevel="0" collapsed="false">
      <c r="A16" s="0" t="s">
        <v>117</v>
      </c>
      <c r="C16" s="0" t="n">
        <f aca="false">-C12</f>
        <v>991.72272947</v>
      </c>
      <c r="D16" s="0" t="n">
        <f aca="false">-D12</f>
        <v>1041.3088659435</v>
      </c>
      <c r="E16" s="0" t="n">
        <f aca="false">-E12</f>
        <v>1093.37430924067</v>
      </c>
      <c r="F16" s="0" t="n">
        <f aca="false">-F12</f>
        <v>1142.57615315651</v>
      </c>
      <c r="G16" s="0" t="n">
        <f aca="false">-G12</f>
        <v>1188.27919928277</v>
      </c>
      <c r="H16" s="0" t="n">
        <f aca="false">-H12</f>
        <v>1235.81036725408</v>
      </c>
      <c r="I16" s="0" t="n">
        <f aca="false">-I12</f>
        <v>1279.06373010797</v>
      </c>
      <c r="J16" s="0" t="n">
        <f aca="false">-J12</f>
        <v>1317.43564201121</v>
      </c>
      <c r="K16" s="0" t="n">
        <f aca="false">-K12</f>
        <v>1356.95871127154</v>
      </c>
      <c r="L16" s="0" t="n">
        <f aca="false">-L12</f>
        <v>1397.66747260969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-1083.97600663</v>
      </c>
      <c r="D17" s="4" t="n">
        <f aca="false">-D6*Assumptions!D46/100</f>
        <v>-1113.958321707</v>
      </c>
      <c r="E17" s="4" t="n">
        <f aca="false">-E6*Assumptions!E46/100</f>
        <v>-1144.22892827512</v>
      </c>
      <c r="F17" s="4" t="n">
        <f aca="false">-F6*Assumptions!F46/100</f>
        <v>-1195.71923004751</v>
      </c>
      <c r="G17" s="4" t="n">
        <f aca="false">-G6*Assumptions!G46/100</f>
        <v>-1243.54799924941</v>
      </c>
      <c r="H17" s="4" t="n">
        <f aca="false">-H6*Assumptions!H46/100</f>
        <v>-1264.55014323673</v>
      </c>
      <c r="I17" s="4" t="n">
        <f aca="false">-I6*Assumptions!I46/100</f>
        <v>-1308.80939825001</v>
      </c>
      <c r="J17" s="4" t="n">
        <f aca="false">-J6*Assumptions!J46/100</f>
        <v>-1348.07368019752</v>
      </c>
      <c r="K17" s="4" t="n">
        <f aca="false">-K6*Assumptions!K46/100</f>
        <v>-1388.51589060344</v>
      </c>
      <c r="L17" s="4" t="n">
        <f aca="false">-L6*Assumptions!L46/100</f>
        <v>-1430.17136732154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79.4525831999999</v>
      </c>
      <c r="D18" s="4" t="n">
        <f aca="false">(D6-C6)*Assumptions!$B$51/100</f>
        <v>92.25327716</v>
      </c>
      <c r="E18" s="4" t="n">
        <f aca="false">(E6-D6)*Assumptions!$B$51/100</f>
        <v>96.865941018</v>
      </c>
      <c r="F18" s="4" t="n">
        <f aca="false">(F6-E6)*Assumptions!$B$51/100</f>
        <v>91.5383142620098</v>
      </c>
      <c r="G18" s="4" t="n">
        <f aca="false">(G6-F6)*Assumptions!$B$51/100</f>
        <v>85.0289230256004</v>
      </c>
      <c r="H18" s="4" t="n">
        <f aca="false">(H6-G6)*Assumptions!$B$51/100</f>
        <v>88.4300799466245</v>
      </c>
      <c r="I18" s="4" t="n">
        <f aca="false">(I6-H6)*Assumptions!$B$51/100</f>
        <v>80.471372751428</v>
      </c>
      <c r="J18" s="4" t="n">
        <f aca="false">(J6-I6)*Assumptions!$B$51/100</f>
        <v>71.3896035409099</v>
      </c>
      <c r="K18" s="4" t="n">
        <f aca="false">(K6-J6)*Assumptions!$B$51/100</f>
        <v>73.5312916471373</v>
      </c>
      <c r="L18" s="4" t="n">
        <f aca="false">(L6-K6)*Assumptions!$B$51/100</f>
        <v>75.7372303965513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889.6669898577</v>
      </c>
      <c r="D19" s="0" t="n">
        <f aca="false">D15+D16+D17+D18</f>
        <v>998.43415538339</v>
      </c>
      <c r="E19" s="0" t="n">
        <f aca="false">E15+E16+E17+E18</f>
        <v>1106.584401947</v>
      </c>
      <c r="F19" s="0" t="n">
        <f aca="false">F15+F16+F17+F18</f>
        <v>1169.54562899595</v>
      </c>
      <c r="G19" s="0" t="n">
        <f aca="false">G15+G16+G17+G18</f>
        <v>1229.92211433455</v>
      </c>
      <c r="H19" s="0" t="n">
        <f aca="false">H15+H16+H17+H18</f>
        <v>1320.21687856313</v>
      </c>
      <c r="I19" s="0" t="n">
        <f aca="false">I15+I16+I17+I18</f>
        <v>1355.37070931951</v>
      </c>
      <c r="J19" s="0" t="n">
        <f aca="false">J15+J16+J17+J18</f>
        <v>1384.53592020603</v>
      </c>
      <c r="K19" s="0" t="n">
        <f aca="false">K15+K16+K17+K18</f>
        <v>1426.07199781222</v>
      </c>
      <c r="L19" s="0" t="n">
        <f aca="false">L15+L16+L17+L18</f>
        <v>1468.85415774658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823.765731349722</v>
      </c>
      <c r="D21" s="0" t="n">
        <f aca="false">D19*D20</f>
        <v>855.996360925403</v>
      </c>
      <c r="E21" s="0" t="n">
        <f aca="false">E19*E20</f>
        <v>878.442375675555</v>
      </c>
      <c r="F21" s="0" t="n">
        <f aca="false">F19*F20</f>
        <v>859.650951519628</v>
      </c>
      <c r="G21" s="0" t="n">
        <f aca="false">G19*G20</f>
        <v>837.064324676323</v>
      </c>
      <c r="H21" s="0" t="n">
        <f aca="false">H19*H20</f>
        <v>831.960577768904</v>
      </c>
      <c r="I21" s="0" t="n">
        <f aca="false">I19*I20</f>
        <v>790.84579090756</v>
      </c>
      <c r="J21" s="0" t="n">
        <f aca="false">J19*J20</f>
        <v>748.021677162631</v>
      </c>
      <c r="K21" s="0" t="n">
        <f aca="false">K19*K20</f>
        <v>713.391043960657</v>
      </c>
      <c r="L21" s="0" t="n">
        <f aca="false">L19*L20</f>
        <v>680.36368081433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8019.50251476071</v>
      </c>
    </row>
    <row r="31" customFormat="false" ht="15" hidden="false" customHeight="false" outlineLevel="0" collapsed="false">
      <c r="A31" s="0" t="s">
        <v>126</v>
      </c>
      <c r="B31" s="0" t="n">
        <f aca="false">L19</f>
        <v>1468.85415774658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27374.1002125499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22032.8123661987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22032.8123661987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10205.455212215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18224.9577269757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20930.9577269757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8.77054691448918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1.3233236859574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8.77054691448918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12044.604093522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4.82754691776758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5.83024923483974</v>
      </c>
      <c r="C4" s="0" t="n">
        <f aca="false">B4/Assumptions!$B$2-1</f>
        <v>0.544436883401257</v>
      </c>
      <c r="D4" s="4" t="n">
        <f aca="false">Assumptions!$B$24</f>
        <v>0.25</v>
      </c>
      <c r="E4" s="4" t="n">
        <f aca="false">DCF_Bear!$B$43</f>
        <v>5.83024923483974</v>
      </c>
      <c r="F4" s="4" t="n">
        <f aca="false">DCF_Bear!$B$47</f>
        <v>3.47632353482129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7.53297537881078</v>
      </c>
      <c r="C5" s="0" t="n">
        <f aca="false">B5/Assumptions!$B$2-1</f>
        <v>0.995490166572393</v>
      </c>
      <c r="D5" s="4" t="n">
        <f aca="false">Assumptions!$B$38</f>
        <v>0.55</v>
      </c>
      <c r="E5" s="4" t="n">
        <f aca="false">DCF_Base!$B$43</f>
        <v>7.53297537881078</v>
      </c>
      <c r="F5" s="4" t="n">
        <f aca="false">DCF_Base!$B$47</f>
        <v>4.25179451888458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8.77054691448918</v>
      </c>
      <c r="C6" s="0" t="n">
        <f aca="false">B6/Assumptions!$B$2-1</f>
        <v>1.3233236859574</v>
      </c>
      <c r="D6" s="4" t="n">
        <f aca="false">Assumptions!$B$52</f>
        <v>0.2</v>
      </c>
      <c r="E6" s="4" t="n">
        <f aca="false">DCF_Bull!$B$43</f>
        <v>8.77054691448918</v>
      </c>
      <c r="F6" s="4" t="n">
        <f aca="false">DCF_Bull!$B$47</f>
        <v>4.82754691776758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7.3548081499537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7.3548081499537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0.486730323479102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4.17307725264536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7.53297537881078</v>
      </c>
      <c r="C15" s="3" t="n">
        <v>8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7.0016981221941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6.25571027753752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5.67596934313378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5.21257456403803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4.25179451888458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8.54725862031515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8.54725862031515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8.54725862031515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8.54725862031515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8.54725862031515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8.01632841628614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8.01632841628614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8.01632841628614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8.01632841628614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8.01632841628614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7.4003669910813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7.53297537881078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7.53297537881078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7.53297537881078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7.53297537881078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6.58977128250561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6.78200380769358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7.0016981221941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7.09239760983194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7.09239760983194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5.96060298915312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6.09947700721637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6.25571027753752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6.43277465056816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6.63513393403175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2026-10-10T22:45:22Z</dcterms:created>
  <dc:creator>openpyxl</dc:creator>
  <dc:description/>
  <dc:language>en-NZ</dc:language>
  <cp:lastModifiedBy/>
  <dcterms:modified xsi:type="dcterms:W3CDTF">2026-10-10T22:45:22Z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