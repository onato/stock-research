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<sst xmlns="http://schemas.openxmlformats.org/spreadsheetml/2006/main" count="355" uniqueCount="164">
  <si>
    <t xml:space="preserve">Ticker</t>
  </si>
  <si>
    <t xml:space="preserve">0522.HK</t>
  </si>
  <si>
    <t xml:space="preserve">Company</t>
  </si>
  <si>
    <t xml:space="preserve">ASMPT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</si>
  <si>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</si>
  <si>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</si>
  <si>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</si>
  <si>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</si>
  <si>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(HKEX regular close, 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</si>
  <si>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</si>
  <si>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</si>
  <si>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</si>
  <si>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</si>
  <si>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</si>
  <si>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</si>
  <si>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</si>
  <si>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</si>
  <si>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</si>
  <si>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</si>
  <si>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</si>
  <si>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</si>
  <si>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2026-10-10T22:54:49Z</t>
  </si>
  <si>
    <t xml:space="preserve">Drivers file</t>
  </si>
  <si>
    <t xml:space="preserve">0522.HK_Drivers.json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</si>
  <si>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</si>
  <si>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</si>
  <si>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</si>
  <si>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ASMPT through the cycle, not at its trough (FY2025 owner FCF negative) or its current AI-driven upswing. The base case honours FY2026 guidance, includes one digestion year, and capitalises a near-through-cycle margin at a cyclical 14x cap. The current price sits above the base and close to the bull case, i.e. the market is pricing the AI advanced-packaging cycle as structural.
key_risks_to_valuation: Semiconductor capex cyclicality: timing and depth of the next digestion year dominate the explicit-period value; US/allied export controls on China (~42% of 1H2026 revenue) or Chinese counter-measures; Hybrid-bonding qualification against Besi decides whether the next packaging wave is captured; Terminal margin: each 1pp of terminal EBITDA margin is worth roughly HK$5-6/share in the base; Working-capital intensity (~42% of revenue) makes growth cash-hungry and downturns cash-generative, so FCF lags earnings in the upswing</t>
  </si>
  <si>
    <t xml:space="preserve">Data sources</t>
  </si>
  <si>
    <t xml:space="preserve">price: Yahoo Finance chart API at inputs.price_as_of; 52-week range 68.9-244.4
financials: 0522.HK_Metrics.csv / core_metrics (FY2018-FY2025, H1 FY2024-26); FY2025 Annual Report cash flow statement and notes; H1 FY2026 Interim Report balance sheet, cash flow and note 4 (D&amp;A).
qualitative: 0522.HK_Analysis.json (2026-10-11): Q3 2026 revenue guidance US$630-690m, 1H2026 book-to-bill 1.43x, NEXX sale to Applied Materials closed 3-Jun-2026, China ~42% of revenue.</t>
  </si>
  <si>
    <t xml:space="preserve">Scenario narrative: bear</t>
  </si>
  <si>
    <t xml:space="preserve">Hyperscaler and HBM capex pauses in 2027-28 (as in the FY2023 trough), and US/allied export controls are extended to back-end packaging and SMT tools or China retaliates, impairing the ~42% China revenue base. Hybrid bonding goes to Besi, SMT faces Japanese price competition, and the CEO transition (Robin Ng to Bassel Haddad) slows execution. Revenue falls 25% over two years from the FY2026 peak and EBITDA margin troughs at 10.5% before settling at 13.5%; exit multiple 12x.</t>
  </si>
  <si>
    <t xml:space="preserve">Scenario narrative: base</t>
  </si>
  <si>
    <t xml:space="preserve">ASMPT delivers the guided FY2026 (revenue ~HK$19bn, +38%) on TCB, high-end die bonders, photonics and an AI-server-board SMT lift, and FY2027 grows a further 10% on the 1.43x book-to-bill. The base then takes the cycle seriously: a FY2028 digestion year (-8%, EBITDA margin 16%) like FY2019 and FY2023, after which advanced packaging keeps a structural tailwind (TCB TAM &gt;US$1.6bn by 2028, 30-40% share) while SMT grows with electronics. Terminal EBITDA margin 18% sits between the through-cycle average (~15.5%) and the FY2021-22 peak (22%), crediting the mix shift to higher-margin SEMI without assuming peak economics persist; owner-FCF margin matures around 9% versus ~7% historically after lease cash.</t>
  </si>
  <si>
    <t xml:space="preserve">Scenario narrative: bull</t>
  </si>
  <si>
    <t xml:space="preserve">The AI advanced-packaging build-out proves structural rather than cyclical: HBM4 delivers memory-TCB share gains via the exclusive joint evaluation, the second-generation hybrid-bonding platform qualifies against Besi, co-packaged optics ramps on top of the tripled transceiver business, and panel-level packaging adds a new leg. No digestion year; revenue roughly 2.7x FY2025 by FY2035 and the SEMI-heavy mix takes group EBITDA margin to 24%, closer to pure-play advanced-packaging peers. Exit multiple 16x.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</si>
  <si>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</si>
  <si>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</si>
  <si>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</si>
  <si>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</si>
  <si>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</si>
  <si>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</si>
  <si>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</si>
  <si>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</si>
  <si>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</si>
  <si>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</si>
  <si>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</si>
  <si>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</si>
  <si>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</si>
  <si>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</si>
  <si>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</si>
  <si>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</si>
  <si>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</si>
  <si>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</si>
  <si>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</si>
  <si>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</si>
  <si>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</si>
  <si>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</si>
  <si>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</si>
  <si>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</si>
  <si>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</si>
  <si>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</si>
  <si>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</si>
  <si>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NetIncomeContinuing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</si>
  <si>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</si>
  <si>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</si>
  <si>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</si>
  <si>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</si>
  <si>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</si>
  <si>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</si>
  <si>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</si>
  <si>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</si>
  <si>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</si>
  <si>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</si>
  <si>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</si>
  <si>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</si>
  <si>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</si>
  <si>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</si>
  <si>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</si>
  <si>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</si>
  <si>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</si>
  <si>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</si>
  <si>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</si>
  <si>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</si>
  <si>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</si>
  <si>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</si>
  <si>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</si>
  <si>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</si>
  <si>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</si>
  <si>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</si>
  <si>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</si>
  <si>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</si>
  <si>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</si>
  <si>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</si>
  <si>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</si>
  <si>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</si>
  <si>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</si>
  <si>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</si>
  <si>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</si>
  <si>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</si>
  <si>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</si>
  <si>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</si>
  <si>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</si>
  <si>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</si>
  <si>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</si>
  <si>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</si>
  <si>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</si>
  <si>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</si>
  <si>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</si>
  <si>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0522.HK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</si>
  <si>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</si>
  <si>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</si>
  <si>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</si>
  <si>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</si>
  <si>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</si>
  <si>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</si>
  <si>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</si>
  <si>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</si>
  <si>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</si>
  <si>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</si>
  <si>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</si>
  <si>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</si>
  <si>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</si>
  <si>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</si>
  <si>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</si>
  <si>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</si>
  <si>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</si>
  <si>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</si>
  <si>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</si>
  <si>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</si>
  <si>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</si>
  <si>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</si>
  <si>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</si>
  <si>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</si>
  <si>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</si>
  <si>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</si>
  <si>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</si>
  <si>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</si>
  <si>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</si>
  <si>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</si>
  <si>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0522.HK owner-FCF component DCF: base case (millions, HKD)</t>
  </si>
  <si>
    <t xml:space="preserve">0522.HK owner-FCF component DCF: bull case (millions, HKD)</t>
  </si>
  <si>
    <t xml:space="preserve">0522.HK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</si>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</sst>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161.3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19550.59</v>
      </c>
      <c r="C2" s="0" t="n">
        <v>12113.813</v>
      </c>
      <c r="D2" s="0" t="n">
        <v>7436.777</v>
      </c>
      <c r="E2" s="0" t="n">
        <v>38</v>
      </c>
      <c r="F2" s="0" t="n">
        <v>3150.918</v>
      </c>
      <c r="G2" s="0" t="n">
        <v>16.1</v>
      </c>
      <c r="H2" s="0" t="n">
        <v>3722.46</v>
      </c>
      <c r="I2" s="0" t="n">
        <v>2216.062</v>
      </c>
      <c r="J2" s="0" t="n">
        <v>11.3</v>
      </c>
      <c r="K2" s="0" t="n">
        <v>5.47</v>
      </c>
      <c r="L2" s="0" t="n">
        <v>1942.339</v>
      </c>
      <c r="M2" s="0" t="n">
        <v>762.686</v>
      </c>
      <c r="N2" s="0" t="n">
        <v>1179.653</v>
      </c>
      <c r="O2" s="0" t="n">
        <v>12167.548</v>
      </c>
      <c r="P2" s="0" t="n">
        <v>21075.402</v>
      </c>
      <c r="Q2" s="0" t="n">
        <v>8914.747</v>
      </c>
      <c r="R2" s="0" t="n">
        <v>3484.413</v>
      </c>
      <c r="S2" s="0" t="n">
        <v>2240.022</v>
      </c>
      <c r="T2" s="0" t="n">
        <v>406.67</v>
      </c>
      <c r="U2" s="0" t="n">
        <v>289.031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15883.042</v>
      </c>
      <c r="C3" s="0" t="n">
        <v>10359.167</v>
      </c>
      <c r="D3" s="0" t="n">
        <v>5523.875</v>
      </c>
      <c r="E3" s="0" t="n">
        <v>34.8</v>
      </c>
      <c r="F3" s="0" t="n">
        <v>1190.856</v>
      </c>
      <c r="G3" s="0" t="n">
        <v>7.5</v>
      </c>
      <c r="H3" s="0" t="n">
        <v>2034.821</v>
      </c>
      <c r="I3" s="0" t="n">
        <v>619.249</v>
      </c>
      <c r="J3" s="0" t="n">
        <v>3.9</v>
      </c>
      <c r="K3" s="0" t="n">
        <v>1.52</v>
      </c>
      <c r="L3" s="0" t="n">
        <v>2833.682</v>
      </c>
      <c r="M3" s="0" t="n">
        <v>691.54</v>
      </c>
      <c r="N3" s="0" t="n">
        <v>2142.142</v>
      </c>
      <c r="O3" s="0" t="n">
        <v>11628.316</v>
      </c>
      <c r="P3" s="0" t="n">
        <v>20845.587</v>
      </c>
      <c r="Q3" s="0" t="n">
        <v>9213.895</v>
      </c>
      <c r="R3" s="0" t="n">
        <v>3043.482</v>
      </c>
      <c r="S3" s="0" t="n">
        <v>2317.543</v>
      </c>
      <c r="T3" s="0" t="n">
        <v>408.89</v>
      </c>
      <c r="U3" s="0" t="n">
        <v>196.039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14700.25</v>
      </c>
      <c r="C4" s="0" t="n">
        <v>9561.369</v>
      </c>
      <c r="D4" s="0" t="n">
        <v>5138.881</v>
      </c>
      <c r="E4" s="0" t="n">
        <v>35</v>
      </c>
      <c r="F4" s="0" t="n">
        <v>993.77</v>
      </c>
      <c r="G4" s="0" t="n">
        <v>6.8</v>
      </c>
      <c r="H4" s="0" t="n">
        <v>1854.93</v>
      </c>
      <c r="I4" s="0" t="n">
        <v>1621.516</v>
      </c>
      <c r="J4" s="0" t="n">
        <v>11</v>
      </c>
      <c r="K4" s="0" t="n">
        <v>3.97</v>
      </c>
      <c r="L4" s="0" t="n">
        <v>2676.991</v>
      </c>
      <c r="M4" s="0" t="n">
        <v>315.96</v>
      </c>
      <c r="N4" s="0" t="n">
        <v>2361.031</v>
      </c>
      <c r="O4" s="0" t="n">
        <v>13169.589</v>
      </c>
      <c r="P4" s="0" t="n">
        <v>23163.985</v>
      </c>
      <c r="Q4" s="0" t="n">
        <v>9969.738</v>
      </c>
      <c r="R4" s="0" t="n">
        <v>3047.686</v>
      </c>
      <c r="S4" s="0" t="n">
        <v>4450.564</v>
      </c>
      <c r="T4" s="0" t="n">
        <v>410.79</v>
      </c>
      <c r="U4" s="0" t="n">
        <v>160.733</v>
      </c>
      <c r="X4" s="0" t="n">
        <v>14700.25</v>
      </c>
      <c r="AA4" s="0" t="s">
        <v>17</v>
      </c>
      <c r="AB4" s="0" t="s">
        <v>14</v>
      </c>
      <c r="AC4" s="0" t="n">
        <v>627.625</v>
      </c>
    </row>
    <row r="5" customFormat="false" ht="15" hidden="false" customHeight="false" outlineLevel="0" collapsed="false">
      <c r="A5" s="0" t="s">
        <v>67</v>
      </c>
      <c r="B5" s="0" t="n">
        <v>21947.637</v>
      </c>
      <c r="C5" s="0" t="n">
        <v>13040.03</v>
      </c>
      <c r="D5" s="0" t="n">
        <v>8907.607</v>
      </c>
      <c r="E5" s="0" t="n">
        <v>40.6</v>
      </c>
      <c r="F5" s="0" t="n">
        <v>4210.881</v>
      </c>
      <c r="G5" s="0" t="n">
        <v>19.2</v>
      </c>
      <c r="H5" s="0" t="n">
        <v>4953.664</v>
      </c>
      <c r="I5" s="0" t="n">
        <v>3168.976</v>
      </c>
      <c r="J5" s="0" t="n">
        <v>14.4</v>
      </c>
      <c r="K5" s="0" t="n">
        <v>7.72</v>
      </c>
      <c r="L5" s="0" t="n">
        <v>2542.771</v>
      </c>
      <c r="M5" s="0" t="n">
        <v>337.165</v>
      </c>
      <c r="N5" s="0" t="n">
        <v>2205.606</v>
      </c>
      <c r="O5" s="0" t="n">
        <v>15275.426</v>
      </c>
      <c r="P5" s="0" t="n">
        <v>26500.791</v>
      </c>
      <c r="Q5" s="0" t="n">
        <v>11089.102</v>
      </c>
      <c r="R5" s="0" t="n">
        <v>2698.588</v>
      </c>
      <c r="S5" s="0" t="n">
        <v>4681.09</v>
      </c>
      <c r="T5" s="0" t="n">
        <v>412.7</v>
      </c>
      <c r="U5" s="0" t="n">
        <v>210.255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19363.495</v>
      </c>
      <c r="C6" s="0" t="n">
        <v>11397.547</v>
      </c>
      <c r="D6" s="0" t="n">
        <v>7965.948</v>
      </c>
      <c r="E6" s="0" t="n">
        <v>41.1</v>
      </c>
      <c r="F6" s="0" t="n">
        <v>3532.927</v>
      </c>
      <c r="G6" s="0" t="n">
        <v>18.2</v>
      </c>
      <c r="H6" s="0" t="n">
        <v>4271.526</v>
      </c>
      <c r="I6" s="0" t="n">
        <v>2620.251</v>
      </c>
      <c r="J6" s="0" t="n">
        <v>13.5</v>
      </c>
      <c r="K6" s="0" t="n">
        <v>6.36</v>
      </c>
      <c r="L6" s="0" t="n">
        <v>2942.507</v>
      </c>
      <c r="M6" s="0" t="n">
        <v>422.009</v>
      </c>
      <c r="N6" s="0" t="n">
        <v>2520.498</v>
      </c>
      <c r="O6" s="0" t="n">
        <v>15738.506</v>
      </c>
      <c r="P6" s="0" t="n">
        <v>24776.531</v>
      </c>
      <c r="Q6" s="0" t="n">
        <v>8919</v>
      </c>
      <c r="R6" s="0" t="n">
        <v>2250</v>
      </c>
      <c r="S6" s="0" t="n">
        <v>4262.886</v>
      </c>
      <c r="T6" s="0" t="n">
        <v>412.87</v>
      </c>
      <c r="U6" s="0" t="n">
        <v>212.743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14697.489</v>
      </c>
      <c r="C7" s="0" t="n">
        <v>8923.861</v>
      </c>
      <c r="D7" s="0" t="n">
        <v>5773.628</v>
      </c>
      <c r="E7" s="0" t="n">
        <v>39.3</v>
      </c>
      <c r="F7" s="0" t="n">
        <v>1173.899</v>
      </c>
      <c r="G7" s="0" t="n">
        <v>8</v>
      </c>
      <c r="H7" s="0" t="n">
        <v>1887.08</v>
      </c>
      <c r="I7" s="0" t="n">
        <v>715.353</v>
      </c>
      <c r="J7" s="0" t="n">
        <v>4.9</v>
      </c>
      <c r="K7" s="0" t="n">
        <v>1.73</v>
      </c>
      <c r="L7" s="0" t="n">
        <v>2347.978</v>
      </c>
      <c r="M7" s="0" t="n">
        <v>363.34</v>
      </c>
      <c r="N7" s="0" t="n">
        <v>1984.638</v>
      </c>
      <c r="O7" s="0" t="n">
        <v>15691.047</v>
      </c>
      <c r="P7" s="0" t="n">
        <v>23962.844</v>
      </c>
      <c r="Q7" s="0" t="n">
        <v>8158.886</v>
      </c>
      <c r="R7" s="0" t="n">
        <v>2000</v>
      </c>
      <c r="S7" s="0" t="n">
        <v>4434.057</v>
      </c>
      <c r="T7" s="0" t="n">
        <v>414.51</v>
      </c>
      <c r="U7" s="0" t="n">
        <v>177.635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13229.079</v>
      </c>
      <c r="C8" s="0" t="n">
        <v>7940.032</v>
      </c>
      <c r="D8" s="0" t="n">
        <v>5289.047</v>
      </c>
      <c r="E8" s="0" t="n">
        <v>40</v>
      </c>
      <c r="F8" s="0" t="n">
        <v>702.542</v>
      </c>
      <c r="G8" s="0" t="n">
        <v>5.3</v>
      </c>
      <c r="H8" s="0" t="n">
        <v>1409.889</v>
      </c>
      <c r="I8" s="0" t="n">
        <v>345.262</v>
      </c>
      <c r="J8" s="0" t="n">
        <v>2.6</v>
      </c>
      <c r="K8" s="0" t="n">
        <v>0.83</v>
      </c>
      <c r="L8" s="0" t="n">
        <v>1020.125</v>
      </c>
      <c r="M8" s="0" t="n">
        <v>343.92</v>
      </c>
      <c r="N8" s="0" t="n">
        <v>676.205</v>
      </c>
      <c r="O8" s="0" t="n">
        <v>15188.039</v>
      </c>
      <c r="P8" s="0" t="n">
        <v>23673.337</v>
      </c>
      <c r="Q8" s="0" t="n">
        <v>8381.836</v>
      </c>
      <c r="R8" s="0" t="n">
        <v>2681.205</v>
      </c>
      <c r="S8" s="0" t="n">
        <v>4417.71</v>
      </c>
      <c r="T8" s="0" t="n">
        <v>416.46</v>
      </c>
      <c r="U8" s="0" t="n">
        <v>219.954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13736.243</v>
      </c>
      <c r="C9" s="0" t="n">
        <v>8550.405</v>
      </c>
      <c r="D9" s="0" t="n">
        <v>5185.838</v>
      </c>
      <c r="E9" s="0" t="n">
        <v>37.8</v>
      </c>
      <c r="F9" s="0" t="n">
        <v>1383.145</v>
      </c>
      <c r="G9" s="0" t="n">
        <v>10.1</v>
      </c>
      <c r="H9" s="0" t="n">
        <v>2078.738</v>
      </c>
      <c r="I9" s="0" t="n">
        <v>902.034</v>
      </c>
      <c r="J9" s="0" t="n">
        <v>6.6</v>
      </c>
      <c r="K9" s="0" t="n">
        <v>2.17</v>
      </c>
      <c r="L9" s="0" t="n">
        <v>242.516</v>
      </c>
      <c r="M9" s="0" t="n">
        <v>381.627</v>
      </c>
      <c r="N9" s="0" t="n">
        <v>-139.111</v>
      </c>
      <c r="O9" s="0" t="n">
        <v>17025.856</v>
      </c>
      <c r="P9" s="0" t="n">
        <v>26163.004</v>
      </c>
      <c r="Q9" s="0" t="n">
        <v>9030.546</v>
      </c>
      <c r="R9" s="0" t="n">
        <v>2393.821</v>
      </c>
      <c r="S9" s="0" t="n">
        <v>4665.993</v>
      </c>
      <c r="T9" s="0" t="n">
        <v>417.78</v>
      </c>
      <c r="U9" s="0" t="n">
        <v>109.784</v>
      </c>
      <c r="X9" s="0" t="n">
        <v>13736.243</v>
      </c>
      <c r="AA9" s="0" t="s">
        <v>17</v>
      </c>
      <c r="AB9" s="0" t="s">
        <v>14</v>
      </c>
      <c r="AC9" s="0" t="n">
        <v>1084.798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161.3</v>
      </c>
    </row>
    <row r="3" customFormat="false" ht="15" hidden="false" customHeight="false" outlineLevel="0" collapsed="false">
      <c r="A3" s="0" t="s">
        <v>75</v>
      </c>
      <c r="B3" s="3" t="n">
        <v>419.41</v>
      </c>
    </row>
    <row r="4" customFormat="false" ht="15" hidden="false" customHeight="false" outlineLevel="0" collapsed="false">
      <c r="A4" s="0" t="s">
        <v>76</v>
      </c>
      <c r="B4" s="3" t="n">
        <v>-3625.9</v>
      </c>
    </row>
    <row r="5" customFormat="false" ht="15" hidden="false" customHeight="false" outlineLevel="0" collapsed="false">
      <c r="A5" s="0" t="s">
        <v>77</v>
      </c>
      <c r="B5" s="3" t="n">
        <v>1884.286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13736.243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30</v>
      </c>
      <c r="D13" s="3" t="n">
        <v>-12</v>
      </c>
      <c r="E13" s="3" t="n">
        <v>-15</v>
      </c>
      <c r="F13" s="3" t="n">
        <v>2</v>
      </c>
      <c r="G13" s="3" t="n">
        <v>4</v>
      </c>
      <c r="H13" s="3" t="n">
        <v>4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16.5</v>
      </c>
      <c r="D14" s="3" t="n">
        <v>13</v>
      </c>
      <c r="E14" s="3" t="n">
        <v>10.5</v>
      </c>
      <c r="F14" s="3" t="n">
        <v>12</v>
      </c>
      <c r="G14" s="3" t="n">
        <v>13</v>
      </c>
      <c r="H14" s="3" t="n">
        <v>13.5</v>
      </c>
      <c r="I14" s="3" t="n">
        <v>13.5</v>
      </c>
      <c r="J14" s="3" t="n">
        <v>13.5</v>
      </c>
      <c r="K14" s="3" t="n">
        <v>13.5</v>
      </c>
      <c r="L14" s="3" t="n">
        <v>13.5</v>
      </c>
    </row>
    <row r="15" customFormat="false" ht="15" hidden="false" customHeight="false" outlineLevel="0" collapsed="false">
      <c r="A15" s="0" t="s">
        <v>97</v>
      </c>
      <c r="C15" s="3" t="n">
        <v>0.9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98</v>
      </c>
      <c r="C16" s="3" t="n">
        <v>1.6</v>
      </c>
      <c r="D16" s="3" t="n">
        <v>1.8</v>
      </c>
      <c r="E16" s="3" t="n">
        <v>2</v>
      </c>
      <c r="F16" s="3" t="n">
        <v>1.9</v>
      </c>
      <c r="G16" s="3" t="n">
        <v>1.9</v>
      </c>
      <c r="H16" s="3" t="n">
        <v>1.8</v>
      </c>
      <c r="I16" s="3" t="n">
        <v>1.8</v>
      </c>
      <c r="J16" s="3" t="n">
        <v>1.8</v>
      </c>
      <c r="K16" s="3" t="n">
        <v>1.8</v>
      </c>
      <c r="L16" s="3" t="n">
        <v>1.8</v>
      </c>
    </row>
    <row r="17" customFormat="false" ht="15" hidden="false" customHeight="false" outlineLevel="0" collapsed="false">
      <c r="A17" s="0" t="s">
        <v>99</v>
      </c>
      <c r="C17" s="3" t="n">
        <v>2.5</v>
      </c>
      <c r="D17" s="3" t="n">
        <v>2.9</v>
      </c>
      <c r="E17" s="3" t="n">
        <v>3.3</v>
      </c>
      <c r="F17" s="3" t="n">
        <v>3.2</v>
      </c>
      <c r="G17" s="3" t="n">
        <v>3.1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100</v>
      </c>
      <c r="C18" s="3" t="n">
        <v>2.2</v>
      </c>
      <c r="D18" s="3" t="n">
        <v>2.6</v>
      </c>
      <c r="E18" s="3" t="n">
        <v>2.8</v>
      </c>
      <c r="F18" s="3" t="n">
        <v>2.9</v>
      </c>
      <c r="G18" s="3" t="n">
        <v>3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101</v>
      </c>
      <c r="C19" s="3" t="n">
        <v>24</v>
      </c>
      <c r="D19" s="3" t="n">
        <v>23</v>
      </c>
      <c r="E19" s="3" t="n">
        <v>22</v>
      </c>
      <c r="F19" s="3" t="n">
        <v>22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-20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38</v>
      </c>
      <c r="D27" s="3" t="n">
        <v>10</v>
      </c>
      <c r="E27" s="3" t="n">
        <v>-8</v>
      </c>
      <c r="F27" s="3" t="n">
        <v>3</v>
      </c>
      <c r="G27" s="3" t="n">
        <v>6</v>
      </c>
      <c r="H27" s="3" t="n">
        <v>6</v>
      </c>
      <c r="I27" s="3" t="n">
        <v>5</v>
      </c>
      <c r="J27" s="3" t="n">
        <v>4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17.5</v>
      </c>
      <c r="D28" s="3" t="n">
        <v>19.5</v>
      </c>
      <c r="E28" s="3" t="n">
        <v>16</v>
      </c>
      <c r="F28" s="3" t="n">
        <v>16.5</v>
      </c>
      <c r="G28" s="3" t="n">
        <v>17.5</v>
      </c>
      <c r="H28" s="3" t="n">
        <v>18</v>
      </c>
      <c r="I28" s="3" t="n">
        <v>18</v>
      </c>
      <c r="J28" s="3" t="n">
        <v>18</v>
      </c>
      <c r="K28" s="3" t="n">
        <v>18</v>
      </c>
      <c r="L28" s="3" t="n">
        <v>18</v>
      </c>
    </row>
    <row r="29" customFormat="false" ht="15" hidden="false" customHeight="false" outlineLevel="0" collapsed="false">
      <c r="A29" s="0" t="s">
        <v>97</v>
      </c>
      <c r="C29" s="3" t="n">
        <v>0.9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98</v>
      </c>
      <c r="C30" s="3" t="n">
        <v>1.6</v>
      </c>
      <c r="D30" s="3" t="n">
        <v>1.6</v>
      </c>
      <c r="E30" s="3" t="n">
        <v>1.7</v>
      </c>
      <c r="F30" s="3" t="n">
        <v>1.7</v>
      </c>
      <c r="G30" s="3" t="n">
        <v>1.6</v>
      </c>
      <c r="H30" s="3" t="n">
        <v>1.6</v>
      </c>
      <c r="I30" s="3" t="n">
        <v>1.6</v>
      </c>
      <c r="J30" s="3" t="n">
        <v>1.6</v>
      </c>
      <c r="K30" s="3" t="n">
        <v>1.6</v>
      </c>
      <c r="L30" s="3" t="n">
        <v>1.6</v>
      </c>
    </row>
    <row r="31" customFormat="false" ht="15" hidden="false" customHeight="false" outlineLevel="0" collapsed="false">
      <c r="A31" s="0" t="s">
        <v>99</v>
      </c>
      <c r="C31" s="3" t="n">
        <v>2.5</v>
      </c>
      <c r="D31" s="3" t="n">
        <v>2.6</v>
      </c>
      <c r="E31" s="3" t="n">
        <v>2.9</v>
      </c>
      <c r="F31" s="3" t="n">
        <v>3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100</v>
      </c>
      <c r="C32" s="3" t="n">
        <v>2.2</v>
      </c>
      <c r="D32" s="3" t="n">
        <v>2.8</v>
      </c>
      <c r="E32" s="3" t="n">
        <v>3</v>
      </c>
      <c r="F32" s="3" t="n">
        <v>3</v>
      </c>
      <c r="G32" s="3" t="n">
        <v>3.1</v>
      </c>
      <c r="H32" s="3" t="n">
        <v>3.2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101</v>
      </c>
      <c r="C33" s="3" t="n">
        <v>24</v>
      </c>
      <c r="D33" s="3" t="n">
        <v>22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14</v>
      </c>
    </row>
    <row r="37" customFormat="false" ht="15" hidden="false" customHeight="false" outlineLevel="0" collapsed="false">
      <c r="A37" s="0" t="s">
        <v>105</v>
      </c>
      <c r="B37" s="3" t="n">
        <v>-20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42</v>
      </c>
      <c r="D41" s="3" t="n">
        <v>22</v>
      </c>
      <c r="E41" s="3" t="n">
        <v>10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96</v>
      </c>
      <c r="C42" s="3" t="n">
        <v>18</v>
      </c>
      <c r="D42" s="3" t="n">
        <v>21.5</v>
      </c>
      <c r="E42" s="3" t="n">
        <v>22.5</v>
      </c>
      <c r="F42" s="3" t="n">
        <v>23</v>
      </c>
      <c r="G42" s="3" t="n">
        <v>23.5</v>
      </c>
      <c r="H42" s="3" t="n">
        <v>24</v>
      </c>
      <c r="I42" s="3" t="n">
        <v>24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97</v>
      </c>
      <c r="C43" s="3" t="n">
        <v>0.9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98</v>
      </c>
      <c r="C44" s="3" t="n">
        <v>1.6</v>
      </c>
      <c r="D44" s="3" t="n">
        <v>1.5</v>
      </c>
      <c r="E44" s="3" t="n">
        <v>1.5</v>
      </c>
      <c r="F44" s="3" t="n">
        <v>1.5</v>
      </c>
      <c r="G44" s="3" t="n">
        <v>1.5</v>
      </c>
      <c r="H44" s="3" t="n">
        <v>1.5</v>
      </c>
      <c r="I44" s="3" t="n">
        <v>1.5</v>
      </c>
      <c r="J44" s="3" t="n">
        <v>1.5</v>
      </c>
      <c r="K44" s="3" t="n">
        <v>1.5</v>
      </c>
      <c r="L44" s="3" t="n">
        <v>1.5</v>
      </c>
    </row>
    <row r="45" customFormat="false" ht="15" hidden="false" customHeight="false" outlineLevel="0" collapsed="false">
      <c r="A45" s="0" t="s">
        <v>99</v>
      </c>
      <c r="C45" s="3" t="n">
        <v>2.5</v>
      </c>
      <c r="D45" s="3" t="n">
        <v>2.6</v>
      </c>
      <c r="E45" s="3" t="n">
        <v>2.8</v>
      </c>
      <c r="F45" s="3" t="n">
        <v>3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100</v>
      </c>
      <c r="C46" s="3" t="n">
        <v>2.2</v>
      </c>
      <c r="D46" s="3" t="n">
        <v>3</v>
      </c>
      <c r="E46" s="3" t="n">
        <v>3.2</v>
      </c>
      <c r="F46" s="3" t="n">
        <v>3.2</v>
      </c>
      <c r="G46" s="3" t="n">
        <v>3.2</v>
      </c>
      <c r="H46" s="3" t="n">
        <v>3.2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101</v>
      </c>
      <c r="C47" s="3" t="n">
        <v>24</v>
      </c>
      <c r="D47" s="3" t="n">
        <v>22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16</v>
      </c>
    </row>
    <row r="51" customFormat="false" ht="15" hidden="false" customHeight="false" outlineLevel="0" collapsed="false">
      <c r="A51" s="0" t="s">
        <v>105</v>
      </c>
      <c r="B51" s="3" t="n">
        <v>-20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30</v>
      </c>
      <c r="D5" s="4" t="n">
        <f aca="false">Assumptions!D13</f>
        <v>-12</v>
      </c>
      <c r="E5" s="4" t="n">
        <f aca="false">Assumptions!E13</f>
        <v>-15</v>
      </c>
      <c r="F5" s="4" t="n">
        <f aca="false">Assumptions!F13</f>
        <v>2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13736.243</v>
      </c>
      <c r="C6" s="0" t="n">
        <f aca="false">B6*(1+C5/100)</f>
        <v>17857.1159</v>
      </c>
      <c r="D6" s="0" t="n">
        <f aca="false">C6*(1+D5/100)</f>
        <v>15714.261992</v>
      </c>
      <c r="E6" s="0" t="n">
        <f aca="false">D6*(1+E5/100)</f>
        <v>13357.1226932</v>
      </c>
      <c r="F6" s="0" t="n">
        <f aca="false">E6*(1+F5/100)</f>
        <v>13624.265147064</v>
      </c>
      <c r="G6" s="0" t="n">
        <f aca="false">F6*(1+G5/100)</f>
        <v>14169.2357529466</v>
      </c>
      <c r="H6" s="0" t="n">
        <f aca="false">G6*(1+H5/100)</f>
        <v>14736.0051830644</v>
      </c>
      <c r="I6" s="0" t="n">
        <f aca="false">H6*(1+I5/100)</f>
        <v>15178.0853385564</v>
      </c>
      <c r="J6" s="0" t="n">
        <f aca="false">I6*(1+J5/100)</f>
        <v>15633.4278987131</v>
      </c>
      <c r="K6" s="0" t="n">
        <f aca="false">J6*(1+K5/100)</f>
        <v>16024.2635961809</v>
      </c>
      <c r="L6" s="0" t="n">
        <f aca="false">K6*(1+L5/100)</f>
        <v>16424.8701860854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16.5</v>
      </c>
      <c r="D7" s="4" t="n">
        <f aca="false">Assumptions!D14</f>
        <v>13</v>
      </c>
      <c r="E7" s="4" t="n">
        <f aca="false">Assumptions!E14</f>
        <v>10.5</v>
      </c>
      <c r="F7" s="4" t="n">
        <f aca="false">Assumptions!F14</f>
        <v>12</v>
      </c>
      <c r="G7" s="4" t="n">
        <f aca="false">Assumptions!G14</f>
        <v>13</v>
      </c>
      <c r="H7" s="4" t="n">
        <f aca="false">Assumptions!H14</f>
        <v>13.5</v>
      </c>
      <c r="I7" s="4" t="n">
        <f aca="false">Assumptions!I14</f>
        <v>13.5</v>
      </c>
      <c r="J7" s="4" t="n">
        <f aca="false">Assumptions!J14</f>
        <v>13.5</v>
      </c>
      <c r="K7" s="4" t="n">
        <f aca="false">Assumptions!K14</f>
        <v>13.5</v>
      </c>
      <c r="L7" s="4" t="n">
        <f aca="false">Assumptions!L14</f>
        <v>13.5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2946.4241235</v>
      </c>
      <c r="D8" s="0" t="n">
        <f aca="false">D6*D7/100</f>
        <v>2042.85405896</v>
      </c>
      <c r="E8" s="0" t="n">
        <f aca="false">E6*E7/100</f>
        <v>1402.497882786</v>
      </c>
      <c r="F8" s="0" t="n">
        <f aca="false">F6*F7/100</f>
        <v>1634.91181764768</v>
      </c>
      <c r="G8" s="0" t="n">
        <f aca="false">G6*G7/100</f>
        <v>1842.00064788305</v>
      </c>
      <c r="H8" s="0" t="n">
        <f aca="false">H6*H7/100</f>
        <v>1989.3606997137</v>
      </c>
      <c r="I8" s="0" t="n">
        <f aca="false">I6*I7/100</f>
        <v>2049.04152070511</v>
      </c>
      <c r="J8" s="0" t="n">
        <f aca="false">J6*J7/100</f>
        <v>2110.51276632626</v>
      </c>
      <c r="K8" s="0" t="n">
        <f aca="false">K6*K7/100</f>
        <v>2163.27558548442</v>
      </c>
      <c r="L8" s="0" t="n">
        <f aca="false">L6*L7/100</f>
        <v>2217.35747512153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0.9</v>
      </c>
      <c r="D9" s="4" t="n">
        <f aca="false">Assumptions!D15</f>
        <v>1</v>
      </c>
      <c r="E9" s="4" t="n">
        <f aca="false">Assumptions!E15</f>
        <v>1</v>
      </c>
      <c r="F9" s="4" t="n">
        <f aca="false">Assumptions!F15</f>
        <v>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-160.7140431</v>
      </c>
      <c r="D10" s="0" t="n">
        <f aca="false">-D6*D9/100</f>
        <v>-157.14261992</v>
      </c>
      <c r="E10" s="0" t="n">
        <f aca="false">-E6*E9/100</f>
        <v>-133.571226932</v>
      </c>
      <c r="F10" s="0" t="n">
        <f aca="false">-F6*F9/100</f>
        <v>-136.24265147064</v>
      </c>
      <c r="G10" s="0" t="n">
        <f aca="false">-G6*G9/100</f>
        <v>-141.692357529466</v>
      </c>
      <c r="H10" s="0" t="n">
        <f aca="false">-H6*H9/100</f>
        <v>-147.360051830644</v>
      </c>
      <c r="I10" s="0" t="n">
        <f aca="false">-I6*I9/100</f>
        <v>-151.780853385564</v>
      </c>
      <c r="J10" s="0" t="n">
        <f aca="false">-J6*J9/100</f>
        <v>-156.334278987131</v>
      </c>
      <c r="K10" s="0" t="n">
        <f aca="false">-K6*K9/100</f>
        <v>-160.242635961809</v>
      </c>
      <c r="L10" s="0" t="n">
        <f aca="false">-L6*L9/100</f>
        <v>-164.248701860854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2499.996226</v>
      </c>
      <c r="D11" s="0" t="n">
        <f aca="false">D8+D10+D24</f>
        <v>1602.854723184</v>
      </c>
      <c r="E11" s="0" t="n">
        <f aca="false">E8+E10+E24</f>
        <v>1001.78420199</v>
      </c>
      <c r="F11" s="0" t="n">
        <f aca="false">F8+F10+F24</f>
        <v>1239.80812838282</v>
      </c>
      <c r="G11" s="0" t="n">
        <f aca="false">G8+G10+G24</f>
        <v>1431.0928110476</v>
      </c>
      <c r="H11" s="0" t="n">
        <f aca="false">H8+H10+H24</f>
        <v>1576.75255458789</v>
      </c>
      <c r="I11" s="0" t="n">
        <f aca="false">I8+I10+I24</f>
        <v>1624.05513122553</v>
      </c>
      <c r="J11" s="0" t="n">
        <f aca="false">J8+J10+J24</f>
        <v>1672.7767851623</v>
      </c>
      <c r="K11" s="0" t="n">
        <f aca="false">K8+K10+K24</f>
        <v>1714.59620479135</v>
      </c>
      <c r="L11" s="0" t="n">
        <f aca="false">L8+L10+L24</f>
        <v>1757.46110991114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-446.4278975</v>
      </c>
      <c r="D12" s="4" t="n">
        <f aca="false">-D6*Assumptions!D17/100</f>
        <v>-455.713597768</v>
      </c>
      <c r="E12" s="4" t="n">
        <f aca="false">-E6*Assumptions!E17/100</f>
        <v>-440.7850488756</v>
      </c>
      <c r="F12" s="4" t="n">
        <f aca="false">-F6*Assumptions!F17/100</f>
        <v>-435.976484706048</v>
      </c>
      <c r="G12" s="4" t="n">
        <f aca="false">-G6*Assumptions!G17/100</f>
        <v>-439.246308341344</v>
      </c>
      <c r="H12" s="4" t="n">
        <f aca="false">-H6*Assumptions!H17/100</f>
        <v>-442.080155491933</v>
      </c>
      <c r="I12" s="4" t="n">
        <f aca="false">-I6*Assumptions!I17/100</f>
        <v>-455.342560156691</v>
      </c>
      <c r="J12" s="4" t="n">
        <f aca="false">-J6*Assumptions!J17/100</f>
        <v>-469.002836961391</v>
      </c>
      <c r="K12" s="4" t="n">
        <f aca="false">-K6*Assumptions!K17/100</f>
        <v>-480.727907885426</v>
      </c>
      <c r="L12" s="4" t="n">
        <f aca="false">-L6*Assumptions!L17/100</f>
        <v>-492.746105582562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2053.5683285</v>
      </c>
      <c r="D13" s="0" t="n">
        <f aca="false">D11+D12</f>
        <v>1147.141125416</v>
      </c>
      <c r="E13" s="0" t="n">
        <f aca="false">E11+E12</f>
        <v>560.9991531144</v>
      </c>
      <c r="F13" s="0" t="n">
        <f aca="false">F11+F12</f>
        <v>803.831643676776</v>
      </c>
      <c r="G13" s="0" t="n">
        <f aca="false">G11+G12</f>
        <v>991.84650270626</v>
      </c>
      <c r="H13" s="0" t="n">
        <f aca="false">H11+H12</f>
        <v>1134.67239909596</v>
      </c>
      <c r="I13" s="0" t="n">
        <f aca="false">I11+I12</f>
        <v>1168.71257106884</v>
      </c>
      <c r="J13" s="0" t="n">
        <f aca="false">J11+J12</f>
        <v>1203.7739482009</v>
      </c>
      <c r="K13" s="0" t="n">
        <f aca="false">K11+K12</f>
        <v>1233.86829690593</v>
      </c>
      <c r="L13" s="0" t="n">
        <f aca="false">L11+L12</f>
        <v>1264.71500432858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24</v>
      </c>
      <c r="D14" s="4" t="n">
        <f aca="false">Assumptions!D19</f>
        <v>23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1560.71192966</v>
      </c>
      <c r="D15" s="0" t="n">
        <f aca="false">D13-MAX(0,D13)*D14/100</f>
        <v>883.29866657032</v>
      </c>
      <c r="E15" s="0" t="n">
        <f aca="false">E13-MAX(0,E13)*E14/100</f>
        <v>437.579339429232</v>
      </c>
      <c r="F15" s="0" t="n">
        <f aca="false">F13-MAX(0,F13)*F14/100</f>
        <v>626.988682067885</v>
      </c>
      <c r="G15" s="0" t="n">
        <f aca="false">G13-MAX(0,G13)*G14/100</f>
        <v>783.558737137945</v>
      </c>
      <c r="H15" s="0" t="n">
        <f aca="false">H13-MAX(0,H13)*H14/100</f>
        <v>896.391195285809</v>
      </c>
      <c r="I15" s="0" t="n">
        <f aca="false">I13-MAX(0,I13)*I14/100</f>
        <v>923.282931144383</v>
      </c>
      <c r="J15" s="0" t="n">
        <f aca="false">J13-MAX(0,J13)*J14/100</f>
        <v>950.981419078715</v>
      </c>
      <c r="K15" s="0" t="n">
        <f aca="false">K13-MAX(0,K13)*K14/100</f>
        <v>974.755954555683</v>
      </c>
      <c r="L15" s="0" t="n">
        <f aca="false">L13-MAX(0,L13)*L14/100</f>
        <v>999.124853419574</v>
      </c>
    </row>
    <row r="16" customFormat="false" ht="15" hidden="false" customHeight="false" outlineLevel="0" collapsed="false">
      <c r="A16" s="0" t="s">
        <v>117</v>
      </c>
      <c r="C16" s="0" t="n">
        <f aca="false">-C12</f>
        <v>446.4278975</v>
      </c>
      <c r="D16" s="0" t="n">
        <f aca="false">-D12</f>
        <v>455.713597768</v>
      </c>
      <c r="E16" s="0" t="n">
        <f aca="false">-E12</f>
        <v>440.7850488756</v>
      </c>
      <c r="F16" s="0" t="n">
        <f aca="false">-F12</f>
        <v>435.976484706048</v>
      </c>
      <c r="G16" s="0" t="n">
        <f aca="false">-G12</f>
        <v>439.246308341344</v>
      </c>
      <c r="H16" s="0" t="n">
        <f aca="false">-H12</f>
        <v>442.080155491933</v>
      </c>
      <c r="I16" s="0" t="n">
        <f aca="false">-I12</f>
        <v>455.342560156691</v>
      </c>
      <c r="J16" s="0" t="n">
        <f aca="false">-J12</f>
        <v>469.002836961391</v>
      </c>
      <c r="K16" s="0" t="n">
        <f aca="false">-K12</f>
        <v>480.727907885426</v>
      </c>
      <c r="L16" s="0" t="n">
        <f aca="false">-L12</f>
        <v>492.746105582562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-392.8565498</v>
      </c>
      <c r="D17" s="4" t="n">
        <f aca="false">-D6*Assumptions!D18/100</f>
        <v>-408.570811792</v>
      </c>
      <c r="E17" s="4" t="n">
        <f aca="false">-E6*Assumptions!E18/100</f>
        <v>-373.9994354096</v>
      </c>
      <c r="F17" s="4" t="n">
        <f aca="false">-F6*Assumptions!F18/100</f>
        <v>-395.103689264856</v>
      </c>
      <c r="G17" s="4" t="n">
        <f aca="false">-G6*Assumptions!G18/100</f>
        <v>-425.077072588397</v>
      </c>
      <c r="H17" s="4" t="n">
        <f aca="false">-H6*Assumptions!H18/100</f>
        <v>-442.080155491933</v>
      </c>
      <c r="I17" s="4" t="n">
        <f aca="false">-I6*Assumptions!I18/100</f>
        <v>-455.342560156691</v>
      </c>
      <c r="J17" s="4" t="n">
        <f aca="false">-J6*Assumptions!J18/100</f>
        <v>-469.002836961391</v>
      </c>
      <c r="K17" s="4" t="n">
        <f aca="false">-K6*Assumptions!K18/100</f>
        <v>-480.727907885426</v>
      </c>
      <c r="L17" s="4" t="n">
        <f aca="false">-L6*Assumptions!L18/100</f>
        <v>-492.746105582562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-824.17458</v>
      </c>
      <c r="D18" s="4" t="n">
        <f aca="false">(D6-C6)*Assumptions!$B$23/100</f>
        <v>428.5707816</v>
      </c>
      <c r="E18" s="4" t="n">
        <f aca="false">(E6-D6)*Assumptions!$B$23/100</f>
        <v>471.42785976</v>
      </c>
      <c r="F18" s="4" t="n">
        <f aca="false">(F6-E6)*Assumptions!$B$23/100</f>
        <v>-53.4284907728001</v>
      </c>
      <c r="G18" s="4" t="n">
        <f aca="false">(G6-F6)*Assumptions!$B$23/100</f>
        <v>-108.994121176512</v>
      </c>
      <c r="H18" s="4" t="n">
        <f aca="false">(H6-G6)*Assumptions!$B$23/100</f>
        <v>-113.353886023573</v>
      </c>
      <c r="I18" s="4" t="n">
        <f aca="false">(I6-H6)*Assumptions!$B$23/100</f>
        <v>-88.4160310983865</v>
      </c>
      <c r="J18" s="4" t="n">
        <f aca="false">(J6-I6)*Assumptions!$B$23/100</f>
        <v>-91.0685120313381</v>
      </c>
      <c r="K18" s="4" t="n">
        <f aca="false">(K6-J6)*Assumptions!$B$23/100</f>
        <v>-78.1671394935649</v>
      </c>
      <c r="L18" s="4" t="n">
        <f aca="false">(L6-K6)*Assumptions!$B$23/100</f>
        <v>-80.1213179809041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790.10869736</v>
      </c>
      <c r="D19" s="0" t="n">
        <f aca="false">D15+D16+D17+D18</f>
        <v>1359.01223414632</v>
      </c>
      <c r="E19" s="0" t="n">
        <f aca="false">E15+E16+E17+E18</f>
        <v>975.792812655232</v>
      </c>
      <c r="F19" s="0" t="n">
        <f aca="false">F15+F16+F17+F18</f>
        <v>614.432986736278</v>
      </c>
      <c r="G19" s="0" t="n">
        <f aca="false">G15+G16+G17+G18</f>
        <v>688.733851714379</v>
      </c>
      <c r="H19" s="0" t="n">
        <f aca="false">H15+H16+H17+H18</f>
        <v>783.037309262236</v>
      </c>
      <c r="I19" s="0" t="n">
        <f aca="false">I15+I16+I17+I18</f>
        <v>834.866900045997</v>
      </c>
      <c r="J19" s="0" t="n">
        <f aca="false">J15+J16+J17+J18</f>
        <v>859.912907047377</v>
      </c>
      <c r="K19" s="0" t="n">
        <f aca="false">K15+K16+K17+K18</f>
        <v>896.588815062118</v>
      </c>
      <c r="L19" s="0" t="n">
        <f aca="false">L15+L16+L17+L18</f>
        <v>919.00353543867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721.560454210046</v>
      </c>
      <c r="D21" s="0" t="n">
        <f aca="false">D19*D20</f>
        <v>1133.4311078971</v>
      </c>
      <c r="E21" s="0" t="n">
        <f aca="false">E19*E20</f>
        <v>743.216353892737</v>
      </c>
      <c r="F21" s="0" t="n">
        <f aca="false">F19*F20</f>
        <v>427.383790642128</v>
      </c>
      <c r="G21" s="0" t="n">
        <f aca="false">G19*G20</f>
        <v>437.502796625109</v>
      </c>
      <c r="H21" s="0" t="n">
        <f aca="false">H19*H20</f>
        <v>454.252933142686</v>
      </c>
      <c r="I21" s="0" t="n">
        <f aca="false">I19*I20</f>
        <v>442.301496413606</v>
      </c>
      <c r="J21" s="0" t="n">
        <f aca="false">J19*J20</f>
        <v>416.046156443848</v>
      </c>
      <c r="K21" s="0" t="n">
        <f aca="false">K19*K20</f>
        <v>396.156005671673</v>
      </c>
      <c r="L21" s="0" t="n">
        <f aca="false">L19*L20</f>
        <v>370.830964213209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1.6</v>
      </c>
      <c r="D23" s="4" t="n">
        <f aca="false">Assumptions!D16</f>
        <v>1.8</v>
      </c>
      <c r="E23" s="4" t="n">
        <f aca="false">Assumptions!E16</f>
        <v>2</v>
      </c>
      <c r="F23" s="4" t="n">
        <f aca="false">Assumptions!F16</f>
        <v>1.9</v>
      </c>
      <c r="G23" s="4" t="n">
        <f aca="false">Assumptions!G16</f>
        <v>1.9</v>
      </c>
      <c r="H23" s="4" t="n">
        <f aca="false">Assumptions!H16</f>
        <v>1.8</v>
      </c>
      <c r="I23" s="4" t="n">
        <f aca="false">Assumptions!I16</f>
        <v>1.8</v>
      </c>
      <c r="J23" s="4" t="n">
        <f aca="false">Assumptions!J16</f>
        <v>1.8</v>
      </c>
      <c r="K23" s="4" t="n">
        <f aca="false">Assumptions!K16</f>
        <v>1.8</v>
      </c>
      <c r="L23" s="4" t="n">
        <f aca="false">Assumptions!L16</f>
        <v>1.8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-285.7138544</v>
      </c>
      <c r="D24" s="0" t="n">
        <f aca="false">-D6*D23/100</f>
        <v>-282.856715856</v>
      </c>
      <c r="E24" s="0" t="n">
        <f aca="false">-E6*E23/100</f>
        <v>-267.142453864</v>
      </c>
      <c r="F24" s="0" t="n">
        <f aca="false">-F6*F23/100</f>
        <v>-258.861037794216</v>
      </c>
      <c r="G24" s="0" t="n">
        <f aca="false">-G6*G23/100</f>
        <v>-269.215479305985</v>
      </c>
      <c r="H24" s="0" t="n">
        <f aca="false">-H6*H23/100</f>
        <v>-265.24809329516</v>
      </c>
      <c r="I24" s="0" t="n">
        <f aca="false">-I6*I23/100</f>
        <v>-273.205536094014</v>
      </c>
      <c r="J24" s="0" t="n">
        <f aca="false">-J6*J23/100</f>
        <v>-281.401702176835</v>
      </c>
      <c r="K24" s="0" t="n">
        <f aca="false">-K6*K23/100</f>
        <v>-288.436744731256</v>
      </c>
      <c r="L24" s="0" t="n">
        <f aca="false">-L6*L23/100</f>
        <v>-295.647663349537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5542.68205915214</v>
      </c>
    </row>
    <row r="31" customFormat="false" ht="15" hidden="false" customHeight="false" outlineLevel="0" collapsed="false">
      <c r="A31" s="0" t="s">
        <v>126</v>
      </c>
      <c r="B31" s="0" t="n">
        <f aca="false">L19</f>
        <v>919.00353543867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12498.4480819659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11028.042425264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11028.042425264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4449.97157055851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9992.65362971065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15502.8396297107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36.9634477711801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-0.77084037339628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942.953612667174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901.362866419731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41.360854793156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7210.64312421111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28.034752520716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38</v>
      </c>
      <c r="D5" s="4" t="n">
        <f aca="false">Assumptions!D27</f>
        <v>10</v>
      </c>
      <c r="E5" s="4" t="n">
        <f aca="false">Assumptions!E27</f>
        <v>-8</v>
      </c>
      <c r="F5" s="4" t="n">
        <f aca="false">Assumptions!F27</f>
        <v>3</v>
      </c>
      <c r="G5" s="4" t="n">
        <f aca="false">Assumptions!G27</f>
        <v>6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13736.243</v>
      </c>
      <c r="C6" s="0" t="n">
        <f aca="false">B6*(1+C5/100)</f>
        <v>18956.01534</v>
      </c>
      <c r="D6" s="0" t="n">
        <f aca="false">C6*(1+D5/100)</f>
        <v>20851.616874</v>
      </c>
      <c r="E6" s="0" t="n">
        <f aca="false">D6*(1+E5/100)</f>
        <v>19183.48752408</v>
      </c>
      <c r="F6" s="0" t="n">
        <f aca="false">E6*(1+F5/100)</f>
        <v>19758.9921498024</v>
      </c>
      <c r="G6" s="0" t="n">
        <f aca="false">F6*(1+G5/100)</f>
        <v>20944.5316787905</v>
      </c>
      <c r="H6" s="0" t="n">
        <f aca="false">G6*(1+H5/100)</f>
        <v>22201.203579518</v>
      </c>
      <c r="I6" s="0" t="n">
        <f aca="false">H6*(1+I5/100)</f>
        <v>23311.2637584939</v>
      </c>
      <c r="J6" s="0" t="n">
        <f aca="false">I6*(1+J5/100)</f>
        <v>24243.7143088336</v>
      </c>
      <c r="K6" s="0" t="n">
        <f aca="false">J6*(1+K5/100)</f>
        <v>24971.0257380986</v>
      </c>
      <c r="L6" s="0" t="n">
        <f aca="false">K6*(1+L5/100)</f>
        <v>25720.1565102416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17.5</v>
      </c>
      <c r="D7" s="4" t="n">
        <f aca="false">Assumptions!D28</f>
        <v>19.5</v>
      </c>
      <c r="E7" s="4" t="n">
        <f aca="false">Assumptions!E28</f>
        <v>16</v>
      </c>
      <c r="F7" s="4" t="n">
        <f aca="false">Assumptions!F28</f>
        <v>16.5</v>
      </c>
      <c r="G7" s="4" t="n">
        <f aca="false">Assumptions!G28</f>
        <v>17.5</v>
      </c>
      <c r="H7" s="4" t="n">
        <f aca="false">Assumptions!H28</f>
        <v>18</v>
      </c>
      <c r="I7" s="4" t="n">
        <f aca="false">Assumptions!I28</f>
        <v>18</v>
      </c>
      <c r="J7" s="4" t="n">
        <f aca="false">Assumptions!J28</f>
        <v>18</v>
      </c>
      <c r="K7" s="4" t="n">
        <f aca="false">Assumptions!K28</f>
        <v>18</v>
      </c>
      <c r="L7" s="4" t="n">
        <f aca="false">Assumptions!L28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3317.3026845</v>
      </c>
      <c r="D8" s="0" t="n">
        <f aca="false">D6*D7/100</f>
        <v>4066.06529043</v>
      </c>
      <c r="E8" s="0" t="n">
        <f aca="false">E6*E7/100</f>
        <v>3069.3580038528</v>
      </c>
      <c r="F8" s="0" t="n">
        <f aca="false">F6*F7/100</f>
        <v>3260.2337047174</v>
      </c>
      <c r="G8" s="0" t="n">
        <f aca="false">G6*G7/100</f>
        <v>3665.29304378835</v>
      </c>
      <c r="H8" s="0" t="n">
        <f aca="false">H6*H7/100</f>
        <v>3996.21664431324</v>
      </c>
      <c r="I8" s="0" t="n">
        <f aca="false">I6*I7/100</f>
        <v>4196.0274765289</v>
      </c>
      <c r="J8" s="0" t="n">
        <f aca="false">J6*J7/100</f>
        <v>4363.86857559005</v>
      </c>
      <c r="K8" s="0" t="n">
        <f aca="false">K6*K7/100</f>
        <v>4494.78463285776</v>
      </c>
      <c r="L8" s="0" t="n">
        <f aca="false">L6*L7/100</f>
        <v>4629.62817184349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0.9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-170.60413806</v>
      </c>
      <c r="D10" s="0" t="n">
        <f aca="false">-D6*D9/100</f>
        <v>-208.51616874</v>
      </c>
      <c r="E10" s="0" t="n">
        <f aca="false">-E6*E9/100</f>
        <v>-191.8348752408</v>
      </c>
      <c r="F10" s="0" t="n">
        <f aca="false">-F6*F9/100</f>
        <v>-197.589921498024</v>
      </c>
      <c r="G10" s="0" t="n">
        <f aca="false">-G6*G9/100</f>
        <v>-209.445316787905</v>
      </c>
      <c r="H10" s="0" t="n">
        <f aca="false">-H6*H9/100</f>
        <v>-222.01203579518</v>
      </c>
      <c r="I10" s="0" t="n">
        <f aca="false">-I6*I9/100</f>
        <v>-233.112637584939</v>
      </c>
      <c r="J10" s="0" t="n">
        <f aca="false">-J6*J9/100</f>
        <v>-242.437143088336</v>
      </c>
      <c r="K10" s="0" t="n">
        <f aca="false">-K6*K9/100</f>
        <v>-249.710257380986</v>
      </c>
      <c r="L10" s="0" t="n">
        <f aca="false">-L6*L9/100</f>
        <v>-257.201565102416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2843.402301</v>
      </c>
      <c r="D11" s="0" t="n">
        <f aca="false">D8+D10+D24</f>
        <v>3523.923251706</v>
      </c>
      <c r="E11" s="0" t="n">
        <f aca="false">E8+E10+E24</f>
        <v>2551.40384070264</v>
      </c>
      <c r="F11" s="0" t="n">
        <f aca="false">F8+F10+F24</f>
        <v>2726.74091667273</v>
      </c>
      <c r="G11" s="0" t="n">
        <f aca="false">G8+G10+G24</f>
        <v>3120.73522013979</v>
      </c>
      <c r="H11" s="0" t="n">
        <f aca="false">H8+H10+H24</f>
        <v>3418.98535124577</v>
      </c>
      <c r="I11" s="0" t="n">
        <f aca="false">I8+I10+I24</f>
        <v>3589.93461880806</v>
      </c>
      <c r="J11" s="0" t="n">
        <f aca="false">J8+J10+J24</f>
        <v>3733.53200356038</v>
      </c>
      <c r="K11" s="0" t="n">
        <f aca="false">K8+K10+K24</f>
        <v>3845.53796366719</v>
      </c>
      <c r="L11" s="0" t="n">
        <f aca="false">L8+L10+L24</f>
        <v>3960.90410257721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-473.9003835</v>
      </c>
      <c r="D12" s="4" t="n">
        <f aca="false">-D6*Assumptions!D31/100</f>
        <v>-542.142038724</v>
      </c>
      <c r="E12" s="4" t="n">
        <f aca="false">-E6*Assumptions!E31/100</f>
        <v>-556.32113819832</v>
      </c>
      <c r="F12" s="4" t="n">
        <f aca="false">-F6*Assumptions!F31/100</f>
        <v>-592.769764494072</v>
      </c>
      <c r="G12" s="4" t="n">
        <f aca="false">-G6*Assumptions!G31/100</f>
        <v>-628.335950363716</v>
      </c>
      <c r="H12" s="4" t="n">
        <f aca="false">-H6*Assumptions!H31/100</f>
        <v>-666.036107385539</v>
      </c>
      <c r="I12" s="4" t="n">
        <f aca="false">-I6*Assumptions!I31/100</f>
        <v>-699.337912754816</v>
      </c>
      <c r="J12" s="4" t="n">
        <f aca="false">-J6*Assumptions!J31/100</f>
        <v>-727.311429265009</v>
      </c>
      <c r="K12" s="4" t="n">
        <f aca="false">-K6*Assumptions!K31/100</f>
        <v>-749.130772142959</v>
      </c>
      <c r="L12" s="4" t="n">
        <f aca="false">-L6*Assumptions!L31/100</f>
        <v>-771.604695307248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2369.5019175</v>
      </c>
      <c r="D13" s="0" t="n">
        <f aca="false">D11+D12</f>
        <v>2981.781212982</v>
      </c>
      <c r="E13" s="0" t="n">
        <f aca="false">E11+E12</f>
        <v>1995.08270250432</v>
      </c>
      <c r="F13" s="0" t="n">
        <f aca="false">F11+F12</f>
        <v>2133.97115217866</v>
      </c>
      <c r="G13" s="0" t="n">
        <f aca="false">G11+G12</f>
        <v>2492.39926977608</v>
      </c>
      <c r="H13" s="0" t="n">
        <f aca="false">H11+H12</f>
        <v>2752.94924386023</v>
      </c>
      <c r="I13" s="0" t="n">
        <f aca="false">I11+I12</f>
        <v>2890.59670605324</v>
      </c>
      <c r="J13" s="0" t="n">
        <f aca="false">J11+J12</f>
        <v>3006.22057429537</v>
      </c>
      <c r="K13" s="0" t="n">
        <f aca="false">K11+K12</f>
        <v>3096.40719152423</v>
      </c>
      <c r="L13" s="0" t="n">
        <f aca="false">L11+L12</f>
        <v>3189.29940726996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24</v>
      </c>
      <c r="D14" s="4" t="n">
        <f aca="false">Assumptions!D33</f>
        <v>22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1800.8214573</v>
      </c>
      <c r="D15" s="0" t="n">
        <f aca="false">D13-MAX(0,D13)*D14/100</f>
        <v>2325.78934612596</v>
      </c>
      <c r="E15" s="0" t="n">
        <f aca="false">E13-MAX(0,E13)*E14/100</f>
        <v>1576.11533497841</v>
      </c>
      <c r="F15" s="0" t="n">
        <f aca="false">F13-MAX(0,F13)*F14/100</f>
        <v>1685.83721022114</v>
      </c>
      <c r="G15" s="0" t="n">
        <f aca="false">G13-MAX(0,G13)*G14/100</f>
        <v>1968.9954231231</v>
      </c>
      <c r="H15" s="0" t="n">
        <f aca="false">H13-MAX(0,H13)*H14/100</f>
        <v>2174.82990264958</v>
      </c>
      <c r="I15" s="0" t="n">
        <f aca="false">I13-MAX(0,I13)*I14/100</f>
        <v>2283.57139778206</v>
      </c>
      <c r="J15" s="0" t="n">
        <f aca="false">J13-MAX(0,J13)*J14/100</f>
        <v>2374.91425369334</v>
      </c>
      <c r="K15" s="0" t="n">
        <f aca="false">K13-MAX(0,K13)*K14/100</f>
        <v>2446.16168130414</v>
      </c>
      <c r="L15" s="0" t="n">
        <f aca="false">L13-MAX(0,L13)*L14/100</f>
        <v>2519.54653174327</v>
      </c>
    </row>
    <row r="16" customFormat="false" ht="15" hidden="false" customHeight="false" outlineLevel="0" collapsed="false">
      <c r="A16" s="0" t="s">
        <v>117</v>
      </c>
      <c r="C16" s="0" t="n">
        <f aca="false">-C12</f>
        <v>473.9003835</v>
      </c>
      <c r="D16" s="0" t="n">
        <f aca="false">-D12</f>
        <v>542.142038724</v>
      </c>
      <c r="E16" s="0" t="n">
        <f aca="false">-E12</f>
        <v>556.32113819832</v>
      </c>
      <c r="F16" s="0" t="n">
        <f aca="false">-F12</f>
        <v>592.769764494072</v>
      </c>
      <c r="G16" s="0" t="n">
        <f aca="false">-G12</f>
        <v>628.335950363716</v>
      </c>
      <c r="H16" s="0" t="n">
        <f aca="false">-H12</f>
        <v>666.036107385539</v>
      </c>
      <c r="I16" s="0" t="n">
        <f aca="false">-I12</f>
        <v>699.337912754816</v>
      </c>
      <c r="J16" s="0" t="n">
        <f aca="false">-J12</f>
        <v>727.311429265009</v>
      </c>
      <c r="K16" s="0" t="n">
        <f aca="false">-K12</f>
        <v>749.130772142959</v>
      </c>
      <c r="L16" s="0" t="n">
        <f aca="false">-L12</f>
        <v>771.604695307248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-417.03233748</v>
      </c>
      <c r="D17" s="4" t="n">
        <f aca="false">-D6*Assumptions!D32/100</f>
        <v>-583.845272472</v>
      </c>
      <c r="E17" s="4" t="n">
        <f aca="false">-E6*Assumptions!E32/100</f>
        <v>-575.5046257224</v>
      </c>
      <c r="F17" s="4" t="n">
        <f aca="false">-F6*Assumptions!F32/100</f>
        <v>-592.769764494072</v>
      </c>
      <c r="G17" s="4" t="n">
        <f aca="false">-G6*Assumptions!G32/100</f>
        <v>-649.280482042507</v>
      </c>
      <c r="H17" s="4" t="n">
        <f aca="false">-H6*Assumptions!H32/100</f>
        <v>-710.438514544576</v>
      </c>
      <c r="I17" s="4" t="n">
        <f aca="false">-I6*Assumptions!I32/100</f>
        <v>-745.960440271804</v>
      </c>
      <c r="J17" s="4" t="n">
        <f aca="false">-J6*Assumptions!J32/100</f>
        <v>-775.798857882676</v>
      </c>
      <c r="K17" s="4" t="n">
        <f aca="false">-K6*Assumptions!K32/100</f>
        <v>-799.072823619157</v>
      </c>
      <c r="L17" s="4" t="n">
        <f aca="false">-L6*Assumptions!L32/100</f>
        <v>-823.045008327731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-1043.954468</v>
      </c>
      <c r="D18" s="4" t="n">
        <f aca="false">(D6-C6)*Assumptions!$B$37/100</f>
        <v>-379.1203068</v>
      </c>
      <c r="E18" s="4" t="n">
        <f aca="false">(E6-D6)*Assumptions!$B$37/100</f>
        <v>333.625869984</v>
      </c>
      <c r="F18" s="4" t="n">
        <f aca="false">(F6-E6)*Assumptions!$B$37/100</f>
        <v>-115.10092514448</v>
      </c>
      <c r="G18" s="4" t="n">
        <f aca="false">(G6-F6)*Assumptions!$B$37/100</f>
        <v>-237.107905797629</v>
      </c>
      <c r="H18" s="4" t="n">
        <f aca="false">(H6-G6)*Assumptions!$B$37/100</f>
        <v>-251.334380145487</v>
      </c>
      <c r="I18" s="4" t="n">
        <f aca="false">(I6-H6)*Assumptions!$B$37/100</f>
        <v>-222.01203579518</v>
      </c>
      <c r="J18" s="4" t="n">
        <f aca="false">(J6-I6)*Assumptions!$B$37/100</f>
        <v>-186.490110067951</v>
      </c>
      <c r="K18" s="4" t="n">
        <f aca="false">(K6-J6)*Assumptions!$B$37/100</f>
        <v>-145.462285853002</v>
      </c>
      <c r="L18" s="4" t="n">
        <f aca="false">(L6-K6)*Assumptions!$B$37/100</f>
        <v>-149.826154428592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813.73503532</v>
      </c>
      <c r="D19" s="0" t="n">
        <f aca="false">D15+D16+D17+D18</f>
        <v>1904.96580557796</v>
      </c>
      <c r="E19" s="0" t="n">
        <f aca="false">E15+E16+E17+E18</f>
        <v>1890.55771743833</v>
      </c>
      <c r="F19" s="0" t="n">
        <f aca="false">F15+F16+F17+F18</f>
        <v>1570.73628507666</v>
      </c>
      <c r="G19" s="0" t="n">
        <f aca="false">G15+G16+G17+G18</f>
        <v>1710.94298564668</v>
      </c>
      <c r="H19" s="0" t="n">
        <f aca="false">H15+H16+H17+H18</f>
        <v>1879.09311534506</v>
      </c>
      <c r="I19" s="0" t="n">
        <f aca="false">I15+I16+I17+I18</f>
        <v>2014.93683446989</v>
      </c>
      <c r="J19" s="0" t="n">
        <f aca="false">J15+J16+J17+J18</f>
        <v>2139.93671500772</v>
      </c>
      <c r="K19" s="0" t="n">
        <f aca="false">K15+K16+K17+K18</f>
        <v>2250.75734397494</v>
      </c>
      <c r="L19" s="0" t="n">
        <f aca="false">L15+L16+L17+L18</f>
        <v>2318.28006429419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743.137018557078</v>
      </c>
      <c r="D21" s="0" t="n">
        <f aca="false">D19*D20</f>
        <v>1588.76237407724</v>
      </c>
      <c r="E21" s="0" t="n">
        <f aca="false">E19*E20</f>
        <v>1439.95056671394</v>
      </c>
      <c r="F21" s="0" t="n">
        <f aca="false">F19*F20</f>
        <v>1092.56378174131</v>
      </c>
      <c r="G21" s="0" t="n">
        <f aca="false">G19*G20</f>
        <v>1086.83831820272</v>
      </c>
      <c r="H21" s="0" t="n">
        <f aca="false">H19*H20</f>
        <v>1090.09308904828</v>
      </c>
      <c r="I21" s="0" t="n">
        <f aca="false">I19*I20</f>
        <v>1067.48701741059</v>
      </c>
      <c r="J21" s="0" t="n">
        <f aca="false">J19*J20</f>
        <v>1035.35188042361</v>
      </c>
      <c r="K21" s="0" t="n">
        <f aca="false">K19*K20</f>
        <v>994.492708526061</v>
      </c>
      <c r="L21" s="0" t="n">
        <f aca="false">L19*L20</f>
        <v>935.458894777939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1.6</v>
      </c>
      <c r="D23" s="4" t="n">
        <f aca="false">Assumptions!D30</f>
        <v>1.6</v>
      </c>
      <c r="E23" s="4" t="n">
        <f aca="false">Assumptions!E30</f>
        <v>1.7</v>
      </c>
      <c r="F23" s="4" t="n">
        <f aca="false">Assumptions!F30</f>
        <v>1.7</v>
      </c>
      <c r="G23" s="4" t="n">
        <f aca="false">Assumptions!G30</f>
        <v>1.6</v>
      </c>
      <c r="H23" s="4" t="n">
        <f aca="false">Assumptions!H30</f>
        <v>1.6</v>
      </c>
      <c r="I23" s="4" t="n">
        <f aca="false">Assumptions!I30</f>
        <v>1.6</v>
      </c>
      <c r="J23" s="4" t="n">
        <f aca="false">Assumptions!J30</f>
        <v>1.6</v>
      </c>
      <c r="K23" s="4" t="n">
        <f aca="false">Assumptions!K30</f>
        <v>1.6</v>
      </c>
      <c r="L23" s="4" t="n">
        <f aca="false">Assumptions!L30</f>
        <v>1.6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-303.29624544</v>
      </c>
      <c r="D24" s="0" t="n">
        <f aca="false">-D6*D23/100</f>
        <v>-333.625869984</v>
      </c>
      <c r="E24" s="0" t="n">
        <f aca="false">-E6*E23/100</f>
        <v>-326.11928790936</v>
      </c>
      <c r="F24" s="0" t="n">
        <f aca="false">-F6*F23/100</f>
        <v>-335.902866546641</v>
      </c>
      <c r="G24" s="0" t="n">
        <f aca="false">-G6*G23/100</f>
        <v>-335.112506860649</v>
      </c>
      <c r="H24" s="0" t="n">
        <f aca="false">-H6*H23/100</f>
        <v>-355.219257272288</v>
      </c>
      <c r="I24" s="0" t="n">
        <f aca="false">-I6*I23/100</f>
        <v>-372.980220135902</v>
      </c>
      <c r="J24" s="0" t="n">
        <f aca="false">-J6*J23/100</f>
        <v>-387.899428941338</v>
      </c>
      <c r="K24" s="0" t="n">
        <f aca="false">-K6*K23/100</f>
        <v>-399.536411809578</v>
      </c>
      <c r="L24" s="0" t="n">
        <f aca="false">-L6*L23/100</f>
        <v>-411.522504163866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11074.1356494788</v>
      </c>
    </row>
    <row r="31" customFormat="false" ht="15" hidden="false" customHeight="false" outlineLevel="0" collapsed="false">
      <c r="A31" s="0" t="s">
        <v>126</v>
      </c>
      <c r="B31" s="0" t="n">
        <f aca="false">L19</f>
        <v>2318.28006429419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33946.2437985935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32455.9209001187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32455.9209001187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13096.4245268911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24170.5601763699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29680.7461763699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70.7678552642281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-0.5612656214245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1330.01148866547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1519.70131970963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77.5624305208388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19009.8965272124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44.8993195162157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42</v>
      </c>
      <c r="D5" s="4" t="n">
        <f aca="false">Assumptions!D41</f>
        <v>22</v>
      </c>
      <c r="E5" s="4" t="n">
        <f aca="false">Assumptions!E41</f>
        <v>10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13736.243</v>
      </c>
      <c r="C6" s="0" t="n">
        <f aca="false">B6*(1+C5/100)</f>
        <v>19505.46506</v>
      </c>
      <c r="D6" s="0" t="n">
        <f aca="false">C6*(1+D5/100)</f>
        <v>23796.6673732</v>
      </c>
      <c r="E6" s="0" t="n">
        <f aca="false">D6*(1+E5/100)</f>
        <v>26176.33411052</v>
      </c>
      <c r="F6" s="0" t="n">
        <f aca="false">E6*(1+F5/100)</f>
        <v>28793.967521572</v>
      </c>
      <c r="G6" s="0" t="n">
        <f aca="false">F6*(1+G5/100)</f>
        <v>31385.4245985135</v>
      </c>
      <c r="H6" s="0" t="n">
        <f aca="false">G6*(1+H5/100)</f>
        <v>33896.2585663946</v>
      </c>
      <c r="I6" s="0" t="n">
        <f aca="false">H6*(1+I5/100)</f>
        <v>36268.9966660422</v>
      </c>
      <c r="J6" s="0" t="n">
        <f aca="false">I6*(1+J5/100)</f>
        <v>38445.1364660047</v>
      </c>
      <c r="K6" s="0" t="n">
        <f aca="false">J6*(1+K5/100)</f>
        <v>40367.393289305</v>
      </c>
      <c r="L6" s="0" t="n">
        <f aca="false">K6*(1+L5/100)</f>
        <v>41982.0890208772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18</v>
      </c>
      <c r="D7" s="4" t="n">
        <f aca="false">Assumptions!D42</f>
        <v>21.5</v>
      </c>
      <c r="E7" s="4" t="n">
        <f aca="false">Assumptions!E42</f>
        <v>22.5</v>
      </c>
      <c r="F7" s="4" t="n">
        <f aca="false">Assumptions!F42</f>
        <v>23</v>
      </c>
      <c r="G7" s="4" t="n">
        <f aca="false">Assumptions!G42</f>
        <v>23.5</v>
      </c>
      <c r="H7" s="4" t="n">
        <f aca="false">Assumptions!H42</f>
        <v>24</v>
      </c>
      <c r="I7" s="4" t="n">
        <f aca="false">Assumptions!I42</f>
        <v>24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3510.9837108</v>
      </c>
      <c r="D8" s="0" t="n">
        <f aca="false">D6*D7/100</f>
        <v>5116.283485238</v>
      </c>
      <c r="E8" s="0" t="n">
        <f aca="false">E6*E7/100</f>
        <v>5889.675174867</v>
      </c>
      <c r="F8" s="0" t="n">
        <f aca="false">F6*F7/100</f>
        <v>6622.61252996156</v>
      </c>
      <c r="G8" s="0" t="n">
        <f aca="false">G6*G7/100</f>
        <v>7375.57478065067</v>
      </c>
      <c r="H8" s="0" t="n">
        <f aca="false">H6*H7/100</f>
        <v>8135.1020559347</v>
      </c>
      <c r="I8" s="0" t="n">
        <f aca="false">I6*I7/100</f>
        <v>8704.55919985013</v>
      </c>
      <c r="J8" s="0" t="n">
        <f aca="false">J6*J7/100</f>
        <v>9226.83275184113</v>
      </c>
      <c r="K8" s="0" t="n">
        <f aca="false">K6*K7/100</f>
        <v>9688.17438943319</v>
      </c>
      <c r="L8" s="0" t="n">
        <f aca="false">L6*L7/100</f>
        <v>10075.7013650105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0.9</v>
      </c>
      <c r="D9" s="4" t="n">
        <f aca="false">Assumptions!D43</f>
        <v>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-175.54918554</v>
      </c>
      <c r="D10" s="0" t="n">
        <f aca="false">-D6*D9/100</f>
        <v>-237.966673732</v>
      </c>
      <c r="E10" s="0" t="n">
        <f aca="false">-E6*E9/100</f>
        <v>-261.7633411052</v>
      </c>
      <c r="F10" s="0" t="n">
        <f aca="false">-F6*F9/100</f>
        <v>-287.93967521572</v>
      </c>
      <c r="G10" s="0" t="n">
        <f aca="false">-G6*G9/100</f>
        <v>-313.854245985135</v>
      </c>
      <c r="H10" s="0" t="n">
        <f aca="false">-H6*H9/100</f>
        <v>-338.962585663946</v>
      </c>
      <c r="I10" s="0" t="n">
        <f aca="false">-I6*I9/100</f>
        <v>-362.689966660422</v>
      </c>
      <c r="J10" s="0" t="n">
        <f aca="false">-J6*J9/100</f>
        <v>-384.451364660047</v>
      </c>
      <c r="K10" s="0" t="n">
        <f aca="false">-K6*K9/100</f>
        <v>-403.67393289305</v>
      </c>
      <c r="L10" s="0" t="n">
        <f aca="false">-L6*L9/100</f>
        <v>-419.820890208772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3023.3470843</v>
      </c>
      <c r="D11" s="0" t="n">
        <f aca="false">D8+D10+D24</f>
        <v>4521.366800908</v>
      </c>
      <c r="E11" s="0" t="n">
        <f aca="false">E8+E10+E24</f>
        <v>5235.266822104</v>
      </c>
      <c r="F11" s="0" t="n">
        <f aca="false">F8+F10+F24</f>
        <v>5902.76334192226</v>
      </c>
      <c r="G11" s="0" t="n">
        <f aca="false">G8+G10+G24</f>
        <v>6590.93916568783</v>
      </c>
      <c r="H11" s="0" t="n">
        <f aca="false">H8+H10+H24</f>
        <v>7287.69559177483</v>
      </c>
      <c r="I11" s="0" t="n">
        <f aca="false">I8+I10+I24</f>
        <v>7797.83428319907</v>
      </c>
      <c r="J11" s="0" t="n">
        <f aca="false">J8+J10+J24</f>
        <v>8265.70434019101</v>
      </c>
      <c r="K11" s="0" t="n">
        <f aca="false">K8+K10+K24</f>
        <v>8678.98955720057</v>
      </c>
      <c r="L11" s="0" t="n">
        <f aca="false">L8+L10+L24</f>
        <v>9026.14913948859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-487.6366265</v>
      </c>
      <c r="D12" s="4" t="n">
        <f aca="false">-D6*Assumptions!D45/100</f>
        <v>-618.7133517032</v>
      </c>
      <c r="E12" s="4" t="n">
        <f aca="false">-E6*Assumptions!E45/100</f>
        <v>-732.93735509456</v>
      </c>
      <c r="F12" s="4" t="n">
        <f aca="false">-F6*Assumptions!F45/100</f>
        <v>-863.81902564716</v>
      </c>
      <c r="G12" s="4" t="n">
        <f aca="false">-G6*Assumptions!G45/100</f>
        <v>-941.562737955405</v>
      </c>
      <c r="H12" s="4" t="n">
        <f aca="false">-H6*Assumptions!H45/100</f>
        <v>-1016.88775699184</v>
      </c>
      <c r="I12" s="4" t="n">
        <f aca="false">-I6*Assumptions!I45/100</f>
        <v>-1088.06989998127</v>
      </c>
      <c r="J12" s="4" t="n">
        <f aca="false">-J6*Assumptions!J45/100</f>
        <v>-1153.35409398014</v>
      </c>
      <c r="K12" s="4" t="n">
        <f aca="false">-K6*Assumptions!K45/100</f>
        <v>-1211.02179867915</v>
      </c>
      <c r="L12" s="4" t="n">
        <f aca="false">-L6*Assumptions!L45/100</f>
        <v>-1259.46267062632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2535.7104578</v>
      </c>
      <c r="D13" s="0" t="n">
        <f aca="false">D11+D12</f>
        <v>3902.6534492048</v>
      </c>
      <c r="E13" s="0" t="n">
        <f aca="false">E11+E12</f>
        <v>4502.32946700944</v>
      </c>
      <c r="F13" s="0" t="n">
        <f aca="false">F11+F12</f>
        <v>5038.9443162751</v>
      </c>
      <c r="G13" s="0" t="n">
        <f aca="false">G11+G12</f>
        <v>5649.37642773243</v>
      </c>
      <c r="H13" s="0" t="n">
        <f aca="false">H11+H12</f>
        <v>6270.807834783</v>
      </c>
      <c r="I13" s="0" t="n">
        <f aca="false">I11+I12</f>
        <v>6709.76438321781</v>
      </c>
      <c r="J13" s="0" t="n">
        <f aca="false">J11+J12</f>
        <v>7112.35024621087</v>
      </c>
      <c r="K13" s="0" t="n">
        <f aca="false">K11+K12</f>
        <v>7467.96775852142</v>
      </c>
      <c r="L13" s="0" t="n">
        <f aca="false">L11+L12</f>
        <v>7766.68646886228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24</v>
      </c>
      <c r="D14" s="4" t="n">
        <f aca="false">Assumptions!D47</f>
        <v>22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1927.139947928</v>
      </c>
      <c r="D15" s="0" t="n">
        <f aca="false">D13-MAX(0,D13)*D14/100</f>
        <v>3044.06969037974</v>
      </c>
      <c r="E15" s="0" t="n">
        <f aca="false">E13-MAX(0,E13)*E14/100</f>
        <v>3556.84027893746</v>
      </c>
      <c r="F15" s="0" t="n">
        <f aca="false">F13-MAX(0,F13)*F14/100</f>
        <v>3980.76600985733</v>
      </c>
      <c r="G15" s="0" t="n">
        <f aca="false">G13-MAX(0,G13)*G14/100</f>
        <v>4463.00737790862</v>
      </c>
      <c r="H15" s="0" t="n">
        <f aca="false">H13-MAX(0,H13)*H14/100</f>
        <v>4953.93818947857</v>
      </c>
      <c r="I15" s="0" t="n">
        <f aca="false">I13-MAX(0,I13)*I14/100</f>
        <v>5300.71386274207</v>
      </c>
      <c r="J15" s="0" t="n">
        <f aca="false">J13-MAX(0,J13)*J14/100</f>
        <v>5618.75669450659</v>
      </c>
      <c r="K15" s="0" t="n">
        <f aca="false">K13-MAX(0,K13)*K14/100</f>
        <v>5899.69452923192</v>
      </c>
      <c r="L15" s="0" t="n">
        <f aca="false">L13-MAX(0,L13)*L14/100</f>
        <v>6135.6823104012</v>
      </c>
    </row>
    <row r="16" customFormat="false" ht="15" hidden="false" customHeight="false" outlineLevel="0" collapsed="false">
      <c r="A16" s="0" t="s">
        <v>117</v>
      </c>
      <c r="C16" s="0" t="n">
        <f aca="false">-C12</f>
        <v>487.6366265</v>
      </c>
      <c r="D16" s="0" t="n">
        <f aca="false">-D12</f>
        <v>618.7133517032</v>
      </c>
      <c r="E16" s="0" t="n">
        <f aca="false">-E12</f>
        <v>732.93735509456</v>
      </c>
      <c r="F16" s="0" t="n">
        <f aca="false">-F12</f>
        <v>863.81902564716</v>
      </c>
      <c r="G16" s="0" t="n">
        <f aca="false">-G12</f>
        <v>941.562737955405</v>
      </c>
      <c r="H16" s="0" t="n">
        <f aca="false">-H12</f>
        <v>1016.88775699184</v>
      </c>
      <c r="I16" s="0" t="n">
        <f aca="false">-I12</f>
        <v>1088.06989998127</v>
      </c>
      <c r="J16" s="0" t="n">
        <f aca="false">-J12</f>
        <v>1153.35409398014</v>
      </c>
      <c r="K16" s="0" t="n">
        <f aca="false">-K12</f>
        <v>1211.02179867915</v>
      </c>
      <c r="L16" s="0" t="n">
        <f aca="false">-L12</f>
        <v>1259.46267062632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-429.12023132</v>
      </c>
      <c r="D17" s="4" t="n">
        <f aca="false">-D6*Assumptions!D46/100</f>
        <v>-713.900021196</v>
      </c>
      <c r="E17" s="4" t="n">
        <f aca="false">-E6*Assumptions!E46/100</f>
        <v>-837.64269153664</v>
      </c>
      <c r="F17" s="4" t="n">
        <f aca="false">-F6*Assumptions!F46/100</f>
        <v>-921.406960690304</v>
      </c>
      <c r="G17" s="4" t="n">
        <f aca="false">-G6*Assumptions!G46/100</f>
        <v>-1004.33358715243</v>
      </c>
      <c r="H17" s="4" t="n">
        <f aca="false">-H6*Assumptions!H46/100</f>
        <v>-1084.68027412463</v>
      </c>
      <c r="I17" s="4" t="n">
        <f aca="false">-I6*Assumptions!I46/100</f>
        <v>-1160.60789331335</v>
      </c>
      <c r="J17" s="4" t="n">
        <f aca="false">-J6*Assumptions!J46/100</f>
        <v>-1230.24436691215</v>
      </c>
      <c r="K17" s="4" t="n">
        <f aca="false">-K6*Assumptions!K46/100</f>
        <v>-1291.75658525776</v>
      </c>
      <c r="L17" s="4" t="n">
        <f aca="false">-L6*Assumptions!L46/100</f>
        <v>-1343.42684866807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-1153.844412</v>
      </c>
      <c r="D18" s="4" t="n">
        <f aca="false">(D6-C6)*Assumptions!$B$51/100</f>
        <v>-858.24046264</v>
      </c>
      <c r="E18" s="4" t="n">
        <f aca="false">(E6-D6)*Assumptions!$B$51/100</f>
        <v>-475.933347464001</v>
      </c>
      <c r="F18" s="4" t="n">
        <f aca="false">(F6-E6)*Assumptions!$B$51/100</f>
        <v>-523.526682210401</v>
      </c>
      <c r="G18" s="4" t="n">
        <f aca="false">(G6-F6)*Assumptions!$B$51/100</f>
        <v>-518.291415388296</v>
      </c>
      <c r="H18" s="4" t="n">
        <f aca="false">(H6-G6)*Assumptions!$B$51/100</f>
        <v>-502.166793576217</v>
      </c>
      <c r="I18" s="4" t="n">
        <f aca="false">(I6-H6)*Assumptions!$B$51/100</f>
        <v>-474.547619929524</v>
      </c>
      <c r="J18" s="4" t="n">
        <f aca="false">(J6-I6)*Assumptions!$B$51/100</f>
        <v>-435.227959992507</v>
      </c>
      <c r="K18" s="4" t="n">
        <f aca="false">(K6-J6)*Assumptions!$B$51/100</f>
        <v>-384.451364660048</v>
      </c>
      <c r="L18" s="4" t="n">
        <f aca="false">(L6-K6)*Assumptions!$B$51/100</f>
        <v>-322.939146314441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831.811931108</v>
      </c>
      <c r="D19" s="0" t="n">
        <f aca="false">D15+D16+D17+D18</f>
        <v>2090.64255824694</v>
      </c>
      <c r="E19" s="0" t="n">
        <f aca="false">E15+E16+E17+E18</f>
        <v>2976.20159503138</v>
      </c>
      <c r="F19" s="0" t="n">
        <f aca="false">F15+F16+F17+F18</f>
        <v>3399.65139260379</v>
      </c>
      <c r="G19" s="0" t="n">
        <f aca="false">G15+G16+G17+G18</f>
        <v>3881.94511332329</v>
      </c>
      <c r="H19" s="0" t="n">
        <f aca="false">H15+H16+H17+H18</f>
        <v>4383.97887876956</v>
      </c>
      <c r="I19" s="0" t="n">
        <f aca="false">I15+I16+I17+I18</f>
        <v>4753.62824948046</v>
      </c>
      <c r="J19" s="0" t="n">
        <f aca="false">J15+J16+J17+J18</f>
        <v>5106.63846158207</v>
      </c>
      <c r="K19" s="0" t="n">
        <f aca="false">K15+K16+K17+K18</f>
        <v>5434.50837799326</v>
      </c>
      <c r="L19" s="0" t="n">
        <f aca="false">L15+L16+L17+L18</f>
        <v>5728.778986045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759.645599185388</v>
      </c>
      <c r="D21" s="0" t="n">
        <f aca="false">D19*D20</f>
        <v>1743.61882216546</v>
      </c>
      <c r="E21" s="0" t="n">
        <f aca="false">E19*E20</f>
        <v>2266.83540729307</v>
      </c>
      <c r="F21" s="0" t="n">
        <f aca="false">F19*F20</f>
        <v>2364.71011550105</v>
      </c>
      <c r="G21" s="0" t="n">
        <f aca="false">G19*G20</f>
        <v>2465.91893108869</v>
      </c>
      <c r="H21" s="0" t="n">
        <f aca="false">H19*H20</f>
        <v>2543.21887470848</v>
      </c>
      <c r="I21" s="0" t="n">
        <f aca="false">I19*I20</f>
        <v>2518.40968664988</v>
      </c>
      <c r="J21" s="0" t="n">
        <f aca="false">J19*J20</f>
        <v>2470.71219291804</v>
      </c>
      <c r="K21" s="0" t="n">
        <f aca="false">K19*K20</f>
        <v>2401.22684517974</v>
      </c>
      <c r="L21" s="0" t="n">
        <f aca="false">L19*L20</f>
        <v>2311.64359356397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1.6</v>
      </c>
      <c r="D23" s="4" t="n">
        <f aca="false">Assumptions!D44</f>
        <v>1.5</v>
      </c>
      <c r="E23" s="4" t="n">
        <f aca="false">Assumptions!E44</f>
        <v>1.5</v>
      </c>
      <c r="F23" s="4" t="n">
        <f aca="false">Assumptions!F44</f>
        <v>1.5</v>
      </c>
      <c r="G23" s="4" t="n">
        <f aca="false">Assumptions!G44</f>
        <v>1.5</v>
      </c>
      <c r="H23" s="4" t="n">
        <f aca="false">Assumptions!H44</f>
        <v>1.5</v>
      </c>
      <c r="I23" s="4" t="n">
        <f aca="false">Assumptions!I44</f>
        <v>1.5</v>
      </c>
      <c r="J23" s="4" t="n">
        <f aca="false">Assumptions!J44</f>
        <v>1.5</v>
      </c>
      <c r="K23" s="4" t="n">
        <f aca="false">Assumptions!K44</f>
        <v>1.5</v>
      </c>
      <c r="L23" s="4" t="n">
        <f aca="false">Assumptions!L44</f>
        <v>1.5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-312.08744096</v>
      </c>
      <c r="D24" s="0" t="n">
        <f aca="false">-D6*D23/100</f>
        <v>-356.950010598</v>
      </c>
      <c r="E24" s="0" t="n">
        <f aca="false">-E6*E23/100</f>
        <v>-392.6450116578</v>
      </c>
      <c r="F24" s="0" t="n">
        <f aca="false">-F6*F23/100</f>
        <v>-431.90951282358</v>
      </c>
      <c r="G24" s="0" t="n">
        <f aca="false">-G6*G23/100</f>
        <v>-470.781368977702</v>
      </c>
      <c r="H24" s="0" t="n">
        <f aca="false">-H6*H23/100</f>
        <v>-508.443878495919</v>
      </c>
      <c r="I24" s="0" t="n">
        <f aca="false">-I6*I23/100</f>
        <v>-544.034949990633</v>
      </c>
      <c r="J24" s="0" t="n">
        <f aca="false">-J6*J23/100</f>
        <v>-576.677046990071</v>
      </c>
      <c r="K24" s="0" t="n">
        <f aca="false">-K6*K23/100</f>
        <v>-605.510899339575</v>
      </c>
      <c r="L24" s="0" t="n">
        <f aca="false">-L6*L23/100</f>
        <v>-629.731335313158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21845.9400682538</v>
      </c>
    </row>
    <row r="31" customFormat="false" ht="15" hidden="false" customHeight="false" outlineLevel="0" collapsed="false">
      <c r="A31" s="0" t="s">
        <v>126</v>
      </c>
      <c r="B31" s="0" t="n">
        <f aca="false">L19</f>
        <v>5728.778986045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90779.1131634824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91660.4637767201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90779.1131634824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36630.6600210906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58476.6000893443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63986.7860893443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152.563806512349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-0.0541611499544383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1880.37015118992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2684.39685602287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163.447588508994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49172.0196302196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81.3338156323184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36.9634477711801</v>
      </c>
      <c r="C4" s="0" t="n">
        <f aca="false">B4/Assumptions!$B$2-1</f>
        <v>-0.77084037339628</v>
      </c>
      <c r="D4" s="4" t="n">
        <f aca="false">Assumptions!$B$24</f>
        <v>0.25</v>
      </c>
      <c r="E4" s="4" t="n">
        <f aca="false">DCF_Bear!$B$43</f>
        <v>41.360854793156</v>
      </c>
      <c r="F4" s="4" t="n">
        <f aca="false">DCF_Bear!$B$47</f>
        <v>28.034752520716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70.7678552642281</v>
      </c>
      <c r="C5" s="0" t="n">
        <f aca="false">B5/Assumptions!$B$2-1</f>
        <v>-0.5612656214245</v>
      </c>
      <c r="D5" s="4" t="n">
        <f aca="false">Assumptions!$B$38</f>
        <v>0.5</v>
      </c>
      <c r="E5" s="4" t="n">
        <f aca="false">DCF_Base!$B$43</f>
        <v>77.5624305208388</v>
      </c>
      <c r="F5" s="4" t="n">
        <f aca="false">DCF_Base!$B$47</f>
        <v>44.8993195162157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152.563806512349</v>
      </c>
      <c r="C6" s="0" t="n">
        <f aca="false">B6/Assumptions!$B$2-1</f>
        <v>-0.0541611499544383</v>
      </c>
      <c r="D6" s="4" t="n">
        <f aca="false">Assumptions!$B$52</f>
        <v>0.25</v>
      </c>
      <c r="E6" s="4" t="n">
        <f aca="false">DCF_Bull!$B$43</f>
        <v>163.447588508994</v>
      </c>
      <c r="F6" s="4" t="n">
        <f aca="false">DCF_Bull!$B$47</f>
        <v>81.3338156323184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82.7657412029964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89.9833260859569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-0.948873986452748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1088.09608851861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49.7918017963665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72.880137645128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70.7678552642281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68.0394858964327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61.1989387425012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55.8151456162383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44.8993195162157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79.8347486305309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79.8347486305309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79.8347486305309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79.8347486305309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79.8347486305309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75.0917532547261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75.0917532547261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75.0917532547261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75.0917532547261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75.0917532547261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67.8404338880186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69.8756887495738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70.7678552642281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70.7678552642281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70.7678552642281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61.2772759105037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62.7481489460377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64.4028811110134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66.2782442313193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66.8213358136703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56.0496364381697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57.1418302511356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58.3553789322089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59.7116980463496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61.2375570497579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2026-10-10T22:54:49Z</dcterms:created>
  <dc:creator>openpyxl</dc:creator>
  <dc:description/>
  <dc:language>en-NZ</dc:language>
  <cp:lastModifiedBy/>
  <dcterms:modified xsi:type="dcterms:W3CDTF">2026-10-10T22:54:49Z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