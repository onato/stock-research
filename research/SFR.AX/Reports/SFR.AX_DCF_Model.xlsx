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<sst xmlns="http://schemas.openxmlformats.org/spreadsheetml/2006/main" count="362" uniqueCount="166">
  <si>
    <t xml:space="preserve">Ticker</t>
  </si>
  <si>
    <t xml:space="preserve">SFR.AX</t>
  </si>
  <si>
    <t xml:space="preserve">Company</t>
  </si>
  <si>
    <t xml:space="preserve">Sandfire Resources Limited</t>
  </si>
  <si>
    <t xml:space="preserve">Valuation date</t>
  </si>
  <si>
    <t xml:space="preserve">2026-09-25</t>
  </si>
  <si>
    <t xml:space="preserve">Current price</t>
  </si>
  <si>
    <t xml:space="preserve">Price as of</t>
  </si>
  <si>
    <t xml:space="preserve">2026-09-25T04:52:46Z (ASX regular close; Yahoo chart meta)</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</si>
  <si>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</si>
  <si>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</si>
  <si>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</si>
  <si>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</si>
  <si>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</si>
  <si>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</si>
  <si>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</si>
  <si>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AUD</t>
  </si>
  <si>
    <t xml:space="preserve">Units</t>
  </si>
  <si>
    <t xml:space="preserve">millions</t>
  </si>
  <si>
    <t xml:space="preserve">Engine</t>
  </si>
  <si>
    <t xml:space="preserve">dcf_engine v1</t>
  </si>
  <si>
    <t xml:space="preserve">Built at</t>
  </si>
  <si>
    <t xml:space="preserve">2026-09-25T05:16:58Z</t>
  </si>
  <si>
    <t xml:space="preserve">Drivers file</t>
  </si>
  <si>
    <t xml:space="preserve">SFR.AX_Drivers.json</t>
  </si>
  <si>
    <t xml:space="preserve">Convention</t>
  </si>
  <si>
    <t xml:space="preserve">Percents stored as percents; formulas divide by 100. Blue = input, green = link, black = formula.</t>
  </si>
  <si>
    <t xml:space="preserve">Methodology</t>
  </si>
  <si>
    <t xml:space="preserve">summary: A single-commodity copper miner two years into its current asset base (MATSA acquired May-2022, Motheo first production Feb-2023) is worth its mid-cycle owner cash flow at a mid-cycle price and TC/RC assumption, not its FY2026 record year, which sits at the confluence of an elevated copper price (above even Sandfire's own optimistic FY27 guidance, itself below current spot) and a multi-year-extreme favourable TC/RC environment. The model builds each year from components (revenue x EBITDA margin fading from FY26's 52.5% to a 40% mid-cycle floor - SBC - D&amp;A - a cash tax rate ramping from FY26's loss-shelter-depressed 16.6% to a 28% blended statutory rate + D&amp;A add-back - capex fading from the FY27-guided peak to a 15% steady state - working capital), and caps the terminal value at 12x owner FCF given genuine reserve-life and exploration optionality (Kalkaroo, MATSA sulphides, Motheo A1) beyond a plain single-commodity major. It charges leases once (as debt; immaterial at 1.5% of revenue), SBC once (expensed at a trivial 0.33% of revenue against a flat 465.6m diluted count), and risk once (in the scenario flows and a 30% bear weight, at a single 11.0% USD WACC). All values are computed in USD and converted to AUD at 1.4249 for comparison with the ASX price.
key_risks_to_valuation: Copper price path: FY26 realised ~US$11,900-12,017/t, FY27 guidance assumes US$13,280/t, and COMEX spot is higher still (~US$14,880/t equivalent) as of the valuation date -- the base case's 40% mid-cycle margin assumption is a judgment that this extended price environment partially reverts; each 10% move in the sustained realised price is roughly 8-9pp of EBITDA margin at Sandfire's cost structure; TC/RC reversal: the single largest identified swing factor -- spot terms near -US$126.80/t (a credit to miners) reflect a global smelter-capacity glut that is itself cyclical; new Chinese smelter capacity absorbing concentrate supply would swing TC/RCs back toward a cost, directly compressing margin; Two-asset concentration: MATSA (Spain, underground, first-ever fatality Feb-2026) and Motheo (Botswana, open-pit) are the only two producing assets; an extended shutdown, grade shortfall or tailings/geotechnical event at either has an outsized group-wide impact with no diversification to fall back on; Cash tax normalisation: FY26's 16.6% cash rate reflects MATSA-acquisition and Motheo-construction tax shelters being drawn down; the model assumes these exhaust by FY2030 and the rate ramps to 28% -- a slower exhaustion would understate near-term FCF versus the model, a faster one would overstate it; Kalkaroo and Black Butte remain optionality, not owned production: Kalkaroo is an exclusive option pending a further Havilah payment and a positive PFS (~US$70M spend committed), and Black Butte has sat undeveloped for years; the 12x terminal cap already gives some credit for this optionality without assuming conversion; FX: AUD/EUR/BWP-denominated costs (Australian corporate overhead, Spanish MATSA opex, Botswana pula Motheo opex) against USD revenue create ongoing translation exposure that can compress margins if the AUD or EUR strengthens against the USD; the AUD quote also moves the AUD-denominated IV one-for-one with the USD/AUD rate even when the USD valuation is unchanged; DeGrussa legacy liability: closure/rehabilitation and unresolved Yugunga-Nya cultural heritage obligations are an open-ended cost from a non-revenue asset, not sized in this model beyond being embedded in the corporate cost line; Dividend resumption (first since 2022, 35 AUD cents FY26 final) signals confidence but is early -- the bear case implies a cut or suspension if the price/TC-RC tailwind reverses as modelled</t>
  </si>
  <si>
    <t xml:space="preserve">Data sources</t>
  </si>
  <si>
    <t xml:space="preserve">price: Yahoo Finance chart API, SFR.AX regularMarketPrice at inputs.price_as_of (ASX regular close); 52-week range 13.33-25.00. FX: Yahoo AUDUSD=X regularMarketPrice at inputs.price_as_of, see inputs.fx_note. Copper spot cross-check: Yahoo HG=F (COMEX copper futures).
financials: research/SFR.AX/Reports/SFR.AX_Metrics.csv (core_metrics + kpis, FY2016-FY2026 annual and half-year; FY2016-FY2021 legacy AUD DeGrussa-era, FY2022-FY2026 USD MATSA/Motheo-era) and SFR.AX_Annual_FY2026.txt for the balance sheet (lines 12800-12870), cash flow statement (lines 12945-12983), EPS/diluted share count (Note 8, lines 13875-13890), SBC (Note 27, lines 15120-15128), FY27 guidance (Underlying Operating Unit Cost, capex, D&amp;A, corporate/exploration -- pages around the outlook section), and TC/RC and realised-price commentary (lines 3402-3489).
qualitative: research/SFR.AX/Reports/SFR.AX_Analysis.json (2026-09-25 vintage) for business model, growth drivers, risk factors, guidance and bull/bear case points.</t>
  </si>
  <si>
    <t xml:space="preserve">Scenario narrative: bear</t>
  </si>
  <si>
    <t xml:space="preserve">A global demand slowdown, particularly a deeper Chinese property/construction downturn, pulls copper materially off its current extended price just as new Chinese smelter capacity absorbs the concentrate shortage and reverses the TC/RC tailwind that drove much of FY26's margin expansion -- both of Sandfire's two largest identified financial risks crystallising together. A further operational incident at either concentrated asset (MATSA's underground geotechnical risk, following the Feb-2026 fatality, or a Motheo tailings/slope event) forces higher sustaining capex, while Kalkaroo's PFS disappoints or lapses and Black Butte remains stranded, leaving no growth optionality to offset margin compression. A 30% EBITDA margin -- below any year in the current five-year record bar FY2023 -- with revenue falling as both price and volumes disappoint; the fortress net-cash balance sheet (US$353M) prevents distress but the dividend, only just resumed, would likely be cut or suspended again.</t>
  </si>
  <si>
    <t xml:space="preserve">Scenario narrative: base</t>
  </si>
  <si>
    <t xml:space="preserve">Sandfire's FY26 result (52.5% EBITDA margin, record US$1.65bn revenue) sits at the confluence of a strong realised copper price and the most favourable treatment/refining-charge environment in years -- FY27's own guidance assumes an even higher forward copper price than FY26 realised, and spot copper is higher again. The base case takes FY27 close to guidance, then fades the margin down through FY2028-31 to a 40% mid-cycle level as copper price and, above all, TC/RCs mean-revert from the current smelter-capacity-glut extreme, while cash tax ramps from FY26's loss-carryforward-depressed 16.6% toward a 28% blended statutory rate as MATSA's post-acquisition tax shelters and Motheo's construction-phase allowances are exhausted. Capex fades from the FY27-guided US$299M peak (which includes discretionary Kalkaroo PFS spend) to a 15% steady state once the MATSA tailings dam and Motheo Stage 4 cutback complete. The axes are the copper price/TC-RC cycle position, whether MATSA and Motheo's targeted 15-year reserve life is achieved through the ongoing sulphide/A1 exploration, and whether Kalkaroo converts from an exclusive option into a funded development.</t>
  </si>
  <si>
    <t xml:space="preserve">Scenario narrative: bull</t>
  </si>
  <si>
    <t xml:space="preserve">Copper's electrification/AI-power demand thesis proves structural rather than cyclical and the price holds near current extended levels rather than reverting; TC/RCs stay favourable for longer as global smelter overcapacity persists; MATSA's sulphide discoveries and Motheo's A1 reserve extend both mines toward the targeted 15-year reserve life without a step-change in unit cost, and Kalkaroo's PFS (due within the horizon) confirms a large, low-cost, Tier-1-jurisdiction development that re-rates the stock from an option to a committed growth project. A 46% margin sustained near the FY2025-26 level, funding continued dividends and Kalkaroo development from the existing net-cash balance sheet without dilution.</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</si>
  <si>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</si>
  <si>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</si>
  <si>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</si>
  <si>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</si>
  <si>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</si>
  <si>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</si>
  <si>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</si>
  <si>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</si>
  <si>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</si>
  <si>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</si>
  <si>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</si>
  <si>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</si>
  <si>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</si>
  <si>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</si>
  <si>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</si>
  <si>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</si>
  <si>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</si>
  <si>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</si>
  <si>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</si>
  <si>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</si>
  <si>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</si>
  <si>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</si>
  <si>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</si>
  <si>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</si>
  <si>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</si>
  <si>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</si>
  <si>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</si>
  <si>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</si>
  <si>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</si>
  <si>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</si>
  <si>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</si>
  <si>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</si>
  <si>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</si>
  <si>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</si>
  <si>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</si>
  <si>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</si>
  <si>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</si>
  <si>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</si>
  <si>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</si>
  <si>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</si>
  <si>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</si>
  <si>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</si>
  <si>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</si>
  <si>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</si>
  <si>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</si>
  <si>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</si>
  <si>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</si>
  <si>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</si>
  <si>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</si>
  <si>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</si>
  <si>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</si>
  <si>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</si>
  <si>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</si>
  <si>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</si>
  <si>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</si>
  <si>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</si>
  <si>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</si>
  <si>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</si>
  <si>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</si>
  <si>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</si>
  <si>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</si>
  <si>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</si>
  <si>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</si>
  <si>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</si>
  <si>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</si>
  <si>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</si>
  <si>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</si>
  <si>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</si>
  <si>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</si>
  <si>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</si>
  <si>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</si>
  <si>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</si>
  <si>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</si>
  <si>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</si>
  <si>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</si>
  <si>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SFR.AX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</si>
  <si>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</si>
  <si>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</si>
  <si>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</si>
  <si>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</si>
  <si>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</si>
  <si>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</si>
  <si>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</si>
  <si>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</si>
  <si>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</si>
  <si>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</si>
  <si>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</si>
  <si>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</si>
  <si>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</si>
  <si>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</si>
  <si>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</si>
  <si>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</si>
  <si>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</si>
  <si>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</si>
  <si>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</si>
  <si>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</si>
  <si>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</si>
  <si>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</si>
  <si>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</si>
  <si>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</si>
  <si>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</si>
  <si>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</si>
  <si>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</si>
  <si>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</si>
  <si>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</si>
  <si>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</si>
  <si>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SFR.AX owner-FCF component DCF: base case (millions, USD)</t>
  </si>
  <si>
    <t xml:space="preserve">SFR.AX owner-FCF component DCF: bull case (millions, USD)</t>
  </si>
  <si>
    <t xml:space="preserve">SFR.AX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</si>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</sst>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22.445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485.817</v>
      </c>
      <c r="F2" s="0" t="n">
        <v>75.956</v>
      </c>
      <c r="G2" s="0" t="n">
        <v>15.6</v>
      </c>
      <c r="H2" s="0" t="n">
        <v>174.272</v>
      </c>
      <c r="I2" s="0" t="n">
        <v>47.978</v>
      </c>
      <c r="J2" s="0" t="n">
        <v>9.9</v>
      </c>
      <c r="K2" s="0" t="n">
        <v>0.3054</v>
      </c>
      <c r="L2" s="0" t="n">
        <v>133.896</v>
      </c>
      <c r="M2" s="0" t="n">
        <v>85.009</v>
      </c>
      <c r="N2" s="0" t="n">
        <v>48.887</v>
      </c>
      <c r="O2" s="0" t="n">
        <v>383.608</v>
      </c>
      <c r="P2" s="0" t="n">
        <v>558.751</v>
      </c>
      <c r="Q2" s="0" t="n">
        <v>175.145</v>
      </c>
      <c r="R2" s="0" t="n">
        <v>51.861</v>
      </c>
      <c r="S2" s="0" t="n">
        <v>66.223</v>
      </c>
      <c r="T2" s="0" t="n">
        <v>157.084</v>
      </c>
      <c r="U2" s="0" t="n">
        <v>0.766</v>
      </c>
      <c r="AA2" s="0" t="s">
        <v>18</v>
      </c>
      <c r="AB2" s="0" t="s">
        <v>16</v>
      </c>
    </row>
    <row r="3" customFormat="false" ht="15" hidden="false" customHeight="false" outlineLevel="0" collapsed="false">
      <c r="A3" s="0" t="s">
        <v>65</v>
      </c>
      <c r="B3" s="0" t="n">
        <v>532.548</v>
      </c>
      <c r="F3" s="0" t="n">
        <v>114.172</v>
      </c>
      <c r="G3" s="0" t="n">
        <v>21.4</v>
      </c>
      <c r="H3" s="0" t="n">
        <v>231.853</v>
      </c>
      <c r="I3" s="0" t="n">
        <v>77.51</v>
      </c>
      <c r="J3" s="0" t="n">
        <v>14.6</v>
      </c>
      <c r="K3" s="0" t="n">
        <v>0.4916</v>
      </c>
      <c r="L3" s="0" t="n">
        <v>216.138</v>
      </c>
      <c r="M3" s="0" t="n">
        <v>83.145</v>
      </c>
      <c r="N3" s="0" t="n">
        <v>132.993</v>
      </c>
      <c r="O3" s="0" t="n">
        <v>441.85</v>
      </c>
      <c r="P3" s="0" t="n">
        <v>575.909</v>
      </c>
      <c r="Q3" s="0" t="n">
        <v>134.059</v>
      </c>
      <c r="R3" s="0" t="n">
        <v>1.777</v>
      </c>
      <c r="S3" s="0" t="n">
        <v>126.743</v>
      </c>
      <c r="T3" s="0" t="n">
        <v>157.672</v>
      </c>
      <c r="U3" s="0" t="n">
        <v>1.139</v>
      </c>
      <c r="AA3" s="0" t="s">
        <v>18</v>
      </c>
      <c r="AB3" s="0" t="s">
        <v>16</v>
      </c>
    </row>
    <row r="4" customFormat="false" ht="15" hidden="false" customHeight="false" outlineLevel="0" collapsed="false">
      <c r="A4" s="0" t="s">
        <v>66</v>
      </c>
      <c r="B4" s="0" t="n">
        <v>570.045</v>
      </c>
      <c r="F4" s="0" t="n">
        <v>173.765</v>
      </c>
      <c r="G4" s="0" t="n">
        <v>30.5</v>
      </c>
      <c r="H4" s="0" t="n">
        <v>304.076</v>
      </c>
      <c r="I4" s="0" t="n">
        <v>123.024</v>
      </c>
      <c r="J4" s="0" t="n">
        <v>21.6</v>
      </c>
      <c r="K4" s="0" t="n">
        <v>0.7785</v>
      </c>
      <c r="L4" s="0" t="n">
        <v>244.965</v>
      </c>
      <c r="M4" s="0" t="n">
        <v>88.279</v>
      </c>
      <c r="N4" s="0" t="n">
        <v>156.686</v>
      </c>
      <c r="O4" s="0" t="n">
        <v>532.051</v>
      </c>
      <c r="P4" s="0" t="n">
        <v>670.898</v>
      </c>
      <c r="Q4" s="0" t="n">
        <v>138.847</v>
      </c>
      <c r="R4" s="0" t="n">
        <v>1.85</v>
      </c>
      <c r="S4" s="0" t="n">
        <v>243.367</v>
      </c>
      <c r="T4" s="0" t="n">
        <v>158.024</v>
      </c>
      <c r="U4" s="0" t="n">
        <v>1.196</v>
      </c>
      <c r="AA4" s="0" t="s">
        <v>18</v>
      </c>
      <c r="AB4" s="0" t="s">
        <v>16</v>
      </c>
    </row>
    <row r="5" customFormat="false" ht="15" hidden="false" customHeight="false" outlineLevel="0" collapsed="false">
      <c r="A5" s="0" t="s">
        <v>67</v>
      </c>
      <c r="B5" s="0" t="n">
        <v>592.211</v>
      </c>
      <c r="F5" s="0" t="n">
        <v>153.056</v>
      </c>
      <c r="G5" s="0" t="n">
        <v>25.8</v>
      </c>
      <c r="H5" s="0" t="n">
        <v>293.854</v>
      </c>
      <c r="I5" s="0" t="n">
        <v>106.456</v>
      </c>
      <c r="J5" s="0" t="n">
        <v>18</v>
      </c>
      <c r="K5" s="0" t="n">
        <v>0.6523</v>
      </c>
      <c r="L5" s="0" t="n">
        <v>210.42</v>
      </c>
      <c r="M5" s="0" t="n">
        <v>164.753</v>
      </c>
      <c r="N5" s="0" t="n">
        <v>45.667</v>
      </c>
      <c r="O5" s="0" t="n">
        <v>604.177</v>
      </c>
      <c r="P5" s="0" t="n">
        <v>735.85</v>
      </c>
      <c r="Q5" s="0" t="n">
        <v>131.673</v>
      </c>
      <c r="R5" s="0" t="n">
        <v>0.548</v>
      </c>
      <c r="S5" s="0" t="n">
        <v>247.449</v>
      </c>
      <c r="T5" s="0" t="n">
        <v>159.457</v>
      </c>
      <c r="U5" s="0" t="n">
        <v>1.324</v>
      </c>
      <c r="AA5" s="0" t="s">
        <v>18</v>
      </c>
      <c r="AB5" s="0" t="s">
        <v>16</v>
      </c>
    </row>
    <row r="6" customFormat="false" ht="15" hidden="false" customHeight="false" outlineLevel="0" collapsed="false">
      <c r="A6" s="0" t="s">
        <v>68</v>
      </c>
      <c r="B6" s="0" t="n">
        <v>656.753</v>
      </c>
      <c r="F6" s="0" t="n">
        <v>113.821</v>
      </c>
      <c r="G6" s="0" t="n">
        <v>17.3</v>
      </c>
      <c r="H6" s="0" t="n">
        <v>338.831</v>
      </c>
      <c r="I6" s="0" t="n">
        <v>74.054</v>
      </c>
      <c r="J6" s="0" t="n">
        <v>11.3</v>
      </c>
      <c r="K6" s="0" t="n">
        <v>0.4288</v>
      </c>
      <c r="L6" s="0" t="n">
        <v>273.592</v>
      </c>
      <c r="M6" s="0" t="n">
        <v>114.194</v>
      </c>
      <c r="N6" s="0" t="n">
        <v>159.398</v>
      </c>
      <c r="O6" s="0" t="n">
        <v>750.22</v>
      </c>
      <c r="P6" s="0" t="n">
        <v>894.013</v>
      </c>
      <c r="Q6" s="0" t="n">
        <v>143.793</v>
      </c>
      <c r="R6" s="0" t="n">
        <v>12.49</v>
      </c>
      <c r="S6" s="0" t="n">
        <v>291.142</v>
      </c>
      <c r="T6" s="0" t="n">
        <v>172.716</v>
      </c>
      <c r="U6" s="0" t="n">
        <v>1.181</v>
      </c>
      <c r="AA6" s="0" t="s">
        <v>18</v>
      </c>
      <c r="AB6" s="0" t="s">
        <v>16</v>
      </c>
    </row>
    <row r="7" customFormat="false" ht="15" hidden="false" customHeight="false" outlineLevel="0" collapsed="false">
      <c r="A7" s="0" t="s">
        <v>69</v>
      </c>
      <c r="B7" s="0" t="n">
        <v>812.957</v>
      </c>
      <c r="F7" s="0" t="n">
        <v>269.993</v>
      </c>
      <c r="G7" s="0" t="n">
        <v>33.2</v>
      </c>
      <c r="H7" s="0" t="n">
        <v>449.826</v>
      </c>
      <c r="I7" s="0" t="n">
        <v>171.641</v>
      </c>
      <c r="J7" s="0" t="n">
        <v>21.1</v>
      </c>
      <c r="K7" s="0" t="n">
        <v>0.9629</v>
      </c>
      <c r="L7" s="0" t="n">
        <v>471.05</v>
      </c>
      <c r="M7" s="0" t="n">
        <v>121.229</v>
      </c>
      <c r="N7" s="0" t="n">
        <v>349.821</v>
      </c>
      <c r="O7" s="0" t="n">
        <v>910.576</v>
      </c>
      <c r="P7" s="0" t="n">
        <v>1157.937</v>
      </c>
      <c r="Q7" s="0" t="n">
        <v>247.361</v>
      </c>
      <c r="R7" s="0" t="n">
        <v>12.75</v>
      </c>
      <c r="S7" s="0" t="n">
        <v>573.708</v>
      </c>
      <c r="T7" s="0" t="n">
        <v>178.251</v>
      </c>
      <c r="U7" s="0" t="n">
        <v>3.57</v>
      </c>
      <c r="AA7" s="0" t="s">
        <v>18</v>
      </c>
      <c r="AB7" s="0" t="s">
        <v>16</v>
      </c>
    </row>
    <row r="8" customFormat="false" ht="15" hidden="false" customHeight="false" outlineLevel="0" collapsed="false">
      <c r="A8" s="0" t="s">
        <v>70</v>
      </c>
      <c r="B8" s="0" t="n">
        <v>922.705</v>
      </c>
      <c r="F8" s="0" t="n">
        <v>190.561</v>
      </c>
      <c r="G8" s="0" t="n">
        <v>20.7</v>
      </c>
      <c r="H8" s="0" t="n">
        <v>447.29</v>
      </c>
      <c r="I8" s="0" t="n">
        <v>111.43</v>
      </c>
      <c r="J8" s="0" t="n">
        <v>12.1</v>
      </c>
      <c r="K8" s="0" t="n">
        <v>0.3205</v>
      </c>
      <c r="L8" s="0" t="n">
        <v>391.188</v>
      </c>
      <c r="M8" s="0" t="n">
        <v>206.283</v>
      </c>
      <c r="N8" s="0" t="n">
        <v>184.905</v>
      </c>
      <c r="O8" s="0" t="n">
        <v>1665.438</v>
      </c>
      <c r="P8" s="0" t="n">
        <v>3339.867</v>
      </c>
      <c r="Q8" s="0" t="n">
        <v>1674.429</v>
      </c>
      <c r="R8" s="0" t="n">
        <v>813.902</v>
      </c>
      <c r="S8" s="0" t="n">
        <v>463.093</v>
      </c>
      <c r="T8" s="0" t="n">
        <v>347.718</v>
      </c>
      <c r="U8" s="0" t="n">
        <v>3.44</v>
      </c>
      <c r="AA8" s="0" t="s">
        <v>18</v>
      </c>
      <c r="AB8" s="0" t="s">
        <v>14</v>
      </c>
    </row>
    <row r="9" customFormat="false" ht="15" hidden="false" customHeight="false" outlineLevel="0" collapsed="false">
      <c r="A9" s="0" t="s">
        <v>71</v>
      </c>
      <c r="B9" s="0" t="n">
        <v>803.974</v>
      </c>
      <c r="F9" s="0" t="n">
        <v>-5.289</v>
      </c>
      <c r="G9" s="0" t="n">
        <v>-0.7</v>
      </c>
      <c r="H9" s="0" t="n">
        <v>268.709</v>
      </c>
      <c r="I9" s="0" t="n">
        <v>-51.576</v>
      </c>
      <c r="J9" s="0" t="n">
        <v>-6.4</v>
      </c>
      <c r="K9" s="0" t="n">
        <v>-0.1181</v>
      </c>
      <c r="L9" s="0" t="n">
        <v>116.622</v>
      </c>
      <c r="M9" s="0" t="n">
        <v>326.98</v>
      </c>
      <c r="N9" s="0" t="n">
        <v>-210.358</v>
      </c>
      <c r="O9" s="0" t="n">
        <v>1734.547</v>
      </c>
      <c r="P9" s="0" t="n">
        <v>3074.389</v>
      </c>
      <c r="Q9" s="0" t="n">
        <v>1339.842</v>
      </c>
      <c r="R9" s="0" t="n">
        <v>596.592</v>
      </c>
      <c r="S9" s="0" t="n">
        <v>141.939</v>
      </c>
      <c r="T9" s="0" t="n">
        <v>436.7</v>
      </c>
      <c r="U9" s="0" t="n">
        <v>4.824</v>
      </c>
      <c r="AA9" s="0" t="s">
        <v>18</v>
      </c>
      <c r="AB9" s="0" t="s">
        <v>14</v>
      </c>
    </row>
    <row r="10" customFormat="false" ht="15" hidden="false" customHeight="false" outlineLevel="0" collapsed="false">
      <c r="A10" s="0" t="s">
        <v>72</v>
      </c>
      <c r="B10" s="0" t="n">
        <v>935.188</v>
      </c>
      <c r="F10" s="0" t="n">
        <v>53.386</v>
      </c>
      <c r="G10" s="0" t="n">
        <v>5.7</v>
      </c>
      <c r="H10" s="0" t="n">
        <v>359.697</v>
      </c>
      <c r="I10" s="0" t="n">
        <v>-17.348</v>
      </c>
      <c r="J10" s="0" t="n">
        <v>-1.9</v>
      </c>
      <c r="K10" s="0" t="n">
        <v>-0.038</v>
      </c>
      <c r="L10" s="0" t="n">
        <v>344.893</v>
      </c>
      <c r="M10" s="0" t="n">
        <v>221.942</v>
      </c>
      <c r="N10" s="0" t="n">
        <v>122.951</v>
      </c>
      <c r="O10" s="0" t="n">
        <v>1667.901</v>
      </c>
      <c r="P10" s="0" t="n">
        <v>2996.798</v>
      </c>
      <c r="Q10" s="0" t="n">
        <v>1328.897</v>
      </c>
      <c r="R10" s="0" t="n">
        <v>582.58</v>
      </c>
      <c r="S10" s="0" t="n">
        <v>183.337</v>
      </c>
      <c r="T10" s="0" t="n">
        <v>456.5</v>
      </c>
      <c r="U10" s="0" t="n">
        <v>6.044</v>
      </c>
      <c r="AA10" s="0" t="s">
        <v>18</v>
      </c>
      <c r="AB10" s="0" t="s">
        <v>14</v>
      </c>
    </row>
    <row r="11" customFormat="false" ht="15" hidden="false" customHeight="false" outlineLevel="0" collapsed="false">
      <c r="A11" s="0" t="s">
        <v>73</v>
      </c>
      <c r="B11" s="0" t="n">
        <v>1176.006</v>
      </c>
      <c r="F11" s="0" t="n">
        <v>221.462</v>
      </c>
      <c r="G11" s="0" t="n">
        <v>18.8</v>
      </c>
      <c r="H11" s="0" t="n">
        <v>539.628</v>
      </c>
      <c r="I11" s="0" t="n">
        <v>93.251</v>
      </c>
      <c r="J11" s="0" t="n">
        <v>7.9</v>
      </c>
      <c r="K11" s="0" t="n">
        <v>0.201</v>
      </c>
      <c r="L11" s="0" t="n">
        <v>523.707</v>
      </c>
      <c r="M11" s="0" t="n">
        <v>201.756</v>
      </c>
      <c r="N11" s="0" t="n">
        <v>321.951</v>
      </c>
      <c r="O11" s="0" t="n">
        <v>1782.169</v>
      </c>
      <c r="P11" s="0" t="n">
        <v>2868.453</v>
      </c>
      <c r="Q11" s="0" t="n">
        <v>1086.284</v>
      </c>
      <c r="R11" s="0" t="n">
        <v>253.242</v>
      </c>
      <c r="S11" s="0" t="n">
        <v>110.668</v>
      </c>
      <c r="T11" s="0" t="n">
        <v>463.9</v>
      </c>
      <c r="U11" s="0" t="n">
        <v>5.003</v>
      </c>
      <c r="AA11" s="0" t="s">
        <v>18</v>
      </c>
      <c r="AB11" s="0" t="s">
        <v>14</v>
      </c>
    </row>
    <row r="12" customFormat="false" ht="15" hidden="false" customHeight="false" outlineLevel="0" collapsed="false">
      <c r="A12" s="0" t="s">
        <v>74</v>
      </c>
      <c r="B12" s="0" t="n">
        <v>1653.666</v>
      </c>
      <c r="F12" s="0" t="n">
        <v>547.14</v>
      </c>
      <c r="G12" s="0" t="n">
        <v>33.1</v>
      </c>
      <c r="H12" s="0" t="n">
        <v>868.274</v>
      </c>
      <c r="I12" s="0" t="n">
        <v>355.807</v>
      </c>
      <c r="J12" s="0" t="n">
        <v>21.5</v>
      </c>
      <c r="K12" s="0" t="n">
        <v>0.764</v>
      </c>
      <c r="L12" s="0" t="n">
        <v>746.804</v>
      </c>
      <c r="M12" s="0" t="n">
        <v>239.908</v>
      </c>
      <c r="N12" s="0" t="n">
        <v>506.896</v>
      </c>
      <c r="O12" s="0" t="n">
        <v>2211.646</v>
      </c>
      <c r="P12" s="0" t="n">
        <v>3198.315</v>
      </c>
      <c r="Q12" s="0" t="n">
        <v>986.669</v>
      </c>
      <c r="R12" s="0" t="n">
        <v>36.432</v>
      </c>
      <c r="S12" s="0" t="n">
        <v>352.629</v>
      </c>
      <c r="T12" s="0" t="n">
        <v>465.7</v>
      </c>
      <c r="U12" s="0" t="n">
        <v>4.976</v>
      </c>
      <c r="AA12" s="0" t="s">
        <v>18</v>
      </c>
      <c r="AB12"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22.445</v>
      </c>
    </row>
    <row r="3" customFormat="false" ht="15" hidden="false" customHeight="false" outlineLevel="0" collapsed="false">
      <c r="A3" s="0" t="s">
        <v>78</v>
      </c>
      <c r="B3" s="3" t="n">
        <v>465.626</v>
      </c>
    </row>
    <row r="4" customFormat="false" ht="15" hidden="false" customHeight="false" outlineLevel="0" collapsed="false">
      <c r="A4" s="0" t="s">
        <v>79</v>
      </c>
      <c r="B4" s="3" t="n">
        <v>-316.197</v>
      </c>
    </row>
    <row r="5" customFormat="false" ht="15" hidden="false" customHeight="false" outlineLevel="0" collapsed="false">
      <c r="A5" s="0" t="s">
        <v>80</v>
      </c>
      <c r="B5" s="3" t="n">
        <v>0</v>
      </c>
    </row>
    <row r="6" customFormat="false" ht="15" hidden="false" customHeight="false" outlineLevel="0" collapsed="false">
      <c r="A6" s="0" t="s">
        <v>81</v>
      </c>
      <c r="B6" s="3" t="n">
        <v>15</v>
      </c>
    </row>
    <row r="7" customFormat="false" ht="15" hidden="false" customHeight="false" outlineLevel="0" collapsed="false">
      <c r="A7" s="0" t="s">
        <v>82</v>
      </c>
      <c r="B7" s="3" t="n">
        <v>1653.666</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1.4249</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-2</v>
      </c>
      <c r="D13" s="3" t="n">
        <v>-6</v>
      </c>
      <c r="E13" s="3" t="n">
        <v>-8</v>
      </c>
      <c r="F13" s="3" t="n">
        <v>-3</v>
      </c>
      <c r="G13" s="3" t="n">
        <v>0</v>
      </c>
      <c r="H13" s="3" t="n">
        <v>1</v>
      </c>
      <c r="I13" s="3" t="n">
        <v>1</v>
      </c>
      <c r="J13" s="3" t="n">
        <v>1</v>
      </c>
      <c r="K13" s="3" t="n">
        <v>1</v>
      </c>
      <c r="L13" s="3" t="n">
        <v>1</v>
      </c>
    </row>
    <row r="14" customFormat="false" ht="15" hidden="false" customHeight="false" outlineLevel="0" collapsed="false">
      <c r="A14" s="0" t="s">
        <v>99</v>
      </c>
      <c r="C14" s="3" t="n">
        <v>46</v>
      </c>
      <c r="D14" s="3" t="n">
        <v>38</v>
      </c>
      <c r="E14" s="3" t="n">
        <v>32</v>
      </c>
      <c r="F14" s="3" t="n">
        <v>30</v>
      </c>
      <c r="G14" s="3" t="n">
        <v>30</v>
      </c>
      <c r="H14" s="3" t="n">
        <v>30</v>
      </c>
      <c r="I14" s="3" t="n">
        <v>30</v>
      </c>
      <c r="J14" s="3" t="n">
        <v>30</v>
      </c>
      <c r="K14" s="3" t="n">
        <v>30</v>
      </c>
      <c r="L14" s="3" t="n">
        <v>30</v>
      </c>
    </row>
    <row r="15" customFormat="false" ht="15" hidden="false" customHeight="false" outlineLevel="0" collapsed="false">
      <c r="A15" s="0" t="s">
        <v>100</v>
      </c>
      <c r="C15" s="3" t="n">
        <v>0.33</v>
      </c>
      <c r="D15" s="3" t="n">
        <v>0.33</v>
      </c>
      <c r="E15" s="3" t="n">
        <v>0.33</v>
      </c>
      <c r="F15" s="3" t="n">
        <v>0.33</v>
      </c>
      <c r="G15" s="3" t="n">
        <v>0.33</v>
      </c>
      <c r="H15" s="3" t="n">
        <v>0.33</v>
      </c>
      <c r="I15" s="3" t="n">
        <v>0.33</v>
      </c>
      <c r="J15" s="3" t="n">
        <v>0.33</v>
      </c>
      <c r="K15" s="3" t="n">
        <v>0.33</v>
      </c>
      <c r="L15" s="3" t="n">
        <v>0.33</v>
      </c>
    </row>
    <row r="16" customFormat="false" ht="15" hidden="false" customHeight="false" outlineLevel="0" collapsed="false">
      <c r="A16" s="0" t="s">
        <v>101</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102</v>
      </c>
      <c r="C17" s="3" t="n">
        <v>22</v>
      </c>
      <c r="D17" s="3" t="n">
        <v>23</v>
      </c>
      <c r="E17" s="3" t="n">
        <v>24</v>
      </c>
      <c r="F17" s="3" t="n">
        <v>24</v>
      </c>
      <c r="G17" s="3" t="n">
        <v>24</v>
      </c>
      <c r="H17" s="3" t="n">
        <v>24</v>
      </c>
      <c r="I17" s="3" t="n">
        <v>24</v>
      </c>
      <c r="J17" s="3" t="n">
        <v>24</v>
      </c>
      <c r="K17" s="3" t="n">
        <v>24</v>
      </c>
      <c r="L17" s="3" t="n">
        <v>24</v>
      </c>
    </row>
    <row r="18" customFormat="false" ht="15" hidden="false" customHeight="false" outlineLevel="0" collapsed="false">
      <c r="A18" s="0" t="s">
        <v>103</v>
      </c>
      <c r="C18" s="3" t="n">
        <v>19</v>
      </c>
      <c r="D18" s="3" t="n">
        <v>19</v>
      </c>
      <c r="E18" s="3" t="n">
        <v>18</v>
      </c>
      <c r="F18" s="3" t="n">
        <v>16</v>
      </c>
      <c r="G18" s="3" t="n">
        <v>15</v>
      </c>
      <c r="H18" s="3" t="n">
        <v>15</v>
      </c>
      <c r="I18" s="3" t="n">
        <v>15</v>
      </c>
      <c r="J18" s="3" t="n">
        <v>15</v>
      </c>
      <c r="K18" s="3" t="n">
        <v>15</v>
      </c>
      <c r="L18" s="3" t="n">
        <v>15</v>
      </c>
    </row>
    <row r="19" customFormat="false" ht="15" hidden="false" customHeight="false" outlineLevel="0" collapsed="false">
      <c r="A19" s="0" t="s">
        <v>104</v>
      </c>
      <c r="C19" s="3" t="n">
        <v>17</v>
      </c>
      <c r="D19" s="3" t="n">
        <v>22</v>
      </c>
      <c r="E19" s="3" t="n">
        <v>26</v>
      </c>
      <c r="F19" s="3" t="n">
        <v>28</v>
      </c>
      <c r="G19" s="3" t="n">
        <v>28</v>
      </c>
      <c r="H19" s="3" t="n">
        <v>28</v>
      </c>
      <c r="I19" s="3" t="n">
        <v>28</v>
      </c>
      <c r="J19" s="3" t="n">
        <v>28</v>
      </c>
      <c r="K19" s="3" t="n">
        <v>28</v>
      </c>
      <c r="L19" s="3" t="n">
        <v>28</v>
      </c>
    </row>
    <row r="20" customFormat="false" ht="15" hidden="false" customHeight="false" outlineLevel="0" collapsed="false">
      <c r="A20" s="0" t="s">
        <v>105</v>
      </c>
      <c r="B20" s="3" t="n">
        <v>11</v>
      </c>
    </row>
    <row r="21" customFormat="false" ht="15" hidden="false" customHeight="false" outlineLevel="0" collapsed="false">
      <c r="A21" s="0" t="s">
        <v>106</v>
      </c>
      <c r="B21" s="3" t="n">
        <v>2</v>
      </c>
    </row>
    <row r="22" customFormat="false" ht="15" hidden="false" customHeight="false" outlineLevel="0" collapsed="false">
      <c r="A22" s="0" t="s">
        <v>107</v>
      </c>
      <c r="B22" s="3" t="n">
        <v>12</v>
      </c>
    </row>
    <row r="23" customFormat="false" ht="15" hidden="false" customHeight="false" outlineLevel="0" collapsed="false">
      <c r="A23" s="0" t="s">
        <v>108</v>
      </c>
      <c r="B23" s="3" t="n">
        <v>-8</v>
      </c>
    </row>
    <row r="24" customFormat="false" ht="15" hidden="false" customHeight="false" outlineLevel="0" collapsed="false">
      <c r="A24" s="0" t="s">
        <v>109</v>
      </c>
      <c r="B24" s="3" t="n">
        <v>0.3</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1</v>
      </c>
      <c r="D27" s="3" t="n">
        <v>-2</v>
      </c>
      <c r="E27" s="3" t="n">
        <v>-2</v>
      </c>
      <c r="F27" s="3" t="n">
        <v>0</v>
      </c>
      <c r="G27" s="3" t="n">
        <v>1</v>
      </c>
      <c r="H27" s="3" t="n">
        <v>2</v>
      </c>
      <c r="I27" s="3" t="n">
        <v>2</v>
      </c>
      <c r="J27" s="3" t="n">
        <v>2</v>
      </c>
      <c r="K27" s="3" t="n">
        <v>2</v>
      </c>
      <c r="L27" s="3" t="n">
        <v>2</v>
      </c>
    </row>
    <row r="28" customFormat="false" ht="15" hidden="false" customHeight="false" outlineLevel="0" collapsed="false">
      <c r="A28" s="0" t="s">
        <v>99</v>
      </c>
      <c r="C28" s="3" t="n">
        <v>50</v>
      </c>
      <c r="D28" s="3" t="n">
        <v>46</v>
      </c>
      <c r="E28" s="3" t="n">
        <v>43</v>
      </c>
      <c r="F28" s="3" t="n">
        <v>41</v>
      </c>
      <c r="G28" s="3" t="n">
        <v>40</v>
      </c>
      <c r="H28" s="3" t="n">
        <v>40</v>
      </c>
      <c r="I28" s="3" t="n">
        <v>40</v>
      </c>
      <c r="J28" s="3" t="n">
        <v>40</v>
      </c>
      <c r="K28" s="3" t="n">
        <v>40</v>
      </c>
      <c r="L28" s="3" t="n">
        <v>40</v>
      </c>
    </row>
    <row r="29" customFormat="false" ht="15" hidden="false" customHeight="false" outlineLevel="0" collapsed="false">
      <c r="A29" s="0" t="s">
        <v>100</v>
      </c>
      <c r="C29" s="3" t="n">
        <v>0.33</v>
      </c>
      <c r="D29" s="3" t="n">
        <v>0.33</v>
      </c>
      <c r="E29" s="3" t="n">
        <v>0.33</v>
      </c>
      <c r="F29" s="3" t="n">
        <v>0.33</v>
      </c>
      <c r="G29" s="3" t="n">
        <v>0.33</v>
      </c>
      <c r="H29" s="3" t="n">
        <v>0.33</v>
      </c>
      <c r="I29" s="3" t="n">
        <v>0.33</v>
      </c>
      <c r="J29" s="3" t="n">
        <v>0.33</v>
      </c>
      <c r="K29" s="3" t="n">
        <v>0.33</v>
      </c>
      <c r="L29" s="3" t="n">
        <v>0.33</v>
      </c>
    </row>
    <row r="30" customFormat="false" ht="15" hidden="false" customHeight="false" outlineLevel="0" collapsed="false">
      <c r="A30" s="0" t="s">
        <v>101</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102</v>
      </c>
      <c r="C31" s="3" t="n">
        <v>21</v>
      </c>
      <c r="D31" s="3" t="n">
        <v>21.5</v>
      </c>
      <c r="E31" s="3" t="n">
        <v>22</v>
      </c>
      <c r="F31" s="3" t="n">
        <v>22</v>
      </c>
      <c r="G31" s="3" t="n">
        <v>22</v>
      </c>
      <c r="H31" s="3" t="n">
        <v>22</v>
      </c>
      <c r="I31" s="3" t="n">
        <v>22</v>
      </c>
      <c r="J31" s="3" t="n">
        <v>22</v>
      </c>
      <c r="K31" s="3" t="n">
        <v>22</v>
      </c>
      <c r="L31" s="3" t="n">
        <v>22</v>
      </c>
    </row>
    <row r="32" customFormat="false" ht="15" hidden="false" customHeight="false" outlineLevel="0" collapsed="false">
      <c r="A32" s="0" t="s">
        <v>103</v>
      </c>
      <c r="C32" s="3" t="n">
        <v>18</v>
      </c>
      <c r="D32" s="3" t="n">
        <v>17.5</v>
      </c>
      <c r="E32" s="3" t="n">
        <v>16.5</v>
      </c>
      <c r="F32" s="3" t="n">
        <v>15.5</v>
      </c>
      <c r="G32" s="3" t="n">
        <v>15</v>
      </c>
      <c r="H32" s="3" t="n">
        <v>15</v>
      </c>
      <c r="I32" s="3" t="n">
        <v>15</v>
      </c>
      <c r="J32" s="3" t="n">
        <v>15</v>
      </c>
      <c r="K32" s="3" t="n">
        <v>15</v>
      </c>
      <c r="L32" s="3" t="n">
        <v>15</v>
      </c>
    </row>
    <row r="33" customFormat="false" ht="15" hidden="false" customHeight="false" outlineLevel="0" collapsed="false">
      <c r="A33" s="0" t="s">
        <v>104</v>
      </c>
      <c r="C33" s="3" t="n">
        <v>17</v>
      </c>
      <c r="D33" s="3" t="n">
        <v>20</v>
      </c>
      <c r="E33" s="3" t="n">
        <v>23</v>
      </c>
      <c r="F33" s="3" t="n">
        <v>26</v>
      </c>
      <c r="G33" s="3" t="n">
        <v>28</v>
      </c>
      <c r="H33" s="3" t="n">
        <v>28</v>
      </c>
      <c r="I33" s="3" t="n">
        <v>28</v>
      </c>
      <c r="J33" s="3" t="n">
        <v>28</v>
      </c>
      <c r="K33" s="3" t="n">
        <v>28</v>
      </c>
      <c r="L33" s="3" t="n">
        <v>28</v>
      </c>
    </row>
    <row r="34" customFormat="false" ht="15" hidden="false" customHeight="false" outlineLevel="0" collapsed="false">
      <c r="A34" s="0" t="s">
        <v>105</v>
      </c>
      <c r="B34" s="3" t="n">
        <v>11</v>
      </c>
    </row>
    <row r="35" customFormat="false" ht="15" hidden="false" customHeight="false" outlineLevel="0" collapsed="false">
      <c r="A35" s="0" t="s">
        <v>106</v>
      </c>
      <c r="B35" s="3" t="n">
        <v>2</v>
      </c>
    </row>
    <row r="36" customFormat="false" ht="15" hidden="false" customHeight="false" outlineLevel="0" collapsed="false">
      <c r="A36" s="0" t="s">
        <v>107</v>
      </c>
      <c r="B36" s="3" t="n">
        <v>12</v>
      </c>
    </row>
    <row r="37" customFormat="false" ht="15" hidden="false" customHeight="false" outlineLevel="0" collapsed="false">
      <c r="A37" s="0" t="s">
        <v>108</v>
      </c>
      <c r="B37" s="3" t="n">
        <v>-8</v>
      </c>
    </row>
    <row r="38" customFormat="false" ht="15" hidden="false" customHeight="false" outlineLevel="0" collapsed="false">
      <c r="A38" s="0" t="s">
        <v>109</v>
      </c>
      <c r="B38" s="3" t="n">
        <v>0.45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2</v>
      </c>
      <c r="D41" s="3" t="n">
        <v>2</v>
      </c>
      <c r="E41" s="3" t="n">
        <v>3</v>
      </c>
      <c r="F41" s="3" t="n">
        <v>3</v>
      </c>
      <c r="G41" s="3" t="n">
        <v>3</v>
      </c>
      <c r="H41" s="3" t="n">
        <v>3</v>
      </c>
      <c r="I41" s="3" t="n">
        <v>3</v>
      </c>
      <c r="J41" s="3" t="n">
        <v>3</v>
      </c>
      <c r="K41" s="3" t="n">
        <v>3</v>
      </c>
      <c r="L41" s="3" t="n">
        <v>3</v>
      </c>
    </row>
    <row r="42" customFormat="false" ht="15" hidden="false" customHeight="false" outlineLevel="0" collapsed="false">
      <c r="A42" s="0" t="s">
        <v>99</v>
      </c>
      <c r="C42" s="3" t="n">
        <v>51</v>
      </c>
      <c r="D42" s="3" t="n">
        <v>49</v>
      </c>
      <c r="E42" s="3" t="n">
        <v>47</v>
      </c>
      <c r="F42" s="3" t="n">
        <v>46</v>
      </c>
      <c r="G42" s="3" t="n">
        <v>46</v>
      </c>
      <c r="H42" s="3" t="n">
        <v>46</v>
      </c>
      <c r="I42" s="3" t="n">
        <v>46</v>
      </c>
      <c r="J42" s="3" t="n">
        <v>46</v>
      </c>
      <c r="K42" s="3" t="n">
        <v>46</v>
      </c>
      <c r="L42" s="3" t="n">
        <v>46</v>
      </c>
    </row>
    <row r="43" customFormat="false" ht="15" hidden="false" customHeight="false" outlineLevel="0" collapsed="false">
      <c r="A43" s="0" t="s">
        <v>100</v>
      </c>
      <c r="C43" s="3" t="n">
        <v>0.33</v>
      </c>
      <c r="D43" s="3" t="n">
        <v>0.33</v>
      </c>
      <c r="E43" s="3" t="n">
        <v>0.33</v>
      </c>
      <c r="F43" s="3" t="n">
        <v>0.33</v>
      </c>
      <c r="G43" s="3" t="n">
        <v>0.33</v>
      </c>
      <c r="H43" s="3" t="n">
        <v>0.33</v>
      </c>
      <c r="I43" s="3" t="n">
        <v>0.33</v>
      </c>
      <c r="J43" s="3" t="n">
        <v>0.33</v>
      </c>
      <c r="K43" s="3" t="n">
        <v>0.33</v>
      </c>
      <c r="L43" s="3" t="n">
        <v>0.33</v>
      </c>
    </row>
    <row r="44" customFormat="false" ht="15" hidden="false" customHeight="false" outlineLevel="0" collapsed="false">
      <c r="A44" s="0" t="s">
        <v>101</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102</v>
      </c>
      <c r="C45" s="3" t="n">
        <v>21</v>
      </c>
      <c r="D45" s="3" t="n">
        <v>21</v>
      </c>
      <c r="E45" s="3" t="n">
        <v>21.5</v>
      </c>
      <c r="F45" s="3" t="n">
        <v>21.5</v>
      </c>
      <c r="G45" s="3" t="n">
        <v>21.5</v>
      </c>
      <c r="H45" s="3" t="n">
        <v>21.5</v>
      </c>
      <c r="I45" s="3" t="n">
        <v>21.5</v>
      </c>
      <c r="J45" s="3" t="n">
        <v>21.5</v>
      </c>
      <c r="K45" s="3" t="n">
        <v>21.5</v>
      </c>
      <c r="L45" s="3" t="n">
        <v>21.5</v>
      </c>
    </row>
    <row r="46" customFormat="false" ht="15" hidden="false" customHeight="false" outlineLevel="0" collapsed="false">
      <c r="A46" s="0" t="s">
        <v>103</v>
      </c>
      <c r="C46" s="3" t="n">
        <v>18</v>
      </c>
      <c r="D46" s="3" t="n">
        <v>17</v>
      </c>
      <c r="E46" s="3" t="n">
        <v>16</v>
      </c>
      <c r="F46" s="3" t="n">
        <v>15</v>
      </c>
      <c r="G46" s="3" t="n">
        <v>14</v>
      </c>
      <c r="H46" s="3" t="n">
        <v>14</v>
      </c>
      <c r="I46" s="3" t="n">
        <v>14</v>
      </c>
      <c r="J46" s="3" t="n">
        <v>14</v>
      </c>
      <c r="K46" s="3" t="n">
        <v>14</v>
      </c>
      <c r="L46" s="3" t="n">
        <v>14</v>
      </c>
    </row>
    <row r="47" customFormat="false" ht="15" hidden="false" customHeight="false" outlineLevel="0" collapsed="false">
      <c r="A47" s="0" t="s">
        <v>104</v>
      </c>
      <c r="C47" s="3" t="n">
        <v>17</v>
      </c>
      <c r="D47" s="3" t="n">
        <v>19</v>
      </c>
      <c r="E47" s="3" t="n">
        <v>22</v>
      </c>
      <c r="F47" s="3" t="n">
        <v>25</v>
      </c>
      <c r="G47" s="3" t="n">
        <v>27</v>
      </c>
      <c r="H47" s="3" t="n">
        <v>27</v>
      </c>
      <c r="I47" s="3" t="n">
        <v>27</v>
      </c>
      <c r="J47" s="3" t="n">
        <v>27</v>
      </c>
      <c r="K47" s="3" t="n">
        <v>27</v>
      </c>
      <c r="L47" s="3" t="n">
        <v>27</v>
      </c>
    </row>
    <row r="48" customFormat="false" ht="15" hidden="false" customHeight="false" outlineLevel="0" collapsed="false">
      <c r="A48" s="0" t="s">
        <v>105</v>
      </c>
      <c r="B48" s="3" t="n">
        <v>11</v>
      </c>
    </row>
    <row r="49" customFormat="false" ht="15" hidden="false" customHeight="false" outlineLevel="0" collapsed="false">
      <c r="A49" s="0" t="s">
        <v>106</v>
      </c>
      <c r="B49" s="3" t="n">
        <v>2</v>
      </c>
    </row>
    <row r="50" customFormat="false" ht="15" hidden="false" customHeight="false" outlineLevel="0" collapsed="false">
      <c r="A50" s="0" t="s">
        <v>107</v>
      </c>
      <c r="B50" s="3" t="n">
        <v>12</v>
      </c>
    </row>
    <row r="51" customFormat="false" ht="15" hidden="false" customHeight="false" outlineLevel="0" collapsed="false">
      <c r="A51" s="0" t="s">
        <v>108</v>
      </c>
      <c r="B51" s="3" t="n">
        <v>-8</v>
      </c>
    </row>
    <row r="52" customFormat="false" ht="15" hidden="false" customHeight="false" outlineLevel="0" collapsed="false">
      <c r="A52" s="0" t="s">
        <v>109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-2</v>
      </c>
      <c r="D5" s="4" t="n">
        <f aca="false">Assumptions!D13</f>
        <v>-6</v>
      </c>
      <c r="E5" s="4" t="n">
        <f aca="false">Assumptions!E13</f>
        <v>-8</v>
      </c>
      <c r="F5" s="4" t="n">
        <f aca="false">Assumptions!F13</f>
        <v>-3</v>
      </c>
      <c r="G5" s="4" t="n">
        <f aca="false">Assumptions!G13</f>
        <v>0</v>
      </c>
      <c r="H5" s="4" t="n">
        <f aca="false">Assumptions!H13</f>
        <v>1</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38</v>
      </c>
      <c r="B6" s="3" t="n">
        <v>1653.666</v>
      </c>
      <c r="C6" s="0" t="n">
        <f aca="false">B6*(1+C5/100)</f>
        <v>1620.59268</v>
      </c>
      <c r="D6" s="0" t="n">
        <f aca="false">C6*(1+D5/100)</f>
        <v>1523.3571192</v>
      </c>
      <c r="E6" s="0" t="n">
        <f aca="false">D6*(1+E5/100)</f>
        <v>1401.488549664</v>
      </c>
      <c r="F6" s="0" t="n">
        <f aca="false">E6*(1+F5/100)</f>
        <v>1359.44389317408</v>
      </c>
      <c r="G6" s="0" t="n">
        <f aca="false">F6*(1+G5/100)</f>
        <v>1359.44389317408</v>
      </c>
      <c r="H6" s="0" t="n">
        <f aca="false">G6*(1+H5/100)</f>
        <v>1373.03833210582</v>
      </c>
      <c r="I6" s="0" t="n">
        <f aca="false">H6*(1+I5/100)</f>
        <v>1386.76871542688</v>
      </c>
      <c r="J6" s="0" t="n">
        <f aca="false">I6*(1+J5/100)</f>
        <v>1400.63640258115</v>
      </c>
      <c r="K6" s="0" t="n">
        <f aca="false">J6*(1+K5/100)</f>
        <v>1414.64276660696</v>
      </c>
      <c r="L6" s="0" t="n">
        <f aca="false">K6*(1+L5/100)</f>
        <v>1428.78919427303</v>
      </c>
    </row>
    <row r="7" customFormat="false" ht="15" hidden="false" customHeight="false" outlineLevel="0" collapsed="false">
      <c r="A7" s="0" t="s">
        <v>99</v>
      </c>
      <c r="C7" s="4" t="n">
        <f aca="false">Assumptions!C14</f>
        <v>46</v>
      </c>
      <c r="D7" s="4" t="n">
        <f aca="false">Assumptions!D14</f>
        <v>38</v>
      </c>
      <c r="E7" s="4" t="n">
        <f aca="false">Assumptions!E14</f>
        <v>32</v>
      </c>
      <c r="F7" s="4" t="n">
        <f aca="false">Assumptions!F14</f>
        <v>30</v>
      </c>
      <c r="G7" s="4" t="n">
        <f aca="false">Assumptions!G14</f>
        <v>30</v>
      </c>
      <c r="H7" s="4" t="n">
        <f aca="false">Assumptions!H14</f>
        <v>30</v>
      </c>
      <c r="I7" s="4" t="n">
        <f aca="false">Assumptions!I14</f>
        <v>30</v>
      </c>
      <c r="J7" s="4" t="n">
        <f aca="false">Assumptions!J14</f>
        <v>30</v>
      </c>
      <c r="K7" s="4" t="n">
        <f aca="false">Assumptions!K14</f>
        <v>30</v>
      </c>
      <c r="L7" s="4" t="n">
        <f aca="false">Assumptions!L14</f>
        <v>30</v>
      </c>
    </row>
    <row r="8" customFormat="false" ht="15" hidden="false" customHeight="false" outlineLevel="0" collapsed="false">
      <c r="A8" s="0" t="s">
        <v>44</v>
      </c>
      <c r="C8" s="0" t="n">
        <f aca="false">C6*C7/100</f>
        <v>745.4726328</v>
      </c>
      <c r="D8" s="0" t="n">
        <f aca="false">D6*D7/100</f>
        <v>578.875705296</v>
      </c>
      <c r="E8" s="0" t="n">
        <f aca="false">E6*E7/100</f>
        <v>448.47633589248</v>
      </c>
      <c r="F8" s="0" t="n">
        <f aca="false">F6*F7/100</f>
        <v>407.833167952224</v>
      </c>
      <c r="G8" s="0" t="n">
        <f aca="false">G6*G7/100</f>
        <v>407.833167952224</v>
      </c>
      <c r="H8" s="0" t="n">
        <f aca="false">H6*H7/100</f>
        <v>411.911499631746</v>
      </c>
      <c r="I8" s="0" t="n">
        <f aca="false">I6*I7/100</f>
        <v>416.030614628064</v>
      </c>
      <c r="J8" s="0" t="n">
        <f aca="false">J6*J7/100</f>
        <v>420.190920774344</v>
      </c>
      <c r="K8" s="0" t="n">
        <f aca="false">K6*K7/100</f>
        <v>424.392829982088</v>
      </c>
      <c r="L8" s="0" t="n">
        <f aca="false">L6*L7/100</f>
        <v>428.636758281909</v>
      </c>
    </row>
    <row r="9" customFormat="false" ht="15" hidden="false" customHeight="false" outlineLevel="0" collapsed="false">
      <c r="A9" s="0" t="s">
        <v>100</v>
      </c>
      <c r="C9" s="4" t="n">
        <f aca="false">Assumptions!C15</f>
        <v>0.33</v>
      </c>
      <c r="D9" s="4" t="n">
        <f aca="false">Assumptions!D15</f>
        <v>0.33</v>
      </c>
      <c r="E9" s="4" t="n">
        <f aca="false">Assumptions!E15</f>
        <v>0.33</v>
      </c>
      <c r="F9" s="4" t="n">
        <f aca="false">Assumptions!F15</f>
        <v>0.33</v>
      </c>
      <c r="G9" s="4" t="n">
        <f aca="false">Assumptions!G15</f>
        <v>0.33</v>
      </c>
      <c r="H9" s="4" t="n">
        <f aca="false">Assumptions!H15</f>
        <v>0.33</v>
      </c>
      <c r="I9" s="4" t="n">
        <f aca="false">Assumptions!I15</f>
        <v>0.33</v>
      </c>
      <c r="J9" s="4" t="n">
        <f aca="false">Assumptions!J15</f>
        <v>0.33</v>
      </c>
      <c r="K9" s="4" t="n">
        <f aca="false">Assumptions!K15</f>
        <v>0.33</v>
      </c>
      <c r="L9" s="4" t="n">
        <f aca="false">Assumptions!L15</f>
        <v>0.33</v>
      </c>
    </row>
    <row r="10" customFormat="false" ht="15" hidden="false" customHeight="false" outlineLevel="0" collapsed="false">
      <c r="A10" s="0" t="s">
        <v>115</v>
      </c>
      <c r="C10" s="0" t="n">
        <f aca="false">-C6*C9/100</f>
        <v>-5.347955844</v>
      </c>
      <c r="D10" s="0" t="n">
        <f aca="false">-D6*D9/100</f>
        <v>-5.02707849336</v>
      </c>
      <c r="E10" s="0" t="n">
        <f aca="false">-E6*E9/100</f>
        <v>-4.6249122138912</v>
      </c>
      <c r="F10" s="0" t="n">
        <f aca="false">-F6*F9/100</f>
        <v>-4.48616484747446</v>
      </c>
      <c r="G10" s="0" t="n">
        <f aca="false">-G6*G9/100</f>
        <v>-4.48616484747446</v>
      </c>
      <c r="H10" s="0" t="n">
        <f aca="false">-H6*H9/100</f>
        <v>-4.53102649594921</v>
      </c>
      <c r="I10" s="0" t="n">
        <f aca="false">-I6*I9/100</f>
        <v>-4.5763367609087</v>
      </c>
      <c r="J10" s="0" t="n">
        <f aca="false">-J6*J9/100</f>
        <v>-4.62210012851779</v>
      </c>
      <c r="K10" s="0" t="n">
        <f aca="false">-K6*K9/100</f>
        <v>-4.66832112980297</v>
      </c>
      <c r="L10" s="0" t="n">
        <f aca="false">-L6*L9/100</f>
        <v>-4.715004341101</v>
      </c>
    </row>
    <row r="11" customFormat="false" ht="15" hidden="false" customHeight="false" outlineLevel="0" collapsed="false">
      <c r="A11" s="0" t="s">
        <v>116</v>
      </c>
      <c r="C11" s="0" t="n">
        <f aca="false">C8+C10+C24</f>
        <v>740.124676956</v>
      </c>
      <c r="D11" s="0" t="n">
        <f aca="false">D8+D10+D24</f>
        <v>573.84862680264</v>
      </c>
      <c r="E11" s="0" t="n">
        <f aca="false">E8+E10+E24</f>
        <v>443.851423678589</v>
      </c>
      <c r="F11" s="0" t="n">
        <f aca="false">F8+F10+F24</f>
        <v>403.34700310475</v>
      </c>
      <c r="G11" s="0" t="n">
        <f aca="false">G8+G10+G24</f>
        <v>403.34700310475</v>
      </c>
      <c r="H11" s="0" t="n">
        <f aca="false">H8+H10+H24</f>
        <v>407.380473135797</v>
      </c>
      <c r="I11" s="0" t="n">
        <f aca="false">I8+I10+I24</f>
        <v>411.454277867155</v>
      </c>
      <c r="J11" s="0" t="n">
        <f aca="false">J8+J10+J24</f>
        <v>415.568820645827</v>
      </c>
      <c r="K11" s="0" t="n">
        <f aca="false">K8+K10+K24</f>
        <v>419.724508852285</v>
      </c>
      <c r="L11" s="0" t="n">
        <f aca="false">L8+L10+L24</f>
        <v>423.921753940808</v>
      </c>
    </row>
    <row r="12" customFormat="false" ht="15" hidden="false" customHeight="false" outlineLevel="0" collapsed="false">
      <c r="A12" s="0" t="s">
        <v>117</v>
      </c>
      <c r="C12" s="4" t="n">
        <f aca="false">-C6*Assumptions!C17/100</f>
        <v>-356.5303896</v>
      </c>
      <c r="D12" s="4" t="n">
        <f aca="false">-D6*Assumptions!D17/100</f>
        <v>-350.372137416</v>
      </c>
      <c r="E12" s="4" t="n">
        <f aca="false">-E6*Assumptions!E17/100</f>
        <v>-336.35725191936</v>
      </c>
      <c r="F12" s="4" t="n">
        <f aca="false">-F6*Assumptions!F17/100</f>
        <v>-326.266534361779</v>
      </c>
      <c r="G12" s="4" t="n">
        <f aca="false">-G6*Assumptions!G17/100</f>
        <v>-326.266534361779</v>
      </c>
      <c r="H12" s="4" t="n">
        <f aca="false">-H6*Assumptions!H17/100</f>
        <v>-329.529199705397</v>
      </c>
      <c r="I12" s="4" t="n">
        <f aca="false">-I6*Assumptions!I17/100</f>
        <v>-332.824491702451</v>
      </c>
      <c r="J12" s="4" t="n">
        <f aca="false">-J6*Assumptions!J17/100</f>
        <v>-336.152736619476</v>
      </c>
      <c r="K12" s="4" t="n">
        <f aca="false">-K6*Assumptions!K17/100</f>
        <v>-339.51426398567</v>
      </c>
      <c r="L12" s="4" t="n">
        <f aca="false">-L6*Assumptions!L17/100</f>
        <v>-342.909406625527</v>
      </c>
    </row>
    <row r="13" customFormat="false" ht="15" hidden="false" customHeight="false" outlineLevel="0" collapsed="false">
      <c r="A13" s="0" t="s">
        <v>118</v>
      </c>
      <c r="C13" s="0" t="n">
        <f aca="false">C11+C12</f>
        <v>383.594287356</v>
      </c>
      <c r="D13" s="0" t="n">
        <f aca="false">D11+D12</f>
        <v>223.47648938664</v>
      </c>
      <c r="E13" s="0" t="n">
        <f aca="false">E11+E12</f>
        <v>107.494171759229</v>
      </c>
      <c r="F13" s="0" t="n">
        <f aca="false">F11+F12</f>
        <v>77.0804687429703</v>
      </c>
      <c r="G13" s="0" t="n">
        <f aca="false">G11+G12</f>
        <v>77.0804687429703</v>
      </c>
      <c r="H13" s="0" t="n">
        <f aca="false">H11+H12</f>
        <v>77.8512734304</v>
      </c>
      <c r="I13" s="0" t="n">
        <f aca="false">I11+I12</f>
        <v>78.629786164704</v>
      </c>
      <c r="J13" s="0" t="n">
        <f aca="false">J11+J12</f>
        <v>79.4160840263511</v>
      </c>
      <c r="K13" s="0" t="n">
        <f aca="false">K11+K12</f>
        <v>80.2102448666146</v>
      </c>
      <c r="L13" s="0" t="n">
        <f aca="false">L11+L12</f>
        <v>81.0123473152808</v>
      </c>
    </row>
    <row r="14" customFormat="false" ht="15" hidden="false" customHeight="false" outlineLevel="0" collapsed="false">
      <c r="A14" s="0" t="s">
        <v>104</v>
      </c>
      <c r="C14" s="4" t="n">
        <f aca="false">Assumptions!C19</f>
        <v>17</v>
      </c>
      <c r="D14" s="4" t="n">
        <f aca="false">Assumptions!D19</f>
        <v>22</v>
      </c>
      <c r="E14" s="4" t="n">
        <f aca="false">Assumptions!E19</f>
        <v>26</v>
      </c>
      <c r="F14" s="4" t="n">
        <f aca="false">Assumptions!F19</f>
        <v>28</v>
      </c>
      <c r="G14" s="4" t="n">
        <f aca="false">Assumptions!G19</f>
        <v>28</v>
      </c>
      <c r="H14" s="4" t="n">
        <f aca="false">Assumptions!H19</f>
        <v>28</v>
      </c>
      <c r="I14" s="4" t="n">
        <f aca="false">Assumptions!I19</f>
        <v>28</v>
      </c>
      <c r="J14" s="4" t="n">
        <f aca="false">Assumptions!J19</f>
        <v>28</v>
      </c>
      <c r="K14" s="4" t="n">
        <f aca="false">Assumptions!K19</f>
        <v>28</v>
      </c>
      <c r="L14" s="4" t="n">
        <f aca="false">Assumptions!L19</f>
        <v>28</v>
      </c>
    </row>
    <row r="15" customFormat="false" ht="15" hidden="false" customHeight="false" outlineLevel="0" collapsed="false">
      <c r="A15" s="0" t="s">
        <v>119</v>
      </c>
      <c r="C15" s="0" t="n">
        <f aca="false">C13-MAX(0,C13)*C14/100</f>
        <v>318.38325850548</v>
      </c>
      <c r="D15" s="0" t="n">
        <f aca="false">D13-MAX(0,D13)*D14/100</f>
        <v>174.311661721579</v>
      </c>
      <c r="E15" s="0" t="n">
        <f aca="false">E13-MAX(0,E13)*E14/100</f>
        <v>79.5456871018293</v>
      </c>
      <c r="F15" s="0" t="n">
        <f aca="false">F13-MAX(0,F13)*F14/100</f>
        <v>55.4979374949386</v>
      </c>
      <c r="G15" s="0" t="n">
        <f aca="false">G13-MAX(0,G13)*G14/100</f>
        <v>55.4979374949386</v>
      </c>
      <c r="H15" s="0" t="n">
        <f aca="false">H13-MAX(0,H13)*H14/100</f>
        <v>56.052916869888</v>
      </c>
      <c r="I15" s="0" t="n">
        <f aca="false">I13-MAX(0,I13)*I14/100</f>
        <v>56.6134460385869</v>
      </c>
      <c r="J15" s="0" t="n">
        <f aca="false">J13-MAX(0,J13)*J14/100</f>
        <v>57.1795804989728</v>
      </c>
      <c r="K15" s="0" t="n">
        <f aca="false">K13-MAX(0,K13)*K14/100</f>
        <v>57.7513763039625</v>
      </c>
      <c r="L15" s="0" t="n">
        <f aca="false">L13-MAX(0,L13)*L14/100</f>
        <v>58.3288900670022</v>
      </c>
    </row>
    <row r="16" customFormat="false" ht="15" hidden="false" customHeight="false" outlineLevel="0" collapsed="false">
      <c r="A16" s="0" t="s">
        <v>120</v>
      </c>
      <c r="C16" s="0" t="n">
        <f aca="false">-C12</f>
        <v>356.5303896</v>
      </c>
      <c r="D16" s="0" t="n">
        <f aca="false">-D12</f>
        <v>350.372137416</v>
      </c>
      <c r="E16" s="0" t="n">
        <f aca="false">-E12</f>
        <v>336.35725191936</v>
      </c>
      <c r="F16" s="0" t="n">
        <f aca="false">-F12</f>
        <v>326.266534361779</v>
      </c>
      <c r="G16" s="0" t="n">
        <f aca="false">-G12</f>
        <v>326.266534361779</v>
      </c>
      <c r="H16" s="0" t="n">
        <f aca="false">-H12</f>
        <v>329.529199705397</v>
      </c>
      <c r="I16" s="0" t="n">
        <f aca="false">-I12</f>
        <v>332.824491702451</v>
      </c>
      <c r="J16" s="0" t="n">
        <f aca="false">-J12</f>
        <v>336.152736619476</v>
      </c>
      <c r="K16" s="0" t="n">
        <f aca="false">-K12</f>
        <v>339.51426398567</v>
      </c>
      <c r="L16" s="0" t="n">
        <f aca="false">-L12</f>
        <v>342.909406625527</v>
      </c>
    </row>
    <row r="17" customFormat="false" ht="15" hidden="false" customHeight="false" outlineLevel="0" collapsed="false">
      <c r="A17" s="0" t="s">
        <v>121</v>
      </c>
      <c r="C17" s="4" t="n">
        <f aca="false">-C6*Assumptions!C18/100</f>
        <v>-307.9126092</v>
      </c>
      <c r="D17" s="4" t="n">
        <f aca="false">-D6*Assumptions!D18/100</f>
        <v>-289.437852648</v>
      </c>
      <c r="E17" s="4" t="n">
        <f aca="false">-E6*Assumptions!E18/100</f>
        <v>-252.26793893952</v>
      </c>
      <c r="F17" s="4" t="n">
        <f aca="false">-F6*Assumptions!F18/100</f>
        <v>-217.511022907853</v>
      </c>
      <c r="G17" s="4" t="n">
        <f aca="false">-G6*Assumptions!G18/100</f>
        <v>-203.916583976112</v>
      </c>
      <c r="H17" s="4" t="n">
        <f aca="false">-H6*Assumptions!H18/100</f>
        <v>-205.955749815873</v>
      </c>
      <c r="I17" s="4" t="n">
        <f aca="false">-I6*Assumptions!I18/100</f>
        <v>-208.015307314032</v>
      </c>
      <c r="J17" s="4" t="n">
        <f aca="false">-J6*Assumptions!J18/100</f>
        <v>-210.095460387172</v>
      </c>
      <c r="K17" s="4" t="n">
        <f aca="false">-K6*Assumptions!K18/100</f>
        <v>-212.196414991044</v>
      </c>
      <c r="L17" s="4" t="n">
        <f aca="false">-L6*Assumptions!L18/100</f>
        <v>-214.318379140954</v>
      </c>
    </row>
    <row r="18" customFormat="false" ht="15" hidden="false" customHeight="false" outlineLevel="0" collapsed="false">
      <c r="A18" s="0" t="s">
        <v>122</v>
      </c>
      <c r="C18" s="4" t="n">
        <f aca="false">(C6-B6)*Assumptions!$B$23/100</f>
        <v>2.6458656</v>
      </c>
      <c r="D18" s="4" t="n">
        <f aca="false">(D6-C6)*Assumptions!$B$23/100</f>
        <v>7.778844864</v>
      </c>
      <c r="E18" s="4" t="n">
        <f aca="false">(E6-D6)*Assumptions!$B$23/100</f>
        <v>9.74948556288</v>
      </c>
      <c r="F18" s="4" t="n">
        <f aca="false">(F6-E6)*Assumptions!$B$23/100</f>
        <v>3.3635725191936</v>
      </c>
      <c r="G18" s="4" t="n">
        <f aca="false">(G6-F6)*Assumptions!$B$23/100</f>
        <v>-0</v>
      </c>
      <c r="H18" s="4" t="n">
        <f aca="false">(H6-G6)*Assumptions!$B$23/100</f>
        <v>-1.08755511453926</v>
      </c>
      <c r="I18" s="4" t="n">
        <f aca="false">(I6-H6)*Assumptions!$B$23/100</f>
        <v>-1.09843066568466</v>
      </c>
      <c r="J18" s="4" t="n">
        <f aca="false">(J6-I6)*Assumptions!$B$23/100</f>
        <v>-1.10941497234151</v>
      </c>
      <c r="K18" s="4" t="n">
        <f aca="false">(K6-J6)*Assumptions!$B$23/100</f>
        <v>-1.12050912206492</v>
      </c>
      <c r="L18" s="4" t="n">
        <f aca="false">(L6-K6)*Assumptions!$B$23/100</f>
        <v>-1.13171421328558</v>
      </c>
    </row>
    <row r="19" customFormat="false" ht="15" hidden="false" customHeight="false" outlineLevel="0" collapsed="false">
      <c r="A19" s="0" t="s">
        <v>123</v>
      </c>
      <c r="C19" s="0" t="n">
        <f aca="false">C15+C16+C17+C18</f>
        <v>369.64690450548</v>
      </c>
      <c r="D19" s="0" t="n">
        <f aca="false">D15+D16+D17+D18</f>
        <v>243.024791353579</v>
      </c>
      <c r="E19" s="0" t="n">
        <f aca="false">E15+E16+E17+E18</f>
        <v>173.384485644549</v>
      </c>
      <c r="F19" s="0" t="n">
        <f aca="false">F15+F16+F17+F18</f>
        <v>167.617021468059</v>
      </c>
      <c r="G19" s="0" t="n">
        <f aca="false">G15+G16+G17+G18</f>
        <v>177.847887880606</v>
      </c>
      <c r="H19" s="0" t="n">
        <f aca="false">H15+H16+H17+H18</f>
        <v>178.538811644873</v>
      </c>
      <c r="I19" s="0" t="n">
        <f aca="false">I15+I16+I17+I18</f>
        <v>180.324199761321</v>
      </c>
      <c r="J19" s="0" t="n">
        <f aca="false">J15+J16+J17+J18</f>
        <v>182.127441758935</v>
      </c>
      <c r="K19" s="0" t="n">
        <f aca="false">K15+K16+K17+K18</f>
        <v>183.948716176524</v>
      </c>
      <c r="L19" s="0" t="n">
        <f aca="false">L15+L16+L17+L18</f>
        <v>185.788203338289</v>
      </c>
    </row>
    <row r="20" customFormat="false" ht="15" hidden="false" customHeight="false" outlineLevel="0" collapsed="false">
      <c r="A20" s="0" t="s">
        <v>124</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125</v>
      </c>
      <c r="C21" s="0" t="n">
        <f aca="false">C19*C20</f>
        <v>333.015229284216</v>
      </c>
      <c r="D21" s="0" t="n">
        <f aca="false">D19*D20</f>
        <v>197.244372497021</v>
      </c>
      <c r="E21" s="0" t="n">
        <f aca="false">E19*E20</f>
        <v>126.777241554593</v>
      </c>
      <c r="F21" s="0" t="n">
        <f aca="false">F19*F20</f>
        <v>110.414523834938</v>
      </c>
      <c r="G21" s="0" t="n">
        <f aca="false">G19*G20</f>
        <v>105.544065255155</v>
      </c>
      <c r="H21" s="0" t="n">
        <f aca="false">H19*H20</f>
        <v>95.454139532114</v>
      </c>
      <c r="I21" s="0" t="n">
        <f aca="false">I19*I20</f>
        <v>86.8546675021938</v>
      </c>
      <c r="J21" s="0" t="n">
        <f aca="false">J19*J20</f>
        <v>79.0299226821763</v>
      </c>
      <c r="K21" s="0" t="n">
        <f aca="false">K19*K20</f>
        <v>71.9101098279262</v>
      </c>
      <c r="L21" s="0" t="n">
        <f aca="false">L19*L20</f>
        <v>65.43172155514</v>
      </c>
    </row>
    <row r="23" customFormat="false" ht="15" hidden="false" customHeight="false" outlineLevel="0" collapsed="false">
      <c r="A23" s="0" t="s">
        <v>101</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Assumptions!$B$20</f>
        <v>11</v>
      </c>
    </row>
    <row r="28" customFormat="false" ht="15" hidden="false" customHeight="false" outlineLevel="0" collapsed="false">
      <c r="A28" s="0" t="s">
        <v>106</v>
      </c>
      <c r="B28" s="4" t="n">
        <f aca="false">Assumptions!$B$21</f>
        <v>2</v>
      </c>
    </row>
    <row r="29" customFormat="false" ht="15" hidden="false" customHeight="false" outlineLevel="0" collapsed="false">
      <c r="A29" s="0" t="s">
        <v>107</v>
      </c>
      <c r="B29" s="4" t="n">
        <f aca="false">Assumptions!$B$22</f>
        <v>12</v>
      </c>
    </row>
    <row r="30" customFormat="false" ht="15" hidden="false" customHeight="false" outlineLevel="0" collapsed="false">
      <c r="A30" s="0" t="s">
        <v>128</v>
      </c>
      <c r="B30" s="0" t="n">
        <f aca="false">SUM(C21:L21)</f>
        <v>1271.67599352547</v>
      </c>
    </row>
    <row r="31" customFormat="false" ht="15" hidden="false" customHeight="false" outlineLevel="0" collapsed="false">
      <c r="A31" s="0" t="s">
        <v>129</v>
      </c>
      <c r="B31" s="0" t="n">
        <f aca="false">L19</f>
        <v>185.788203338289</v>
      </c>
    </row>
    <row r="32" customFormat="false" ht="15" hidden="false" customHeight="false" outlineLevel="0" collapsed="false">
      <c r="A32" s="0" t="s">
        <v>130</v>
      </c>
      <c r="B32" s="0" t="n">
        <f aca="false">IF(B27&gt;B28,B31*(1+B28/100)/((B27-B28)/100),B31*B29)</f>
        <v>2105.59963783394</v>
      </c>
    </row>
    <row r="33" customFormat="false" ht="15" hidden="false" customHeight="false" outlineLevel="0" collapsed="false">
      <c r="A33" s="0" t="s">
        <v>131</v>
      </c>
      <c r="B33" s="0" t="n">
        <f aca="false">B31*B29</f>
        <v>2229.45844005947</v>
      </c>
    </row>
    <row r="34" customFormat="false" ht="15" hidden="false" customHeight="false" outlineLevel="0" collapsed="false">
      <c r="A34" s="0" t="s">
        <v>132</v>
      </c>
      <c r="B34" s="0" t="n">
        <f aca="false">MAX(0,MIN(B32,B33))</f>
        <v>2105.59963783394</v>
      </c>
    </row>
    <row r="35" customFormat="false" ht="15" hidden="false" customHeight="false" outlineLevel="0" collapsed="false">
      <c r="A35" s="0" t="s">
        <v>133</v>
      </c>
      <c r="B35" s="0" t="n">
        <f aca="false">B34/(1+B27/100)^L4</f>
        <v>741.559510958254</v>
      </c>
    </row>
    <row r="36" customFormat="false" ht="15" hidden="false" customHeight="false" outlineLevel="0" collapsed="false">
      <c r="A36" s="0" t="s">
        <v>134</v>
      </c>
      <c r="B36" s="0" t="n">
        <f aca="false">B30+B35</f>
        <v>2013.23550448373</v>
      </c>
    </row>
    <row r="37" customFormat="false" ht="15" hidden="false" customHeight="false" outlineLevel="0" collapsed="false">
      <c r="A37" s="0" t="s">
        <v>135</v>
      </c>
      <c r="B37" s="0" t="n">
        <f aca="false">B36+Assumptions!$B$5-Assumptions!$B$4</f>
        <v>2329.43250448373</v>
      </c>
    </row>
    <row r="38" customFormat="false" ht="15" hidden="false" customHeight="false" outlineLevel="0" collapsed="false">
      <c r="A38" s="0" t="s">
        <v>136</v>
      </c>
      <c r="B38" s="0" t="n">
        <f aca="false">B37/Assumptions!$B$3*Assumptions!$B$10</f>
        <v>7.12848589992583</v>
      </c>
    </row>
    <row r="39" customFormat="false" ht="15" hidden="false" customHeight="false" outlineLevel="0" collapsed="false">
      <c r="A39" s="0" t="s">
        <v>137</v>
      </c>
      <c r="B39" s="4" t="n">
        <f aca="false">B38/Assumptions!$B$2-1</f>
        <v>-0.682402053912862</v>
      </c>
    </row>
    <row r="41" customFormat="false" ht="15" hidden="false" customHeight="false" outlineLevel="0" collapsed="false">
      <c r="A41" s="0" t="s">
        <v>138</v>
      </c>
      <c r="B41" s="0" t="n">
        <f aca="false">SUMPRODUCT(-C10:L10/(1+$B$27/100)^C4:L4)</f>
        <v>28.0151284109402</v>
      </c>
    </row>
    <row r="42" customFormat="false" ht="15" hidden="false" customHeight="false" outlineLevel="0" collapsed="false">
      <c r="A42" s="0" t="s">
        <v>139</v>
      </c>
      <c r="B42" s="0" t="n">
        <f aca="false">IF(B27&gt;B28,-L10*(1+B28/100)/((B27-B28)/100),-L10*20)/(1+B27/100)^L4</f>
        <v>18.81958192462</v>
      </c>
    </row>
    <row r="43" customFormat="false" ht="15" hidden="false" customHeight="false" outlineLevel="0" collapsed="false">
      <c r="A43" s="0" t="s">
        <v>140</v>
      </c>
      <c r="B43" s="0" t="n">
        <f aca="false">(B37+B41+B42)/Assumptions!$B$3*Assumptions!$B$10</f>
        <v>7.2718086068991</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1457.72282619273</v>
      </c>
    </row>
    <row r="47" customFormat="false" ht="15" hidden="false" customHeight="false" outlineLevel="0" collapsed="false">
      <c r="A47" s="0" t="s">
        <v>142</v>
      </c>
      <c r="B47" s="0" t="n">
        <f aca="false">(SUMPRODUCT(C19:L19/(1+B45/100)^C4:L4)+B46/(1+B45/100)^L4+Assumptions!$B$5-Assumptions!$B$4)/Assumptions!$B$3*Assumptions!$B$10</f>
        <v>5.45540778439457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1</v>
      </c>
      <c r="D5" s="4" t="n">
        <f aca="false">Assumptions!D27</f>
        <v>-2</v>
      </c>
      <c r="E5" s="4" t="n">
        <f aca="false">Assumptions!E27</f>
        <v>-2</v>
      </c>
      <c r="F5" s="4" t="n">
        <f aca="false">Assumptions!F27</f>
        <v>0</v>
      </c>
      <c r="G5" s="4" t="n">
        <f aca="false">Assumptions!G27</f>
        <v>1</v>
      </c>
      <c r="H5" s="4" t="n">
        <f aca="false">Assumptions!H27</f>
        <v>2</v>
      </c>
      <c r="I5" s="4" t="n">
        <f aca="false">Assumptions!I27</f>
        <v>2</v>
      </c>
      <c r="J5" s="4" t="n">
        <f aca="false">Assumptions!J27</f>
        <v>2</v>
      </c>
      <c r="K5" s="4" t="n">
        <f aca="false">Assumptions!K27</f>
        <v>2</v>
      </c>
      <c r="L5" s="4" t="n">
        <f aca="false">Assumptions!L27</f>
        <v>2</v>
      </c>
    </row>
    <row r="6" customFormat="false" ht="15" hidden="false" customHeight="false" outlineLevel="0" collapsed="false">
      <c r="A6" s="0" t="s">
        <v>38</v>
      </c>
      <c r="B6" s="3" t="n">
        <v>1653.666</v>
      </c>
      <c r="C6" s="0" t="n">
        <f aca="false">B6*(1+C5/100)</f>
        <v>1670.20266</v>
      </c>
      <c r="D6" s="0" t="n">
        <f aca="false">C6*(1+D5/100)</f>
        <v>1636.7986068</v>
      </c>
      <c r="E6" s="0" t="n">
        <f aca="false">D6*(1+E5/100)</f>
        <v>1604.062634664</v>
      </c>
      <c r="F6" s="0" t="n">
        <f aca="false">E6*(1+F5/100)</f>
        <v>1604.062634664</v>
      </c>
      <c r="G6" s="0" t="n">
        <f aca="false">F6*(1+G5/100)</f>
        <v>1620.10326101064</v>
      </c>
      <c r="H6" s="0" t="n">
        <f aca="false">G6*(1+H5/100)</f>
        <v>1652.50532623085</v>
      </c>
      <c r="I6" s="0" t="n">
        <f aca="false">H6*(1+I5/100)</f>
        <v>1685.55543275547</v>
      </c>
      <c r="J6" s="0" t="n">
        <f aca="false">I6*(1+J5/100)</f>
        <v>1719.26654141058</v>
      </c>
      <c r="K6" s="0" t="n">
        <f aca="false">J6*(1+K5/100)</f>
        <v>1753.65187223879</v>
      </c>
      <c r="L6" s="0" t="n">
        <f aca="false">K6*(1+L5/100)</f>
        <v>1788.72490968357</v>
      </c>
    </row>
    <row r="7" customFormat="false" ht="15" hidden="false" customHeight="false" outlineLevel="0" collapsed="false">
      <c r="A7" s="0" t="s">
        <v>99</v>
      </c>
      <c r="C7" s="4" t="n">
        <f aca="false">Assumptions!C28</f>
        <v>50</v>
      </c>
      <c r="D7" s="4" t="n">
        <f aca="false">Assumptions!D28</f>
        <v>46</v>
      </c>
      <c r="E7" s="4" t="n">
        <f aca="false">Assumptions!E28</f>
        <v>43</v>
      </c>
      <c r="F7" s="4" t="n">
        <f aca="false">Assumptions!F28</f>
        <v>41</v>
      </c>
      <c r="G7" s="4" t="n">
        <f aca="false">Assumptions!G28</f>
        <v>40</v>
      </c>
      <c r="H7" s="4" t="n">
        <f aca="false">Assumptions!H28</f>
        <v>40</v>
      </c>
      <c r="I7" s="4" t="n">
        <f aca="false">Assumptions!I28</f>
        <v>40</v>
      </c>
      <c r="J7" s="4" t="n">
        <f aca="false">Assumptions!J28</f>
        <v>40</v>
      </c>
      <c r="K7" s="4" t="n">
        <f aca="false">Assumptions!K28</f>
        <v>40</v>
      </c>
      <c r="L7" s="4" t="n">
        <f aca="false">Assumptions!L28</f>
        <v>40</v>
      </c>
    </row>
    <row r="8" customFormat="false" ht="15" hidden="false" customHeight="false" outlineLevel="0" collapsed="false">
      <c r="A8" s="0" t="s">
        <v>44</v>
      </c>
      <c r="C8" s="0" t="n">
        <f aca="false">C6*C7/100</f>
        <v>835.10133</v>
      </c>
      <c r="D8" s="0" t="n">
        <f aca="false">D6*D7/100</f>
        <v>752.927359128</v>
      </c>
      <c r="E8" s="0" t="n">
        <f aca="false">E6*E7/100</f>
        <v>689.74693290552</v>
      </c>
      <c r="F8" s="0" t="n">
        <f aca="false">F6*F7/100</f>
        <v>657.66568021224</v>
      </c>
      <c r="G8" s="0" t="n">
        <f aca="false">G6*G7/100</f>
        <v>648.041304404256</v>
      </c>
      <c r="H8" s="0" t="n">
        <f aca="false">H6*H7/100</f>
        <v>661.002130492341</v>
      </c>
      <c r="I8" s="0" t="n">
        <f aca="false">I6*I7/100</f>
        <v>674.222173102188</v>
      </c>
      <c r="J8" s="0" t="n">
        <f aca="false">J6*J7/100</f>
        <v>687.706616564232</v>
      </c>
      <c r="K8" s="0" t="n">
        <f aca="false">K6*K7/100</f>
        <v>701.460748895516</v>
      </c>
      <c r="L8" s="0" t="n">
        <f aca="false">L6*L7/100</f>
        <v>715.489963873427</v>
      </c>
    </row>
    <row r="9" customFormat="false" ht="15" hidden="false" customHeight="false" outlineLevel="0" collapsed="false">
      <c r="A9" s="0" t="s">
        <v>100</v>
      </c>
      <c r="C9" s="4" t="n">
        <f aca="false">Assumptions!C29</f>
        <v>0.33</v>
      </c>
      <c r="D9" s="4" t="n">
        <f aca="false">Assumptions!D29</f>
        <v>0.33</v>
      </c>
      <c r="E9" s="4" t="n">
        <f aca="false">Assumptions!E29</f>
        <v>0.33</v>
      </c>
      <c r="F9" s="4" t="n">
        <f aca="false">Assumptions!F29</f>
        <v>0.33</v>
      </c>
      <c r="G9" s="4" t="n">
        <f aca="false">Assumptions!G29</f>
        <v>0.33</v>
      </c>
      <c r="H9" s="4" t="n">
        <f aca="false">Assumptions!H29</f>
        <v>0.33</v>
      </c>
      <c r="I9" s="4" t="n">
        <f aca="false">Assumptions!I29</f>
        <v>0.33</v>
      </c>
      <c r="J9" s="4" t="n">
        <f aca="false">Assumptions!J29</f>
        <v>0.33</v>
      </c>
      <c r="K9" s="4" t="n">
        <f aca="false">Assumptions!K29</f>
        <v>0.33</v>
      </c>
      <c r="L9" s="4" t="n">
        <f aca="false">Assumptions!L29</f>
        <v>0.33</v>
      </c>
    </row>
    <row r="10" customFormat="false" ht="15" hidden="false" customHeight="false" outlineLevel="0" collapsed="false">
      <c r="A10" s="0" t="s">
        <v>115</v>
      </c>
      <c r="C10" s="0" t="n">
        <f aca="false">-C6*C9/100</f>
        <v>-5.511668778</v>
      </c>
      <c r="D10" s="0" t="n">
        <f aca="false">-D6*D9/100</f>
        <v>-5.40143540244</v>
      </c>
      <c r="E10" s="0" t="n">
        <f aca="false">-E6*E9/100</f>
        <v>-5.2934066943912</v>
      </c>
      <c r="F10" s="0" t="n">
        <f aca="false">-F6*F9/100</f>
        <v>-5.2934066943912</v>
      </c>
      <c r="G10" s="0" t="n">
        <f aca="false">-G6*G9/100</f>
        <v>-5.34634076133511</v>
      </c>
      <c r="H10" s="0" t="n">
        <f aca="false">-H6*H9/100</f>
        <v>-5.45326757656181</v>
      </c>
      <c r="I10" s="0" t="n">
        <f aca="false">-I6*I9/100</f>
        <v>-5.56233292809305</v>
      </c>
      <c r="J10" s="0" t="n">
        <f aca="false">-J6*J9/100</f>
        <v>-5.67357958665491</v>
      </c>
      <c r="K10" s="0" t="n">
        <f aca="false">-K6*K9/100</f>
        <v>-5.78705117838801</v>
      </c>
      <c r="L10" s="0" t="n">
        <f aca="false">-L6*L9/100</f>
        <v>-5.90279220195577</v>
      </c>
    </row>
    <row r="11" customFormat="false" ht="15" hidden="false" customHeight="false" outlineLevel="0" collapsed="false">
      <c r="A11" s="0" t="s">
        <v>116</v>
      </c>
      <c r="C11" s="0" t="n">
        <f aca="false">C8+C10+C24</f>
        <v>829.589661222</v>
      </c>
      <c r="D11" s="0" t="n">
        <f aca="false">D8+D10+D24</f>
        <v>747.52592372556</v>
      </c>
      <c r="E11" s="0" t="n">
        <f aca="false">E8+E10+E24</f>
        <v>684.453526211129</v>
      </c>
      <c r="F11" s="0" t="n">
        <f aca="false">F8+F10+F24</f>
        <v>652.372273517849</v>
      </c>
      <c r="G11" s="0" t="n">
        <f aca="false">G8+G10+G24</f>
        <v>642.694963642921</v>
      </c>
      <c r="H11" s="0" t="n">
        <f aca="false">H8+H10+H24</f>
        <v>655.548862915779</v>
      </c>
      <c r="I11" s="0" t="n">
        <f aca="false">I8+I10+I24</f>
        <v>668.659840174095</v>
      </c>
      <c r="J11" s="0" t="n">
        <f aca="false">J8+J10+J24</f>
        <v>682.033036977577</v>
      </c>
      <c r="K11" s="0" t="n">
        <f aca="false">K8+K10+K24</f>
        <v>695.673697717128</v>
      </c>
      <c r="L11" s="0" t="n">
        <f aca="false">L8+L10+L24</f>
        <v>709.587171671471</v>
      </c>
    </row>
    <row r="12" customFormat="false" ht="15" hidden="false" customHeight="false" outlineLevel="0" collapsed="false">
      <c r="A12" s="0" t="s">
        <v>117</v>
      </c>
      <c r="C12" s="4" t="n">
        <f aca="false">-C6*Assumptions!C31/100</f>
        <v>-350.7425586</v>
      </c>
      <c r="D12" s="4" t="n">
        <f aca="false">-D6*Assumptions!D31/100</f>
        <v>-351.911700462</v>
      </c>
      <c r="E12" s="4" t="n">
        <f aca="false">-E6*Assumptions!E31/100</f>
        <v>-352.89377962608</v>
      </c>
      <c r="F12" s="4" t="n">
        <f aca="false">-F6*Assumptions!F31/100</f>
        <v>-352.89377962608</v>
      </c>
      <c r="G12" s="4" t="n">
        <f aca="false">-G6*Assumptions!G31/100</f>
        <v>-356.422717422341</v>
      </c>
      <c r="H12" s="4" t="n">
        <f aca="false">-H6*Assumptions!H31/100</f>
        <v>-363.551171770788</v>
      </c>
      <c r="I12" s="4" t="n">
        <f aca="false">-I6*Assumptions!I31/100</f>
        <v>-370.822195206203</v>
      </c>
      <c r="J12" s="4" t="n">
        <f aca="false">-J6*Assumptions!J31/100</f>
        <v>-378.238639110327</v>
      </c>
      <c r="K12" s="4" t="n">
        <f aca="false">-K6*Assumptions!K31/100</f>
        <v>-385.803411892534</v>
      </c>
      <c r="L12" s="4" t="n">
        <f aca="false">-L6*Assumptions!L31/100</f>
        <v>-393.519480130385</v>
      </c>
    </row>
    <row r="13" customFormat="false" ht="15" hidden="false" customHeight="false" outlineLevel="0" collapsed="false">
      <c r="A13" s="0" t="s">
        <v>118</v>
      </c>
      <c r="C13" s="0" t="n">
        <f aca="false">C11+C12</f>
        <v>478.847102622</v>
      </c>
      <c r="D13" s="0" t="n">
        <f aca="false">D11+D12</f>
        <v>395.61422326356</v>
      </c>
      <c r="E13" s="0" t="n">
        <f aca="false">E11+E12</f>
        <v>331.559746585049</v>
      </c>
      <c r="F13" s="0" t="n">
        <f aca="false">F11+F12</f>
        <v>299.478493891769</v>
      </c>
      <c r="G13" s="0" t="n">
        <f aca="false">G11+G12</f>
        <v>286.27224622058</v>
      </c>
      <c r="H13" s="0" t="n">
        <f aca="false">H11+H12</f>
        <v>291.997691144992</v>
      </c>
      <c r="I13" s="0" t="n">
        <f aca="false">I11+I12</f>
        <v>297.837644967891</v>
      </c>
      <c r="J13" s="0" t="n">
        <f aca="false">J11+J12</f>
        <v>303.794397867249</v>
      </c>
      <c r="K13" s="0" t="n">
        <f aca="false">K11+K12</f>
        <v>309.870285824594</v>
      </c>
      <c r="L13" s="0" t="n">
        <f aca="false">L11+L12</f>
        <v>316.067691541086</v>
      </c>
    </row>
    <row r="14" customFormat="false" ht="15" hidden="false" customHeight="false" outlineLevel="0" collapsed="false">
      <c r="A14" s="0" t="s">
        <v>104</v>
      </c>
      <c r="C14" s="4" t="n">
        <f aca="false">Assumptions!C33</f>
        <v>17</v>
      </c>
      <c r="D14" s="4" t="n">
        <f aca="false">Assumptions!D33</f>
        <v>20</v>
      </c>
      <c r="E14" s="4" t="n">
        <f aca="false">Assumptions!E33</f>
        <v>23</v>
      </c>
      <c r="F14" s="4" t="n">
        <f aca="false">Assumptions!F33</f>
        <v>26</v>
      </c>
      <c r="G14" s="4" t="n">
        <f aca="false">Assumptions!G33</f>
        <v>28</v>
      </c>
      <c r="H14" s="4" t="n">
        <f aca="false">Assumptions!H33</f>
        <v>28</v>
      </c>
      <c r="I14" s="4" t="n">
        <f aca="false">Assumptions!I33</f>
        <v>28</v>
      </c>
      <c r="J14" s="4" t="n">
        <f aca="false">Assumptions!J33</f>
        <v>28</v>
      </c>
      <c r="K14" s="4" t="n">
        <f aca="false">Assumptions!K33</f>
        <v>28</v>
      </c>
      <c r="L14" s="4" t="n">
        <f aca="false">Assumptions!L33</f>
        <v>28</v>
      </c>
    </row>
    <row r="15" customFormat="false" ht="15" hidden="false" customHeight="false" outlineLevel="0" collapsed="false">
      <c r="A15" s="0" t="s">
        <v>119</v>
      </c>
      <c r="C15" s="0" t="n">
        <f aca="false">C13-MAX(0,C13)*C14/100</f>
        <v>397.44309517626</v>
      </c>
      <c r="D15" s="0" t="n">
        <f aca="false">D13-MAX(0,D13)*D14/100</f>
        <v>316.491378610848</v>
      </c>
      <c r="E15" s="0" t="n">
        <f aca="false">E13-MAX(0,E13)*E14/100</f>
        <v>255.301004870487</v>
      </c>
      <c r="F15" s="0" t="n">
        <f aca="false">F13-MAX(0,F13)*F14/100</f>
        <v>221.614085479909</v>
      </c>
      <c r="G15" s="0" t="n">
        <f aca="false">G13-MAX(0,G13)*G14/100</f>
        <v>206.116017278818</v>
      </c>
      <c r="H15" s="0" t="n">
        <f aca="false">H13-MAX(0,H13)*H14/100</f>
        <v>210.238337624394</v>
      </c>
      <c r="I15" s="0" t="n">
        <f aca="false">I13-MAX(0,I13)*I14/100</f>
        <v>214.443104376882</v>
      </c>
      <c r="J15" s="0" t="n">
        <f aca="false">J13-MAX(0,J13)*J14/100</f>
        <v>218.73196646442</v>
      </c>
      <c r="K15" s="0" t="n">
        <f aca="false">K13-MAX(0,K13)*K14/100</f>
        <v>223.106605793708</v>
      </c>
      <c r="L15" s="0" t="n">
        <f aca="false">L13-MAX(0,L13)*L14/100</f>
        <v>227.568737909582</v>
      </c>
    </row>
    <row r="16" customFormat="false" ht="15" hidden="false" customHeight="false" outlineLevel="0" collapsed="false">
      <c r="A16" s="0" t="s">
        <v>120</v>
      </c>
      <c r="C16" s="0" t="n">
        <f aca="false">-C12</f>
        <v>350.7425586</v>
      </c>
      <c r="D16" s="0" t="n">
        <f aca="false">-D12</f>
        <v>351.911700462</v>
      </c>
      <c r="E16" s="0" t="n">
        <f aca="false">-E12</f>
        <v>352.89377962608</v>
      </c>
      <c r="F16" s="0" t="n">
        <f aca="false">-F12</f>
        <v>352.89377962608</v>
      </c>
      <c r="G16" s="0" t="n">
        <f aca="false">-G12</f>
        <v>356.422717422341</v>
      </c>
      <c r="H16" s="0" t="n">
        <f aca="false">-H12</f>
        <v>363.551171770788</v>
      </c>
      <c r="I16" s="0" t="n">
        <f aca="false">-I12</f>
        <v>370.822195206203</v>
      </c>
      <c r="J16" s="0" t="n">
        <f aca="false">-J12</f>
        <v>378.238639110327</v>
      </c>
      <c r="K16" s="0" t="n">
        <f aca="false">-K12</f>
        <v>385.803411892534</v>
      </c>
      <c r="L16" s="0" t="n">
        <f aca="false">-L12</f>
        <v>393.519480130385</v>
      </c>
    </row>
    <row r="17" customFormat="false" ht="15" hidden="false" customHeight="false" outlineLevel="0" collapsed="false">
      <c r="A17" s="0" t="s">
        <v>121</v>
      </c>
      <c r="C17" s="4" t="n">
        <f aca="false">-C6*Assumptions!C32/100</f>
        <v>-300.6364788</v>
      </c>
      <c r="D17" s="4" t="n">
        <f aca="false">-D6*Assumptions!D32/100</f>
        <v>-286.43975619</v>
      </c>
      <c r="E17" s="4" t="n">
        <f aca="false">-E6*Assumptions!E32/100</f>
        <v>-264.67033471956</v>
      </c>
      <c r="F17" s="4" t="n">
        <f aca="false">-F6*Assumptions!F32/100</f>
        <v>-248.62970837292</v>
      </c>
      <c r="G17" s="4" t="n">
        <f aca="false">-G6*Assumptions!G32/100</f>
        <v>-243.015489151596</v>
      </c>
      <c r="H17" s="4" t="n">
        <f aca="false">-H6*Assumptions!H32/100</f>
        <v>-247.875798934628</v>
      </c>
      <c r="I17" s="4" t="n">
        <f aca="false">-I6*Assumptions!I32/100</f>
        <v>-252.83331491332</v>
      </c>
      <c r="J17" s="4" t="n">
        <f aca="false">-J6*Assumptions!J32/100</f>
        <v>-257.889981211587</v>
      </c>
      <c r="K17" s="4" t="n">
        <f aca="false">-K6*Assumptions!K32/100</f>
        <v>-263.047780835819</v>
      </c>
      <c r="L17" s="4" t="n">
        <f aca="false">-L6*Assumptions!L32/100</f>
        <v>-268.308736452535</v>
      </c>
    </row>
    <row r="18" customFormat="false" ht="15" hidden="false" customHeight="false" outlineLevel="0" collapsed="false">
      <c r="A18" s="0" t="s">
        <v>122</v>
      </c>
      <c r="C18" s="4" t="n">
        <f aca="false">(C6-B6)*Assumptions!$B$37/100</f>
        <v>-1.3229328</v>
      </c>
      <c r="D18" s="4" t="n">
        <f aca="false">(D6-C6)*Assumptions!$B$37/100</f>
        <v>2.67232425600001</v>
      </c>
      <c r="E18" s="4" t="n">
        <f aca="false">(E6-D6)*Assumptions!$B$37/100</f>
        <v>2.61887777088001</v>
      </c>
      <c r="F18" s="4" t="n">
        <f aca="false">(F6-E6)*Assumptions!$B$37/100</f>
        <v>-0</v>
      </c>
      <c r="G18" s="4" t="n">
        <f aca="false">(G6-F6)*Assumptions!$B$37/100</f>
        <v>-1.2832501077312</v>
      </c>
      <c r="H18" s="4" t="n">
        <f aca="false">(H6-G6)*Assumptions!$B$37/100</f>
        <v>-2.59216521761702</v>
      </c>
      <c r="I18" s="4" t="n">
        <f aca="false">(I6-H6)*Assumptions!$B$37/100</f>
        <v>-2.64400852196937</v>
      </c>
      <c r="J18" s="4" t="n">
        <f aca="false">(J6-I6)*Assumptions!$B$37/100</f>
        <v>-2.69688869240876</v>
      </c>
      <c r="K18" s="4" t="n">
        <f aca="false">(K6-J6)*Assumptions!$B$37/100</f>
        <v>-2.75082646625693</v>
      </c>
      <c r="L18" s="4" t="n">
        <f aca="false">(L6-K6)*Assumptions!$B$37/100</f>
        <v>-2.80584299558206</v>
      </c>
    </row>
    <row r="19" customFormat="false" ht="15" hidden="false" customHeight="false" outlineLevel="0" collapsed="false">
      <c r="A19" s="0" t="s">
        <v>123</v>
      </c>
      <c r="C19" s="0" t="n">
        <f aca="false">C15+C16+C17+C18</f>
        <v>446.22624217626</v>
      </c>
      <c r="D19" s="0" t="n">
        <f aca="false">D15+D16+D17+D18</f>
        <v>384.635647138848</v>
      </c>
      <c r="E19" s="0" t="n">
        <f aca="false">E15+E16+E17+E18</f>
        <v>346.143327547888</v>
      </c>
      <c r="F19" s="0" t="n">
        <f aca="false">F15+F16+F17+F18</f>
        <v>325.878156733069</v>
      </c>
      <c r="G19" s="0" t="n">
        <f aca="false">G15+G16+G17+G18</f>
        <v>318.239995441831</v>
      </c>
      <c r="H19" s="0" t="n">
        <f aca="false">H15+H16+H17+H18</f>
        <v>323.321545242937</v>
      </c>
      <c r="I19" s="0" t="n">
        <f aca="false">I15+I16+I17+I18</f>
        <v>329.787976147795</v>
      </c>
      <c r="J19" s="0" t="n">
        <f aca="false">J15+J16+J17+J18</f>
        <v>336.383735670751</v>
      </c>
      <c r="K19" s="0" t="n">
        <f aca="false">K15+K16+K17+K18</f>
        <v>343.111410384166</v>
      </c>
      <c r="L19" s="0" t="n">
        <f aca="false">L15+L16+L17+L18</f>
        <v>349.97363859185</v>
      </c>
    </row>
    <row r="20" customFormat="false" ht="15" hidden="false" customHeight="false" outlineLevel="0" collapsed="false">
      <c r="A20" s="0" t="s">
        <v>124</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125</v>
      </c>
      <c r="C21" s="0" t="n">
        <f aca="false">C19*C20</f>
        <v>402.005623582216</v>
      </c>
      <c r="D21" s="0" t="n">
        <f aca="false">D19*D20</f>
        <v>312.178919843234</v>
      </c>
      <c r="E21" s="0" t="n">
        <f aca="false">E19*E20</f>
        <v>253.097017797847</v>
      </c>
      <c r="F21" s="0" t="n">
        <f aca="false">F19*F20</f>
        <v>214.666035637351</v>
      </c>
      <c r="G21" s="0" t="n">
        <f aca="false">G19*G20</f>
        <v>188.859947936304</v>
      </c>
      <c r="H21" s="0" t="n">
        <f aca="false">H19*H20</f>
        <v>172.860901274204</v>
      </c>
      <c r="I21" s="0" t="n">
        <f aca="false">I19*I20</f>
        <v>158.845152522241</v>
      </c>
      <c r="J21" s="0" t="n">
        <f aca="false">J19*J20</f>
        <v>145.965815831249</v>
      </c>
      <c r="K21" s="0" t="n">
        <f aca="false">K19*K20</f>
        <v>134.130749682769</v>
      </c>
      <c r="L21" s="0" t="n">
        <f aca="false">L19*L20</f>
        <v>123.255283492274</v>
      </c>
    </row>
    <row r="23" customFormat="false" ht="15" hidden="false" customHeight="false" outlineLevel="0" collapsed="false">
      <c r="A23" s="0" t="s">
        <v>101</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Assumptions!$B$34</f>
        <v>11</v>
      </c>
    </row>
    <row r="28" customFormat="false" ht="15" hidden="false" customHeight="false" outlineLevel="0" collapsed="false">
      <c r="A28" s="0" t="s">
        <v>106</v>
      </c>
      <c r="B28" s="4" t="n">
        <f aca="false">Assumptions!$B$35</f>
        <v>2</v>
      </c>
    </row>
    <row r="29" customFormat="false" ht="15" hidden="false" customHeight="false" outlineLevel="0" collapsed="false">
      <c r="A29" s="0" t="s">
        <v>107</v>
      </c>
      <c r="B29" s="4" t="n">
        <f aca="false">Assumptions!$B$36</f>
        <v>12</v>
      </c>
    </row>
    <row r="30" customFormat="false" ht="15" hidden="false" customHeight="false" outlineLevel="0" collapsed="false">
      <c r="A30" s="0" t="s">
        <v>128</v>
      </c>
      <c r="B30" s="0" t="n">
        <f aca="false">SUM(C21:L21)</f>
        <v>2105.86544759969</v>
      </c>
    </row>
    <row r="31" customFormat="false" ht="15" hidden="false" customHeight="false" outlineLevel="0" collapsed="false">
      <c r="A31" s="0" t="s">
        <v>129</v>
      </c>
      <c r="B31" s="0" t="n">
        <f aca="false">L19</f>
        <v>349.97363859185</v>
      </c>
    </row>
    <row r="32" customFormat="false" ht="15" hidden="false" customHeight="false" outlineLevel="0" collapsed="false">
      <c r="A32" s="0" t="s">
        <v>130</v>
      </c>
      <c r="B32" s="0" t="n">
        <f aca="false">IF(B27&gt;B28,B31*(1+B28/100)/((B27-B28)/100),B31*B29)</f>
        <v>3966.36790404096</v>
      </c>
    </row>
    <row r="33" customFormat="false" ht="15" hidden="false" customHeight="false" outlineLevel="0" collapsed="false">
      <c r="A33" s="0" t="s">
        <v>131</v>
      </c>
      <c r="B33" s="0" t="n">
        <f aca="false">B31*B29</f>
        <v>4199.6836631022</v>
      </c>
    </row>
    <row r="34" customFormat="false" ht="15" hidden="false" customHeight="false" outlineLevel="0" collapsed="false">
      <c r="A34" s="0" t="s">
        <v>132</v>
      </c>
      <c r="B34" s="0" t="n">
        <f aca="false">MAX(0,MIN(B32,B33))</f>
        <v>3966.36790404096</v>
      </c>
    </row>
    <row r="35" customFormat="false" ht="15" hidden="false" customHeight="false" outlineLevel="0" collapsed="false">
      <c r="A35" s="0" t="s">
        <v>133</v>
      </c>
      <c r="B35" s="0" t="n">
        <f aca="false">B34/(1+B27/100)^L4</f>
        <v>1396.89321291244</v>
      </c>
    </row>
    <row r="36" customFormat="false" ht="15" hidden="false" customHeight="false" outlineLevel="0" collapsed="false">
      <c r="A36" s="0" t="s">
        <v>134</v>
      </c>
      <c r="B36" s="0" t="n">
        <f aca="false">B30+B35</f>
        <v>3502.75866051213</v>
      </c>
    </row>
    <row r="37" customFormat="false" ht="15" hidden="false" customHeight="false" outlineLevel="0" collapsed="false">
      <c r="A37" s="0" t="s">
        <v>135</v>
      </c>
      <c r="B37" s="0" t="n">
        <f aca="false">B36+Assumptions!$B$5-Assumptions!$B$4</f>
        <v>3818.95566051213</v>
      </c>
    </row>
    <row r="38" customFormat="false" ht="15" hidden="false" customHeight="false" outlineLevel="0" collapsed="false">
      <c r="A38" s="0" t="s">
        <v>136</v>
      </c>
      <c r="B38" s="0" t="n">
        <f aca="false">B37/Assumptions!$B$3*Assumptions!$B$10</f>
        <v>11.6866968783181</v>
      </c>
    </row>
    <row r="39" customFormat="false" ht="15" hidden="false" customHeight="false" outlineLevel="0" collapsed="false">
      <c r="A39" s="0" t="s">
        <v>137</v>
      </c>
      <c r="B39" s="4" t="n">
        <f aca="false">B38/Assumptions!$B$2-1</f>
        <v>-0.479318472786006</v>
      </c>
    </row>
    <row r="41" customFormat="false" ht="15" hidden="false" customHeight="false" outlineLevel="0" collapsed="false">
      <c r="A41" s="0" t="s">
        <v>138</v>
      </c>
      <c r="B41" s="0" t="n">
        <f aca="false">SUMPRODUCT(-C10:L10/(1+$B$27/100)^C4:L4)</f>
        <v>32.2773847792017</v>
      </c>
    </row>
    <row r="42" customFormat="false" ht="15" hidden="false" customHeight="false" outlineLevel="0" collapsed="false">
      <c r="A42" s="0" t="s">
        <v>139</v>
      </c>
      <c r="B42" s="0" t="n">
        <f aca="false">IF(B27&gt;B28,-L10*(1+B28/100)/((B27-B28)/100),-L10*20)/(1+B27/100)^L4</f>
        <v>23.5605470095442</v>
      </c>
    </row>
    <row r="43" customFormat="false" ht="15" hidden="false" customHeight="false" outlineLevel="0" collapsed="false">
      <c r="A43" s="0" t="s">
        <v>140</v>
      </c>
      <c r="B43" s="0" t="n">
        <f aca="false">(B37+B41+B42)/Assumptions!$B$3*Assumptions!$B$10</f>
        <v>11.8575710756477</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2745.9470104899</v>
      </c>
    </row>
    <row r="47" customFormat="false" ht="15" hidden="false" customHeight="false" outlineLevel="0" collapsed="false">
      <c r="A47" s="0" t="s">
        <v>142</v>
      </c>
      <c r="B47" s="0" t="n">
        <f aca="false">(SUMPRODUCT(C19:L19/(1+B45/100)^C4:L4)+B46/(1+B45/100)^L4+Assumptions!$B$5-Assumptions!$B$4)/Assumptions!$B$3*Assumptions!$B$10</f>
        <v>8.57989346831723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2</v>
      </c>
      <c r="D5" s="4" t="n">
        <f aca="false">Assumptions!D41</f>
        <v>2</v>
      </c>
      <c r="E5" s="4" t="n">
        <f aca="false">Assumptions!E41</f>
        <v>3</v>
      </c>
      <c r="F5" s="4" t="n">
        <f aca="false">Assumptions!F41</f>
        <v>3</v>
      </c>
      <c r="G5" s="4" t="n">
        <f aca="false">Assumptions!G41</f>
        <v>3</v>
      </c>
      <c r="H5" s="4" t="n">
        <f aca="false">Assumptions!H41</f>
        <v>3</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38</v>
      </c>
      <c r="B6" s="3" t="n">
        <v>1653.666</v>
      </c>
      <c r="C6" s="0" t="n">
        <f aca="false">B6*(1+C5/100)</f>
        <v>1686.73932</v>
      </c>
      <c r="D6" s="0" t="n">
        <f aca="false">C6*(1+D5/100)</f>
        <v>1720.4741064</v>
      </c>
      <c r="E6" s="0" t="n">
        <f aca="false">D6*(1+E5/100)</f>
        <v>1772.088329592</v>
      </c>
      <c r="F6" s="0" t="n">
        <f aca="false">E6*(1+F5/100)</f>
        <v>1825.25097947976</v>
      </c>
      <c r="G6" s="0" t="n">
        <f aca="false">F6*(1+G5/100)</f>
        <v>1880.00850886415</v>
      </c>
      <c r="H6" s="0" t="n">
        <f aca="false">G6*(1+H5/100)</f>
        <v>1936.40876413008</v>
      </c>
      <c r="I6" s="0" t="n">
        <f aca="false">H6*(1+I5/100)</f>
        <v>1994.50102705398</v>
      </c>
      <c r="J6" s="0" t="n">
        <f aca="false">I6*(1+J5/100)</f>
        <v>2054.3360578656</v>
      </c>
      <c r="K6" s="0" t="n">
        <f aca="false">J6*(1+K5/100)</f>
        <v>2115.96613960157</v>
      </c>
      <c r="L6" s="0" t="n">
        <f aca="false">K6*(1+L5/100)</f>
        <v>2179.44512378961</v>
      </c>
    </row>
    <row r="7" customFormat="false" ht="15" hidden="false" customHeight="false" outlineLevel="0" collapsed="false">
      <c r="A7" s="0" t="s">
        <v>99</v>
      </c>
      <c r="C7" s="4" t="n">
        <f aca="false">Assumptions!C42</f>
        <v>51</v>
      </c>
      <c r="D7" s="4" t="n">
        <f aca="false">Assumptions!D42</f>
        <v>49</v>
      </c>
      <c r="E7" s="4" t="n">
        <f aca="false">Assumptions!E42</f>
        <v>47</v>
      </c>
      <c r="F7" s="4" t="n">
        <f aca="false">Assumptions!F42</f>
        <v>46</v>
      </c>
      <c r="G7" s="4" t="n">
        <f aca="false">Assumptions!G42</f>
        <v>46</v>
      </c>
      <c r="H7" s="4" t="n">
        <f aca="false">Assumptions!H42</f>
        <v>46</v>
      </c>
      <c r="I7" s="4" t="n">
        <f aca="false">Assumptions!I42</f>
        <v>46</v>
      </c>
      <c r="J7" s="4" t="n">
        <f aca="false">Assumptions!J42</f>
        <v>46</v>
      </c>
      <c r="K7" s="4" t="n">
        <f aca="false">Assumptions!K42</f>
        <v>46</v>
      </c>
      <c r="L7" s="4" t="n">
        <f aca="false">Assumptions!L42</f>
        <v>46</v>
      </c>
    </row>
    <row r="8" customFormat="false" ht="15" hidden="false" customHeight="false" outlineLevel="0" collapsed="false">
      <c r="A8" s="0" t="s">
        <v>44</v>
      </c>
      <c r="C8" s="0" t="n">
        <f aca="false">C6*C7/100</f>
        <v>860.2370532</v>
      </c>
      <c r="D8" s="0" t="n">
        <f aca="false">D6*D7/100</f>
        <v>843.032312136</v>
      </c>
      <c r="E8" s="0" t="n">
        <f aca="false">E6*E7/100</f>
        <v>832.88151490824</v>
      </c>
      <c r="F8" s="0" t="n">
        <f aca="false">F6*F7/100</f>
        <v>839.61545056069</v>
      </c>
      <c r="G8" s="0" t="n">
        <f aca="false">G6*G7/100</f>
        <v>864.80391407751</v>
      </c>
      <c r="H8" s="0" t="n">
        <f aca="false">H6*H7/100</f>
        <v>890.748031499836</v>
      </c>
      <c r="I8" s="0" t="n">
        <f aca="false">I6*I7/100</f>
        <v>917.470472444831</v>
      </c>
      <c r="J8" s="0" t="n">
        <f aca="false">J6*J7/100</f>
        <v>944.994586618176</v>
      </c>
      <c r="K8" s="0" t="n">
        <f aca="false">K6*K7/100</f>
        <v>973.344424216721</v>
      </c>
      <c r="L8" s="0" t="n">
        <f aca="false">L6*L7/100</f>
        <v>1002.54475694322</v>
      </c>
    </row>
    <row r="9" customFormat="false" ht="15" hidden="false" customHeight="false" outlineLevel="0" collapsed="false">
      <c r="A9" s="0" t="s">
        <v>100</v>
      </c>
      <c r="C9" s="4" t="n">
        <f aca="false">Assumptions!C43</f>
        <v>0.33</v>
      </c>
      <c r="D9" s="4" t="n">
        <f aca="false">Assumptions!D43</f>
        <v>0.33</v>
      </c>
      <c r="E9" s="4" t="n">
        <f aca="false">Assumptions!E43</f>
        <v>0.33</v>
      </c>
      <c r="F9" s="4" t="n">
        <f aca="false">Assumptions!F43</f>
        <v>0.33</v>
      </c>
      <c r="G9" s="4" t="n">
        <f aca="false">Assumptions!G43</f>
        <v>0.33</v>
      </c>
      <c r="H9" s="4" t="n">
        <f aca="false">Assumptions!H43</f>
        <v>0.33</v>
      </c>
      <c r="I9" s="4" t="n">
        <f aca="false">Assumptions!I43</f>
        <v>0.33</v>
      </c>
      <c r="J9" s="4" t="n">
        <f aca="false">Assumptions!J43</f>
        <v>0.33</v>
      </c>
      <c r="K9" s="4" t="n">
        <f aca="false">Assumptions!K43</f>
        <v>0.33</v>
      </c>
      <c r="L9" s="4" t="n">
        <f aca="false">Assumptions!L43</f>
        <v>0.33</v>
      </c>
    </row>
    <row r="10" customFormat="false" ht="15" hidden="false" customHeight="false" outlineLevel="0" collapsed="false">
      <c r="A10" s="0" t="s">
        <v>115</v>
      </c>
      <c r="C10" s="0" t="n">
        <f aca="false">-C6*C9/100</f>
        <v>-5.566239756</v>
      </c>
      <c r="D10" s="0" t="n">
        <f aca="false">-D6*D9/100</f>
        <v>-5.67756455112</v>
      </c>
      <c r="E10" s="0" t="n">
        <f aca="false">-E6*E9/100</f>
        <v>-5.8478914876536</v>
      </c>
      <c r="F10" s="0" t="n">
        <f aca="false">-F6*F9/100</f>
        <v>-6.02332823228321</v>
      </c>
      <c r="G10" s="0" t="n">
        <f aca="false">-G6*G9/100</f>
        <v>-6.20402807925171</v>
      </c>
      <c r="H10" s="0" t="n">
        <f aca="false">-H6*H9/100</f>
        <v>-6.39014892162926</v>
      </c>
      <c r="I10" s="0" t="n">
        <f aca="false">-I6*I9/100</f>
        <v>-6.58185338927814</v>
      </c>
      <c r="J10" s="0" t="n">
        <f aca="false">-J6*J9/100</f>
        <v>-6.77930899095648</v>
      </c>
      <c r="K10" s="0" t="n">
        <f aca="false">-K6*K9/100</f>
        <v>-6.98268826068517</v>
      </c>
      <c r="L10" s="0" t="n">
        <f aca="false">-L6*L9/100</f>
        <v>-7.19216890850573</v>
      </c>
    </row>
    <row r="11" customFormat="false" ht="15" hidden="false" customHeight="false" outlineLevel="0" collapsed="false">
      <c r="A11" s="0" t="s">
        <v>116</v>
      </c>
      <c r="C11" s="0" t="n">
        <f aca="false">C8+C10+C24</f>
        <v>854.670813444</v>
      </c>
      <c r="D11" s="0" t="n">
        <f aca="false">D8+D10+D24</f>
        <v>837.35474758488</v>
      </c>
      <c r="E11" s="0" t="n">
        <f aca="false">E8+E10+E24</f>
        <v>827.033623420587</v>
      </c>
      <c r="F11" s="0" t="n">
        <f aca="false">F8+F10+F24</f>
        <v>833.592122328406</v>
      </c>
      <c r="G11" s="0" t="n">
        <f aca="false">G8+G10+G24</f>
        <v>858.599885998259</v>
      </c>
      <c r="H11" s="0" t="n">
        <f aca="false">H8+H10+H24</f>
        <v>884.357882578207</v>
      </c>
      <c r="I11" s="0" t="n">
        <f aca="false">I8+I10+I24</f>
        <v>910.888619055553</v>
      </c>
      <c r="J11" s="0" t="n">
        <f aca="false">J8+J10+J24</f>
        <v>938.215277627219</v>
      </c>
      <c r="K11" s="0" t="n">
        <f aca="false">K8+K10+K24</f>
        <v>966.361735956036</v>
      </c>
      <c r="L11" s="0" t="n">
        <f aca="false">L8+L10+L24</f>
        <v>995.352588034717</v>
      </c>
    </row>
    <row r="12" customFormat="false" ht="15" hidden="false" customHeight="false" outlineLevel="0" collapsed="false">
      <c r="A12" s="0" t="s">
        <v>117</v>
      </c>
      <c r="C12" s="4" t="n">
        <f aca="false">-C6*Assumptions!C45/100</f>
        <v>-354.2152572</v>
      </c>
      <c r="D12" s="4" t="n">
        <f aca="false">-D6*Assumptions!D45/100</f>
        <v>-361.299562344</v>
      </c>
      <c r="E12" s="4" t="n">
        <f aca="false">-E6*Assumptions!E45/100</f>
        <v>-380.99899086228</v>
      </c>
      <c r="F12" s="4" t="n">
        <f aca="false">-F6*Assumptions!F45/100</f>
        <v>-392.428960588148</v>
      </c>
      <c r="G12" s="4" t="n">
        <f aca="false">-G6*Assumptions!G45/100</f>
        <v>-404.201829405793</v>
      </c>
      <c r="H12" s="4" t="n">
        <f aca="false">-H6*Assumptions!H45/100</f>
        <v>-416.327884287967</v>
      </c>
      <c r="I12" s="4" t="n">
        <f aca="false">-I6*Assumptions!I45/100</f>
        <v>-428.817720816606</v>
      </c>
      <c r="J12" s="4" t="n">
        <f aca="false">-J6*Assumptions!J45/100</f>
        <v>-441.682252441104</v>
      </c>
      <c r="K12" s="4" t="n">
        <f aca="false">-K6*Assumptions!K45/100</f>
        <v>-454.932720014337</v>
      </c>
      <c r="L12" s="4" t="n">
        <f aca="false">-L6*Assumptions!L45/100</f>
        <v>-468.580701614767</v>
      </c>
    </row>
    <row r="13" customFormat="false" ht="15" hidden="false" customHeight="false" outlineLevel="0" collapsed="false">
      <c r="A13" s="0" t="s">
        <v>118</v>
      </c>
      <c r="C13" s="0" t="n">
        <f aca="false">C11+C12</f>
        <v>500.455556244</v>
      </c>
      <c r="D13" s="0" t="n">
        <f aca="false">D11+D12</f>
        <v>476.05518524088</v>
      </c>
      <c r="E13" s="0" t="n">
        <f aca="false">E11+E12</f>
        <v>446.034632558307</v>
      </c>
      <c r="F13" s="0" t="n">
        <f aca="false">F11+F12</f>
        <v>441.163161740258</v>
      </c>
      <c r="G13" s="0" t="n">
        <f aca="false">G11+G12</f>
        <v>454.398056592466</v>
      </c>
      <c r="H13" s="0" t="n">
        <f aca="false">H11+H12</f>
        <v>468.02999829024</v>
      </c>
      <c r="I13" s="0" t="n">
        <f aca="false">I11+I12</f>
        <v>482.070898238947</v>
      </c>
      <c r="J13" s="0" t="n">
        <f aca="false">J11+J12</f>
        <v>496.533025186116</v>
      </c>
      <c r="K13" s="0" t="n">
        <f aca="false">K11+K12</f>
        <v>511.429015941699</v>
      </c>
      <c r="L13" s="0" t="n">
        <f aca="false">L11+L12</f>
        <v>526.77188641995</v>
      </c>
    </row>
    <row r="14" customFormat="false" ht="15" hidden="false" customHeight="false" outlineLevel="0" collapsed="false">
      <c r="A14" s="0" t="s">
        <v>104</v>
      </c>
      <c r="C14" s="4" t="n">
        <f aca="false">Assumptions!C47</f>
        <v>17</v>
      </c>
      <c r="D14" s="4" t="n">
        <f aca="false">Assumptions!D47</f>
        <v>19</v>
      </c>
      <c r="E14" s="4" t="n">
        <f aca="false">Assumptions!E47</f>
        <v>22</v>
      </c>
      <c r="F14" s="4" t="n">
        <f aca="false">Assumptions!F47</f>
        <v>25</v>
      </c>
      <c r="G14" s="4" t="n">
        <f aca="false">Assumptions!G47</f>
        <v>27</v>
      </c>
      <c r="H14" s="4" t="n">
        <f aca="false">Assumptions!H47</f>
        <v>27</v>
      </c>
      <c r="I14" s="4" t="n">
        <f aca="false">Assumptions!I47</f>
        <v>27</v>
      </c>
      <c r="J14" s="4" t="n">
        <f aca="false">Assumptions!J47</f>
        <v>27</v>
      </c>
      <c r="K14" s="4" t="n">
        <f aca="false">Assumptions!K47</f>
        <v>27</v>
      </c>
      <c r="L14" s="4" t="n">
        <f aca="false">Assumptions!L47</f>
        <v>27</v>
      </c>
    </row>
    <row r="15" customFormat="false" ht="15" hidden="false" customHeight="false" outlineLevel="0" collapsed="false">
      <c r="A15" s="0" t="s">
        <v>119</v>
      </c>
      <c r="C15" s="0" t="n">
        <f aca="false">C13-MAX(0,C13)*C14/100</f>
        <v>415.37811168252</v>
      </c>
      <c r="D15" s="0" t="n">
        <f aca="false">D13-MAX(0,D13)*D14/100</f>
        <v>385.604700045113</v>
      </c>
      <c r="E15" s="0" t="n">
        <f aca="false">E13-MAX(0,E13)*E14/100</f>
        <v>347.907013395479</v>
      </c>
      <c r="F15" s="0" t="n">
        <f aca="false">F13-MAX(0,F13)*F14/100</f>
        <v>330.872371305193</v>
      </c>
      <c r="G15" s="0" t="n">
        <f aca="false">G13-MAX(0,G13)*G14/100</f>
        <v>331.7105813125</v>
      </c>
      <c r="H15" s="0" t="n">
        <f aca="false">H13-MAX(0,H13)*H14/100</f>
        <v>341.661898751875</v>
      </c>
      <c r="I15" s="0" t="n">
        <f aca="false">I13-MAX(0,I13)*I14/100</f>
        <v>351.911755714431</v>
      </c>
      <c r="J15" s="0" t="n">
        <f aca="false">J13-MAX(0,J13)*J14/100</f>
        <v>362.469108385864</v>
      </c>
      <c r="K15" s="0" t="n">
        <f aca="false">K13-MAX(0,K13)*K14/100</f>
        <v>373.34318163744</v>
      </c>
      <c r="L15" s="0" t="n">
        <f aca="false">L13-MAX(0,L13)*L14/100</f>
        <v>384.543477086563</v>
      </c>
    </row>
    <row r="16" customFormat="false" ht="15" hidden="false" customHeight="false" outlineLevel="0" collapsed="false">
      <c r="A16" s="0" t="s">
        <v>120</v>
      </c>
      <c r="C16" s="0" t="n">
        <f aca="false">-C12</f>
        <v>354.2152572</v>
      </c>
      <c r="D16" s="0" t="n">
        <f aca="false">-D12</f>
        <v>361.299562344</v>
      </c>
      <c r="E16" s="0" t="n">
        <f aca="false">-E12</f>
        <v>380.99899086228</v>
      </c>
      <c r="F16" s="0" t="n">
        <f aca="false">-F12</f>
        <v>392.428960588148</v>
      </c>
      <c r="G16" s="0" t="n">
        <f aca="false">-G12</f>
        <v>404.201829405793</v>
      </c>
      <c r="H16" s="0" t="n">
        <f aca="false">-H12</f>
        <v>416.327884287967</v>
      </c>
      <c r="I16" s="0" t="n">
        <f aca="false">-I12</f>
        <v>428.817720816606</v>
      </c>
      <c r="J16" s="0" t="n">
        <f aca="false">-J12</f>
        <v>441.682252441104</v>
      </c>
      <c r="K16" s="0" t="n">
        <f aca="false">-K12</f>
        <v>454.932720014337</v>
      </c>
      <c r="L16" s="0" t="n">
        <f aca="false">-L12</f>
        <v>468.580701614767</v>
      </c>
    </row>
    <row r="17" customFormat="false" ht="15" hidden="false" customHeight="false" outlineLevel="0" collapsed="false">
      <c r="A17" s="0" t="s">
        <v>121</v>
      </c>
      <c r="C17" s="4" t="n">
        <f aca="false">-C6*Assumptions!C46/100</f>
        <v>-303.6130776</v>
      </c>
      <c r="D17" s="4" t="n">
        <f aca="false">-D6*Assumptions!D46/100</f>
        <v>-292.480598088</v>
      </c>
      <c r="E17" s="4" t="n">
        <f aca="false">-E6*Assumptions!E46/100</f>
        <v>-283.53413273472</v>
      </c>
      <c r="F17" s="4" t="n">
        <f aca="false">-F6*Assumptions!F46/100</f>
        <v>-273.787646921964</v>
      </c>
      <c r="G17" s="4" t="n">
        <f aca="false">-G6*Assumptions!G46/100</f>
        <v>-263.201191240981</v>
      </c>
      <c r="H17" s="4" t="n">
        <f aca="false">-H6*Assumptions!H46/100</f>
        <v>-271.097226978211</v>
      </c>
      <c r="I17" s="4" t="n">
        <f aca="false">-I6*Assumptions!I46/100</f>
        <v>-279.230143787557</v>
      </c>
      <c r="J17" s="4" t="n">
        <f aca="false">-J6*Assumptions!J46/100</f>
        <v>-287.607048101184</v>
      </c>
      <c r="K17" s="4" t="n">
        <f aca="false">-K6*Assumptions!K46/100</f>
        <v>-296.23525954422</v>
      </c>
      <c r="L17" s="4" t="n">
        <f aca="false">-L6*Assumptions!L46/100</f>
        <v>-305.122317330546</v>
      </c>
    </row>
    <row r="18" customFormat="false" ht="15" hidden="false" customHeight="false" outlineLevel="0" collapsed="false">
      <c r="A18" s="0" t="s">
        <v>122</v>
      </c>
      <c r="C18" s="4" t="n">
        <f aca="false">(C6-B6)*Assumptions!$B$51/100</f>
        <v>-2.6458656</v>
      </c>
      <c r="D18" s="4" t="n">
        <f aca="false">(D6-C6)*Assumptions!$B$51/100</f>
        <v>-2.69878291200001</v>
      </c>
      <c r="E18" s="4" t="n">
        <f aca="false">(E6-D6)*Assumptions!$B$51/100</f>
        <v>-4.12913785536</v>
      </c>
      <c r="F18" s="4" t="n">
        <f aca="false">(F6-E6)*Assumptions!$B$51/100</f>
        <v>-4.25301199102081</v>
      </c>
      <c r="G18" s="4" t="n">
        <f aca="false">(G6-F6)*Assumptions!$B$51/100</f>
        <v>-4.38060235075143</v>
      </c>
      <c r="H18" s="4" t="n">
        <f aca="false">(H6-G6)*Assumptions!$B$51/100</f>
        <v>-4.51202042127397</v>
      </c>
      <c r="I18" s="4" t="n">
        <f aca="false">(I6-H6)*Assumptions!$B$51/100</f>
        <v>-4.64738103391219</v>
      </c>
      <c r="J18" s="4" t="n">
        <f aca="false">(J6-I6)*Assumptions!$B$51/100</f>
        <v>-4.78680246492957</v>
      </c>
      <c r="K18" s="4" t="n">
        <f aca="false">(K6-J6)*Assumptions!$B$51/100</f>
        <v>-4.93040653887743</v>
      </c>
      <c r="L18" s="4" t="n">
        <f aca="false">(L6-K6)*Assumptions!$B$51/100</f>
        <v>-5.07831873504376</v>
      </c>
    </row>
    <row r="19" customFormat="false" ht="15" hidden="false" customHeight="false" outlineLevel="0" collapsed="false">
      <c r="A19" s="0" t="s">
        <v>123</v>
      </c>
      <c r="C19" s="0" t="n">
        <f aca="false">C15+C16+C17+C18</f>
        <v>463.33442568252</v>
      </c>
      <c r="D19" s="0" t="n">
        <f aca="false">D15+D16+D17+D18</f>
        <v>451.724881389113</v>
      </c>
      <c r="E19" s="0" t="n">
        <f aca="false">E15+E16+E17+E18</f>
        <v>441.242733667679</v>
      </c>
      <c r="F19" s="0" t="n">
        <f aca="false">F15+F16+F17+F18</f>
        <v>445.260672980357</v>
      </c>
      <c r="G19" s="0" t="n">
        <f aca="false">G15+G16+G17+G18</f>
        <v>468.33061712656</v>
      </c>
      <c r="H19" s="0" t="n">
        <f aca="false">H15+H16+H17+H18</f>
        <v>482.380535640357</v>
      </c>
      <c r="I19" s="0" t="n">
        <f aca="false">I15+I16+I17+I18</f>
        <v>496.851951709568</v>
      </c>
      <c r="J19" s="0" t="n">
        <f aca="false">J15+J16+J17+J18</f>
        <v>511.757510260855</v>
      </c>
      <c r="K19" s="0" t="n">
        <f aca="false">K15+K16+K17+K18</f>
        <v>527.11023556868</v>
      </c>
      <c r="L19" s="0" t="n">
        <f aca="false">L15+L16+L17+L18</f>
        <v>542.923542635741</v>
      </c>
    </row>
    <row r="20" customFormat="false" ht="15" hidden="false" customHeight="false" outlineLevel="0" collapsed="false">
      <c r="A20" s="0" t="s">
        <v>124</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125</v>
      </c>
      <c r="C21" s="0" t="n">
        <f aca="false">C19*C20</f>
        <v>417.418401515784</v>
      </c>
      <c r="D21" s="0" t="n">
        <f aca="false">D19*D20</f>
        <v>366.630047389914</v>
      </c>
      <c r="E21" s="0" t="n">
        <f aca="false">E19*E20</f>
        <v>322.632883919478</v>
      </c>
      <c r="F21" s="0" t="n">
        <f aca="false">F19*F20</f>
        <v>293.306996860809</v>
      </c>
      <c r="G21" s="0" t="n">
        <f aca="false">G19*G20</f>
        <v>277.931426704241</v>
      </c>
      <c r="H21" s="0" t="n">
        <f aca="false">H19*H20</f>
        <v>257.900332887719</v>
      </c>
      <c r="I21" s="0" t="n">
        <f aca="false">I19*I20</f>
        <v>239.312921508424</v>
      </c>
      <c r="J21" s="0" t="n">
        <f aca="false">J19*J20</f>
        <v>222.065143381691</v>
      </c>
      <c r="K21" s="0" t="n">
        <f aca="false">K19*K20</f>
        <v>206.060448363191</v>
      </c>
      <c r="L21" s="0" t="n">
        <f aca="false">L19*L20</f>
        <v>191.209244877555</v>
      </c>
    </row>
    <row r="23" customFormat="false" ht="15" hidden="false" customHeight="false" outlineLevel="0" collapsed="false">
      <c r="A23" s="0" t="s">
        <v>101</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127</v>
      </c>
    </row>
    <row r="27" customFormat="false" ht="15" hidden="false" customHeight="false" outlineLevel="0" collapsed="false">
      <c r="A27" s="0" t="s">
        <v>105</v>
      </c>
      <c r="B27" s="4" t="n">
        <f aca="false">Assumptions!$B$48</f>
        <v>11</v>
      </c>
    </row>
    <row r="28" customFormat="false" ht="15" hidden="false" customHeight="false" outlineLevel="0" collapsed="false">
      <c r="A28" s="0" t="s">
        <v>106</v>
      </c>
      <c r="B28" s="4" t="n">
        <f aca="false">Assumptions!$B$49</f>
        <v>2</v>
      </c>
    </row>
    <row r="29" customFormat="false" ht="15" hidden="false" customHeight="false" outlineLevel="0" collapsed="false">
      <c r="A29" s="0" t="s">
        <v>107</v>
      </c>
      <c r="B29" s="4" t="n">
        <f aca="false">Assumptions!$B$50</f>
        <v>12</v>
      </c>
    </row>
    <row r="30" customFormat="false" ht="15" hidden="false" customHeight="false" outlineLevel="0" collapsed="false">
      <c r="A30" s="0" t="s">
        <v>128</v>
      </c>
      <c r="B30" s="0" t="n">
        <f aca="false">SUM(C21:L21)</f>
        <v>2794.46784740881</v>
      </c>
    </row>
    <row r="31" customFormat="false" ht="15" hidden="false" customHeight="false" outlineLevel="0" collapsed="false">
      <c r="A31" s="0" t="s">
        <v>129</v>
      </c>
      <c r="B31" s="0" t="n">
        <f aca="false">L19</f>
        <v>542.923542635741</v>
      </c>
    </row>
    <row r="32" customFormat="false" ht="15" hidden="false" customHeight="false" outlineLevel="0" collapsed="false">
      <c r="A32" s="0" t="s">
        <v>130</v>
      </c>
      <c r="B32" s="0" t="n">
        <f aca="false">IF(B27&gt;B28,B31*(1+B28/100)/((B27-B28)/100),B31*B29)</f>
        <v>6153.13348320506</v>
      </c>
    </row>
    <row r="33" customFormat="false" ht="15" hidden="false" customHeight="false" outlineLevel="0" collapsed="false">
      <c r="A33" s="0" t="s">
        <v>131</v>
      </c>
      <c r="B33" s="0" t="n">
        <f aca="false">B31*B29</f>
        <v>6515.08251162889</v>
      </c>
    </row>
    <row r="34" customFormat="false" ht="15" hidden="false" customHeight="false" outlineLevel="0" collapsed="false">
      <c r="A34" s="0" t="s">
        <v>132</v>
      </c>
      <c r="B34" s="0" t="n">
        <f aca="false">MAX(0,MIN(B32,B33))</f>
        <v>6153.13348320506</v>
      </c>
    </row>
    <row r="35" customFormat="false" ht="15" hidden="false" customHeight="false" outlineLevel="0" collapsed="false">
      <c r="A35" s="0" t="s">
        <v>133</v>
      </c>
      <c r="B35" s="0" t="n">
        <f aca="false">B34/(1+B27/100)^L4</f>
        <v>2167.03810861229</v>
      </c>
    </row>
    <row r="36" customFormat="false" ht="15" hidden="false" customHeight="false" outlineLevel="0" collapsed="false">
      <c r="A36" s="0" t="s">
        <v>134</v>
      </c>
      <c r="B36" s="0" t="n">
        <f aca="false">B30+B35</f>
        <v>4961.5059560211</v>
      </c>
    </row>
    <row r="37" customFormat="false" ht="15" hidden="false" customHeight="false" outlineLevel="0" collapsed="false">
      <c r="A37" s="0" t="s">
        <v>135</v>
      </c>
      <c r="B37" s="0" t="n">
        <f aca="false">B36+Assumptions!$B$5-Assumptions!$B$4</f>
        <v>5277.7029560211</v>
      </c>
    </row>
    <row r="38" customFormat="false" ht="15" hidden="false" customHeight="false" outlineLevel="0" collapsed="false">
      <c r="A38" s="0" t="s">
        <v>136</v>
      </c>
      <c r="B38" s="0" t="n">
        <f aca="false">B37/Assumptions!$B$3*Assumptions!$B$10</f>
        <v>16.1507281424028</v>
      </c>
    </row>
    <row r="39" customFormat="false" ht="15" hidden="false" customHeight="false" outlineLevel="0" collapsed="false">
      <c r="A39" s="0" t="s">
        <v>137</v>
      </c>
      <c r="B39" s="4" t="n">
        <f aca="false">B38/Assumptions!$B$2-1</f>
        <v>-0.280430913682208</v>
      </c>
    </row>
    <row r="41" customFormat="false" ht="15" hidden="false" customHeight="false" outlineLevel="0" collapsed="false">
      <c r="A41" s="0" t="s">
        <v>138</v>
      </c>
      <c r="B41" s="0" t="n">
        <f aca="false">SUMPRODUCT(-C10:L10/(1+$B$27/100)^C4:L4)</f>
        <v>36.3391760730359</v>
      </c>
    </row>
    <row r="42" customFormat="false" ht="15" hidden="false" customHeight="false" outlineLevel="0" collapsed="false">
      <c r="A42" s="0" t="s">
        <v>139</v>
      </c>
      <c r="B42" s="0" t="n">
        <f aca="false">IF(B27&gt;B28,-L10*(1+B28/100)/((B27-B28)/100),-L10*20)/(1+B27/100)^L4</f>
        <v>28.7069962607335</v>
      </c>
    </row>
    <row r="43" customFormat="false" ht="15" hidden="false" customHeight="false" outlineLevel="0" collapsed="false">
      <c r="A43" s="0" t="s">
        <v>140</v>
      </c>
      <c r="B43" s="0" t="n">
        <f aca="false">(B37+B41+B42)/Assumptions!$B$3*Assumptions!$B$10</f>
        <v>16.3497812256894</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4259.86164221889</v>
      </c>
    </row>
    <row r="47" customFormat="false" ht="15" hidden="false" customHeight="false" outlineLevel="0" collapsed="false">
      <c r="A47" s="0" t="s">
        <v>142</v>
      </c>
      <c r="B47" s="0" t="n">
        <f aca="false">(SUMPRODUCT(C19:L19/(1+B45/100)^C4:L4)+B46/(1+B45/100)^L4+Assumptions!$B$5-Assumptions!$B$4)/Assumptions!$B$3*Assumptions!$B$10</f>
        <v>11.4385005921111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7.12848589992583</v>
      </c>
      <c r="C4" s="0" t="n">
        <f aca="false">B4/Assumptions!$B$2-1</f>
        <v>-0.682402053912862</v>
      </c>
      <c r="D4" s="4" t="n">
        <f aca="false">Assumptions!$B$24</f>
        <v>0.3</v>
      </c>
      <c r="E4" s="4" t="n">
        <f aca="false">DCF_Bear!$B$43</f>
        <v>7.2718086068991</v>
      </c>
      <c r="F4" s="4" t="n">
        <f aca="false">DCF_Bear!$B$47</f>
        <v>5.45540778439457</v>
      </c>
    </row>
    <row r="5" customFormat="false" ht="15" hidden="false" customHeight="false" outlineLevel="0" collapsed="false">
      <c r="A5" s="0" t="s">
        <v>151</v>
      </c>
      <c r="B5" s="4" t="n">
        <f aca="false">DCF_Base!$B$38</f>
        <v>11.6866968783181</v>
      </c>
      <c r="C5" s="0" t="n">
        <f aca="false">B5/Assumptions!$B$2-1</f>
        <v>-0.479318472786006</v>
      </c>
      <c r="D5" s="4" t="n">
        <f aca="false">Assumptions!$B$38</f>
        <v>0.45</v>
      </c>
      <c r="E5" s="4" t="n">
        <f aca="false">DCF_Base!$B$43</f>
        <v>11.8575710756477</v>
      </c>
      <c r="F5" s="4" t="n">
        <f aca="false">DCF_Base!$B$47</f>
        <v>8.57989346831723</v>
      </c>
    </row>
    <row r="6" customFormat="false" ht="15" hidden="false" customHeight="false" outlineLevel="0" collapsed="false">
      <c r="A6" s="0" t="s">
        <v>152</v>
      </c>
      <c r="B6" s="4" t="n">
        <f aca="false">DCF_Bull!$B$38</f>
        <v>16.1507281424028</v>
      </c>
      <c r="C6" s="0" t="n">
        <f aca="false">B6/Assumptions!$B$2-1</f>
        <v>-0.280430913682208</v>
      </c>
      <c r="D6" s="4" t="n">
        <f aca="false">Assumptions!$B$52</f>
        <v>0.25</v>
      </c>
      <c r="E6" s="4" t="n">
        <f aca="false">DCF_Bull!$B$43</f>
        <v>16.3497812256894</v>
      </c>
      <c r="F6" s="4" t="n">
        <f aca="false">DCF_Bull!$B$47</f>
        <v>11.4385005921111</v>
      </c>
    </row>
    <row r="8" customFormat="false" ht="15" hidden="false" customHeight="false" outlineLevel="0" collapsed="false">
      <c r="A8" s="0" t="s">
        <v>153</v>
      </c>
      <c r="B8" s="0" t="n">
        <f aca="false">SUMPRODUCT(B4:B6,D4:D6)</f>
        <v>11.4352414008216</v>
      </c>
    </row>
    <row r="9" customFormat="false" ht="15" hidden="false" customHeight="false" outlineLevel="0" collapsed="false">
      <c r="A9" s="0" t="s">
        <v>154</v>
      </c>
      <c r="B9" s="0" t="n">
        <f aca="false">SUMPRODUCT(E4:E6,D4:D6)</f>
        <v>11.6048948725335</v>
      </c>
    </row>
    <row r="10" customFormat="false" ht="15" hidden="false" customHeight="false" outlineLevel="0" collapsed="false">
      <c r="A10" s="0" t="s">
        <v>155</v>
      </c>
      <c r="B10" s="0" t="n">
        <f aca="false">1-Assumptions!$B$2/B8</f>
        <v>-0.962791970302208</v>
      </c>
    </row>
    <row r="11" customFormat="false" ht="15" hidden="false" customHeight="false" outlineLevel="0" collapsed="false">
      <c r="A11" s="0" t="s">
        <v>156</v>
      </c>
      <c r="B11" s="0" t="n">
        <f aca="false">IF(ABS(B9-B8)&gt;0.01*ABS(B8),(Assumptions!$B$2-B8)/(B9-B8)*100,"n/a")</f>
        <v>6489.55691155712</v>
      </c>
    </row>
    <row r="12" customFormat="false" ht="15" hidden="false" customHeight="false" outlineLevel="0" collapsed="false">
      <c r="A12" s="0" t="s">
        <v>157</v>
      </c>
      <c r="B12" s="0" t="n">
        <f aca="false">SUMPRODUCT(F4:F6,D4:D6)</f>
        <v>8.3571995440889</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13.3916996997839</v>
      </c>
      <c r="C15" s="3" t="n">
        <v>9</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12.6331927901907</v>
      </c>
      <c r="C16" s="3" t="n">
        <v>10</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11.6866968783181</v>
      </c>
      <c r="C17" s="3" t="n">
        <v>11</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10.6797670091405</v>
      </c>
      <c r="C18" s="3" t="n">
        <v>12</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8.57989346831723</v>
      </c>
      <c r="C19" s="3" t="n">
        <v>15</v>
      </c>
    </row>
    <row r="21" customFormat="false" ht="15" hidden="false" customHeight="false" outlineLevel="0" collapsed="false">
      <c r="A21" s="2" t="s">
        <v>165</v>
      </c>
    </row>
    <row r="22" customFormat="false" ht="15" hidden="false" customHeight="false" outlineLevel="0" collapsed="false">
      <c r="B22" s="3" t="n">
        <v>1</v>
      </c>
      <c r="C22" s="3" t="n">
        <v>1.5</v>
      </c>
      <c r="D22" s="3" t="n">
        <v>2</v>
      </c>
      <c r="E22" s="3" t="n">
        <v>2.5</v>
      </c>
      <c r="F22" s="3" t="n">
        <v>3</v>
      </c>
    </row>
    <row r="23" customFormat="false" ht="15" hidden="false" customHeight="false" outlineLevel="0" collapsed="false">
      <c r="A23" s="3" t="n">
        <v>9</v>
      </c>
      <c r="B23" s="0" t="n">
        <f aca="false">(SUMPRODUCT(DCF_Base!$C$19:$L$19/(1+$A$23/100)^DCF_Base!$C$4:$L$4)+MAX(0,MIN(IF($A$23&gt;$B$22,DCF_Base!$L$19*(1+$B$22/100)/(($A$23-$B$22)/100),DCF_Base!$L$19*DCF_Base!$B$29),DCF_Base!$L$19*DCF_Base!$B$29))/(1+$A$23/100)^DCF_Base!$L$4+Assumptions!$B$5-Assumptions!$B$4)/Assumptions!$B$3*Assumptions!$B$10</f>
        <v>13.3916996997839</v>
      </c>
      <c r="C23" s="0" t="n">
        <f aca="false">(SUMPRODUCT(DCF_Base!$C$19:$L$19/(1+$A$23/100)^DCF_Base!$C$4:$L$4)+MAX(0,MIN(IF($A$23&gt;$C$22,DCF_Base!$L$19*(1+$C$22/100)/(($A$23-$C$22)/100),DCF_Base!$L$19*DCF_Base!$B$29),DCF_Base!$L$19*DCF_Base!$B$29))/(1+$A$23/100)^DCF_Base!$L$4+Assumptions!$B$5-Assumptions!$B$4)/Assumptions!$B$3*Assumptions!$B$10</f>
        <v>13.3916996997839</v>
      </c>
      <c r="D23" s="0" t="n">
        <f aca="false">(SUMPRODUCT(DCF_Base!$C$19:$L$19/(1+$A$23/100)^DCF_Base!$C$4:$L$4)+MAX(0,MIN(IF($A$23&gt;$D$22,DCF_Base!$L$19*(1+$D$22/100)/(($A$23-$D$22)/100),DCF_Base!$L$19*DCF_Base!$B$29),DCF_Base!$L$19*DCF_Base!$B$29))/(1+$A$23/100)^DCF_Base!$L$4+Assumptions!$B$5-Assumptions!$B$4)/Assumptions!$B$3*Assumptions!$B$10</f>
        <v>13.3916996997839</v>
      </c>
      <c r="E23" s="0" t="n">
        <f aca="false">(SUMPRODUCT(DCF_Base!$C$19:$L$19/(1+$A$23/100)^DCF_Base!$C$4:$L$4)+MAX(0,MIN(IF($A$23&gt;$E$22,DCF_Base!$L$19*(1+$E$22/100)/(($A$23-$E$22)/100),DCF_Base!$L$19*DCF_Base!$B$29),DCF_Base!$L$19*DCF_Base!$B$29))/(1+$A$23/100)^DCF_Base!$L$4+Assumptions!$B$5-Assumptions!$B$4)/Assumptions!$B$3*Assumptions!$B$10</f>
        <v>13.3916996997839</v>
      </c>
      <c r="F23" s="0" t="n">
        <f aca="false">(SUMPRODUCT(DCF_Base!$C$19:$L$19/(1+$A$23/100)^DCF_Base!$C$4:$L$4)+MAX(0,MIN(IF($A$23&gt;$F$22,DCF_Base!$L$19*(1+$F$22/100)/(($A$23-$F$22)/100),DCF_Base!$L$19*DCF_Base!$B$29),DCF_Base!$L$19*DCF_Base!$B$29))/(1+$A$23/100)^DCF_Base!$L$4+Assumptions!$B$5-Assumptions!$B$4)/Assumptions!$B$3*Assumptions!$B$10</f>
        <v>13.3916996997839</v>
      </c>
    </row>
    <row r="24" customFormat="false" ht="15" hidden="false" customHeight="false" outlineLevel="0" collapsed="false">
      <c r="A24" s="3" t="n">
        <v>10</v>
      </c>
      <c r="B24" s="0" t="n">
        <f aca="false">(SUMPRODUCT(DCF_Base!$C$19:$L$19/(1+$A$24/100)^DCF_Base!$C$4:$L$4)+MAX(0,MIN(IF($A$24&gt;$B$22,DCF_Base!$L$19*(1+$B$22/100)/(($A$24-$B$22)/100),DCF_Base!$L$19*DCF_Base!$B$29),DCF_Base!$L$19*DCF_Base!$B$29))/(1+$A$24/100)^DCF_Base!$L$4+Assumptions!$B$5-Assumptions!$B$4)/Assumptions!$B$3*Assumptions!$B$10</f>
        <v>12.3120403875529</v>
      </c>
      <c r="C24" s="0" t="n">
        <f aca="false">(SUMPRODUCT(DCF_Base!$C$19:$L$19/(1+$A$24/100)^DCF_Base!$C$4:$L$4)+MAX(0,MIN(IF($A$24&gt;$C$22,DCF_Base!$L$19*(1+$C$22/100)/(($A$24-$C$22)/100),DCF_Base!$L$19*DCF_Base!$B$29),DCF_Base!$L$19*DCF_Base!$B$29))/(1+$A$24/100)^DCF_Base!$L$4+Assumptions!$B$5-Assumptions!$B$4)/Assumptions!$B$3*Assumptions!$B$10</f>
        <v>12.6089039530164</v>
      </c>
      <c r="D24" s="0" t="n">
        <f aca="false">(SUMPRODUCT(DCF_Base!$C$19:$L$19/(1+$A$24/100)^DCF_Base!$C$4:$L$4)+MAX(0,MIN(IF($A$24&gt;$D$22,DCF_Base!$L$19*(1+$D$22/100)/(($A$24-$D$22)/100),DCF_Base!$L$19*DCF_Base!$B$29),DCF_Base!$L$19*DCF_Base!$B$29))/(1+$A$24/100)^DCF_Base!$L$4+Assumptions!$B$5-Assumptions!$B$4)/Assumptions!$B$3*Assumptions!$B$10</f>
        <v>12.6331927901907</v>
      </c>
      <c r="E24" s="0" t="n">
        <f aca="false">(SUMPRODUCT(DCF_Base!$C$19:$L$19/(1+$A$24/100)^DCF_Base!$C$4:$L$4)+MAX(0,MIN(IF($A$24&gt;$E$22,DCF_Base!$L$19*(1+$E$22/100)/(($A$24-$E$22)/100),DCF_Base!$L$19*DCF_Base!$B$29),DCF_Base!$L$19*DCF_Base!$B$29))/(1+$A$24/100)^DCF_Base!$L$4+Assumptions!$B$5-Assumptions!$B$4)/Assumptions!$B$3*Assumptions!$B$10</f>
        <v>12.6331927901907</v>
      </c>
      <c r="F24" s="0" t="n">
        <f aca="false">(SUMPRODUCT(DCF_Base!$C$19:$L$19/(1+$A$24/100)^DCF_Base!$C$4:$L$4)+MAX(0,MIN(IF($A$24&gt;$F$22,DCF_Base!$L$19*(1+$F$22/100)/(($A$24-$F$22)/100),DCF_Base!$L$19*DCF_Base!$B$29),DCF_Base!$L$19*DCF_Base!$B$29))/(1+$A$24/100)^DCF_Base!$L$4+Assumptions!$B$5-Assumptions!$B$4)/Assumptions!$B$3*Assumptions!$B$10</f>
        <v>12.6331927901907</v>
      </c>
    </row>
    <row r="25" customFormat="false" ht="15" hidden="false" customHeight="false" outlineLevel="0" collapsed="false">
      <c r="A25" s="3" t="n">
        <v>11</v>
      </c>
      <c r="B25" s="0" t="n">
        <f aca="false">(SUMPRODUCT(DCF_Base!$C$19:$L$19/(1+$A$25/100)^DCF_Base!$C$4:$L$4)+MAX(0,MIN(IF($A$25&gt;$B$22,DCF_Base!$L$19*(1+$B$22/100)/(($A$25-$B$22)/100),DCF_Base!$L$19*DCF_Base!$B$29),DCF_Base!$L$19*DCF_Base!$B$29))/(1+$A$25/100)^DCF_Base!$L$4+Assumptions!$B$5-Assumptions!$B$4)/Assumptions!$B$3*Assumptions!$B$10</f>
        <v>11.2215038709415</v>
      </c>
      <c r="C25" s="0" t="n">
        <f aca="false">(SUMPRODUCT(DCF_Base!$C$19:$L$19/(1+$A$25/100)^DCF_Base!$C$4:$L$4)+MAX(0,MIN(IF($A$25&gt;$C$22,DCF_Base!$L$19*(1+$C$22/100)/(($A$25-$C$22)/100),DCF_Base!$L$19*DCF_Base!$B$29),DCF_Base!$L$19*DCF_Base!$B$29))/(1+$A$25/100)^DCF_Base!$L$4+Assumptions!$B$5-Assumptions!$B$4)/Assumptions!$B$3*Assumptions!$B$10</f>
        <v>11.4418584533831</v>
      </c>
      <c r="D25" s="0" t="n">
        <f aca="false">(SUMPRODUCT(DCF_Base!$C$19:$L$19/(1+$A$25/100)^DCF_Base!$C$4:$L$4)+MAX(0,MIN(IF($A$25&gt;$D$22,DCF_Base!$L$19*(1+$D$22/100)/(($A$25-$D$22)/100),DCF_Base!$L$19*DCF_Base!$B$29),DCF_Base!$L$19*DCF_Base!$B$29))/(1+$A$25/100)^DCF_Base!$L$4+Assumptions!$B$5-Assumptions!$B$4)/Assumptions!$B$3*Assumptions!$B$10</f>
        <v>11.6866968783181</v>
      </c>
      <c r="E25" s="0" t="n">
        <f aca="false">(SUMPRODUCT(DCF_Base!$C$19:$L$19/(1+$A$25/100)^DCF_Base!$C$4:$L$4)+MAX(0,MIN(IF($A$25&gt;$E$22,DCF_Base!$L$19*(1+$E$22/100)/(($A$25-$E$22)/100),DCF_Base!$L$19*DCF_Base!$B$29),DCF_Base!$L$19*DCF_Base!$B$29))/(1+$A$25/100)^DCF_Base!$L$4+Assumptions!$B$5-Assumptions!$B$4)/Assumptions!$B$3*Assumptions!$B$10</f>
        <v>11.9381525579811</v>
      </c>
      <c r="F25" s="0" t="n">
        <f aca="false">(SUMPRODUCT(DCF_Base!$C$19:$L$19/(1+$A$25/100)^DCF_Base!$C$4:$L$4)+MAX(0,MIN(IF($A$25&gt;$F$22,DCF_Base!$L$19*(1+$F$22/100)/(($A$25-$F$22)/100),DCF_Base!$L$19*DCF_Base!$B$29),DCF_Base!$L$19*DCF_Base!$B$29))/(1+$A$25/100)^DCF_Base!$L$4+Assumptions!$B$5-Assumptions!$B$4)/Assumptions!$B$3*Assumptions!$B$10</f>
        <v>11.9381525579811</v>
      </c>
    </row>
    <row r="26" customFormat="false" ht="15" hidden="false" customHeight="false" outlineLevel="0" collapsed="false">
      <c r="A26" s="3" t="n">
        <v>12</v>
      </c>
      <c r="B26" s="0" t="n">
        <f aca="false">(SUMPRODUCT(DCF_Base!$C$19:$L$19/(1+$A$26/100)^DCF_Base!$C$4:$L$4)+MAX(0,MIN(IF($A$26&gt;$B$22,DCF_Base!$L$19*(1+$B$22/100)/(($A$26-$B$22)/100),DCF_Base!$L$19*DCF_Base!$B$29),DCF_Base!$L$19*DCF_Base!$B$29))/(1+$A$26/100)^DCF_Base!$L$4+Assumptions!$B$5-Assumptions!$B$4)/Assumptions!$B$3*Assumptions!$B$10</f>
        <v>10.3286696140768</v>
      </c>
      <c r="C26" s="0" t="n">
        <f aca="false">(SUMPRODUCT(DCF_Base!$C$19:$L$19/(1+$A$26/100)^DCF_Base!$C$4:$L$4)+MAX(0,MIN(IF($A$26&gt;$C$22,DCF_Base!$L$19*(1+$C$22/100)/(($A$26-$C$22)/100),DCF_Base!$L$19*DCF_Base!$B$29),DCF_Base!$L$19*DCF_Base!$B$29))/(1+$A$26/100)^DCF_Base!$L$4+Assumptions!$B$5-Assumptions!$B$4)/Assumptions!$B$3*Assumptions!$B$10</f>
        <v>10.4958588498214</v>
      </c>
      <c r="D26" s="0" t="n">
        <f aca="false">(SUMPRODUCT(DCF_Base!$C$19:$L$19/(1+$A$26/100)^DCF_Base!$C$4:$L$4)+MAX(0,MIN(IF($A$26&gt;$D$22,DCF_Base!$L$19*(1+$D$22/100)/(($A$26-$D$22)/100),DCF_Base!$L$19*DCF_Base!$B$29),DCF_Base!$L$19*DCF_Base!$B$29))/(1+$A$26/100)^DCF_Base!$L$4+Assumptions!$B$5-Assumptions!$B$4)/Assumptions!$B$3*Assumptions!$B$10</f>
        <v>10.6797670091405</v>
      </c>
      <c r="E26" s="0" t="n">
        <f aca="false">(SUMPRODUCT(DCF_Base!$C$19:$L$19/(1+$A$26/100)^DCF_Base!$C$4:$L$4)+MAX(0,MIN(IF($A$26&gt;$E$22,DCF_Base!$L$19*(1+$E$22/100)/(($A$26-$E$22)/100),DCF_Base!$L$19*DCF_Base!$B$29),DCF_Base!$L$19*DCF_Base!$B$29))/(1+$A$26/100)^DCF_Base!$L$4+Assumptions!$B$5-Assumptions!$B$4)/Assumptions!$B$3*Assumptions!$B$10</f>
        <v>10.8830339220722</v>
      </c>
      <c r="F26" s="0" t="n">
        <f aca="false">(SUMPRODUCT(DCF_Base!$C$19:$L$19/(1+$A$26/100)^DCF_Base!$C$4:$L$4)+MAX(0,MIN(IF($A$26&gt;$F$22,DCF_Base!$L$19*(1+$F$22/100)/(($A$26-$F$22)/100),DCF_Base!$L$19*DCF_Base!$B$29),DCF_Base!$L$19*DCF_Base!$B$29))/(1+$A$26/100)^DCF_Base!$L$4+Assumptions!$B$5-Assumptions!$B$4)/Assumptions!$B$3*Assumptions!$B$10</f>
        <v>11.1088860475517</v>
      </c>
    </row>
    <row r="27" customFormat="false" ht="15" hidden="false" customHeight="false" outlineLevel="0" collapsed="false">
      <c r="A27" s="3" t="n">
        <v>13</v>
      </c>
      <c r="B27" s="0" t="n">
        <f aca="false">(SUMPRODUCT(DCF_Base!$C$19:$L$19/(1+$A$27/100)^DCF_Base!$C$4:$L$4)+MAX(0,MIN(IF($A$27&gt;$B$22,DCF_Base!$L$19*(1+$B$22/100)/(($A$27-$B$22)/100),DCF_Base!$L$19*DCF_Base!$B$29),DCF_Base!$L$19*DCF_Base!$B$29))/(1+$A$27/100)^DCF_Base!$L$4+Assumptions!$B$5-Assumptions!$B$4)/Assumptions!$B$3*Assumptions!$B$10</f>
        <v>9.58409697532314</v>
      </c>
      <c r="C27" s="0" t="n">
        <f aca="false">(SUMPRODUCT(DCF_Base!$C$19:$L$19/(1+$A$27/100)^DCF_Base!$C$4:$L$4)+MAX(0,MIN(IF($A$27&gt;$C$22,DCF_Base!$L$19*(1+$C$22/100)/(($A$27-$C$22)/100),DCF_Base!$L$19*DCF_Base!$B$29),DCF_Base!$L$19*DCF_Base!$B$29))/(1+$A$27/100)^DCF_Base!$L$4+Assumptions!$B$5-Assumptions!$B$4)/Assumptions!$B$3*Assumptions!$B$10</f>
        <v>9.71326868953227</v>
      </c>
      <c r="D27" s="0" t="n">
        <f aca="false">(SUMPRODUCT(DCF_Base!$C$19:$L$19/(1+$A$27/100)^DCF_Base!$C$4:$L$4)+MAX(0,MIN(IF($A$27&gt;$D$22,DCF_Base!$L$19*(1+$D$22/100)/(($A$27-$D$22)/100),DCF_Base!$L$19*DCF_Base!$B$29),DCF_Base!$L$19*DCF_Base!$B$29))/(1+$A$27/100)^DCF_Base!$L$4+Assumptions!$B$5-Assumptions!$B$4)/Assumptions!$B$3*Assumptions!$B$10</f>
        <v>9.85418328685131</v>
      </c>
      <c r="E27" s="0" t="n">
        <f aca="false">(SUMPRODUCT(DCF_Base!$C$19:$L$19/(1+$A$27/100)^DCF_Base!$C$4:$L$4)+MAX(0,MIN(IF($A$27&gt;$E$22,DCF_Base!$L$19*(1+$E$22/100)/(($A$27-$E$22)/100),DCF_Base!$L$19*DCF_Base!$B$29),DCF_Base!$L$19*DCF_Base!$B$29))/(1+$A$27/100)^DCF_Base!$L$4+Assumptions!$B$5-Assumptions!$B$4)/Assumptions!$B$3*Assumptions!$B$10</f>
        <v>10.0085183220103</v>
      </c>
      <c r="F27" s="0" t="n">
        <f aca="false">(SUMPRODUCT(DCF_Base!$C$19:$L$19/(1+$A$27/100)^DCF_Base!$C$4:$L$4)+MAX(0,MIN(IF($A$27&gt;$F$22,DCF_Base!$L$19*(1+$F$22/100)/(($A$27-$F$22)/100),DCF_Base!$L$19*DCF_Base!$B$29),DCF_Base!$L$19*DCF_Base!$B$29))/(1+$A$27/100)^DCF_Base!$L$4+Assumptions!$B$5-Assumptions!$B$4)/Assumptions!$B$3*Assumptions!$B$10</f>
        <v>10.1782868606851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2026-09-25T05:16:58Z</dcterms:created>
  <dc:creator>openpyxl</dc:creator>
  <dc:description/>
  <dc:language>en-NZ</dc:language>
  <cp:lastModifiedBy/>
  <dcterms:modified xsi:type="dcterms:W3CDTF">2026-09-25T05:16:58Z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