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<sst xmlns="http://schemas.openxmlformats.org/spreadsheetml/2006/main" count="386" uniqueCount="173">
  <si>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</si>
  <si>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CINF</t>
  </si>
  <si>
    <t xml:space="preserve">Company</t>
  </si>
  <si>
    <t xml:space="preserve">Cincinnati Financial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</si>
  <si>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</si>
  <si>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</si>
  <si>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</si>
  <si>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</si>
  <si>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chart API)</t>
  </si>
  <si>
    <t xml:space="preserve">Balance sheet date</t>
  </si>
  <si>
    <t xml:space="preserve">2026-06-30</t>
  </si>
  <si>
    <t xml:space="preserve">Model</t>
  </si>
  <si>
    <t xml:space="preserve">Insurer FCFE at cost of equity on core revenue, capital retention to hold book/revenue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</si>
  <si>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</si>
  <si>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</si>
  <si>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</si>
  <si>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</si>
  <si>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</si>
  <si>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</si>
  <si>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</si>
  <si>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</si>
  <si>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2026-09-26T00:47:20Z</t>
  </si>
  <si>
    <t xml:space="preserve">Drivers file</t>
  </si>
  <si>
    <t xml:space="preserve">CINF_Drivers.json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</si>
  <si>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</si>
  <si>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</si>
  <si>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</si>
  <si>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P&amp;C insurer is worth the book it compounds, not its cash flow statement. Operating cash flow is float growth and GAAP net income swings with the equity portfolio's mark-to-market, so the model values normalised earnings (underwriting + investment income + an expected, not realised, equity return) net of the equity retention needed to grow premiums with a constant book/revenue ratio, discounted at the cost of equity with debt serviced inside the flow. The result is equivalent to a terminal P/B of (ROE-g)/(CoE-g): base ~1.3x on ~10.7% ROE.
key_risks_to_valuation: Equity market: $13.2bn equity securities (~0.8x book, $8.9bn unrealised gain) -- a 20% drawdown takes ~$2.1bn after tax (~$13.5/share) off book at once; Catastrophe and California wildfire exposure; commercial lines combined 104.1% in Q2-26; Reserve adequacy in long-tail commercial casualty under social inflation; Soft-market transition compressing both premium growth and margins together; The expected equity-appreciation assumption (5% base) is the single largest judgment: each 1pp is ~1.1pp of margin and roughly $10-12/share</t>
  </si>
  <si>
    <t xml:space="preserve">Data sources</t>
  </si>
  <si>
    <t xml:space="preserve">price: Yahoo Finance chart API at inputs.price_as_of; 52-week range 150.00-194.81
financials: CINF_Metrics.csv / CINF.duckdb (SEC XBRL) plus SEC companyfacts API (CIK 0000020286) for PremiumsEarnedNet, NetInvestmentIncome, RealizedInvestmentGainsLosses, pre-tax income, tax, equity securities at fair value, share counts, SBC, dividends and buybacks paid
qualitative: CINF_Analysis.json (2026-09-26): Q2-2026 results and call, guidance, bull/bear cases</t>
  </si>
  <si>
    <t xml:space="preserve">Scenario narrative: bear</t>
  </si>
  <si>
    <t xml:space="preserve">The P&amp;C cycle softens just as cat frequency and social inflation stay elevated: commercial lines stays above 100%, California and convective-storm losses recur, and adverse development appears in long-tail umbrella/workers' comp. An equity-market correction hits the ~40% equity allocation in FY27, marking book down. ROE falls to ~8.5%, below the cost of equity, and the stock de-rates towards ~0.9x book -- the dividend streak survives but per-share value compounds slowly.</t>
  </si>
  <si>
    <t xml:space="preserve">Scenario narrative: base</t>
  </si>
  <si>
    <t xml:space="preserve">Commercial-lines pricing moderates from the post-2022 highs and core revenue growth slows from ~11% to mid-single digits, but underwriting holds near the long-run ~95% combined ratio as California homeowners terms are tightened and E&amp;S/Cincinnati Re keep growing. The ~$13bn equity portfolio earns a normal ~5% price return on top of dividends. That compounds book at ~6-7% plus a ~3.5% dividend yield on book, an ROE of ~10.7% against a 9% cost of equity: worth ~1.3x book, a little under today's 1.5x.</t>
  </si>
  <si>
    <t xml:space="preserve">Scenario narrative: bull</t>
  </si>
  <si>
    <t xml:space="preserve">E&amp;S (+8%) and Cincinnati Re (+16%, 87.6% combined) keep taking share, the commercial-lines cat problem of 2025-26 proves cyclical rather than a risk-selection failure, and the combined ratio settles at ~92-93%. Equity markets deliver ~6%/yr price appreciation on the outsized portfolio. ROE returns to the ~13% of the last decade and the market keeps paying ~1.7x book for a Dividend King compounding at 7%+.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</si>
  <si>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</si>
  <si>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</si>
  <si>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</si>
  <si>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</si>
  <si>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</si>
  <si>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</si>
  <si>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</si>
  <si>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</si>
  <si>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</si>
  <si>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</si>
  <si>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</si>
  <si>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</si>
  <si>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</si>
  <si>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</si>
  <si>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</si>
  <si>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</si>
  <si>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</si>
  <si>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</si>
  <si>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</si>
  <si>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</si>
  <si>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</si>
  <si>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</si>
  <si>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</si>
  <si>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</si>
  <si>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</si>
  <si>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</si>
  <si>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</si>
  <si>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</si>
  <si>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</si>
  <si>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</si>
  <si>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</si>
  <si>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</si>
  <si>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</si>
  <si>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</si>
  <si>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</si>
  <si>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</si>
  <si>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</si>
  <si>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</si>
  <si>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</si>
  <si>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</si>
  <si>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</si>
  <si>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</si>
  <si>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</si>
  <si>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</si>
  <si>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</si>
  <si>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</si>
  <si>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</si>
  <si>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</si>
  <si>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</si>
  <si>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</si>
  <si>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</si>
  <si>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</si>
  <si>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</si>
  <si>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</si>
  <si>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</si>
  <si>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</si>
  <si>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</si>
  <si>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</si>
  <si>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</si>
  <si>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</si>
  <si>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</si>
  <si>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</si>
  <si>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</si>
  <si>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</si>
  <si>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</si>
  <si>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</si>
  <si>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</si>
  <si>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</si>
  <si>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</si>
  <si>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</si>
  <si>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</si>
  <si>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</si>
  <si>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</si>
  <si>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</si>
  <si>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</si>
  <si>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</si>
  <si>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</si>
  <si>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</si>
  <si>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</si>
  <si>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</si>
  <si>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</si>
  <si>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</si>
  <si>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</si>
  <si>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CINF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</si>
  <si>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</si>
  <si>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</si>
  <si>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</si>
  <si>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</si>
  <si>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</si>
  <si>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</si>
  <si>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</si>
  <si>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</si>
  <si>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</si>
  <si>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</si>
  <si>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</si>
  <si>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</si>
  <si>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</si>
  <si>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</si>
  <si>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</si>
  <si>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</si>
  <si>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</si>
  <si>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</si>
  <si>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</si>
  <si>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</si>
  <si>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</si>
  <si>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</si>
  <si>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</si>
  <si>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</si>
  <si>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</si>
  <si>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</si>
  <si>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</si>
  <si>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</si>
  <si>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</si>
  <si>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</si>
  <si>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CINF owner-FCF component DCF: base case (millions, USD)</t>
  </si>
  <si>
    <t xml:space="preserve">CINF owner-FCF component DCF: bull case (millions, USD)</t>
  </si>
  <si>
    <t xml:space="preserve">CINF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</si>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</sst>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162.54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5929</v>
      </c>
      <c r="S2" s="0" t="n">
        <v>226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3824</v>
      </c>
      <c r="I3" s="0" t="n">
        <v>429</v>
      </c>
      <c r="J3" s="0" t="n">
        <v>11.2186192468619</v>
      </c>
      <c r="K3" s="0" t="n">
        <v>2.63</v>
      </c>
      <c r="L3" s="0" t="n">
        <v>484</v>
      </c>
      <c r="M3" s="0" t="n">
        <v>36</v>
      </c>
      <c r="N3" s="0" t="n">
        <v>448</v>
      </c>
      <c r="O3" s="0" t="n">
        <v>4182</v>
      </c>
      <c r="S3" s="0" t="n">
        <v>1009</v>
      </c>
      <c r="U3" s="0" t="n">
        <v>15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3903</v>
      </c>
      <c r="I4" s="0" t="n">
        <v>432</v>
      </c>
      <c r="J4" s="0" t="n">
        <v>11.0684089162183</v>
      </c>
      <c r="K4" s="0" t="n">
        <v>2.66</v>
      </c>
      <c r="L4" s="0" t="n">
        <v>525</v>
      </c>
      <c r="M4" s="0" t="n">
        <v>42</v>
      </c>
      <c r="N4" s="0" t="n">
        <v>483</v>
      </c>
      <c r="O4" s="0" t="n">
        <v>4760</v>
      </c>
      <c r="P4" s="0" t="n">
        <v>14440</v>
      </c>
      <c r="Q4" s="0" t="n">
        <v>9680</v>
      </c>
      <c r="R4" s="0" t="n">
        <v>790</v>
      </c>
      <c r="S4" s="0" t="n">
        <v>557</v>
      </c>
      <c r="T4" s="0" t="n">
        <v>162.866863</v>
      </c>
      <c r="U4" s="0" t="n">
        <v>10</v>
      </c>
      <c r="V4" s="0" t="n">
        <v>1.57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3772</v>
      </c>
      <c r="I5" s="0" t="n">
        <v>375</v>
      </c>
      <c r="J5" s="0" t="n">
        <v>9.94167550371156</v>
      </c>
      <c r="K5" s="0" t="n">
        <v>2.32</v>
      </c>
      <c r="L5" s="0" t="n">
        <v>531</v>
      </c>
      <c r="M5" s="0" t="n">
        <v>17</v>
      </c>
      <c r="N5" s="0" t="n">
        <v>514</v>
      </c>
      <c r="O5" s="0" t="n">
        <v>5012</v>
      </c>
      <c r="P5" s="0" t="n">
        <v>15095</v>
      </c>
      <c r="Q5" s="0" t="n">
        <v>10063</v>
      </c>
      <c r="R5" s="0" t="n">
        <v>807</v>
      </c>
      <c r="S5" s="0" t="n">
        <v>385</v>
      </c>
      <c r="T5" s="0" t="n">
        <v>163.274</v>
      </c>
      <c r="U5" s="0" t="n">
        <v>11</v>
      </c>
      <c r="V5" s="0" t="n">
        <v>1.59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3803</v>
      </c>
      <c r="I6" s="0" t="n">
        <v>164</v>
      </c>
      <c r="J6" s="0" t="n">
        <v>4.3123849592427</v>
      </c>
      <c r="K6" s="0" t="n">
        <v>1.01</v>
      </c>
      <c r="L6" s="0" t="n">
        <v>247</v>
      </c>
      <c r="M6" s="0" t="n">
        <v>7</v>
      </c>
      <c r="N6" s="0" t="n">
        <v>240</v>
      </c>
      <c r="O6" s="0" t="n">
        <v>5033</v>
      </c>
      <c r="P6" s="0" t="n">
        <v>15635</v>
      </c>
      <c r="Q6" s="0" t="n">
        <v>10602</v>
      </c>
      <c r="R6" s="0" t="n">
        <v>821</v>
      </c>
      <c r="S6" s="0" t="n">
        <v>438</v>
      </c>
      <c r="T6" s="0" t="n">
        <v>196</v>
      </c>
      <c r="U6" s="0" t="n">
        <v>13</v>
      </c>
      <c r="V6" s="0" t="n">
        <v>1.605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4111</v>
      </c>
      <c r="I7" s="0" t="n">
        <v>421</v>
      </c>
      <c r="J7" s="0" t="n">
        <v>10.240817319387</v>
      </c>
      <c r="K7" s="0" t="n">
        <v>2.59</v>
      </c>
      <c r="L7" s="0" t="n">
        <v>638</v>
      </c>
      <c r="M7" s="0" t="n">
        <v>6</v>
      </c>
      <c r="N7" s="0" t="n">
        <v>632</v>
      </c>
      <c r="O7" s="0" t="n">
        <v>5453</v>
      </c>
      <c r="P7" s="0" t="n">
        <v>16548</v>
      </c>
      <c r="Q7" s="0" t="n">
        <v>11095</v>
      </c>
      <c r="R7" s="0" t="n">
        <v>827</v>
      </c>
      <c r="S7" s="0" t="n">
        <v>487</v>
      </c>
      <c r="T7" s="0" t="n">
        <v>197</v>
      </c>
      <c r="U7" s="0" t="n">
        <v>16</v>
      </c>
      <c r="V7" s="0" t="n">
        <v>1.62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4531</v>
      </c>
      <c r="I8" s="0" t="n">
        <v>517</v>
      </c>
      <c r="J8" s="0" t="n">
        <v>11.4102847053631</v>
      </c>
      <c r="K8" s="0" t="n">
        <v>3.16</v>
      </c>
      <c r="L8" s="0" t="n">
        <v>796</v>
      </c>
      <c r="M8" s="0" t="n">
        <v>7</v>
      </c>
      <c r="N8" s="0" t="n">
        <v>789</v>
      </c>
      <c r="O8" s="0" t="n">
        <v>6070</v>
      </c>
      <c r="P8" s="0" t="n">
        <v>17662</v>
      </c>
      <c r="Q8" s="0" t="n">
        <v>11592</v>
      </c>
      <c r="R8" s="0" t="n">
        <v>835</v>
      </c>
      <c r="S8" s="0" t="n">
        <v>433</v>
      </c>
      <c r="T8" s="0" t="n">
        <v>198</v>
      </c>
      <c r="U8" s="0" t="n">
        <v>18</v>
      </c>
      <c r="V8" s="0" t="n">
        <v>1.655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4945</v>
      </c>
      <c r="I9" s="0" t="n">
        <v>525</v>
      </c>
      <c r="J9" s="0" t="n">
        <v>10.6167846309403</v>
      </c>
      <c r="K9" s="0" t="n">
        <v>3.21</v>
      </c>
      <c r="L9" s="0" t="n">
        <v>873</v>
      </c>
      <c r="M9" s="0" t="n">
        <v>9</v>
      </c>
      <c r="N9" s="0" t="n">
        <v>864</v>
      </c>
      <c r="O9" s="0" t="n">
        <v>6573</v>
      </c>
      <c r="P9" s="0" t="n">
        <v>18748</v>
      </c>
      <c r="Q9" s="0" t="n">
        <v>12175</v>
      </c>
      <c r="R9" s="0" t="n">
        <v>822</v>
      </c>
      <c r="S9" s="0" t="n">
        <v>591</v>
      </c>
      <c r="T9" s="0" t="n">
        <v>198.3</v>
      </c>
      <c r="U9" s="0" t="n">
        <v>19</v>
      </c>
      <c r="V9" s="0" t="n">
        <v>1.76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5142</v>
      </c>
      <c r="I10" s="0" t="n">
        <v>634</v>
      </c>
      <c r="J10" s="0" t="n">
        <v>12.3298327499028</v>
      </c>
      <c r="K10" s="0" t="n">
        <v>3.87</v>
      </c>
      <c r="L10" s="0" t="n">
        <v>1075</v>
      </c>
      <c r="M10" s="0" t="n">
        <v>10</v>
      </c>
      <c r="N10" s="0" t="n">
        <v>1065</v>
      </c>
      <c r="O10" s="0" t="n">
        <v>6427</v>
      </c>
      <c r="P10" s="0" t="n">
        <v>18888</v>
      </c>
      <c r="Q10" s="0" t="n">
        <v>12461</v>
      </c>
      <c r="R10" s="0" t="n">
        <v>821</v>
      </c>
      <c r="S10" s="0" t="n">
        <v>544</v>
      </c>
      <c r="T10" s="0" t="n">
        <v>198.3</v>
      </c>
      <c r="U10" s="0" t="n">
        <v>20</v>
      </c>
      <c r="V10" s="0" t="n">
        <v>2.3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5449</v>
      </c>
      <c r="I11" s="0" t="n">
        <v>591</v>
      </c>
      <c r="J11" s="0" t="n">
        <v>10.8460267939071</v>
      </c>
      <c r="K11" s="0" t="n">
        <v>3.59</v>
      </c>
      <c r="L11" s="0" t="n">
        <v>1115</v>
      </c>
      <c r="M11" s="0" t="n">
        <v>13</v>
      </c>
      <c r="N11" s="0" t="n">
        <v>1102</v>
      </c>
      <c r="O11" s="0" t="n">
        <v>7060</v>
      </c>
      <c r="P11" s="0" t="n">
        <v>20386</v>
      </c>
      <c r="Q11" s="0" t="n">
        <v>13326</v>
      </c>
      <c r="R11" s="0" t="n">
        <v>826</v>
      </c>
      <c r="S11" s="0" t="n">
        <v>777</v>
      </c>
      <c r="T11" s="0" t="n">
        <v>198.3</v>
      </c>
      <c r="U11" s="0" t="n">
        <v>23</v>
      </c>
      <c r="V11" s="0" t="n">
        <v>1.92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5732</v>
      </c>
      <c r="I12" s="0" t="n">
        <v>1045</v>
      </c>
      <c r="J12" s="0" t="n">
        <v>18.2309839497558</v>
      </c>
      <c r="K12" s="0" t="n">
        <v>6.36</v>
      </c>
      <c r="L12" s="0" t="n">
        <v>1052</v>
      </c>
      <c r="M12" s="0" t="n">
        <v>16</v>
      </c>
      <c r="N12" s="0" t="n">
        <v>1036</v>
      </c>
      <c r="O12" s="0" t="n">
        <v>8243</v>
      </c>
      <c r="P12" s="0" t="n">
        <v>21843</v>
      </c>
      <c r="Q12" s="0" t="n">
        <v>13600</v>
      </c>
      <c r="R12" s="0" t="n">
        <v>827</v>
      </c>
      <c r="S12" s="0" t="n">
        <v>657</v>
      </c>
      <c r="T12" s="0" t="n">
        <v>198.3</v>
      </c>
      <c r="U12" s="0" t="n">
        <v>26</v>
      </c>
      <c r="V12" s="0" t="n">
        <v>2.5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5407</v>
      </c>
      <c r="I13" s="0" t="n">
        <v>287</v>
      </c>
      <c r="J13" s="0" t="n">
        <v>5.30793415942297</v>
      </c>
      <c r="K13" s="0" t="n">
        <v>1.76</v>
      </c>
      <c r="L13" s="0" t="n">
        <v>1181</v>
      </c>
      <c r="M13" s="0" t="n">
        <v>20</v>
      </c>
      <c r="N13" s="0" t="n">
        <v>1161</v>
      </c>
      <c r="O13" s="0" t="n">
        <v>7833</v>
      </c>
      <c r="P13" s="0" t="n">
        <v>21935</v>
      </c>
      <c r="Q13" s="0" t="n">
        <v>14102</v>
      </c>
      <c r="R13" s="0" t="n">
        <v>834</v>
      </c>
      <c r="S13" s="0" t="n">
        <v>784</v>
      </c>
      <c r="T13" s="0" t="n">
        <v>198.3</v>
      </c>
      <c r="U13" s="0" t="n">
        <v>28</v>
      </c>
      <c r="V13" s="0" t="n">
        <v>2.12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7924</v>
      </c>
      <c r="I14" s="0" t="n">
        <v>1997</v>
      </c>
      <c r="J14" s="0" t="n">
        <v>25.2019182231196</v>
      </c>
      <c r="K14" s="0" t="n">
        <v>12.24</v>
      </c>
      <c r="L14" s="0" t="n">
        <v>1208</v>
      </c>
      <c r="M14" s="0" t="n">
        <v>24</v>
      </c>
      <c r="N14" s="0" t="n">
        <v>1184</v>
      </c>
      <c r="O14" s="0" t="n">
        <v>9864</v>
      </c>
      <c r="P14" s="0" t="n">
        <v>25408</v>
      </c>
      <c r="Q14" s="0" t="n">
        <v>15544</v>
      </c>
      <c r="R14" s="0" t="n">
        <v>846</v>
      </c>
      <c r="S14" s="0" t="n">
        <v>767</v>
      </c>
      <c r="T14" s="0" t="n">
        <v>198.3</v>
      </c>
      <c r="U14" s="0" t="n">
        <v>30</v>
      </c>
      <c r="V14" s="0" t="n">
        <v>2.24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7536</v>
      </c>
      <c r="I15" s="0" t="n">
        <v>1216</v>
      </c>
      <c r="J15" s="0" t="n">
        <v>16.135881104034</v>
      </c>
      <c r="K15" s="0" t="n">
        <v>7.55</v>
      </c>
      <c r="L15" s="0" t="n">
        <v>1491</v>
      </c>
      <c r="M15" s="0" t="n">
        <v>20</v>
      </c>
      <c r="N15" s="0" t="n">
        <v>1471</v>
      </c>
      <c r="O15" s="0" t="n">
        <v>10789</v>
      </c>
      <c r="P15" s="0" t="n">
        <v>27542</v>
      </c>
      <c r="Q15" s="0" t="n">
        <v>16753</v>
      </c>
      <c r="R15" s="0" t="n">
        <v>845</v>
      </c>
      <c r="S15" s="0" t="n">
        <v>900</v>
      </c>
      <c r="T15" s="0" t="n">
        <v>162.4</v>
      </c>
      <c r="U15" s="0" t="n">
        <v>31</v>
      </c>
      <c r="V15" s="0" t="n">
        <v>2.4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9626</v>
      </c>
      <c r="I16" s="0" t="n">
        <v>2968</v>
      </c>
      <c r="J16" s="0" t="n">
        <v>30.833160191149</v>
      </c>
      <c r="K16" s="0" t="n">
        <v>18.43</v>
      </c>
      <c r="L16" s="0" t="n">
        <v>1981</v>
      </c>
      <c r="M16" s="0" t="n">
        <v>15</v>
      </c>
      <c r="N16" s="0" t="n">
        <v>1966</v>
      </c>
      <c r="O16" s="0" t="n">
        <v>12764</v>
      </c>
      <c r="P16" s="0" t="n">
        <v>31387</v>
      </c>
      <c r="Q16" s="0" t="n">
        <v>18282</v>
      </c>
      <c r="R16" s="0" t="n">
        <v>843</v>
      </c>
      <c r="S16" s="0" t="n">
        <v>1139</v>
      </c>
      <c r="T16" s="0" t="n">
        <v>162.7</v>
      </c>
      <c r="U16" s="0" t="n">
        <v>33</v>
      </c>
      <c r="V16" s="0" t="n">
        <v>2.52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6563</v>
      </c>
      <c r="I17" s="0" t="n">
        <v>-487</v>
      </c>
      <c r="J17" s="0" t="n">
        <v>-7.42038701813195</v>
      </c>
      <c r="K17" s="0" t="n">
        <v>-3.06</v>
      </c>
      <c r="L17" s="0" t="n">
        <v>2052</v>
      </c>
      <c r="M17" s="0" t="n">
        <v>15</v>
      </c>
      <c r="N17" s="0" t="n">
        <v>2037</v>
      </c>
      <c r="O17" s="0" t="n">
        <v>10562</v>
      </c>
      <c r="P17" s="0" t="n">
        <v>29732</v>
      </c>
      <c r="Q17" s="0" t="n">
        <v>19170</v>
      </c>
      <c r="R17" s="0" t="n">
        <v>841</v>
      </c>
      <c r="S17" s="0" t="n">
        <v>1264</v>
      </c>
      <c r="T17" s="0" t="n">
        <v>158.8</v>
      </c>
      <c r="V17" s="0" t="n">
        <v>2.76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10013</v>
      </c>
      <c r="I18" s="0" t="n">
        <v>1843</v>
      </c>
      <c r="J18" s="0" t="n">
        <v>18.4060721062619</v>
      </c>
      <c r="K18" s="0" t="n">
        <v>11.74</v>
      </c>
      <c r="L18" s="0" t="n">
        <v>2052</v>
      </c>
      <c r="M18" s="0" t="n">
        <v>18</v>
      </c>
      <c r="N18" s="0" t="n">
        <v>2034</v>
      </c>
      <c r="O18" s="0" t="n">
        <v>12098</v>
      </c>
      <c r="P18" s="0" t="n">
        <v>32769</v>
      </c>
      <c r="Q18" s="0" t="n">
        <v>20671</v>
      </c>
      <c r="R18" s="0" t="n">
        <v>849</v>
      </c>
      <c r="S18" s="0" t="n">
        <v>907</v>
      </c>
      <c r="T18" s="0" t="n">
        <v>158.1</v>
      </c>
      <c r="V18" s="0" t="n">
        <v>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11337</v>
      </c>
      <c r="I19" s="0" t="n">
        <v>2292</v>
      </c>
      <c r="J19" s="0" t="n">
        <v>20.2169886213284</v>
      </c>
      <c r="K19" s="0" t="n">
        <v>14.65</v>
      </c>
      <c r="L19" s="0" t="n">
        <v>2649</v>
      </c>
      <c r="M19" s="0" t="n">
        <v>22</v>
      </c>
      <c r="N19" s="0" t="n">
        <v>2627</v>
      </c>
      <c r="O19" s="0" t="n">
        <v>13935</v>
      </c>
      <c r="P19" s="0" t="n">
        <v>36501</v>
      </c>
      <c r="Q19" s="0" t="n">
        <v>22566</v>
      </c>
      <c r="R19" s="0" t="n">
        <v>850</v>
      </c>
      <c r="S19" s="0" t="n">
        <v>983</v>
      </c>
      <c r="T19" s="0" t="n">
        <v>157.8</v>
      </c>
      <c r="V19" s="0" t="n">
        <v>3.24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12631</v>
      </c>
      <c r="I20" s="0" t="n">
        <v>2393</v>
      </c>
      <c r="J20" s="0" t="n">
        <v>18.9454516665347</v>
      </c>
      <c r="K20" s="0" t="n">
        <v>15.32</v>
      </c>
      <c r="L20" s="0" t="n">
        <v>3112</v>
      </c>
      <c r="M20" s="0" t="n">
        <v>20</v>
      </c>
      <c r="N20" s="0" t="n">
        <v>3092</v>
      </c>
      <c r="O20" s="0" t="n">
        <v>15911</v>
      </c>
      <c r="P20" s="0" t="n">
        <v>41002</v>
      </c>
      <c r="Q20" s="0" t="n">
        <v>25091</v>
      </c>
      <c r="R20" s="0" t="n">
        <v>861</v>
      </c>
      <c r="S20" s="0" t="n">
        <v>1431</v>
      </c>
      <c r="T20" s="0" t="n">
        <v>157.7</v>
      </c>
      <c r="V20" s="0" t="n">
        <v>3.48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162.54</v>
      </c>
    </row>
    <row r="3" customFormat="false" ht="15" hidden="false" customHeight="false" outlineLevel="0" collapsed="false">
      <c r="A3" s="0" t="s">
        <v>85</v>
      </c>
      <c r="B3" s="3" t="n">
        <v>155.1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11189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4.5</v>
      </c>
      <c r="D13" s="3" t="n">
        <v>3</v>
      </c>
      <c r="E13" s="3" t="n">
        <v>2.5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16.5</v>
      </c>
      <c r="D14" s="3" t="n">
        <v>12</v>
      </c>
      <c r="E14" s="3" t="n">
        <v>14</v>
      </c>
      <c r="F14" s="3" t="n">
        <v>14.2</v>
      </c>
      <c r="G14" s="3" t="n">
        <v>14.2</v>
      </c>
      <c r="H14" s="3" t="n">
        <v>14.2</v>
      </c>
      <c r="I14" s="3" t="n">
        <v>14.2</v>
      </c>
      <c r="J14" s="3" t="n">
        <v>14.2</v>
      </c>
      <c r="K14" s="3" t="n">
        <v>14.2</v>
      </c>
      <c r="L14" s="3" t="n">
        <v>14.2</v>
      </c>
    </row>
    <row r="15" customFormat="false" ht="15" hidden="false" customHeight="false" outlineLevel="0" collapsed="false">
      <c r="A15" s="0" t="s">
        <v>107</v>
      </c>
      <c r="C15" s="3" t="n">
        <v>0.41</v>
      </c>
      <c r="D15" s="3" t="n">
        <v>0.41</v>
      </c>
      <c r="E15" s="3" t="n">
        <v>0.41</v>
      </c>
      <c r="F15" s="3" t="n">
        <v>0.41</v>
      </c>
      <c r="G15" s="3" t="n">
        <v>0.41</v>
      </c>
      <c r="H15" s="3" t="n">
        <v>0.41</v>
      </c>
      <c r="I15" s="3" t="n">
        <v>0.41</v>
      </c>
      <c r="J15" s="3" t="n">
        <v>0.41</v>
      </c>
      <c r="K15" s="3" t="n">
        <v>0.41</v>
      </c>
      <c r="L15" s="3" t="n">
        <v>0.41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111</v>
      </c>
      <c r="C19" s="3" t="n">
        <v>19.5</v>
      </c>
      <c r="D19" s="3" t="n">
        <v>19.5</v>
      </c>
      <c r="E19" s="3" t="n">
        <v>19.5</v>
      </c>
      <c r="F19" s="3" t="n">
        <v>19.5</v>
      </c>
      <c r="G19" s="3" t="n">
        <v>19.5</v>
      </c>
      <c r="H19" s="3" t="n">
        <v>19.5</v>
      </c>
      <c r="I19" s="3" t="n">
        <v>19.5</v>
      </c>
      <c r="J19" s="3" t="n">
        <v>19.5</v>
      </c>
      <c r="K19" s="3" t="n">
        <v>19.5</v>
      </c>
      <c r="L19" s="3" t="n">
        <v>19.5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20</v>
      </c>
    </row>
    <row r="23" customFormat="false" ht="15" hidden="false" customHeight="false" outlineLevel="0" collapsed="false">
      <c r="A23" s="0" t="s">
        <v>115</v>
      </c>
      <c r="B23" s="3" t="n">
        <v>-140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6</v>
      </c>
      <c r="D27" s="3" t="n">
        <v>5.5</v>
      </c>
      <c r="E27" s="3" t="n">
        <v>5</v>
      </c>
      <c r="F27" s="3" t="n">
        <v>5</v>
      </c>
      <c r="G27" s="3" t="n">
        <v>4.5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18.3</v>
      </c>
      <c r="D28" s="3" t="n">
        <v>19</v>
      </c>
      <c r="E28" s="3" t="n">
        <v>19.2</v>
      </c>
      <c r="F28" s="3" t="n">
        <v>19.2</v>
      </c>
      <c r="G28" s="3" t="n">
        <v>19.2</v>
      </c>
      <c r="H28" s="3" t="n">
        <v>19.2</v>
      </c>
      <c r="I28" s="3" t="n">
        <v>19.2</v>
      </c>
      <c r="J28" s="3" t="n">
        <v>19.2</v>
      </c>
      <c r="K28" s="3" t="n">
        <v>19.2</v>
      </c>
      <c r="L28" s="3" t="n">
        <v>19.2</v>
      </c>
    </row>
    <row r="29" customFormat="false" ht="15" hidden="false" customHeight="false" outlineLevel="0" collapsed="false">
      <c r="A29" s="0" t="s">
        <v>107</v>
      </c>
      <c r="C29" s="3" t="n">
        <v>0.41</v>
      </c>
      <c r="D29" s="3" t="n">
        <v>0.41</v>
      </c>
      <c r="E29" s="3" t="n">
        <v>0.41</v>
      </c>
      <c r="F29" s="3" t="n">
        <v>0.41</v>
      </c>
      <c r="G29" s="3" t="n">
        <v>0.41</v>
      </c>
      <c r="H29" s="3" t="n">
        <v>0.41</v>
      </c>
      <c r="I29" s="3" t="n">
        <v>0.41</v>
      </c>
      <c r="J29" s="3" t="n">
        <v>0.41</v>
      </c>
      <c r="K29" s="3" t="n">
        <v>0.41</v>
      </c>
      <c r="L29" s="3" t="n">
        <v>0.41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111</v>
      </c>
      <c r="C33" s="3" t="n">
        <v>19.5</v>
      </c>
      <c r="D33" s="3" t="n">
        <v>19.5</v>
      </c>
      <c r="E33" s="3" t="n">
        <v>19.5</v>
      </c>
      <c r="F33" s="3" t="n">
        <v>19.5</v>
      </c>
      <c r="G33" s="3" t="n">
        <v>19.5</v>
      </c>
      <c r="H33" s="3" t="n">
        <v>19.5</v>
      </c>
      <c r="I33" s="3" t="n">
        <v>19.5</v>
      </c>
      <c r="J33" s="3" t="n">
        <v>19.5</v>
      </c>
      <c r="K33" s="3" t="n">
        <v>19.5</v>
      </c>
      <c r="L33" s="3" t="n">
        <v>19.5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-140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7.5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19.5</v>
      </c>
      <c r="D42" s="3" t="n">
        <v>21</v>
      </c>
      <c r="E42" s="3" t="n">
        <v>22</v>
      </c>
      <c r="F42" s="3" t="n">
        <v>22.5</v>
      </c>
      <c r="G42" s="3" t="n">
        <v>22.5</v>
      </c>
      <c r="H42" s="3" t="n">
        <v>22.5</v>
      </c>
      <c r="I42" s="3" t="n">
        <v>22.5</v>
      </c>
      <c r="J42" s="3" t="n">
        <v>22.5</v>
      </c>
      <c r="K42" s="3" t="n">
        <v>22.5</v>
      </c>
      <c r="L42" s="3" t="n">
        <v>22.5</v>
      </c>
    </row>
    <row r="43" customFormat="false" ht="15" hidden="false" customHeight="false" outlineLevel="0" collapsed="false">
      <c r="A43" s="0" t="s">
        <v>107</v>
      </c>
      <c r="C43" s="3" t="n">
        <v>0.41</v>
      </c>
      <c r="D43" s="3" t="n">
        <v>0.41</v>
      </c>
      <c r="E43" s="3" t="n">
        <v>0.41</v>
      </c>
      <c r="F43" s="3" t="n">
        <v>0.41</v>
      </c>
      <c r="G43" s="3" t="n">
        <v>0.41</v>
      </c>
      <c r="H43" s="3" t="n">
        <v>0.41</v>
      </c>
      <c r="I43" s="3" t="n">
        <v>0.41</v>
      </c>
      <c r="J43" s="3" t="n">
        <v>0.41</v>
      </c>
      <c r="K43" s="3" t="n">
        <v>0.41</v>
      </c>
      <c r="L43" s="3" t="n">
        <v>0.41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111</v>
      </c>
      <c r="C47" s="3" t="n">
        <v>19.5</v>
      </c>
      <c r="D47" s="3" t="n">
        <v>19.5</v>
      </c>
      <c r="E47" s="3" t="n">
        <v>19.5</v>
      </c>
      <c r="F47" s="3" t="n">
        <v>19.5</v>
      </c>
      <c r="G47" s="3" t="n">
        <v>19.5</v>
      </c>
      <c r="H47" s="3" t="n">
        <v>19.5</v>
      </c>
      <c r="I47" s="3" t="n">
        <v>19.5</v>
      </c>
      <c r="J47" s="3" t="n">
        <v>19.5</v>
      </c>
      <c r="K47" s="3" t="n">
        <v>19.5</v>
      </c>
      <c r="L47" s="3" t="n">
        <v>19.5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3.5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-140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4.5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11189</v>
      </c>
      <c r="C6" s="0" t="n">
        <f aca="false">B6*(1+C5/100)</f>
        <v>11692.505</v>
      </c>
      <c r="D6" s="0" t="n">
        <f aca="false">C6*(1+D5/100)</f>
        <v>12043.28015</v>
      </c>
      <c r="E6" s="0" t="n">
        <f aca="false">D6*(1+E5/100)</f>
        <v>12344.36215375</v>
      </c>
      <c r="F6" s="0" t="n">
        <f aca="false">E6*(1+F5/100)</f>
        <v>12652.9712075937</v>
      </c>
      <c r="G6" s="0" t="n">
        <f aca="false">F6*(1+G5/100)</f>
        <v>12969.2954877836</v>
      </c>
      <c r="H6" s="0" t="n">
        <f aca="false">G6*(1+H5/100)</f>
        <v>13293.5278749782</v>
      </c>
      <c r="I6" s="0" t="n">
        <f aca="false">H6*(1+I5/100)</f>
        <v>13625.8660718526</v>
      </c>
      <c r="J6" s="0" t="n">
        <f aca="false">I6*(1+J5/100)</f>
        <v>13966.5127236489</v>
      </c>
      <c r="K6" s="0" t="n">
        <f aca="false">J6*(1+K5/100)</f>
        <v>14315.6755417402</v>
      </c>
      <c r="L6" s="0" t="n">
        <f aca="false">K6*(1+L5/100)</f>
        <v>14673.5674302837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16.5</v>
      </c>
      <c r="D7" s="4" t="n">
        <f aca="false">Assumptions!D14</f>
        <v>12</v>
      </c>
      <c r="E7" s="4" t="n">
        <f aca="false">Assumptions!E14</f>
        <v>14</v>
      </c>
      <c r="F7" s="4" t="n">
        <f aca="false">Assumptions!F14</f>
        <v>14.2</v>
      </c>
      <c r="G7" s="4" t="n">
        <f aca="false">Assumptions!G14</f>
        <v>14.2</v>
      </c>
      <c r="H7" s="4" t="n">
        <f aca="false">Assumptions!H14</f>
        <v>14.2</v>
      </c>
      <c r="I7" s="4" t="n">
        <f aca="false">Assumptions!I14</f>
        <v>14.2</v>
      </c>
      <c r="J7" s="4" t="n">
        <f aca="false">Assumptions!J14</f>
        <v>14.2</v>
      </c>
      <c r="K7" s="4" t="n">
        <f aca="false">Assumptions!K14</f>
        <v>14.2</v>
      </c>
      <c r="L7" s="4" t="n">
        <f aca="false">Assumptions!L14</f>
        <v>14.2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1929.263325</v>
      </c>
      <c r="D8" s="0" t="n">
        <f aca="false">D6*D7/100</f>
        <v>1445.193618</v>
      </c>
      <c r="E8" s="0" t="n">
        <f aca="false">E6*E7/100</f>
        <v>1728.210701525</v>
      </c>
      <c r="F8" s="0" t="n">
        <f aca="false">F6*F7/100</f>
        <v>1796.72191147831</v>
      </c>
      <c r="G8" s="0" t="n">
        <f aca="false">G6*G7/100</f>
        <v>1841.63995926527</v>
      </c>
      <c r="H8" s="0" t="n">
        <f aca="false">H6*H7/100</f>
        <v>1887.6809582469</v>
      </c>
      <c r="I8" s="0" t="n">
        <f aca="false">I6*I7/100</f>
        <v>1934.87298220307</v>
      </c>
      <c r="J8" s="0" t="n">
        <f aca="false">J6*J7/100</f>
        <v>1983.24480675815</v>
      </c>
      <c r="K8" s="0" t="n">
        <f aca="false">K6*K7/100</f>
        <v>2032.8259269271</v>
      </c>
      <c r="L8" s="0" t="n">
        <f aca="false">L6*L7/100</f>
        <v>2083.64657510028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0.41</v>
      </c>
      <c r="D9" s="4" t="n">
        <f aca="false">Assumptions!D15</f>
        <v>0.41</v>
      </c>
      <c r="E9" s="4" t="n">
        <f aca="false">Assumptions!E15</f>
        <v>0.41</v>
      </c>
      <c r="F9" s="4" t="n">
        <f aca="false">Assumptions!F15</f>
        <v>0.41</v>
      </c>
      <c r="G9" s="4" t="n">
        <f aca="false">Assumptions!G15</f>
        <v>0.41</v>
      </c>
      <c r="H9" s="4" t="n">
        <f aca="false">Assumptions!H15</f>
        <v>0.41</v>
      </c>
      <c r="I9" s="4" t="n">
        <f aca="false">Assumptions!I15</f>
        <v>0.41</v>
      </c>
      <c r="J9" s="4" t="n">
        <f aca="false">Assumptions!J15</f>
        <v>0.41</v>
      </c>
      <c r="K9" s="4" t="n">
        <f aca="false">Assumptions!K15</f>
        <v>0.41</v>
      </c>
      <c r="L9" s="4" t="n">
        <f aca="false">Assumptions!L15</f>
        <v>0.41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-47.9392705</v>
      </c>
      <c r="D10" s="0" t="n">
        <f aca="false">-D6*D9/100</f>
        <v>-49.377448615</v>
      </c>
      <c r="E10" s="0" t="n">
        <f aca="false">-E6*E9/100</f>
        <v>-50.611884830375</v>
      </c>
      <c r="F10" s="0" t="n">
        <f aca="false">-F6*F9/100</f>
        <v>-51.8771819511344</v>
      </c>
      <c r="G10" s="0" t="n">
        <f aca="false">-G6*G9/100</f>
        <v>-53.1741114999127</v>
      </c>
      <c r="H10" s="0" t="n">
        <f aca="false">-H6*H9/100</f>
        <v>-54.5034642874105</v>
      </c>
      <c r="I10" s="0" t="n">
        <f aca="false">-I6*I9/100</f>
        <v>-55.8660508945958</v>
      </c>
      <c r="J10" s="0" t="n">
        <f aca="false">-J6*J9/100</f>
        <v>-57.2627021669607</v>
      </c>
      <c r="K10" s="0" t="n">
        <f aca="false">-K6*K9/100</f>
        <v>-58.6942697211347</v>
      </c>
      <c r="L10" s="0" t="n">
        <f aca="false">-L6*L9/100</f>
        <v>-60.1616264641631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1881.3240545</v>
      </c>
      <c r="D11" s="0" t="n">
        <f aca="false">D8+D10+D24</f>
        <v>1395.816169385</v>
      </c>
      <c r="E11" s="0" t="n">
        <f aca="false">E8+E10+E24</f>
        <v>1677.59881669462</v>
      </c>
      <c r="F11" s="0" t="n">
        <f aca="false">F8+F10+F24</f>
        <v>1744.84472952718</v>
      </c>
      <c r="G11" s="0" t="n">
        <f aca="false">G8+G10+G24</f>
        <v>1788.46584776536</v>
      </c>
      <c r="H11" s="0" t="n">
        <f aca="false">H8+H10+H24</f>
        <v>1833.17749395949</v>
      </c>
      <c r="I11" s="0" t="n">
        <f aca="false">I8+I10+I24</f>
        <v>1879.00693130848</v>
      </c>
      <c r="J11" s="0" t="n">
        <f aca="false">J8+J10+J24</f>
        <v>1925.98210459119</v>
      </c>
      <c r="K11" s="0" t="n">
        <f aca="false">K8+K10+K24</f>
        <v>1974.13165720597</v>
      </c>
      <c r="L11" s="0" t="n">
        <f aca="false">L8+L10+L24</f>
        <v>2023.48494863612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1881.3240545</v>
      </c>
      <c r="D13" s="0" t="n">
        <f aca="false">D11+D12</f>
        <v>1395.816169385</v>
      </c>
      <c r="E13" s="0" t="n">
        <f aca="false">E11+E12</f>
        <v>1677.59881669462</v>
      </c>
      <c r="F13" s="0" t="n">
        <f aca="false">F11+F12</f>
        <v>1744.84472952718</v>
      </c>
      <c r="G13" s="0" t="n">
        <f aca="false">G11+G12</f>
        <v>1788.46584776536</v>
      </c>
      <c r="H13" s="0" t="n">
        <f aca="false">H11+H12</f>
        <v>1833.17749395949</v>
      </c>
      <c r="I13" s="0" t="n">
        <f aca="false">I11+I12</f>
        <v>1879.00693130848</v>
      </c>
      <c r="J13" s="0" t="n">
        <f aca="false">J11+J12</f>
        <v>1925.98210459119</v>
      </c>
      <c r="K13" s="0" t="n">
        <f aca="false">K11+K12</f>
        <v>1974.13165720597</v>
      </c>
      <c r="L13" s="0" t="n">
        <f aca="false">L11+L12</f>
        <v>2023.48494863612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19.5</v>
      </c>
      <c r="D14" s="4" t="n">
        <f aca="false">Assumptions!D19</f>
        <v>19.5</v>
      </c>
      <c r="E14" s="4" t="n">
        <f aca="false">Assumptions!E19</f>
        <v>19.5</v>
      </c>
      <c r="F14" s="4" t="n">
        <f aca="false">Assumptions!F19</f>
        <v>19.5</v>
      </c>
      <c r="G14" s="4" t="n">
        <f aca="false">Assumptions!G19</f>
        <v>19.5</v>
      </c>
      <c r="H14" s="4" t="n">
        <f aca="false">Assumptions!H19</f>
        <v>19.5</v>
      </c>
      <c r="I14" s="4" t="n">
        <f aca="false">Assumptions!I19</f>
        <v>19.5</v>
      </c>
      <c r="J14" s="4" t="n">
        <f aca="false">Assumptions!J19</f>
        <v>19.5</v>
      </c>
      <c r="K14" s="4" t="n">
        <f aca="false">Assumptions!K19</f>
        <v>19.5</v>
      </c>
      <c r="L14" s="4" t="n">
        <f aca="false">Assumptions!L19</f>
        <v>19.5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1514.4658638725</v>
      </c>
      <c r="D15" s="0" t="n">
        <f aca="false">D13-MAX(0,D13)*D14/100</f>
        <v>1123.63201635492</v>
      </c>
      <c r="E15" s="0" t="n">
        <f aca="false">E13-MAX(0,E13)*E14/100</f>
        <v>1350.46704743917</v>
      </c>
      <c r="F15" s="0" t="n">
        <f aca="false">F13-MAX(0,F13)*F14/100</f>
        <v>1404.60000726938</v>
      </c>
      <c r="G15" s="0" t="n">
        <f aca="false">G13-MAX(0,G13)*G14/100</f>
        <v>1439.71500745111</v>
      </c>
      <c r="H15" s="0" t="n">
        <f aca="false">H13-MAX(0,H13)*H14/100</f>
        <v>1475.70788263739</v>
      </c>
      <c r="I15" s="0" t="n">
        <f aca="false">I13-MAX(0,I13)*I14/100</f>
        <v>1512.60057970333</v>
      </c>
      <c r="J15" s="0" t="n">
        <f aca="false">J13-MAX(0,J13)*J14/100</f>
        <v>1550.41559419591</v>
      </c>
      <c r="K15" s="0" t="n">
        <f aca="false">K13-MAX(0,K13)*K14/100</f>
        <v>1589.17598405081</v>
      </c>
      <c r="L15" s="0" t="n">
        <f aca="false">L13-MAX(0,L13)*L14/100</f>
        <v>1628.90538365208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-704.906999999999</v>
      </c>
      <c r="D18" s="4" t="n">
        <f aca="false">(D6-C6)*Assumptions!$B$23/100</f>
        <v>-491.085209999999</v>
      </c>
      <c r="E18" s="4" t="n">
        <f aca="false">(E6-D6)*Assumptions!$B$23/100</f>
        <v>-421.51480525</v>
      </c>
      <c r="F18" s="4" t="n">
        <f aca="false">(F6-E6)*Assumptions!$B$23/100</f>
        <v>-432.052675381249</v>
      </c>
      <c r="G18" s="4" t="n">
        <f aca="false">(G6-F6)*Assumptions!$B$23/100</f>
        <v>-442.85399226578</v>
      </c>
      <c r="H18" s="4" t="n">
        <f aca="false">(H6-G6)*Assumptions!$B$23/100</f>
        <v>-453.925342072424</v>
      </c>
      <c r="I18" s="4" t="n">
        <f aca="false">(I6-H6)*Assumptions!$B$23/100</f>
        <v>-465.273475624233</v>
      </c>
      <c r="J18" s="4" t="n">
        <f aca="false">(J6-I6)*Assumptions!$B$23/100</f>
        <v>-476.90531251484</v>
      </c>
      <c r="K18" s="4" t="n">
        <f aca="false">(K6-J6)*Assumptions!$B$23/100</f>
        <v>-488.827945327712</v>
      </c>
      <c r="L18" s="4" t="n">
        <f aca="false">(L6-K6)*Assumptions!$B$23/100</f>
        <v>-501.048643960905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809.558863872501</v>
      </c>
      <c r="D19" s="0" t="n">
        <f aca="false">D15+D16+D17+D18</f>
        <v>632.546806354926</v>
      </c>
      <c r="E19" s="0" t="n">
        <f aca="false">E15+E16+E17+E18</f>
        <v>928.952242189173</v>
      </c>
      <c r="F19" s="0" t="n">
        <f aca="false">F15+F16+F17+F18</f>
        <v>972.547331888129</v>
      </c>
      <c r="G19" s="0" t="n">
        <f aca="false">G15+G16+G17+G18</f>
        <v>996.861015185332</v>
      </c>
      <c r="H19" s="0" t="n">
        <f aca="false">H15+H16+H17+H18</f>
        <v>1021.78254056497</v>
      </c>
      <c r="I19" s="0" t="n">
        <f aca="false">I15+I16+I17+I18</f>
        <v>1047.32710407909</v>
      </c>
      <c r="J19" s="0" t="n">
        <f aca="false">J15+J16+J17+J18</f>
        <v>1073.51028168107</v>
      </c>
      <c r="K19" s="0" t="n">
        <f aca="false">K15+K16+K17+K18</f>
        <v>1100.34803872309</v>
      </c>
      <c r="L19" s="0" t="n">
        <f aca="false">L15+L16+L17+L18</f>
        <v>1127.85673969117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742.714554011469</v>
      </c>
      <c r="D21" s="0" t="n">
        <f aca="false">D19*D20</f>
        <v>532.401991713598</v>
      </c>
      <c r="E21" s="0" t="n">
        <f aca="false">E19*E20</f>
        <v>717.321575184164</v>
      </c>
      <c r="F21" s="0" t="n">
        <f aca="false">F19*F20</f>
        <v>688.977048863741</v>
      </c>
      <c r="G21" s="0" t="n">
        <f aca="false">G19*G20</f>
        <v>647.891261546179</v>
      </c>
      <c r="H21" s="0" t="n">
        <f aca="false">H19*H20</f>
        <v>609.255544114527</v>
      </c>
      <c r="I21" s="0" t="n">
        <f aca="false">I19*I20</f>
        <v>572.923791483844</v>
      </c>
      <c r="J21" s="0" t="n">
        <f aca="false">J19*J20</f>
        <v>538.758611257743</v>
      </c>
      <c r="K21" s="0" t="n">
        <f aca="false">K19*K20</f>
        <v>506.63080416439</v>
      </c>
      <c r="L21" s="0" t="n">
        <f aca="false">L19*L20</f>
        <v>476.418875475688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6033.29405781534</v>
      </c>
    </row>
    <row r="31" customFormat="false" ht="15" hidden="false" customHeight="false" outlineLevel="0" collapsed="false">
      <c r="A31" s="0" t="s">
        <v>136</v>
      </c>
      <c r="B31" s="0" t="n">
        <f aca="false">L19</f>
        <v>1127.85673969117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17785.4332028223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22557.1347938234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17785.4332028223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7512.75919019355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13546.0532480089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13546.0532480089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87.3375451193352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-0.462670449616493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340.168172341449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400.742218590096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92.1145302317243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9248.4252654676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44.5440807862078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11189</v>
      </c>
      <c r="C6" s="0" t="n">
        <f aca="false">B6*(1+C5/100)</f>
        <v>11860.34</v>
      </c>
      <c r="D6" s="0" t="n">
        <f aca="false">C6*(1+D5/100)</f>
        <v>12512.6587</v>
      </c>
      <c r="E6" s="0" t="n">
        <f aca="false">D6*(1+E5/100)</f>
        <v>13138.291635</v>
      </c>
      <c r="F6" s="0" t="n">
        <f aca="false">E6*(1+F5/100)</f>
        <v>13795.20621675</v>
      </c>
      <c r="G6" s="0" t="n">
        <f aca="false">F6*(1+G5/100)</f>
        <v>14415.9904965038</v>
      </c>
      <c r="H6" s="0" t="n">
        <f aca="false">G6*(1+H5/100)</f>
        <v>15064.7100688464</v>
      </c>
      <c r="I6" s="0" t="n">
        <f aca="false">H6*(1+I5/100)</f>
        <v>15667.2984716003</v>
      </c>
      <c r="J6" s="0" t="n">
        <f aca="false">I6*(1+J5/100)</f>
        <v>16215.6539181063</v>
      </c>
      <c r="K6" s="0" t="n">
        <f aca="false">J6*(1+K5/100)</f>
        <v>16702.1235356495</v>
      </c>
      <c r="L6" s="0" t="n">
        <f aca="false">K6*(1+L5/100)</f>
        <v>17203.187241719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18.3</v>
      </c>
      <c r="D7" s="4" t="n">
        <f aca="false">Assumptions!D28</f>
        <v>19</v>
      </c>
      <c r="E7" s="4" t="n">
        <f aca="false">Assumptions!E28</f>
        <v>19.2</v>
      </c>
      <c r="F7" s="4" t="n">
        <f aca="false">Assumptions!F28</f>
        <v>19.2</v>
      </c>
      <c r="G7" s="4" t="n">
        <f aca="false">Assumptions!G28</f>
        <v>19.2</v>
      </c>
      <c r="H7" s="4" t="n">
        <f aca="false">Assumptions!H28</f>
        <v>19.2</v>
      </c>
      <c r="I7" s="4" t="n">
        <f aca="false">Assumptions!I28</f>
        <v>19.2</v>
      </c>
      <c r="J7" s="4" t="n">
        <f aca="false">Assumptions!J28</f>
        <v>19.2</v>
      </c>
      <c r="K7" s="4" t="n">
        <f aca="false">Assumptions!K28</f>
        <v>19.2</v>
      </c>
      <c r="L7" s="4" t="n">
        <f aca="false">Assumptions!L28</f>
        <v>19.2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2170.44222</v>
      </c>
      <c r="D8" s="0" t="n">
        <f aca="false">D6*D7/100</f>
        <v>2377.405153</v>
      </c>
      <c r="E8" s="0" t="n">
        <f aca="false">E6*E7/100</f>
        <v>2522.55199392</v>
      </c>
      <c r="F8" s="0" t="n">
        <f aca="false">F6*F7/100</f>
        <v>2648.679593616</v>
      </c>
      <c r="G8" s="0" t="n">
        <f aca="false">G6*G7/100</f>
        <v>2767.87017532872</v>
      </c>
      <c r="H8" s="0" t="n">
        <f aca="false">H6*H7/100</f>
        <v>2892.42433321851</v>
      </c>
      <c r="I8" s="0" t="n">
        <f aca="false">I6*I7/100</f>
        <v>3008.12130654725</v>
      </c>
      <c r="J8" s="0" t="n">
        <f aca="false">J6*J7/100</f>
        <v>3113.40555227641</v>
      </c>
      <c r="K8" s="0" t="n">
        <f aca="false">K6*K7/100</f>
        <v>3206.8077188447</v>
      </c>
      <c r="L8" s="0" t="n">
        <f aca="false">L6*L7/100</f>
        <v>3303.01195041004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0.41</v>
      </c>
      <c r="D9" s="4" t="n">
        <f aca="false">Assumptions!D29</f>
        <v>0.41</v>
      </c>
      <c r="E9" s="4" t="n">
        <f aca="false">Assumptions!E29</f>
        <v>0.41</v>
      </c>
      <c r="F9" s="4" t="n">
        <f aca="false">Assumptions!F29</f>
        <v>0.41</v>
      </c>
      <c r="G9" s="4" t="n">
        <f aca="false">Assumptions!G29</f>
        <v>0.41</v>
      </c>
      <c r="H9" s="4" t="n">
        <f aca="false">Assumptions!H29</f>
        <v>0.41</v>
      </c>
      <c r="I9" s="4" t="n">
        <f aca="false">Assumptions!I29</f>
        <v>0.41</v>
      </c>
      <c r="J9" s="4" t="n">
        <f aca="false">Assumptions!J29</f>
        <v>0.41</v>
      </c>
      <c r="K9" s="4" t="n">
        <f aca="false">Assumptions!K29</f>
        <v>0.41</v>
      </c>
      <c r="L9" s="4" t="n">
        <f aca="false">Assumptions!L29</f>
        <v>0.41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-48.627394</v>
      </c>
      <c r="D10" s="0" t="n">
        <f aca="false">-D6*D9/100</f>
        <v>-51.30190067</v>
      </c>
      <c r="E10" s="0" t="n">
        <f aca="false">-E6*E9/100</f>
        <v>-53.8669957035</v>
      </c>
      <c r="F10" s="0" t="n">
        <f aca="false">-F6*F9/100</f>
        <v>-56.560345488675</v>
      </c>
      <c r="G10" s="0" t="n">
        <f aca="false">-G6*G9/100</f>
        <v>-59.1055610356654</v>
      </c>
      <c r="H10" s="0" t="n">
        <f aca="false">-H6*H9/100</f>
        <v>-61.7653112822703</v>
      </c>
      <c r="I10" s="0" t="n">
        <f aca="false">-I6*I9/100</f>
        <v>-64.2359237335611</v>
      </c>
      <c r="J10" s="0" t="n">
        <f aca="false">-J6*J9/100</f>
        <v>-66.4841810642358</v>
      </c>
      <c r="K10" s="0" t="n">
        <f aca="false">-K6*K9/100</f>
        <v>-68.4787064961628</v>
      </c>
      <c r="L10" s="0" t="n">
        <f aca="false">-L6*L9/100</f>
        <v>-70.5330676910477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2121.814826</v>
      </c>
      <c r="D11" s="0" t="n">
        <f aca="false">D8+D10+D24</f>
        <v>2326.10325233</v>
      </c>
      <c r="E11" s="0" t="n">
        <f aca="false">E8+E10+E24</f>
        <v>2468.6849982165</v>
      </c>
      <c r="F11" s="0" t="n">
        <f aca="false">F8+F10+F24</f>
        <v>2592.11924812733</v>
      </c>
      <c r="G11" s="0" t="n">
        <f aca="false">G8+G10+G24</f>
        <v>2708.76461429306</v>
      </c>
      <c r="H11" s="0" t="n">
        <f aca="false">H8+H10+H24</f>
        <v>2830.65902193624</v>
      </c>
      <c r="I11" s="0" t="n">
        <f aca="false">I8+I10+I24</f>
        <v>2943.88538281369</v>
      </c>
      <c r="J11" s="0" t="n">
        <f aca="false">J8+J10+J24</f>
        <v>3046.92137121217</v>
      </c>
      <c r="K11" s="0" t="n">
        <f aca="false">K8+K10+K24</f>
        <v>3138.32901234854</v>
      </c>
      <c r="L11" s="0" t="n">
        <f aca="false">L8+L10+L24</f>
        <v>3232.47888271899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2121.814826</v>
      </c>
      <c r="D13" s="0" t="n">
        <f aca="false">D11+D12</f>
        <v>2326.10325233</v>
      </c>
      <c r="E13" s="0" t="n">
        <f aca="false">E11+E12</f>
        <v>2468.6849982165</v>
      </c>
      <c r="F13" s="0" t="n">
        <f aca="false">F11+F12</f>
        <v>2592.11924812733</v>
      </c>
      <c r="G13" s="0" t="n">
        <f aca="false">G11+G12</f>
        <v>2708.76461429306</v>
      </c>
      <c r="H13" s="0" t="n">
        <f aca="false">H11+H12</f>
        <v>2830.65902193624</v>
      </c>
      <c r="I13" s="0" t="n">
        <f aca="false">I11+I12</f>
        <v>2943.88538281369</v>
      </c>
      <c r="J13" s="0" t="n">
        <f aca="false">J11+J12</f>
        <v>3046.92137121217</v>
      </c>
      <c r="K13" s="0" t="n">
        <f aca="false">K11+K12</f>
        <v>3138.32901234854</v>
      </c>
      <c r="L13" s="0" t="n">
        <f aca="false">L11+L12</f>
        <v>3232.47888271899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19.5</v>
      </c>
      <c r="D14" s="4" t="n">
        <f aca="false">Assumptions!D33</f>
        <v>19.5</v>
      </c>
      <c r="E14" s="4" t="n">
        <f aca="false">Assumptions!E33</f>
        <v>19.5</v>
      </c>
      <c r="F14" s="4" t="n">
        <f aca="false">Assumptions!F33</f>
        <v>19.5</v>
      </c>
      <c r="G14" s="4" t="n">
        <f aca="false">Assumptions!G33</f>
        <v>19.5</v>
      </c>
      <c r="H14" s="4" t="n">
        <f aca="false">Assumptions!H33</f>
        <v>19.5</v>
      </c>
      <c r="I14" s="4" t="n">
        <f aca="false">Assumptions!I33</f>
        <v>19.5</v>
      </c>
      <c r="J14" s="4" t="n">
        <f aca="false">Assumptions!J33</f>
        <v>19.5</v>
      </c>
      <c r="K14" s="4" t="n">
        <f aca="false">Assumptions!K33</f>
        <v>19.5</v>
      </c>
      <c r="L14" s="4" t="n">
        <f aca="false">Assumptions!L33</f>
        <v>19.5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1708.06093493</v>
      </c>
      <c r="D15" s="0" t="n">
        <f aca="false">D13-MAX(0,D13)*D14/100</f>
        <v>1872.51311812565</v>
      </c>
      <c r="E15" s="0" t="n">
        <f aca="false">E13-MAX(0,E13)*E14/100</f>
        <v>1987.29142356428</v>
      </c>
      <c r="F15" s="0" t="n">
        <f aca="false">F13-MAX(0,F13)*F14/100</f>
        <v>2086.6559947425</v>
      </c>
      <c r="G15" s="0" t="n">
        <f aca="false">G13-MAX(0,G13)*G14/100</f>
        <v>2180.55551450591</v>
      </c>
      <c r="H15" s="0" t="n">
        <f aca="false">H13-MAX(0,H13)*H14/100</f>
        <v>2278.68051265867</v>
      </c>
      <c r="I15" s="0" t="n">
        <f aca="false">I13-MAX(0,I13)*I14/100</f>
        <v>2369.82773316502</v>
      </c>
      <c r="J15" s="0" t="n">
        <f aca="false">J13-MAX(0,J13)*J14/100</f>
        <v>2452.7717038258</v>
      </c>
      <c r="K15" s="0" t="n">
        <f aca="false">K13-MAX(0,K13)*K14/100</f>
        <v>2526.35485494057</v>
      </c>
      <c r="L15" s="0" t="n">
        <f aca="false">L13-MAX(0,L13)*L14/100</f>
        <v>2602.14550058879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-939.876</v>
      </c>
      <c r="D18" s="4" t="n">
        <f aca="false">(D6-C6)*Assumptions!$B$37/100</f>
        <v>-913.24618</v>
      </c>
      <c r="E18" s="4" t="n">
        <f aca="false">(E6-D6)*Assumptions!$B$37/100</f>
        <v>-875.886109000002</v>
      </c>
      <c r="F18" s="4" t="n">
        <f aca="false">(F6-E6)*Assumptions!$B$37/100</f>
        <v>-919.680414450002</v>
      </c>
      <c r="G18" s="4" t="n">
        <f aca="false">(G6-F6)*Assumptions!$B$37/100</f>
        <v>-869.097991655248</v>
      </c>
      <c r="H18" s="4" t="n">
        <f aca="false">(H6-G6)*Assumptions!$B$37/100</f>
        <v>-908.207401279736</v>
      </c>
      <c r="I18" s="4" t="n">
        <f aca="false">(I6-H6)*Assumptions!$B$37/100</f>
        <v>-843.623763855401</v>
      </c>
      <c r="J18" s="4" t="n">
        <f aca="false">(J6-I6)*Assumptions!$B$37/100</f>
        <v>-767.697625108411</v>
      </c>
      <c r="K18" s="4" t="n">
        <f aca="false">(K6-J6)*Assumptions!$B$37/100</f>
        <v>-681.057464560462</v>
      </c>
      <c r="L18" s="4" t="n">
        <f aca="false">(L6-K6)*Assumptions!$B$37/100</f>
        <v>-701.489188497281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768.18493493</v>
      </c>
      <c r="D19" s="0" t="n">
        <f aca="false">D15+D16+D17+D18</f>
        <v>959.26693812565</v>
      </c>
      <c r="E19" s="0" t="n">
        <f aca="false">E15+E16+E17+E18</f>
        <v>1111.40531456428</v>
      </c>
      <c r="F19" s="0" t="n">
        <f aca="false">F15+F16+F17+F18</f>
        <v>1166.9755802925</v>
      </c>
      <c r="G19" s="0" t="n">
        <f aca="false">G15+G16+G17+G18</f>
        <v>1311.45752285066</v>
      </c>
      <c r="H19" s="0" t="n">
        <f aca="false">H15+H16+H17+H18</f>
        <v>1370.47311137894</v>
      </c>
      <c r="I19" s="0" t="n">
        <f aca="false">I15+I16+I17+I18</f>
        <v>1526.20396930962</v>
      </c>
      <c r="J19" s="0" t="n">
        <f aca="false">J15+J16+J17+J18</f>
        <v>1685.07407871739</v>
      </c>
      <c r="K19" s="0" t="n">
        <f aca="false">K15+K16+K17+K18</f>
        <v>1845.29739038011</v>
      </c>
      <c r="L19" s="0" t="n">
        <f aca="false">L15+L16+L17+L18</f>
        <v>1900.65631209151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704.756821036697</v>
      </c>
      <c r="D21" s="0" t="n">
        <f aca="false">D19*D20</f>
        <v>807.395790022431</v>
      </c>
      <c r="E21" s="0" t="n">
        <f aca="false">E19*E20</f>
        <v>858.208823558608</v>
      </c>
      <c r="F21" s="0" t="n">
        <f aca="false">F19*F20</f>
        <v>826.714921776641</v>
      </c>
      <c r="G21" s="0" t="n">
        <f aca="false">G19*G20</f>
        <v>852.357405897724</v>
      </c>
      <c r="H21" s="0" t="n">
        <f aca="false">H19*H20</f>
        <v>817.168338681762</v>
      </c>
      <c r="I21" s="0" t="n">
        <f aca="false">I19*I20</f>
        <v>834.885835828162</v>
      </c>
      <c r="J21" s="0" t="n">
        <f aca="false">J19*J20</f>
        <v>845.681858858912</v>
      </c>
      <c r="K21" s="0" t="n">
        <f aca="false">K19*K20</f>
        <v>849.626179999938</v>
      </c>
      <c r="L21" s="0" t="n">
        <f aca="false">L19*L20</f>
        <v>802.857766421958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8199.65374208283</v>
      </c>
    </row>
    <row r="31" customFormat="false" ht="15" hidden="false" customHeight="false" outlineLevel="0" collapsed="false">
      <c r="A31" s="0" t="s">
        <v>136</v>
      </c>
      <c r="B31" s="0" t="n">
        <f aca="false">L19</f>
        <v>1900.65631209151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32627.9333575709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38013.1262418302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32627.9333575709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13782.3916569103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21982.0453989931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21982.0453989931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141.728210180484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-0.128041034942265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374.528094102954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511.462465621497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147.440592899533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16313.9666787854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65.6826200678388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7.5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11189</v>
      </c>
      <c r="C6" s="0" t="n">
        <f aca="false">B6*(1+C5/100)</f>
        <v>12028.175</v>
      </c>
      <c r="D6" s="0" t="n">
        <f aca="false">C6*(1+D5/100)</f>
        <v>12870.14725</v>
      </c>
      <c r="E6" s="0" t="n">
        <f aca="false">D6*(1+E5/100)</f>
        <v>13706.70682125</v>
      </c>
      <c r="F6" s="0" t="n">
        <f aca="false">E6*(1+F5/100)</f>
        <v>14529.109230525</v>
      </c>
      <c r="G6" s="0" t="n">
        <f aca="false">F6*(1+G5/100)</f>
        <v>15328.2102382039</v>
      </c>
      <c r="H6" s="0" t="n">
        <f aca="false">G6*(1+H5/100)</f>
        <v>16094.6207501141</v>
      </c>
      <c r="I6" s="0" t="n">
        <f aca="false">H6*(1+I5/100)</f>
        <v>16818.8786838692</v>
      </c>
      <c r="J6" s="0" t="n">
        <f aca="false">I6*(1+J5/100)</f>
        <v>17491.633831224</v>
      </c>
      <c r="K6" s="0" t="n">
        <f aca="false">J6*(1+K5/100)</f>
        <v>18103.8410153168</v>
      </c>
      <c r="L6" s="0" t="n">
        <f aca="false">K6*(1+L5/100)</f>
        <v>18737.4754508529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19.5</v>
      </c>
      <c r="D7" s="4" t="n">
        <f aca="false">Assumptions!D42</f>
        <v>21</v>
      </c>
      <c r="E7" s="4" t="n">
        <f aca="false">Assumptions!E42</f>
        <v>22</v>
      </c>
      <c r="F7" s="4" t="n">
        <f aca="false">Assumptions!F42</f>
        <v>22.5</v>
      </c>
      <c r="G7" s="4" t="n">
        <f aca="false">Assumptions!G42</f>
        <v>22.5</v>
      </c>
      <c r="H7" s="4" t="n">
        <f aca="false">Assumptions!H42</f>
        <v>22.5</v>
      </c>
      <c r="I7" s="4" t="n">
        <f aca="false">Assumptions!I42</f>
        <v>22.5</v>
      </c>
      <c r="J7" s="4" t="n">
        <f aca="false">Assumptions!J42</f>
        <v>22.5</v>
      </c>
      <c r="K7" s="4" t="n">
        <f aca="false">Assumptions!K42</f>
        <v>22.5</v>
      </c>
      <c r="L7" s="4" t="n">
        <f aca="false">Assumptions!L42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2345.494125</v>
      </c>
      <c r="D8" s="0" t="n">
        <f aca="false">D6*D7/100</f>
        <v>2702.7309225</v>
      </c>
      <c r="E8" s="0" t="n">
        <f aca="false">E6*E7/100</f>
        <v>3015.475500675</v>
      </c>
      <c r="F8" s="0" t="n">
        <f aca="false">F6*F7/100</f>
        <v>3269.04957686813</v>
      </c>
      <c r="G8" s="0" t="n">
        <f aca="false">G6*G7/100</f>
        <v>3448.84730359587</v>
      </c>
      <c r="H8" s="0" t="n">
        <f aca="false">H6*H7/100</f>
        <v>3621.28966877567</v>
      </c>
      <c r="I8" s="0" t="n">
        <f aca="false">I6*I7/100</f>
        <v>3784.24770387057</v>
      </c>
      <c r="J8" s="0" t="n">
        <f aca="false">J6*J7/100</f>
        <v>3935.61761202539</v>
      </c>
      <c r="K8" s="0" t="n">
        <f aca="false">K6*K7/100</f>
        <v>4073.36422844628</v>
      </c>
      <c r="L8" s="0" t="n">
        <f aca="false">L6*L7/100</f>
        <v>4215.9319764419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0.41</v>
      </c>
      <c r="D9" s="4" t="n">
        <f aca="false">Assumptions!D43</f>
        <v>0.41</v>
      </c>
      <c r="E9" s="4" t="n">
        <f aca="false">Assumptions!E43</f>
        <v>0.41</v>
      </c>
      <c r="F9" s="4" t="n">
        <f aca="false">Assumptions!F43</f>
        <v>0.41</v>
      </c>
      <c r="G9" s="4" t="n">
        <f aca="false">Assumptions!G43</f>
        <v>0.41</v>
      </c>
      <c r="H9" s="4" t="n">
        <f aca="false">Assumptions!H43</f>
        <v>0.41</v>
      </c>
      <c r="I9" s="4" t="n">
        <f aca="false">Assumptions!I43</f>
        <v>0.41</v>
      </c>
      <c r="J9" s="4" t="n">
        <f aca="false">Assumptions!J43</f>
        <v>0.41</v>
      </c>
      <c r="K9" s="4" t="n">
        <f aca="false">Assumptions!K43</f>
        <v>0.41</v>
      </c>
      <c r="L9" s="4" t="n">
        <f aca="false">Assumptions!L43</f>
        <v>0.41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-49.3155175</v>
      </c>
      <c r="D10" s="0" t="n">
        <f aca="false">-D6*D9/100</f>
        <v>-52.767603725</v>
      </c>
      <c r="E10" s="0" t="n">
        <f aca="false">-E6*E9/100</f>
        <v>-56.197497967125</v>
      </c>
      <c r="F10" s="0" t="n">
        <f aca="false">-F6*F9/100</f>
        <v>-59.5693478451525</v>
      </c>
      <c r="G10" s="0" t="n">
        <f aca="false">-G6*G9/100</f>
        <v>-62.8456619766359</v>
      </c>
      <c r="H10" s="0" t="n">
        <f aca="false">-H6*H9/100</f>
        <v>-65.9879450754677</v>
      </c>
      <c r="I10" s="0" t="n">
        <f aca="false">-I6*I9/100</f>
        <v>-68.9574026038637</v>
      </c>
      <c r="J10" s="0" t="n">
        <f aca="false">-J6*J9/100</f>
        <v>-71.7156987080183</v>
      </c>
      <c r="K10" s="0" t="n">
        <f aca="false">-K6*K9/100</f>
        <v>-74.2257481627989</v>
      </c>
      <c r="L10" s="0" t="n">
        <f aca="false">-L6*L9/100</f>
        <v>-76.8236493484968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2296.1786075</v>
      </c>
      <c r="D11" s="0" t="n">
        <f aca="false">D8+D10+D24</f>
        <v>2649.963318775</v>
      </c>
      <c r="E11" s="0" t="n">
        <f aca="false">E8+E10+E24</f>
        <v>2959.27800270787</v>
      </c>
      <c r="F11" s="0" t="n">
        <f aca="false">F8+F10+F24</f>
        <v>3209.48022902297</v>
      </c>
      <c r="G11" s="0" t="n">
        <f aca="false">G8+G10+G24</f>
        <v>3386.00164161924</v>
      </c>
      <c r="H11" s="0" t="n">
        <f aca="false">H8+H10+H24</f>
        <v>3555.3017237002</v>
      </c>
      <c r="I11" s="0" t="n">
        <f aca="false">I8+I10+I24</f>
        <v>3715.29030126671</v>
      </c>
      <c r="J11" s="0" t="n">
        <f aca="false">J8+J10+J24</f>
        <v>3863.90191331737</v>
      </c>
      <c r="K11" s="0" t="n">
        <f aca="false">K8+K10+K24</f>
        <v>3999.13848028348</v>
      </c>
      <c r="L11" s="0" t="n">
        <f aca="false">L8+L10+L24</f>
        <v>4139.1083270934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2296.1786075</v>
      </c>
      <c r="D13" s="0" t="n">
        <f aca="false">D11+D12</f>
        <v>2649.963318775</v>
      </c>
      <c r="E13" s="0" t="n">
        <f aca="false">E11+E12</f>
        <v>2959.27800270787</v>
      </c>
      <c r="F13" s="0" t="n">
        <f aca="false">F11+F12</f>
        <v>3209.48022902297</v>
      </c>
      <c r="G13" s="0" t="n">
        <f aca="false">G11+G12</f>
        <v>3386.00164161924</v>
      </c>
      <c r="H13" s="0" t="n">
        <f aca="false">H11+H12</f>
        <v>3555.3017237002</v>
      </c>
      <c r="I13" s="0" t="n">
        <f aca="false">I11+I12</f>
        <v>3715.29030126671</v>
      </c>
      <c r="J13" s="0" t="n">
        <f aca="false">J11+J12</f>
        <v>3863.90191331737</v>
      </c>
      <c r="K13" s="0" t="n">
        <f aca="false">K11+K12</f>
        <v>3999.13848028348</v>
      </c>
      <c r="L13" s="0" t="n">
        <f aca="false">L11+L12</f>
        <v>4139.1083270934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19.5</v>
      </c>
      <c r="D14" s="4" t="n">
        <f aca="false">Assumptions!D47</f>
        <v>19.5</v>
      </c>
      <c r="E14" s="4" t="n">
        <f aca="false">Assumptions!E47</f>
        <v>19.5</v>
      </c>
      <c r="F14" s="4" t="n">
        <f aca="false">Assumptions!F47</f>
        <v>19.5</v>
      </c>
      <c r="G14" s="4" t="n">
        <f aca="false">Assumptions!G47</f>
        <v>19.5</v>
      </c>
      <c r="H14" s="4" t="n">
        <f aca="false">Assumptions!H47</f>
        <v>19.5</v>
      </c>
      <c r="I14" s="4" t="n">
        <f aca="false">Assumptions!I47</f>
        <v>19.5</v>
      </c>
      <c r="J14" s="4" t="n">
        <f aca="false">Assumptions!J47</f>
        <v>19.5</v>
      </c>
      <c r="K14" s="4" t="n">
        <f aca="false">Assumptions!K47</f>
        <v>19.5</v>
      </c>
      <c r="L14" s="4" t="n">
        <f aca="false">Assumptions!L47</f>
        <v>19.5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1848.4237790375</v>
      </c>
      <c r="D15" s="0" t="n">
        <f aca="false">D13-MAX(0,D13)*D14/100</f>
        <v>2133.22047161388</v>
      </c>
      <c r="E15" s="0" t="n">
        <f aca="false">E13-MAX(0,E13)*E14/100</f>
        <v>2382.21879217984</v>
      </c>
      <c r="F15" s="0" t="n">
        <f aca="false">F13-MAX(0,F13)*F14/100</f>
        <v>2583.63158436349</v>
      </c>
      <c r="G15" s="0" t="n">
        <f aca="false">G13-MAX(0,G13)*G14/100</f>
        <v>2725.73132150349</v>
      </c>
      <c r="H15" s="0" t="n">
        <f aca="false">H13-MAX(0,H13)*H14/100</f>
        <v>2862.01788757866</v>
      </c>
      <c r="I15" s="0" t="n">
        <f aca="false">I13-MAX(0,I13)*I14/100</f>
        <v>2990.8086925197</v>
      </c>
      <c r="J15" s="0" t="n">
        <f aca="false">J13-MAX(0,J13)*J14/100</f>
        <v>3110.44104022049</v>
      </c>
      <c r="K15" s="0" t="n">
        <f aca="false">K13-MAX(0,K13)*K14/100</f>
        <v>3219.3064766282</v>
      </c>
      <c r="L15" s="0" t="n">
        <f aca="false">L13-MAX(0,L13)*L14/100</f>
        <v>3331.98220331019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-1174.845</v>
      </c>
      <c r="D18" s="4" t="n">
        <f aca="false">(D6-C6)*Assumptions!$B$51/100</f>
        <v>-1178.76115</v>
      </c>
      <c r="E18" s="4" t="n">
        <f aca="false">(E6-D6)*Assumptions!$B$51/100</f>
        <v>-1171.18339975</v>
      </c>
      <c r="F18" s="4" t="n">
        <f aca="false">(F6-E6)*Assumptions!$B$51/100</f>
        <v>-1151.363372985</v>
      </c>
      <c r="G18" s="4" t="n">
        <f aca="false">(G6-F6)*Assumptions!$B$51/100</f>
        <v>-1118.74141075042</v>
      </c>
      <c r="H18" s="4" t="n">
        <f aca="false">(H6-G6)*Assumptions!$B$51/100</f>
        <v>-1072.97471667427</v>
      </c>
      <c r="I18" s="4" t="n">
        <f aca="false">(I6-H6)*Assumptions!$B$51/100</f>
        <v>-1013.96110725718</v>
      </c>
      <c r="J18" s="4" t="n">
        <f aca="false">(J6-I6)*Assumptions!$B$51/100</f>
        <v>-941.857206296676</v>
      </c>
      <c r="K18" s="4" t="n">
        <f aca="false">(K6-J6)*Assumptions!$B$51/100</f>
        <v>-857.090057729971</v>
      </c>
      <c r="L18" s="4" t="n">
        <f aca="false">(L6-K6)*Assumptions!$B$51/100</f>
        <v>-887.088209750519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673.578779037501</v>
      </c>
      <c r="D19" s="0" t="n">
        <f aca="false">D15+D16+D17+D18</f>
        <v>954.459321613874</v>
      </c>
      <c r="E19" s="0" t="n">
        <f aca="false">E15+E16+E17+E18</f>
        <v>1211.03539242984</v>
      </c>
      <c r="F19" s="0" t="n">
        <f aca="false">F15+F16+F17+F18</f>
        <v>1432.26821137849</v>
      </c>
      <c r="G19" s="0" t="n">
        <f aca="false">G15+G16+G17+G18</f>
        <v>1606.98991075306</v>
      </c>
      <c r="H19" s="0" t="n">
        <f aca="false">H15+H16+H17+H18</f>
        <v>1789.04317090439</v>
      </c>
      <c r="I19" s="0" t="n">
        <f aca="false">I15+I16+I17+I18</f>
        <v>1976.84758526252</v>
      </c>
      <c r="J19" s="0" t="n">
        <f aca="false">J15+J16+J17+J18</f>
        <v>2168.58383392381</v>
      </c>
      <c r="K19" s="0" t="n">
        <f aca="false">K15+K16+K17+K18</f>
        <v>2362.21641889823</v>
      </c>
      <c r="L19" s="0" t="n">
        <f aca="false">L15+L16+L17+L18</f>
        <v>2444.89399355967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617.962182603212</v>
      </c>
      <c r="D21" s="0" t="n">
        <f aca="false">D19*D20</f>
        <v>803.349315389171</v>
      </c>
      <c r="E21" s="0" t="n">
        <f aca="false">E19*E20</f>
        <v>935.14152380359</v>
      </c>
      <c r="F21" s="0" t="n">
        <f aca="false">F19*F20</f>
        <v>1014.65490994778</v>
      </c>
      <c r="G21" s="0" t="n">
        <f aca="false">G19*G20</f>
        <v>1044.43318046319</v>
      </c>
      <c r="H21" s="0" t="n">
        <f aca="false">H19*H20</f>
        <v>1066.74798918667</v>
      </c>
      <c r="I21" s="0" t="n">
        <f aca="false">I19*I20</f>
        <v>1081.40332597442</v>
      </c>
      <c r="J21" s="0" t="n">
        <f aca="false">J19*J20</f>
        <v>1088.33910088985</v>
      </c>
      <c r="K21" s="0" t="n">
        <f aca="false">K19*K20</f>
        <v>1087.63006049026</v>
      </c>
      <c r="L21" s="0" t="n">
        <f aca="false">L19*L20</f>
        <v>1032.74964459396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9772.41123334211</v>
      </c>
    </row>
    <row r="31" customFormat="false" ht="15" hidden="false" customHeight="false" outlineLevel="0" collapsed="false">
      <c r="A31" s="0" t="s">
        <v>136</v>
      </c>
      <c r="B31" s="0" t="n">
        <f aca="false">L19</f>
        <v>2444.89399355967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46008.4596969865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48897.8798711934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46008.4596969865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19434.4705846319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29206.881817974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29206.881817974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188.310005273849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0.158545621224615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395.78454926755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610.671447269436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194.799083265706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22004.045942037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81.6376319038159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87.3375451193352</v>
      </c>
      <c r="C4" s="0" t="n">
        <f aca="false">B4/Assumptions!$B$2-1</f>
        <v>-0.462670449616493</v>
      </c>
      <c r="D4" s="4" t="n">
        <f aca="false">Assumptions!$B$24</f>
        <v>0.2</v>
      </c>
      <c r="E4" s="4" t="n">
        <f aca="false">DCF_Bear!$B$43</f>
        <v>92.1145302317243</v>
      </c>
      <c r="F4" s="4" t="n">
        <f aca="false">DCF_Bear!$B$47</f>
        <v>44.5440807862078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141.728210180484</v>
      </c>
      <c r="C5" s="0" t="n">
        <f aca="false">B5/Assumptions!$B$2-1</f>
        <v>-0.128041034942265</v>
      </c>
      <c r="D5" s="4" t="n">
        <f aca="false">Assumptions!$B$38</f>
        <v>0.5</v>
      </c>
      <c r="E5" s="4" t="n">
        <f aca="false">DCF_Base!$B$43</f>
        <v>147.440592899533</v>
      </c>
      <c r="F5" s="4" t="n">
        <f aca="false">DCF_Base!$B$47</f>
        <v>65.6826200678388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188.310005273849</v>
      </c>
      <c r="C6" s="0" t="n">
        <f aca="false">B6/Assumptions!$B$2-1</f>
        <v>0.158545621224615</v>
      </c>
      <c r="D6" s="4" t="n">
        <f aca="false">Assumptions!$B$52</f>
        <v>0.3</v>
      </c>
      <c r="E6" s="4" t="n">
        <f aca="false">DCF_Bull!$B$43</f>
        <v>194.799083265706</v>
      </c>
      <c r="F6" s="4" t="n">
        <f aca="false">DCF_Bull!$B$47</f>
        <v>81.6376319038159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144.824615696264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150.582927475823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-0.122323019595578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307.648925273934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66.2414157623057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141.728210180484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119.78196740551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103.406455661189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90.7394144337052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65.6826200678388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183.279161948557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183.279161948557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183.279161948557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183.279161948557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183.279161948557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152.163976290632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161.45222978296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169.192441026567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169.192441026567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169.192441026567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128.294251054269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134.494539881753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141.728210180484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150.277093260803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156.394642621032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110.501505315353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114.832387624093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119.78196740551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125.493020999452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132.155916859052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96.7529199997003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99.8839956051065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103.406455661189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107.398577058081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111.961001511673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2026-09-26T00:47:20Z</dcterms:created>
  <dc:creator>openpyxl</dc:creator>
  <dc:description/>
  <dc:language>en-NZ</dc:language>
  <cp:lastModifiedBy/>
  <dcterms:modified xsi:type="dcterms:W3CDTF">2026-09-26T00:47:20Z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