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<sst xmlns="http://schemas.openxmlformats.org/spreadsheetml/2006/main" count="356" uniqueCount="164">
  <si>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</si>
  <si>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1789.HK</t>
  </si>
  <si>
    <t xml:space="preserve">Company</t>
  </si>
  <si>
    <t xml:space="preserve">AK Medical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</si>
  <si>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</si>
  <si>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</si>
  <si>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</si>
  <si>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</si>
  <si>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close;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</si>
  <si>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</si>
  <si>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</si>
  <si>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</si>
  <si>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</si>
  <si>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</si>
  <si>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</si>
  <si>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</si>
  <si>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</si>
  <si>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</si>
  <si>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</si>
  <si>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</si>
  <si>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</si>
  <si>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</si>
  <si>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2026-10-16T18:42:50Z</t>
  </si>
  <si>
    <t xml:space="preserve">Drivers file</t>
  </si>
  <si>
    <t xml:space="preserve">1789.HK_Drivers.json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</si>
  <si>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</si>
  <si>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</si>
  <si>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</si>
  <si>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CNY, converted to HKD at the quote. Value is dominated by the mature hip/knee implant franchise plus RMB1.2bn of net cash (about a quarter of the market capitalisation); robotics and overseas are the growth optionality and the 2027 VBP renewal is the policy risk, both carried in the scenarios rather than in the discount rate. SBC (0.5% of revenue) and lease cash are expensed in the flows, interest income is stripped because the cash is added at the bridge, and the share count is held flat at the post-buyback 1,078m.
key_risks_to_valuation: 2027 national joint VBP renewal: a further 15-20% price reset is the bear case; the first round cut prices ~82% and halved FY2021 earnings; Working-capital sign and size: receivables at ~180 days consume a third of every yuan of growth; a deterioration in hospital/distributor payment terms would push owner FCF well below NOPAT; Margin step-up durability: H1 2026 operating margin 28.8% vs 24.1% is one half-year; the base case holds most of it; Robotics commercialisation is 6% of revenue growing &gt;100%; the bull case needs it to scale against MicroPort, Chunli and the multinationals; Share-count anchor: treasury shares (32.3m) are held for possible resale and buybacks may have continued after 30 June 2026; CNY/HKD translation: the HKD outputs move with the rate; refresh_price.py does not refresh fx_rate</t>
  </si>
  <si>
    <t xml:space="preserve">Data sources</t>
  </si>
  <si>
    <t xml:space="preserve">price: Yahoo Finance chart API at inputs.price_as_of; 52-week range 4.46-7.15 HKD
fx: Yahoo CNYHKD=X at inputs.price_as_of, cross-checked against USDHKD=X / USDCNY=X
financials: 1789.HK_Metrics.csv and the kpis table (FY2017-FY2025 annual, H1 FY2023-H1 FY2026 interim), with balance sheet, share count, cash composition, D&amp;A split and lease cash read from 1789.HK_HalfYear_H1-2026.txt and 1789.HK_Annual_FY2025.txt
qualitative: 1789.HK_Analysis.json (2026-10-17): segment mix, VBP policy effects, NHSA January 2026 pricing guidelines, K3+ approval, September 2026 dividend policy</t>
  </si>
  <si>
    <t xml:space="preserve">Scenario narrative: bear</t>
  </si>
  <si>
    <t xml:space="preserve">The 2027 national joint VBP renewal cuts hip/knee tender prices another 15-20% (a partial repeat of the 2021 reset that halved earnings), FY2027 revenue is flat and EBITDA margin falls to 28-29%; spine/trauma keeps declining, surgical robotics remains a pilot programme as hospitals delay capital purchases and multinationals respond, overseas growth halves, and receivables stay stretched at ~180 days. The business remains profitable and net cash so the dividend survives, but growth settles at 2.5-4% and the terminal multiple is capped at 15x.</t>
  </si>
  <si>
    <t xml:space="preserve">Scenario narrative: base</t>
  </si>
  <si>
    <t xml:space="preserve">AK Medical compounds revenue at 10% fading to 3% over ten years: domestic hip/knee volumes keep rising under VBP-driven import substitution, overseas (24% of revenue, +42% in H1 2026) and digital orthopedics/K3+ robotics (+143%) offset a modest price reset at the ~2027 national joint VBP renewal, and spine/trauma stabilises at a small base. EBITDA margin holds near the H1 2026 run-rate (35%) for two years then settles at 34% as renewal pricing and mass-market competition absorb the mix gain. Capex normalises to 6.5% of revenue now that the Changping industrial park and ITI Phase II are built; working capital consumes 35% of each year's revenue growth because receivables run at ~180 days. The RMB1.2bn net cash funds the new 55-60% payout policy and buybacks.</t>
  </si>
  <si>
    <t xml:space="preserve">Scenario narrative: bull</t>
  </si>
  <si>
    <t xml:space="preserve">The January 2026 NHSA pricing guidelines for surgical navigation, 3D printing and robots turn the iCOS platform into a scaled, reimbursed business: robotics and customised products reach 10-15% of revenue by 2030 at structurally higher margins, the AK/JRI overseas franchise sustains 25-30% growth with CE certification unlocking Europe, and the 2027 VBP renewal favours domestic volume leaders rather than cutting price further. Revenue grows 13% for two years and 10%+ through 2030, EBITDA margin expands to 38% on mix, and DSO improvement eases the working-capital drag. Terminal growth 3.5% CNY.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</si>
  <si>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</si>
  <si>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</si>
  <si>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</si>
  <si>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</si>
  <si>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</si>
  <si>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</si>
  <si>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</si>
  <si>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</si>
  <si>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</si>
  <si>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</si>
  <si>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</si>
  <si>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</si>
  <si>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</si>
  <si>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</si>
  <si>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</si>
  <si>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</si>
  <si>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</si>
  <si>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</si>
  <si>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</si>
  <si>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</si>
  <si>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</si>
  <si>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</si>
  <si>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</si>
  <si>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</si>
  <si>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</si>
  <si>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</si>
  <si>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</si>
  <si>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</si>
  <si>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</si>
  <si>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</si>
  <si>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</si>
  <si>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</si>
  <si>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</si>
  <si>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</si>
  <si>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</si>
  <si>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</si>
  <si>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</si>
  <si>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</si>
  <si>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</si>
  <si>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</si>
  <si>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</si>
  <si>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</si>
  <si>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</si>
  <si>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</si>
  <si>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</si>
  <si>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</si>
  <si>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</si>
  <si>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</si>
  <si>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</si>
  <si>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</si>
  <si>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</si>
  <si>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</si>
  <si>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</si>
  <si>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</si>
  <si>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</si>
  <si>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</si>
  <si>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</si>
  <si>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</si>
  <si>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</si>
  <si>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</si>
  <si>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</si>
  <si>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</si>
  <si>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</si>
  <si>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</si>
  <si>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</si>
  <si>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</si>
  <si>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</si>
  <si>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</si>
  <si>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</si>
  <si>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</si>
  <si>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</si>
  <si>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</si>
  <si>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</si>
  <si>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1789.HK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</si>
  <si>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</si>
  <si>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</si>
  <si>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</si>
  <si>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</si>
  <si>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</si>
  <si>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</si>
  <si>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</si>
  <si>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</si>
  <si>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</si>
  <si>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</si>
  <si>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</si>
  <si>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</si>
  <si>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</si>
  <si>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</si>
  <si>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</si>
  <si>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</si>
  <si>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</si>
  <si>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</si>
  <si>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</si>
  <si>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</si>
  <si>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</si>
  <si>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</si>
  <si>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</si>
  <si>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</si>
  <si>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</si>
  <si>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</si>
  <si>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</si>
  <si>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</si>
  <si>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</si>
  <si>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</si>
  <si>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1789.HK owner-FCF component DCF: base case (millions, CNY)</t>
  </si>
  <si>
    <t xml:space="preserve">1789.HK owner-FCF component DCF: bull case (millions, CNY)</t>
  </si>
  <si>
    <t xml:space="preserve">1789.HK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</si>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</sst>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4.515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372.7</v>
      </c>
      <c r="C2" s="0" t="n">
        <v>108.91</v>
      </c>
      <c r="D2" s="0" t="n">
        <v>263.79</v>
      </c>
      <c r="E2" s="0" t="n">
        <v>70.8</v>
      </c>
      <c r="F2" s="0" t="n">
        <v>124.888</v>
      </c>
      <c r="G2" s="0" t="n">
        <v>33.5</v>
      </c>
      <c r="I2" s="0" t="n">
        <v>105.376</v>
      </c>
      <c r="J2" s="0" t="n">
        <v>28.3</v>
      </c>
      <c r="K2" s="0" t="n">
        <v>0.1388</v>
      </c>
      <c r="L2" s="0" t="n">
        <v>116.652</v>
      </c>
      <c r="M2" s="0" t="n">
        <v>46.858</v>
      </c>
      <c r="N2" s="0" t="n">
        <v>69.794</v>
      </c>
      <c r="O2" s="0" t="n">
        <v>667.983</v>
      </c>
      <c r="P2" s="0" t="n">
        <v>857.607</v>
      </c>
      <c r="Q2" s="0" t="n">
        <v>189.624</v>
      </c>
      <c r="S2" s="0" t="n">
        <v>517.482</v>
      </c>
      <c r="T2" s="0" t="n">
        <v>758.932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600.562</v>
      </c>
      <c r="C3" s="0" t="n">
        <v>191.681</v>
      </c>
      <c r="D3" s="0" t="n">
        <v>408.881</v>
      </c>
      <c r="E3" s="0" t="n">
        <v>68.1</v>
      </c>
      <c r="F3" s="0" t="n">
        <v>171.227</v>
      </c>
      <c r="G3" s="0" t="n">
        <v>28.5</v>
      </c>
      <c r="H3" s="0" t="n">
        <v>191.967</v>
      </c>
      <c r="I3" s="0" t="n">
        <v>144.936</v>
      </c>
      <c r="J3" s="0" t="n">
        <v>24.1</v>
      </c>
      <c r="K3" s="0" t="n">
        <v>0.1383</v>
      </c>
      <c r="L3" s="0" t="n">
        <v>127.992</v>
      </c>
      <c r="M3" s="0" t="n">
        <v>73.529</v>
      </c>
      <c r="N3" s="0" t="n">
        <v>54.463</v>
      </c>
      <c r="O3" s="0" t="n">
        <v>841.758</v>
      </c>
      <c r="P3" s="0" t="n">
        <v>1092.8</v>
      </c>
      <c r="Q3" s="0" t="n">
        <v>251.042</v>
      </c>
      <c r="R3" s="0" t="n">
        <v>0.946</v>
      </c>
      <c r="S3" s="0" t="n">
        <v>421.054</v>
      </c>
      <c r="T3" s="0" t="n">
        <v>1047.691</v>
      </c>
      <c r="U3" s="0" t="n">
        <v>4.981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926.705</v>
      </c>
      <c r="C4" s="0" t="n">
        <v>283.454</v>
      </c>
      <c r="D4" s="0" t="n">
        <v>643.251</v>
      </c>
      <c r="E4" s="0" t="n">
        <v>69.4</v>
      </c>
      <c r="F4" s="0" t="n">
        <v>315.521</v>
      </c>
      <c r="G4" s="0" t="n">
        <v>34</v>
      </c>
      <c r="H4" s="0" t="n">
        <v>347.678</v>
      </c>
      <c r="I4" s="0" t="n">
        <v>266.992</v>
      </c>
      <c r="J4" s="0" t="n">
        <v>28.8</v>
      </c>
      <c r="K4" s="0" t="n">
        <v>0.2523</v>
      </c>
      <c r="L4" s="0" t="n">
        <v>144.662</v>
      </c>
      <c r="M4" s="0" t="n">
        <v>106.918</v>
      </c>
      <c r="N4" s="0" t="n">
        <v>37.744</v>
      </c>
      <c r="O4" s="0" t="n">
        <v>1116.01</v>
      </c>
      <c r="P4" s="0" t="n">
        <v>1482.226</v>
      </c>
      <c r="Q4" s="0" t="n">
        <v>366.216</v>
      </c>
      <c r="R4" s="0" t="n">
        <v>11.935</v>
      </c>
      <c r="S4" s="0" t="n">
        <v>276.521</v>
      </c>
      <c r="T4" s="0" t="n">
        <v>1058.326</v>
      </c>
      <c r="U4" s="0" t="n">
        <v>10.692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1035.386</v>
      </c>
      <c r="C5" s="0" t="n">
        <v>320.854</v>
      </c>
      <c r="D5" s="0" t="n">
        <v>714.532</v>
      </c>
      <c r="E5" s="0" t="n">
        <v>69</v>
      </c>
      <c r="F5" s="0" t="n">
        <v>368.926</v>
      </c>
      <c r="G5" s="0" t="n">
        <v>35.6</v>
      </c>
      <c r="H5" s="0" t="n">
        <v>429.447</v>
      </c>
      <c r="I5" s="0" t="n">
        <v>314.007</v>
      </c>
      <c r="J5" s="0" t="n">
        <v>30.3</v>
      </c>
      <c r="K5" s="0" t="n">
        <v>0.2836</v>
      </c>
      <c r="L5" s="0" t="n">
        <v>205.257</v>
      </c>
      <c r="M5" s="0" t="n">
        <v>89.787</v>
      </c>
      <c r="N5" s="0" t="n">
        <v>115.47</v>
      </c>
      <c r="O5" s="0" t="n">
        <v>2042.776</v>
      </c>
      <c r="P5" s="0" t="n">
        <v>2526.906</v>
      </c>
      <c r="Q5" s="0" t="n">
        <v>484.13</v>
      </c>
      <c r="R5" s="0" t="n">
        <v>26.848</v>
      </c>
      <c r="S5" s="0" t="n">
        <v>713.091</v>
      </c>
      <c r="T5" s="0" t="n">
        <v>1107.166</v>
      </c>
      <c r="U5" s="0" t="n">
        <v>1.995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761.441</v>
      </c>
      <c r="C6" s="0" t="n">
        <v>262.252</v>
      </c>
      <c r="D6" s="0" t="n">
        <v>499.189</v>
      </c>
      <c r="E6" s="0" t="n">
        <v>65.6</v>
      </c>
      <c r="F6" s="0" t="n">
        <v>99.436</v>
      </c>
      <c r="G6" s="0" t="n">
        <v>13.1</v>
      </c>
      <c r="H6" s="0" t="n">
        <v>173.594</v>
      </c>
      <c r="I6" s="0" t="n">
        <v>92.619</v>
      </c>
      <c r="J6" s="0" t="n">
        <v>12.2</v>
      </c>
      <c r="K6" s="0" t="n">
        <v>0.0827</v>
      </c>
      <c r="L6" s="0" t="n">
        <v>176.621</v>
      </c>
      <c r="M6" s="0" t="n">
        <v>76.229</v>
      </c>
      <c r="N6" s="0" t="n">
        <v>100.392</v>
      </c>
      <c r="O6" s="0" t="n">
        <v>2031.551</v>
      </c>
      <c r="P6" s="0" t="n">
        <v>2605.284</v>
      </c>
      <c r="Q6" s="0" t="n">
        <v>573.733</v>
      </c>
      <c r="R6" s="0" t="n">
        <v>41.559</v>
      </c>
      <c r="S6" s="0" t="n">
        <v>475.606</v>
      </c>
      <c r="T6" s="0" t="n">
        <v>1120.594</v>
      </c>
      <c r="U6" s="0" t="n">
        <v>1.05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1052.047</v>
      </c>
      <c r="C7" s="0" t="n">
        <v>415.612</v>
      </c>
      <c r="D7" s="0" t="n">
        <v>636.435</v>
      </c>
      <c r="E7" s="0" t="n">
        <v>60.5</v>
      </c>
      <c r="F7" s="0" t="n">
        <v>219.983</v>
      </c>
      <c r="G7" s="0" t="n">
        <v>20.9</v>
      </c>
      <c r="H7" s="0" t="n">
        <v>300.384</v>
      </c>
      <c r="I7" s="0" t="n">
        <v>204.772</v>
      </c>
      <c r="J7" s="0" t="n">
        <v>19.5</v>
      </c>
      <c r="K7" s="0" t="n">
        <v>0.1832</v>
      </c>
      <c r="L7" s="0" t="n">
        <v>242.919</v>
      </c>
      <c r="M7" s="0" t="n">
        <v>121.717</v>
      </c>
      <c r="N7" s="0" t="n">
        <v>121.202</v>
      </c>
      <c r="O7" s="0" t="n">
        <v>2243.761</v>
      </c>
      <c r="P7" s="0" t="n">
        <v>2774.492</v>
      </c>
      <c r="Q7" s="0" t="n">
        <v>530.731</v>
      </c>
      <c r="R7" s="0" t="n">
        <v>38.781</v>
      </c>
      <c r="S7" s="0" t="n">
        <v>625.829</v>
      </c>
      <c r="T7" s="0" t="n">
        <v>1117.457</v>
      </c>
      <c r="U7" s="0" t="n">
        <v>8.129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1093.862</v>
      </c>
      <c r="C8" s="0" t="n">
        <v>419.376</v>
      </c>
      <c r="D8" s="0" t="n">
        <v>674.486</v>
      </c>
      <c r="E8" s="0" t="n">
        <v>61.7</v>
      </c>
      <c r="F8" s="0" t="n">
        <v>211.483</v>
      </c>
      <c r="G8" s="0" t="n">
        <v>19.3</v>
      </c>
      <c r="H8" s="0" t="n">
        <v>302.422</v>
      </c>
      <c r="I8" s="0" t="n">
        <v>182.104</v>
      </c>
      <c r="J8" s="0" t="n">
        <v>16.6</v>
      </c>
      <c r="K8" s="0" t="n">
        <v>0.1627</v>
      </c>
      <c r="L8" s="0" t="n">
        <v>33.935</v>
      </c>
      <c r="M8" s="0" t="n">
        <v>196.076</v>
      </c>
      <c r="N8" s="0" t="n">
        <v>-162.141</v>
      </c>
      <c r="O8" s="0" t="n">
        <v>2391.903</v>
      </c>
      <c r="P8" s="0" t="n">
        <v>3003.024</v>
      </c>
      <c r="Q8" s="0" t="n">
        <v>611.121</v>
      </c>
      <c r="R8" s="0" t="n">
        <v>84.203</v>
      </c>
      <c r="S8" s="0" t="n">
        <v>331.217</v>
      </c>
      <c r="T8" s="0" t="n">
        <v>1119.189</v>
      </c>
      <c r="U8" s="0" t="n">
        <v>5.056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1346.377</v>
      </c>
      <c r="C9" s="0" t="n">
        <v>538.184</v>
      </c>
      <c r="D9" s="0" t="n">
        <v>808.193</v>
      </c>
      <c r="E9" s="0" t="n">
        <v>60</v>
      </c>
      <c r="F9" s="0" t="n">
        <v>300.781</v>
      </c>
      <c r="G9" s="0" t="n">
        <v>22.3</v>
      </c>
      <c r="H9" s="0" t="n">
        <v>397.115</v>
      </c>
      <c r="I9" s="0" t="n">
        <v>273.926</v>
      </c>
      <c r="J9" s="0" t="n">
        <v>20.3</v>
      </c>
      <c r="K9" s="0" t="n">
        <v>0.244</v>
      </c>
      <c r="L9" s="0" t="n">
        <v>451.072</v>
      </c>
      <c r="M9" s="0" t="n">
        <v>161.967</v>
      </c>
      <c r="N9" s="0" t="n">
        <v>289.105</v>
      </c>
      <c r="O9" s="0" t="n">
        <v>2638.186</v>
      </c>
      <c r="P9" s="0" t="n">
        <v>3335.398</v>
      </c>
      <c r="Q9" s="0" t="n">
        <v>697.212</v>
      </c>
      <c r="R9" s="0" t="n">
        <v>99.389</v>
      </c>
      <c r="S9" s="0" t="n">
        <v>352.173</v>
      </c>
      <c r="T9" s="0" t="n">
        <v>1118.67</v>
      </c>
      <c r="U9" s="0" t="n">
        <v>8.778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1482.439</v>
      </c>
      <c r="C10" s="0" t="n">
        <v>585.044</v>
      </c>
      <c r="D10" s="0" t="n">
        <v>897.395</v>
      </c>
      <c r="E10" s="0" t="n">
        <v>60.5</v>
      </c>
      <c r="F10" s="0" t="n">
        <v>373.88</v>
      </c>
      <c r="G10" s="0" t="n">
        <v>25.2</v>
      </c>
      <c r="H10" s="0" t="n">
        <v>480.76</v>
      </c>
      <c r="I10" s="0" t="n">
        <v>339.094</v>
      </c>
      <c r="J10" s="0" t="n">
        <v>22.9</v>
      </c>
      <c r="K10" s="0" t="n">
        <v>0.303</v>
      </c>
      <c r="L10" s="0" t="n">
        <v>395.981</v>
      </c>
      <c r="M10" s="0" t="n">
        <v>123.979</v>
      </c>
      <c r="N10" s="0" t="n">
        <v>272.002</v>
      </c>
      <c r="O10" s="0" t="n">
        <v>2912.914</v>
      </c>
      <c r="P10" s="0" t="n">
        <v>3662.746</v>
      </c>
      <c r="Q10" s="0" t="n">
        <v>749.832</v>
      </c>
      <c r="R10" s="0" t="n">
        <v>86.434</v>
      </c>
      <c r="S10" s="0" t="n">
        <v>357.231</v>
      </c>
      <c r="T10" s="0" t="n">
        <v>1119.805</v>
      </c>
      <c r="U10" s="0" t="n">
        <v>7.632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4.515</v>
      </c>
    </row>
    <row r="3" customFormat="false" ht="15" hidden="false" customHeight="false" outlineLevel="0" collapsed="false">
      <c r="A3" s="0" t="s">
        <v>76</v>
      </c>
      <c r="B3" s="3" t="n">
        <v>1078</v>
      </c>
    </row>
    <row r="4" customFormat="false" ht="15" hidden="false" customHeight="false" outlineLevel="0" collapsed="false">
      <c r="A4" s="0" t="s">
        <v>77</v>
      </c>
      <c r="B4" s="3" t="n">
        <v>-1239.7</v>
      </c>
    </row>
    <row r="5" customFormat="false" ht="15" hidden="false" customHeight="false" outlineLevel="0" collapsed="false">
      <c r="A5" s="0" t="s">
        <v>78</v>
      </c>
      <c r="B5" s="3" t="n">
        <v>-112.2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1482.439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1.1726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6</v>
      </c>
      <c r="D13" s="3" t="n">
        <v>1</v>
      </c>
      <c r="E13" s="3" t="n">
        <v>3</v>
      </c>
      <c r="F13" s="3" t="n">
        <v>4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34</v>
      </c>
      <c r="D14" s="3" t="n">
        <v>29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98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99</v>
      </c>
      <c r="C16" s="3" t="n">
        <v>0.6</v>
      </c>
      <c r="D16" s="3" t="n">
        <v>0.6</v>
      </c>
      <c r="E16" s="3" t="n">
        <v>0.6</v>
      </c>
      <c r="F16" s="3" t="n">
        <v>0.6</v>
      </c>
      <c r="G16" s="3" t="n">
        <v>0.6</v>
      </c>
      <c r="H16" s="3" t="n">
        <v>0.6</v>
      </c>
      <c r="I16" s="3" t="n">
        <v>0.6</v>
      </c>
      <c r="J16" s="3" t="n">
        <v>0.6</v>
      </c>
      <c r="K16" s="3" t="n">
        <v>0.6</v>
      </c>
      <c r="L16" s="3" t="n">
        <v>0.6</v>
      </c>
    </row>
    <row r="17" customFormat="false" ht="15" hidden="false" customHeight="false" outlineLevel="0" collapsed="false">
      <c r="A17" s="0" t="s">
        <v>100</v>
      </c>
      <c r="C17" s="3" t="n">
        <v>7.2</v>
      </c>
      <c r="D17" s="3" t="n">
        <v>7.2</v>
      </c>
      <c r="E17" s="3" t="n">
        <v>7</v>
      </c>
      <c r="F17" s="3" t="n">
        <v>7</v>
      </c>
      <c r="G17" s="3" t="n">
        <v>6.8</v>
      </c>
      <c r="H17" s="3" t="n">
        <v>6.8</v>
      </c>
      <c r="I17" s="3" t="n">
        <v>6.5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101</v>
      </c>
      <c r="C18" s="3" t="n">
        <v>7</v>
      </c>
      <c r="D18" s="3" t="n">
        <v>6.5</v>
      </c>
      <c r="E18" s="3" t="n">
        <v>6.5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102</v>
      </c>
      <c r="C19" s="3" t="n">
        <v>15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2.5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-40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10</v>
      </c>
      <c r="D27" s="3" t="n">
        <v>9</v>
      </c>
      <c r="E27" s="3" t="n">
        <v>8</v>
      </c>
      <c r="F27" s="3" t="n">
        <v>7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35</v>
      </c>
      <c r="D28" s="3" t="n">
        <v>35</v>
      </c>
      <c r="E28" s="3" t="n">
        <v>34</v>
      </c>
      <c r="F28" s="3" t="n">
        <v>34</v>
      </c>
      <c r="G28" s="3" t="n">
        <v>34</v>
      </c>
      <c r="H28" s="3" t="n">
        <v>34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98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99</v>
      </c>
      <c r="C30" s="3" t="n">
        <v>0.6</v>
      </c>
      <c r="D30" s="3" t="n">
        <v>0.6</v>
      </c>
      <c r="E30" s="3" t="n">
        <v>0.6</v>
      </c>
      <c r="F30" s="3" t="n">
        <v>0.6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100</v>
      </c>
      <c r="C31" s="3" t="n">
        <v>7.2</v>
      </c>
      <c r="D31" s="3" t="n">
        <v>7</v>
      </c>
      <c r="E31" s="3" t="n">
        <v>6.9</v>
      </c>
      <c r="F31" s="3" t="n">
        <v>6.8</v>
      </c>
      <c r="G31" s="3" t="n">
        <v>6.7</v>
      </c>
      <c r="H31" s="3" t="n">
        <v>6.6</v>
      </c>
      <c r="I31" s="3" t="n">
        <v>6.5</v>
      </c>
      <c r="J31" s="3" t="n">
        <v>6.5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101</v>
      </c>
      <c r="C32" s="3" t="n">
        <v>7</v>
      </c>
      <c r="D32" s="3" t="n">
        <v>6.5</v>
      </c>
      <c r="E32" s="3" t="n">
        <v>6.5</v>
      </c>
      <c r="F32" s="3" t="n">
        <v>6.5</v>
      </c>
      <c r="G32" s="3" t="n">
        <v>6.5</v>
      </c>
      <c r="H32" s="3" t="n">
        <v>6.5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102</v>
      </c>
      <c r="C33" s="3" t="n">
        <v>15</v>
      </c>
      <c r="D33" s="3" t="n">
        <v>15</v>
      </c>
      <c r="E33" s="3" t="n">
        <v>15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3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-35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13</v>
      </c>
      <c r="D41" s="3" t="n">
        <v>13</v>
      </c>
      <c r="E41" s="3" t="n">
        <v>12</v>
      </c>
      <c r="F41" s="3" t="n">
        <v>11</v>
      </c>
      <c r="G41" s="3" t="n">
        <v>10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36</v>
      </c>
      <c r="D42" s="3" t="n">
        <v>37</v>
      </c>
      <c r="E42" s="3" t="n">
        <v>37</v>
      </c>
      <c r="F42" s="3" t="n">
        <v>37.5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98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99</v>
      </c>
      <c r="C44" s="3" t="n">
        <v>0.6</v>
      </c>
      <c r="D44" s="3" t="n">
        <v>0.6</v>
      </c>
      <c r="E44" s="3" t="n">
        <v>0.6</v>
      </c>
      <c r="F44" s="3" t="n">
        <v>0.6</v>
      </c>
      <c r="G44" s="3" t="n">
        <v>0.6</v>
      </c>
      <c r="H44" s="3" t="n">
        <v>0.6</v>
      </c>
      <c r="I44" s="3" t="n">
        <v>0.6</v>
      </c>
      <c r="J44" s="3" t="n">
        <v>0.6</v>
      </c>
      <c r="K44" s="3" t="n">
        <v>0.6</v>
      </c>
      <c r="L44" s="3" t="n">
        <v>0.6</v>
      </c>
    </row>
    <row r="45" customFormat="false" ht="15" hidden="false" customHeight="false" outlineLevel="0" collapsed="false">
      <c r="A45" s="0" t="s">
        <v>100</v>
      </c>
      <c r="C45" s="3" t="n">
        <v>7.2</v>
      </c>
      <c r="D45" s="3" t="n">
        <v>7</v>
      </c>
      <c r="E45" s="3" t="n">
        <v>6.9</v>
      </c>
      <c r="F45" s="3" t="n">
        <v>6.8</v>
      </c>
      <c r="G45" s="3" t="n">
        <v>6.7</v>
      </c>
      <c r="H45" s="3" t="n">
        <v>6.6</v>
      </c>
      <c r="I45" s="3" t="n">
        <v>6.5</v>
      </c>
      <c r="J45" s="3" t="n">
        <v>6.5</v>
      </c>
      <c r="K45" s="3" t="n">
        <v>6.5</v>
      </c>
      <c r="L45" s="3" t="n">
        <v>6.5</v>
      </c>
    </row>
    <row r="46" customFormat="false" ht="15" hidden="false" customHeight="false" outlineLevel="0" collapsed="false">
      <c r="A46" s="0" t="s">
        <v>101</v>
      </c>
      <c r="C46" s="3" t="n">
        <v>7</v>
      </c>
      <c r="D46" s="3" t="n">
        <v>7</v>
      </c>
      <c r="E46" s="3" t="n">
        <v>6.5</v>
      </c>
      <c r="F46" s="3" t="n">
        <v>6.5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102</v>
      </c>
      <c r="C47" s="3" t="n">
        <v>15</v>
      </c>
      <c r="D47" s="3" t="n">
        <v>15</v>
      </c>
      <c r="E47" s="3" t="n">
        <v>15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3.5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-30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6</v>
      </c>
      <c r="D5" s="4" t="n">
        <f aca="false">Assumptions!D13</f>
        <v>1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1482.439</v>
      </c>
      <c r="C6" s="0" t="n">
        <f aca="false">B6*(1+C5/100)</f>
        <v>1571.38534</v>
      </c>
      <c r="D6" s="0" t="n">
        <f aca="false">C6*(1+D5/100)</f>
        <v>1587.0991934</v>
      </c>
      <c r="E6" s="0" t="n">
        <f aca="false">D6*(1+E5/100)</f>
        <v>1634.712169202</v>
      </c>
      <c r="F6" s="0" t="n">
        <f aca="false">E6*(1+F5/100)</f>
        <v>1700.10065597008</v>
      </c>
      <c r="G6" s="0" t="n">
        <f aca="false">F6*(1+G5/100)</f>
        <v>1768.10468220888</v>
      </c>
      <c r="H6" s="0" t="n">
        <f aca="false">G6*(1+H5/100)</f>
        <v>1829.98834608619</v>
      </c>
      <c r="I6" s="0" t="n">
        <f aca="false">H6*(1+I5/100)</f>
        <v>1884.88799646878</v>
      </c>
      <c r="J6" s="0" t="n">
        <f aca="false">I6*(1+J5/100)</f>
        <v>1941.43463636284</v>
      </c>
      <c r="K6" s="0" t="n">
        <f aca="false">J6*(1+K5/100)</f>
        <v>1989.97050227192</v>
      </c>
      <c r="L6" s="0" t="n">
        <f aca="false">K6*(1+L5/100)</f>
        <v>2039.71976482871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34</v>
      </c>
      <c r="D7" s="4" t="n">
        <f aca="false">Assumptions!D14</f>
        <v>29</v>
      </c>
      <c r="E7" s="4" t="n">
        <f aca="false">Assumptions!E14</f>
        <v>28</v>
      </c>
      <c r="F7" s="4" t="n">
        <f aca="false">Assumptions!F14</f>
        <v>28</v>
      </c>
      <c r="G7" s="4" t="n">
        <f aca="false">Assumptions!G14</f>
        <v>28</v>
      </c>
      <c r="H7" s="4" t="n">
        <f aca="false">Assumptions!H14</f>
        <v>28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534.2710156</v>
      </c>
      <c r="D8" s="0" t="n">
        <f aca="false">D6*D7/100</f>
        <v>460.258766086</v>
      </c>
      <c r="E8" s="0" t="n">
        <f aca="false">E6*E7/100</f>
        <v>457.71940737656</v>
      </c>
      <c r="F8" s="0" t="n">
        <f aca="false">F6*F7/100</f>
        <v>476.028183671623</v>
      </c>
      <c r="G8" s="0" t="n">
        <f aca="false">G6*G7/100</f>
        <v>495.069311018488</v>
      </c>
      <c r="H8" s="0" t="n">
        <f aca="false">H6*H7/100</f>
        <v>512.396736904135</v>
      </c>
      <c r="I8" s="0" t="n">
        <f aca="false">I6*I7/100</f>
        <v>527.768639011259</v>
      </c>
      <c r="J8" s="0" t="n">
        <f aca="false">J6*J7/100</f>
        <v>543.601698181596</v>
      </c>
      <c r="K8" s="0" t="n">
        <f aca="false">K6*K7/100</f>
        <v>557.191740636136</v>
      </c>
      <c r="L8" s="0" t="n">
        <f aca="false">L6*L7/100</f>
        <v>571.12153415204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-7.8569267</v>
      </c>
      <c r="D10" s="0" t="n">
        <f aca="false">-D6*D9/100</f>
        <v>-7.935495967</v>
      </c>
      <c r="E10" s="0" t="n">
        <f aca="false">-E6*E9/100</f>
        <v>-8.17356084601</v>
      </c>
      <c r="F10" s="0" t="n">
        <f aca="false">-F6*F9/100</f>
        <v>-8.5005032798504</v>
      </c>
      <c r="G10" s="0" t="n">
        <f aca="false">-G6*G9/100</f>
        <v>-8.84052341104442</v>
      </c>
      <c r="H10" s="0" t="n">
        <f aca="false">-H6*H9/100</f>
        <v>-9.14994173043097</v>
      </c>
      <c r="I10" s="0" t="n">
        <f aca="false">-I6*I9/100</f>
        <v>-9.4244399823439</v>
      </c>
      <c r="J10" s="0" t="n">
        <f aca="false">-J6*J9/100</f>
        <v>-9.70717318181422</v>
      </c>
      <c r="K10" s="0" t="n">
        <f aca="false">-K6*K9/100</f>
        <v>-9.94985251135958</v>
      </c>
      <c r="L10" s="0" t="n">
        <f aca="false">-L6*L9/100</f>
        <v>-10.1985988241436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516.98577686</v>
      </c>
      <c r="D11" s="0" t="n">
        <f aca="false">D8+D10+D24</f>
        <v>442.8006749586</v>
      </c>
      <c r="E11" s="0" t="n">
        <f aca="false">E8+E10+E24</f>
        <v>439.737573515338</v>
      </c>
      <c r="F11" s="0" t="n">
        <f aca="false">F8+F10+F24</f>
        <v>457.327076455952</v>
      </c>
      <c r="G11" s="0" t="n">
        <f aca="false">G8+G10+G24</f>
        <v>475.62015951419</v>
      </c>
      <c r="H11" s="0" t="n">
        <f aca="false">H8+H10+H24</f>
        <v>492.266865097186</v>
      </c>
      <c r="I11" s="0" t="n">
        <f aca="false">I8+I10+I24</f>
        <v>507.034871050102</v>
      </c>
      <c r="J11" s="0" t="n">
        <f aca="false">J8+J10+J24</f>
        <v>522.245917181605</v>
      </c>
      <c r="K11" s="0" t="n">
        <f aca="false">K8+K10+K24</f>
        <v>535.302065111145</v>
      </c>
      <c r="L11" s="0" t="n">
        <f aca="false">L8+L10+L24</f>
        <v>548.684616738924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-113.13974448</v>
      </c>
      <c r="D12" s="4" t="n">
        <f aca="false">-D6*Assumptions!D17/100</f>
        <v>-114.2711419248</v>
      </c>
      <c r="E12" s="4" t="n">
        <f aca="false">-E6*Assumptions!E17/100</f>
        <v>-114.42985184414</v>
      </c>
      <c r="F12" s="4" t="n">
        <f aca="false">-F6*Assumptions!F17/100</f>
        <v>-119.007045917906</v>
      </c>
      <c r="G12" s="4" t="n">
        <f aca="false">-G6*Assumptions!G17/100</f>
        <v>-120.231118390204</v>
      </c>
      <c r="H12" s="4" t="n">
        <f aca="false">-H6*Assumptions!H17/100</f>
        <v>-124.439207533861</v>
      </c>
      <c r="I12" s="4" t="n">
        <f aca="false">-I6*Assumptions!I17/100</f>
        <v>-122.517719770471</v>
      </c>
      <c r="J12" s="4" t="n">
        <f aca="false">-J6*Assumptions!J17/100</f>
        <v>-126.193251363585</v>
      </c>
      <c r="K12" s="4" t="n">
        <f aca="false">-K6*Assumptions!K17/100</f>
        <v>-129.348082647674</v>
      </c>
      <c r="L12" s="4" t="n">
        <f aca="false">-L6*Assumptions!L17/100</f>
        <v>-132.581784713866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403.84603238</v>
      </c>
      <c r="D13" s="0" t="n">
        <f aca="false">D11+D12</f>
        <v>328.5295330338</v>
      </c>
      <c r="E13" s="0" t="n">
        <f aca="false">E11+E12</f>
        <v>325.307721671198</v>
      </c>
      <c r="F13" s="0" t="n">
        <f aca="false">F11+F12</f>
        <v>338.320030538046</v>
      </c>
      <c r="G13" s="0" t="n">
        <f aca="false">G11+G12</f>
        <v>355.389041123986</v>
      </c>
      <c r="H13" s="0" t="n">
        <f aca="false">H11+H12</f>
        <v>367.827657563325</v>
      </c>
      <c r="I13" s="0" t="n">
        <f aca="false">I11+I12</f>
        <v>384.517151279631</v>
      </c>
      <c r="J13" s="0" t="n">
        <f aca="false">J11+J12</f>
        <v>396.05266581802</v>
      </c>
      <c r="K13" s="0" t="n">
        <f aca="false">K11+K12</f>
        <v>405.953982463471</v>
      </c>
      <c r="L13" s="0" t="n">
        <f aca="false">L11+L12</f>
        <v>416.102832025057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343.269127523</v>
      </c>
      <c r="D15" s="0" t="n">
        <f aca="false">D13-MAX(0,D13)*D14/100</f>
        <v>279.25010307873</v>
      </c>
      <c r="E15" s="0" t="n">
        <f aca="false">E13-MAX(0,E13)*E14/100</f>
        <v>276.511563420518</v>
      </c>
      <c r="F15" s="0" t="n">
        <f aca="false">F13-MAX(0,F13)*F14/100</f>
        <v>287.572025957339</v>
      </c>
      <c r="G15" s="0" t="n">
        <f aca="false">G13-MAX(0,G13)*G14/100</f>
        <v>302.080684955388</v>
      </c>
      <c r="H15" s="0" t="n">
        <f aca="false">H13-MAX(0,H13)*H14/100</f>
        <v>312.653508928826</v>
      </c>
      <c r="I15" s="0" t="n">
        <f aca="false">I13-MAX(0,I13)*I14/100</f>
        <v>326.839578587687</v>
      </c>
      <c r="J15" s="0" t="n">
        <f aca="false">J13-MAX(0,J13)*J14/100</f>
        <v>336.644765945317</v>
      </c>
      <c r="K15" s="0" t="n">
        <f aca="false">K13-MAX(0,K13)*K14/100</f>
        <v>345.06088509395</v>
      </c>
      <c r="L15" s="0" t="n">
        <f aca="false">L13-MAX(0,L13)*L14/100</f>
        <v>353.687407221299</v>
      </c>
    </row>
    <row r="16" customFormat="false" ht="15" hidden="false" customHeight="false" outlineLevel="0" collapsed="false">
      <c r="A16" s="0" t="s">
        <v>118</v>
      </c>
      <c r="C16" s="0" t="n">
        <f aca="false">-C12</f>
        <v>113.13974448</v>
      </c>
      <c r="D16" s="0" t="n">
        <f aca="false">-D12</f>
        <v>114.2711419248</v>
      </c>
      <c r="E16" s="0" t="n">
        <f aca="false">-E12</f>
        <v>114.42985184414</v>
      </c>
      <c r="F16" s="0" t="n">
        <f aca="false">-F12</f>
        <v>119.007045917906</v>
      </c>
      <c r="G16" s="0" t="n">
        <f aca="false">-G12</f>
        <v>120.231118390204</v>
      </c>
      <c r="H16" s="0" t="n">
        <f aca="false">-H12</f>
        <v>124.439207533861</v>
      </c>
      <c r="I16" s="0" t="n">
        <f aca="false">-I12</f>
        <v>122.517719770471</v>
      </c>
      <c r="J16" s="0" t="n">
        <f aca="false">-J12</f>
        <v>126.193251363585</v>
      </c>
      <c r="K16" s="0" t="n">
        <f aca="false">-K12</f>
        <v>129.348082647674</v>
      </c>
      <c r="L16" s="0" t="n">
        <f aca="false">-L12</f>
        <v>132.581784713866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-109.9969738</v>
      </c>
      <c r="D17" s="4" t="n">
        <f aca="false">-D6*Assumptions!D18/100</f>
        <v>-103.161447571</v>
      </c>
      <c r="E17" s="4" t="n">
        <f aca="false">-E6*Assumptions!E18/100</f>
        <v>-106.25629099813</v>
      </c>
      <c r="F17" s="4" t="n">
        <f aca="false">-F6*Assumptions!F18/100</f>
        <v>-110.506542638055</v>
      </c>
      <c r="G17" s="4" t="n">
        <f aca="false">-G6*Assumptions!G18/100</f>
        <v>-114.926804343577</v>
      </c>
      <c r="H17" s="4" t="n">
        <f aca="false">-H6*Assumptions!H18/100</f>
        <v>-118.949242495603</v>
      </c>
      <c r="I17" s="4" t="n">
        <f aca="false">-I6*Assumptions!I18/100</f>
        <v>-122.517719770471</v>
      </c>
      <c r="J17" s="4" t="n">
        <f aca="false">-J6*Assumptions!J18/100</f>
        <v>-126.193251363585</v>
      </c>
      <c r="K17" s="4" t="n">
        <f aca="false">-K6*Assumptions!K18/100</f>
        <v>-129.348082647674</v>
      </c>
      <c r="L17" s="4" t="n">
        <f aca="false">-L6*Assumptions!L18/100</f>
        <v>-132.581784713866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-35.5785360000001</v>
      </c>
      <c r="D18" s="4" t="n">
        <f aca="false">(D6-C6)*Assumptions!$B$23/100</f>
        <v>-6.28554136000003</v>
      </c>
      <c r="E18" s="4" t="n">
        <f aca="false">(E6-D6)*Assumptions!$B$23/100</f>
        <v>-19.0451903208001</v>
      </c>
      <c r="F18" s="4" t="n">
        <f aca="false">(F6-E6)*Assumptions!$B$23/100</f>
        <v>-26.1553947072321</v>
      </c>
      <c r="G18" s="4" t="n">
        <f aca="false">(G6-F6)*Assumptions!$B$23/100</f>
        <v>-27.2016104955213</v>
      </c>
      <c r="H18" s="4" t="n">
        <f aca="false">(H6-G6)*Assumptions!$B$23/100</f>
        <v>-24.7534655509243</v>
      </c>
      <c r="I18" s="4" t="n">
        <f aca="false">(I6-H6)*Assumptions!$B$23/100</f>
        <v>-21.9598601530343</v>
      </c>
      <c r="J18" s="4" t="n">
        <f aca="false">(J6-I6)*Assumptions!$B$23/100</f>
        <v>-22.6186559576254</v>
      </c>
      <c r="K18" s="4" t="n">
        <f aca="false">(K6-J6)*Assumptions!$B$23/100</f>
        <v>-19.4143463636284</v>
      </c>
      <c r="L18" s="4" t="n">
        <f aca="false">(L6-K6)*Assumptions!$B$23/100</f>
        <v>-19.8997050227191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310.833362203</v>
      </c>
      <c r="D19" s="0" t="n">
        <f aca="false">D15+D16+D17+D18</f>
        <v>284.07425607253</v>
      </c>
      <c r="E19" s="0" t="n">
        <f aca="false">E15+E16+E17+E18</f>
        <v>265.639933945728</v>
      </c>
      <c r="F19" s="0" t="n">
        <f aca="false">F15+F16+F17+F18</f>
        <v>269.917134529958</v>
      </c>
      <c r="G19" s="0" t="n">
        <f aca="false">G15+G16+G17+G18</f>
        <v>280.183388506493</v>
      </c>
      <c r="H19" s="0" t="n">
        <f aca="false">H15+H16+H17+H18</f>
        <v>293.390008416161</v>
      </c>
      <c r="I19" s="0" t="n">
        <f aca="false">I15+I16+I17+I18</f>
        <v>304.879718434652</v>
      </c>
      <c r="J19" s="0" t="n">
        <f aca="false">J15+J16+J17+J18</f>
        <v>314.026109987692</v>
      </c>
      <c r="K19" s="0" t="n">
        <f aca="false">K15+K16+K17+K18</f>
        <v>325.646538730322</v>
      </c>
      <c r="L19" s="0" t="n">
        <f aca="false">L15+L16+L17+L18</f>
        <v>333.78770219858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282.575783820909</v>
      </c>
      <c r="D21" s="0" t="n">
        <f aca="false">D19*D20</f>
        <v>234.772112456636</v>
      </c>
      <c r="E21" s="0" t="n">
        <f aca="false">E19*E20</f>
        <v>199.579214083943</v>
      </c>
      <c r="F21" s="0" t="n">
        <f aca="false">F19*F20</f>
        <v>184.357034717545</v>
      </c>
      <c r="G21" s="0" t="n">
        <f aca="false">G19*G20</f>
        <v>173.971840290649</v>
      </c>
      <c r="H21" s="0" t="n">
        <f aca="false">H19*H20</f>
        <v>165.611011089181</v>
      </c>
      <c r="I21" s="0" t="n">
        <f aca="false">I19*I20</f>
        <v>156.451502598634</v>
      </c>
      <c r="J21" s="0" t="n">
        <f aca="false">J19*J20</f>
        <v>146.495497887812</v>
      </c>
      <c r="K21" s="0" t="n">
        <f aca="false">K19*K20</f>
        <v>138.105921506772</v>
      </c>
      <c r="L21" s="0" t="n">
        <f aca="false">L19*L20</f>
        <v>128.689608676765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0.6</v>
      </c>
      <c r="D23" s="4" t="n">
        <f aca="false">Assumptions!D16</f>
        <v>0.6</v>
      </c>
      <c r="E23" s="4" t="n">
        <f aca="false">Assumptions!E16</f>
        <v>0.6</v>
      </c>
      <c r="F23" s="4" t="n">
        <f aca="false">Assumptions!F16</f>
        <v>0.6</v>
      </c>
      <c r="G23" s="4" t="n">
        <f aca="false">Assumptions!G16</f>
        <v>0.6</v>
      </c>
      <c r="H23" s="4" t="n">
        <f aca="false">Assumptions!H16</f>
        <v>0.6</v>
      </c>
      <c r="I23" s="4" t="n">
        <f aca="false">Assumptions!I16</f>
        <v>0.6</v>
      </c>
      <c r="J23" s="4" t="n">
        <f aca="false">Assumptions!J16</f>
        <v>0.6</v>
      </c>
      <c r="K23" s="4" t="n">
        <f aca="false">Assumptions!K16</f>
        <v>0.6</v>
      </c>
      <c r="L23" s="4" t="n">
        <f aca="false">Assumptions!L16</f>
        <v>0.6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-9.42831204</v>
      </c>
      <c r="D24" s="0" t="n">
        <f aca="false">-D6*D23/100</f>
        <v>-9.5225951604</v>
      </c>
      <c r="E24" s="0" t="n">
        <f aca="false">-E6*E23/100</f>
        <v>-9.808273015212</v>
      </c>
      <c r="F24" s="0" t="n">
        <f aca="false">-F6*F23/100</f>
        <v>-10.2006039358205</v>
      </c>
      <c r="G24" s="0" t="n">
        <f aca="false">-G6*G23/100</f>
        <v>-10.6086280932533</v>
      </c>
      <c r="H24" s="0" t="n">
        <f aca="false">-H6*H23/100</f>
        <v>-10.9799300765172</v>
      </c>
      <c r="I24" s="0" t="n">
        <f aca="false">-I6*I23/100</f>
        <v>-11.3093279788127</v>
      </c>
      <c r="J24" s="0" t="n">
        <f aca="false">-J6*J23/100</f>
        <v>-11.6486078181771</v>
      </c>
      <c r="K24" s="0" t="n">
        <f aca="false">-K6*K23/100</f>
        <v>-11.9398230136315</v>
      </c>
      <c r="L24" s="0" t="n">
        <f aca="false">-L6*L23/100</f>
        <v>-12.2383185889723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1810.60952712885</v>
      </c>
    </row>
    <row r="31" customFormat="false" ht="15" hidden="false" customHeight="false" outlineLevel="0" collapsed="false">
      <c r="A31" s="0" t="s">
        <v>127</v>
      </c>
      <c r="B31" s="0" t="n">
        <f aca="false">L19</f>
        <v>333.78770219858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4561.76526338059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5006.8155329787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4561.76526338059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1758.75798524913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3569.36751237797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4696.86751237797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5.1090416001989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0.131570675570077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53.8183760930316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53.7373516225103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5.22603589177519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2737.05915802835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3.56416814586747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10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1482.439</v>
      </c>
      <c r="C6" s="0" t="n">
        <f aca="false">B6*(1+C5/100)</f>
        <v>1630.6829</v>
      </c>
      <c r="D6" s="0" t="n">
        <f aca="false">C6*(1+D5/100)</f>
        <v>1777.444361</v>
      </c>
      <c r="E6" s="0" t="n">
        <f aca="false">D6*(1+E5/100)</f>
        <v>1919.63990988</v>
      </c>
      <c r="F6" s="0" t="n">
        <f aca="false">E6*(1+F5/100)</f>
        <v>2054.0147035716</v>
      </c>
      <c r="G6" s="0" t="n">
        <f aca="false">F6*(1+G5/100)</f>
        <v>2177.2555857859</v>
      </c>
      <c r="H6" s="0" t="n">
        <f aca="false">G6*(1+H5/100)</f>
        <v>2286.11836507519</v>
      </c>
      <c r="I6" s="0" t="n">
        <f aca="false">H6*(1+I5/100)</f>
        <v>2388.99369150357</v>
      </c>
      <c r="J6" s="0" t="n">
        <f aca="false">I6*(1+J5/100)</f>
        <v>2484.55343916372</v>
      </c>
      <c r="K6" s="0" t="n">
        <f aca="false">J6*(1+K5/100)</f>
        <v>2571.51280953445</v>
      </c>
      <c r="L6" s="0" t="n">
        <f aca="false">K6*(1+L5/100)</f>
        <v>2648.65819382048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35</v>
      </c>
      <c r="D7" s="4" t="n">
        <f aca="false">Assumptions!D28</f>
        <v>35</v>
      </c>
      <c r="E7" s="4" t="n">
        <f aca="false">Assumptions!E28</f>
        <v>34</v>
      </c>
      <c r="F7" s="4" t="n">
        <f aca="false">Assumptions!F28</f>
        <v>34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570.739015</v>
      </c>
      <c r="D8" s="0" t="n">
        <f aca="false">D6*D7/100</f>
        <v>622.10552635</v>
      </c>
      <c r="E8" s="0" t="n">
        <f aca="false">E6*E7/100</f>
        <v>652.6775693592</v>
      </c>
      <c r="F8" s="0" t="n">
        <f aca="false">F6*F7/100</f>
        <v>698.364999214344</v>
      </c>
      <c r="G8" s="0" t="n">
        <f aca="false">G6*G7/100</f>
        <v>740.266899167205</v>
      </c>
      <c r="H8" s="0" t="n">
        <f aca="false">H6*H7/100</f>
        <v>777.280244125565</v>
      </c>
      <c r="I8" s="0" t="n">
        <f aca="false">I6*I7/100</f>
        <v>812.257855111215</v>
      </c>
      <c r="J8" s="0" t="n">
        <f aca="false">J6*J7/100</f>
        <v>844.748169315664</v>
      </c>
      <c r="K8" s="0" t="n">
        <f aca="false">K6*K7/100</f>
        <v>874.314355241712</v>
      </c>
      <c r="L8" s="0" t="n">
        <f aca="false">L6*L7/100</f>
        <v>900.543785898964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-8.1534145</v>
      </c>
      <c r="D10" s="0" t="n">
        <f aca="false">-D6*D9/100</f>
        <v>-8.887221805</v>
      </c>
      <c r="E10" s="0" t="n">
        <f aca="false">-E6*E9/100</f>
        <v>-9.5981995494</v>
      </c>
      <c r="F10" s="0" t="n">
        <f aca="false">-F6*F9/100</f>
        <v>-10.270073517858</v>
      </c>
      <c r="G10" s="0" t="n">
        <f aca="false">-G6*G9/100</f>
        <v>-10.8862779289295</v>
      </c>
      <c r="H10" s="0" t="n">
        <f aca="false">-H6*H9/100</f>
        <v>-11.430591825376</v>
      </c>
      <c r="I10" s="0" t="n">
        <f aca="false">-I6*I9/100</f>
        <v>-11.9449684575179</v>
      </c>
      <c r="J10" s="0" t="n">
        <f aca="false">-J6*J9/100</f>
        <v>-12.4227671958186</v>
      </c>
      <c r="K10" s="0" t="n">
        <f aca="false">-K6*K9/100</f>
        <v>-12.8575640476722</v>
      </c>
      <c r="L10" s="0" t="n">
        <f aca="false">-L6*L9/100</f>
        <v>-13.2432909691024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552.8015031</v>
      </c>
      <c r="D11" s="0" t="n">
        <f aca="false">D8+D10+D24</f>
        <v>602.553638379</v>
      </c>
      <c r="E11" s="0" t="n">
        <f aca="false">E8+E10+E24</f>
        <v>631.56153035052</v>
      </c>
      <c r="F11" s="0" t="n">
        <f aca="false">F8+F10+F24</f>
        <v>675.770837475057</v>
      </c>
      <c r="G11" s="0" t="n">
        <f aca="false">G8+G10+G24</f>
        <v>716.31708772356</v>
      </c>
      <c r="H11" s="0" t="n">
        <f aca="false">H8+H10+H24</f>
        <v>752.132942109738</v>
      </c>
      <c r="I11" s="0" t="n">
        <f aca="false">I8+I10+I24</f>
        <v>785.978924504676</v>
      </c>
      <c r="J11" s="0" t="n">
        <f aca="false">J8+J10+J24</f>
        <v>817.418081484863</v>
      </c>
      <c r="K11" s="0" t="n">
        <f aca="false">K8+K10+K24</f>
        <v>846.027714336833</v>
      </c>
      <c r="L11" s="0" t="n">
        <f aca="false">L8+L10+L24</f>
        <v>871.408545766938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-117.4091688</v>
      </c>
      <c r="D12" s="4" t="n">
        <f aca="false">-D6*Assumptions!D31/100</f>
        <v>-124.42110527</v>
      </c>
      <c r="E12" s="4" t="n">
        <f aca="false">-E6*Assumptions!E31/100</f>
        <v>-132.45515378172</v>
      </c>
      <c r="F12" s="4" t="n">
        <f aca="false">-F6*Assumptions!F31/100</f>
        <v>-139.672999842869</v>
      </c>
      <c r="G12" s="4" t="n">
        <f aca="false">-G6*Assumptions!G31/100</f>
        <v>-145.876124247655</v>
      </c>
      <c r="H12" s="4" t="n">
        <f aca="false">-H6*Assumptions!H31/100</f>
        <v>-150.883812094963</v>
      </c>
      <c r="I12" s="4" t="n">
        <f aca="false">-I6*Assumptions!I31/100</f>
        <v>-155.284589947732</v>
      </c>
      <c r="J12" s="4" t="n">
        <f aca="false">-J6*Assumptions!J31/100</f>
        <v>-161.495973545642</v>
      </c>
      <c r="K12" s="4" t="n">
        <f aca="false">-K6*Assumptions!K31/100</f>
        <v>-167.148332619739</v>
      </c>
      <c r="L12" s="4" t="n">
        <f aca="false">-L6*Assumptions!L31/100</f>
        <v>-172.162782598331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435.3923343</v>
      </c>
      <c r="D13" s="0" t="n">
        <f aca="false">D11+D12</f>
        <v>478.132533109</v>
      </c>
      <c r="E13" s="0" t="n">
        <f aca="false">E11+E12</f>
        <v>499.1063765688</v>
      </c>
      <c r="F13" s="0" t="n">
        <f aca="false">F11+F12</f>
        <v>536.097837632188</v>
      </c>
      <c r="G13" s="0" t="n">
        <f aca="false">G11+G12</f>
        <v>570.440963475905</v>
      </c>
      <c r="H13" s="0" t="n">
        <f aca="false">H11+H12</f>
        <v>601.249130014775</v>
      </c>
      <c r="I13" s="0" t="n">
        <f aca="false">I11+I12</f>
        <v>630.694334556944</v>
      </c>
      <c r="J13" s="0" t="n">
        <f aca="false">J11+J12</f>
        <v>655.922107939222</v>
      </c>
      <c r="K13" s="0" t="n">
        <f aca="false">K11+K12</f>
        <v>678.879381717094</v>
      </c>
      <c r="L13" s="0" t="n">
        <f aca="false">L11+L12</f>
        <v>699.245763168607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370.083484155</v>
      </c>
      <c r="D15" s="0" t="n">
        <f aca="false">D13-MAX(0,D13)*D14/100</f>
        <v>406.41265314265</v>
      </c>
      <c r="E15" s="0" t="n">
        <f aca="false">E13-MAX(0,E13)*E14/100</f>
        <v>424.24042008348</v>
      </c>
      <c r="F15" s="0" t="n">
        <f aca="false">F13-MAX(0,F13)*F14/100</f>
        <v>455.68316198736</v>
      </c>
      <c r="G15" s="0" t="n">
        <f aca="false">G13-MAX(0,G13)*G14/100</f>
        <v>484.874818954519</v>
      </c>
      <c r="H15" s="0" t="n">
        <f aca="false">H13-MAX(0,H13)*H14/100</f>
        <v>511.061760512559</v>
      </c>
      <c r="I15" s="0" t="n">
        <f aca="false">I13-MAX(0,I13)*I14/100</f>
        <v>536.090184373402</v>
      </c>
      <c r="J15" s="0" t="n">
        <f aca="false">J13-MAX(0,J13)*J14/100</f>
        <v>557.533791748338</v>
      </c>
      <c r="K15" s="0" t="n">
        <f aca="false">K13-MAX(0,K13)*K14/100</f>
        <v>577.04747445953</v>
      </c>
      <c r="L15" s="0" t="n">
        <f aca="false">L13-MAX(0,L13)*L14/100</f>
        <v>594.358898693316</v>
      </c>
    </row>
    <row r="16" customFormat="false" ht="15" hidden="false" customHeight="false" outlineLevel="0" collapsed="false">
      <c r="A16" s="0" t="s">
        <v>118</v>
      </c>
      <c r="C16" s="0" t="n">
        <f aca="false">-C12</f>
        <v>117.4091688</v>
      </c>
      <c r="D16" s="0" t="n">
        <f aca="false">-D12</f>
        <v>124.42110527</v>
      </c>
      <c r="E16" s="0" t="n">
        <f aca="false">-E12</f>
        <v>132.45515378172</v>
      </c>
      <c r="F16" s="0" t="n">
        <f aca="false">-F12</f>
        <v>139.672999842869</v>
      </c>
      <c r="G16" s="0" t="n">
        <f aca="false">-G12</f>
        <v>145.876124247655</v>
      </c>
      <c r="H16" s="0" t="n">
        <f aca="false">-H12</f>
        <v>150.883812094963</v>
      </c>
      <c r="I16" s="0" t="n">
        <f aca="false">-I12</f>
        <v>155.284589947732</v>
      </c>
      <c r="J16" s="0" t="n">
        <f aca="false">-J12</f>
        <v>161.495973545642</v>
      </c>
      <c r="K16" s="0" t="n">
        <f aca="false">-K12</f>
        <v>167.148332619739</v>
      </c>
      <c r="L16" s="0" t="n">
        <f aca="false">-L12</f>
        <v>172.162782598331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-114.147803</v>
      </c>
      <c r="D17" s="4" t="n">
        <f aca="false">-D6*Assumptions!D32/100</f>
        <v>-115.533883465</v>
      </c>
      <c r="E17" s="4" t="n">
        <f aca="false">-E6*Assumptions!E32/100</f>
        <v>-124.7765941422</v>
      </c>
      <c r="F17" s="4" t="n">
        <f aca="false">-F6*Assumptions!F32/100</f>
        <v>-133.510955732154</v>
      </c>
      <c r="G17" s="4" t="n">
        <f aca="false">-G6*Assumptions!G32/100</f>
        <v>-141.521613076083</v>
      </c>
      <c r="H17" s="4" t="n">
        <f aca="false">-H6*Assumptions!H32/100</f>
        <v>-148.597693729887</v>
      </c>
      <c r="I17" s="4" t="n">
        <f aca="false">-I6*Assumptions!I32/100</f>
        <v>-155.284589947732</v>
      </c>
      <c r="J17" s="4" t="n">
        <f aca="false">-J6*Assumptions!J32/100</f>
        <v>-161.495973545642</v>
      </c>
      <c r="K17" s="4" t="n">
        <f aca="false">-K6*Assumptions!K32/100</f>
        <v>-167.148332619739</v>
      </c>
      <c r="L17" s="4" t="n">
        <f aca="false">-L6*Assumptions!L32/100</f>
        <v>-172.162782598331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-51.8853650000001</v>
      </c>
      <c r="D18" s="4" t="n">
        <f aca="false">(D6-C6)*Assumptions!$B$37/100</f>
        <v>-51.36651135</v>
      </c>
      <c r="E18" s="4" t="n">
        <f aca="false">(E6-D6)*Assumptions!$B$37/100</f>
        <v>-49.7684421080001</v>
      </c>
      <c r="F18" s="4" t="n">
        <f aca="false">(F6-E6)*Assumptions!$B$37/100</f>
        <v>-47.03117779206</v>
      </c>
      <c r="G18" s="4" t="n">
        <f aca="false">(G6-F6)*Assumptions!$B$37/100</f>
        <v>-43.1343087750036</v>
      </c>
      <c r="H18" s="4" t="n">
        <f aca="false">(H6-G6)*Assumptions!$B$37/100</f>
        <v>-38.1019727512532</v>
      </c>
      <c r="I18" s="4" t="n">
        <f aca="false">(I6-H6)*Assumptions!$B$37/100</f>
        <v>-36.0063642499341</v>
      </c>
      <c r="J18" s="4" t="n">
        <f aca="false">(J6-I6)*Assumptions!$B$37/100</f>
        <v>-33.44591168105</v>
      </c>
      <c r="K18" s="4" t="n">
        <f aca="false">(K6-J6)*Assumptions!$B$37/100</f>
        <v>-30.4357796297555</v>
      </c>
      <c r="L18" s="4" t="n">
        <f aca="false">(L6-K6)*Assumptions!$B$37/100</f>
        <v>-27.0008845001116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321.459484955</v>
      </c>
      <c r="D19" s="0" t="n">
        <f aca="false">D15+D16+D17+D18</f>
        <v>363.93336359765</v>
      </c>
      <c r="E19" s="0" t="n">
        <f aca="false">E15+E16+E17+E18</f>
        <v>382.150537615</v>
      </c>
      <c r="F19" s="0" t="n">
        <f aca="false">F15+F16+F17+F18</f>
        <v>414.814028306014</v>
      </c>
      <c r="G19" s="0" t="n">
        <f aca="false">G15+G16+G17+G18</f>
        <v>446.095021351087</v>
      </c>
      <c r="H19" s="0" t="n">
        <f aca="false">H15+H16+H17+H18</f>
        <v>475.245906126381</v>
      </c>
      <c r="I19" s="0" t="n">
        <f aca="false">I15+I16+I17+I18</f>
        <v>500.083820123468</v>
      </c>
      <c r="J19" s="0" t="n">
        <f aca="false">J15+J16+J17+J18</f>
        <v>524.087880067288</v>
      </c>
      <c r="K19" s="0" t="n">
        <f aca="false">K15+K16+K17+K18</f>
        <v>546.611694829775</v>
      </c>
      <c r="L19" s="0" t="n">
        <f aca="false">L15+L16+L17+L18</f>
        <v>567.358014193204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292.235895413636</v>
      </c>
      <c r="D21" s="0" t="n">
        <f aca="false">D19*D20</f>
        <v>300.771374874091</v>
      </c>
      <c r="E21" s="0" t="n">
        <f aca="false">E19*E20</f>
        <v>287.115355082645</v>
      </c>
      <c r="F21" s="0" t="n">
        <f aca="false">F19*F20</f>
        <v>283.323562807195</v>
      </c>
      <c r="G21" s="0" t="n">
        <f aca="false">G19*G20</f>
        <v>276.989910867419</v>
      </c>
      <c r="H21" s="0" t="n">
        <f aca="false">H19*H20</f>
        <v>268.263924373127</v>
      </c>
      <c r="I21" s="0" t="n">
        <f aca="false">I19*I20</f>
        <v>256.622072092182</v>
      </c>
      <c r="J21" s="0" t="n">
        <f aca="false">J19*J20</f>
        <v>244.490863929863</v>
      </c>
      <c r="K21" s="0" t="n">
        <f aca="false">K19*K20</f>
        <v>231.816717951855</v>
      </c>
      <c r="L21" s="0" t="n">
        <f aca="false">L19*L20</f>
        <v>218.741075076255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0.6</v>
      </c>
      <c r="D23" s="4" t="n">
        <f aca="false">Assumptions!D30</f>
        <v>0.6</v>
      </c>
      <c r="E23" s="4" t="n">
        <f aca="false">Assumptions!E30</f>
        <v>0.6</v>
      </c>
      <c r="F23" s="4" t="n">
        <f aca="false">Assumptions!F30</f>
        <v>0.6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-9.7840974</v>
      </c>
      <c r="D24" s="0" t="n">
        <f aca="false">-D6*D23/100</f>
        <v>-10.664666166</v>
      </c>
      <c r="E24" s="0" t="n">
        <f aca="false">-E6*E23/100</f>
        <v>-11.51783945928</v>
      </c>
      <c r="F24" s="0" t="n">
        <f aca="false">-F6*F23/100</f>
        <v>-12.3240882214296</v>
      </c>
      <c r="G24" s="0" t="n">
        <f aca="false">-G6*G23/100</f>
        <v>-13.0635335147154</v>
      </c>
      <c r="H24" s="0" t="n">
        <f aca="false">-H6*H23/100</f>
        <v>-13.7167101904511</v>
      </c>
      <c r="I24" s="0" t="n">
        <f aca="false">-I6*I23/100</f>
        <v>-14.3339621490214</v>
      </c>
      <c r="J24" s="0" t="n">
        <f aca="false">-J6*J23/100</f>
        <v>-14.9073206349823</v>
      </c>
      <c r="K24" s="0" t="n">
        <f aca="false">-K6*K23/100</f>
        <v>-15.4290768572067</v>
      </c>
      <c r="L24" s="0" t="n">
        <f aca="false">-L6*L23/100</f>
        <v>-15.8919491629229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2660.37075246827</v>
      </c>
    </row>
    <row r="31" customFormat="false" ht="15" hidden="false" customHeight="false" outlineLevel="0" collapsed="false">
      <c r="A31" s="0" t="s">
        <v>127</v>
      </c>
      <c r="B31" s="0" t="n">
        <f aca="false">L19</f>
        <v>567.358014193204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8348.26792312858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10212.4442554777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8348.26792312858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3218.61867612203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5878.9894285903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7006.4894285903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7.62134462334414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0.688005453675337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64.67836174743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75.1291117427593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7.77342091593653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4869.82295515834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4.84769129981588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13</v>
      </c>
      <c r="D5" s="4" t="n">
        <f aca="false">Assumptions!D41</f>
        <v>13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1482.439</v>
      </c>
      <c r="C6" s="0" t="n">
        <f aca="false">B6*(1+C5/100)</f>
        <v>1675.15607</v>
      </c>
      <c r="D6" s="0" t="n">
        <f aca="false">C6*(1+D5/100)</f>
        <v>1892.9263591</v>
      </c>
      <c r="E6" s="0" t="n">
        <f aca="false">D6*(1+E5/100)</f>
        <v>2120.077522192</v>
      </c>
      <c r="F6" s="0" t="n">
        <f aca="false">E6*(1+F5/100)</f>
        <v>2353.28604963312</v>
      </c>
      <c r="G6" s="0" t="n">
        <f aca="false">F6*(1+G5/100)</f>
        <v>2588.61465459643</v>
      </c>
      <c r="H6" s="0" t="n">
        <f aca="false">G6*(1+H5/100)</f>
        <v>2795.70382696415</v>
      </c>
      <c r="I6" s="0" t="n">
        <f aca="false">H6*(1+I5/100)</f>
        <v>2991.40309485164</v>
      </c>
      <c r="J6" s="0" t="n">
        <f aca="false">I6*(1+J5/100)</f>
        <v>3170.88728054274</v>
      </c>
      <c r="K6" s="0" t="n">
        <f aca="false">J6*(1+K5/100)</f>
        <v>3329.43164456987</v>
      </c>
      <c r="L6" s="0" t="n">
        <f aca="false">K6*(1+L5/100)</f>
        <v>3462.60891035267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36</v>
      </c>
      <c r="D7" s="4" t="n">
        <f aca="false">Assumptions!D42</f>
        <v>37</v>
      </c>
      <c r="E7" s="4" t="n">
        <f aca="false">Assumptions!E42</f>
        <v>37</v>
      </c>
      <c r="F7" s="4" t="n">
        <f aca="false">Assumptions!F42</f>
        <v>37.5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603.0561852</v>
      </c>
      <c r="D8" s="0" t="n">
        <f aca="false">D6*D7/100</f>
        <v>700.382752867</v>
      </c>
      <c r="E8" s="0" t="n">
        <f aca="false">E6*E7/100</f>
        <v>784.42868321104</v>
      </c>
      <c r="F8" s="0" t="n">
        <f aca="false">F6*F7/100</f>
        <v>882.48226861242</v>
      </c>
      <c r="G8" s="0" t="n">
        <f aca="false">G6*G7/100</f>
        <v>983.673568746644</v>
      </c>
      <c r="H8" s="0" t="n">
        <f aca="false">H6*H7/100</f>
        <v>1062.36745424638</v>
      </c>
      <c r="I8" s="0" t="n">
        <f aca="false">I6*I7/100</f>
        <v>1136.73317604362</v>
      </c>
      <c r="J8" s="0" t="n">
        <f aca="false">J6*J7/100</f>
        <v>1204.93716660624</v>
      </c>
      <c r="K8" s="0" t="n">
        <f aca="false">K6*K7/100</f>
        <v>1265.18402493655</v>
      </c>
      <c r="L8" s="0" t="n">
        <f aca="false">L6*L7/100</f>
        <v>1315.79138593401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-8.37578035</v>
      </c>
      <c r="D10" s="0" t="n">
        <f aca="false">-D6*D9/100</f>
        <v>-9.4646317955</v>
      </c>
      <c r="E10" s="0" t="n">
        <f aca="false">-E6*E9/100</f>
        <v>-10.60038761096</v>
      </c>
      <c r="F10" s="0" t="n">
        <f aca="false">-F6*F9/100</f>
        <v>-11.7664302481656</v>
      </c>
      <c r="G10" s="0" t="n">
        <f aca="false">-G6*G9/100</f>
        <v>-12.9430732729822</v>
      </c>
      <c r="H10" s="0" t="n">
        <f aca="false">-H6*H9/100</f>
        <v>-13.9785191348207</v>
      </c>
      <c r="I10" s="0" t="n">
        <f aca="false">-I6*I9/100</f>
        <v>-14.9570154742582</v>
      </c>
      <c r="J10" s="0" t="n">
        <f aca="false">-J6*J9/100</f>
        <v>-15.8544364027137</v>
      </c>
      <c r="K10" s="0" t="n">
        <f aca="false">-K6*K9/100</f>
        <v>-16.6471582228494</v>
      </c>
      <c r="L10" s="0" t="n">
        <f aca="false">-L6*L9/100</f>
        <v>-17.3130445517633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584.62946843</v>
      </c>
      <c r="D11" s="0" t="n">
        <f aca="false">D8+D10+D24</f>
        <v>679.5605629169</v>
      </c>
      <c r="E11" s="0" t="n">
        <f aca="false">E8+E10+E24</f>
        <v>761.107830466928</v>
      </c>
      <c r="F11" s="0" t="n">
        <f aca="false">F8+F10+F24</f>
        <v>856.596122066456</v>
      </c>
      <c r="G11" s="0" t="n">
        <f aca="false">G8+G10+G24</f>
        <v>955.198807546084</v>
      </c>
      <c r="H11" s="0" t="n">
        <f aca="false">H8+H10+H24</f>
        <v>1031.61471214977</v>
      </c>
      <c r="I11" s="0" t="n">
        <f aca="false">I8+I10+I24</f>
        <v>1103.82774200025</v>
      </c>
      <c r="J11" s="0" t="n">
        <f aca="false">J8+J10+J24</f>
        <v>1170.05740652027</v>
      </c>
      <c r="K11" s="0" t="n">
        <f aca="false">K8+K10+K24</f>
        <v>1228.56027684628</v>
      </c>
      <c r="L11" s="0" t="n">
        <f aca="false">L8+L10+L24</f>
        <v>1277.70268792013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-120.61123704</v>
      </c>
      <c r="D12" s="4" t="n">
        <f aca="false">-D6*Assumptions!D45/100</f>
        <v>-132.504845137</v>
      </c>
      <c r="E12" s="4" t="n">
        <f aca="false">-E6*Assumptions!E45/100</f>
        <v>-146.285349031248</v>
      </c>
      <c r="F12" s="4" t="n">
        <f aca="false">-F6*Assumptions!F45/100</f>
        <v>-160.023451375052</v>
      </c>
      <c r="G12" s="4" t="n">
        <f aca="false">-G6*Assumptions!G45/100</f>
        <v>-173.437181857961</v>
      </c>
      <c r="H12" s="4" t="n">
        <f aca="false">-H6*Assumptions!H45/100</f>
        <v>-184.516452579634</v>
      </c>
      <c r="I12" s="4" t="n">
        <f aca="false">-I6*Assumptions!I45/100</f>
        <v>-194.441201165356</v>
      </c>
      <c r="J12" s="4" t="n">
        <f aca="false">-J6*Assumptions!J45/100</f>
        <v>-206.107673235278</v>
      </c>
      <c r="K12" s="4" t="n">
        <f aca="false">-K6*Assumptions!K45/100</f>
        <v>-216.413056897042</v>
      </c>
      <c r="L12" s="4" t="n">
        <f aca="false">-L6*Assumptions!L45/100</f>
        <v>-225.069579172923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464.01823139</v>
      </c>
      <c r="D13" s="0" t="n">
        <f aca="false">D11+D12</f>
        <v>547.0557177799</v>
      </c>
      <c r="E13" s="0" t="n">
        <f aca="false">E11+E12</f>
        <v>614.82248143568</v>
      </c>
      <c r="F13" s="0" t="n">
        <f aca="false">F11+F12</f>
        <v>696.572670691404</v>
      </c>
      <c r="G13" s="0" t="n">
        <f aca="false">G11+G12</f>
        <v>781.761625688123</v>
      </c>
      <c r="H13" s="0" t="n">
        <f aca="false">H11+H12</f>
        <v>847.098259570137</v>
      </c>
      <c r="I13" s="0" t="n">
        <f aca="false">I11+I12</f>
        <v>909.386540834898</v>
      </c>
      <c r="J13" s="0" t="n">
        <f aca="false">J11+J12</f>
        <v>963.949733284992</v>
      </c>
      <c r="K13" s="0" t="n">
        <f aca="false">K11+K12</f>
        <v>1012.14721994924</v>
      </c>
      <c r="L13" s="0" t="n">
        <f aca="false">L11+L12</f>
        <v>1052.63310874721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394.4154966815</v>
      </c>
      <c r="D15" s="0" t="n">
        <f aca="false">D13-MAX(0,D13)*D14/100</f>
        <v>464.997360112915</v>
      </c>
      <c r="E15" s="0" t="n">
        <f aca="false">E13-MAX(0,E13)*E14/100</f>
        <v>522.599109220328</v>
      </c>
      <c r="F15" s="0" t="n">
        <f aca="false">F13-MAX(0,F13)*F14/100</f>
        <v>592.086770087693</v>
      </c>
      <c r="G15" s="0" t="n">
        <f aca="false">G13-MAX(0,G13)*G14/100</f>
        <v>664.497381834904</v>
      </c>
      <c r="H15" s="0" t="n">
        <f aca="false">H13-MAX(0,H13)*H14/100</f>
        <v>720.033520634616</v>
      </c>
      <c r="I15" s="0" t="n">
        <f aca="false">I13-MAX(0,I13)*I14/100</f>
        <v>772.978559709663</v>
      </c>
      <c r="J15" s="0" t="n">
        <f aca="false">J13-MAX(0,J13)*J14/100</f>
        <v>819.357273292243</v>
      </c>
      <c r="K15" s="0" t="n">
        <f aca="false">K13-MAX(0,K13)*K14/100</f>
        <v>860.325136956855</v>
      </c>
      <c r="L15" s="0" t="n">
        <f aca="false">L13-MAX(0,L13)*L14/100</f>
        <v>894.738142435129</v>
      </c>
    </row>
    <row r="16" customFormat="false" ht="15" hidden="false" customHeight="false" outlineLevel="0" collapsed="false">
      <c r="A16" s="0" t="s">
        <v>118</v>
      </c>
      <c r="C16" s="0" t="n">
        <f aca="false">-C12</f>
        <v>120.61123704</v>
      </c>
      <c r="D16" s="0" t="n">
        <f aca="false">-D12</f>
        <v>132.504845137</v>
      </c>
      <c r="E16" s="0" t="n">
        <f aca="false">-E12</f>
        <v>146.285349031248</v>
      </c>
      <c r="F16" s="0" t="n">
        <f aca="false">-F12</f>
        <v>160.023451375052</v>
      </c>
      <c r="G16" s="0" t="n">
        <f aca="false">-G12</f>
        <v>173.437181857961</v>
      </c>
      <c r="H16" s="0" t="n">
        <f aca="false">-H12</f>
        <v>184.516452579634</v>
      </c>
      <c r="I16" s="0" t="n">
        <f aca="false">-I12</f>
        <v>194.441201165356</v>
      </c>
      <c r="J16" s="0" t="n">
        <f aca="false">-J12</f>
        <v>206.107673235278</v>
      </c>
      <c r="K16" s="0" t="n">
        <f aca="false">-K12</f>
        <v>216.413056897042</v>
      </c>
      <c r="L16" s="0" t="n">
        <f aca="false">-L12</f>
        <v>225.069579172923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-117.2609249</v>
      </c>
      <c r="D17" s="4" t="n">
        <f aca="false">-D6*Assumptions!D46/100</f>
        <v>-132.504845137</v>
      </c>
      <c r="E17" s="4" t="n">
        <f aca="false">-E6*Assumptions!E46/100</f>
        <v>-137.80503894248</v>
      </c>
      <c r="F17" s="4" t="n">
        <f aca="false">-F6*Assumptions!F46/100</f>
        <v>-152.963593226153</v>
      </c>
      <c r="G17" s="4" t="n">
        <f aca="false">-G6*Assumptions!G46/100</f>
        <v>-168.259952548768</v>
      </c>
      <c r="H17" s="4" t="n">
        <f aca="false">-H6*Assumptions!H46/100</f>
        <v>-181.72074875267</v>
      </c>
      <c r="I17" s="4" t="n">
        <f aca="false">-I6*Assumptions!I46/100</f>
        <v>-194.441201165356</v>
      </c>
      <c r="J17" s="4" t="n">
        <f aca="false">-J6*Assumptions!J46/100</f>
        <v>-206.107673235278</v>
      </c>
      <c r="K17" s="4" t="n">
        <f aca="false">-K6*Assumptions!K46/100</f>
        <v>-216.413056897042</v>
      </c>
      <c r="L17" s="4" t="n">
        <f aca="false">-L6*Assumptions!L46/100</f>
        <v>-225.069579172923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-57.815121</v>
      </c>
      <c r="D18" s="4" t="n">
        <f aca="false">(D6-C6)*Assumptions!$B$51/100</f>
        <v>-65.33108673</v>
      </c>
      <c r="E18" s="4" t="n">
        <f aca="false">(E6-D6)*Assumptions!$B$51/100</f>
        <v>-68.1453489276001</v>
      </c>
      <c r="F18" s="4" t="n">
        <f aca="false">(F6-E6)*Assumptions!$B$51/100</f>
        <v>-69.9625582323361</v>
      </c>
      <c r="G18" s="4" t="n">
        <f aca="false">(G6-F6)*Assumptions!$B$51/100</f>
        <v>-70.5985814889936</v>
      </c>
      <c r="H18" s="4" t="n">
        <f aca="false">(H6-G6)*Assumptions!$B$51/100</f>
        <v>-62.1267517103144</v>
      </c>
      <c r="I18" s="4" t="n">
        <f aca="false">(I6-H6)*Assumptions!$B$51/100</f>
        <v>-58.7097803662471</v>
      </c>
      <c r="J18" s="4" t="n">
        <f aca="false">(J6-I6)*Assumptions!$B$51/100</f>
        <v>-53.8452557073295</v>
      </c>
      <c r="K18" s="4" t="n">
        <f aca="false">(K6-J6)*Assumptions!$B$51/100</f>
        <v>-47.5633092081411</v>
      </c>
      <c r="L18" s="4" t="n">
        <f aca="false">(L6-K6)*Assumptions!$B$51/100</f>
        <v>-39.9531797348385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339.9506878215</v>
      </c>
      <c r="D19" s="0" t="n">
        <f aca="false">D15+D16+D17+D18</f>
        <v>399.666273382915</v>
      </c>
      <c r="E19" s="0" t="n">
        <f aca="false">E15+E16+E17+E18</f>
        <v>462.934070381496</v>
      </c>
      <c r="F19" s="0" t="n">
        <f aca="false">F15+F16+F17+F18</f>
        <v>529.184070004256</v>
      </c>
      <c r="G19" s="0" t="n">
        <f aca="false">G15+G16+G17+G18</f>
        <v>599.076029655103</v>
      </c>
      <c r="H19" s="0" t="n">
        <f aca="false">H15+H16+H17+H18</f>
        <v>660.702472751266</v>
      </c>
      <c r="I19" s="0" t="n">
        <f aca="false">I15+I16+I17+I18</f>
        <v>714.268779343416</v>
      </c>
      <c r="J19" s="0" t="n">
        <f aca="false">J15+J16+J17+J18</f>
        <v>765.512017584913</v>
      </c>
      <c r="K19" s="0" t="n">
        <f aca="false">K15+K16+K17+K18</f>
        <v>812.761827748714</v>
      </c>
      <c r="L19" s="0" t="n">
        <f aca="false">L15+L16+L17+L18</f>
        <v>854.784962700291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309.046079837727</v>
      </c>
      <c r="D21" s="0" t="n">
        <f aca="false">D19*D20</f>
        <v>330.302705275136</v>
      </c>
      <c r="E21" s="0" t="n">
        <f aca="false">E19*E20</f>
        <v>347.809218919231</v>
      </c>
      <c r="F21" s="0" t="n">
        <f aca="false">F19*F20</f>
        <v>361.439840177758</v>
      </c>
      <c r="G21" s="0" t="n">
        <f aca="false">G19*G20</f>
        <v>371.979080946472</v>
      </c>
      <c r="H21" s="0" t="n">
        <f aca="false">H19*H20</f>
        <v>372.949321390156</v>
      </c>
      <c r="I21" s="0" t="n">
        <f aca="false">I19*I20</f>
        <v>366.532822718811</v>
      </c>
      <c r="J21" s="0" t="n">
        <f aca="false">J19*J20</f>
        <v>357.117005842605</v>
      </c>
      <c r="K21" s="0" t="n">
        <f aca="false">K19*K20</f>
        <v>344.690355452297</v>
      </c>
      <c r="L21" s="0" t="n">
        <f aca="false">L19*L20</f>
        <v>329.55660627437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0.6</v>
      </c>
      <c r="D23" s="4" t="n">
        <f aca="false">Assumptions!D44</f>
        <v>0.6</v>
      </c>
      <c r="E23" s="4" t="n">
        <f aca="false">Assumptions!E44</f>
        <v>0.6</v>
      </c>
      <c r="F23" s="4" t="n">
        <f aca="false">Assumptions!F44</f>
        <v>0.6</v>
      </c>
      <c r="G23" s="4" t="n">
        <f aca="false">Assumptions!G44</f>
        <v>0.6</v>
      </c>
      <c r="H23" s="4" t="n">
        <f aca="false">Assumptions!H44</f>
        <v>0.6</v>
      </c>
      <c r="I23" s="4" t="n">
        <f aca="false">Assumptions!I44</f>
        <v>0.6</v>
      </c>
      <c r="J23" s="4" t="n">
        <f aca="false">Assumptions!J44</f>
        <v>0.6</v>
      </c>
      <c r="K23" s="4" t="n">
        <f aca="false">Assumptions!K44</f>
        <v>0.6</v>
      </c>
      <c r="L23" s="4" t="n">
        <f aca="false">Assumptions!L44</f>
        <v>0.6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-10.05093642</v>
      </c>
      <c r="D24" s="0" t="n">
        <f aca="false">-D6*D23/100</f>
        <v>-11.3575581546</v>
      </c>
      <c r="E24" s="0" t="n">
        <f aca="false">-E6*E23/100</f>
        <v>-12.720465133152</v>
      </c>
      <c r="F24" s="0" t="n">
        <f aca="false">-F6*F23/100</f>
        <v>-14.1197162977987</v>
      </c>
      <c r="G24" s="0" t="n">
        <f aca="false">-G6*G23/100</f>
        <v>-15.5316879275786</v>
      </c>
      <c r="H24" s="0" t="n">
        <f aca="false">-H6*H23/100</f>
        <v>-16.7742229617849</v>
      </c>
      <c r="I24" s="0" t="n">
        <f aca="false">-I6*I23/100</f>
        <v>-17.9484185691098</v>
      </c>
      <c r="J24" s="0" t="n">
        <f aca="false">-J6*J23/100</f>
        <v>-19.0253236832564</v>
      </c>
      <c r="K24" s="0" t="n">
        <f aca="false">-K6*K23/100</f>
        <v>-19.9765898674192</v>
      </c>
      <c r="L24" s="0" t="n">
        <f aca="false">-L6*L23/100</f>
        <v>-20.775653462116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3491.42303683456</v>
      </c>
    </row>
    <row r="31" customFormat="false" ht="15" hidden="false" customHeight="false" outlineLevel="0" collapsed="false">
      <c r="A31" s="0" t="s">
        <v>127</v>
      </c>
      <c r="B31" s="0" t="n">
        <f aca="false">L19</f>
        <v>854.784962700291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13610.8067137662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15386.1293286052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13610.8067137662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5247.55519221496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8738.97822904952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9866.47822904952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10.7323120328233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1.37703478024878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76.1708274306267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106.285394333159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10.9307797189459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7693.06466430262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6.28554176496747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5.1090416001989</v>
      </c>
      <c r="C4" s="0" t="n">
        <f aca="false">B4/Assumptions!$B$2-1</f>
        <v>0.131570675570077</v>
      </c>
      <c r="D4" s="4" t="n">
        <f aca="false">Assumptions!$B$24</f>
        <v>0.25</v>
      </c>
      <c r="E4" s="4" t="n">
        <f aca="false">DCF_Bear!$B$43</f>
        <v>5.22603589177519</v>
      </c>
      <c r="F4" s="4" t="n">
        <f aca="false">DCF_Bear!$B$47</f>
        <v>3.56416814586747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7.62134462334414</v>
      </c>
      <c r="C5" s="0" t="n">
        <f aca="false">B5/Assumptions!$B$2-1</f>
        <v>0.688005453675337</v>
      </c>
      <c r="D5" s="4" t="n">
        <f aca="false">Assumptions!$B$38</f>
        <v>0.5</v>
      </c>
      <c r="E5" s="4" t="n">
        <f aca="false">DCF_Base!$B$43</f>
        <v>7.77342091593653</v>
      </c>
      <c r="F5" s="4" t="n">
        <f aca="false">DCF_Base!$B$47</f>
        <v>4.84769129981588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10.7323120328233</v>
      </c>
      <c r="C6" s="0" t="n">
        <f aca="false">B6/Assumptions!$B$2-1</f>
        <v>1.37703478024878</v>
      </c>
      <c r="D6" s="4" t="n">
        <f aca="false">Assumptions!$B$52</f>
        <v>0.25</v>
      </c>
      <c r="E6" s="4" t="n">
        <f aca="false">DCF_Bull!$B$43</f>
        <v>10.9307797189459</v>
      </c>
      <c r="F6" s="4" t="n">
        <f aca="false">DCF_Bull!$B$47</f>
        <v>6.28554176496747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7.77101071992761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7.92591436064854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0.418994495989827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-2101.95880792338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4.88627312761667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8.73798270521139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7.62134462334414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6.78582447878272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6.13760013456233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4.84769129981588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9.27554706222089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9.56140533677975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9.56140533677975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9.56140533677975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9.56140533677975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8.06143168856976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8.37368600394282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8.73798270521139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8.95522385734402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8.95522385734402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7.15396892247968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7.3720775828831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7.62134462334414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7.90896043926074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8.24451222449676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6.45074408485351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6.60842897611431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6.78582447878272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6.98687271514025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7.21664212812028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5.89032319934913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6.00745437918696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6.13760013456233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6.28305715527598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6.44669630357883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2026-10-16T18:42:50Z</dcterms:created>
  <dc:creator>openpyxl</dc:creator>
  <dc:description/>
  <dc:language>en-NZ</dc:language>
  <cp:lastModifiedBy/>
  <dcterms:modified xsi:type="dcterms:W3CDTF">2026-10-16T18:42:50Z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