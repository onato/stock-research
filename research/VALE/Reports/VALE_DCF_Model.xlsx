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<sst xmlns="http://schemas.openxmlformats.org/spreadsheetml/2006/main" count="362" uniqueCount="165">
  <si>
    <t xml:space="preserve">Ticker</t>
  </si>
  <si>
    <t xml:space="preserve">VALE</t>
  </si>
  <si>
    <t xml:space="preserve">Company</t>
  </si>
  <si>
    <t xml:space="preserve">Vale S.A.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</si>
  <si>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</si>
  <si>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</si>
  <si>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</si>
  <si>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</si>
  <si>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dated Saturday 2026-10-04)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</si>
  <si>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</si>
  <si>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</si>
  <si>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</si>
  <si>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</si>
  <si>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</si>
  <si>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</si>
  <si>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</si>
  <si>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</si>
  <si>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</si>
  <si>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</si>
  <si>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</si>
  <si>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</si>
  <si>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2026-10-04T09:29:17Z</t>
  </si>
  <si>
    <t xml:space="preserve">Drivers file</t>
  </si>
  <si>
    <t xml:space="preserve">VALE_Drivers.json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</si>
  <si>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</si>
  <si>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</si>
  <si>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</si>
  <si>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Vale as an unlevered owner-FCF stream at a USD-built 10% WACC, normalising iron ore to a ~US$90/t mid-cycle rather than extrapolating 2026's ~US$105/t or 2021's US$160/t, converting reported adjusted EBITDA to a cash-EBITDA margin (~2.5pp lower), and charging every fixed claim exactly once in the bridge: net debt including leases, the three dam-related provisions at discounted book, the railway-concession liability and NCI, with equity-accounted investments added back at book. The terminal multiple is capped at 12x owner FCF for a cyclical. The honest finding is that the equity is a levered call on the iron ore price: the claims stack is ~US$17bn, so the bear case is savage even though Vale stays solvent in it.
key_risks_to_valuation: Realised iron ore price: every US$10/t sustained is roughly US$3bn of EBITDA (~US$5/share at the house multiple) - the single input that dominates the range; Dam liabilities: provisions are discounted at 8.2-8.5% real and depend on Samarco self-funding; the 20-F's US$8.4bn undiscounted expected outflow and the US$1bn/yr shortfall cap through 2030 could exceed the US$6.0bn carried; Cash tax: Brazilian income-tax reform and SUDAM/SUDENE expiries could take the cash rate above the 24% terminal assumption; Capex intensity: sustaining capex structurally above D&amp;A; project overruns (Serra Sul +20, Tocantins bridge, copper) or a longer growth tranche would hold capex at 14%+; Cash conversion: the ~2.5pp leakage assumption; a further debenture repurchase or working-capital build in a rising-price year widens it; Brazil governance: golden-share vetoes, CEO/board political pressure, railway-concession renegotiation and dividend/JCP tax changes; BRL appreciation raising the USD cost base (costs, capex and some debt in BRL/CAD against USD revenue)</t>
  </si>
  <si>
    <t xml:space="preserve">Data sources</t>
  </si>
  <si>
    <t xml:space="preserve">price: Yahoo Finance chart API at inputs.price_as_of (regular close); 52-week range 10.71-17.94
financials: VALE_Metrics.csv / metrics_normalized (FY2015-FY2025 20-F, Q1-2024 to Q2-2026 6-K interims, USD millions); VALE_20F_FY2025.txt (liquidity and capital resources, capex guidance, note 12 impairment, note 32(b) share-based payments); VALE_Quarterly_Q2-2026.txt (statement of financial position and cash flows, notes 6, 12, 14, 19, 22, 23, 25)
qualitative: VALE_Analysis.json (2026-10-04): guidance items, bull/bear axes, recent developments (Thompson consortium, Alianca sale, Samarco Definitive Settlement, Q2 2026 guidance changes)</t>
  </si>
  <si>
    <t xml:space="preserve">Scenario narrative: bear</t>
  </si>
  <si>
    <t xml:space="preserve">The China axis breaks the wrong way: Chinese steel output shrinks 2-3%/yr while Simandou adds up to 120 Mtpy of high-grade supply, pushing realised fines to ~US$75/t in 2027-28 and ~US$80/t thereafter - the level at which Vale's freight disadvantage (US$22/t to Asia vs US$10-12/t for the Australians) and raised all-in cost bite hardest. Iron-ore EBITDA/t falls from ~US$45 to ~US$27; a stronger BRL inflates the USD cost base; copper growth slips on permitting and project delays; nickel stays loss-making. Growth capex is cut but ~US$4.6-5.0bn of sustaining spend cannot be, and Samarco funding shortfalls run at the US$1bn/yr cap through 2030 with further Brumadinho individual claims. Cash-EBITDA compresses to 26-28.5% (~29-31% adjusted). Because ~US$17bn of fixed claims (net debt, dam provisions, concession liability) sit ahead of equity, a ~30% lower enterprise value translates into a &gt;60% lower equity value - which is why the bear value is far below the 52-week low even though the business remains solvent and cash-generative throughout.</t>
  </si>
  <si>
    <t xml:space="preserve">Scenario narrative: base</t>
  </si>
  <si>
    <t xml:space="preserve">Iron ore is ~75% of revenue and its price is the valuation. The base case takes the 2026 windfall (~US$105/t, record Carajas output, 335-345 Mt guidance) and mean-reverts to a ~US$90/t realised price by 2028 as Simandou ramps and Chinese steel output drifts below 1 Bt, with Vale growing volumes 2-3%/yr thereafter (Serra Sul +20 from 2H26, Capanema, copper 360-380 kt rising ~6%/yr, nickel flat and Thompson deconsolidated). The cash-conversion-adjusted EBITDA margin troughs at 33.5% (~36% adjusted) in 2028 and recovers to 34.5% as copper mix and the cost programme offset grade decline and the raised US$58-62/t all-in cost. Capex holds near US$5.5bn (13.5-14% of revenue through 2028, 12.5% at maturity, still ~3.5pp above D&amp;A). Cash tax ramps 20% -&gt; 24% as Brazilian incentives and JCP deductibility erode. The dam settlements (Brumadinho, Samarco Definitive Settlement, upstream-dam de-characterisation), the railway-concession liability and NCI are deducted in the bridge at carrying value, so the model charges them once and the forward EBITDA is Vale's pre-Brumadinho adjusted basis. The base case lands near the current price: the market is pricing roughly a US$90/t mid-cycle with the liability stack honoured.</t>
  </si>
  <si>
    <t xml:space="preserve">Scenario narrative: bull</t>
  </si>
  <si>
    <t xml:space="preserve">Vale's raised US$100/t long-term deck proves right: 50-60 Mtpy of depleting high-cost capacity and tightening Chinese environmental and quality standards keep realised fines at US$100-110/t despite Simandou, with India and Southeast Asia absorbing China's gradual decline and premium Carajas/briquette products earning a widening quality spread. Copper reaches 450-500 kt by 2030 at US$4.50-5.00/lb with strong gold credits, nickel recovers from the Indonesian glut, and the cost and efficiency programme (AI, dry processing, briquetting) delivers rather than merely offsets. Cash-EBITDA settles at 39.5% (~42% adjusted) on revenue compounding ~3%. Capital returns continue (dividends plus the 100m-share buyback) with the dam liabilities now capped and defined. Same 10% WACC - all the upside is in the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</si>
  <si>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</si>
  <si>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</si>
  <si>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</si>
  <si>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</si>
  <si>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</si>
  <si>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</si>
  <si>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</si>
  <si>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</si>
  <si>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</si>
  <si>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</si>
  <si>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</si>
  <si>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</si>
  <si>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</si>
  <si>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</si>
  <si>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</si>
  <si>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</si>
  <si>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</si>
  <si>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</si>
  <si>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</si>
  <si>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</si>
  <si>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</si>
  <si>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</si>
  <si>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</si>
  <si>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</si>
  <si>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</si>
  <si>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</si>
  <si>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</si>
  <si>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</si>
  <si>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</si>
  <si>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</si>
  <si>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</si>
  <si>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</si>
  <si>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</si>
  <si>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</si>
  <si>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</si>
  <si>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</si>
  <si>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</si>
  <si>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</si>
  <si>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</si>
  <si>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</si>
  <si>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</si>
  <si>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</si>
  <si>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</si>
  <si>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</si>
  <si>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</si>
  <si>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</si>
  <si>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</si>
  <si>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</si>
  <si>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</si>
  <si>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</si>
  <si>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</si>
  <si>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</si>
  <si>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</si>
  <si>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</si>
  <si>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</si>
  <si>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</si>
  <si>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</si>
  <si>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</si>
  <si>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</si>
  <si>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</si>
  <si>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</si>
  <si>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</si>
  <si>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</si>
  <si>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</si>
  <si>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</si>
  <si>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</si>
  <si>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</si>
  <si>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</si>
  <si>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</si>
  <si>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</si>
  <si>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</si>
  <si>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</si>
  <si>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</si>
  <si>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</si>
  <si>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</si>
  <si>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VALE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</si>
  <si>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</si>
  <si>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</si>
  <si>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</si>
  <si>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</si>
  <si>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</si>
  <si>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</si>
  <si>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</si>
  <si>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</si>
  <si>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</si>
  <si>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</si>
  <si>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</si>
  <si>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</si>
  <si>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</si>
  <si>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</si>
  <si>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</si>
  <si>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</si>
  <si>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</si>
  <si>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</si>
  <si>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</si>
  <si>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</si>
  <si>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</si>
  <si>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</si>
  <si>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</si>
  <si>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</si>
  <si>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</si>
  <si>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</si>
  <si>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</si>
  <si>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</si>
  <si>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</si>
  <si>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</si>
  <si>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VALE owner-FCF component DCF: base case (millions, USD)</t>
  </si>
  <si>
    <t xml:space="preserve">VALE owner-FCF component DCF: bull case (millions, USD)</t>
  </si>
  <si>
    <t xml:space="preserve">VALE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</si>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</sst>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23384</v>
      </c>
      <c r="C2" s="0" t="n">
        <v>18751</v>
      </c>
      <c r="D2" s="0" t="n">
        <v>4633</v>
      </c>
      <c r="E2" s="0" t="n">
        <v>19.8</v>
      </c>
      <c r="F2" s="0" t="n">
        <v>-6231</v>
      </c>
      <c r="G2" s="0" t="n">
        <v>-26.6</v>
      </c>
      <c r="H2" s="0" t="n">
        <v>6514</v>
      </c>
      <c r="I2" s="0" t="n">
        <v>-12129</v>
      </c>
      <c r="J2" s="0" t="n">
        <v>-51.9</v>
      </c>
      <c r="K2" s="0" t="n">
        <v>-2.33</v>
      </c>
      <c r="L2" s="0" t="n">
        <v>3932</v>
      </c>
      <c r="M2" s="0" t="n">
        <v>8114</v>
      </c>
      <c r="N2" s="0" t="n">
        <v>-4182</v>
      </c>
      <c r="O2" s="0" t="n">
        <v>33589</v>
      </c>
      <c r="P2" s="0" t="n">
        <v>88492</v>
      </c>
      <c r="Q2" s="0" t="n">
        <v>52788</v>
      </c>
      <c r="R2" s="0" t="n">
        <v>28853</v>
      </c>
      <c r="S2" s="0" t="n">
        <v>3591</v>
      </c>
      <c r="T2" s="0" t="n">
        <v>5153.4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27488</v>
      </c>
      <c r="C3" s="0" t="n">
        <v>17650</v>
      </c>
      <c r="D3" s="0" t="n">
        <v>9838</v>
      </c>
      <c r="E3" s="0" t="n">
        <v>35.8</v>
      </c>
      <c r="F3" s="0" t="n">
        <v>7052</v>
      </c>
      <c r="G3" s="0" t="n">
        <v>25.7</v>
      </c>
      <c r="H3" s="0" t="n">
        <v>11972</v>
      </c>
      <c r="I3" s="0" t="n">
        <v>3982</v>
      </c>
      <c r="J3" s="0" t="n">
        <v>14.5</v>
      </c>
      <c r="K3" s="0" t="n">
        <v>0.77</v>
      </c>
      <c r="L3" s="0" t="n">
        <v>6401</v>
      </c>
      <c r="M3" s="0" t="n">
        <v>4951</v>
      </c>
      <c r="N3" s="0" t="n">
        <v>1450</v>
      </c>
      <c r="O3" s="0" t="n">
        <v>39042</v>
      </c>
      <c r="P3" s="0" t="n">
        <v>99014</v>
      </c>
      <c r="Q3" s="0" t="n">
        <v>57990</v>
      </c>
      <c r="R3" s="0" t="n">
        <v>29322</v>
      </c>
      <c r="S3" s="0" t="n">
        <v>4262</v>
      </c>
      <c r="T3" s="0" t="n">
        <v>5153.4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33967</v>
      </c>
      <c r="C4" s="0" t="n">
        <v>21039</v>
      </c>
      <c r="D4" s="0" t="n">
        <v>12928</v>
      </c>
      <c r="E4" s="0" t="n">
        <v>38.1</v>
      </c>
      <c r="F4" s="0" t="n">
        <v>10930</v>
      </c>
      <c r="G4" s="0" t="n">
        <v>32.2</v>
      </c>
      <c r="H4" s="0" t="n">
        <v>15338</v>
      </c>
      <c r="I4" s="0" t="n">
        <v>5507</v>
      </c>
      <c r="J4" s="0" t="n">
        <v>16.2</v>
      </c>
      <c r="K4" s="0" t="n">
        <v>1.05</v>
      </c>
      <c r="L4" s="0" t="n">
        <v>12450</v>
      </c>
      <c r="M4" s="0" t="n">
        <v>3831</v>
      </c>
      <c r="N4" s="0" t="n">
        <v>8619</v>
      </c>
      <c r="O4" s="0" t="n">
        <v>43458</v>
      </c>
      <c r="P4" s="0" t="n">
        <v>99184</v>
      </c>
      <c r="Q4" s="0" t="n">
        <v>54412</v>
      </c>
      <c r="R4" s="0" t="n">
        <v>22489</v>
      </c>
      <c r="S4" s="0" t="n">
        <v>4328</v>
      </c>
      <c r="T4" s="0" t="n">
        <v>5197.4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36575</v>
      </c>
      <c r="C5" s="0" t="n">
        <v>22109</v>
      </c>
      <c r="D5" s="0" t="n">
        <v>14466</v>
      </c>
      <c r="E5" s="0" t="n">
        <v>39.6</v>
      </c>
      <c r="F5" s="0" t="n">
        <v>11955</v>
      </c>
      <c r="G5" s="0" t="n">
        <v>32.7</v>
      </c>
      <c r="H5" s="0" t="n">
        <v>16593</v>
      </c>
      <c r="I5" s="0" t="n">
        <v>6860</v>
      </c>
      <c r="J5" s="0" t="n">
        <v>18.8</v>
      </c>
      <c r="K5" s="0" t="n">
        <v>1.32</v>
      </c>
      <c r="L5" s="0" t="n">
        <v>12901</v>
      </c>
      <c r="M5" s="0" t="n">
        <v>3784</v>
      </c>
      <c r="N5" s="0" t="n">
        <v>9117</v>
      </c>
      <c r="O5" s="0" t="n">
        <v>43985</v>
      </c>
      <c r="P5" s="0" t="n">
        <v>88190</v>
      </c>
      <c r="Q5" s="0" t="n">
        <v>43358</v>
      </c>
      <c r="R5" s="0" t="n">
        <v>15466</v>
      </c>
      <c r="S5" s="0" t="n">
        <v>5784</v>
      </c>
      <c r="T5" s="0" t="n">
        <v>5178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36549</v>
      </c>
      <c r="C6" s="0" t="n">
        <v>19312</v>
      </c>
      <c r="D6" s="0" t="n">
        <v>17237</v>
      </c>
      <c r="E6" s="0" t="n">
        <v>47.2</v>
      </c>
      <c r="F6" s="0" t="n">
        <v>3893</v>
      </c>
      <c r="G6" s="0" t="n">
        <v>10.7</v>
      </c>
      <c r="H6" s="0" t="n">
        <v>11118</v>
      </c>
      <c r="I6" s="0" t="n">
        <v>-1683</v>
      </c>
      <c r="J6" s="0" t="n">
        <v>-4.6</v>
      </c>
      <c r="K6" s="0" t="n">
        <v>-0.33</v>
      </c>
      <c r="L6" s="0" t="n">
        <v>12110</v>
      </c>
      <c r="M6" s="0" t="n">
        <v>3464</v>
      </c>
      <c r="N6" s="0" t="n">
        <v>8646</v>
      </c>
      <c r="O6" s="0" t="n">
        <v>40067</v>
      </c>
      <c r="P6" s="0" t="n">
        <v>91713</v>
      </c>
      <c r="Q6" s="0" t="n">
        <v>52720</v>
      </c>
      <c r="R6" s="0" t="n">
        <v>13056</v>
      </c>
      <c r="S6" s="0" t="n">
        <v>7350</v>
      </c>
      <c r="T6" s="0" t="n">
        <v>5128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39545</v>
      </c>
      <c r="C7" s="0" t="n">
        <v>17564</v>
      </c>
      <c r="D7" s="0" t="n">
        <v>21981</v>
      </c>
      <c r="E7" s="0" t="n">
        <v>55.6</v>
      </c>
      <c r="F7" s="0" t="n">
        <v>12823</v>
      </c>
      <c r="G7" s="0" t="n">
        <v>32.4</v>
      </c>
      <c r="H7" s="0" t="n">
        <v>17519</v>
      </c>
      <c r="I7" s="0" t="n">
        <v>4881</v>
      </c>
      <c r="J7" s="0" t="n">
        <v>12.3</v>
      </c>
      <c r="K7" s="0" t="n">
        <v>0.95</v>
      </c>
      <c r="L7" s="0" t="n">
        <v>14322</v>
      </c>
      <c r="M7" s="0" t="n">
        <v>4227</v>
      </c>
      <c r="N7" s="0" t="n">
        <v>10095</v>
      </c>
      <c r="O7" s="0" t="n">
        <v>35744</v>
      </c>
      <c r="P7" s="0" t="n">
        <v>92007</v>
      </c>
      <c r="Q7" s="0" t="n">
        <v>57186</v>
      </c>
      <c r="R7" s="0" t="n">
        <v>15027</v>
      </c>
      <c r="S7" s="0" t="n">
        <v>13487</v>
      </c>
      <c r="T7" s="0" t="n">
        <v>5133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54502</v>
      </c>
      <c r="C8" s="0" t="n">
        <v>21729</v>
      </c>
      <c r="D8" s="0" t="n">
        <v>32773</v>
      </c>
      <c r="E8" s="0" t="n">
        <v>60.1</v>
      </c>
      <c r="F8" s="0" t="n">
        <v>27693</v>
      </c>
      <c r="G8" s="0" t="n">
        <v>50.8</v>
      </c>
      <c r="H8" s="0" t="n">
        <v>31154</v>
      </c>
      <c r="I8" s="0" t="n">
        <v>22445</v>
      </c>
      <c r="J8" s="0" t="n">
        <v>41.2</v>
      </c>
      <c r="K8" s="0" t="n">
        <v>4.47</v>
      </c>
      <c r="L8" s="0" t="n">
        <v>25679</v>
      </c>
      <c r="M8" s="0" t="n">
        <v>5033</v>
      </c>
      <c r="N8" s="0" t="n">
        <v>20646</v>
      </c>
      <c r="O8" s="0" t="n">
        <v>34472</v>
      </c>
      <c r="P8" s="0" t="n">
        <v>89442</v>
      </c>
      <c r="Q8" s="0" t="n">
        <v>54136</v>
      </c>
      <c r="R8" s="0" t="n">
        <v>13782</v>
      </c>
      <c r="S8" s="0" t="n">
        <v>11721</v>
      </c>
      <c r="T8" s="0" t="n">
        <v>5016.8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43839</v>
      </c>
      <c r="C9" s="0" t="n">
        <v>24028</v>
      </c>
      <c r="D9" s="0" t="n">
        <v>19811</v>
      </c>
      <c r="E9" s="0" t="n">
        <v>45.2</v>
      </c>
      <c r="F9" s="0" t="n">
        <v>17208</v>
      </c>
      <c r="G9" s="0" t="n">
        <v>39.3</v>
      </c>
      <c r="H9" s="0" t="n">
        <v>19931</v>
      </c>
      <c r="I9" s="0" t="n">
        <v>18788</v>
      </c>
      <c r="J9" s="0" t="n">
        <v>42.9</v>
      </c>
      <c r="K9" s="0" t="n">
        <v>4.05</v>
      </c>
      <c r="L9" s="0" t="n">
        <v>11485</v>
      </c>
      <c r="M9" s="0" t="n">
        <v>5446</v>
      </c>
      <c r="N9" s="0" t="n">
        <v>6039</v>
      </c>
      <c r="O9" s="0" t="n">
        <v>35867</v>
      </c>
      <c r="P9" s="0" t="n">
        <v>86894</v>
      </c>
      <c r="Q9" s="0" t="n">
        <v>49536</v>
      </c>
      <c r="R9" s="0" t="n">
        <v>11181</v>
      </c>
      <c r="S9" s="0" t="n">
        <v>4736</v>
      </c>
      <c r="T9" s="0" t="n">
        <v>4642.4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41784</v>
      </c>
      <c r="C10" s="0" t="n">
        <v>24089</v>
      </c>
      <c r="D10" s="0" t="n">
        <v>17695</v>
      </c>
      <c r="E10" s="0" t="n">
        <v>42.3</v>
      </c>
      <c r="F10" s="0" t="n">
        <v>14205</v>
      </c>
      <c r="G10" s="0" t="n">
        <v>34</v>
      </c>
      <c r="H10" s="0" t="n">
        <v>18601</v>
      </c>
      <c r="I10" s="0" t="n">
        <v>7983</v>
      </c>
      <c r="J10" s="0" t="n">
        <v>19.1</v>
      </c>
      <c r="K10" s="0" t="n">
        <v>1.83</v>
      </c>
      <c r="L10" s="0" t="n">
        <v>13165</v>
      </c>
      <c r="M10" s="0" t="n">
        <v>5920</v>
      </c>
      <c r="N10" s="0" t="n">
        <v>7245</v>
      </c>
      <c r="O10" s="0" t="n">
        <v>39461</v>
      </c>
      <c r="P10" s="0" t="n">
        <v>94186</v>
      </c>
      <c r="Q10" s="0" t="n">
        <v>53205</v>
      </c>
      <c r="R10" s="0" t="n">
        <v>12471</v>
      </c>
      <c r="S10" s="0" t="n">
        <v>3609</v>
      </c>
      <c r="T10" s="0" t="n">
        <v>4370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38056</v>
      </c>
      <c r="C11" s="0" t="n">
        <v>24265</v>
      </c>
      <c r="D11" s="0" t="n">
        <v>13791</v>
      </c>
      <c r="E11" s="0" t="n">
        <v>36.2</v>
      </c>
      <c r="F11" s="0" t="n">
        <v>10788</v>
      </c>
      <c r="G11" s="0" t="n">
        <v>28.3</v>
      </c>
      <c r="H11" s="0" t="n">
        <v>14840</v>
      </c>
      <c r="I11" s="0" t="n">
        <v>6166</v>
      </c>
      <c r="J11" s="0" t="n">
        <v>16.2</v>
      </c>
      <c r="K11" s="0" t="n">
        <v>1.44</v>
      </c>
      <c r="L11" s="0" t="n">
        <v>9366</v>
      </c>
      <c r="M11" s="0" t="n">
        <v>6447</v>
      </c>
      <c r="N11" s="0" t="n">
        <v>2919</v>
      </c>
      <c r="O11" s="0" t="n">
        <v>33406</v>
      </c>
      <c r="P11" s="0" t="n">
        <v>80152</v>
      </c>
      <c r="Q11" s="0" t="n">
        <v>45624</v>
      </c>
      <c r="R11" s="0" t="n">
        <v>14792</v>
      </c>
      <c r="S11" s="0" t="n">
        <v>4953</v>
      </c>
      <c r="T11" s="0" t="n">
        <v>4279.9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38403</v>
      </c>
      <c r="C12" s="0" t="n">
        <v>24947</v>
      </c>
      <c r="D12" s="0" t="n">
        <v>13456</v>
      </c>
      <c r="E12" s="0" t="n">
        <v>35</v>
      </c>
      <c r="F12" s="0" t="n">
        <v>5897</v>
      </c>
      <c r="G12" s="0" t="n">
        <v>15.4</v>
      </c>
      <c r="H12" s="0" t="n">
        <v>15458</v>
      </c>
      <c r="I12" s="0" t="n">
        <v>2352</v>
      </c>
      <c r="J12" s="0" t="n">
        <v>6.1</v>
      </c>
      <c r="K12" s="0" t="n">
        <v>0.55</v>
      </c>
      <c r="L12" s="0" t="n">
        <v>8801</v>
      </c>
      <c r="M12" s="0" t="n">
        <v>6006</v>
      </c>
      <c r="N12" s="0" t="n">
        <v>2795</v>
      </c>
      <c r="O12" s="0" t="n">
        <v>33509</v>
      </c>
      <c r="P12" s="0" t="n">
        <v>86525</v>
      </c>
      <c r="Q12" s="0" t="n">
        <v>52175</v>
      </c>
      <c r="R12" s="0" t="n">
        <v>18134</v>
      </c>
      <c r="S12" s="0" t="n">
        <v>7372</v>
      </c>
      <c r="T12" s="0" t="n">
        <v>4268.8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13.76</v>
      </c>
    </row>
    <row r="3" customFormat="false" ht="15" hidden="false" customHeight="false" outlineLevel="0" collapsed="false">
      <c r="A3" s="0" t="s">
        <v>77</v>
      </c>
      <c r="B3" s="3" t="n">
        <v>4262.4</v>
      </c>
    </row>
    <row r="4" customFormat="false" ht="15" hidden="false" customHeight="false" outlineLevel="0" collapsed="false">
      <c r="A4" s="0" t="s">
        <v>78</v>
      </c>
      <c r="B4" s="3" t="n">
        <v>13173</v>
      </c>
    </row>
    <row r="5" customFormat="false" ht="15" hidden="false" customHeight="false" outlineLevel="0" collapsed="false">
      <c r="A5" s="0" t="s">
        <v>79</v>
      </c>
      <c r="B5" s="3" t="n">
        <v>-4085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38403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4</v>
      </c>
      <c r="D13" s="3" t="n">
        <v>-14</v>
      </c>
      <c r="E13" s="3" t="n">
        <v>-6</v>
      </c>
      <c r="F13" s="3" t="n">
        <v>2</v>
      </c>
      <c r="G13" s="3" t="n">
        <v>3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34</v>
      </c>
      <c r="D14" s="3" t="n">
        <v>28</v>
      </c>
      <c r="E14" s="3" t="n">
        <v>26</v>
      </c>
      <c r="F14" s="3" t="n">
        <v>27</v>
      </c>
      <c r="G14" s="3" t="n">
        <v>28</v>
      </c>
      <c r="H14" s="3" t="n">
        <v>28.5</v>
      </c>
      <c r="I14" s="3" t="n">
        <v>28.5</v>
      </c>
      <c r="J14" s="3" t="n">
        <v>28.5</v>
      </c>
      <c r="K14" s="3" t="n">
        <v>28.5</v>
      </c>
      <c r="L14" s="3" t="n">
        <v>28.5</v>
      </c>
    </row>
    <row r="15" customFormat="false" ht="15" hidden="false" customHeight="false" outlineLevel="0" collapsed="false">
      <c r="A15" s="0" t="s">
        <v>99</v>
      </c>
      <c r="C15" s="3" t="n">
        <v>0.13</v>
      </c>
      <c r="D15" s="3" t="n">
        <v>0.13</v>
      </c>
      <c r="E15" s="3" t="n">
        <v>0.13</v>
      </c>
      <c r="F15" s="3" t="n">
        <v>0.13</v>
      </c>
      <c r="G15" s="3" t="n">
        <v>0.13</v>
      </c>
      <c r="H15" s="3" t="n">
        <v>0.13</v>
      </c>
      <c r="I15" s="3" t="n">
        <v>0.13</v>
      </c>
      <c r="J15" s="3" t="n">
        <v>0.13</v>
      </c>
      <c r="K15" s="3" t="n">
        <v>0.13</v>
      </c>
      <c r="L15" s="3" t="n">
        <v>0.13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8.5</v>
      </c>
      <c r="D17" s="3" t="n">
        <v>9.5</v>
      </c>
      <c r="E17" s="3" t="n">
        <v>10</v>
      </c>
      <c r="F17" s="3" t="n">
        <v>10</v>
      </c>
      <c r="G17" s="3" t="n">
        <v>10</v>
      </c>
      <c r="H17" s="3" t="n">
        <v>10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5" hidden="false" customHeight="false" outlineLevel="0" collapsed="false">
      <c r="A18" s="0" t="s">
        <v>102</v>
      </c>
      <c r="C18" s="3" t="n">
        <v>14</v>
      </c>
      <c r="D18" s="3" t="n">
        <v>15</v>
      </c>
      <c r="E18" s="3" t="n">
        <v>14.5</v>
      </c>
      <c r="F18" s="3" t="n">
        <v>14</v>
      </c>
      <c r="G18" s="3" t="n">
        <v>13.5</v>
      </c>
      <c r="H18" s="3" t="n">
        <v>13</v>
      </c>
      <c r="I18" s="3" t="n">
        <v>13</v>
      </c>
      <c r="J18" s="3" t="n">
        <v>13</v>
      </c>
      <c r="K18" s="3" t="n">
        <v>13</v>
      </c>
      <c r="L18" s="3" t="n">
        <v>13</v>
      </c>
    </row>
    <row r="19" customFormat="false" ht="15" hidden="false" customHeight="false" outlineLevel="0" collapsed="false">
      <c r="A19" s="0" t="s">
        <v>103</v>
      </c>
      <c r="C19" s="3" t="n">
        <v>20</v>
      </c>
      <c r="D19" s="3" t="n">
        <v>22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-7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</v>
      </c>
      <c r="D27" s="3" t="n">
        <v>-5</v>
      </c>
      <c r="E27" s="3" t="n">
        <v>-2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36</v>
      </c>
      <c r="D28" s="3" t="n">
        <v>34.5</v>
      </c>
      <c r="E28" s="3" t="n">
        <v>33.5</v>
      </c>
      <c r="F28" s="3" t="n">
        <v>33.5</v>
      </c>
      <c r="G28" s="3" t="n">
        <v>34</v>
      </c>
      <c r="H28" s="3" t="n">
        <v>34</v>
      </c>
      <c r="I28" s="3" t="n">
        <v>34.5</v>
      </c>
      <c r="J28" s="3" t="n">
        <v>34.5</v>
      </c>
      <c r="K28" s="3" t="n">
        <v>34.5</v>
      </c>
      <c r="L28" s="3" t="n">
        <v>34.5</v>
      </c>
    </row>
    <row r="29" customFormat="false" ht="15" hidden="false" customHeight="false" outlineLevel="0" collapsed="false">
      <c r="A29" s="0" t="s">
        <v>99</v>
      </c>
      <c r="C29" s="3" t="n">
        <v>0.13</v>
      </c>
      <c r="D29" s="3" t="n">
        <v>0.13</v>
      </c>
      <c r="E29" s="3" t="n">
        <v>0.13</v>
      </c>
      <c r="F29" s="3" t="n">
        <v>0.13</v>
      </c>
      <c r="G29" s="3" t="n">
        <v>0.13</v>
      </c>
      <c r="H29" s="3" t="n">
        <v>0.13</v>
      </c>
      <c r="I29" s="3" t="n">
        <v>0.13</v>
      </c>
      <c r="J29" s="3" t="n">
        <v>0.13</v>
      </c>
      <c r="K29" s="3" t="n">
        <v>0.13</v>
      </c>
      <c r="L29" s="3" t="n">
        <v>0.13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8.5</v>
      </c>
      <c r="D31" s="3" t="n">
        <v>9</v>
      </c>
      <c r="E31" s="3" t="n">
        <v>9</v>
      </c>
      <c r="F31" s="3" t="n">
        <v>9</v>
      </c>
      <c r="G31" s="3" t="n">
        <v>9</v>
      </c>
      <c r="H31" s="3" t="n">
        <v>9</v>
      </c>
      <c r="I31" s="3" t="n">
        <v>9</v>
      </c>
      <c r="J31" s="3" t="n">
        <v>9</v>
      </c>
      <c r="K31" s="3" t="n">
        <v>9</v>
      </c>
      <c r="L31" s="3" t="n">
        <v>9</v>
      </c>
    </row>
    <row r="32" customFormat="false" ht="15" hidden="false" customHeight="false" outlineLevel="0" collapsed="false">
      <c r="A32" s="0" t="s">
        <v>102</v>
      </c>
      <c r="C32" s="3" t="n">
        <v>13.5</v>
      </c>
      <c r="D32" s="3" t="n">
        <v>14</v>
      </c>
      <c r="E32" s="3" t="n">
        <v>14</v>
      </c>
      <c r="F32" s="3" t="n">
        <v>13.5</v>
      </c>
      <c r="G32" s="3" t="n">
        <v>13</v>
      </c>
      <c r="H32" s="3" t="n">
        <v>12.5</v>
      </c>
      <c r="I32" s="3" t="n">
        <v>12.5</v>
      </c>
      <c r="J32" s="3" t="n">
        <v>12.5</v>
      </c>
      <c r="K32" s="3" t="n">
        <v>12.5</v>
      </c>
      <c r="L32" s="3" t="n">
        <v>12.5</v>
      </c>
    </row>
    <row r="33" customFormat="false" ht="15" hidden="false" customHeight="false" outlineLevel="0" collapsed="false">
      <c r="A33" s="0" t="s">
        <v>103</v>
      </c>
      <c r="C33" s="3" t="n">
        <v>20</v>
      </c>
      <c r="D33" s="3" t="n">
        <v>20</v>
      </c>
      <c r="E33" s="3" t="n">
        <v>21</v>
      </c>
      <c r="F33" s="3" t="n">
        <v>22</v>
      </c>
      <c r="G33" s="3" t="n">
        <v>23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-7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2</v>
      </c>
      <c r="E41" s="3" t="n">
        <v>2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38.5</v>
      </c>
      <c r="D42" s="3" t="n">
        <v>39</v>
      </c>
      <c r="E42" s="3" t="n">
        <v>39.5</v>
      </c>
      <c r="F42" s="3" t="n">
        <v>39.5</v>
      </c>
      <c r="G42" s="3" t="n">
        <v>39.5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99</v>
      </c>
      <c r="C43" s="3" t="n">
        <v>0.13</v>
      </c>
      <c r="D43" s="3" t="n">
        <v>0.13</v>
      </c>
      <c r="E43" s="3" t="n">
        <v>0.13</v>
      </c>
      <c r="F43" s="3" t="n">
        <v>0.13</v>
      </c>
      <c r="G43" s="3" t="n">
        <v>0.13</v>
      </c>
      <c r="H43" s="3" t="n">
        <v>0.13</v>
      </c>
      <c r="I43" s="3" t="n">
        <v>0.13</v>
      </c>
      <c r="J43" s="3" t="n">
        <v>0.13</v>
      </c>
      <c r="K43" s="3" t="n">
        <v>0.13</v>
      </c>
      <c r="L43" s="3" t="n">
        <v>0.13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8.5</v>
      </c>
      <c r="D45" s="3" t="n">
        <v>9</v>
      </c>
      <c r="E45" s="3" t="n">
        <v>9</v>
      </c>
      <c r="F45" s="3" t="n">
        <v>9</v>
      </c>
      <c r="G45" s="3" t="n">
        <v>9</v>
      </c>
      <c r="H45" s="3" t="n">
        <v>9</v>
      </c>
      <c r="I45" s="3" t="n">
        <v>9</v>
      </c>
      <c r="J45" s="3" t="n">
        <v>9</v>
      </c>
      <c r="K45" s="3" t="n">
        <v>9</v>
      </c>
      <c r="L45" s="3" t="n">
        <v>9</v>
      </c>
    </row>
    <row r="46" customFormat="false" ht="15" hidden="false" customHeight="false" outlineLevel="0" collapsed="false">
      <c r="A46" s="0" t="s">
        <v>102</v>
      </c>
      <c r="C46" s="3" t="n">
        <v>13</v>
      </c>
      <c r="D46" s="3" t="n">
        <v>13.5</v>
      </c>
      <c r="E46" s="3" t="n">
        <v>13.5</v>
      </c>
      <c r="F46" s="3" t="n">
        <v>13</v>
      </c>
      <c r="G46" s="3" t="n">
        <v>12.5</v>
      </c>
      <c r="H46" s="3" t="n">
        <v>12</v>
      </c>
      <c r="I46" s="3" t="n">
        <v>12</v>
      </c>
      <c r="J46" s="3" t="n">
        <v>12</v>
      </c>
      <c r="K46" s="3" t="n">
        <v>12</v>
      </c>
      <c r="L46" s="3" t="n">
        <v>12</v>
      </c>
    </row>
    <row r="47" customFormat="false" ht="15" hidden="false" customHeight="false" outlineLevel="0" collapsed="false">
      <c r="A47" s="0" t="s">
        <v>103</v>
      </c>
      <c r="C47" s="3" t="n">
        <v>20</v>
      </c>
      <c r="D47" s="3" t="n">
        <v>20</v>
      </c>
      <c r="E47" s="3" t="n">
        <v>21</v>
      </c>
      <c r="F47" s="3" t="n">
        <v>22</v>
      </c>
      <c r="G47" s="3" t="n">
        <v>23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-7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4</v>
      </c>
      <c r="D5" s="4" t="n">
        <f aca="false">Assumptions!D13</f>
        <v>-14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38403</v>
      </c>
      <c r="C6" s="0" t="n">
        <f aca="false">B6*(1+C5/100)</f>
        <v>39939.12</v>
      </c>
      <c r="D6" s="0" t="n">
        <f aca="false">C6*(1+D5/100)</f>
        <v>34347.6432</v>
      </c>
      <c r="E6" s="0" t="n">
        <f aca="false">D6*(1+E5/100)</f>
        <v>32286.784608</v>
      </c>
      <c r="F6" s="0" t="n">
        <f aca="false">E6*(1+F5/100)</f>
        <v>32932.52030016</v>
      </c>
      <c r="G6" s="0" t="n">
        <f aca="false">F6*(1+G5/100)</f>
        <v>33920.4959091648</v>
      </c>
      <c r="H6" s="0" t="n">
        <f aca="false">G6*(1+H5/100)</f>
        <v>34429.3033478023</v>
      </c>
      <c r="I6" s="0" t="n">
        <f aca="false">H6*(1+I5/100)</f>
        <v>34945.7428980193</v>
      </c>
      <c r="J6" s="0" t="n">
        <f aca="false">I6*(1+J5/100)</f>
        <v>35469.9290414896</v>
      </c>
      <c r="K6" s="0" t="n">
        <f aca="false">J6*(1+K5/100)</f>
        <v>36001.9779771119</v>
      </c>
      <c r="L6" s="0" t="n">
        <f aca="false">K6*(1+L5/100)</f>
        <v>36542.0076467686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34</v>
      </c>
      <c r="D7" s="4" t="n">
        <f aca="false">Assumptions!D14</f>
        <v>28</v>
      </c>
      <c r="E7" s="4" t="n">
        <f aca="false">Assumptions!E14</f>
        <v>26</v>
      </c>
      <c r="F7" s="4" t="n">
        <f aca="false">Assumptions!F14</f>
        <v>27</v>
      </c>
      <c r="G7" s="4" t="n">
        <f aca="false">Assumptions!G14</f>
        <v>28</v>
      </c>
      <c r="H7" s="4" t="n">
        <f aca="false">Assumptions!H14</f>
        <v>28.5</v>
      </c>
      <c r="I7" s="4" t="n">
        <f aca="false">Assumptions!I14</f>
        <v>28.5</v>
      </c>
      <c r="J7" s="4" t="n">
        <f aca="false">Assumptions!J14</f>
        <v>28.5</v>
      </c>
      <c r="K7" s="4" t="n">
        <f aca="false">Assumptions!K14</f>
        <v>28.5</v>
      </c>
      <c r="L7" s="4" t="n">
        <f aca="false">Assumptions!L14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13579.3008</v>
      </c>
      <c r="D8" s="0" t="n">
        <f aca="false">D6*D7/100</f>
        <v>9617.340096</v>
      </c>
      <c r="E8" s="0" t="n">
        <f aca="false">E6*E7/100</f>
        <v>8394.56399808</v>
      </c>
      <c r="F8" s="0" t="n">
        <f aca="false">F6*F7/100</f>
        <v>8891.7804810432</v>
      </c>
      <c r="G8" s="0" t="n">
        <f aca="false">G6*G7/100</f>
        <v>9497.73885456615</v>
      </c>
      <c r="H8" s="0" t="n">
        <f aca="false">H6*H7/100</f>
        <v>9812.35145412365</v>
      </c>
      <c r="I8" s="0" t="n">
        <f aca="false">I6*I7/100</f>
        <v>9959.5367259355</v>
      </c>
      <c r="J8" s="0" t="n">
        <f aca="false">J6*J7/100</f>
        <v>10108.9297768245</v>
      </c>
      <c r="K8" s="0" t="n">
        <f aca="false">K6*K7/100</f>
        <v>10260.5637234769</v>
      </c>
      <c r="L8" s="0" t="n">
        <f aca="false">L6*L7/100</f>
        <v>10414.4721793291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0.13</v>
      </c>
      <c r="D9" s="4" t="n">
        <f aca="false">Assumptions!D15</f>
        <v>0.13</v>
      </c>
      <c r="E9" s="4" t="n">
        <f aca="false">Assumptions!E15</f>
        <v>0.13</v>
      </c>
      <c r="F9" s="4" t="n">
        <f aca="false">Assumptions!F15</f>
        <v>0.13</v>
      </c>
      <c r="G9" s="4" t="n">
        <f aca="false">Assumptions!G15</f>
        <v>0.13</v>
      </c>
      <c r="H9" s="4" t="n">
        <f aca="false">Assumptions!H15</f>
        <v>0.13</v>
      </c>
      <c r="I9" s="4" t="n">
        <f aca="false">Assumptions!I15</f>
        <v>0.13</v>
      </c>
      <c r="J9" s="4" t="n">
        <f aca="false">Assumptions!J15</f>
        <v>0.13</v>
      </c>
      <c r="K9" s="4" t="n">
        <f aca="false">Assumptions!K15</f>
        <v>0.13</v>
      </c>
      <c r="L9" s="4" t="n">
        <f aca="false">Assumptions!L15</f>
        <v>0.13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-51.920856</v>
      </c>
      <c r="D10" s="0" t="n">
        <f aca="false">-D6*D9/100</f>
        <v>-44.65193616</v>
      </c>
      <c r="E10" s="0" t="n">
        <f aca="false">-E6*E9/100</f>
        <v>-41.9728199904</v>
      </c>
      <c r="F10" s="0" t="n">
        <f aca="false">-F6*F9/100</f>
        <v>-42.812276390208</v>
      </c>
      <c r="G10" s="0" t="n">
        <f aca="false">-G6*G9/100</f>
        <v>-44.0966446819143</v>
      </c>
      <c r="H10" s="0" t="n">
        <f aca="false">-H6*H9/100</f>
        <v>-44.758094352143</v>
      </c>
      <c r="I10" s="0" t="n">
        <f aca="false">-I6*I9/100</f>
        <v>-45.4294657674251</v>
      </c>
      <c r="J10" s="0" t="n">
        <f aca="false">-J6*J9/100</f>
        <v>-46.1109077539365</v>
      </c>
      <c r="K10" s="0" t="n">
        <f aca="false">-K6*K9/100</f>
        <v>-46.8025713702455</v>
      </c>
      <c r="L10" s="0" t="n">
        <f aca="false">-L6*L9/100</f>
        <v>-47.5046099407992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13527.379944</v>
      </c>
      <c r="D11" s="0" t="n">
        <f aca="false">D8+D10+D24</f>
        <v>9572.68815984</v>
      </c>
      <c r="E11" s="0" t="n">
        <f aca="false">E8+E10+E24</f>
        <v>8352.5911780896</v>
      </c>
      <c r="F11" s="0" t="n">
        <f aca="false">F8+F10+F24</f>
        <v>8848.96820465299</v>
      </c>
      <c r="G11" s="0" t="n">
        <f aca="false">G8+G10+G24</f>
        <v>9453.64220988423</v>
      </c>
      <c r="H11" s="0" t="n">
        <f aca="false">H8+H10+H24</f>
        <v>9767.59335977151</v>
      </c>
      <c r="I11" s="0" t="n">
        <f aca="false">I8+I10+I24</f>
        <v>9914.10726016808</v>
      </c>
      <c r="J11" s="0" t="n">
        <f aca="false">J8+J10+J24</f>
        <v>10062.8188690706</v>
      </c>
      <c r="K11" s="0" t="n">
        <f aca="false">K8+K10+K24</f>
        <v>10213.7611521067</v>
      </c>
      <c r="L11" s="0" t="n">
        <f aca="false">L8+L10+L24</f>
        <v>10366.9675693883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-3394.8252</v>
      </c>
      <c r="D12" s="4" t="n">
        <f aca="false">-D6*Assumptions!D17/100</f>
        <v>-3263.026104</v>
      </c>
      <c r="E12" s="4" t="n">
        <f aca="false">-E6*Assumptions!E17/100</f>
        <v>-3228.6784608</v>
      </c>
      <c r="F12" s="4" t="n">
        <f aca="false">-F6*Assumptions!F17/100</f>
        <v>-3293.252030016</v>
      </c>
      <c r="G12" s="4" t="n">
        <f aca="false">-G6*Assumptions!G17/100</f>
        <v>-3392.04959091648</v>
      </c>
      <c r="H12" s="4" t="n">
        <f aca="false">-H6*Assumptions!H17/100</f>
        <v>-3442.93033478023</v>
      </c>
      <c r="I12" s="4" t="n">
        <f aca="false">-I6*Assumptions!I17/100</f>
        <v>-3494.57428980193</v>
      </c>
      <c r="J12" s="4" t="n">
        <f aca="false">-J6*Assumptions!J17/100</f>
        <v>-3546.99290414896</v>
      </c>
      <c r="K12" s="4" t="n">
        <f aca="false">-K6*Assumptions!K17/100</f>
        <v>-3600.19779771119</v>
      </c>
      <c r="L12" s="4" t="n">
        <f aca="false">-L6*Assumptions!L17/100</f>
        <v>-3654.20076467686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10132.554744</v>
      </c>
      <c r="D13" s="0" t="n">
        <f aca="false">D11+D12</f>
        <v>6309.66205584</v>
      </c>
      <c r="E13" s="0" t="n">
        <f aca="false">E11+E12</f>
        <v>5123.9127172896</v>
      </c>
      <c r="F13" s="0" t="n">
        <f aca="false">F11+F12</f>
        <v>5555.71617463699</v>
      </c>
      <c r="G13" s="0" t="n">
        <f aca="false">G11+G12</f>
        <v>6061.59261896775</v>
      </c>
      <c r="H13" s="0" t="n">
        <f aca="false">H11+H12</f>
        <v>6324.66302499128</v>
      </c>
      <c r="I13" s="0" t="n">
        <f aca="false">I11+I12</f>
        <v>6419.53297036615</v>
      </c>
      <c r="J13" s="0" t="n">
        <f aca="false">J11+J12</f>
        <v>6515.82596492164</v>
      </c>
      <c r="K13" s="0" t="n">
        <f aca="false">K11+K12</f>
        <v>6613.56335439546</v>
      </c>
      <c r="L13" s="0" t="n">
        <f aca="false">L11+L12</f>
        <v>6712.76680471139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20</v>
      </c>
      <c r="D14" s="4" t="n">
        <f aca="false">Assumptions!D19</f>
        <v>22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8106.0437952</v>
      </c>
      <c r="D15" s="0" t="n">
        <f aca="false">D13-MAX(0,D13)*D14/100</f>
        <v>4921.5364035552</v>
      </c>
      <c r="E15" s="0" t="n">
        <f aca="false">E13-MAX(0,E13)*E14/100</f>
        <v>3894.1736651401</v>
      </c>
      <c r="F15" s="0" t="n">
        <f aca="false">F13-MAX(0,F13)*F14/100</f>
        <v>4166.78713097775</v>
      </c>
      <c r="G15" s="0" t="n">
        <f aca="false">G13-MAX(0,G13)*G14/100</f>
        <v>4546.19446422581</v>
      </c>
      <c r="H15" s="0" t="n">
        <f aca="false">H13-MAX(0,H13)*H14/100</f>
        <v>4743.49726874346</v>
      </c>
      <c r="I15" s="0" t="n">
        <f aca="false">I13-MAX(0,I13)*I14/100</f>
        <v>4814.64972777461</v>
      </c>
      <c r="J15" s="0" t="n">
        <f aca="false">J13-MAX(0,J13)*J14/100</f>
        <v>4886.86947369123</v>
      </c>
      <c r="K15" s="0" t="n">
        <f aca="false">K13-MAX(0,K13)*K14/100</f>
        <v>4960.1725157966</v>
      </c>
      <c r="L15" s="0" t="n">
        <f aca="false">L13-MAX(0,L13)*L14/100</f>
        <v>5034.57510353355</v>
      </c>
    </row>
    <row r="16" customFormat="false" ht="15" hidden="false" customHeight="false" outlineLevel="0" collapsed="false">
      <c r="A16" s="0" t="s">
        <v>119</v>
      </c>
      <c r="C16" s="0" t="n">
        <f aca="false">-C12</f>
        <v>3394.8252</v>
      </c>
      <c r="D16" s="0" t="n">
        <f aca="false">-D12</f>
        <v>3263.026104</v>
      </c>
      <c r="E16" s="0" t="n">
        <f aca="false">-E12</f>
        <v>3228.6784608</v>
      </c>
      <c r="F16" s="0" t="n">
        <f aca="false">-F12</f>
        <v>3293.252030016</v>
      </c>
      <c r="G16" s="0" t="n">
        <f aca="false">-G12</f>
        <v>3392.04959091648</v>
      </c>
      <c r="H16" s="0" t="n">
        <f aca="false">-H12</f>
        <v>3442.93033478023</v>
      </c>
      <c r="I16" s="0" t="n">
        <f aca="false">-I12</f>
        <v>3494.57428980193</v>
      </c>
      <c r="J16" s="0" t="n">
        <f aca="false">-J12</f>
        <v>3546.99290414896</v>
      </c>
      <c r="K16" s="0" t="n">
        <f aca="false">-K12</f>
        <v>3600.19779771119</v>
      </c>
      <c r="L16" s="0" t="n">
        <f aca="false">-L12</f>
        <v>3654.20076467686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-5591.4768</v>
      </c>
      <c r="D17" s="4" t="n">
        <f aca="false">-D6*Assumptions!D18/100</f>
        <v>-5152.14648</v>
      </c>
      <c r="E17" s="4" t="n">
        <f aca="false">-E6*Assumptions!E18/100</f>
        <v>-4681.58376816</v>
      </c>
      <c r="F17" s="4" t="n">
        <f aca="false">-F6*Assumptions!F18/100</f>
        <v>-4610.5528420224</v>
      </c>
      <c r="G17" s="4" t="n">
        <f aca="false">-G6*Assumptions!G18/100</f>
        <v>-4579.26694773725</v>
      </c>
      <c r="H17" s="4" t="n">
        <f aca="false">-H6*Assumptions!H18/100</f>
        <v>-4475.8094352143</v>
      </c>
      <c r="I17" s="4" t="n">
        <f aca="false">-I6*Assumptions!I18/100</f>
        <v>-4542.94657674251</v>
      </c>
      <c r="J17" s="4" t="n">
        <f aca="false">-J6*Assumptions!J18/100</f>
        <v>-4611.09077539365</v>
      </c>
      <c r="K17" s="4" t="n">
        <f aca="false">-K6*Assumptions!K18/100</f>
        <v>-4680.25713702455</v>
      </c>
      <c r="L17" s="4" t="n">
        <f aca="false">-L6*Assumptions!L18/100</f>
        <v>-4750.46099407992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-107.5284</v>
      </c>
      <c r="D18" s="4" t="n">
        <f aca="false">(D6-C6)*Assumptions!$B$23/100</f>
        <v>391.403376</v>
      </c>
      <c r="E18" s="4" t="n">
        <f aca="false">(E6-D6)*Assumptions!$B$23/100</f>
        <v>144.26010144</v>
      </c>
      <c r="F18" s="4" t="n">
        <f aca="false">(F6-E6)*Assumptions!$B$23/100</f>
        <v>-45.2014984512003</v>
      </c>
      <c r="G18" s="4" t="n">
        <f aca="false">(G6-F6)*Assumptions!$B$23/100</f>
        <v>-69.1582926303362</v>
      </c>
      <c r="H18" s="4" t="n">
        <f aca="false">(H6-G6)*Assumptions!$B$23/100</f>
        <v>-35.616520704623</v>
      </c>
      <c r="I18" s="4" t="n">
        <f aca="false">(I6-H6)*Assumptions!$B$23/100</f>
        <v>-36.1507685151921</v>
      </c>
      <c r="J18" s="4" t="n">
        <f aca="false">(J6-I6)*Assumptions!$B$23/100</f>
        <v>-36.6930300429201</v>
      </c>
      <c r="K18" s="4" t="n">
        <f aca="false">(K6-J6)*Assumptions!$B$23/100</f>
        <v>-37.2434254935639</v>
      </c>
      <c r="L18" s="4" t="n">
        <f aca="false">(L6-K6)*Assumptions!$B$23/100</f>
        <v>-37.8020768759671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5801.8637952</v>
      </c>
      <c r="D19" s="0" t="n">
        <f aca="false">D15+D16+D17+D18</f>
        <v>3423.8194035552</v>
      </c>
      <c r="E19" s="0" t="n">
        <f aca="false">E15+E16+E17+E18</f>
        <v>2585.5284592201</v>
      </c>
      <c r="F19" s="0" t="n">
        <f aca="false">F15+F16+F17+F18</f>
        <v>2804.28482052014</v>
      </c>
      <c r="G19" s="0" t="n">
        <f aca="false">G15+G16+G17+G18</f>
        <v>3289.81881477471</v>
      </c>
      <c r="H19" s="0" t="n">
        <f aca="false">H15+H16+H17+H18</f>
        <v>3675.00164760477</v>
      </c>
      <c r="I19" s="0" t="n">
        <f aca="false">I15+I16+I17+I18</f>
        <v>3730.12667231884</v>
      </c>
      <c r="J19" s="0" t="n">
        <f aca="false">J15+J16+J17+J18</f>
        <v>3786.07857240362</v>
      </c>
      <c r="K19" s="0" t="n">
        <f aca="false">K15+K16+K17+K18</f>
        <v>3842.86975098968</v>
      </c>
      <c r="L19" s="0" t="n">
        <f aca="false">L15+L16+L17+L18</f>
        <v>3900.51279725452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5274.421632</v>
      </c>
      <c r="D21" s="0" t="n">
        <f aca="false">D19*D20</f>
        <v>2829.60281285554</v>
      </c>
      <c r="E21" s="0" t="n">
        <f aca="false">E19*E20</f>
        <v>1942.54579956431</v>
      </c>
      <c r="F21" s="0" t="n">
        <f aca="false">F19*F20</f>
        <v>1915.36426509128</v>
      </c>
      <c r="G21" s="0" t="n">
        <f aca="false">G19*G20</f>
        <v>2042.71865109481</v>
      </c>
      <c r="H21" s="0" t="n">
        <f aca="false">H19*H20</f>
        <v>2074.44262297757</v>
      </c>
      <c r="I21" s="0" t="n">
        <f aca="false">I19*I20</f>
        <v>1914.1447839293</v>
      </c>
      <c r="J21" s="0" t="n">
        <f aca="false">J19*J20</f>
        <v>1766.23359608022</v>
      </c>
      <c r="K21" s="0" t="n">
        <f aca="false">K19*K20</f>
        <v>1629.75190911038</v>
      </c>
      <c r="L21" s="0" t="n">
        <f aca="false">L19*L20</f>
        <v>1503.81653431549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22893.0426070189</v>
      </c>
    </row>
    <row r="31" customFormat="false" ht="15" hidden="false" customHeight="false" outlineLevel="0" collapsed="false">
      <c r="A31" s="0" t="s">
        <v>128</v>
      </c>
      <c r="B31" s="0" t="n">
        <f aca="false">L19</f>
        <v>3900.51279725452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46576.711637804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46806.1535670543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46576.711637804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17957.3386156497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40850.3812226686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23592.3812226686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5.53499934841136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-0.597747140377081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280.512211435343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218.703645098084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5.6521201856236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29326.0776978766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2.07612312528404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</v>
      </c>
      <c r="D5" s="4" t="n">
        <f aca="false">Assumptions!D27</f>
        <v>-5</v>
      </c>
      <c r="E5" s="4" t="n">
        <f aca="false">Assumptions!E27</f>
        <v>-2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38403</v>
      </c>
      <c r="C6" s="0" t="n">
        <f aca="false">B6*(1+C5/100)</f>
        <v>41091.21</v>
      </c>
      <c r="D6" s="0" t="n">
        <f aca="false">C6*(1+D5/100)</f>
        <v>39036.6495</v>
      </c>
      <c r="E6" s="0" t="n">
        <f aca="false">D6*(1+E5/100)</f>
        <v>38255.91651</v>
      </c>
      <c r="F6" s="0" t="n">
        <f aca="false">E6*(1+F5/100)</f>
        <v>39403.5940053</v>
      </c>
      <c r="G6" s="0" t="n">
        <f aca="false">F6*(1+G5/100)</f>
        <v>40585.701825459</v>
      </c>
      <c r="H6" s="0" t="n">
        <f aca="false">G6*(1+H5/100)</f>
        <v>41600.3443710955</v>
      </c>
      <c r="I6" s="0" t="n">
        <f aca="false">H6*(1+I5/100)</f>
        <v>42640.3529803729</v>
      </c>
      <c r="J6" s="0" t="n">
        <f aca="false">I6*(1+J5/100)</f>
        <v>43493.1600399803</v>
      </c>
      <c r="K6" s="0" t="n">
        <f aca="false">J6*(1+K5/100)</f>
        <v>44363.0232407799</v>
      </c>
      <c r="L6" s="0" t="n">
        <f aca="false">K6*(1+L5/100)</f>
        <v>45250.2837055955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36</v>
      </c>
      <c r="D7" s="4" t="n">
        <f aca="false">Assumptions!D28</f>
        <v>34.5</v>
      </c>
      <c r="E7" s="4" t="n">
        <f aca="false">Assumptions!E28</f>
        <v>33.5</v>
      </c>
      <c r="F7" s="4" t="n">
        <f aca="false">Assumptions!F28</f>
        <v>33.5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34.5</v>
      </c>
      <c r="J7" s="4" t="n">
        <f aca="false">Assumptions!J28</f>
        <v>34.5</v>
      </c>
      <c r="K7" s="4" t="n">
        <f aca="false">Assumptions!K28</f>
        <v>34.5</v>
      </c>
      <c r="L7" s="4" t="n">
        <f aca="false">Assumptions!L28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14792.8356</v>
      </c>
      <c r="D8" s="0" t="n">
        <f aca="false">D6*D7/100</f>
        <v>13467.6440775</v>
      </c>
      <c r="E8" s="0" t="n">
        <f aca="false">E6*E7/100</f>
        <v>12815.73203085</v>
      </c>
      <c r="F8" s="0" t="n">
        <f aca="false">F6*F7/100</f>
        <v>13200.2039917755</v>
      </c>
      <c r="G8" s="0" t="n">
        <f aca="false">G6*G7/100</f>
        <v>13799.1386206561</v>
      </c>
      <c r="H8" s="0" t="n">
        <f aca="false">H6*H7/100</f>
        <v>14144.1170861725</v>
      </c>
      <c r="I8" s="0" t="n">
        <f aca="false">I6*I7/100</f>
        <v>14710.9217782286</v>
      </c>
      <c r="J8" s="0" t="n">
        <f aca="false">J6*J7/100</f>
        <v>15005.1402137932</v>
      </c>
      <c r="K8" s="0" t="n">
        <f aca="false">K6*K7/100</f>
        <v>15305.2430180691</v>
      </c>
      <c r="L8" s="0" t="n">
        <f aca="false">L6*L7/100</f>
        <v>15611.3478784305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0.13</v>
      </c>
      <c r="D9" s="4" t="n">
        <f aca="false">Assumptions!D29</f>
        <v>0.13</v>
      </c>
      <c r="E9" s="4" t="n">
        <f aca="false">Assumptions!E29</f>
        <v>0.13</v>
      </c>
      <c r="F9" s="4" t="n">
        <f aca="false">Assumptions!F29</f>
        <v>0.13</v>
      </c>
      <c r="G9" s="4" t="n">
        <f aca="false">Assumptions!G29</f>
        <v>0.13</v>
      </c>
      <c r="H9" s="4" t="n">
        <f aca="false">Assumptions!H29</f>
        <v>0.13</v>
      </c>
      <c r="I9" s="4" t="n">
        <f aca="false">Assumptions!I29</f>
        <v>0.13</v>
      </c>
      <c r="J9" s="4" t="n">
        <f aca="false">Assumptions!J29</f>
        <v>0.13</v>
      </c>
      <c r="K9" s="4" t="n">
        <f aca="false">Assumptions!K29</f>
        <v>0.13</v>
      </c>
      <c r="L9" s="4" t="n">
        <f aca="false">Assumptions!L29</f>
        <v>0.13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-53.418573</v>
      </c>
      <c r="D10" s="0" t="n">
        <f aca="false">-D6*D9/100</f>
        <v>-50.74764435</v>
      </c>
      <c r="E10" s="0" t="n">
        <f aca="false">-E6*E9/100</f>
        <v>-49.732691463</v>
      </c>
      <c r="F10" s="0" t="n">
        <f aca="false">-F6*F9/100</f>
        <v>-51.22467220689</v>
      </c>
      <c r="G10" s="0" t="n">
        <f aca="false">-G6*G9/100</f>
        <v>-52.7614123730967</v>
      </c>
      <c r="H10" s="0" t="n">
        <f aca="false">-H6*H9/100</f>
        <v>-54.0804476824241</v>
      </c>
      <c r="I10" s="0" t="n">
        <f aca="false">-I6*I9/100</f>
        <v>-55.4324588744847</v>
      </c>
      <c r="J10" s="0" t="n">
        <f aca="false">-J6*J9/100</f>
        <v>-56.5411080519744</v>
      </c>
      <c r="K10" s="0" t="n">
        <f aca="false">-K6*K9/100</f>
        <v>-57.6719302130139</v>
      </c>
      <c r="L10" s="0" t="n">
        <f aca="false">-L6*L9/100</f>
        <v>-58.8253688172742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14739.417027</v>
      </c>
      <c r="D11" s="0" t="n">
        <f aca="false">D8+D10+D24</f>
        <v>13416.89643315</v>
      </c>
      <c r="E11" s="0" t="n">
        <f aca="false">E8+E10+E24</f>
        <v>12765.999339387</v>
      </c>
      <c r="F11" s="0" t="n">
        <f aca="false">F8+F10+F24</f>
        <v>13148.9793195686</v>
      </c>
      <c r="G11" s="0" t="n">
        <f aca="false">G8+G10+G24</f>
        <v>13746.377208283</v>
      </c>
      <c r="H11" s="0" t="n">
        <f aca="false">H8+H10+H24</f>
        <v>14090.03663849</v>
      </c>
      <c r="I11" s="0" t="n">
        <f aca="false">I8+I10+I24</f>
        <v>14655.4893193542</v>
      </c>
      <c r="J11" s="0" t="n">
        <f aca="false">J8+J10+J24</f>
        <v>14948.5991057412</v>
      </c>
      <c r="K11" s="0" t="n">
        <f aca="false">K8+K10+K24</f>
        <v>15247.5710878561</v>
      </c>
      <c r="L11" s="0" t="n">
        <f aca="false">L8+L10+L24</f>
        <v>15552.5225096132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-3492.75285</v>
      </c>
      <c r="D12" s="4" t="n">
        <f aca="false">-D6*Assumptions!D31/100</f>
        <v>-3513.298455</v>
      </c>
      <c r="E12" s="4" t="n">
        <f aca="false">-E6*Assumptions!E31/100</f>
        <v>-3443.0324859</v>
      </c>
      <c r="F12" s="4" t="n">
        <f aca="false">-F6*Assumptions!F31/100</f>
        <v>-3546.323460477</v>
      </c>
      <c r="G12" s="4" t="n">
        <f aca="false">-G6*Assumptions!G31/100</f>
        <v>-3652.71316429131</v>
      </c>
      <c r="H12" s="4" t="n">
        <f aca="false">-H6*Assumptions!H31/100</f>
        <v>-3744.03099339859</v>
      </c>
      <c r="I12" s="4" t="n">
        <f aca="false">-I6*Assumptions!I31/100</f>
        <v>-3837.63176823356</v>
      </c>
      <c r="J12" s="4" t="n">
        <f aca="false">-J6*Assumptions!J31/100</f>
        <v>-3914.38440359823</v>
      </c>
      <c r="K12" s="4" t="n">
        <f aca="false">-K6*Assumptions!K31/100</f>
        <v>-3992.67209167019</v>
      </c>
      <c r="L12" s="4" t="n">
        <f aca="false">-L6*Assumptions!L31/100</f>
        <v>-4072.5255335036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11246.664177</v>
      </c>
      <c r="D13" s="0" t="n">
        <f aca="false">D11+D12</f>
        <v>9903.59797815</v>
      </c>
      <c r="E13" s="0" t="n">
        <f aca="false">E11+E12</f>
        <v>9322.966853487</v>
      </c>
      <c r="F13" s="0" t="n">
        <f aca="false">F11+F12</f>
        <v>9602.65585909161</v>
      </c>
      <c r="G13" s="0" t="n">
        <f aca="false">G11+G12</f>
        <v>10093.6640439917</v>
      </c>
      <c r="H13" s="0" t="n">
        <f aca="false">H11+H12</f>
        <v>10346.0056450914</v>
      </c>
      <c r="I13" s="0" t="n">
        <f aca="false">I11+I12</f>
        <v>10817.8575511206</v>
      </c>
      <c r="J13" s="0" t="n">
        <f aca="false">J11+J12</f>
        <v>11034.214702143</v>
      </c>
      <c r="K13" s="0" t="n">
        <f aca="false">K11+K12</f>
        <v>11254.8989961859</v>
      </c>
      <c r="L13" s="0" t="n">
        <f aca="false">L11+L12</f>
        <v>11479.9969761096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8997.3313416</v>
      </c>
      <c r="D15" s="0" t="n">
        <f aca="false">D13-MAX(0,D13)*D14/100</f>
        <v>7922.87838252</v>
      </c>
      <c r="E15" s="0" t="n">
        <f aca="false">E13-MAX(0,E13)*E14/100</f>
        <v>7365.14381425473</v>
      </c>
      <c r="F15" s="0" t="n">
        <f aca="false">F13-MAX(0,F13)*F14/100</f>
        <v>7490.07157009146</v>
      </c>
      <c r="G15" s="0" t="n">
        <f aca="false">G13-MAX(0,G13)*G14/100</f>
        <v>7772.12131387357</v>
      </c>
      <c r="H15" s="0" t="n">
        <f aca="false">H13-MAX(0,H13)*H14/100</f>
        <v>7862.9642902695</v>
      </c>
      <c r="I15" s="0" t="n">
        <f aca="false">I13-MAX(0,I13)*I14/100</f>
        <v>8221.57173885165</v>
      </c>
      <c r="J15" s="0" t="n">
        <f aca="false">J13-MAX(0,J13)*J14/100</f>
        <v>8386.00317362869</v>
      </c>
      <c r="K15" s="0" t="n">
        <f aca="false">K13-MAX(0,K13)*K14/100</f>
        <v>8553.72323710126</v>
      </c>
      <c r="L15" s="0" t="n">
        <f aca="false">L13-MAX(0,L13)*L14/100</f>
        <v>8724.79770184328</v>
      </c>
    </row>
    <row r="16" customFormat="false" ht="15" hidden="false" customHeight="false" outlineLevel="0" collapsed="false">
      <c r="A16" s="0" t="s">
        <v>119</v>
      </c>
      <c r="C16" s="0" t="n">
        <f aca="false">-C12</f>
        <v>3492.75285</v>
      </c>
      <c r="D16" s="0" t="n">
        <f aca="false">-D12</f>
        <v>3513.298455</v>
      </c>
      <c r="E16" s="0" t="n">
        <f aca="false">-E12</f>
        <v>3443.0324859</v>
      </c>
      <c r="F16" s="0" t="n">
        <f aca="false">-F12</f>
        <v>3546.323460477</v>
      </c>
      <c r="G16" s="0" t="n">
        <f aca="false">-G12</f>
        <v>3652.71316429131</v>
      </c>
      <c r="H16" s="0" t="n">
        <f aca="false">-H12</f>
        <v>3744.03099339859</v>
      </c>
      <c r="I16" s="0" t="n">
        <f aca="false">-I12</f>
        <v>3837.63176823356</v>
      </c>
      <c r="J16" s="0" t="n">
        <f aca="false">-J12</f>
        <v>3914.38440359823</v>
      </c>
      <c r="K16" s="0" t="n">
        <f aca="false">-K12</f>
        <v>3992.67209167019</v>
      </c>
      <c r="L16" s="0" t="n">
        <f aca="false">-L12</f>
        <v>4072.5255335036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-5547.31335</v>
      </c>
      <c r="D17" s="4" t="n">
        <f aca="false">-D6*Assumptions!D32/100</f>
        <v>-5465.13093</v>
      </c>
      <c r="E17" s="4" t="n">
        <f aca="false">-E6*Assumptions!E32/100</f>
        <v>-5355.8283114</v>
      </c>
      <c r="F17" s="4" t="n">
        <f aca="false">-F6*Assumptions!F32/100</f>
        <v>-5319.4851907155</v>
      </c>
      <c r="G17" s="4" t="n">
        <f aca="false">-G6*Assumptions!G32/100</f>
        <v>-5276.14123730967</v>
      </c>
      <c r="H17" s="4" t="n">
        <f aca="false">-H6*Assumptions!H32/100</f>
        <v>-5200.04304638693</v>
      </c>
      <c r="I17" s="4" t="n">
        <f aca="false">-I6*Assumptions!I32/100</f>
        <v>-5330.04412254661</v>
      </c>
      <c r="J17" s="4" t="n">
        <f aca="false">-J6*Assumptions!J32/100</f>
        <v>-5436.64500499754</v>
      </c>
      <c r="K17" s="4" t="n">
        <f aca="false">-K6*Assumptions!K32/100</f>
        <v>-5545.37790509749</v>
      </c>
      <c r="L17" s="4" t="n">
        <f aca="false">-L6*Assumptions!L32/100</f>
        <v>-5656.28546319944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-188.1747</v>
      </c>
      <c r="D18" s="4" t="n">
        <f aca="false">(D6-C6)*Assumptions!$B$37/100</f>
        <v>143.819235</v>
      </c>
      <c r="E18" s="4" t="n">
        <f aca="false">(E6-D6)*Assumptions!$B$37/100</f>
        <v>54.6513093000003</v>
      </c>
      <c r="F18" s="4" t="n">
        <f aca="false">(F6-E6)*Assumptions!$B$37/100</f>
        <v>-80.3374246709999</v>
      </c>
      <c r="G18" s="4" t="n">
        <f aca="false">(G6-F6)*Assumptions!$B$37/100</f>
        <v>-82.7475474111299</v>
      </c>
      <c r="H18" s="4" t="n">
        <f aca="false">(H6-G6)*Assumptions!$B$37/100</f>
        <v>-71.0249781945532</v>
      </c>
      <c r="I18" s="4" t="n">
        <f aca="false">(I6-H6)*Assumptions!$B$37/100</f>
        <v>-72.800602649417</v>
      </c>
      <c r="J18" s="4" t="n">
        <f aca="false">(J6-I6)*Assumptions!$B$37/100</f>
        <v>-59.6964941725223</v>
      </c>
      <c r="K18" s="4" t="n">
        <f aca="false">(K6-J6)*Assumptions!$B$37/100</f>
        <v>-60.8904240559724</v>
      </c>
      <c r="L18" s="4" t="n">
        <f aca="false">(L6-K6)*Assumptions!$B$37/100</f>
        <v>-62.1082325370918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6754.5961416</v>
      </c>
      <c r="D19" s="0" t="n">
        <f aca="false">D15+D16+D17+D18</f>
        <v>6114.86514252</v>
      </c>
      <c r="E19" s="0" t="n">
        <f aca="false">E15+E16+E17+E18</f>
        <v>5506.99929805473</v>
      </c>
      <c r="F19" s="0" t="n">
        <f aca="false">F15+F16+F17+F18</f>
        <v>5636.57241518196</v>
      </c>
      <c r="G19" s="0" t="n">
        <f aca="false">G15+G16+G17+G18</f>
        <v>6065.94569344408</v>
      </c>
      <c r="H19" s="0" t="n">
        <f aca="false">H15+H16+H17+H18</f>
        <v>6335.9272590866</v>
      </c>
      <c r="I19" s="0" t="n">
        <f aca="false">I15+I16+I17+I18</f>
        <v>6656.35878188918</v>
      </c>
      <c r="J19" s="0" t="n">
        <f aca="false">J15+J16+J17+J18</f>
        <v>6804.04607805685</v>
      </c>
      <c r="K19" s="0" t="n">
        <f aca="false">K15+K16+K17+K18</f>
        <v>6940.12699961799</v>
      </c>
      <c r="L19" s="0" t="n">
        <f aca="false">L15+L16+L17+L18</f>
        <v>7078.92953961035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6140.54194690909</v>
      </c>
      <c r="D21" s="0" t="n">
        <f aca="false">D19*D20</f>
        <v>5053.60755580165</v>
      </c>
      <c r="E21" s="0" t="n">
        <f aca="false">E19*E20</f>
        <v>4137.49008118312</v>
      </c>
      <c r="F21" s="0" t="n">
        <f aca="false">F19*F20</f>
        <v>3849.85480170887</v>
      </c>
      <c r="G21" s="0" t="n">
        <f aca="false">G19*G20</f>
        <v>3766.47502557828</v>
      </c>
      <c r="H21" s="0" t="n">
        <f aca="false">H19*H20</f>
        <v>3576.46576047147</v>
      </c>
      <c r="I21" s="0" t="n">
        <f aca="false">I19*I20</f>
        <v>3415.76454678269</v>
      </c>
      <c r="J21" s="0" t="n">
        <f aca="false">J19*J20</f>
        <v>3174.13771070061</v>
      </c>
      <c r="K21" s="0" t="n">
        <f aca="false">K19*K20</f>
        <v>2943.29133174057</v>
      </c>
      <c r="L21" s="0" t="n">
        <f aca="false">L19*L20</f>
        <v>2729.23378034125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38786.8625412176</v>
      </c>
    </row>
    <row r="31" customFormat="false" ht="15" hidden="false" customHeight="false" outlineLevel="0" collapsed="false">
      <c r="A31" s="0" t="s">
        <v>128</v>
      </c>
      <c r="B31" s="0" t="n">
        <f aca="false">L19</f>
        <v>7078.92953961035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90256.3516300319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84947.1544753242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84947.1544753242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32750.805364095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71537.6679053126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54279.6679053126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12.7345316970047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-0.074525312717685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328.102992323805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289.166508995395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12.8793490537331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55542.3702338658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6.57293146274365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2</v>
      </c>
      <c r="E5" s="4" t="n">
        <f aca="false">Assumptions!E41</f>
        <v>2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38403</v>
      </c>
      <c r="C6" s="0" t="n">
        <f aca="false">B6*(1+C5/100)</f>
        <v>41859.27</v>
      </c>
      <c r="D6" s="0" t="n">
        <f aca="false">C6*(1+D5/100)</f>
        <v>42696.4554</v>
      </c>
      <c r="E6" s="0" t="n">
        <f aca="false">D6*(1+E5/100)</f>
        <v>43550.384508</v>
      </c>
      <c r="F6" s="0" t="n">
        <f aca="false">E6*(1+F5/100)</f>
        <v>45074.64796578</v>
      </c>
      <c r="G6" s="0" t="n">
        <f aca="false">F6*(1+G5/100)</f>
        <v>46652.2606445823</v>
      </c>
      <c r="H6" s="0" t="n">
        <f aca="false">G6*(1+H5/100)</f>
        <v>48051.8284639198</v>
      </c>
      <c r="I6" s="0" t="n">
        <f aca="false">H6*(1+I5/100)</f>
        <v>49493.3833178374</v>
      </c>
      <c r="J6" s="0" t="n">
        <f aca="false">I6*(1+J5/100)</f>
        <v>50730.7179007833</v>
      </c>
      <c r="K6" s="0" t="n">
        <f aca="false">J6*(1+K5/100)</f>
        <v>51998.9858483029</v>
      </c>
      <c r="L6" s="0" t="n">
        <f aca="false">K6*(1+L5/100)</f>
        <v>53298.9604945104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38.5</v>
      </c>
      <c r="D7" s="4" t="n">
        <f aca="false">Assumptions!D42</f>
        <v>39</v>
      </c>
      <c r="E7" s="4" t="n">
        <f aca="false">Assumptions!E42</f>
        <v>39.5</v>
      </c>
      <c r="F7" s="4" t="n">
        <f aca="false">Assumptions!F42</f>
        <v>39.5</v>
      </c>
      <c r="G7" s="4" t="n">
        <f aca="false">Assumptions!G42</f>
        <v>39.5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16115.81895</v>
      </c>
      <c r="D8" s="0" t="n">
        <f aca="false">D6*D7/100</f>
        <v>16651.617606</v>
      </c>
      <c r="E8" s="0" t="n">
        <f aca="false">E6*E7/100</f>
        <v>17202.40188066</v>
      </c>
      <c r="F8" s="0" t="n">
        <f aca="false">F6*F7/100</f>
        <v>17804.4859464831</v>
      </c>
      <c r="G8" s="0" t="n">
        <f aca="false">G6*G7/100</f>
        <v>18427.64295461</v>
      </c>
      <c r="H8" s="0" t="n">
        <f aca="false">H6*H7/100</f>
        <v>18980.4722432483</v>
      </c>
      <c r="I8" s="0" t="n">
        <f aca="false">I6*I7/100</f>
        <v>19549.8864105458</v>
      </c>
      <c r="J8" s="0" t="n">
        <f aca="false">J6*J7/100</f>
        <v>20038.6335708094</v>
      </c>
      <c r="K8" s="0" t="n">
        <f aca="false">K6*K7/100</f>
        <v>20539.5994100796</v>
      </c>
      <c r="L8" s="0" t="n">
        <f aca="false">L6*L7/100</f>
        <v>21053.0893953316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0.13</v>
      </c>
      <c r="D9" s="4" t="n">
        <f aca="false">Assumptions!D43</f>
        <v>0.13</v>
      </c>
      <c r="E9" s="4" t="n">
        <f aca="false">Assumptions!E43</f>
        <v>0.13</v>
      </c>
      <c r="F9" s="4" t="n">
        <f aca="false">Assumptions!F43</f>
        <v>0.13</v>
      </c>
      <c r="G9" s="4" t="n">
        <f aca="false">Assumptions!G43</f>
        <v>0.13</v>
      </c>
      <c r="H9" s="4" t="n">
        <f aca="false">Assumptions!H43</f>
        <v>0.13</v>
      </c>
      <c r="I9" s="4" t="n">
        <f aca="false">Assumptions!I43</f>
        <v>0.13</v>
      </c>
      <c r="J9" s="4" t="n">
        <f aca="false">Assumptions!J43</f>
        <v>0.13</v>
      </c>
      <c r="K9" s="4" t="n">
        <f aca="false">Assumptions!K43</f>
        <v>0.13</v>
      </c>
      <c r="L9" s="4" t="n">
        <f aca="false">Assumptions!L43</f>
        <v>0.13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-54.417051</v>
      </c>
      <c r="D10" s="0" t="n">
        <f aca="false">-D6*D9/100</f>
        <v>-55.50539202</v>
      </c>
      <c r="E10" s="0" t="n">
        <f aca="false">-E6*E9/100</f>
        <v>-56.6154998604</v>
      </c>
      <c r="F10" s="0" t="n">
        <f aca="false">-F6*F9/100</f>
        <v>-58.597042355514</v>
      </c>
      <c r="G10" s="0" t="n">
        <f aca="false">-G6*G9/100</f>
        <v>-60.647938837957</v>
      </c>
      <c r="H10" s="0" t="n">
        <f aca="false">-H6*H9/100</f>
        <v>-62.4673770030957</v>
      </c>
      <c r="I10" s="0" t="n">
        <f aca="false">-I6*I9/100</f>
        <v>-64.3413983131886</v>
      </c>
      <c r="J10" s="0" t="n">
        <f aca="false">-J6*J9/100</f>
        <v>-65.9499332710183</v>
      </c>
      <c r="K10" s="0" t="n">
        <f aca="false">-K6*K9/100</f>
        <v>-67.5986816027938</v>
      </c>
      <c r="L10" s="0" t="n">
        <f aca="false">-L6*L9/100</f>
        <v>-69.2886486428636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16061.401899</v>
      </c>
      <c r="D11" s="0" t="n">
        <f aca="false">D8+D10+D24</f>
        <v>16596.11221398</v>
      </c>
      <c r="E11" s="0" t="n">
        <f aca="false">E8+E10+E24</f>
        <v>17145.7863807996</v>
      </c>
      <c r="F11" s="0" t="n">
        <f aca="false">F8+F10+F24</f>
        <v>17745.8889041276</v>
      </c>
      <c r="G11" s="0" t="n">
        <f aca="false">G8+G10+G24</f>
        <v>18366.9950157721</v>
      </c>
      <c r="H11" s="0" t="n">
        <f aca="false">H8+H10+H24</f>
        <v>18918.0048662452</v>
      </c>
      <c r="I11" s="0" t="n">
        <f aca="false">I8+I10+I24</f>
        <v>19485.5450122326</v>
      </c>
      <c r="J11" s="0" t="n">
        <f aca="false">J8+J10+J24</f>
        <v>19972.6836375384</v>
      </c>
      <c r="K11" s="0" t="n">
        <f aca="false">K8+K10+K24</f>
        <v>20472.0007284768</v>
      </c>
      <c r="L11" s="0" t="n">
        <f aca="false">L8+L10+L24</f>
        <v>20983.8007466888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-3558.03795</v>
      </c>
      <c r="D12" s="4" t="n">
        <f aca="false">-D6*Assumptions!D45/100</f>
        <v>-3842.680986</v>
      </c>
      <c r="E12" s="4" t="n">
        <f aca="false">-E6*Assumptions!E45/100</f>
        <v>-3919.53460572</v>
      </c>
      <c r="F12" s="4" t="n">
        <f aca="false">-F6*Assumptions!F45/100</f>
        <v>-4056.7183169202</v>
      </c>
      <c r="G12" s="4" t="n">
        <f aca="false">-G6*Assumptions!G45/100</f>
        <v>-4198.70345801241</v>
      </c>
      <c r="H12" s="4" t="n">
        <f aca="false">-H6*Assumptions!H45/100</f>
        <v>-4324.66456175278</v>
      </c>
      <c r="I12" s="4" t="n">
        <f aca="false">-I6*Assumptions!I45/100</f>
        <v>-4454.40449860536</v>
      </c>
      <c r="J12" s="4" t="n">
        <f aca="false">-J6*Assumptions!J45/100</f>
        <v>-4565.7646110705</v>
      </c>
      <c r="K12" s="4" t="n">
        <f aca="false">-K6*Assumptions!K45/100</f>
        <v>-4679.90872634726</v>
      </c>
      <c r="L12" s="4" t="n">
        <f aca="false">-L6*Assumptions!L45/100</f>
        <v>-4796.90644450594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12503.363949</v>
      </c>
      <c r="D13" s="0" t="n">
        <f aca="false">D11+D12</f>
        <v>12753.43122798</v>
      </c>
      <c r="E13" s="0" t="n">
        <f aca="false">E11+E12</f>
        <v>13226.2517750796</v>
      </c>
      <c r="F13" s="0" t="n">
        <f aca="false">F11+F12</f>
        <v>13689.1705872074</v>
      </c>
      <c r="G13" s="0" t="n">
        <f aca="false">G11+G12</f>
        <v>14168.2915577596</v>
      </c>
      <c r="H13" s="0" t="n">
        <f aca="false">H11+H12</f>
        <v>14593.3403044924</v>
      </c>
      <c r="I13" s="0" t="n">
        <f aca="false">I11+I12</f>
        <v>15031.1405136272</v>
      </c>
      <c r="J13" s="0" t="n">
        <f aca="false">J11+J12</f>
        <v>15406.9190264679</v>
      </c>
      <c r="K13" s="0" t="n">
        <f aca="false">K11+K12</f>
        <v>15792.0920021296</v>
      </c>
      <c r="L13" s="0" t="n">
        <f aca="false">L11+L12</f>
        <v>16186.8943021828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21</v>
      </c>
      <c r="F14" s="4" t="n">
        <f aca="false">Assumptions!F47</f>
        <v>22</v>
      </c>
      <c r="G14" s="4" t="n">
        <f aca="false">Assumptions!G47</f>
        <v>23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10002.6911592</v>
      </c>
      <c r="D15" s="0" t="n">
        <f aca="false">D13-MAX(0,D13)*D14/100</f>
        <v>10202.744982384</v>
      </c>
      <c r="E15" s="0" t="n">
        <f aca="false">E13-MAX(0,E13)*E14/100</f>
        <v>10448.7389023129</v>
      </c>
      <c r="F15" s="0" t="n">
        <f aca="false">F13-MAX(0,F13)*F14/100</f>
        <v>10677.5530580218</v>
      </c>
      <c r="G15" s="0" t="n">
        <f aca="false">G13-MAX(0,G13)*G14/100</f>
        <v>10909.5844994749</v>
      </c>
      <c r="H15" s="0" t="n">
        <f aca="false">H13-MAX(0,H13)*H14/100</f>
        <v>11090.9386314143</v>
      </c>
      <c r="I15" s="0" t="n">
        <f aca="false">I13-MAX(0,I13)*I14/100</f>
        <v>11423.6667903567</v>
      </c>
      <c r="J15" s="0" t="n">
        <f aca="false">J13-MAX(0,J13)*J14/100</f>
        <v>11709.2584601156</v>
      </c>
      <c r="K15" s="0" t="n">
        <f aca="false">K13-MAX(0,K13)*K14/100</f>
        <v>12001.9899216185</v>
      </c>
      <c r="L15" s="0" t="n">
        <f aca="false">L13-MAX(0,L13)*L14/100</f>
        <v>12302.0396696589</v>
      </c>
    </row>
    <row r="16" customFormat="false" ht="15" hidden="false" customHeight="false" outlineLevel="0" collapsed="false">
      <c r="A16" s="0" t="s">
        <v>119</v>
      </c>
      <c r="C16" s="0" t="n">
        <f aca="false">-C12</f>
        <v>3558.03795</v>
      </c>
      <c r="D16" s="0" t="n">
        <f aca="false">-D12</f>
        <v>3842.680986</v>
      </c>
      <c r="E16" s="0" t="n">
        <f aca="false">-E12</f>
        <v>3919.53460572</v>
      </c>
      <c r="F16" s="0" t="n">
        <f aca="false">-F12</f>
        <v>4056.7183169202</v>
      </c>
      <c r="G16" s="0" t="n">
        <f aca="false">-G12</f>
        <v>4198.70345801241</v>
      </c>
      <c r="H16" s="0" t="n">
        <f aca="false">-H12</f>
        <v>4324.66456175278</v>
      </c>
      <c r="I16" s="0" t="n">
        <f aca="false">-I12</f>
        <v>4454.40449860536</v>
      </c>
      <c r="J16" s="0" t="n">
        <f aca="false">-J12</f>
        <v>4565.7646110705</v>
      </c>
      <c r="K16" s="0" t="n">
        <f aca="false">-K12</f>
        <v>4679.90872634726</v>
      </c>
      <c r="L16" s="0" t="n">
        <f aca="false">-L12</f>
        <v>4796.90644450594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-5441.7051</v>
      </c>
      <c r="D17" s="4" t="n">
        <f aca="false">-D6*Assumptions!D46/100</f>
        <v>-5764.021479</v>
      </c>
      <c r="E17" s="4" t="n">
        <f aca="false">-E6*Assumptions!E46/100</f>
        <v>-5879.30190858</v>
      </c>
      <c r="F17" s="4" t="n">
        <f aca="false">-F6*Assumptions!F46/100</f>
        <v>-5859.7042355514</v>
      </c>
      <c r="G17" s="4" t="n">
        <f aca="false">-G6*Assumptions!G46/100</f>
        <v>-5831.53258057279</v>
      </c>
      <c r="H17" s="4" t="n">
        <f aca="false">-H6*Assumptions!H46/100</f>
        <v>-5766.21941567037</v>
      </c>
      <c r="I17" s="4" t="n">
        <f aca="false">-I6*Assumptions!I46/100</f>
        <v>-5939.20599814048</v>
      </c>
      <c r="J17" s="4" t="n">
        <f aca="false">-J6*Assumptions!J46/100</f>
        <v>-6087.686148094</v>
      </c>
      <c r="K17" s="4" t="n">
        <f aca="false">-K6*Assumptions!K46/100</f>
        <v>-6239.87830179635</v>
      </c>
      <c r="L17" s="4" t="n">
        <f aca="false">-L6*Assumptions!L46/100</f>
        <v>-6395.87525934125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-241.9389</v>
      </c>
      <c r="D18" s="4" t="n">
        <f aca="false">(D6-C6)*Assumptions!$B$51/100</f>
        <v>-58.6029780000002</v>
      </c>
      <c r="E18" s="4" t="n">
        <f aca="false">(E6-D6)*Assumptions!$B$51/100</f>
        <v>-59.7750375600003</v>
      </c>
      <c r="F18" s="4" t="n">
        <f aca="false">(F6-E6)*Assumptions!$B$51/100</f>
        <v>-106.6984420446</v>
      </c>
      <c r="G18" s="4" t="n">
        <f aca="false">(G6-F6)*Assumptions!$B$51/100</f>
        <v>-110.432887516161</v>
      </c>
      <c r="H18" s="4" t="n">
        <f aca="false">(H6-G6)*Assumptions!$B$51/100</f>
        <v>-97.9697473536229</v>
      </c>
      <c r="I18" s="4" t="n">
        <f aca="false">(I6-H6)*Assumptions!$B$51/100</f>
        <v>-100.908839774232</v>
      </c>
      <c r="J18" s="4" t="n">
        <f aca="false">(J6-I6)*Assumptions!$B$51/100</f>
        <v>-86.613420806215</v>
      </c>
      <c r="K18" s="4" t="n">
        <f aca="false">(K6-J6)*Assumptions!$B$51/100</f>
        <v>-88.7787563263703</v>
      </c>
      <c r="L18" s="4" t="n">
        <f aca="false">(L6-K6)*Assumptions!$B$51/100</f>
        <v>-90.9982252345295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7877.0851092</v>
      </c>
      <c r="D19" s="0" t="n">
        <f aca="false">D15+D16+D17+D18</f>
        <v>8222.801511384</v>
      </c>
      <c r="E19" s="0" t="n">
        <f aca="false">E15+E16+E17+E18</f>
        <v>8429.19656189288</v>
      </c>
      <c r="F19" s="0" t="n">
        <f aca="false">F15+F16+F17+F18</f>
        <v>8767.86869734596</v>
      </c>
      <c r="G19" s="0" t="n">
        <f aca="false">G15+G16+G17+G18</f>
        <v>9166.32248939839</v>
      </c>
      <c r="H19" s="0" t="n">
        <f aca="false">H15+H16+H17+H18</f>
        <v>9551.41403014303</v>
      </c>
      <c r="I19" s="0" t="n">
        <f aca="false">I15+I16+I17+I18</f>
        <v>9837.95645104733</v>
      </c>
      <c r="J19" s="0" t="n">
        <f aca="false">J15+J16+J17+J18</f>
        <v>10100.7235022859</v>
      </c>
      <c r="K19" s="0" t="n">
        <f aca="false">K15+K16+K17+K18</f>
        <v>10353.241589843</v>
      </c>
      <c r="L19" s="0" t="n">
        <f aca="false">L15+L16+L17+L18</f>
        <v>10612.0726295891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7160.98646290909</v>
      </c>
      <c r="D21" s="0" t="n">
        <f aca="false">D19*D20</f>
        <v>6795.70372841653</v>
      </c>
      <c r="E21" s="0" t="n">
        <f aca="false">E19*E20</f>
        <v>6332.98013665881</v>
      </c>
      <c r="F21" s="0" t="n">
        <f aca="false">F19*F20</f>
        <v>5988.5722951615</v>
      </c>
      <c r="G21" s="0" t="n">
        <f aca="false">G19*G20</f>
        <v>5691.56508770413</v>
      </c>
      <c r="H21" s="0" t="n">
        <f aca="false">H19*H20</f>
        <v>5391.52421516563</v>
      </c>
      <c r="I21" s="0" t="n">
        <f aca="false">I19*I20</f>
        <v>5048.42721965509</v>
      </c>
      <c r="J21" s="0" t="n">
        <f aca="false">J19*J20</f>
        <v>4712.06205927427</v>
      </c>
      <c r="K21" s="0" t="n">
        <f aca="false">K19*K20</f>
        <v>4390.78510068738</v>
      </c>
      <c r="L21" s="0" t="n">
        <f aca="false">L19*L20</f>
        <v>4091.41338927688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55604.0196949093</v>
      </c>
    </row>
    <row r="31" customFormat="false" ht="15" hidden="false" customHeight="false" outlineLevel="0" collapsed="false">
      <c r="A31" s="0" t="s">
        <v>128</v>
      </c>
      <c r="B31" s="0" t="n">
        <f aca="false">L19</f>
        <v>10612.0726295891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145031.659271051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127344.871555069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127344.871555069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49096.9606713225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104700.980366232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87442.9803662318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20.5149634868224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0.490913044100466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369.985361642449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365.088238077921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20.6874188170871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87018.9955626306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11.5258100142251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5.53499934841136</v>
      </c>
      <c r="C4" s="0" t="n">
        <f aca="false">B4/Assumptions!$B$2-1</f>
        <v>-0.597747140377081</v>
      </c>
      <c r="D4" s="4" t="n">
        <f aca="false">Assumptions!$B$24</f>
        <v>0.25</v>
      </c>
      <c r="E4" s="4" t="n">
        <f aca="false">DCF_Bear!$B$43</f>
        <v>5.6521201856236</v>
      </c>
      <c r="F4" s="4" t="n">
        <f aca="false">DCF_Bear!$B$47</f>
        <v>2.07612312528404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12.7345316970047</v>
      </c>
      <c r="C5" s="0" t="n">
        <f aca="false">B5/Assumptions!$B$2-1</f>
        <v>-0.074525312717685</v>
      </c>
      <c r="D5" s="4" t="n">
        <f aca="false">Assumptions!$B$38</f>
        <v>0.5</v>
      </c>
      <c r="E5" s="4" t="n">
        <f aca="false">DCF_Base!$B$43</f>
        <v>12.8793490537331</v>
      </c>
      <c r="F5" s="4" t="n">
        <f aca="false">DCF_Base!$B$47</f>
        <v>6.57293146274365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20.5149634868224</v>
      </c>
      <c r="C6" s="0" t="n">
        <f aca="false">B6/Assumptions!$B$2-1</f>
        <v>0.490913044100466</v>
      </c>
      <c r="D6" s="4" t="n">
        <f aca="false">Assumptions!$B$52</f>
        <v>0.25</v>
      </c>
      <c r="E6" s="4" t="n">
        <f aca="false">DCF_Bull!$B$43</f>
        <v>20.6874188170871</v>
      </c>
      <c r="F6" s="4" t="n">
        <f aca="false">DCF_Bull!$B$47</f>
        <v>11.5258100142251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12.8797565573108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13.0245592775442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-0.0683431739390747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607.891510097405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6.68694901624912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13.8831908772712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12.7345316970047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11.2933655608899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9.75754166689488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6.57293146274365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15.1398623275965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15.1398623275965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15.1398623275965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15.1398623275965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15.1398623275965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13.8831908772712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13.8831908772712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13.8831908772712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13.8831908772712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13.8831908772712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12.2365171078741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12.6968667280788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12.7345316970047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12.7345316970047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12.7345316970047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10.5719856100251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10.91369190254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11.2933655608899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11.6833006694655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11.6833006694655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9.21309104621986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9.47235324654129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9.75754166689488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10.0727499209699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10.4229813143866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2026-10-04T09:29:17Z</dcterms:created>
  <dc:creator>openpyxl</dc:creator>
  <dc:description/>
  <dc:language>en-NZ</dc:language>
  <cp:lastModifiedBy/>
  <dcterms:modified xsi:type="dcterms:W3CDTF">2026-10-04T09:29:17Z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