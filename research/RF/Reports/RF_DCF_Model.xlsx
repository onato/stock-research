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<sst xmlns="http://schemas.openxmlformats.org/spreadsheetml/2006/main" count="389" uniqueCount="175">
  <si>
    <t xml:space="preserve">Ticker</t>
  </si>
  <si>
    <t xml:space="preserve">RF</t>
  </si>
  <si>
    <t xml:space="preserve">Company</t>
  </si>
  <si>
    <t xml:space="preserve">Regions Financial Corporation</t>
  </si>
  <si>
    <t xml:space="preserve">Valuation date</t>
  </si>
  <si>
    <t xml:space="preserve">2026-10-02</t>
  </si>
  <si>
    <t xml:space="preserve">Current price</t>
  </si>
  <si>
    <t xml:space="preserve">Price as of</t>
  </si>
  <si>
    <t xml:space="preserve">2026-10-01T20:00:02Z regular close (Yahoo chart API regularMarketTime)</t>
  </si>
  <si>
    <t xml:space="preserve">Balance sheet date</t>
  </si>
  <si>
    <t xml:space="preserve">2026-06-30</t>
  </si>
  <si>
    <t xml:space="preserve">Model</t>
  </si>
  <si>
    <t xml:space="preserve">Bank FCFE capitalisation at cost of equity (engine route; GAAP earnings after regulatory capital retention, preferred stock deducted in the equity bridge, net debt zero)</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</si>
  <si>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</si>
  <si>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</si>
  <si>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</si>
  <si>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</si>
  <si>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</si>
  <si>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</si>
  <si>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</si>
  <si>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</si>
  <si>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2026-10-02T07:51:15Z</t>
  </si>
  <si>
    <t xml:space="preserve">Drivers file</t>
  </si>
  <si>
    <t xml:space="preserve">RF_Drivers.json</t>
  </si>
  <si>
    <t xml:space="preserve">Convention</t>
  </si>
  <si>
    <t xml:space="preserve">Percents stored as percents; formulas divide by 100. Blue = input, green = link, black = formula.</t>
  </si>
  <si>
    <t xml:space="preserve">Methodology</t>
  </si>
  <si>
    <t xml:space="preserve">summary: A bank is valued on what it can pay its shareholders: net income less the capital it must retain to keep growing at its regulatory ratio, capitalised at the cost of equity. Deposits and wholesale funding are the raw material of the business, not debt to be subtracted. Regions earns a mid-to-high-teens return on tangible common equity on a granular Southeast deposit franchise; at ~2x tangible book the market already prices most of that.
key_risks_to_valuation: Credit cycle: Southeast CRE and consumer losses could take provisions to 2-3x mid-cycle (FY2020 provision was 21% of revenue).; Rate path: Fed cuts compress NIM on an asset-sensitive balance sheet; deposit betas on the way down may lag.; Basel III endgame / AOCI: recognising the ~$1.9bn after-tax AOCI loss in CET1 would cut excess capital and buybacks.; Deposit flight: 2023 regional-bank stress showed uninsured-deposit runs can force balance-sheet repositioning losses.; Share count and preferred figures at the valuation date are partly estimated (Q3 buybacks) and should be refreshed from the Q3 2026 10-Q.</t>
  </si>
  <si>
    <t xml:space="preserve">Data sources</t>
  </si>
  <si>
    <t xml:space="preserve">price: Yahoo Finance chart API at inputs.price_as_of; 52-week range 22.70-32.47
financials: SEC XBRL companyfacts (CIK 0001281761): 10-K FY2015-FY2025 and 10-Q Q1/Q2 2026 tags InterestIncomeExpenseNet, NoninterestIncome, NoninterestExpense, ProvisionForLoanLeaseAndOtherLosses, IncomeTaxExpenseBenefit, NetIncomeLoss, PreferredStockLiquidationPreferenceValue, Goodwill, AllocatedShareBasedCompensationExpense, PaymentsForRepurchaseOfCommonStock; dei:EntityCommonStockSharesOutstanding (5 Aug 2026). RF_Metrics.csv for EPS, equity and share-count history.
qualitative: RF_Analysis.json (2026-10-02): FY2026 guidance, CET1, NIM, branch programme, risks.</t>
  </si>
  <si>
    <t xml:space="preserve">Scenario narrative: bear</t>
  </si>
  <si>
    <t xml:space="preserve">Fed cuts compress NIM on an asset-sensitive balance sheet while a CRE (office, multifamily) and consumer credit cycle in the Southeast takes provisions to ~11% of revenue in FY28. Revenue shrinks, regulators push for capital rebuild and AOCI recognition under the Basel III endgame re-proposal, and distributions are cut. Recovery leaves a slightly lower through-cycle margin and 2% terminal growth.</t>
  </si>
  <si>
    <t xml:space="preserve">Scenario narrative: base</t>
  </si>
  <si>
    <t xml:space="preserve">Regions grows revenue ~4% for two years as its fixed-rate asset book and hedges reprice and the Southeast footprint keeps adding loans and low-cost deposits, then tapers to nominal-GDP-like 2.5%. Efficiency drifts from ~57% to ~56%, credit normalises to a ~45bp mid-cycle loss rate, and roughly 80% of earnings are distributed through the dividend and buybacks while CET1 is held near 10%. Valued as FCFE at a 10% cost of equity with preferred deducted.</t>
  </si>
  <si>
    <t xml:space="preserve">Scenario narrative: bull</t>
  </si>
  <si>
    <t xml:space="preserve">Southeast in-migration and share gains from smaller banks lift loan growth to ~5%, a steeper curve pushes NIM toward the high 3s, and fee lines (wealth, capital markets, treasury management) compound at ~7%. Positive operating leverage takes the efficiency ratio to ~54% with benign credit, so pre-tax margins exceed 40% and buybacks keep shrinking the share count.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</si>
  <si>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</si>
  <si>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</si>
  <si>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</si>
  <si>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</si>
  <si>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</si>
  <si>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</si>
  <si>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</si>
  <si>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</si>
  <si>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</si>
  <si>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</si>
  <si>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</si>
  <si>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</si>
  <si>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</si>
  <si>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</si>
  <si>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</si>
  <si>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</si>
  <si>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</si>
  <si>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</si>
  <si>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</si>
  <si>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</si>
  <si>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</si>
  <si>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</si>
  <si>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</si>
  <si>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</si>
  <si>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</si>
  <si>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</si>
  <si>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</si>
  <si>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</si>
  <si>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</si>
  <si>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</si>
  <si>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</si>
  <si>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</si>
  <si>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</si>
  <si>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</si>
  <si>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</si>
  <si>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</si>
  <si>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</si>
  <si>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</si>
  <si>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</si>
  <si>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</si>
  <si>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</si>
  <si>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</si>
  <si>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</si>
  <si>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</si>
  <si>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</si>
  <si>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</si>
  <si>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</si>
  <si>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</si>
  <si>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</si>
  <si>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</si>
  <si>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</si>
  <si>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</si>
  <si>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</si>
  <si>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</si>
  <si>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</si>
  <si>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</si>
  <si>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</si>
  <si>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</si>
  <si>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</si>
  <si>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</si>
  <si>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</si>
  <si>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</si>
  <si>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</si>
  <si>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</si>
  <si>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</si>
  <si>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</si>
  <si>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</si>
  <si>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</si>
  <si>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</si>
  <si>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</si>
  <si>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</si>
  <si>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</si>
  <si>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</si>
  <si>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</si>
  <si>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</si>
  <si>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</si>
  <si>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</si>
  <si>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</si>
  <si>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</si>
  <si>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</si>
  <si>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</si>
  <si>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</si>
  <si>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</si>
  <si>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</si>
  <si>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</si>
  <si>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RF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</si>
  <si>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</si>
  <si>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</si>
  <si>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</si>
  <si>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</si>
  <si>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</si>
  <si>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</si>
  <si>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</si>
  <si>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</si>
  <si>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</si>
  <si>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</si>
  <si>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</si>
  <si>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</si>
  <si>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</si>
  <si>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</si>
  <si>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</si>
  <si>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</si>
  <si>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</si>
  <si>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</si>
  <si>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</si>
  <si>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</si>
  <si>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</si>
  <si>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</si>
  <si>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</si>
  <si>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</si>
  <si>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</si>
  <si>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</si>
  <si>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</si>
  <si>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</si>
  <si>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</si>
  <si>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</si>
  <si>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RF owner-FCF component DCF: base case (millions, USD)</t>
  </si>
  <si>
    <t xml:space="preserve">RF owner-FCF component DCF: bull case (millions, USD)</t>
  </si>
  <si>
    <t xml:space="preserve">RF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</si>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</sst>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26.96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20701</v>
      </c>
      <c r="S2" s="0" t="n">
        <v>4630</v>
      </c>
      <c r="AA2" s="0" t="s">
        <v>17</v>
      </c>
      <c r="AB2" s="0" t="s">
        <v>14</v>
      </c>
    </row>
    <row r="3" customFormat="false" ht="15" hidden="false" customHeight="false" outlineLevel="0" collapsed="false">
      <c r="A3" s="0" t="s">
        <v>64</v>
      </c>
      <c r="I3" s="0" t="n">
        <v>1251</v>
      </c>
      <c r="K3" s="0" t="n">
        <v>1.77</v>
      </c>
      <c r="L3" s="0" t="n">
        <v>3287</v>
      </c>
      <c r="O3" s="0" t="n">
        <v>19823</v>
      </c>
      <c r="S3" s="0" t="n">
        <v>4745</v>
      </c>
      <c r="T3" s="0" t="n">
        <v>713</v>
      </c>
      <c r="V3" s="0" t="n">
        <v>1.46</v>
      </c>
      <c r="AA3" s="0" t="s">
        <v>17</v>
      </c>
      <c r="AB3" s="0" t="s">
        <v>14</v>
      </c>
    </row>
    <row r="4" customFormat="false" ht="15" hidden="false" customHeight="false" outlineLevel="0" collapsed="false">
      <c r="A4" s="0" t="s">
        <v>65</v>
      </c>
      <c r="I4" s="0" t="n">
        <v>-5596</v>
      </c>
      <c r="K4" s="0" t="n">
        <v>-8.09</v>
      </c>
      <c r="L4" s="0" t="n">
        <v>2007</v>
      </c>
      <c r="O4" s="0" t="n">
        <v>16813</v>
      </c>
      <c r="P4" s="0" t="n">
        <v>146248</v>
      </c>
      <c r="Q4" s="0" t="n">
        <v>129435</v>
      </c>
      <c r="R4" s="0" t="n">
        <v>19231</v>
      </c>
      <c r="S4" s="0" t="n">
        <v>10973</v>
      </c>
      <c r="T4" s="0" t="n">
        <v>695</v>
      </c>
      <c r="V4" s="0" t="n">
        <v>0.96</v>
      </c>
      <c r="AA4" s="0" t="s">
        <v>17</v>
      </c>
      <c r="AB4" s="0" t="s">
        <v>14</v>
      </c>
    </row>
    <row r="5" customFormat="false" ht="15" hidden="false" customHeight="false" outlineLevel="0" collapsed="false">
      <c r="A5" s="0" t="s">
        <v>66</v>
      </c>
      <c r="I5" s="0" t="n">
        <v>-1031</v>
      </c>
      <c r="K5" s="0" t="n">
        <v>-1.27</v>
      </c>
      <c r="L5" s="0" t="n">
        <v>2037</v>
      </c>
      <c r="O5" s="0" t="n">
        <v>17881</v>
      </c>
      <c r="P5" s="0" t="n">
        <v>142318</v>
      </c>
      <c r="Q5" s="0" t="n">
        <v>124437</v>
      </c>
      <c r="R5" s="0" t="n">
        <v>18464</v>
      </c>
      <c r="S5" s="0" t="n">
        <v>8011</v>
      </c>
      <c r="T5" s="0" t="n">
        <v>989</v>
      </c>
      <c r="U5" s="0" t="n">
        <v>32</v>
      </c>
      <c r="V5" s="0" t="n">
        <v>0.13</v>
      </c>
      <c r="AA5" s="0" t="s">
        <v>17</v>
      </c>
      <c r="AB5" s="0" t="s">
        <v>14</v>
      </c>
    </row>
    <row r="6" customFormat="false" ht="15" hidden="false" customHeight="false" outlineLevel="0" collapsed="false">
      <c r="A6" s="0" t="s">
        <v>67</v>
      </c>
      <c r="I6" s="0" t="n">
        <v>-539</v>
      </c>
      <c r="K6" s="0" t="n">
        <v>-0.62</v>
      </c>
      <c r="L6" s="0" t="n">
        <v>4227</v>
      </c>
      <c r="O6" s="0" t="n">
        <v>16734</v>
      </c>
      <c r="P6" s="0" t="n">
        <v>132351</v>
      </c>
      <c r="Q6" s="0" t="n">
        <v>115617</v>
      </c>
      <c r="R6" s="0" t="n">
        <v>13190</v>
      </c>
      <c r="S6" s="0" t="n">
        <v>6919</v>
      </c>
      <c r="T6" s="0" t="n">
        <v>1227</v>
      </c>
      <c r="U6" s="0" t="n">
        <v>19</v>
      </c>
      <c r="V6" s="0" t="n">
        <v>0.04</v>
      </c>
      <c r="AA6" s="0" t="s">
        <v>17</v>
      </c>
      <c r="AB6" s="0" t="s">
        <v>14</v>
      </c>
    </row>
    <row r="7" customFormat="false" ht="15" hidden="false" customHeight="false" outlineLevel="0" collapsed="false">
      <c r="A7" s="0" t="s">
        <v>68</v>
      </c>
      <c r="I7" s="0" t="n">
        <v>-215</v>
      </c>
      <c r="K7" s="0" t="n">
        <v>-0.34</v>
      </c>
      <c r="L7" s="0" t="n">
        <v>4753</v>
      </c>
      <c r="O7" s="0" t="n">
        <v>16499</v>
      </c>
      <c r="P7" s="0" t="n">
        <v>127050</v>
      </c>
      <c r="Q7" s="0" t="n">
        <v>110551</v>
      </c>
      <c r="R7" s="0" t="n">
        <v>8110</v>
      </c>
      <c r="S7" s="0" t="n">
        <v>7245</v>
      </c>
      <c r="T7" s="0" t="n">
        <v>1258</v>
      </c>
      <c r="U7" s="0" t="n">
        <v>14</v>
      </c>
      <c r="V7" s="0" t="n">
        <v>0.04</v>
      </c>
      <c r="AA7" s="0" t="s">
        <v>17</v>
      </c>
      <c r="AB7" s="0" t="s">
        <v>14</v>
      </c>
    </row>
    <row r="8" customFormat="false" ht="15" hidden="false" customHeight="false" outlineLevel="0" collapsed="false">
      <c r="A8" s="0" t="s">
        <v>69</v>
      </c>
      <c r="I8" s="0" t="n">
        <v>1120</v>
      </c>
      <c r="K8" s="0" t="n">
        <v>0.72</v>
      </c>
      <c r="L8" s="0" t="n">
        <v>2441</v>
      </c>
      <c r="O8" s="0" t="n">
        <v>15422</v>
      </c>
      <c r="P8" s="0" t="n">
        <v>121347</v>
      </c>
      <c r="Q8" s="0" t="n">
        <v>105848</v>
      </c>
      <c r="R8" s="0" t="n">
        <v>5861</v>
      </c>
      <c r="S8" s="0" t="n">
        <v>5489</v>
      </c>
      <c r="T8" s="0" t="n">
        <v>1387</v>
      </c>
      <c r="U8" s="0" t="n">
        <v>21</v>
      </c>
      <c r="V8" s="0" t="n">
        <v>0.04</v>
      </c>
      <c r="AA8" s="0" t="s">
        <v>17</v>
      </c>
      <c r="AB8" s="0" t="s">
        <v>14</v>
      </c>
    </row>
    <row r="9" customFormat="false" ht="15" hidden="false" customHeight="false" outlineLevel="0" collapsed="false">
      <c r="A9" s="0" t="s">
        <v>70</v>
      </c>
      <c r="I9" s="0" t="n">
        <v>1091</v>
      </c>
      <c r="K9" s="0" t="n">
        <v>0.76</v>
      </c>
      <c r="L9" s="0" t="n">
        <v>3745</v>
      </c>
      <c r="O9" s="0" t="n">
        <v>15660</v>
      </c>
      <c r="P9" s="0" t="n">
        <v>117396</v>
      </c>
      <c r="Q9" s="0" t="n">
        <v>101628</v>
      </c>
      <c r="R9" s="0" t="n">
        <v>4830</v>
      </c>
      <c r="S9" s="0" t="n">
        <v>5273</v>
      </c>
      <c r="T9" s="0" t="n">
        <v>1410</v>
      </c>
      <c r="U9" s="0" t="n">
        <v>25</v>
      </c>
      <c r="V9" s="0" t="n">
        <v>0.1</v>
      </c>
      <c r="AA9" s="0" t="s">
        <v>17</v>
      </c>
      <c r="AB9" s="0" t="s">
        <v>14</v>
      </c>
    </row>
    <row r="10" customFormat="false" ht="15" hidden="false" customHeight="false" outlineLevel="0" collapsed="false">
      <c r="A10" s="0" t="s">
        <v>71</v>
      </c>
      <c r="I10" s="0" t="n">
        <v>1147</v>
      </c>
      <c r="K10" s="0" t="n">
        <v>0.8</v>
      </c>
      <c r="L10" s="0" t="n">
        <v>2107</v>
      </c>
      <c r="O10" s="0" t="n">
        <v>16873</v>
      </c>
      <c r="P10" s="0" t="n">
        <v>119563</v>
      </c>
      <c r="Q10" s="0" t="n">
        <v>102690</v>
      </c>
      <c r="R10" s="0" t="n">
        <v>3462</v>
      </c>
      <c r="S10" s="0" t="n">
        <v>4004</v>
      </c>
      <c r="T10" s="0" t="n">
        <v>1387</v>
      </c>
      <c r="U10" s="0" t="n">
        <v>30</v>
      </c>
      <c r="V10" s="0" t="n">
        <v>0.18</v>
      </c>
      <c r="AA10" s="0" t="s">
        <v>17</v>
      </c>
      <c r="AB10" s="0" t="s">
        <v>14</v>
      </c>
    </row>
    <row r="11" customFormat="false" ht="15" hidden="false" customHeight="false" outlineLevel="0" collapsed="false">
      <c r="A11" s="0" t="s">
        <v>72</v>
      </c>
      <c r="I11" s="0" t="n">
        <v>1062</v>
      </c>
      <c r="K11" s="0" t="n">
        <v>0.75</v>
      </c>
      <c r="L11" s="0" t="n">
        <v>1599</v>
      </c>
      <c r="O11" s="0" t="n">
        <v>16844</v>
      </c>
      <c r="P11" s="0" t="n">
        <v>126050</v>
      </c>
      <c r="Q11" s="0" t="n">
        <v>109206</v>
      </c>
      <c r="R11" s="0" t="n">
        <v>8349</v>
      </c>
      <c r="S11" s="0" t="n">
        <v>5314</v>
      </c>
      <c r="T11" s="0" t="n">
        <v>1334</v>
      </c>
      <c r="V11" s="0" t="n">
        <v>0.23</v>
      </c>
      <c r="AA11" s="0" t="s">
        <v>17</v>
      </c>
      <c r="AB11" s="0" t="s">
        <v>14</v>
      </c>
    </row>
    <row r="12" customFormat="false" ht="15" hidden="false" customHeight="false" outlineLevel="0" collapsed="false">
      <c r="A12" s="0" t="s">
        <v>73</v>
      </c>
      <c r="B12" s="0" t="n">
        <v>58</v>
      </c>
      <c r="I12" s="0" t="n">
        <v>1163</v>
      </c>
      <c r="J12" s="0" t="n">
        <v>2005.1724137931</v>
      </c>
      <c r="K12" s="0" t="n">
        <v>0.87</v>
      </c>
      <c r="L12" s="0" t="n">
        <v>2037</v>
      </c>
      <c r="O12" s="0" t="n">
        <v>16664</v>
      </c>
      <c r="P12" s="0" t="n">
        <v>125968</v>
      </c>
      <c r="Q12" s="0" t="n">
        <v>109304</v>
      </c>
      <c r="R12" s="0" t="n">
        <v>7763</v>
      </c>
      <c r="S12" s="0" t="n">
        <v>5451</v>
      </c>
      <c r="T12" s="0" t="n">
        <v>1261</v>
      </c>
      <c r="V12" s="0" t="n">
        <v>0.255</v>
      </c>
      <c r="AA12" s="0" t="s">
        <v>17</v>
      </c>
      <c r="AB12" s="0" t="s">
        <v>14</v>
      </c>
    </row>
    <row r="13" customFormat="false" ht="15" hidden="false" customHeight="false" outlineLevel="0" collapsed="false">
      <c r="A13" s="0" t="s">
        <v>74</v>
      </c>
      <c r="B13" s="0" t="n">
        <v>60</v>
      </c>
      <c r="I13" s="0" t="n">
        <v>1263</v>
      </c>
      <c r="J13" s="0" t="n">
        <v>2105</v>
      </c>
      <c r="K13" s="0" t="n">
        <v>1.01</v>
      </c>
      <c r="L13" s="0" t="n">
        <v>2297</v>
      </c>
      <c r="O13" s="0" t="n">
        <v>16192</v>
      </c>
      <c r="P13" s="0" t="n">
        <v>124294</v>
      </c>
      <c r="Q13" s="0" t="n">
        <v>108102</v>
      </c>
      <c r="R13" s="0" t="n">
        <v>8132</v>
      </c>
      <c r="S13" s="0" t="n">
        <v>3981</v>
      </c>
      <c r="T13" s="0" t="n">
        <v>1198</v>
      </c>
      <c r="V13" s="0" t="n">
        <v>0.315</v>
      </c>
      <c r="AA13" s="0" t="s">
        <v>17</v>
      </c>
      <c r="AB13" s="0" t="s">
        <v>14</v>
      </c>
    </row>
    <row r="14" customFormat="false" ht="15" hidden="false" customHeight="false" outlineLevel="0" collapsed="false">
      <c r="A14" s="0" t="s">
        <v>75</v>
      </c>
      <c r="B14" s="0" t="n">
        <v>71</v>
      </c>
      <c r="I14" s="0" t="n">
        <v>1759</v>
      </c>
      <c r="J14" s="0" t="n">
        <v>2477.46478873239</v>
      </c>
      <c r="K14" s="0" t="n">
        <v>1.55</v>
      </c>
      <c r="L14" s="0" t="n">
        <v>2275</v>
      </c>
      <c r="O14" s="0" t="n">
        <v>15090</v>
      </c>
      <c r="P14" s="0" t="n">
        <v>125688</v>
      </c>
      <c r="Q14" s="0" t="n">
        <v>110598</v>
      </c>
      <c r="R14" s="0" t="n">
        <v>12424</v>
      </c>
      <c r="S14" s="0" t="n">
        <v>3538</v>
      </c>
      <c r="T14" s="0" t="n">
        <v>1102</v>
      </c>
      <c r="V14" s="0" t="n">
        <v>0.46</v>
      </c>
      <c r="AA14" s="0" t="s">
        <v>17</v>
      </c>
      <c r="AB14" s="0" t="s">
        <v>14</v>
      </c>
    </row>
    <row r="15" customFormat="false" ht="15" hidden="false" customHeight="false" outlineLevel="0" collapsed="false">
      <c r="A15" s="0" t="s">
        <v>76</v>
      </c>
      <c r="B15" s="0" t="n">
        <v>79</v>
      </c>
      <c r="I15" s="0" t="n">
        <v>1582</v>
      </c>
      <c r="J15" s="0" t="n">
        <v>2002.53164556962</v>
      </c>
      <c r="K15" s="0" t="n">
        <v>1.51</v>
      </c>
      <c r="L15" s="0" t="n">
        <v>2581</v>
      </c>
      <c r="O15" s="0" t="n">
        <v>16295</v>
      </c>
      <c r="P15" s="0" t="n">
        <v>126240</v>
      </c>
      <c r="Q15" s="0" t="n">
        <v>109945</v>
      </c>
      <c r="R15" s="0" t="n">
        <v>7879</v>
      </c>
      <c r="S15" s="0" t="n">
        <v>4114</v>
      </c>
      <c r="T15" s="0" t="n">
        <v>999</v>
      </c>
      <c r="V15" s="0" t="n">
        <v>0.59</v>
      </c>
      <c r="AA15" s="0" t="s">
        <v>17</v>
      </c>
      <c r="AB15" s="0" t="s">
        <v>14</v>
      </c>
    </row>
    <row r="16" customFormat="false" ht="15" hidden="false" customHeight="false" outlineLevel="0" collapsed="false">
      <c r="A16" s="0" t="s">
        <v>77</v>
      </c>
      <c r="B16" s="0" t="n">
        <v>84</v>
      </c>
      <c r="I16" s="0" t="n">
        <v>1094</v>
      </c>
      <c r="J16" s="0" t="n">
        <v>1302.38095238095</v>
      </c>
      <c r="K16" s="0" t="n">
        <v>1.03</v>
      </c>
      <c r="L16" s="0" t="n">
        <v>2324</v>
      </c>
      <c r="O16" s="0" t="n">
        <v>18111</v>
      </c>
      <c r="P16" s="0" t="n">
        <v>147389</v>
      </c>
      <c r="Q16" s="0" t="n">
        <v>129278</v>
      </c>
      <c r="R16" s="0" t="n">
        <v>3569</v>
      </c>
      <c r="S16" s="0" t="n">
        <v>17956</v>
      </c>
      <c r="T16" s="0" t="n">
        <v>962</v>
      </c>
      <c r="V16" s="0" t="n">
        <v>0.62</v>
      </c>
      <c r="AA16" s="0" t="s">
        <v>17</v>
      </c>
      <c r="AB16" s="0" t="s">
        <v>14</v>
      </c>
    </row>
    <row r="17" customFormat="false" ht="15" hidden="false" customHeight="false" outlineLevel="0" collapsed="false">
      <c r="A17" s="0" t="s">
        <v>78</v>
      </c>
      <c r="B17" s="0" t="n">
        <v>104</v>
      </c>
      <c r="F17" s="0" t="n">
        <v>46</v>
      </c>
      <c r="G17" s="0" t="n">
        <v>44.2307692307692</v>
      </c>
      <c r="I17" s="0" t="n">
        <v>2521</v>
      </c>
      <c r="J17" s="0" t="n">
        <v>2424.03846153846</v>
      </c>
      <c r="K17" s="0" t="n">
        <v>2.51</v>
      </c>
      <c r="L17" s="0" t="n">
        <v>3030</v>
      </c>
      <c r="O17" s="0" t="n">
        <v>18326</v>
      </c>
      <c r="P17" s="0" t="n">
        <v>162938</v>
      </c>
      <c r="Q17" s="0" t="n">
        <v>144612</v>
      </c>
      <c r="R17" s="0" t="n">
        <v>2407</v>
      </c>
      <c r="T17" s="0" t="n">
        <v>963</v>
      </c>
      <c r="V17" s="0" t="n">
        <v>0.65</v>
      </c>
      <c r="AA17" s="0" t="s">
        <v>17</v>
      </c>
      <c r="AB17" s="0" t="s">
        <v>14</v>
      </c>
    </row>
    <row r="18" customFormat="false" ht="15" hidden="false" customHeight="false" outlineLevel="0" collapsed="false">
      <c r="A18" s="0" t="s">
        <v>79</v>
      </c>
      <c r="F18" s="0" t="n">
        <v>56</v>
      </c>
      <c r="I18" s="0" t="n">
        <v>2245</v>
      </c>
      <c r="K18" s="0" t="n">
        <v>2.29</v>
      </c>
      <c r="L18" s="0" t="n">
        <v>3102</v>
      </c>
      <c r="O18" s="0" t="n">
        <v>15951</v>
      </c>
      <c r="P18" s="0" t="n">
        <v>155220</v>
      </c>
      <c r="Q18" s="0" t="n">
        <v>139269</v>
      </c>
      <c r="R18" s="0" t="n">
        <v>2284</v>
      </c>
      <c r="T18" s="0" t="n">
        <v>942</v>
      </c>
      <c r="V18" s="0" t="n">
        <v>0.74</v>
      </c>
      <c r="AA18" s="0" t="s">
        <v>17</v>
      </c>
      <c r="AB18" s="0" t="s">
        <v>14</v>
      </c>
    </row>
    <row r="19" customFormat="false" ht="15" hidden="false" customHeight="false" outlineLevel="0" collapsed="false">
      <c r="A19" s="0" t="s">
        <v>80</v>
      </c>
      <c r="F19" s="0" t="n">
        <v>212</v>
      </c>
      <c r="I19" s="0" t="n">
        <v>2074</v>
      </c>
      <c r="K19" s="0" t="n">
        <v>2.11</v>
      </c>
      <c r="L19" s="0" t="n">
        <v>2308</v>
      </c>
      <c r="O19" s="0" t="n">
        <v>17493</v>
      </c>
      <c r="P19" s="0" t="n">
        <v>152194</v>
      </c>
      <c r="Q19" s="0" t="n">
        <v>134701</v>
      </c>
      <c r="R19" s="0" t="n">
        <v>2330</v>
      </c>
      <c r="T19" s="0" t="n">
        <v>938</v>
      </c>
      <c r="U19" s="0" t="n">
        <v>61</v>
      </c>
      <c r="V19" s="0" t="n">
        <v>0.88</v>
      </c>
      <c r="AA19" s="0" t="s">
        <v>17</v>
      </c>
      <c r="AB19" s="0" t="s">
        <v>14</v>
      </c>
    </row>
    <row r="20" customFormat="false" ht="15" hidden="false" customHeight="false" outlineLevel="0" collapsed="false">
      <c r="A20" s="0" t="s">
        <v>81</v>
      </c>
      <c r="F20" s="0" t="n">
        <v>95</v>
      </c>
      <c r="I20" s="0" t="n">
        <v>1893</v>
      </c>
      <c r="K20" s="0" t="n">
        <v>1.94</v>
      </c>
      <c r="L20" s="0" t="n">
        <v>1598</v>
      </c>
      <c r="O20" s="0" t="n">
        <v>17910</v>
      </c>
      <c r="P20" s="0" t="n">
        <v>157302</v>
      </c>
      <c r="Q20" s="0" t="n">
        <v>139392</v>
      </c>
      <c r="R20" s="0" t="n">
        <v>5993</v>
      </c>
      <c r="T20" s="0" t="n">
        <v>918</v>
      </c>
      <c r="U20" s="0" t="n">
        <v>73</v>
      </c>
      <c r="V20" s="0" t="n">
        <v>0.98</v>
      </c>
      <c r="AA20" s="0" t="s">
        <v>17</v>
      </c>
      <c r="AB20" s="0" t="s">
        <v>14</v>
      </c>
    </row>
    <row r="21" customFormat="false" ht="15" hidden="false" customHeight="false" outlineLevel="0" collapsed="false">
      <c r="A21" s="0" t="s">
        <v>82</v>
      </c>
      <c r="F21" s="0" t="n">
        <v>53</v>
      </c>
      <c r="I21" s="0" t="n">
        <v>2156</v>
      </c>
      <c r="K21" s="0" t="n">
        <v>2.31</v>
      </c>
      <c r="L21" s="0" t="n">
        <v>2181</v>
      </c>
      <c r="O21" s="0" t="n">
        <v>19103</v>
      </c>
      <c r="P21" s="0" t="n">
        <v>158814</v>
      </c>
      <c r="Q21" s="0" t="n">
        <v>139711</v>
      </c>
      <c r="R21" s="0" t="n">
        <v>4134</v>
      </c>
      <c r="T21" s="0" t="n">
        <v>896</v>
      </c>
      <c r="U21" s="0" t="n">
        <v>69</v>
      </c>
      <c r="V21" s="0" t="n">
        <v>1.03</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26.96</v>
      </c>
    </row>
    <row r="3" customFormat="false" ht="15" hidden="false" customHeight="false" outlineLevel="0" collapsed="false">
      <c r="A3" s="0" t="s">
        <v>86</v>
      </c>
      <c r="B3" s="3" t="n">
        <v>854</v>
      </c>
    </row>
    <row r="4" customFormat="false" ht="15" hidden="false" customHeight="false" outlineLevel="0" collapsed="false">
      <c r="A4" s="0" t="s">
        <v>87</v>
      </c>
      <c r="B4" s="3" t="n">
        <v>0</v>
      </c>
    </row>
    <row r="5" customFormat="false" ht="15" hidden="false" customHeight="false" outlineLevel="0" collapsed="false">
      <c r="A5" s="0" t="s">
        <v>88</v>
      </c>
      <c r="B5" s="3" t="n">
        <v>-1400</v>
      </c>
    </row>
    <row r="6" customFormat="false" ht="15" hidden="false" customHeight="false" outlineLevel="0" collapsed="false">
      <c r="A6" s="0" t="s">
        <v>89</v>
      </c>
      <c r="B6" s="3" t="n">
        <v>15</v>
      </c>
    </row>
    <row r="7" customFormat="false" ht="15" hidden="false" customHeight="false" outlineLevel="0" collapsed="false">
      <c r="A7" s="0" t="s">
        <v>90</v>
      </c>
      <c r="B7" s="3" t="n">
        <v>7650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1</v>
      </c>
      <c r="D13" s="3" t="n">
        <v>-1</v>
      </c>
      <c r="E13" s="3" t="n">
        <v>2</v>
      </c>
      <c r="F13" s="3" t="n">
        <v>3</v>
      </c>
      <c r="G13" s="3" t="n">
        <v>3</v>
      </c>
      <c r="H13" s="3" t="n">
        <v>2.5</v>
      </c>
      <c r="I13" s="3" t="n">
        <v>2.5</v>
      </c>
      <c r="J13" s="3" t="n">
        <v>2</v>
      </c>
      <c r="K13" s="3" t="n">
        <v>2</v>
      </c>
      <c r="L13" s="3" t="n">
        <v>2</v>
      </c>
    </row>
    <row r="14" customFormat="false" ht="15" hidden="false" customHeight="false" outlineLevel="0" collapsed="false">
      <c r="A14" s="0" t="s">
        <v>108</v>
      </c>
      <c r="C14" s="3" t="n">
        <v>35</v>
      </c>
      <c r="D14" s="3" t="n">
        <v>30</v>
      </c>
      <c r="E14" s="3" t="n">
        <v>34</v>
      </c>
      <c r="F14" s="3" t="n">
        <v>36</v>
      </c>
      <c r="G14" s="3" t="n">
        <v>36.5</v>
      </c>
      <c r="H14" s="3" t="n">
        <v>36.5</v>
      </c>
      <c r="I14" s="3" t="n">
        <v>36.5</v>
      </c>
      <c r="J14" s="3" t="n">
        <v>36.5</v>
      </c>
      <c r="K14" s="3" t="n">
        <v>36.5</v>
      </c>
      <c r="L14" s="3" t="n">
        <v>36.5</v>
      </c>
    </row>
    <row r="15" customFormat="false" ht="15" hidden="false" customHeight="false" outlineLevel="0" collapsed="false">
      <c r="A15" s="0" t="s">
        <v>109</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3.5</v>
      </c>
      <c r="D18" s="3" t="n">
        <v>3</v>
      </c>
      <c r="E18" s="3" t="n">
        <v>3.3</v>
      </c>
      <c r="F18" s="3" t="n">
        <v>5</v>
      </c>
      <c r="G18" s="3" t="n">
        <v>5</v>
      </c>
      <c r="H18" s="3" t="n">
        <v>4.2</v>
      </c>
      <c r="I18" s="3" t="n">
        <v>4.2</v>
      </c>
      <c r="J18" s="3" t="n">
        <v>3.3</v>
      </c>
      <c r="K18" s="3" t="n">
        <v>3.3</v>
      </c>
      <c r="L18" s="3" t="n">
        <v>3.3</v>
      </c>
    </row>
    <row r="19" customFormat="false" ht="15" hidden="false" customHeight="false" outlineLevel="0" collapsed="false">
      <c r="A19" s="0" t="s">
        <v>113</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114</v>
      </c>
      <c r="B20" s="3" t="n">
        <v>10</v>
      </c>
    </row>
    <row r="21" customFormat="false" ht="15" hidden="false" customHeight="false" outlineLevel="0" collapsed="false">
      <c r="A21" s="0" t="s">
        <v>115</v>
      </c>
      <c r="B21" s="3" t="n">
        <v>2</v>
      </c>
    </row>
    <row r="22" customFormat="false" ht="15" hidden="false" customHeight="false" outlineLevel="0" collapsed="false">
      <c r="A22" s="0" t="s">
        <v>116</v>
      </c>
      <c r="B22" s="3" t="n">
        <v>12</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4</v>
      </c>
      <c r="D27" s="3" t="n">
        <v>4</v>
      </c>
      <c r="E27" s="3" t="n">
        <v>3.5</v>
      </c>
      <c r="F27" s="3" t="n">
        <v>3.5</v>
      </c>
      <c r="G27" s="3" t="n">
        <v>3</v>
      </c>
      <c r="H27" s="3" t="n">
        <v>3</v>
      </c>
      <c r="I27" s="3" t="n">
        <v>3</v>
      </c>
      <c r="J27" s="3" t="n">
        <v>2.5</v>
      </c>
      <c r="K27" s="3" t="n">
        <v>2.5</v>
      </c>
      <c r="L27" s="3" t="n">
        <v>2.5</v>
      </c>
    </row>
    <row r="28" customFormat="false" ht="15" hidden="false" customHeight="false" outlineLevel="0" collapsed="false">
      <c r="A28" s="0" t="s">
        <v>108</v>
      </c>
      <c r="C28" s="3" t="n">
        <v>38.1</v>
      </c>
      <c r="D28" s="3" t="n">
        <v>38.3</v>
      </c>
      <c r="E28" s="3" t="n">
        <v>38.5</v>
      </c>
      <c r="F28" s="3" t="n">
        <v>38.7</v>
      </c>
      <c r="G28" s="3" t="n">
        <v>38.9</v>
      </c>
      <c r="H28" s="3" t="n">
        <v>38.9</v>
      </c>
      <c r="I28" s="3" t="n">
        <v>38.9</v>
      </c>
      <c r="J28" s="3" t="n">
        <v>38.9</v>
      </c>
      <c r="K28" s="3" t="n">
        <v>38.9</v>
      </c>
      <c r="L28" s="3" t="n">
        <v>38.9</v>
      </c>
    </row>
    <row r="29" customFormat="false" ht="15" hidden="false" customHeight="false" outlineLevel="0" collapsed="false">
      <c r="A29" s="0" t="s">
        <v>109</v>
      </c>
      <c r="C29" s="3" t="n">
        <v>0.9</v>
      </c>
      <c r="D29" s="3" t="n">
        <v>0.9</v>
      </c>
      <c r="E29" s="3" t="n">
        <v>0.9</v>
      </c>
      <c r="F29" s="3" t="n">
        <v>0.9</v>
      </c>
      <c r="G29" s="3" t="n">
        <v>0.9</v>
      </c>
      <c r="H29" s="3" t="n">
        <v>0.9</v>
      </c>
      <c r="I29" s="3" t="n">
        <v>0.9</v>
      </c>
      <c r="J29" s="3" t="n">
        <v>0.9</v>
      </c>
      <c r="K29" s="3" t="n">
        <v>0.9</v>
      </c>
      <c r="L29" s="3" t="n">
        <v>0.9</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6.6</v>
      </c>
      <c r="D32" s="3" t="n">
        <v>6.6</v>
      </c>
      <c r="E32" s="3" t="n">
        <v>5.8</v>
      </c>
      <c r="F32" s="3" t="n">
        <v>5.8</v>
      </c>
      <c r="G32" s="3" t="n">
        <v>5</v>
      </c>
      <c r="H32" s="3" t="n">
        <v>5</v>
      </c>
      <c r="I32" s="3" t="n">
        <v>5</v>
      </c>
      <c r="J32" s="3" t="n">
        <v>4.2</v>
      </c>
      <c r="K32" s="3" t="n">
        <v>4.2</v>
      </c>
      <c r="L32" s="3" t="n">
        <v>4.2</v>
      </c>
    </row>
    <row r="33" customFormat="false" ht="15" hidden="false" customHeight="false" outlineLevel="0" collapsed="false">
      <c r="A33" s="0" t="s">
        <v>113</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114</v>
      </c>
      <c r="B34" s="3" t="n">
        <v>10</v>
      </c>
    </row>
    <row r="35" customFormat="false" ht="15" hidden="false" customHeight="false" outlineLevel="0" collapsed="false">
      <c r="A35" s="0" t="s">
        <v>115</v>
      </c>
      <c r="B35" s="3" t="n">
        <v>2.5</v>
      </c>
    </row>
    <row r="36" customFormat="false" ht="15" hidden="false" customHeight="false" outlineLevel="0" collapsed="false">
      <c r="A36" s="0" t="s">
        <v>116</v>
      </c>
      <c r="B36" s="3" t="n">
        <v>14</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5.5</v>
      </c>
      <c r="D41" s="3" t="n">
        <v>5</v>
      </c>
      <c r="E41" s="3" t="n">
        <v>4.5</v>
      </c>
      <c r="F41" s="3" t="n">
        <v>4</v>
      </c>
      <c r="G41" s="3" t="n">
        <v>3.5</v>
      </c>
      <c r="H41" s="3" t="n">
        <v>3.5</v>
      </c>
      <c r="I41" s="3" t="n">
        <v>3</v>
      </c>
      <c r="J41" s="3" t="n">
        <v>3</v>
      </c>
      <c r="K41" s="3" t="n">
        <v>3</v>
      </c>
      <c r="L41" s="3" t="n">
        <v>3</v>
      </c>
    </row>
    <row r="42" customFormat="false" ht="15" hidden="false" customHeight="false" outlineLevel="0" collapsed="false">
      <c r="A42" s="0" t="s">
        <v>108</v>
      </c>
      <c r="C42" s="3" t="n">
        <v>39</v>
      </c>
      <c r="D42" s="3" t="n">
        <v>39.8</v>
      </c>
      <c r="E42" s="3" t="n">
        <v>40.5</v>
      </c>
      <c r="F42" s="3" t="n">
        <v>41</v>
      </c>
      <c r="G42" s="3" t="n">
        <v>41.4</v>
      </c>
      <c r="H42" s="3" t="n">
        <v>41.4</v>
      </c>
      <c r="I42" s="3" t="n">
        <v>41.4</v>
      </c>
      <c r="J42" s="3" t="n">
        <v>41.4</v>
      </c>
      <c r="K42" s="3" t="n">
        <v>41.4</v>
      </c>
      <c r="L42" s="3" t="n">
        <v>41.4</v>
      </c>
    </row>
    <row r="43" customFormat="false" ht="15" hidden="false" customHeight="false" outlineLevel="0" collapsed="false">
      <c r="A43" s="0" t="s">
        <v>109</v>
      </c>
      <c r="C43" s="3" t="n">
        <v>0.9</v>
      </c>
      <c r="D43" s="3" t="n">
        <v>0.9</v>
      </c>
      <c r="E43" s="3" t="n">
        <v>0.9</v>
      </c>
      <c r="F43" s="3" t="n">
        <v>0.9</v>
      </c>
      <c r="G43" s="3" t="n">
        <v>0.9</v>
      </c>
      <c r="H43" s="3" t="n">
        <v>0.9</v>
      </c>
      <c r="I43" s="3" t="n">
        <v>0.9</v>
      </c>
      <c r="J43" s="3" t="n">
        <v>0.9</v>
      </c>
      <c r="K43" s="3" t="n">
        <v>0.9</v>
      </c>
      <c r="L43" s="3" t="n">
        <v>0.9</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9.1</v>
      </c>
      <c r="D46" s="3" t="n">
        <v>8.3</v>
      </c>
      <c r="E46" s="3" t="n">
        <v>7.5</v>
      </c>
      <c r="F46" s="3" t="n">
        <v>6.6</v>
      </c>
      <c r="G46" s="3" t="n">
        <v>5.8</v>
      </c>
      <c r="H46" s="3" t="n">
        <v>5.8</v>
      </c>
      <c r="I46" s="3" t="n">
        <v>5</v>
      </c>
      <c r="J46" s="3" t="n">
        <v>5</v>
      </c>
      <c r="K46" s="3" t="n">
        <v>5</v>
      </c>
      <c r="L46" s="3" t="n">
        <v>5</v>
      </c>
    </row>
    <row r="47" customFormat="false" ht="15" hidden="false" customHeight="false" outlineLevel="0" collapsed="false">
      <c r="A47" s="0" t="s">
        <v>113</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114</v>
      </c>
      <c r="B48" s="3" t="n">
        <v>10</v>
      </c>
    </row>
    <row r="49" customFormat="false" ht="15" hidden="false" customHeight="false" outlineLevel="0" collapsed="false">
      <c r="A49" s="0" t="s">
        <v>115</v>
      </c>
      <c r="B49" s="3" t="n">
        <v>3</v>
      </c>
    </row>
    <row r="50" customFormat="false" ht="15" hidden="false" customHeight="false" outlineLevel="0" collapsed="false">
      <c r="A50" s="0" t="s">
        <v>116</v>
      </c>
      <c r="B50" s="3" t="n">
        <v>15</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1</v>
      </c>
      <c r="D5" s="4" t="n">
        <f aca="false">Assumptions!D13</f>
        <v>-1</v>
      </c>
      <c r="E5" s="4" t="n">
        <f aca="false">Assumptions!E13</f>
        <v>2</v>
      </c>
      <c r="F5" s="4" t="n">
        <f aca="false">Assumptions!F13</f>
        <v>3</v>
      </c>
      <c r="G5" s="4" t="n">
        <f aca="false">Assumptions!G13</f>
        <v>3</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37</v>
      </c>
      <c r="B6" s="3" t="n">
        <v>7650</v>
      </c>
      <c r="C6" s="0" t="n">
        <f aca="false">B6*(1+C5/100)</f>
        <v>7726.5</v>
      </c>
      <c r="D6" s="0" t="n">
        <f aca="false">C6*(1+D5/100)</f>
        <v>7649.235</v>
      </c>
      <c r="E6" s="0" t="n">
        <f aca="false">D6*(1+E5/100)</f>
        <v>7802.2197</v>
      </c>
      <c r="F6" s="0" t="n">
        <f aca="false">E6*(1+F5/100)</f>
        <v>8036.286291</v>
      </c>
      <c r="G6" s="0" t="n">
        <f aca="false">F6*(1+G5/100)</f>
        <v>8277.37487973</v>
      </c>
      <c r="H6" s="0" t="n">
        <f aca="false">G6*(1+H5/100)</f>
        <v>8484.30925172325</v>
      </c>
      <c r="I6" s="0" t="n">
        <f aca="false">H6*(1+I5/100)</f>
        <v>8696.41698301633</v>
      </c>
      <c r="J6" s="0" t="n">
        <f aca="false">I6*(1+J5/100)</f>
        <v>8870.34532267666</v>
      </c>
      <c r="K6" s="0" t="n">
        <f aca="false">J6*(1+K5/100)</f>
        <v>9047.75222913019</v>
      </c>
      <c r="L6" s="0" t="n">
        <f aca="false">K6*(1+L5/100)</f>
        <v>9228.70727371279</v>
      </c>
    </row>
    <row r="7" customFormat="false" ht="15" hidden="false" customHeight="false" outlineLevel="0" collapsed="false">
      <c r="A7" s="0" t="s">
        <v>108</v>
      </c>
      <c r="C7" s="4" t="n">
        <f aca="false">Assumptions!C14</f>
        <v>35</v>
      </c>
      <c r="D7" s="4" t="n">
        <f aca="false">Assumptions!D14</f>
        <v>30</v>
      </c>
      <c r="E7" s="4" t="n">
        <f aca="false">Assumptions!E14</f>
        <v>34</v>
      </c>
      <c r="F7" s="4" t="n">
        <f aca="false">Assumptions!F14</f>
        <v>36</v>
      </c>
      <c r="G7" s="4" t="n">
        <f aca="false">Assumptions!G14</f>
        <v>36.5</v>
      </c>
      <c r="H7" s="4" t="n">
        <f aca="false">Assumptions!H14</f>
        <v>36.5</v>
      </c>
      <c r="I7" s="4" t="n">
        <f aca="false">Assumptions!I14</f>
        <v>36.5</v>
      </c>
      <c r="J7" s="4" t="n">
        <f aca="false">Assumptions!J14</f>
        <v>36.5</v>
      </c>
      <c r="K7" s="4" t="n">
        <f aca="false">Assumptions!K14</f>
        <v>36.5</v>
      </c>
      <c r="L7" s="4" t="n">
        <f aca="false">Assumptions!L14</f>
        <v>36.5</v>
      </c>
    </row>
    <row r="8" customFormat="false" ht="15" hidden="false" customHeight="false" outlineLevel="0" collapsed="false">
      <c r="A8" s="0" t="s">
        <v>43</v>
      </c>
      <c r="C8" s="0" t="n">
        <f aca="false">C6*C7/100</f>
        <v>2704.275</v>
      </c>
      <c r="D8" s="0" t="n">
        <f aca="false">D6*D7/100</f>
        <v>2294.7705</v>
      </c>
      <c r="E8" s="0" t="n">
        <f aca="false">E6*E7/100</f>
        <v>2652.754698</v>
      </c>
      <c r="F8" s="0" t="n">
        <f aca="false">F6*F7/100</f>
        <v>2893.06306476</v>
      </c>
      <c r="G8" s="0" t="n">
        <f aca="false">G6*G7/100</f>
        <v>3021.24183110145</v>
      </c>
      <c r="H8" s="0" t="n">
        <f aca="false">H6*H7/100</f>
        <v>3096.77287687899</v>
      </c>
      <c r="I8" s="0" t="n">
        <f aca="false">I6*I7/100</f>
        <v>3174.19219880096</v>
      </c>
      <c r="J8" s="0" t="n">
        <f aca="false">J6*J7/100</f>
        <v>3237.67604277698</v>
      </c>
      <c r="K8" s="0" t="n">
        <f aca="false">K6*K7/100</f>
        <v>3302.42956363252</v>
      </c>
      <c r="L8" s="0" t="n">
        <f aca="false">L6*L7/100</f>
        <v>3368.47815490517</v>
      </c>
    </row>
    <row r="9" customFormat="false" ht="15" hidden="false" customHeight="false" outlineLevel="0" collapsed="false">
      <c r="A9" s="0" t="s">
        <v>109</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124</v>
      </c>
      <c r="C10" s="0" t="n">
        <f aca="false">-C6*C9/100</f>
        <v>-69.5385</v>
      </c>
      <c r="D10" s="0" t="n">
        <f aca="false">-D6*D9/100</f>
        <v>-68.843115</v>
      </c>
      <c r="E10" s="0" t="n">
        <f aca="false">-E6*E9/100</f>
        <v>-70.2199773</v>
      </c>
      <c r="F10" s="0" t="n">
        <f aca="false">-F6*F9/100</f>
        <v>-72.326576619</v>
      </c>
      <c r="G10" s="0" t="n">
        <f aca="false">-G6*G9/100</f>
        <v>-74.49637391757</v>
      </c>
      <c r="H10" s="0" t="n">
        <f aca="false">-H6*H9/100</f>
        <v>-76.3587832655093</v>
      </c>
      <c r="I10" s="0" t="n">
        <f aca="false">-I6*I9/100</f>
        <v>-78.267752847147</v>
      </c>
      <c r="J10" s="0" t="n">
        <f aca="false">-J6*J9/100</f>
        <v>-79.8331079040899</v>
      </c>
      <c r="K10" s="0" t="n">
        <f aca="false">-K6*K9/100</f>
        <v>-81.4297700621717</v>
      </c>
      <c r="L10" s="0" t="n">
        <f aca="false">-L6*L9/100</f>
        <v>-83.0583654634151</v>
      </c>
    </row>
    <row r="11" customFormat="false" ht="15" hidden="false" customHeight="false" outlineLevel="0" collapsed="false">
      <c r="A11" s="0" t="s">
        <v>125</v>
      </c>
      <c r="C11" s="0" t="n">
        <f aca="false">C8+C10+C24</f>
        <v>2634.7365</v>
      </c>
      <c r="D11" s="0" t="n">
        <f aca="false">D8+D10+D24</f>
        <v>2225.927385</v>
      </c>
      <c r="E11" s="0" t="n">
        <f aca="false">E8+E10+E24</f>
        <v>2582.5347207</v>
      </c>
      <c r="F11" s="0" t="n">
        <f aca="false">F8+F10+F24</f>
        <v>2820.736488141</v>
      </c>
      <c r="G11" s="0" t="n">
        <f aca="false">G8+G10+G24</f>
        <v>2946.74545718388</v>
      </c>
      <c r="H11" s="0" t="n">
        <f aca="false">H8+H10+H24</f>
        <v>3020.41409361348</v>
      </c>
      <c r="I11" s="0" t="n">
        <f aca="false">I8+I10+I24</f>
        <v>3095.92444595381</v>
      </c>
      <c r="J11" s="0" t="n">
        <f aca="false">J8+J10+J24</f>
        <v>3157.84293487289</v>
      </c>
      <c r="K11" s="0" t="n">
        <f aca="false">K8+K10+K24</f>
        <v>3220.99979357035</v>
      </c>
      <c r="L11" s="0" t="n">
        <f aca="false">L8+L10+L24</f>
        <v>3285.41978944175</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2634.7365</v>
      </c>
      <c r="D13" s="0" t="n">
        <f aca="false">D11+D12</f>
        <v>2225.927385</v>
      </c>
      <c r="E13" s="0" t="n">
        <f aca="false">E11+E12</f>
        <v>2582.5347207</v>
      </c>
      <c r="F13" s="0" t="n">
        <f aca="false">F11+F12</f>
        <v>2820.736488141</v>
      </c>
      <c r="G13" s="0" t="n">
        <f aca="false">G11+G12</f>
        <v>2946.74545718388</v>
      </c>
      <c r="H13" s="0" t="n">
        <f aca="false">H11+H12</f>
        <v>3020.41409361348</v>
      </c>
      <c r="I13" s="0" t="n">
        <f aca="false">I11+I12</f>
        <v>3095.92444595381</v>
      </c>
      <c r="J13" s="0" t="n">
        <f aca="false">J11+J12</f>
        <v>3157.84293487289</v>
      </c>
      <c r="K13" s="0" t="n">
        <f aca="false">K11+K12</f>
        <v>3220.99979357035</v>
      </c>
      <c r="L13" s="0" t="n">
        <f aca="false">L11+L12</f>
        <v>3285.41978944175</v>
      </c>
    </row>
    <row r="14" customFormat="false" ht="15" hidden="false" customHeight="false" outlineLevel="0" collapsed="false">
      <c r="A14" s="0" t="s">
        <v>113</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128</v>
      </c>
      <c r="C15" s="0" t="n">
        <f aca="false">C13-MAX(0,C13)*C14/100</f>
        <v>2081.441835</v>
      </c>
      <c r="D15" s="0" t="n">
        <f aca="false">D13-MAX(0,D13)*D14/100</f>
        <v>1758.48263415</v>
      </c>
      <c r="E15" s="0" t="n">
        <f aca="false">E13-MAX(0,E13)*E14/100</f>
        <v>2040.202429353</v>
      </c>
      <c r="F15" s="0" t="n">
        <f aca="false">F13-MAX(0,F13)*F14/100</f>
        <v>2228.38182563139</v>
      </c>
      <c r="G15" s="0" t="n">
        <f aca="false">G13-MAX(0,G13)*G14/100</f>
        <v>2327.92891117527</v>
      </c>
      <c r="H15" s="0" t="n">
        <f aca="false">H13-MAX(0,H13)*H14/100</f>
        <v>2386.12713395465</v>
      </c>
      <c r="I15" s="0" t="n">
        <f aca="false">I13-MAX(0,I13)*I14/100</f>
        <v>2445.78031230351</v>
      </c>
      <c r="J15" s="0" t="n">
        <f aca="false">J13-MAX(0,J13)*J14/100</f>
        <v>2494.69591854958</v>
      </c>
      <c r="K15" s="0" t="n">
        <f aca="false">K13-MAX(0,K13)*K14/100</f>
        <v>2544.58983692057</v>
      </c>
      <c r="L15" s="0" t="n">
        <f aca="false">L13-MAX(0,L13)*L14/100</f>
        <v>2595.48163365899</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-270.4275</v>
      </c>
      <c r="D17" s="4" t="n">
        <f aca="false">-D6*Assumptions!D18/100</f>
        <v>-229.47705</v>
      </c>
      <c r="E17" s="4" t="n">
        <f aca="false">-E6*Assumptions!E18/100</f>
        <v>-257.4732501</v>
      </c>
      <c r="F17" s="4" t="n">
        <f aca="false">-F6*Assumptions!F18/100</f>
        <v>-401.81431455</v>
      </c>
      <c r="G17" s="4" t="n">
        <f aca="false">-G6*Assumptions!G18/100</f>
        <v>-413.8687439865</v>
      </c>
      <c r="H17" s="4" t="n">
        <f aca="false">-H6*Assumptions!H18/100</f>
        <v>-356.340988572376</v>
      </c>
      <c r="I17" s="4" t="n">
        <f aca="false">-I6*Assumptions!I18/100</f>
        <v>-365.249513286686</v>
      </c>
      <c r="J17" s="4" t="n">
        <f aca="false">-J6*Assumptions!J18/100</f>
        <v>-292.72139564833</v>
      </c>
      <c r="K17" s="4" t="n">
        <f aca="false">-K6*Assumptions!K18/100</f>
        <v>-298.575823561296</v>
      </c>
      <c r="L17" s="4" t="n">
        <f aca="false">-L6*Assumptions!L18/100</f>
        <v>-304.547340032522</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1811.014335</v>
      </c>
      <c r="D19" s="0" t="n">
        <f aca="false">D15+D16+D17+D18</f>
        <v>1529.00558415</v>
      </c>
      <c r="E19" s="0" t="n">
        <f aca="false">E15+E16+E17+E18</f>
        <v>1782.729179253</v>
      </c>
      <c r="F19" s="0" t="n">
        <f aca="false">F15+F16+F17+F18</f>
        <v>1826.56751108139</v>
      </c>
      <c r="G19" s="0" t="n">
        <f aca="false">G15+G16+G17+G18</f>
        <v>1914.06016718877</v>
      </c>
      <c r="H19" s="0" t="n">
        <f aca="false">H15+H16+H17+H18</f>
        <v>2029.78614538227</v>
      </c>
      <c r="I19" s="0" t="n">
        <f aca="false">I15+I16+I17+I18</f>
        <v>2080.53079901683</v>
      </c>
      <c r="J19" s="0" t="n">
        <f aca="false">J15+J16+J17+J18</f>
        <v>2201.97452290125</v>
      </c>
      <c r="K19" s="0" t="n">
        <f aca="false">K15+K16+K17+K18</f>
        <v>2246.01401335928</v>
      </c>
      <c r="L19" s="0" t="n">
        <f aca="false">L15+L16+L17+L18</f>
        <v>2290.93429362646</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1646.37666818182</v>
      </c>
      <c r="D21" s="0" t="n">
        <f aca="false">D19*D20</f>
        <v>1263.64097863636</v>
      </c>
      <c r="E21" s="0" t="n">
        <f aca="false">E19*E20</f>
        <v>1339.3908183719</v>
      </c>
      <c r="F21" s="0" t="n">
        <f aca="false">F19*F20</f>
        <v>1247.57018720128</v>
      </c>
      <c r="G21" s="0" t="n">
        <f aca="false">G19*G20</f>
        <v>1188.48077142568</v>
      </c>
      <c r="H21" s="0" t="n">
        <f aca="false">H19*H20</f>
        <v>1145.76136265264</v>
      </c>
      <c r="I21" s="0" t="n">
        <f aca="false">I19*I20</f>
        <v>1067.6412697445</v>
      </c>
      <c r="J21" s="0" t="n">
        <f aca="false">J19*J20</f>
        <v>1027.23736596724</v>
      </c>
      <c r="K21" s="0" t="n">
        <f aca="false">K19*K20</f>
        <v>952.529193896896</v>
      </c>
      <c r="L21" s="0" t="n">
        <f aca="false">L19*L20</f>
        <v>883.254343431667</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12</v>
      </c>
    </row>
    <row r="30" customFormat="false" ht="15" hidden="false" customHeight="false" outlineLevel="0" collapsed="false">
      <c r="A30" s="0" t="s">
        <v>137</v>
      </c>
      <c r="B30" s="0" t="n">
        <f aca="false">SUM(C21:L21)</f>
        <v>11761.88295951</v>
      </c>
    </row>
    <row r="31" customFormat="false" ht="15" hidden="false" customHeight="false" outlineLevel="0" collapsed="false">
      <c r="A31" s="0" t="s">
        <v>138</v>
      </c>
      <c r="B31" s="0" t="n">
        <f aca="false">L19</f>
        <v>2290.93429362646</v>
      </c>
    </row>
    <row r="32" customFormat="false" ht="15" hidden="false" customHeight="false" outlineLevel="0" collapsed="false">
      <c r="A32" s="0" t="s">
        <v>139</v>
      </c>
      <c r="B32" s="0" t="n">
        <f aca="false">IF(B27&gt;B28,B31*(1+B28/100)/((B27-B28)/100),B31*B29)</f>
        <v>29209.4122437374</v>
      </c>
    </row>
    <row r="33" customFormat="false" ht="15" hidden="false" customHeight="false" outlineLevel="0" collapsed="false">
      <c r="A33" s="0" t="s">
        <v>140</v>
      </c>
      <c r="B33" s="0" t="n">
        <f aca="false">B31*B29</f>
        <v>27491.2115235176</v>
      </c>
    </row>
    <row r="34" customFormat="false" ht="15" hidden="false" customHeight="false" outlineLevel="0" collapsed="false">
      <c r="A34" s="0" t="s">
        <v>141</v>
      </c>
      <c r="B34" s="0" t="n">
        <f aca="false">MAX(0,MIN(B32,B33))</f>
        <v>27491.2115235176</v>
      </c>
    </row>
    <row r="35" customFormat="false" ht="15" hidden="false" customHeight="false" outlineLevel="0" collapsed="false">
      <c r="A35" s="0" t="s">
        <v>142</v>
      </c>
      <c r="B35" s="0" t="n">
        <f aca="false">B34/(1+B27/100)^L4</f>
        <v>10599.05212118</v>
      </c>
    </row>
    <row r="36" customFormat="false" ht="15" hidden="false" customHeight="false" outlineLevel="0" collapsed="false">
      <c r="A36" s="0" t="s">
        <v>143</v>
      </c>
      <c r="B36" s="0" t="n">
        <f aca="false">B30+B35</f>
        <v>22360.93508069</v>
      </c>
    </row>
    <row r="37" customFormat="false" ht="15" hidden="false" customHeight="false" outlineLevel="0" collapsed="false">
      <c r="A37" s="0" t="s">
        <v>144</v>
      </c>
      <c r="B37" s="0" t="n">
        <f aca="false">B36+Assumptions!$B$5-Assumptions!$B$4</f>
        <v>20960.93508069</v>
      </c>
    </row>
    <row r="38" customFormat="false" ht="15" hidden="false" customHeight="false" outlineLevel="0" collapsed="false">
      <c r="A38" s="0" t="s">
        <v>145</v>
      </c>
      <c r="B38" s="0" t="n">
        <f aca="false">B37/Assumptions!$B$3*Assumptions!$B$10</f>
        <v>24.544420469192</v>
      </c>
    </row>
    <row r="39" customFormat="false" ht="15" hidden="false" customHeight="false" outlineLevel="0" collapsed="false">
      <c r="A39" s="0" t="s">
        <v>146</v>
      </c>
      <c r="B39" s="4" t="n">
        <f aca="false">B38/Assumptions!$B$2-1</f>
        <v>-0.0895986472851629</v>
      </c>
    </row>
    <row r="41" customFormat="false" ht="15" hidden="false" customHeight="false" outlineLevel="0" collapsed="false">
      <c r="A41" s="0" t="s">
        <v>147</v>
      </c>
      <c r="B41" s="0" t="n">
        <f aca="false">SUMPRODUCT(-C10:L10/(1+$B$27/100)^C4:L4)</f>
        <v>455.591451136118</v>
      </c>
    </row>
    <row r="42" customFormat="false" ht="15" hidden="false" customHeight="false" outlineLevel="0" collapsed="false">
      <c r="A42" s="0" t="s">
        <v>148</v>
      </c>
      <c r="B42" s="0" t="n">
        <f aca="false">IF(B27&gt;B28,-L10*(1+B28/100)/((B27-B28)/100),-L10*20)/(1+B27/100)^L4</f>
        <v>408.288091801417</v>
      </c>
    </row>
    <row r="43" customFormat="false" ht="15" hidden="false" customHeight="false" outlineLevel="0" collapsed="false">
      <c r="A43" s="0" t="s">
        <v>149</v>
      </c>
      <c r="B43" s="0" t="n">
        <f aca="false">(B37+B41+B42)/Assumptions!$B$3*Assumptions!$B$10</f>
        <v>25.5559890206411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17975.022919223</v>
      </c>
    </row>
    <row r="47" customFormat="false" ht="15" hidden="false" customHeight="false" outlineLevel="0" collapsed="false">
      <c r="A47" s="0" t="s">
        <v>151</v>
      </c>
      <c r="B47" s="0" t="n">
        <f aca="false">(SUMPRODUCT(C19:L19/(1+B45/100)^C4:L4)+B46/(1+B45/100)^L4+Assumptions!$B$5-Assumptions!$B$4)/Assumptions!$B$3*Assumptions!$B$10</f>
        <v>14.6680222432211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7650</v>
      </c>
      <c r="C6" s="0" t="n">
        <f aca="false">B6*(1+C5/100)</f>
        <v>7956</v>
      </c>
      <c r="D6" s="0" t="n">
        <f aca="false">C6*(1+D5/100)</f>
        <v>8274.24</v>
      </c>
      <c r="E6" s="0" t="n">
        <f aca="false">D6*(1+E5/100)</f>
        <v>8563.8384</v>
      </c>
      <c r="F6" s="0" t="n">
        <f aca="false">E6*(1+F5/100)</f>
        <v>8863.572744</v>
      </c>
      <c r="G6" s="0" t="n">
        <f aca="false">F6*(1+G5/100)</f>
        <v>9129.47992632</v>
      </c>
      <c r="H6" s="0" t="n">
        <f aca="false">G6*(1+H5/100)</f>
        <v>9403.3643241096</v>
      </c>
      <c r="I6" s="0" t="n">
        <f aca="false">H6*(1+I5/100)</f>
        <v>9685.46525383289</v>
      </c>
      <c r="J6" s="0" t="n">
        <f aca="false">I6*(1+J5/100)</f>
        <v>9927.60188517871</v>
      </c>
      <c r="K6" s="0" t="n">
        <f aca="false">J6*(1+K5/100)</f>
        <v>10175.7919323082</v>
      </c>
      <c r="L6" s="0" t="n">
        <f aca="false">K6*(1+L5/100)</f>
        <v>10430.1867306159</v>
      </c>
    </row>
    <row r="7" customFormat="false" ht="15" hidden="false" customHeight="false" outlineLevel="0" collapsed="false">
      <c r="A7" s="0" t="s">
        <v>108</v>
      </c>
      <c r="C7" s="4" t="n">
        <f aca="false">Assumptions!C28</f>
        <v>38.1</v>
      </c>
      <c r="D7" s="4" t="n">
        <f aca="false">Assumptions!D28</f>
        <v>38.3</v>
      </c>
      <c r="E7" s="4" t="n">
        <f aca="false">Assumptions!E28</f>
        <v>38.5</v>
      </c>
      <c r="F7" s="4" t="n">
        <f aca="false">Assumptions!F28</f>
        <v>38.7</v>
      </c>
      <c r="G7" s="4" t="n">
        <f aca="false">Assumptions!G28</f>
        <v>38.9</v>
      </c>
      <c r="H7" s="4" t="n">
        <f aca="false">Assumptions!H28</f>
        <v>38.9</v>
      </c>
      <c r="I7" s="4" t="n">
        <f aca="false">Assumptions!I28</f>
        <v>38.9</v>
      </c>
      <c r="J7" s="4" t="n">
        <f aca="false">Assumptions!J28</f>
        <v>38.9</v>
      </c>
      <c r="K7" s="4" t="n">
        <f aca="false">Assumptions!K28</f>
        <v>38.9</v>
      </c>
      <c r="L7" s="4" t="n">
        <f aca="false">Assumptions!L28</f>
        <v>38.9</v>
      </c>
    </row>
    <row r="8" customFormat="false" ht="15" hidden="false" customHeight="false" outlineLevel="0" collapsed="false">
      <c r="A8" s="0" t="s">
        <v>43</v>
      </c>
      <c r="C8" s="0" t="n">
        <f aca="false">C6*C7/100</f>
        <v>3031.236</v>
      </c>
      <c r="D8" s="0" t="n">
        <f aca="false">D6*D7/100</f>
        <v>3169.03392</v>
      </c>
      <c r="E8" s="0" t="n">
        <f aca="false">E6*E7/100</f>
        <v>3297.077784</v>
      </c>
      <c r="F8" s="0" t="n">
        <f aca="false">F6*F7/100</f>
        <v>3430.202651928</v>
      </c>
      <c r="G8" s="0" t="n">
        <f aca="false">G6*G7/100</f>
        <v>3551.36769133848</v>
      </c>
      <c r="H8" s="0" t="n">
        <f aca="false">H6*H7/100</f>
        <v>3657.90872207863</v>
      </c>
      <c r="I8" s="0" t="n">
        <f aca="false">I6*I7/100</f>
        <v>3767.64598374099</v>
      </c>
      <c r="J8" s="0" t="n">
        <f aca="false">J6*J7/100</f>
        <v>3861.83713333452</v>
      </c>
      <c r="K8" s="0" t="n">
        <f aca="false">K6*K7/100</f>
        <v>3958.38306166788</v>
      </c>
      <c r="L8" s="0" t="n">
        <f aca="false">L6*L7/100</f>
        <v>4057.34263820958</v>
      </c>
    </row>
    <row r="9" customFormat="false" ht="15" hidden="false" customHeight="false" outlineLevel="0" collapsed="false">
      <c r="A9" s="0" t="s">
        <v>109</v>
      </c>
      <c r="C9" s="4" t="n">
        <f aca="false">Assumptions!C29</f>
        <v>0.9</v>
      </c>
      <c r="D9" s="4" t="n">
        <f aca="false">Assumptions!D29</f>
        <v>0.9</v>
      </c>
      <c r="E9" s="4" t="n">
        <f aca="false">Assumptions!E29</f>
        <v>0.9</v>
      </c>
      <c r="F9" s="4" t="n">
        <f aca="false">Assumptions!F29</f>
        <v>0.9</v>
      </c>
      <c r="G9" s="4" t="n">
        <f aca="false">Assumptions!G29</f>
        <v>0.9</v>
      </c>
      <c r="H9" s="4" t="n">
        <f aca="false">Assumptions!H29</f>
        <v>0.9</v>
      </c>
      <c r="I9" s="4" t="n">
        <f aca="false">Assumptions!I29</f>
        <v>0.9</v>
      </c>
      <c r="J9" s="4" t="n">
        <f aca="false">Assumptions!J29</f>
        <v>0.9</v>
      </c>
      <c r="K9" s="4" t="n">
        <f aca="false">Assumptions!K29</f>
        <v>0.9</v>
      </c>
      <c r="L9" s="4" t="n">
        <f aca="false">Assumptions!L29</f>
        <v>0.9</v>
      </c>
    </row>
    <row r="10" customFormat="false" ht="15" hidden="false" customHeight="false" outlineLevel="0" collapsed="false">
      <c r="A10" s="0" t="s">
        <v>124</v>
      </c>
      <c r="C10" s="0" t="n">
        <f aca="false">-C6*C9/100</f>
        <v>-71.604</v>
      </c>
      <c r="D10" s="0" t="n">
        <f aca="false">-D6*D9/100</f>
        <v>-74.46816</v>
      </c>
      <c r="E10" s="0" t="n">
        <f aca="false">-E6*E9/100</f>
        <v>-77.0745456</v>
      </c>
      <c r="F10" s="0" t="n">
        <f aca="false">-F6*F9/100</f>
        <v>-79.772154696</v>
      </c>
      <c r="G10" s="0" t="n">
        <f aca="false">-G6*G9/100</f>
        <v>-82.16531933688</v>
      </c>
      <c r="H10" s="0" t="n">
        <f aca="false">-H6*H9/100</f>
        <v>-84.6302789169864</v>
      </c>
      <c r="I10" s="0" t="n">
        <f aca="false">-I6*I9/100</f>
        <v>-87.169187284496</v>
      </c>
      <c r="J10" s="0" t="n">
        <f aca="false">-J6*J9/100</f>
        <v>-89.3484169666084</v>
      </c>
      <c r="K10" s="0" t="n">
        <f aca="false">-K6*K9/100</f>
        <v>-91.5821273907736</v>
      </c>
      <c r="L10" s="0" t="n">
        <f aca="false">-L6*L9/100</f>
        <v>-93.8716805755429</v>
      </c>
    </row>
    <row r="11" customFormat="false" ht="15" hidden="false" customHeight="false" outlineLevel="0" collapsed="false">
      <c r="A11" s="0" t="s">
        <v>125</v>
      </c>
      <c r="C11" s="0" t="n">
        <f aca="false">C8+C10+C24</f>
        <v>2959.632</v>
      </c>
      <c r="D11" s="0" t="n">
        <f aca="false">D8+D10+D24</f>
        <v>3094.56576</v>
      </c>
      <c r="E11" s="0" t="n">
        <f aca="false">E8+E10+E24</f>
        <v>3220.0032384</v>
      </c>
      <c r="F11" s="0" t="n">
        <f aca="false">F8+F10+F24</f>
        <v>3350.430497232</v>
      </c>
      <c r="G11" s="0" t="n">
        <f aca="false">G8+G10+G24</f>
        <v>3469.2023720016</v>
      </c>
      <c r="H11" s="0" t="n">
        <f aca="false">H8+H10+H24</f>
        <v>3573.27844316165</v>
      </c>
      <c r="I11" s="0" t="n">
        <f aca="false">I8+I10+I24</f>
        <v>3680.4767964565</v>
      </c>
      <c r="J11" s="0" t="n">
        <f aca="false">J8+J10+J24</f>
        <v>3772.48871636791</v>
      </c>
      <c r="K11" s="0" t="n">
        <f aca="false">K8+K10+K24</f>
        <v>3866.80093427711</v>
      </c>
      <c r="L11" s="0" t="n">
        <f aca="false">L8+L10+L24</f>
        <v>3963.47095763403</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2959.632</v>
      </c>
      <c r="D13" s="0" t="n">
        <f aca="false">D11+D12</f>
        <v>3094.56576</v>
      </c>
      <c r="E13" s="0" t="n">
        <f aca="false">E11+E12</f>
        <v>3220.0032384</v>
      </c>
      <c r="F13" s="0" t="n">
        <f aca="false">F11+F12</f>
        <v>3350.430497232</v>
      </c>
      <c r="G13" s="0" t="n">
        <f aca="false">G11+G12</f>
        <v>3469.2023720016</v>
      </c>
      <c r="H13" s="0" t="n">
        <f aca="false">H11+H12</f>
        <v>3573.27844316165</v>
      </c>
      <c r="I13" s="0" t="n">
        <f aca="false">I11+I12</f>
        <v>3680.4767964565</v>
      </c>
      <c r="J13" s="0" t="n">
        <f aca="false">J11+J12</f>
        <v>3772.48871636791</v>
      </c>
      <c r="K13" s="0" t="n">
        <f aca="false">K11+K12</f>
        <v>3866.80093427711</v>
      </c>
      <c r="L13" s="0" t="n">
        <f aca="false">L11+L12</f>
        <v>3963.47095763403</v>
      </c>
    </row>
    <row r="14" customFormat="false" ht="15" hidden="false" customHeight="false" outlineLevel="0" collapsed="false">
      <c r="A14" s="0" t="s">
        <v>113</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128</v>
      </c>
      <c r="C15" s="0" t="n">
        <f aca="false">C13-MAX(0,C13)*C14/100</f>
        <v>2338.10928</v>
      </c>
      <c r="D15" s="0" t="n">
        <f aca="false">D13-MAX(0,D13)*D14/100</f>
        <v>2444.7069504</v>
      </c>
      <c r="E15" s="0" t="n">
        <f aca="false">E13-MAX(0,E13)*E14/100</f>
        <v>2543.802558336</v>
      </c>
      <c r="F15" s="0" t="n">
        <f aca="false">F13-MAX(0,F13)*F14/100</f>
        <v>2646.84009281328</v>
      </c>
      <c r="G15" s="0" t="n">
        <f aca="false">G13-MAX(0,G13)*G14/100</f>
        <v>2740.66987388126</v>
      </c>
      <c r="H15" s="0" t="n">
        <f aca="false">H13-MAX(0,H13)*H14/100</f>
        <v>2822.8899700977</v>
      </c>
      <c r="I15" s="0" t="n">
        <f aca="false">I13-MAX(0,I13)*I14/100</f>
        <v>2907.57666920063</v>
      </c>
      <c r="J15" s="0" t="n">
        <f aca="false">J13-MAX(0,J13)*J14/100</f>
        <v>2980.26608593065</v>
      </c>
      <c r="K15" s="0" t="n">
        <f aca="false">K13-MAX(0,K13)*K14/100</f>
        <v>3054.77273807891</v>
      </c>
      <c r="L15" s="0" t="n">
        <f aca="false">L13-MAX(0,L13)*L14/100</f>
        <v>3131.14205653089</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-525.096</v>
      </c>
      <c r="D17" s="4" t="n">
        <f aca="false">-D6*Assumptions!D32/100</f>
        <v>-546.09984</v>
      </c>
      <c r="E17" s="4" t="n">
        <f aca="false">-E6*Assumptions!E32/100</f>
        <v>-496.7026272</v>
      </c>
      <c r="F17" s="4" t="n">
        <f aca="false">-F6*Assumptions!F32/100</f>
        <v>-514.087219152</v>
      </c>
      <c r="G17" s="4" t="n">
        <f aca="false">-G6*Assumptions!G32/100</f>
        <v>-456.473996316</v>
      </c>
      <c r="H17" s="4" t="n">
        <f aca="false">-H6*Assumptions!H32/100</f>
        <v>-470.16821620548</v>
      </c>
      <c r="I17" s="4" t="n">
        <f aca="false">-I6*Assumptions!I32/100</f>
        <v>-484.273262691644</v>
      </c>
      <c r="J17" s="4" t="n">
        <f aca="false">-J6*Assumptions!J32/100</f>
        <v>-416.959279177506</v>
      </c>
      <c r="K17" s="4" t="n">
        <f aca="false">-K6*Assumptions!K32/100</f>
        <v>-427.383261156943</v>
      </c>
      <c r="L17" s="4" t="n">
        <f aca="false">-L6*Assumptions!L32/100</f>
        <v>-438.067842685867</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1813.01328</v>
      </c>
      <c r="D19" s="0" t="n">
        <f aca="false">D15+D16+D17+D18</f>
        <v>1898.6071104</v>
      </c>
      <c r="E19" s="0" t="n">
        <f aca="false">E15+E16+E17+E18</f>
        <v>2047.099931136</v>
      </c>
      <c r="F19" s="0" t="n">
        <f aca="false">F15+F16+F17+F18</f>
        <v>2132.75287366128</v>
      </c>
      <c r="G19" s="0" t="n">
        <f aca="false">G15+G16+G17+G18</f>
        <v>2284.19587756526</v>
      </c>
      <c r="H19" s="0" t="n">
        <f aca="false">H15+H16+H17+H18</f>
        <v>2352.72175389222</v>
      </c>
      <c r="I19" s="0" t="n">
        <f aca="false">I15+I16+I17+I18</f>
        <v>2423.30340650899</v>
      </c>
      <c r="J19" s="0" t="n">
        <f aca="false">J15+J16+J17+J18</f>
        <v>2563.30680675314</v>
      </c>
      <c r="K19" s="0" t="n">
        <f aca="false">K15+K16+K17+K18</f>
        <v>2627.38947692197</v>
      </c>
      <c r="L19" s="0" t="n">
        <f aca="false">L15+L16+L17+L18</f>
        <v>2693.07421384502</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1648.19389090909</v>
      </c>
      <c r="D21" s="0" t="n">
        <f aca="false">D19*D20</f>
        <v>1569.09678545455</v>
      </c>
      <c r="E21" s="0" t="n">
        <f aca="false">E19*E20</f>
        <v>1538.01647718708</v>
      </c>
      <c r="F21" s="0" t="n">
        <f aca="false">F19*F20</f>
        <v>1456.69890967917</v>
      </c>
      <c r="G21" s="0" t="n">
        <f aca="false">G19*G20</f>
        <v>1418.30592642409</v>
      </c>
      <c r="H21" s="0" t="n">
        <f aca="false">H19*H20</f>
        <v>1328.05009474256</v>
      </c>
      <c r="I21" s="0" t="n">
        <f aca="false">I19*I20</f>
        <v>1243.53781598621</v>
      </c>
      <c r="J21" s="0" t="n">
        <f aca="false">J19*J20</f>
        <v>1195.80154309218</v>
      </c>
      <c r="K21" s="0" t="n">
        <f aca="false">K19*K20</f>
        <v>1114.26961969954</v>
      </c>
      <c r="L21" s="0" t="n">
        <f aca="false">L19*L20</f>
        <v>1038.29669108366</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14</v>
      </c>
    </row>
    <row r="30" customFormat="false" ht="15" hidden="false" customHeight="false" outlineLevel="0" collapsed="false">
      <c r="A30" s="0" t="s">
        <v>137</v>
      </c>
      <c r="B30" s="0" t="n">
        <f aca="false">SUM(C21:L21)</f>
        <v>13550.2677542581</v>
      </c>
    </row>
    <row r="31" customFormat="false" ht="15" hidden="false" customHeight="false" outlineLevel="0" collapsed="false">
      <c r="A31" s="0" t="s">
        <v>138</v>
      </c>
      <c r="B31" s="0" t="n">
        <f aca="false">L19</f>
        <v>2693.07421384502</v>
      </c>
    </row>
    <row r="32" customFormat="false" ht="15" hidden="false" customHeight="false" outlineLevel="0" collapsed="false">
      <c r="A32" s="0" t="s">
        <v>139</v>
      </c>
      <c r="B32" s="0" t="n">
        <f aca="false">IF(B27&gt;B28,B31*(1+B28/100)/((B27-B28)/100),B31*B29)</f>
        <v>36805.3475892153</v>
      </c>
    </row>
    <row r="33" customFormat="false" ht="15" hidden="false" customHeight="false" outlineLevel="0" collapsed="false">
      <c r="A33" s="0" t="s">
        <v>140</v>
      </c>
      <c r="B33" s="0" t="n">
        <f aca="false">B31*B29</f>
        <v>37703.0389938303</v>
      </c>
    </row>
    <row r="34" customFormat="false" ht="15" hidden="false" customHeight="false" outlineLevel="0" collapsed="false">
      <c r="A34" s="0" t="s">
        <v>141</v>
      </c>
      <c r="B34" s="0" t="n">
        <f aca="false">MAX(0,MIN(B32,B33))</f>
        <v>36805.3475892153</v>
      </c>
    </row>
    <row r="35" customFormat="false" ht="15" hidden="false" customHeight="false" outlineLevel="0" collapsed="false">
      <c r="A35" s="0" t="s">
        <v>142</v>
      </c>
      <c r="B35" s="0" t="n">
        <f aca="false">B34/(1+B27/100)^L4</f>
        <v>14190.0547781433</v>
      </c>
    </row>
    <row r="36" customFormat="false" ht="15" hidden="false" customHeight="false" outlineLevel="0" collapsed="false">
      <c r="A36" s="0" t="s">
        <v>143</v>
      </c>
      <c r="B36" s="0" t="n">
        <f aca="false">B30+B35</f>
        <v>27740.3225324015</v>
      </c>
    </row>
    <row r="37" customFormat="false" ht="15" hidden="false" customHeight="false" outlineLevel="0" collapsed="false">
      <c r="A37" s="0" t="s">
        <v>144</v>
      </c>
      <c r="B37" s="0" t="n">
        <f aca="false">B36+Assumptions!$B$5-Assumptions!$B$4</f>
        <v>26340.3225324015</v>
      </c>
    </row>
    <row r="38" customFormat="false" ht="15" hidden="false" customHeight="false" outlineLevel="0" collapsed="false">
      <c r="A38" s="0" t="s">
        <v>145</v>
      </c>
      <c r="B38" s="0" t="n">
        <f aca="false">B37/Assumptions!$B$3*Assumptions!$B$10</f>
        <v>30.8434690074958</v>
      </c>
    </row>
    <row r="39" customFormat="false" ht="15" hidden="false" customHeight="false" outlineLevel="0" collapsed="false">
      <c r="A39" s="0" t="s">
        <v>146</v>
      </c>
      <c r="B39" s="4" t="n">
        <f aca="false">B38/Assumptions!$B$2-1</f>
        <v>0.144045586331448</v>
      </c>
    </row>
    <row r="41" customFormat="false" ht="15" hidden="false" customHeight="false" outlineLevel="0" collapsed="false">
      <c r="A41" s="0" t="s">
        <v>147</v>
      </c>
      <c r="B41" s="0" t="n">
        <f aca="false">SUMPRODUCT(-C10:L10/(1+$B$27/100)^C4:L4)</f>
        <v>499.265596840647</v>
      </c>
    </row>
    <row r="42" customFormat="false" ht="15" hidden="false" customHeight="false" outlineLevel="0" collapsed="false">
      <c r="A42" s="0" t="s">
        <v>148</v>
      </c>
      <c r="B42" s="0" t="n">
        <f aca="false">IF(B27&gt;B28,-L10*(1+B28/100)/((B27-B28)/100),-L10*20)/(1+B27/100)^L4</f>
        <v>494.618485682765</v>
      </c>
    </row>
    <row r="43" customFormat="false" ht="15" hidden="false" customHeight="false" outlineLevel="0" collapsed="false">
      <c r="A43" s="0" t="s">
        <v>149</v>
      </c>
      <c r="B43" s="0" t="n">
        <f aca="false">(B37+B41+B42)/Assumptions!$B$3*Assumptions!$B$10</f>
        <v>32.0072676989753</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22083.2085535292</v>
      </c>
    </row>
    <row r="47" customFormat="false" ht="15" hidden="false" customHeight="false" outlineLevel="0" collapsed="false">
      <c r="A47" s="0" t="s">
        <v>151</v>
      </c>
      <c r="B47" s="0" t="n">
        <f aca="false">(SUMPRODUCT(C19:L19/(1+B45/100)^C4:L4)+B46/(1+B45/100)^L4+Assumptions!$B$5-Assumptions!$B$4)/Assumptions!$B$3*Assumptions!$B$10</f>
        <v>17.5064446452077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5.5</v>
      </c>
      <c r="D5" s="4" t="n">
        <f aca="false">Assumptions!D41</f>
        <v>5</v>
      </c>
      <c r="E5" s="4" t="n">
        <f aca="false">Assumptions!E41</f>
        <v>4.5</v>
      </c>
      <c r="F5" s="4" t="n">
        <f aca="false">Assumptions!F41</f>
        <v>4</v>
      </c>
      <c r="G5" s="4" t="n">
        <f aca="false">Assumptions!G41</f>
        <v>3.5</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7650</v>
      </c>
      <c r="C6" s="0" t="n">
        <f aca="false">B6*(1+C5/100)</f>
        <v>8070.75</v>
      </c>
      <c r="D6" s="0" t="n">
        <f aca="false">C6*(1+D5/100)</f>
        <v>8474.2875</v>
      </c>
      <c r="E6" s="0" t="n">
        <f aca="false">D6*(1+E5/100)</f>
        <v>8855.6304375</v>
      </c>
      <c r="F6" s="0" t="n">
        <f aca="false">E6*(1+F5/100)</f>
        <v>9209.855655</v>
      </c>
      <c r="G6" s="0" t="n">
        <f aca="false">F6*(1+G5/100)</f>
        <v>9532.200602925</v>
      </c>
      <c r="H6" s="0" t="n">
        <f aca="false">G6*(1+H5/100)</f>
        <v>9865.82762402737</v>
      </c>
      <c r="I6" s="0" t="n">
        <f aca="false">H6*(1+I5/100)</f>
        <v>10161.8024527482</v>
      </c>
      <c r="J6" s="0" t="n">
        <f aca="false">I6*(1+J5/100)</f>
        <v>10466.6565263306</v>
      </c>
      <c r="K6" s="0" t="n">
        <f aca="false">J6*(1+K5/100)</f>
        <v>10780.6562221206</v>
      </c>
      <c r="L6" s="0" t="n">
        <f aca="false">K6*(1+L5/100)</f>
        <v>11104.0759087842</v>
      </c>
    </row>
    <row r="7" customFormat="false" ht="15" hidden="false" customHeight="false" outlineLevel="0" collapsed="false">
      <c r="A7" s="0" t="s">
        <v>108</v>
      </c>
      <c r="C7" s="4" t="n">
        <f aca="false">Assumptions!C42</f>
        <v>39</v>
      </c>
      <c r="D7" s="4" t="n">
        <f aca="false">Assumptions!D42</f>
        <v>39.8</v>
      </c>
      <c r="E7" s="4" t="n">
        <f aca="false">Assumptions!E42</f>
        <v>40.5</v>
      </c>
      <c r="F7" s="4" t="n">
        <f aca="false">Assumptions!F42</f>
        <v>41</v>
      </c>
      <c r="G7" s="4" t="n">
        <f aca="false">Assumptions!G42</f>
        <v>41.4</v>
      </c>
      <c r="H7" s="4" t="n">
        <f aca="false">Assumptions!H42</f>
        <v>41.4</v>
      </c>
      <c r="I7" s="4" t="n">
        <f aca="false">Assumptions!I42</f>
        <v>41.4</v>
      </c>
      <c r="J7" s="4" t="n">
        <f aca="false">Assumptions!J42</f>
        <v>41.4</v>
      </c>
      <c r="K7" s="4" t="n">
        <f aca="false">Assumptions!K42</f>
        <v>41.4</v>
      </c>
      <c r="L7" s="4" t="n">
        <f aca="false">Assumptions!L42</f>
        <v>41.4</v>
      </c>
    </row>
    <row r="8" customFormat="false" ht="15" hidden="false" customHeight="false" outlineLevel="0" collapsed="false">
      <c r="A8" s="0" t="s">
        <v>43</v>
      </c>
      <c r="C8" s="0" t="n">
        <f aca="false">C6*C7/100</f>
        <v>3147.5925</v>
      </c>
      <c r="D8" s="0" t="n">
        <f aca="false">D6*D7/100</f>
        <v>3372.766425</v>
      </c>
      <c r="E8" s="0" t="n">
        <f aca="false">E6*E7/100</f>
        <v>3586.5303271875</v>
      </c>
      <c r="F8" s="0" t="n">
        <f aca="false">F6*F7/100</f>
        <v>3776.04081855</v>
      </c>
      <c r="G8" s="0" t="n">
        <f aca="false">G6*G7/100</f>
        <v>3946.33104961095</v>
      </c>
      <c r="H8" s="0" t="n">
        <f aca="false">H6*H7/100</f>
        <v>4084.45263634733</v>
      </c>
      <c r="I8" s="0" t="n">
        <f aca="false">I6*I7/100</f>
        <v>4206.98621543775</v>
      </c>
      <c r="J8" s="0" t="n">
        <f aca="false">J6*J7/100</f>
        <v>4333.19580190089</v>
      </c>
      <c r="K8" s="0" t="n">
        <f aca="false">K6*K7/100</f>
        <v>4463.19167595791</v>
      </c>
      <c r="L8" s="0" t="n">
        <f aca="false">L6*L7/100</f>
        <v>4597.08742623665</v>
      </c>
    </row>
    <row r="9" customFormat="false" ht="15" hidden="false" customHeight="false" outlineLevel="0" collapsed="false">
      <c r="A9" s="0" t="s">
        <v>109</v>
      </c>
      <c r="C9" s="4" t="n">
        <f aca="false">Assumptions!C43</f>
        <v>0.9</v>
      </c>
      <c r="D9" s="4" t="n">
        <f aca="false">Assumptions!D43</f>
        <v>0.9</v>
      </c>
      <c r="E9" s="4" t="n">
        <f aca="false">Assumptions!E43</f>
        <v>0.9</v>
      </c>
      <c r="F9" s="4" t="n">
        <f aca="false">Assumptions!F43</f>
        <v>0.9</v>
      </c>
      <c r="G9" s="4" t="n">
        <f aca="false">Assumptions!G43</f>
        <v>0.9</v>
      </c>
      <c r="H9" s="4" t="n">
        <f aca="false">Assumptions!H43</f>
        <v>0.9</v>
      </c>
      <c r="I9" s="4" t="n">
        <f aca="false">Assumptions!I43</f>
        <v>0.9</v>
      </c>
      <c r="J9" s="4" t="n">
        <f aca="false">Assumptions!J43</f>
        <v>0.9</v>
      </c>
      <c r="K9" s="4" t="n">
        <f aca="false">Assumptions!K43</f>
        <v>0.9</v>
      </c>
      <c r="L9" s="4" t="n">
        <f aca="false">Assumptions!L43</f>
        <v>0.9</v>
      </c>
    </row>
    <row r="10" customFormat="false" ht="15" hidden="false" customHeight="false" outlineLevel="0" collapsed="false">
      <c r="A10" s="0" t="s">
        <v>124</v>
      </c>
      <c r="C10" s="0" t="n">
        <f aca="false">-C6*C9/100</f>
        <v>-72.63675</v>
      </c>
      <c r="D10" s="0" t="n">
        <f aca="false">-D6*D9/100</f>
        <v>-76.2685875</v>
      </c>
      <c r="E10" s="0" t="n">
        <f aca="false">-E6*E9/100</f>
        <v>-79.7006739375</v>
      </c>
      <c r="F10" s="0" t="n">
        <f aca="false">-F6*F9/100</f>
        <v>-82.888700895</v>
      </c>
      <c r="G10" s="0" t="n">
        <f aca="false">-G6*G9/100</f>
        <v>-85.789805426325</v>
      </c>
      <c r="H10" s="0" t="n">
        <f aca="false">-H6*H9/100</f>
        <v>-88.7924486162464</v>
      </c>
      <c r="I10" s="0" t="n">
        <f aca="false">-I6*I9/100</f>
        <v>-91.4562220747337</v>
      </c>
      <c r="J10" s="0" t="n">
        <f aca="false">-J6*J9/100</f>
        <v>-94.1999087369758</v>
      </c>
      <c r="K10" s="0" t="n">
        <f aca="false">-K6*K9/100</f>
        <v>-97.025905999085</v>
      </c>
      <c r="L10" s="0" t="n">
        <f aca="false">-L6*L9/100</f>
        <v>-99.9366831790576</v>
      </c>
    </row>
    <row r="11" customFormat="false" ht="15" hidden="false" customHeight="false" outlineLevel="0" collapsed="false">
      <c r="A11" s="0" t="s">
        <v>125</v>
      </c>
      <c r="C11" s="0" t="n">
        <f aca="false">C8+C10+C24</f>
        <v>3074.95575</v>
      </c>
      <c r="D11" s="0" t="n">
        <f aca="false">D8+D10+D24</f>
        <v>3296.4978375</v>
      </c>
      <c r="E11" s="0" t="n">
        <f aca="false">E8+E10+E24</f>
        <v>3506.82965325</v>
      </c>
      <c r="F11" s="0" t="n">
        <f aca="false">F8+F10+F24</f>
        <v>3693.152117655</v>
      </c>
      <c r="G11" s="0" t="n">
        <f aca="false">G8+G10+G24</f>
        <v>3860.54124418462</v>
      </c>
      <c r="H11" s="0" t="n">
        <f aca="false">H8+H10+H24</f>
        <v>3995.66018773109</v>
      </c>
      <c r="I11" s="0" t="n">
        <f aca="false">I8+I10+I24</f>
        <v>4115.52999336302</v>
      </c>
      <c r="J11" s="0" t="n">
        <f aca="false">J8+J10+J24</f>
        <v>4238.99589316391</v>
      </c>
      <c r="K11" s="0" t="n">
        <f aca="false">K8+K10+K24</f>
        <v>4366.16576995883</v>
      </c>
      <c r="L11" s="0" t="n">
        <f aca="false">L8+L10+L24</f>
        <v>4497.15074305759</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3074.95575</v>
      </c>
      <c r="D13" s="0" t="n">
        <f aca="false">D11+D12</f>
        <v>3296.4978375</v>
      </c>
      <c r="E13" s="0" t="n">
        <f aca="false">E11+E12</f>
        <v>3506.82965325</v>
      </c>
      <c r="F13" s="0" t="n">
        <f aca="false">F11+F12</f>
        <v>3693.152117655</v>
      </c>
      <c r="G13" s="0" t="n">
        <f aca="false">G11+G12</f>
        <v>3860.54124418462</v>
      </c>
      <c r="H13" s="0" t="n">
        <f aca="false">H11+H12</f>
        <v>3995.66018773109</v>
      </c>
      <c r="I13" s="0" t="n">
        <f aca="false">I11+I12</f>
        <v>4115.52999336302</v>
      </c>
      <c r="J13" s="0" t="n">
        <f aca="false">J11+J12</f>
        <v>4238.99589316391</v>
      </c>
      <c r="K13" s="0" t="n">
        <f aca="false">K11+K12</f>
        <v>4366.16576995883</v>
      </c>
      <c r="L13" s="0" t="n">
        <f aca="false">L11+L12</f>
        <v>4497.15074305759</v>
      </c>
    </row>
    <row r="14" customFormat="false" ht="15" hidden="false" customHeight="false" outlineLevel="0" collapsed="false">
      <c r="A14" s="0" t="s">
        <v>113</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128</v>
      </c>
      <c r="C15" s="0" t="n">
        <f aca="false">C13-MAX(0,C13)*C14/100</f>
        <v>2429.2150425</v>
      </c>
      <c r="D15" s="0" t="n">
        <f aca="false">D13-MAX(0,D13)*D14/100</f>
        <v>2604.233291625</v>
      </c>
      <c r="E15" s="0" t="n">
        <f aca="false">E13-MAX(0,E13)*E14/100</f>
        <v>2770.3954260675</v>
      </c>
      <c r="F15" s="0" t="n">
        <f aca="false">F13-MAX(0,F13)*F14/100</f>
        <v>2917.59017294745</v>
      </c>
      <c r="G15" s="0" t="n">
        <f aca="false">G13-MAX(0,G13)*G14/100</f>
        <v>3049.82758290585</v>
      </c>
      <c r="H15" s="0" t="n">
        <f aca="false">H13-MAX(0,H13)*H14/100</f>
        <v>3156.57154830756</v>
      </c>
      <c r="I15" s="0" t="n">
        <f aca="false">I13-MAX(0,I13)*I14/100</f>
        <v>3251.26869475678</v>
      </c>
      <c r="J15" s="0" t="n">
        <f aca="false">J13-MAX(0,J13)*J14/100</f>
        <v>3348.80675559949</v>
      </c>
      <c r="K15" s="0" t="n">
        <f aca="false">K13-MAX(0,K13)*K14/100</f>
        <v>3449.27095826747</v>
      </c>
      <c r="L15" s="0" t="n">
        <f aca="false">L13-MAX(0,L13)*L14/100</f>
        <v>3552.7490870155</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-734.43825</v>
      </c>
      <c r="D17" s="4" t="n">
        <f aca="false">-D6*Assumptions!D46/100</f>
        <v>-703.3658625</v>
      </c>
      <c r="E17" s="4" t="n">
        <f aca="false">-E6*Assumptions!E46/100</f>
        <v>-664.1722828125</v>
      </c>
      <c r="F17" s="4" t="n">
        <f aca="false">-F6*Assumptions!F46/100</f>
        <v>-607.85047323</v>
      </c>
      <c r="G17" s="4" t="n">
        <f aca="false">-G6*Assumptions!G46/100</f>
        <v>-552.86763496965</v>
      </c>
      <c r="H17" s="4" t="n">
        <f aca="false">-H6*Assumptions!H46/100</f>
        <v>-572.218002193588</v>
      </c>
      <c r="I17" s="4" t="n">
        <f aca="false">-I6*Assumptions!I46/100</f>
        <v>-508.09012263741</v>
      </c>
      <c r="J17" s="4" t="n">
        <f aca="false">-J6*Assumptions!J46/100</f>
        <v>-523.332826316532</v>
      </c>
      <c r="K17" s="4" t="n">
        <f aca="false">-K6*Assumptions!K46/100</f>
        <v>-539.032811106028</v>
      </c>
      <c r="L17" s="4" t="n">
        <f aca="false">-L6*Assumptions!L46/100</f>
        <v>-555.203795439209</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1694.7767925</v>
      </c>
      <c r="D19" s="0" t="n">
        <f aca="false">D15+D16+D17+D18</f>
        <v>1900.867429125</v>
      </c>
      <c r="E19" s="0" t="n">
        <f aca="false">E15+E16+E17+E18</f>
        <v>2106.223143255</v>
      </c>
      <c r="F19" s="0" t="n">
        <f aca="false">F15+F16+F17+F18</f>
        <v>2309.73969971745</v>
      </c>
      <c r="G19" s="0" t="n">
        <f aca="false">G15+G16+G17+G18</f>
        <v>2496.9599479362</v>
      </c>
      <c r="H19" s="0" t="n">
        <f aca="false">H15+H16+H17+H18</f>
        <v>2584.35354611397</v>
      </c>
      <c r="I19" s="0" t="n">
        <f aca="false">I15+I16+I17+I18</f>
        <v>2743.17857211937</v>
      </c>
      <c r="J19" s="0" t="n">
        <f aca="false">J15+J16+J17+J18</f>
        <v>2825.47392928296</v>
      </c>
      <c r="K19" s="0" t="n">
        <f aca="false">K15+K16+K17+K18</f>
        <v>2910.23814716145</v>
      </c>
      <c r="L19" s="0" t="n">
        <f aca="false">L15+L16+L17+L18</f>
        <v>2997.54529157629</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1540.706175</v>
      </c>
      <c r="D21" s="0" t="n">
        <f aca="false">D19*D20</f>
        <v>1570.96481745868</v>
      </c>
      <c r="E21" s="0" t="n">
        <f aca="false">E19*E20</f>
        <v>1582.43662152893</v>
      </c>
      <c r="F21" s="0" t="n">
        <f aca="false">F19*F20</f>
        <v>1577.5832932979</v>
      </c>
      <c r="G21" s="0" t="n">
        <f aca="false">G19*G20</f>
        <v>1550.41567449827</v>
      </c>
      <c r="H21" s="0" t="n">
        <f aca="false">H19*H20</f>
        <v>1458.80020282337</v>
      </c>
      <c r="I21" s="0" t="n">
        <f aca="false">I19*I20</f>
        <v>1407.68435403957</v>
      </c>
      <c r="J21" s="0" t="n">
        <f aca="false">J19*J20</f>
        <v>1318.10444060069</v>
      </c>
      <c r="K21" s="0" t="n">
        <f aca="false">K19*K20</f>
        <v>1234.22506710792</v>
      </c>
      <c r="L21" s="0" t="n">
        <f aca="false">L19*L20</f>
        <v>1155.68347192833</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15</v>
      </c>
    </row>
    <row r="30" customFormat="false" ht="15" hidden="false" customHeight="false" outlineLevel="0" collapsed="false">
      <c r="A30" s="0" t="s">
        <v>137</v>
      </c>
      <c r="B30" s="0" t="n">
        <f aca="false">SUM(C21:L21)</f>
        <v>14396.6041182836</v>
      </c>
    </row>
    <row r="31" customFormat="false" ht="15" hidden="false" customHeight="false" outlineLevel="0" collapsed="false">
      <c r="A31" s="0" t="s">
        <v>138</v>
      </c>
      <c r="B31" s="0" t="n">
        <f aca="false">L19</f>
        <v>2997.54529157629</v>
      </c>
    </row>
    <row r="32" customFormat="false" ht="15" hidden="false" customHeight="false" outlineLevel="0" collapsed="false">
      <c r="A32" s="0" t="s">
        <v>139</v>
      </c>
      <c r="B32" s="0" t="n">
        <f aca="false">IF(B27&gt;B28,B31*(1+B28/100)/((B27-B28)/100),B31*B29)</f>
        <v>44106.7378617654</v>
      </c>
    </row>
    <row r="33" customFormat="false" ht="15" hidden="false" customHeight="false" outlineLevel="0" collapsed="false">
      <c r="A33" s="0" t="s">
        <v>140</v>
      </c>
      <c r="B33" s="0" t="n">
        <f aca="false">B31*B29</f>
        <v>44963.1793736443</v>
      </c>
    </row>
    <row r="34" customFormat="false" ht="15" hidden="false" customHeight="false" outlineLevel="0" collapsed="false">
      <c r="A34" s="0" t="s">
        <v>141</v>
      </c>
      <c r="B34" s="0" t="n">
        <f aca="false">MAX(0,MIN(B32,B33))</f>
        <v>44106.7378617654</v>
      </c>
    </row>
    <row r="35" customFormat="false" ht="15" hidden="false" customHeight="false" outlineLevel="0" collapsed="false">
      <c r="A35" s="0" t="s">
        <v>142</v>
      </c>
      <c r="B35" s="0" t="n">
        <f aca="false">B34/(1+B27/100)^L4</f>
        <v>17005.0568012311</v>
      </c>
    </row>
    <row r="36" customFormat="false" ht="15" hidden="false" customHeight="false" outlineLevel="0" collapsed="false">
      <c r="A36" s="0" t="s">
        <v>143</v>
      </c>
      <c r="B36" s="0" t="n">
        <f aca="false">B30+B35</f>
        <v>31401.6609195147</v>
      </c>
    </row>
    <row r="37" customFormat="false" ht="15" hidden="false" customHeight="false" outlineLevel="0" collapsed="false">
      <c r="A37" s="0" t="s">
        <v>144</v>
      </c>
      <c r="B37" s="0" t="n">
        <f aca="false">B36+Assumptions!$B$5-Assumptions!$B$4</f>
        <v>30001.6609195147</v>
      </c>
    </row>
    <row r="38" customFormat="false" ht="15" hidden="false" customHeight="false" outlineLevel="0" collapsed="false">
      <c r="A38" s="0" t="s">
        <v>145</v>
      </c>
      <c r="B38" s="0" t="n">
        <f aca="false">B37/Assumptions!$B$3*Assumptions!$B$10</f>
        <v>35.1307504912351</v>
      </c>
    </row>
    <row r="39" customFormat="false" ht="15" hidden="false" customHeight="false" outlineLevel="0" collapsed="false">
      <c r="A39" s="0" t="s">
        <v>146</v>
      </c>
      <c r="B39" s="4" t="n">
        <f aca="false">B38/Assumptions!$B$2-1</f>
        <v>0.303069380238689</v>
      </c>
    </row>
    <row r="41" customFormat="false" ht="15" hidden="false" customHeight="false" outlineLevel="0" collapsed="false">
      <c r="A41" s="0" t="s">
        <v>147</v>
      </c>
      <c r="B41" s="0" t="n">
        <f aca="false">SUMPRODUCT(-C10:L10/(1+$B$27/100)^C4:L4)</f>
        <v>519.504264170097</v>
      </c>
    </row>
    <row r="42" customFormat="false" ht="15" hidden="false" customHeight="false" outlineLevel="0" collapsed="false">
      <c r="A42" s="0" t="s">
        <v>148</v>
      </c>
      <c r="B42" s="0" t="n">
        <f aca="false">IF(B27&gt;B28,-L10*(1+B28/100)/((B27-B28)/100),-L10*20)/(1+B27/100)^L4</f>
        <v>566.940215636524</v>
      </c>
    </row>
    <row r="43" customFormat="false" ht="15" hidden="false" customHeight="false" outlineLevel="0" collapsed="false">
      <c r="A43" s="0" t="s">
        <v>149</v>
      </c>
      <c r="B43" s="0" t="n">
        <f aca="false">(B37+B41+B42)/Assumptions!$B$3*Assumptions!$B$10</f>
        <v>36.4029337228587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25728.9304193631</v>
      </c>
    </row>
    <row r="47" customFormat="false" ht="15" hidden="false" customHeight="false" outlineLevel="0" collapsed="false">
      <c r="A47" s="0" t="s">
        <v>151</v>
      </c>
      <c r="B47" s="0" t="n">
        <f aca="false">(SUMPRODUCT(C19:L19/(1+B45/100)^C4:L4)+B46/(1+B45/100)^L4+Assumptions!$B$5-Assumptions!$B$4)/Assumptions!$B$3*Assumptions!$B$10</f>
        <v>19.2718668487579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24.544420469192</v>
      </c>
      <c r="C4" s="0" t="n">
        <f aca="false">B4/Assumptions!$B$2-1</f>
        <v>-0.0895986472851629</v>
      </c>
      <c r="D4" s="4" t="n">
        <f aca="false">Assumptions!$B$24</f>
        <v>0.25</v>
      </c>
      <c r="E4" s="4" t="n">
        <f aca="false">DCF_Bear!$B$43</f>
        <v>25.5559890206411</v>
      </c>
      <c r="F4" s="4" t="n">
        <f aca="false">DCF_Bear!$B$47</f>
        <v>14.6680222432211</v>
      </c>
    </row>
    <row r="5" customFormat="false" ht="15" hidden="false" customHeight="false" outlineLevel="0" collapsed="false">
      <c r="A5" s="0" t="s">
        <v>160</v>
      </c>
      <c r="B5" s="4" t="n">
        <f aca="false">DCF_Base!$B$38</f>
        <v>30.8434690074958</v>
      </c>
      <c r="C5" s="0" t="n">
        <f aca="false">B5/Assumptions!$B$2-1</f>
        <v>0.144045586331448</v>
      </c>
      <c r="D5" s="4" t="n">
        <f aca="false">Assumptions!$B$38</f>
        <v>0.5</v>
      </c>
      <c r="E5" s="4" t="n">
        <f aca="false">DCF_Base!$B$43</f>
        <v>32.0072676989753</v>
      </c>
      <c r="F5" s="4" t="n">
        <f aca="false">DCF_Base!$B$47</f>
        <v>17.5064446452077</v>
      </c>
    </row>
    <row r="6" customFormat="false" ht="15" hidden="false" customHeight="false" outlineLevel="0" collapsed="false">
      <c r="A6" s="0" t="s">
        <v>161</v>
      </c>
      <c r="B6" s="4" t="n">
        <f aca="false">DCF_Bull!$B$38</f>
        <v>35.1307504912351</v>
      </c>
      <c r="C6" s="0" t="n">
        <f aca="false">B6/Assumptions!$B$2-1</f>
        <v>0.303069380238689</v>
      </c>
      <c r="D6" s="4" t="n">
        <f aca="false">Assumptions!$B$52</f>
        <v>0.25</v>
      </c>
      <c r="E6" s="4" t="n">
        <f aca="false">DCF_Bull!$B$43</f>
        <v>36.4029337228587</v>
      </c>
      <c r="F6" s="4" t="n">
        <f aca="false">DCF_Bull!$B$47</f>
        <v>19.2718668487579</v>
      </c>
    </row>
    <row r="8" customFormat="false" ht="15" hidden="false" customHeight="false" outlineLevel="0" collapsed="false">
      <c r="A8" s="0" t="s">
        <v>162</v>
      </c>
      <c r="B8" s="0" t="n">
        <f aca="false">SUMPRODUCT(B4:B6,D4:D6)</f>
        <v>30.3405272438547</v>
      </c>
    </row>
    <row r="9" customFormat="false" ht="15" hidden="false" customHeight="false" outlineLevel="0" collapsed="false">
      <c r="A9" s="0" t="s">
        <v>163</v>
      </c>
      <c r="B9" s="0" t="n">
        <f aca="false">SUMPRODUCT(E4:E6,D4:D6)</f>
        <v>31.4933645353626</v>
      </c>
    </row>
    <row r="10" customFormat="false" ht="15" hidden="false" customHeight="false" outlineLevel="0" collapsed="false">
      <c r="A10" s="0" t="s">
        <v>164</v>
      </c>
      <c r="B10" s="0" t="n">
        <f aca="false">1-Assumptions!$B$2/B8</f>
        <v>0.11141952862864</v>
      </c>
    </row>
    <row r="11" customFormat="false" ht="15" hidden="false" customHeight="false" outlineLevel="0" collapsed="false">
      <c r="A11" s="0" t="s">
        <v>165</v>
      </c>
      <c r="B11" s="0" t="n">
        <f aca="false">IF(ABS(B9-B8)&gt;0.01*ABS(B8),(Assumptions!$B$2-B8)/(B9-B8)*100,"n/a")</f>
        <v>-293.235417413762</v>
      </c>
    </row>
    <row r="12" customFormat="false" ht="15" hidden="false" customHeight="false" outlineLevel="0" collapsed="false">
      <c r="A12" s="0" t="s">
        <v>166</v>
      </c>
      <c r="B12" s="0" t="n">
        <f aca="false">SUMPRODUCT(F4:F6,D4:D6)</f>
        <v>17.2381945955986</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33.6369250487507</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30.8434690074958</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26.9107852078486</v>
      </c>
      <c r="C17" s="3" t="n">
        <v>11</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23.8108082196237</v>
      </c>
      <c r="C18" s="3" t="n">
        <v>12</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17.5064446452077</v>
      </c>
      <c r="C19" s="3" t="n">
        <v>15</v>
      </c>
    </row>
    <row r="21" customFormat="false" ht="15" hidden="false" customHeight="false" outlineLevel="0" collapsed="false">
      <c r="A21" s="2" t="s">
        <v>174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36.2538293737705</v>
      </c>
      <c r="C23" s="0" t="n">
        <f aca="false">(SUMPRODUCT(DCF_Base!$C$19:$L$19/(1+$A$23/100)^DCF_Base!$C$4:$L$4)+MAX(0,MIN(IF($A$23&gt;$C$22,DCF_Base!$L$19*(1+$C$22/100)/(($A$23-$C$22)/100),DCF_Base!$L$19*DCF_Base!$B$29),DCF_Base!$L$19*DCF_Base!$B$29))/(1+$A$23/100)^DCF_Base!$L$4+Assumptions!$B$5-Assumptions!$B$4)/Assumptions!$B$3*Assumptions!$B$10</f>
        <v>36.2538293737705</v>
      </c>
      <c r="D23" s="0" t="n">
        <f aca="false">(SUMPRODUCT(DCF_Base!$C$19:$L$19/(1+$A$23/100)^DCF_Base!$C$4:$L$4)+MAX(0,MIN(IF($A$23&gt;$D$22,DCF_Base!$L$19*(1+$D$22/100)/(($A$23-$D$22)/100),DCF_Base!$L$19*DCF_Base!$B$29),DCF_Base!$L$19*DCF_Base!$B$29))/(1+$A$23/100)^DCF_Base!$L$4+Assumptions!$B$5-Assumptions!$B$4)/Assumptions!$B$3*Assumptions!$B$10</f>
        <v>36.2538293737705</v>
      </c>
      <c r="E23" s="0" t="n">
        <f aca="false">(SUMPRODUCT(DCF_Base!$C$19:$L$19/(1+$A$23/100)^DCF_Base!$C$4:$L$4)+MAX(0,MIN(IF($A$23&gt;$E$22,DCF_Base!$L$19*(1+$E$22/100)/(($A$23-$E$22)/100),DCF_Base!$L$19*DCF_Base!$B$29),DCF_Base!$L$19*DCF_Base!$B$29))/(1+$A$23/100)^DCF_Base!$L$4+Assumptions!$B$5-Assumptions!$B$4)/Assumptions!$B$3*Assumptions!$B$10</f>
        <v>36.2538293737705</v>
      </c>
      <c r="F23" s="0" t="n">
        <f aca="false">(SUMPRODUCT(DCF_Base!$C$19:$L$19/(1+$A$23/100)^DCF_Base!$C$4:$L$4)+MAX(0,MIN(IF($A$23&gt;$F$22,DCF_Base!$L$19*(1+$F$22/100)/(($A$23-$F$22)/100),DCF_Base!$L$19*DCF_Base!$B$29),DCF_Base!$L$19*DCF_Base!$B$29))/(1+$A$23/100)^DCF_Base!$L$4+Assumptions!$B$5-Assumptions!$B$4)/Assumptions!$B$3*Assumptions!$B$10</f>
        <v>36.2538293737705</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33.0152946379855</v>
      </c>
      <c r="C24" s="0" t="n">
        <f aca="false">(SUMPRODUCT(DCF_Base!$C$19:$L$19/(1+$A$24/100)^DCF_Base!$C$4:$L$4)+MAX(0,MIN(IF($A$24&gt;$C$22,DCF_Base!$L$19*(1+$C$22/100)/(($A$24-$C$22)/100),DCF_Base!$L$19*DCF_Base!$B$29),DCF_Base!$L$19*DCF_Base!$B$29))/(1+$A$24/100)^DCF_Base!$L$4+Assumptions!$B$5-Assumptions!$B$4)/Assumptions!$B$3*Assumptions!$B$10</f>
        <v>33.6369250487507</v>
      </c>
      <c r="D24" s="0" t="n">
        <f aca="false">(SUMPRODUCT(DCF_Base!$C$19:$L$19/(1+$A$24/100)^DCF_Base!$C$4:$L$4)+MAX(0,MIN(IF($A$24&gt;$D$22,DCF_Base!$L$19*(1+$D$22/100)/(($A$24-$D$22)/100),DCF_Base!$L$19*DCF_Base!$B$29),DCF_Base!$L$19*DCF_Base!$B$29))/(1+$A$24/100)^DCF_Base!$L$4+Assumptions!$B$5-Assumptions!$B$4)/Assumptions!$B$3*Assumptions!$B$10</f>
        <v>33.6369250487507</v>
      </c>
      <c r="E24" s="0" t="n">
        <f aca="false">(SUMPRODUCT(DCF_Base!$C$19:$L$19/(1+$A$24/100)^DCF_Base!$C$4:$L$4)+MAX(0,MIN(IF($A$24&gt;$E$22,DCF_Base!$L$19*(1+$E$22/100)/(($A$24-$E$22)/100),DCF_Base!$L$19*DCF_Base!$B$29),DCF_Base!$L$19*DCF_Base!$B$29))/(1+$A$24/100)^DCF_Base!$L$4+Assumptions!$B$5-Assumptions!$B$4)/Assumptions!$B$3*Assumptions!$B$10</f>
        <v>33.6369250487507</v>
      </c>
      <c r="F24" s="0" t="n">
        <f aca="false">(SUMPRODUCT(DCF_Base!$C$19:$L$19/(1+$A$24/100)^DCF_Base!$C$4:$L$4)+MAX(0,MIN(IF($A$24&gt;$F$22,DCF_Base!$L$19*(1+$F$22/100)/(($A$24-$F$22)/100),DCF_Base!$L$19*DCF_Base!$B$29),DCF_Base!$L$19*DCF_Base!$B$29))/(1+$A$24/100)^DCF_Base!$L$4+Assumptions!$B$5-Assumptions!$B$4)/Assumptions!$B$3*Assumptions!$B$10</f>
        <v>33.6369250487507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28.7456109734379</v>
      </c>
      <c r="C25" s="0" t="n">
        <f aca="false">(SUMPRODUCT(DCF_Base!$C$19:$L$19/(1+$A$25/100)^DCF_Base!$C$4:$L$4)+MAX(0,MIN(IF($A$25&gt;$C$22,DCF_Base!$L$19*(1+$C$22/100)/(($A$25-$C$22)/100),DCF_Base!$L$19*DCF_Base!$B$29),DCF_Base!$L$19*DCF_Base!$B$29))/(1+$A$25/100)^DCF_Base!$L$4+Assumptions!$B$5-Assumptions!$B$4)/Assumptions!$B$3*Assumptions!$B$10</f>
        <v>29.7289819269025</v>
      </c>
      <c r="D25" s="0" t="n">
        <f aca="false">(SUMPRODUCT(DCF_Base!$C$19:$L$19/(1+$A$25/100)^DCF_Base!$C$4:$L$4)+MAX(0,MIN(IF($A$25&gt;$D$22,DCF_Base!$L$19*(1+$D$22/100)/(($A$25-$D$22)/100),DCF_Base!$L$19*DCF_Base!$B$29),DCF_Base!$L$19*DCF_Base!$B$29))/(1+$A$25/100)^DCF_Base!$L$4+Assumptions!$B$5-Assumptions!$B$4)/Assumptions!$B$3*Assumptions!$B$10</f>
        <v>30.8434690074958</v>
      </c>
      <c r="E25" s="0" t="n">
        <f aca="false">(SUMPRODUCT(DCF_Base!$C$19:$L$19/(1+$A$25/100)^DCF_Base!$C$4:$L$4)+MAX(0,MIN(IF($A$25&gt;$E$22,DCF_Base!$L$19*(1+$E$22/100)/(($A$25-$E$22)/100),DCF_Base!$L$19*DCF_Base!$B$29),DCF_Base!$L$19*DCF_Base!$B$29))/(1+$A$25/100)^DCF_Base!$L$4+Assumptions!$B$5-Assumptions!$B$4)/Assumptions!$B$3*Assumptions!$B$10</f>
        <v>31.2487370368025</v>
      </c>
      <c r="F25" s="0" t="n">
        <f aca="false">(SUMPRODUCT(DCF_Base!$C$19:$L$19/(1+$A$25/100)^DCF_Base!$C$4:$L$4)+MAX(0,MIN(IF($A$25&gt;$F$22,DCF_Base!$L$19*(1+$F$22/100)/(($A$25-$F$22)/100),DCF_Base!$L$19*DCF_Base!$B$29),DCF_Base!$L$19*DCF_Base!$B$29))/(1+$A$25/100)^DCF_Base!$L$4+Assumptions!$B$5-Assumptions!$B$4)/Assumptions!$B$3*Assumptions!$B$10</f>
        <v>31.2487370368025</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25.3841294824444</v>
      </c>
      <c r="C26" s="0" t="n">
        <f aca="false">(SUMPRODUCT(DCF_Base!$C$19:$L$19/(1+$A$26/100)^DCF_Base!$C$4:$L$4)+MAX(0,MIN(IF($A$26&gt;$C$22,DCF_Base!$L$19*(1+$C$22/100)/(($A$26-$C$22)/100),DCF_Base!$L$19*DCF_Base!$B$29),DCF_Base!$L$19*DCF_Base!$B$29))/(1+$A$26/100)^DCF_Base!$L$4+Assumptions!$B$5-Assumptions!$B$4)/Assumptions!$B$3*Assumptions!$B$10</f>
        <v>26.1050502416631</v>
      </c>
      <c r="D26" s="0" t="n">
        <f aca="false">(SUMPRODUCT(DCF_Base!$C$19:$L$19/(1+$A$26/100)^DCF_Base!$C$4:$L$4)+MAX(0,MIN(IF($A$26&gt;$D$22,DCF_Base!$L$19*(1+$D$22/100)/(($A$26-$D$22)/100),DCF_Base!$L$19*DCF_Base!$B$29),DCF_Base!$L$19*DCF_Base!$B$29))/(1+$A$26/100)^DCF_Base!$L$4+Assumptions!$B$5-Assumptions!$B$4)/Assumptions!$B$3*Assumptions!$B$10</f>
        <v>26.9107852078486</v>
      </c>
      <c r="E26" s="0" t="n">
        <f aca="false">(SUMPRODUCT(DCF_Base!$C$19:$L$19/(1+$A$26/100)^DCF_Base!$C$4:$L$4)+MAX(0,MIN(IF($A$26&gt;$E$22,DCF_Base!$L$19*(1+$E$22/100)/(($A$26-$E$22)/100),DCF_Base!$L$19*DCF_Base!$B$29),DCF_Base!$L$19*DCF_Base!$B$29))/(1+$A$26/100)^DCF_Base!$L$4+Assumptions!$B$5-Assumptions!$B$4)/Assumptions!$B$3*Assumptions!$B$10</f>
        <v>27.8172370448074</v>
      </c>
      <c r="F26" s="0" t="n">
        <f aca="false">(SUMPRODUCT(DCF_Base!$C$19:$L$19/(1+$A$26/100)^DCF_Base!$C$4:$L$4)+MAX(0,MIN(IF($A$26&gt;$F$22,DCF_Base!$L$19*(1+$F$22/100)/(($A$26-$F$22)/100),DCF_Base!$L$19*DCF_Base!$B$29),DCF_Base!$L$19*DCF_Base!$B$29))/(1+$A$26/100)^DCF_Base!$L$4+Assumptions!$B$5-Assumptions!$B$4)/Assumptions!$B$3*Assumptions!$B$10</f>
        <v>28.844549126694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22.6707806805983</v>
      </c>
      <c r="C27" s="0" t="n">
        <f aca="false">(SUMPRODUCT(DCF_Base!$C$19:$L$19/(1+$A$27/100)^DCF_Base!$C$4:$L$4)+MAX(0,MIN(IF($A$27&gt;$C$22,DCF_Base!$L$19*(1+$C$22/100)/(($A$27-$C$22)/100),DCF_Base!$L$19*DCF_Base!$B$29),DCF_Base!$L$19*DCF_Base!$B$29))/(1+$A$27/100)^DCF_Base!$L$4+Assumptions!$B$5-Assumptions!$B$4)/Assumptions!$B$3*Assumptions!$B$10</f>
        <v>23.2122937616353</v>
      </c>
      <c r="D27" s="0" t="n">
        <f aca="false">(SUMPRODUCT(DCF_Base!$C$19:$L$19/(1+$A$27/100)^DCF_Base!$C$4:$L$4)+MAX(0,MIN(IF($A$27&gt;$D$22,DCF_Base!$L$19*(1+$D$22/100)/(($A$27-$D$22)/100),DCF_Base!$L$19*DCF_Base!$B$29),DCF_Base!$L$19*DCF_Base!$B$29))/(1+$A$27/100)^DCF_Base!$L$4+Assumptions!$B$5-Assumptions!$B$4)/Assumptions!$B$3*Assumptions!$B$10</f>
        <v>23.8108082196237</v>
      </c>
      <c r="E27" s="0" t="n">
        <f aca="false">(SUMPRODUCT(DCF_Base!$C$19:$L$19/(1+$A$27/100)^DCF_Base!$C$4:$L$4)+MAX(0,MIN(IF($A$27&gt;$E$22,DCF_Base!$L$19*(1+$E$22/100)/(($A$27-$E$22)/100),DCF_Base!$L$19*DCF_Base!$B$29),DCF_Base!$L$19*DCF_Base!$B$29))/(1+$A$27/100)^DCF_Base!$L$4+Assumptions!$B$5-Assumptions!$B$4)/Assumptions!$B$3*Assumptions!$B$10</f>
        <v>24.4758242840552</v>
      </c>
      <c r="F27" s="0" t="n">
        <f aca="false">(SUMPRODUCT(DCF_Base!$C$19:$L$19/(1+$A$27/100)^DCF_Base!$C$4:$L$4)+MAX(0,MIN(IF($A$27&gt;$F$22,DCF_Base!$L$19*(1+$F$22/100)/(($A$27-$F$22)/100),DCF_Base!$L$19*DCF_Base!$B$29),DCF_Base!$L$19*DCF_Base!$B$29))/(1+$A$27/100)^DCF_Base!$L$4+Assumptions!$B$5-Assumptions!$B$4)/Assumptions!$B$3*Assumptions!$B$10</f>
        <v>25.2190775325375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2026-10-02T07:51:15Z</dcterms:created>
  <dc:creator>openpyxl</dc:creator>
  <dc:description/>
  <dc:language>en-NZ</dc:language>
  <cp:lastModifiedBy/>
  <dcterms:modified xsi:type="dcterms:W3CDTF">2026-10-02T07:51:15Z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