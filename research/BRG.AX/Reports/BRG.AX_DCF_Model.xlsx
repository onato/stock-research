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#,##0.000"/>
    <numFmt numFmtId="166" formatCode="&quot;A$&quot;#,##0.00"/>
    <numFmt numFmtId="167" formatCode="0.0%"/>
    <numFmt numFmtId="168" formatCode="0.0"/>
    <numFmt numFmtId="169" formatCode="0.0x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8" fontId="2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167" fontId="2" fillId="2" borderId="0" pivotButton="0" quotePrefix="0" xfId="0"/>
    <xf numFmtId="164" fontId="3" fillId="0" borderId="0" pivotButton="0" quotePrefix="0" xfId="0"/>
    <xf numFmtId="164" fontId="0" fillId="0" borderId="0" pivotButton="0" quotePrefix="0" xfId="0"/>
    <xf numFmtId="10" fontId="2" fillId="0" borderId="0" pivotButton="0" quotePrefix="0" xfId="0"/>
    <xf numFmtId="10" fontId="2" fillId="2" borderId="0" pivotButton="0" quotePrefix="0" xfId="0"/>
    <xf numFmtId="164" fontId="1" fillId="0" borderId="0" pivotButton="0" quotePrefix="0" xfId="0"/>
    <xf numFmtId="167" fontId="3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65" fontId="3" fillId="0" borderId="0" pivotButton="0" quotePrefix="0" xfId="0"/>
    <xf numFmtId="166" fontId="1" fillId="3" borderId="0" pivotButton="0" quotePrefix="0" xfId="0"/>
    <xf numFmtId="166" fontId="0" fillId="0" borderId="0" pivotButton="0" quotePrefix="0" xfId="0"/>
    <xf numFmtId="166" fontId="3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BRG.AX -- Breville Group Limited -- Owner-FCF DCF model</t>
        </is>
      </c>
    </row>
    <row r="2">
      <c r="A2" t="inlineStr">
        <is>
          <t>Version 1.0, 2026-09-22. Fresh build; supersedes nothing (first valuation of this ticker).</t>
        </is>
      </c>
    </row>
    <row r="3">
      <c r="A3" t="inlineStr">
        <is>
          <t>Built by the dcf-analyst agent (Claude Fable 5.1) at the request of Stephen Williams, research-stock workflow.</t>
        </is>
      </c>
    </row>
    <row r="4">
      <c r="A4" t="inlineStr"/>
    </row>
    <row r="5">
      <c r="A5" s="1" t="inlineStr">
        <is>
          <t>DATA VINTAGE (all figures go stale -- refresh after each print)</t>
        </is>
      </c>
    </row>
    <row r="6">
      <c r="A6" t="inlineStr">
        <is>
          <t>Price A$29.40 -- Yahoo Finance ASX close, regularMarketTime 2026-09-21T06:10:31Z. 52-week range A$25.41-35.48.</t>
        </is>
      </c>
    </row>
    <row r="7">
      <c r="A7" t="inlineStr">
        <is>
          <t>Balance sheet 30 June 2026 -- BRG.AX_Annual_FY2026: cash 193.358m, borrowings 88.922m, lease liabilities 64.499m, value-chain (IEEPA refund) provision 55.163m.</t>
        </is>
      </c>
    </row>
    <row r="8">
      <c r="A8" t="inlineStr">
        <is>
          <t>Share count 147.122m fully diluted = 144.839m issued (Note 14) + 2.283m potential ordinary shares (Note 13). Held flat.</t>
        </is>
      </c>
    </row>
    <row r="9">
      <c r="A9" t="inlineStr">
        <is>
          <t>Guidance: none quantitative. FY26 EBIT A$207.0m was 'in line with guidance given at the half year'; FY27 outlook is qualitative ('challenging macro', 'continue our growth trajectory').</t>
        </is>
      </c>
    </row>
    <row r="10">
      <c r="A10" t="inlineStr">
        <is>
          <t>Currency AUD throughout; quote currency AUD. Units A$ millions except per-share.</t>
        </is>
      </c>
    </row>
    <row r="11">
      <c r="A11" t="inlineStr"/>
    </row>
    <row r="12">
      <c r="A12" s="1" t="inlineStr">
        <is>
          <t>METHODOLOGY</t>
        </is>
      </c>
    </row>
    <row r="13">
      <c r="A13" t="inlineStr">
        <is>
          <t>Model: owner-FCF DCF, 10-year component build, three probability-weighted scenarios (dcf-methods/references/owner-fcf.md incl. section 7).</t>
        </is>
      </c>
    </row>
    <row r="14">
      <c r="A14" t="inlineStr">
        <is>
          <t>Owner FCF = reported FCF - SBC - interest income - lease-asset renewal. SBC charged ONCE (expensed, count flat).</t>
        </is>
      </c>
    </row>
    <row r="15">
      <c r="A15" t="inlineStr">
        <is>
          <t>Adjusted EBITDA is PRE-SBC (reported EBITDA 284.1m + SBC 21.9m = 306.0m, 16.9% of revenue); the SBC row then deducts it explicitly.</t>
        </is>
      </c>
    </row>
    <row r="16">
      <c r="A16" t="inlineStr">
        <is>
          <t>Leases: treatment (A) -- lease liabilities in net debt, renewal (~1.2% of revenue) inside the capex % driver, lease interest excluded from flows.</t>
        </is>
      </c>
    </row>
    <row r="17">
      <c r="A17" t="inlineStr">
        <is>
          <t>Working capital: capture rate on the CHANGE in revenue, NEGATIVE (inventory + receivables - payables = 25% of revenue).</t>
        </is>
      </c>
    </row>
    <row r="18">
      <c r="A18" t="inlineStr">
        <is>
          <t>IEEPA value-chain provision 55.2m treated as debt-like in the bridge (refund cash received FY26, paid onward within 12 months).</t>
        </is>
      </c>
    </row>
    <row r="19">
      <c r="A19" t="inlineStr">
        <is>
          <t>Terminal value = MAX(0, MIN(Gordon, cap x FCF_10)); cap 18x base/bull, 15x bear. Gordon binds in every scenario.</t>
        </is>
      </c>
    </row>
    <row r="20">
      <c r="A20" t="inlineStr">
        <is>
          <t>WACC 10.0% AUD-built (ACGB ~4.3% + 5.5% ERP x ~1.05 beta); identical across scenarios -- risk lives in the flows and weights, not the rate.</t>
        </is>
      </c>
    </row>
    <row r="21">
      <c r="A21" t="inlineStr">
        <is>
          <t>Entry price: 15% IRR with terminal value rebuilt at 15% and re-capped; per scenario, then probability-weighted.</t>
        </is>
      </c>
    </row>
    <row r="22">
      <c r="A22" t="inlineStr">
        <is>
          <t>Deviation from the standard row map: capex % is a per-year driver on row 22 of each DCF tab (row 17 links to it) rather than a single global, because capex is modelled converging toward D&amp;A.</t>
        </is>
      </c>
    </row>
    <row r="23">
      <c r="A23" t="inlineStr"/>
    </row>
    <row r="24">
      <c r="A24" t="inlineStr">
        <is>
          <t>SCENARIO DRIVERS are the dcf-analyst agent's judgment, set 2026-09-22 from the FY2026 annual report; no analyst consensus was used.</t>
        </is>
      </c>
    </row>
    <row r="25">
      <c r="A25" t="inlineStr"/>
    </row>
    <row r="26">
      <c r="A26" t="inlineStr">
        <is>
          <t>REFRESH AFTER THE NEXT PRINT (H1 FY27, Feb 2027): price + timestamp, cash/borrowings/leases/provision, share count, FY27 growth and gross-margin trajectory, WC after peak season.</t>
        </is>
      </c>
    </row>
    <row r="27">
      <c r="A27" t="inlineStr"/>
    </row>
    <row r="28">
      <c r="A28" t="inlineStr">
        <is>
          <t>CELL COLOURS: blue font = hardcoded input; yellow fill = key driver row; black = formula; green font = cross-sheet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6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Reported history, A$ millions (source: BRG.AX metrics_normalized / annual reports FY2016-FY2026; each value is the filing's own, rescaled from thousands)</t>
        </is>
      </c>
    </row>
    <row r="3">
      <c r="A3" t="inlineStr">
        <is>
          <t>FY (June year end)</t>
        </is>
      </c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  <c r="L3" s="1" t="inlineStr">
        <is>
          <t>FY2026</t>
        </is>
      </c>
    </row>
    <row r="4">
      <c r="A4" t="inlineStr">
        <is>
          <t>Revenue</t>
        </is>
      </c>
      <c r="B4" s="2" t="n">
        <v>576.573</v>
      </c>
      <c r="C4" s="2" t="n">
        <v>605.7329999999999</v>
      </c>
      <c r="D4" s="2" t="n">
        <v>652.348</v>
      </c>
      <c r="E4" s="2" t="n">
        <v>759.967</v>
      </c>
      <c r="F4" s="2" t="n">
        <v>952.244</v>
      </c>
      <c r="G4" s="2" t="n">
        <v>1187.659</v>
      </c>
      <c r="H4" s="2" t="n">
        <v>1418.437</v>
      </c>
      <c r="I4" s="2" t="n">
        <v>1478.554</v>
      </c>
      <c r="J4" s="2" t="n">
        <v>1529.993</v>
      </c>
      <c r="K4" s="2" t="n">
        <v>1696.551</v>
      </c>
      <c r="L4" s="2" t="n">
        <v>1810.896</v>
      </c>
    </row>
    <row r="5">
      <c r="A5" t="inlineStr">
        <is>
          <t>EBITDA (reported, after SBC, post-AASB16 from FY20)</t>
        </is>
      </c>
      <c r="B5" s="2" t="n">
        <v>83.41200000000001</v>
      </c>
      <c r="C5" s="2" t="n">
        <v>89.789</v>
      </c>
      <c r="D5" s="2" t="n">
        <v>100.211</v>
      </c>
      <c r="E5" s="2" t="n">
        <v>113.961</v>
      </c>
      <c r="F5" s="2" t="n">
        <v>126.521</v>
      </c>
      <c r="G5" s="2" t="n">
        <v>163.298</v>
      </c>
      <c r="H5" s="2" t="n">
        <v>186.825</v>
      </c>
      <c r="I5" s="2" t="n">
        <v>218.163</v>
      </c>
      <c r="J5" s="2" t="n">
        <v>245.498</v>
      </c>
      <c r="K5" s="2" t="n">
        <v>271.894</v>
      </c>
      <c r="L5" s="2" t="n">
        <v>284.124</v>
      </c>
    </row>
    <row r="6">
      <c r="A6" t="inlineStr">
        <is>
          <t>Share-based payments expense</t>
        </is>
      </c>
      <c r="B6" s="2" t="n">
        <v>0.646</v>
      </c>
      <c r="C6" s="2" t="n">
        <v>0.228</v>
      </c>
      <c r="D6" s="2" t="n">
        <v>1.231</v>
      </c>
      <c r="E6" s="2" t="n">
        <v>2.176</v>
      </c>
      <c r="F6" s="2" t="n">
        <v>2.94</v>
      </c>
      <c r="G6" s="2" t="n">
        <v>6.288</v>
      </c>
      <c r="H6" s="2" t="n">
        <v>8.307</v>
      </c>
      <c r="I6" s="2" t="n">
        <v>11.92</v>
      </c>
      <c r="J6" s="2" t="n">
        <v>14.966</v>
      </c>
      <c r="K6" s="2" t="n">
        <v>18.688</v>
      </c>
      <c r="L6" s="2" t="n">
        <v>21.924</v>
      </c>
    </row>
    <row r="7">
      <c r="A7" t="inlineStr">
        <is>
          <t>NPAT</t>
        </is>
      </c>
      <c r="B7" s="2" t="n">
        <v>50.172</v>
      </c>
      <c r="C7" s="2" t="n">
        <v>53.834</v>
      </c>
      <c r="D7" s="2" t="n">
        <v>58.519</v>
      </c>
      <c r="E7" s="2" t="n">
        <v>67.38500000000001</v>
      </c>
      <c r="F7" s="2" t="n">
        <v>66.20099999999999</v>
      </c>
      <c r="G7" s="2" t="n">
        <v>90.968</v>
      </c>
      <c r="H7" s="2" t="n">
        <v>105.717</v>
      </c>
      <c r="I7" s="2" t="n">
        <v>110.208</v>
      </c>
      <c r="J7" s="2" t="n">
        <v>118.507</v>
      </c>
      <c r="K7" s="2" t="n">
        <v>135.854</v>
      </c>
      <c r="L7" s="2" t="n">
        <v>138.127</v>
      </c>
    </row>
    <row r="8">
      <c r="A8" t="inlineStr">
        <is>
          <t>Operating cash flow</t>
        </is>
      </c>
      <c r="B8" s="2" t="n">
        <v>52.289</v>
      </c>
      <c r="C8" s="2" t="n">
        <v>62.672</v>
      </c>
      <c r="D8" s="2" t="n">
        <v>88.652</v>
      </c>
      <c r="E8" s="2" t="n">
        <v>30.341</v>
      </c>
      <c r="F8" s="2" t="n">
        <v>132.295</v>
      </c>
      <c r="G8" s="2" t="n">
        <v>124.267</v>
      </c>
      <c r="H8" s="2" t="n">
        <v>-42.153</v>
      </c>
      <c r="I8" s="2" t="n">
        <v>90.254</v>
      </c>
      <c r="J8" s="2" t="n">
        <v>302.615</v>
      </c>
      <c r="K8" s="2" t="n">
        <v>171.474</v>
      </c>
      <c r="L8" s="2" t="n">
        <v>220.66</v>
      </c>
    </row>
    <row r="9">
      <c r="A9" t="inlineStr">
        <is>
          <t>Capex (PP&amp;E + development/intangibles)</t>
        </is>
      </c>
      <c r="B9" s="2" t="n">
        <v>13.789</v>
      </c>
      <c r="C9" s="2" t="n">
        <v>19.322</v>
      </c>
      <c r="D9" s="2" t="n">
        <v>19.465</v>
      </c>
      <c r="E9" s="2" t="n">
        <v>28.476</v>
      </c>
      <c r="F9" s="2" t="n">
        <v>38.376</v>
      </c>
      <c r="G9" s="2" t="n">
        <v>31.115</v>
      </c>
      <c r="H9" s="2" t="n">
        <v>42.692</v>
      </c>
      <c r="I9" s="2" t="n">
        <v>53.243</v>
      </c>
      <c r="J9" s="2" t="n">
        <v>62.119</v>
      </c>
      <c r="K9" s="2" t="n">
        <v>100.404</v>
      </c>
      <c r="L9" s="2" t="n">
        <v>90.506</v>
      </c>
    </row>
    <row r="10">
      <c r="A10" t="inlineStr">
        <is>
          <t>Reported FCF (OCF - capex)</t>
        </is>
      </c>
      <c r="B10" s="2" t="n">
        <v>38.5</v>
      </c>
      <c r="C10" s="2" t="n">
        <v>43.35</v>
      </c>
      <c r="D10" s="2" t="n">
        <v>69.187</v>
      </c>
      <c r="E10" s="2" t="n">
        <v>1.865</v>
      </c>
      <c r="F10" s="2" t="n">
        <v>93.919</v>
      </c>
      <c r="G10" s="2" t="n">
        <v>93.152</v>
      </c>
      <c r="H10" s="2" t="n">
        <v>-84.845</v>
      </c>
      <c r="I10" s="2" t="n">
        <v>37.011</v>
      </c>
      <c r="J10" s="2" t="n">
        <v>240.496</v>
      </c>
      <c r="K10" s="2" t="n">
        <v>71.06999999999999</v>
      </c>
      <c r="L10" s="2" t="n">
        <v>130.154</v>
      </c>
    </row>
    <row r="11">
      <c r="A11" t="inlineStr">
        <is>
          <t>Interest income</t>
        </is>
      </c>
      <c r="B11" s="2" t="n">
        <v>0.336</v>
      </c>
      <c r="C11" s="2" t="n">
        <v>0.624</v>
      </c>
      <c r="D11" s="2" t="n">
        <v>1.044</v>
      </c>
      <c r="E11" s="2" t="n">
        <v>0.449</v>
      </c>
      <c r="F11" s="2" t="n">
        <v>0.192</v>
      </c>
      <c r="G11" s="2" t="n">
        <v>0.13</v>
      </c>
      <c r="H11" s="2" t="n">
        <v>0.317</v>
      </c>
      <c r="I11" s="2" t="n">
        <v>0.669</v>
      </c>
      <c r="J11" s="2" t="n">
        <v>2.431</v>
      </c>
      <c r="K11" s="2" t="n">
        <v>1.845</v>
      </c>
      <c r="L11" s="2" t="n">
        <v>2.172</v>
      </c>
    </row>
    <row r="12">
      <c r="A12" t="inlineStr">
        <is>
          <t>Lease principal repaid (lease-asset renewal proxy)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7.325</v>
      </c>
      <c r="G12" s="2" t="n">
        <v>7.479</v>
      </c>
      <c r="H12" s="2" t="n">
        <v>7.674</v>
      </c>
      <c r="I12" s="2" t="n">
        <v>18.303</v>
      </c>
      <c r="J12" s="2" t="n">
        <v>20.547</v>
      </c>
      <c r="K12" s="2" t="n">
        <v>22.802</v>
      </c>
      <c r="L12" s="2" t="n">
        <v>22.136</v>
      </c>
    </row>
    <row r="13">
      <c r="A13" t="inlineStr">
        <is>
          <t>Shareholders' equity</t>
        </is>
      </c>
      <c r="B13" s="2" t="n">
        <v>246.005</v>
      </c>
      <c r="C13" s="2" t="n">
        <v>259.609</v>
      </c>
      <c r="D13" s="2" t="n">
        <v>283.235</v>
      </c>
      <c r="E13" s="2" t="n">
        <v>310.335</v>
      </c>
      <c r="F13" s="2" t="n">
        <v>426.4</v>
      </c>
      <c r="G13" s="2" t="n">
        <v>506.485</v>
      </c>
      <c r="H13" s="2" t="n">
        <v>614.417</v>
      </c>
      <c r="I13" s="2" t="n">
        <v>769.659</v>
      </c>
      <c r="J13" s="2" t="n">
        <v>848.2140000000001</v>
      </c>
      <c r="K13" s="2" t="n">
        <v>973.7089999999999</v>
      </c>
      <c r="L13" s="2" t="n">
        <v>1058.305</v>
      </c>
    </row>
    <row r="14">
      <c r="A14" t="inlineStr">
        <is>
          <t>EPS basic (A$)</t>
        </is>
      </c>
      <c r="B14" s="3" t="n">
        <v>0.386</v>
      </c>
      <c r="C14" s="3" t="n">
        <v>0.414</v>
      </c>
      <c r="D14" s="3" t="n">
        <v>0.45</v>
      </c>
      <c r="E14" s="3" t="n">
        <v>0.518</v>
      </c>
      <c r="F14" s="3" t="n">
        <v>0.505</v>
      </c>
      <c r="G14" s="3" t="n">
        <v>0.658</v>
      </c>
      <c r="H14" s="3" t="n">
        <v>0.759</v>
      </c>
      <c r="I14" s="3" t="n">
        <v>0.772</v>
      </c>
      <c r="J14" s="3" t="n">
        <v>0.827</v>
      </c>
      <c r="K14" s="3" t="n">
        <v>0.944</v>
      </c>
      <c r="L14" s="3" t="n">
        <v>0.955</v>
      </c>
    </row>
    <row r="15">
      <c r="A15" t="inlineStr">
        <is>
          <t>D&amp;A (total, incl ROU from FY20)</t>
        </is>
      </c>
      <c r="B15" s="2" t="n">
        <v>9.68</v>
      </c>
      <c r="C15" s="2" t="n">
        <v>10.769</v>
      </c>
      <c r="D15" s="2" t="n">
        <v>13.302</v>
      </c>
      <c r="E15" s="2" t="n">
        <v>16.616</v>
      </c>
      <c r="F15" s="2" t="n">
        <v>25.582</v>
      </c>
      <c r="G15" s="2" t="n">
        <v>26.868</v>
      </c>
      <c r="H15" s="2" t="n">
        <v>30.464</v>
      </c>
      <c r="I15" s="2" t="n">
        <v>46.142</v>
      </c>
      <c r="J15" s="2" t="n">
        <v>59.785</v>
      </c>
      <c r="K15" s="2" t="n">
        <v>67.328</v>
      </c>
      <c r="L15" s="2" t="n">
        <v>77.105</v>
      </c>
    </row>
    <row r="16">
      <c r="A16" t="inlineStr">
        <is>
          <t>Cash tax paid</t>
        </is>
      </c>
      <c r="B16" s="2" t="n">
        <v>20.518</v>
      </c>
      <c r="C16" s="2" t="n">
        <v>19.742</v>
      </c>
      <c r="D16" s="2" t="n">
        <v>22.326</v>
      </c>
      <c r="E16" s="2" t="n">
        <v>25.436</v>
      </c>
      <c r="F16" s="2" t="n">
        <v>28.93</v>
      </c>
      <c r="G16" s="2" t="n">
        <v>33.4</v>
      </c>
      <c r="H16" s="2" t="n">
        <v>47.358</v>
      </c>
      <c r="I16" s="2" t="n">
        <v>43.177</v>
      </c>
      <c r="J16" s="2" t="n">
        <v>41.266</v>
      </c>
      <c r="K16" s="2" t="n">
        <v>53.961</v>
      </c>
      <c r="L16" s="2" t="n">
        <v>62.297</v>
      </c>
    </row>
    <row r="17">
      <c r="A17" t="inlineStr">
        <is>
          <t>Profit before tax</t>
        </is>
      </c>
      <c r="B17" s="2" t="n">
        <v>71.51900000000001</v>
      </c>
      <c r="C17" s="2" t="n">
        <v>77.223</v>
      </c>
      <c r="D17" s="2" t="n">
        <v>84.373</v>
      </c>
      <c r="E17" s="2" t="n">
        <v>94.31100000000001</v>
      </c>
      <c r="F17" s="2" t="n">
        <v>92.76300000000001</v>
      </c>
      <c r="G17" s="2" t="n">
        <v>127.403</v>
      </c>
      <c r="H17" s="2" t="n">
        <v>147.834</v>
      </c>
      <c r="I17" s="2" t="n">
        <v>150.991</v>
      </c>
      <c r="J17" s="2" t="n">
        <v>165.687</v>
      </c>
      <c r="K17" s="2" t="n">
        <v>189.898</v>
      </c>
      <c r="L17" s="2" t="n">
        <v>193.178</v>
      </c>
    </row>
    <row r="20">
      <c r="A20" s="1" t="inlineStr">
        <is>
          <t>Balance-sheet snapshot 30 June 2026 (A$m)</t>
        </is>
      </c>
    </row>
    <row r="21">
      <c r="A21" t="inlineStr">
        <is>
          <t>Cash and cash equivalents</t>
        </is>
      </c>
      <c r="B21" s="2" t="n">
        <v>193.358</v>
      </c>
    </row>
    <row r="22">
      <c r="A22" t="inlineStr">
        <is>
          <t>Borrowings current</t>
        </is>
      </c>
      <c r="B22" s="2" t="n">
        <v>3.378</v>
      </c>
    </row>
    <row r="23">
      <c r="A23" t="inlineStr">
        <is>
          <t>Borrowings non-current</t>
        </is>
      </c>
      <c r="B23" s="2" t="n">
        <v>85.544</v>
      </c>
    </row>
    <row r="24">
      <c r="A24" t="inlineStr">
        <is>
          <t>Lease liabilities current</t>
        </is>
      </c>
      <c r="B24" s="2" t="n">
        <v>20.424</v>
      </c>
    </row>
    <row r="25">
      <c r="A25" t="inlineStr">
        <is>
          <t>Lease liabilities non-current</t>
        </is>
      </c>
      <c r="B25" s="2" t="n">
        <v>44.075</v>
      </c>
    </row>
    <row r="26">
      <c r="A26" t="inlineStr">
        <is>
          <t>Value-chain provision (IEEPA Phase 1 refunds owed onward, Note 6)</t>
        </is>
      </c>
      <c r="B26" s="2" t="n">
        <v>55.163</v>
      </c>
    </row>
    <row r="27">
      <c r="A27" t="inlineStr">
        <is>
          <t>Inventory</t>
        </is>
      </c>
      <c r="B27" s="2" t="n">
        <v>465.8</v>
      </c>
    </row>
    <row r="28">
      <c r="A28" t="inlineStr">
        <is>
          <t>Receivables</t>
        </is>
      </c>
      <c r="B28" s="2" t="n">
        <v>310.6</v>
      </c>
    </row>
    <row r="29">
      <c r="A29" t="inlineStr">
        <is>
          <t>Trade and other payables</t>
        </is>
      </c>
      <c r="B29" s="2" t="n">
        <v>321.1</v>
      </c>
    </row>
    <row r="30">
      <c r="A30" t="inlineStr">
        <is>
          <t>Company-stated net cash (ex-lease, ex-provision)</t>
        </is>
      </c>
      <c r="B30" s="2" t="n">
        <v>104.436</v>
      </c>
    </row>
    <row r="33">
      <c r="A33" s="1" t="inlineStr">
        <is>
          <t>Share count (Notes 13-14)</t>
        </is>
      </c>
    </row>
    <row r="34">
      <c r="A34" t="inlineStr">
        <is>
          <t>Ordinary shares on issue 30 June 2026 (m)</t>
        </is>
      </c>
      <c r="B34" s="4" t="n">
        <v>144.838561</v>
      </c>
    </row>
    <row r="35">
      <c r="A35" t="inlineStr">
        <is>
          <t>Potential ordinary shares (diluted WANOS 146.963 - basic 144.680)</t>
        </is>
      </c>
      <c r="B35" s="4" t="n">
        <v>2.283</v>
      </c>
    </row>
    <row r="36">
      <c r="A36" t="inlineStr">
        <is>
          <t>Fully diluted (used)</t>
        </is>
      </c>
      <c r="B36" s="5">
        <f>B34+B35</f>
        <v/>
      </c>
    </row>
    <row r="37">
      <c r="A37" t="inlineStr">
        <is>
          <t>Shares issued to employee share trust FY26 (m)</t>
        </is>
      </c>
      <c r="B37" s="4" t="n">
        <v>0.892</v>
      </c>
    </row>
    <row r="38">
      <c r="A38" t="inlineStr">
        <is>
          <t>Buybacks FY16-FY26</t>
        </is>
      </c>
      <c r="B38" s="4" t="n">
        <v>0</v>
      </c>
    </row>
    <row r="40">
      <c r="A40" t="inlineStr">
        <is>
          <t>Guidance: no quantitative FY27 guidance in the FY2026 annual report. FY26 EBIT A$207.0m met the half-year guidance. Board: 'challenging macro environment, again'; dividend payout target ~40% of EPS.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  <col width="70" customWidth="1" min="3" max="3"/>
  </cols>
  <sheetData>
    <row r="1">
      <c r="A1" s="1" t="inlineStr">
        <is>
          <t>Global inputs (blue) -- every DCF tab links here</t>
        </is>
      </c>
    </row>
    <row r="4">
      <c r="A4" t="inlineStr">
        <is>
          <t>Current price (A$)</t>
        </is>
      </c>
      <c r="B4" s="6" t="n">
        <v>29.4</v>
      </c>
      <c r="C4" t="inlineStr">
        <is>
          <t>Yahoo ASX close 2026-09-21T06:10:31Z</t>
        </is>
      </c>
    </row>
    <row r="5">
      <c r="A5" t="inlineStr">
        <is>
          <t>Fully diluted shares (m)</t>
        </is>
      </c>
      <c r="B5" s="4" t="n">
        <v>147.122</v>
      </c>
      <c r="C5" t="inlineStr">
        <is>
          <t>144.839m issued + 2.283m potential; held flat (SBC expensed)</t>
        </is>
      </c>
    </row>
    <row r="6">
      <c r="A6" t="inlineStr">
        <is>
          <t>Net debt (A$m; negative = net cash)</t>
        </is>
      </c>
      <c r="B6" s="2" t="n">
        <v>15.226</v>
      </c>
      <c r="C6" t="inlineStr">
        <is>
          <t>borrowings 88.922 + leases 64.499 - cash 193.358 + IEEPA provision 55.163</t>
        </is>
      </c>
    </row>
    <row r="7">
      <c r="A7" t="inlineStr">
        <is>
          <t>WACC</t>
        </is>
      </c>
      <c r="B7" s="7" t="n">
        <v>0.1</v>
      </c>
      <c r="C7" t="inlineStr">
        <is>
          <t>AUD: ACGB ~4.3% + 5.5% ERP x ~1.05 beta; same for all scenarios</t>
        </is>
      </c>
    </row>
    <row r="8">
      <c r="A8" t="inlineStr">
        <is>
          <t>D&amp;A % of revenue</t>
        </is>
      </c>
      <c r="B8" s="7" t="n">
        <v>0.043</v>
      </c>
      <c r="C8" t="inlineStr">
        <is>
          <t>FY26 77.1m / 1810.9m = 4.26%, incl ROU depreciation 21.95m</t>
        </is>
      </c>
    </row>
    <row r="9">
      <c r="A9" t="inlineStr">
        <is>
          <t>Hurdle rate (entry price IRR)</t>
        </is>
      </c>
      <c r="B9" s="7" t="n">
        <v>0.15</v>
      </c>
      <c r="C9" t="inlineStr">
        <is>
          <t>house standard</t>
        </is>
      </c>
    </row>
    <row r="10">
      <c r="A10" t="inlineStr">
        <is>
          <t>Revenue FY2026 (A$m)</t>
        </is>
      </c>
      <c r="B10" s="2" t="n">
        <v>1810.896</v>
      </c>
      <c r="C10" t="inlineStr">
        <is>
          <t>annual report FY2026</t>
        </is>
      </c>
    </row>
    <row r="11">
      <c r="A11" t="inlineStr">
        <is>
          <t>Cash (A$m, memo)</t>
        </is>
      </c>
      <c r="B11" s="2" t="n">
        <v>193.358</v>
      </c>
      <c r="C11" t="inlineStr">
        <is>
          <t>30 June 2026</t>
        </is>
      </c>
    </row>
    <row r="12">
      <c r="A12" t="inlineStr">
        <is>
          <t>Horizon (years)</t>
        </is>
      </c>
      <c r="B12" s="8" t="n">
        <v>10</v>
      </c>
      <c r="C12" t="inlineStr">
        <is>
          <t>margins and WC drag still maturing at year 5</t>
        </is>
      </c>
    </row>
    <row r="14">
      <c r="A14" s="1" t="inlineStr">
        <is>
          <t>Per-scenario inputs</t>
        </is>
      </c>
      <c r="B14" s="1" t="inlineStr">
        <is>
          <t>Bear</t>
        </is>
      </c>
      <c r="C14" s="1" t="inlineStr">
        <is>
          <t>Base</t>
        </is>
      </c>
      <c r="D14" s="1" t="inlineStr">
        <is>
          <t>Bull</t>
        </is>
      </c>
    </row>
    <row r="15">
      <c r="A15" t="inlineStr">
        <is>
          <t>Terminal growth</t>
        </is>
      </c>
      <c r="B15" s="7" t="n">
        <v>0.02</v>
      </c>
      <c r="C15" s="7" t="n">
        <v>0.03</v>
      </c>
      <c r="D15" s="7" t="n">
        <v>0.035</v>
      </c>
    </row>
    <row r="16">
      <c r="A16" t="inlineStr">
        <is>
          <t>Probability weight</t>
        </is>
      </c>
      <c r="B16" s="7" t="n">
        <v>0.2</v>
      </c>
      <c r="C16" s="7" t="n">
        <v>0.5</v>
      </c>
      <c r="D16" s="7" t="n">
        <v>0.3</v>
      </c>
    </row>
    <row r="17">
      <c r="A17" t="inlineStr">
        <is>
          <t>Terminal cap (x owner FCF_10)</t>
        </is>
      </c>
      <c r="B17" s="9" t="n">
        <v>15</v>
      </c>
      <c r="C17" s="9" t="n">
        <v>18</v>
      </c>
      <c r="D17" s="9" t="n">
        <v>18</v>
      </c>
    </row>
    <row r="18">
      <c r="A18" t="inlineStr">
        <is>
          <t>WC capture on revenue change</t>
        </is>
      </c>
      <c r="B18" s="7" t="n">
        <v>-0.3</v>
      </c>
      <c r="C18" s="7" t="n">
        <v>-0.25</v>
      </c>
      <c r="D18" s="7" t="n">
        <v>-0.2</v>
      </c>
    </row>
    <row r="19">
      <c r="A19" t="inlineStr">
        <is>
          <t>Weights check (must be 100%)</t>
        </is>
      </c>
      <c r="B19" s="10">
        <f>SUM(B16:D16)</f>
        <v/>
      </c>
    </row>
    <row r="21">
      <c r="A21" s="1" t="inlineStr">
        <is>
          <t>Scenario narratives</t>
        </is>
      </c>
    </row>
    <row r="22" ht="110" customHeight="1">
      <c r="A22" s="1" t="inlineStr">
        <is>
          <t>Bear</t>
        </is>
      </c>
      <c r="B22" s="11" t="inlineStr">
        <is>
          <t>The tariff regime and a soft US consumer bite. Americas (49% of revenue) stalls, tariff cost cannot be fully priced through, and Chinese espresso-machine competition compresses gross margin: revenue grows 2-3% p.a. and adjusted EBITDA slides to 14.7% (reported ~13.4%) by FY36. Working capital stays heavy at 30% of growth (inventory pre-build for peak seasons, longer supply chains from diversified manufacturing), SBC drifts up to 1.3% of revenue, and cash tax stays at 30%. No balance-sheet stress: the business remains profitable and net cash, so this is a de-rating, not a solvency, scenario.</t>
        </is>
      </c>
    </row>
    <row r="23" ht="110" customHeight="1">
      <c r="A23" s="1" t="inlineStr">
        <is>
          <t>Base</t>
        </is>
      </c>
      <c r="B23" s="11" t="inlineStr">
        <is>
          <t>Breville keeps compounding at roughly its FY23-26 pace: revenue +7% in FY27 (FY26 was +6.7% reported, +9.7% constant currency) decelerating to 3% by FY36 as the coffee category matures and the new direct markets (China, Korea, Middle East, Mexico) scale from a small base. Adjusted EBITDA margin (pre-SBC, post-AASB16) recovers from the tariff-depressed 16.9% toward 17.7% as the diversified 120V sourcing (85% of GP ex-China) removes cost volatility. Working capital stays a 25% drag on growth (inventory + receivables - payables = 25% of revenue), development capex runs ahead of amortisation, and SBC is held at 1.25% of revenue. Cash tax 29-30%.</t>
        </is>
      </c>
    </row>
    <row r="24" ht="110" customHeight="1">
      <c r="A24" s="1" t="inlineStr">
        <is>
          <t>Bull</t>
        </is>
      </c>
      <c r="B24" s="11" t="inlineStr">
        <is>
          <t>The last decade repeats. Revenue CAGR of ~12% (FY16-26 actual: 12.1%) for the first three years on China (7.1x the prior distributor in year one), Middle East (6.6x), Korea and the Best Buy store-in-store roll-out, then a normal deceleration. Premium coffee (Oracle Jet/Dual Boiler, Lelit, Baratza) keeps taking share, gross margin recovers above 37% once tariff pass-through is complete, and operating leverage lifts adjusted EBITDA to 19.5% by FY36. Better inventory turns cut the WC drag to 20% of revenue growth.</t>
        </is>
      </c>
    </row>
    <row r="26" ht="90" customHeight="1">
      <c r="A26" s="1" t="inlineStr">
        <is>
          <t>Weights rationale</t>
        </is>
      </c>
      <c r="B26" s="11" t="inlineStr">
        <is>
          <t>20/50/30 versus the house 15/50/35. Bear raised to 20% because the two bear axes -- US tariff policy (restructured four times in FY26 and still unresolved) and a US discretionary-spending slowdown (Americas 49% of revenue) -- are exogenous, correlated and unhedgeable. Bull trimmed to 30% because it needs new-market scaling AND gross-margin recovery AND continued coffee-category share gain together. No going-concern or covenant risk (net cash ex-lease, $364m undrawn facilities), so the bear is a de-rating case, which is why it is not higher.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DCF_Bear -- owner-FCF component build, A$m. Drivers (yellow) on rows 5, 7, 9, 14, 22.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  <c r="H3" s="1" t="inlineStr">
        <is>
          <t>2032E</t>
        </is>
      </c>
      <c r="I3" s="1" t="inlineStr">
        <is>
          <t>2033E</t>
        </is>
      </c>
      <c r="J3" s="1" t="inlineStr">
        <is>
          <t>2034E</t>
        </is>
      </c>
      <c r="K3" s="1" t="inlineStr">
        <is>
          <t>2035E</t>
        </is>
      </c>
      <c r="L3" s="1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2" t="n">
        <v>0.02</v>
      </c>
      <c r="D5" s="12" t="n">
        <v>0.03</v>
      </c>
      <c r="E5" s="12" t="n">
        <v>0.03</v>
      </c>
      <c r="F5" s="12" t="n">
        <v>0.03</v>
      </c>
      <c r="G5" s="12" t="n">
        <v>0.03</v>
      </c>
      <c r="H5" s="12" t="n">
        <v>0.03</v>
      </c>
      <c r="I5" s="12" t="n">
        <v>0.03</v>
      </c>
      <c r="J5" s="12" t="n">
        <v>0.03</v>
      </c>
      <c r="K5" s="12" t="n">
        <v>0.025</v>
      </c>
      <c r="L5" s="12" t="n">
        <v>0.025</v>
      </c>
    </row>
    <row r="6">
      <c r="A6" t="inlineStr">
        <is>
          <t>Revenue</t>
        </is>
      </c>
      <c r="B6" s="13">
        <f>Assumptions!$B$10</f>
        <v/>
      </c>
      <c r="C6" s="14">
        <f>B6*(1+C5)</f>
        <v/>
      </c>
      <c r="D6" s="14">
        <f>C6*(1+D5)</f>
        <v/>
      </c>
      <c r="E6" s="14">
        <f>D6*(1+E5)</f>
        <v/>
      </c>
      <c r="F6" s="14">
        <f>E6*(1+F5)</f>
        <v/>
      </c>
      <c r="G6" s="14">
        <f>F6*(1+G5)</f>
        <v/>
      </c>
      <c r="H6" s="14">
        <f>G6*(1+H5)</f>
        <v/>
      </c>
      <c r="I6" s="14">
        <f>H6*(1+I5)</f>
        <v/>
      </c>
      <c r="J6" s="14">
        <f>I6*(1+J5)</f>
        <v/>
      </c>
      <c r="K6" s="14">
        <f>J6*(1+K5)</f>
        <v/>
      </c>
      <c r="L6" s="14">
        <f>K6*(1+L5)</f>
        <v/>
      </c>
    </row>
    <row r="7">
      <c r="A7" t="inlineStr">
        <is>
          <t>Adj EBITDA margin (pre-SBC)</t>
        </is>
      </c>
      <c r="B7" s="15" t="n">
        <v>0.169</v>
      </c>
      <c r="C7" s="12" t="n">
        <v>0.162</v>
      </c>
      <c r="D7" s="12" t="n">
        <v>0.160333</v>
      </c>
      <c r="E7" s="12" t="n">
        <v>0.158667</v>
      </c>
      <c r="F7" s="12" t="n">
        <v>0.157</v>
      </c>
      <c r="G7" s="12" t="n">
        <v>0.155333</v>
      </c>
      <c r="H7" s="12" t="n">
        <v>0.153667</v>
      </c>
      <c r="I7" s="12" t="n">
        <v>0.152</v>
      </c>
      <c r="J7" s="12" t="n">
        <v>0.150333</v>
      </c>
      <c r="K7" s="12" t="n">
        <v>0.148667</v>
      </c>
      <c r="L7" s="12" t="n">
        <v>0.147</v>
      </c>
    </row>
    <row r="8">
      <c r="A8" t="inlineStr">
        <is>
          <t>Adjusted EBITDA</t>
        </is>
      </c>
      <c r="B8" s="14">
        <f>B6*B7</f>
        <v/>
      </c>
      <c r="C8" s="14">
        <f>C6*C7</f>
        <v/>
      </c>
      <c r="D8" s="14">
        <f>D6*D7</f>
        <v/>
      </c>
      <c r="E8" s="14">
        <f>E6*E7</f>
        <v/>
      </c>
      <c r="F8" s="14">
        <f>F6*F7</f>
        <v/>
      </c>
      <c r="G8" s="14">
        <f>G6*G7</f>
        <v/>
      </c>
      <c r="H8" s="14">
        <f>H6*H7</f>
        <v/>
      </c>
      <c r="I8" s="14">
        <f>I6*I7</f>
        <v/>
      </c>
      <c r="J8" s="14">
        <f>J6*J7</f>
        <v/>
      </c>
      <c r="K8" s="14">
        <f>K6*K7</f>
        <v/>
      </c>
      <c r="L8" s="14">
        <f>L6*L7</f>
        <v/>
      </c>
    </row>
    <row r="9">
      <c r="A9" t="inlineStr">
        <is>
          <t>SBC % of revenue</t>
        </is>
      </c>
      <c r="B9" s="15" t="n">
        <v>0.0121</v>
      </c>
      <c r="C9" s="16" t="n">
        <v>0.013</v>
      </c>
      <c r="D9" s="16" t="n">
        <v>0.013</v>
      </c>
      <c r="E9" s="16" t="n">
        <v>0.013</v>
      </c>
      <c r="F9" s="16" t="n">
        <v>0.013</v>
      </c>
      <c r="G9" s="16" t="n">
        <v>0.013</v>
      </c>
      <c r="H9" s="16" t="n">
        <v>0.013</v>
      </c>
      <c r="I9" s="16" t="n">
        <v>0.013</v>
      </c>
      <c r="J9" s="16" t="n">
        <v>0.013</v>
      </c>
      <c r="K9" s="16" t="n">
        <v>0.013</v>
      </c>
      <c r="L9" s="16" t="n">
        <v>0.013</v>
      </c>
    </row>
    <row r="10">
      <c r="A10" t="inlineStr">
        <is>
          <t>SBC (negative)</t>
        </is>
      </c>
      <c r="B10" s="14">
        <f>-B6*B9</f>
        <v/>
      </c>
      <c r="C10" s="14">
        <f>-C6*C9</f>
        <v/>
      </c>
      <c r="D10" s="14">
        <f>-D6*D9</f>
        <v/>
      </c>
      <c r="E10" s="14">
        <f>-E6*E9</f>
        <v/>
      </c>
      <c r="F10" s="14">
        <f>-F6*F9</f>
        <v/>
      </c>
      <c r="G10" s="14">
        <f>-G6*G9</f>
        <v/>
      </c>
      <c r="H10" s="14">
        <f>-H6*H9</f>
        <v/>
      </c>
      <c r="I10" s="14">
        <f>-I6*I9</f>
        <v/>
      </c>
      <c r="J10" s="14">
        <f>-J6*J9</f>
        <v/>
      </c>
      <c r="K10" s="14">
        <f>-K6*K9</f>
        <v/>
      </c>
      <c r="L10" s="14">
        <f>-L6*L9</f>
        <v/>
      </c>
    </row>
    <row r="11">
      <c r="A11" t="inlineStr">
        <is>
          <t>Owner EBITDA</t>
        </is>
      </c>
      <c r="B11" s="14">
        <f>B8+B10</f>
        <v/>
      </c>
      <c r="C11" s="14">
        <f>C8+C10</f>
        <v/>
      </c>
      <c r="D11" s="14">
        <f>D8+D10</f>
        <v/>
      </c>
      <c r="E11" s="14">
        <f>E8+E10</f>
        <v/>
      </c>
      <c r="F11" s="14">
        <f>F8+F10</f>
        <v/>
      </c>
      <c r="G11" s="14">
        <f>G8+G10</f>
        <v/>
      </c>
      <c r="H11" s="14">
        <f>H8+H10</f>
        <v/>
      </c>
      <c r="I11" s="14">
        <f>I8+I10</f>
        <v/>
      </c>
      <c r="J11" s="14">
        <f>J8+J10</f>
        <v/>
      </c>
      <c r="K11" s="14">
        <f>K8+K10</f>
        <v/>
      </c>
      <c r="L11" s="14">
        <f>L8+L10</f>
        <v/>
      </c>
    </row>
    <row r="12">
      <c r="A12" t="inlineStr">
        <is>
          <t>D&amp;A (negative)</t>
        </is>
      </c>
      <c r="B12" s="2" t="n">
        <v>-77.105</v>
      </c>
      <c r="C12" s="13">
        <f>-C6*Assumptions!$B$8</f>
        <v/>
      </c>
      <c r="D12" s="13">
        <f>-D6*Assumptions!$B$8</f>
        <v/>
      </c>
      <c r="E12" s="13">
        <f>-E6*Assumptions!$B$8</f>
        <v/>
      </c>
      <c r="F12" s="13">
        <f>-F6*Assumptions!$B$8</f>
        <v/>
      </c>
      <c r="G12" s="13">
        <f>-G6*Assumptions!$B$8</f>
        <v/>
      </c>
      <c r="H12" s="13">
        <f>-H6*Assumptions!$B$8</f>
        <v/>
      </c>
      <c r="I12" s="13">
        <f>-I6*Assumptions!$B$8</f>
        <v/>
      </c>
      <c r="J12" s="13">
        <f>-J6*Assumptions!$B$8</f>
        <v/>
      </c>
      <c r="K12" s="13">
        <f>-K6*Assumptions!$B$8</f>
        <v/>
      </c>
      <c r="L12" s="13">
        <f>-L6*Assumptions!$B$8</f>
        <v/>
      </c>
    </row>
    <row r="13">
      <c r="A13" t="inlineStr">
        <is>
          <t>EBIT, SBC expensed</t>
        </is>
      </c>
      <c r="B13" s="14">
        <f>B11+B12</f>
        <v/>
      </c>
      <c r="C13" s="14">
        <f>C11+C12</f>
        <v/>
      </c>
      <c r="D13" s="14">
        <f>D11+D12</f>
        <v/>
      </c>
      <c r="E13" s="14">
        <f>E11+E12</f>
        <v/>
      </c>
      <c r="F13" s="14">
        <f>F11+F12</f>
        <v/>
      </c>
      <c r="G13" s="14">
        <f>G11+G12</f>
        <v/>
      </c>
      <c r="H13" s="14">
        <f>H11+H12</f>
        <v/>
      </c>
      <c r="I13" s="14">
        <f>I11+I12</f>
        <v/>
      </c>
      <c r="J13" s="14">
        <f>J11+J12</f>
        <v/>
      </c>
      <c r="K13" s="14">
        <f>K11+K12</f>
        <v/>
      </c>
      <c r="L13" s="14">
        <f>L11+L12</f>
        <v/>
      </c>
    </row>
    <row r="14">
      <c r="A14" t="inlineStr">
        <is>
          <t>Cash tax rate</t>
        </is>
      </c>
      <c r="B14" s="15" t="n">
        <v>0.3225</v>
      </c>
      <c r="C14" s="12" t="n">
        <v>0.3</v>
      </c>
      <c r="D14" s="12" t="n">
        <v>0.3</v>
      </c>
      <c r="E14" s="12" t="n">
        <v>0.3</v>
      </c>
      <c r="F14" s="12" t="n">
        <v>0.3</v>
      </c>
      <c r="G14" s="12" t="n">
        <v>0.3</v>
      </c>
      <c r="H14" s="12" t="n">
        <v>0.3</v>
      </c>
      <c r="I14" s="12" t="n">
        <v>0.3</v>
      </c>
      <c r="J14" s="12" t="n">
        <v>0.3</v>
      </c>
      <c r="K14" s="12" t="n">
        <v>0.3</v>
      </c>
      <c r="L14" s="12" t="n">
        <v>0.3</v>
      </c>
    </row>
    <row r="15">
      <c r="A15" t="inlineStr">
        <is>
          <t>NOPAT</t>
        </is>
      </c>
      <c r="C15" s="14">
        <f>C13-MAX(0,C13)*C14</f>
        <v/>
      </c>
      <c r="D15" s="14">
        <f>D13-MAX(0,D13)*D14</f>
        <v/>
      </c>
      <c r="E15" s="14">
        <f>E13-MAX(0,E13)*E14</f>
        <v/>
      </c>
      <c r="F15" s="14">
        <f>F13-MAX(0,F13)*F14</f>
        <v/>
      </c>
      <c r="G15" s="14">
        <f>G13-MAX(0,G13)*G14</f>
        <v/>
      </c>
      <c r="H15" s="14">
        <f>H13-MAX(0,H13)*H14</f>
        <v/>
      </c>
      <c r="I15" s="14">
        <f>I13-MAX(0,I13)*I14</f>
        <v/>
      </c>
      <c r="J15" s="14">
        <f>J13-MAX(0,J13)*J14</f>
        <v/>
      </c>
      <c r="K15" s="14">
        <f>K13-MAX(0,K13)*K14</f>
        <v/>
      </c>
      <c r="L15" s="14">
        <f>L13-MAX(0,L13)*L14</f>
        <v/>
      </c>
    </row>
    <row r="16">
      <c r="A16" t="inlineStr">
        <is>
          <t>add back D&amp;A</t>
        </is>
      </c>
      <c r="C16" s="14">
        <f>-C12</f>
        <v/>
      </c>
      <c r="D16" s="14">
        <f>-D12</f>
        <v/>
      </c>
      <c r="E16" s="14">
        <f>-E12</f>
        <v/>
      </c>
      <c r="F16" s="14">
        <f>-F12</f>
        <v/>
      </c>
      <c r="G16" s="14">
        <f>-G12</f>
        <v/>
      </c>
      <c r="H16" s="14">
        <f>-H12</f>
        <v/>
      </c>
      <c r="I16" s="14">
        <f>-I12</f>
        <v/>
      </c>
      <c r="J16" s="14">
        <f>-J12</f>
        <v/>
      </c>
      <c r="K16" s="14">
        <f>-K12</f>
        <v/>
      </c>
      <c r="L16" s="14">
        <f>-L12</f>
        <v/>
      </c>
    </row>
    <row r="17">
      <c r="A17" t="inlineStr">
        <is>
          <t>less capex</t>
        </is>
      </c>
      <c r="B17" s="2" t="n">
        <v>-112.642</v>
      </c>
      <c r="C17" s="14">
        <f>-C6*C22</f>
        <v/>
      </c>
      <c r="D17" s="14">
        <f>-D6*D22</f>
        <v/>
      </c>
      <c r="E17" s="14">
        <f>-E6*E22</f>
        <v/>
      </c>
      <c r="F17" s="14">
        <f>-F6*F22</f>
        <v/>
      </c>
      <c r="G17" s="14">
        <f>-G6*G22</f>
        <v/>
      </c>
      <c r="H17" s="14">
        <f>-H6*H22</f>
        <v/>
      </c>
      <c r="I17" s="14">
        <f>-I6*I22</f>
        <v/>
      </c>
      <c r="J17" s="14">
        <f>-J6*J22</f>
        <v/>
      </c>
      <c r="K17" s="14">
        <f>-K6*K22</f>
        <v/>
      </c>
      <c r="L17" s="14">
        <f>-L6*L22</f>
        <v/>
      </c>
    </row>
    <row r="18">
      <c r="A18" t="inlineStr">
        <is>
          <t>add working capital (negative = build)</t>
        </is>
      </c>
      <c r="C18" s="13">
        <f>Assumptions!$B$18*(C6-B6)</f>
        <v/>
      </c>
      <c r="D18" s="13">
        <f>Assumptions!$B$18*(D6-C6)</f>
        <v/>
      </c>
      <c r="E18" s="13">
        <f>Assumptions!$B$18*(E6-D6)</f>
        <v/>
      </c>
      <c r="F18" s="13">
        <f>Assumptions!$B$18*(F6-E6)</f>
        <v/>
      </c>
      <c r="G18" s="13">
        <f>Assumptions!$B$18*(G6-F6)</f>
        <v/>
      </c>
      <c r="H18" s="13">
        <f>Assumptions!$B$18*(H6-G6)</f>
        <v/>
      </c>
      <c r="I18" s="13">
        <f>Assumptions!$B$18*(I6-H6)</f>
        <v/>
      </c>
      <c r="J18" s="13">
        <f>Assumptions!$B$18*(J6-I6)</f>
        <v/>
      </c>
      <c r="K18" s="13">
        <f>Assumptions!$B$18*(K6-J6)</f>
        <v/>
      </c>
      <c r="L18" s="13">
        <f>Assumptions!$B$18*(L6-K6)</f>
        <v/>
      </c>
    </row>
    <row r="19">
      <c r="A19" t="inlineStr">
        <is>
          <t>Unlevered owner FCF</t>
        </is>
      </c>
      <c r="B19" s="2" t="n">
        <v>83.922</v>
      </c>
      <c r="C19" s="17">
        <f>C15+C16+C17+C18</f>
        <v/>
      </c>
      <c r="D19" s="17">
        <f>D15+D16+D17+D18</f>
        <v/>
      </c>
      <c r="E19" s="17">
        <f>E15+E16+E17+E18</f>
        <v/>
      </c>
      <c r="F19" s="17">
        <f>F15+F16+F17+F18</f>
        <v/>
      </c>
      <c r="G19" s="17">
        <f>G15+G16+G17+G18</f>
        <v/>
      </c>
      <c r="H19" s="17">
        <f>H15+H16+H17+H18</f>
        <v/>
      </c>
      <c r="I19" s="17">
        <f>I15+I16+I17+I18</f>
        <v/>
      </c>
      <c r="J19" s="17">
        <f>J15+J16+J17+J18</f>
        <v/>
      </c>
      <c r="K19" s="17">
        <f>K15+K16+K17+K18</f>
        <v/>
      </c>
      <c r="L19" s="17">
        <f>L15+L16+L17+L18</f>
        <v/>
      </c>
    </row>
    <row r="20">
      <c r="A20" t="inlineStr">
        <is>
          <t>Discount factor</t>
        </is>
      </c>
      <c r="C20" s="18">
        <f>1/(1+Assumptions!$B$7)^C4</f>
        <v/>
      </c>
      <c r="D20" s="18">
        <f>1/(1+Assumptions!$B$7)^D4</f>
        <v/>
      </c>
      <c r="E20" s="18">
        <f>1/(1+Assumptions!$B$7)^E4</f>
        <v/>
      </c>
      <c r="F20" s="18">
        <f>1/(1+Assumptions!$B$7)^F4</f>
        <v/>
      </c>
      <c r="G20" s="18">
        <f>1/(1+Assumptions!$B$7)^G4</f>
        <v/>
      </c>
      <c r="H20" s="18">
        <f>1/(1+Assumptions!$B$7)^H4</f>
        <v/>
      </c>
      <c r="I20" s="18">
        <f>1/(1+Assumptions!$B$7)^I4</f>
        <v/>
      </c>
      <c r="J20" s="18">
        <f>1/(1+Assumptions!$B$7)^J4</f>
        <v/>
      </c>
      <c r="K20" s="18">
        <f>1/(1+Assumptions!$B$7)^K4</f>
        <v/>
      </c>
      <c r="L20" s="18">
        <f>1/(1+Assumptions!$B$7)^L4</f>
        <v/>
      </c>
    </row>
    <row r="21">
      <c r="A21" t="inlineStr">
        <is>
          <t>PV of FCF</t>
        </is>
      </c>
      <c r="C21" s="14">
        <f>C19*C20</f>
        <v/>
      </c>
      <c r="D21" s="14">
        <f>D19*D20</f>
        <v/>
      </c>
      <c r="E21" s="14">
        <f>E19*E20</f>
        <v/>
      </c>
      <c r="F21" s="14">
        <f>F19*F20</f>
        <v/>
      </c>
      <c r="G21" s="14">
        <f>G19*G20</f>
        <v/>
      </c>
      <c r="H21" s="14">
        <f>H19*H20</f>
        <v/>
      </c>
      <c r="I21" s="14">
        <f>I19*I20</f>
        <v/>
      </c>
      <c r="J21" s="14">
        <f>J19*J20</f>
        <v/>
      </c>
      <c r="K21" s="14">
        <f>K19*K20</f>
        <v/>
      </c>
      <c r="L21" s="14">
        <f>L19*L20</f>
        <v/>
      </c>
    </row>
    <row r="22">
      <c r="A22" t="inlineStr">
        <is>
          <t>Capex % of revenue (incl ~1.2% lease renewal)</t>
        </is>
      </c>
      <c r="B22" s="15" t="n">
        <v>0.0622</v>
      </c>
      <c r="C22" s="16" t="n">
        <v>0.06</v>
      </c>
      <c r="D22" s="16" t="n">
        <v>0.058889</v>
      </c>
      <c r="E22" s="16" t="n">
        <v>0.057778</v>
      </c>
      <c r="F22" s="16" t="n">
        <v>0.056667</v>
      </c>
      <c r="G22" s="16" t="n">
        <v>0.055556</v>
      </c>
      <c r="H22" s="16" t="n">
        <v>0.054444</v>
      </c>
      <c r="I22" s="16" t="n">
        <v>0.05333300000000001</v>
      </c>
      <c r="J22" s="16" t="n">
        <v>0.052222</v>
      </c>
      <c r="K22" s="16" t="n">
        <v>0.051111</v>
      </c>
      <c r="L22" s="16" t="n">
        <v>0.05</v>
      </c>
    </row>
    <row r="23">
      <c r="A23" t="inlineStr">
        <is>
          <t>Memo: FCF before SBC (company-style)</t>
        </is>
      </c>
      <c r="C23" s="14">
        <f>C19-C10</f>
        <v/>
      </c>
      <c r="D23" s="14">
        <f>D19-D10</f>
        <v/>
      </c>
      <c r="E23" s="14">
        <f>E19-E10</f>
        <v/>
      </c>
      <c r="F23" s="14">
        <f>F19-F10</f>
        <v/>
      </c>
      <c r="G23" s="14">
        <f>G19-G10</f>
        <v/>
      </c>
      <c r="H23" s="14">
        <f>H19-H10</f>
        <v/>
      </c>
      <c r="I23" s="14">
        <f>I19-I10</f>
        <v/>
      </c>
      <c r="J23" s="14">
        <f>J19-J10</f>
        <v/>
      </c>
      <c r="K23" s="14">
        <f>K19-K10</f>
        <v/>
      </c>
      <c r="L23" s="14">
        <f>L19-L10</f>
        <v/>
      </c>
    </row>
    <row r="24">
      <c r="A24" t="inlineStr">
        <is>
          <t>Memo: owner-FCF margin</t>
        </is>
      </c>
      <c r="B24" s="19">
        <f>B19/B6</f>
        <v/>
      </c>
      <c r="C24" s="10">
        <f>C19/C6</f>
        <v/>
      </c>
      <c r="D24" s="10">
        <f>D19/D6</f>
        <v/>
      </c>
      <c r="E24" s="10">
        <f>E19/E6</f>
        <v/>
      </c>
      <c r="F24" s="10">
        <f>F19/F6</f>
        <v/>
      </c>
      <c r="G24" s="10">
        <f>G19/G6</f>
        <v/>
      </c>
      <c r="H24" s="10">
        <f>H19/H6</f>
        <v/>
      </c>
      <c r="I24" s="10">
        <f>I19/I6</f>
        <v/>
      </c>
      <c r="J24" s="10">
        <f>J19/J6</f>
        <v/>
      </c>
      <c r="K24" s="10">
        <f>K19/K6</f>
        <v/>
      </c>
      <c r="L24" s="10">
        <f>L19/L6</f>
        <v/>
      </c>
    </row>
    <row r="26">
      <c r="A26" t="inlineStr">
        <is>
          <t>Sum of PV (years 1-10)</t>
        </is>
      </c>
      <c r="B26" s="14">
        <f>SUM(C21:L21)</f>
        <v/>
      </c>
    </row>
    <row r="27">
      <c r="A27" t="inlineStr">
        <is>
          <t>Terminal growth</t>
        </is>
      </c>
      <c r="B27" s="18">
        <f>Assumptions!$B$15</f>
        <v/>
      </c>
    </row>
    <row r="28">
      <c r="A28" t="inlineStr">
        <is>
          <t>Terminal-year FCF x (1+g)</t>
        </is>
      </c>
      <c r="B28" s="14">
        <f>L19*(1+B27)</f>
        <v/>
      </c>
    </row>
    <row r="29">
      <c r="A29" t="inlineStr">
        <is>
          <t>Gordon terminal value</t>
        </is>
      </c>
      <c r="B29" s="14">
        <f>IF(Assumptions!$B$7&gt;B27,B28/(Assumptions!$B$7-B27),0)</f>
        <v/>
      </c>
    </row>
    <row r="30">
      <c r="A30" t="inlineStr">
        <is>
          <t>Cap terminal value</t>
        </is>
      </c>
      <c r="B30" s="13">
        <f>Assumptions!$B$17*L19</f>
        <v/>
      </c>
    </row>
    <row r="31">
      <c r="A31" t="inlineStr">
        <is>
          <t>Terminal value used = MAX(0,MIN(Gordon,cap))</t>
        </is>
      </c>
      <c r="B31" s="14">
        <f>MAX(0,MIN(B29,B30))</f>
        <v/>
      </c>
    </row>
    <row r="32">
      <c r="A32" t="inlineStr">
        <is>
          <t>Implied exit multiple (x FCF_10)</t>
        </is>
      </c>
      <c r="B32" s="20">
        <f>IF(L19&lt;&gt;0,B31/L19,0)</f>
        <v/>
      </c>
    </row>
    <row r="33">
      <c r="A33" t="inlineStr">
        <is>
          <t>PV of terminal value</t>
        </is>
      </c>
      <c r="B33" s="14">
        <f>B31*L20</f>
        <v/>
      </c>
    </row>
    <row r="34">
      <c r="A34" t="inlineStr">
        <is>
          <t>Enterprise value</t>
        </is>
      </c>
      <c r="B34" s="14">
        <f>B26+B33</f>
        <v/>
      </c>
    </row>
    <row r="35">
      <c r="A35" t="inlineStr">
        <is>
          <t>less net debt (add net cash)</t>
        </is>
      </c>
      <c r="B35" s="13">
        <f>-Assumptions!$B$6</f>
        <v/>
      </c>
    </row>
    <row r="36">
      <c r="A36" t="inlineStr">
        <is>
          <t>Equity value</t>
        </is>
      </c>
      <c r="B36" s="14">
        <f>B34+B35</f>
        <v/>
      </c>
    </row>
    <row r="37">
      <c r="A37" t="inlineStr">
        <is>
          <t>Diluted shares (m)</t>
        </is>
      </c>
      <c r="B37" s="21">
        <f>Assumptions!$B$5</f>
        <v/>
      </c>
    </row>
    <row r="38">
      <c r="A38" t="inlineStr">
        <is>
          <t>VALUE PER SHARE (A$)</t>
        </is>
      </c>
      <c r="B38" s="22">
        <f>B36/B37</f>
        <v/>
      </c>
    </row>
    <row r="39">
      <c r="A39" t="inlineStr">
        <is>
          <t>Upside vs price</t>
        </is>
      </c>
      <c r="B39" s="10">
        <f>B38/Assumptions!$B$4-1</f>
        <v/>
      </c>
    </row>
    <row r="41">
      <c r="A41" t="inlineStr">
        <is>
          <t>Street memo: PV of explicit-period SBC</t>
        </is>
      </c>
      <c r="B41" s="14">
        <f>SUMPRODUCT(-C10:L10/(1+Assumptions!$B$7)^C4:L4)</f>
        <v/>
      </c>
    </row>
    <row r="42">
      <c r="A42" t="inlineStr">
        <is>
          <t>Street memo: PV of terminal SBC</t>
        </is>
      </c>
      <c r="B42" s="14">
        <f>IF(Assumptions!$B$7&gt;B27,(-L10*(1+B27)/(Assumptions!$B$7-B27))*L20,0)</f>
        <v/>
      </c>
    </row>
    <row r="43">
      <c r="A43" t="inlineStr">
        <is>
          <t>Street value per share (SBC as non-cash)</t>
        </is>
      </c>
      <c r="B43" s="23">
        <f>(B36+B41+B42)/B37</f>
        <v/>
      </c>
    </row>
    <row r="44">
      <c r="A44" t="inlineStr">
        <is>
          <t>Terminal % of EV</t>
        </is>
      </c>
      <c r="B44" s="10">
        <f>IF(B34&lt;&gt;0,B33/B34,0)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DCF_Base -- owner-FCF component build, A$m. Drivers (yellow) on rows 5, 7, 9, 14, 22.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  <c r="H3" s="1" t="inlineStr">
        <is>
          <t>2032E</t>
        </is>
      </c>
      <c r="I3" s="1" t="inlineStr">
        <is>
          <t>2033E</t>
        </is>
      </c>
      <c r="J3" s="1" t="inlineStr">
        <is>
          <t>2034E</t>
        </is>
      </c>
      <c r="K3" s="1" t="inlineStr">
        <is>
          <t>2035E</t>
        </is>
      </c>
      <c r="L3" s="1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2" t="n">
        <v>0.07000000000000001</v>
      </c>
      <c r="D5" s="12" t="n">
        <v>0.07000000000000001</v>
      </c>
      <c r="E5" s="12" t="n">
        <v>0.065</v>
      </c>
      <c r="F5" s="12" t="n">
        <v>0.06</v>
      </c>
      <c r="G5" s="12" t="n">
        <v>0.055</v>
      </c>
      <c r="H5" s="12" t="n">
        <v>0.05</v>
      </c>
      <c r="I5" s="12" t="n">
        <v>0.045</v>
      </c>
      <c r="J5" s="12" t="n">
        <v>0.04</v>
      </c>
      <c r="K5" s="12" t="n">
        <v>0.035</v>
      </c>
      <c r="L5" s="12" t="n">
        <v>0.03</v>
      </c>
    </row>
    <row r="6">
      <c r="A6" t="inlineStr">
        <is>
          <t>Revenue</t>
        </is>
      </c>
      <c r="B6" s="13">
        <f>Assumptions!$B$10</f>
        <v/>
      </c>
      <c r="C6" s="14">
        <f>B6*(1+C5)</f>
        <v/>
      </c>
      <c r="D6" s="14">
        <f>C6*(1+D5)</f>
        <v/>
      </c>
      <c r="E6" s="14">
        <f>D6*(1+E5)</f>
        <v/>
      </c>
      <c r="F6" s="14">
        <f>E6*(1+F5)</f>
        <v/>
      </c>
      <c r="G6" s="14">
        <f>F6*(1+G5)</f>
        <v/>
      </c>
      <c r="H6" s="14">
        <f>G6*(1+H5)</f>
        <v/>
      </c>
      <c r="I6" s="14">
        <f>H6*(1+I5)</f>
        <v/>
      </c>
      <c r="J6" s="14">
        <f>I6*(1+J5)</f>
        <v/>
      </c>
      <c r="K6" s="14">
        <f>J6*(1+K5)</f>
        <v/>
      </c>
      <c r="L6" s="14">
        <f>K6*(1+L5)</f>
        <v/>
      </c>
    </row>
    <row r="7">
      <c r="A7" t="inlineStr">
        <is>
          <t>Adj EBITDA margin (pre-SBC)</t>
        </is>
      </c>
      <c r="B7" s="15" t="n">
        <v>0.169</v>
      </c>
      <c r="C7" s="12" t="n">
        <v>0.169</v>
      </c>
      <c r="D7" s="12" t="n">
        <v>0.169889</v>
      </c>
      <c r="E7" s="12" t="n">
        <v>0.170778</v>
      </c>
      <c r="F7" s="12" t="n">
        <v>0.171667</v>
      </c>
      <c r="G7" s="12" t="n">
        <v>0.172556</v>
      </c>
      <c r="H7" s="12" t="n">
        <v>0.173444</v>
      </c>
      <c r="I7" s="12" t="n">
        <v>0.174333</v>
      </c>
      <c r="J7" s="12" t="n">
        <v>0.175222</v>
      </c>
      <c r="K7" s="12" t="n">
        <v>0.176111</v>
      </c>
      <c r="L7" s="12" t="n">
        <v>0.177</v>
      </c>
    </row>
    <row r="8">
      <c r="A8" t="inlineStr">
        <is>
          <t>Adjusted EBITDA</t>
        </is>
      </c>
      <c r="B8" s="14">
        <f>B6*B7</f>
        <v/>
      </c>
      <c r="C8" s="14">
        <f>C6*C7</f>
        <v/>
      </c>
      <c r="D8" s="14">
        <f>D6*D7</f>
        <v/>
      </c>
      <c r="E8" s="14">
        <f>E6*E7</f>
        <v/>
      </c>
      <c r="F8" s="14">
        <f>F6*F7</f>
        <v/>
      </c>
      <c r="G8" s="14">
        <f>G6*G7</f>
        <v/>
      </c>
      <c r="H8" s="14">
        <f>H6*H7</f>
        <v/>
      </c>
      <c r="I8" s="14">
        <f>I6*I7</f>
        <v/>
      </c>
      <c r="J8" s="14">
        <f>J6*J7</f>
        <v/>
      </c>
      <c r="K8" s="14">
        <f>K6*K7</f>
        <v/>
      </c>
      <c r="L8" s="14">
        <f>L6*L7</f>
        <v/>
      </c>
    </row>
    <row r="9">
      <c r="A9" t="inlineStr">
        <is>
          <t>SBC % of revenue</t>
        </is>
      </c>
      <c r="B9" s="15" t="n">
        <v>0.0121</v>
      </c>
      <c r="C9" s="16" t="n">
        <v>0.0125</v>
      </c>
      <c r="D9" s="16" t="n">
        <v>0.0125</v>
      </c>
      <c r="E9" s="16" t="n">
        <v>0.0125</v>
      </c>
      <c r="F9" s="16" t="n">
        <v>0.0125</v>
      </c>
      <c r="G9" s="16" t="n">
        <v>0.0125</v>
      </c>
      <c r="H9" s="16" t="n">
        <v>0.0125</v>
      </c>
      <c r="I9" s="16" t="n">
        <v>0.0125</v>
      </c>
      <c r="J9" s="16" t="n">
        <v>0.0125</v>
      </c>
      <c r="K9" s="16" t="n">
        <v>0.0125</v>
      </c>
      <c r="L9" s="16" t="n">
        <v>0.0125</v>
      </c>
    </row>
    <row r="10">
      <c r="A10" t="inlineStr">
        <is>
          <t>SBC (negative)</t>
        </is>
      </c>
      <c r="B10" s="14">
        <f>-B6*B9</f>
        <v/>
      </c>
      <c r="C10" s="14">
        <f>-C6*C9</f>
        <v/>
      </c>
      <c r="D10" s="14">
        <f>-D6*D9</f>
        <v/>
      </c>
      <c r="E10" s="14">
        <f>-E6*E9</f>
        <v/>
      </c>
      <c r="F10" s="14">
        <f>-F6*F9</f>
        <v/>
      </c>
      <c r="G10" s="14">
        <f>-G6*G9</f>
        <v/>
      </c>
      <c r="H10" s="14">
        <f>-H6*H9</f>
        <v/>
      </c>
      <c r="I10" s="14">
        <f>-I6*I9</f>
        <v/>
      </c>
      <c r="J10" s="14">
        <f>-J6*J9</f>
        <v/>
      </c>
      <c r="K10" s="14">
        <f>-K6*K9</f>
        <v/>
      </c>
      <c r="L10" s="14">
        <f>-L6*L9</f>
        <v/>
      </c>
    </row>
    <row r="11">
      <c r="A11" t="inlineStr">
        <is>
          <t>Owner EBITDA</t>
        </is>
      </c>
      <c r="B11" s="14">
        <f>B8+B10</f>
        <v/>
      </c>
      <c r="C11" s="14">
        <f>C8+C10</f>
        <v/>
      </c>
      <c r="D11" s="14">
        <f>D8+D10</f>
        <v/>
      </c>
      <c r="E11" s="14">
        <f>E8+E10</f>
        <v/>
      </c>
      <c r="F11" s="14">
        <f>F8+F10</f>
        <v/>
      </c>
      <c r="G11" s="14">
        <f>G8+G10</f>
        <v/>
      </c>
      <c r="H11" s="14">
        <f>H8+H10</f>
        <v/>
      </c>
      <c r="I11" s="14">
        <f>I8+I10</f>
        <v/>
      </c>
      <c r="J11" s="14">
        <f>J8+J10</f>
        <v/>
      </c>
      <c r="K11" s="14">
        <f>K8+K10</f>
        <v/>
      </c>
      <c r="L11" s="14">
        <f>L8+L10</f>
        <v/>
      </c>
    </row>
    <row r="12">
      <c r="A12" t="inlineStr">
        <is>
          <t>D&amp;A (negative)</t>
        </is>
      </c>
      <c r="B12" s="2" t="n">
        <v>-77.105</v>
      </c>
      <c r="C12" s="13">
        <f>-C6*Assumptions!$B$8</f>
        <v/>
      </c>
      <c r="D12" s="13">
        <f>-D6*Assumptions!$B$8</f>
        <v/>
      </c>
      <c r="E12" s="13">
        <f>-E6*Assumptions!$B$8</f>
        <v/>
      </c>
      <c r="F12" s="13">
        <f>-F6*Assumptions!$B$8</f>
        <v/>
      </c>
      <c r="G12" s="13">
        <f>-G6*Assumptions!$B$8</f>
        <v/>
      </c>
      <c r="H12" s="13">
        <f>-H6*Assumptions!$B$8</f>
        <v/>
      </c>
      <c r="I12" s="13">
        <f>-I6*Assumptions!$B$8</f>
        <v/>
      </c>
      <c r="J12" s="13">
        <f>-J6*Assumptions!$B$8</f>
        <v/>
      </c>
      <c r="K12" s="13">
        <f>-K6*Assumptions!$B$8</f>
        <v/>
      </c>
      <c r="L12" s="13">
        <f>-L6*Assumptions!$B$8</f>
        <v/>
      </c>
    </row>
    <row r="13">
      <c r="A13" t="inlineStr">
        <is>
          <t>EBIT, SBC expensed</t>
        </is>
      </c>
      <c r="B13" s="14">
        <f>B11+B12</f>
        <v/>
      </c>
      <c r="C13" s="14">
        <f>C11+C12</f>
        <v/>
      </c>
      <c r="D13" s="14">
        <f>D11+D12</f>
        <v/>
      </c>
      <c r="E13" s="14">
        <f>E11+E12</f>
        <v/>
      </c>
      <c r="F13" s="14">
        <f>F11+F12</f>
        <v/>
      </c>
      <c r="G13" s="14">
        <f>G11+G12</f>
        <v/>
      </c>
      <c r="H13" s="14">
        <f>H11+H12</f>
        <v/>
      </c>
      <c r="I13" s="14">
        <f>I11+I12</f>
        <v/>
      </c>
      <c r="J13" s="14">
        <f>J11+J12</f>
        <v/>
      </c>
      <c r="K13" s="14">
        <f>K11+K12</f>
        <v/>
      </c>
      <c r="L13" s="14">
        <f>L11+L12</f>
        <v/>
      </c>
    </row>
    <row r="14">
      <c r="A14" t="inlineStr">
        <is>
          <t>Cash tax rate</t>
        </is>
      </c>
      <c r="B14" s="15" t="n">
        <v>0.3225</v>
      </c>
      <c r="C14" s="12" t="n">
        <v>0.3</v>
      </c>
      <c r="D14" s="12" t="n">
        <v>0.29</v>
      </c>
      <c r="E14" s="12" t="n">
        <v>0.29</v>
      </c>
      <c r="F14" s="12" t="n">
        <v>0.29</v>
      </c>
      <c r="G14" s="12" t="n">
        <v>0.29</v>
      </c>
      <c r="H14" s="12" t="n">
        <v>0.29</v>
      </c>
      <c r="I14" s="12" t="n">
        <v>0.29</v>
      </c>
      <c r="J14" s="12" t="n">
        <v>0.29</v>
      </c>
      <c r="K14" s="12" t="n">
        <v>0.29</v>
      </c>
      <c r="L14" s="12" t="n">
        <v>0.29</v>
      </c>
    </row>
    <row r="15">
      <c r="A15" t="inlineStr">
        <is>
          <t>NOPAT</t>
        </is>
      </c>
      <c r="C15" s="14">
        <f>C13-MAX(0,C13)*C14</f>
        <v/>
      </c>
      <c r="D15" s="14">
        <f>D13-MAX(0,D13)*D14</f>
        <v/>
      </c>
      <c r="E15" s="14">
        <f>E13-MAX(0,E13)*E14</f>
        <v/>
      </c>
      <c r="F15" s="14">
        <f>F13-MAX(0,F13)*F14</f>
        <v/>
      </c>
      <c r="G15" s="14">
        <f>G13-MAX(0,G13)*G14</f>
        <v/>
      </c>
      <c r="H15" s="14">
        <f>H13-MAX(0,H13)*H14</f>
        <v/>
      </c>
      <c r="I15" s="14">
        <f>I13-MAX(0,I13)*I14</f>
        <v/>
      </c>
      <c r="J15" s="14">
        <f>J13-MAX(0,J13)*J14</f>
        <v/>
      </c>
      <c r="K15" s="14">
        <f>K13-MAX(0,K13)*K14</f>
        <v/>
      </c>
      <c r="L15" s="14">
        <f>L13-MAX(0,L13)*L14</f>
        <v/>
      </c>
    </row>
    <row r="16">
      <c r="A16" t="inlineStr">
        <is>
          <t>add back D&amp;A</t>
        </is>
      </c>
      <c r="C16" s="14">
        <f>-C12</f>
        <v/>
      </c>
      <c r="D16" s="14">
        <f>-D12</f>
        <v/>
      </c>
      <c r="E16" s="14">
        <f>-E12</f>
        <v/>
      </c>
      <c r="F16" s="14">
        <f>-F12</f>
        <v/>
      </c>
      <c r="G16" s="14">
        <f>-G12</f>
        <v/>
      </c>
      <c r="H16" s="14">
        <f>-H12</f>
        <v/>
      </c>
      <c r="I16" s="14">
        <f>-I12</f>
        <v/>
      </c>
      <c r="J16" s="14">
        <f>-J12</f>
        <v/>
      </c>
      <c r="K16" s="14">
        <f>-K12</f>
        <v/>
      </c>
      <c r="L16" s="14">
        <f>-L12</f>
        <v/>
      </c>
    </row>
    <row r="17">
      <c r="A17" t="inlineStr">
        <is>
          <t>less capex</t>
        </is>
      </c>
      <c r="B17" s="2" t="n">
        <v>-112.642</v>
      </c>
      <c r="C17" s="14">
        <f>-C6*C22</f>
        <v/>
      </c>
      <c r="D17" s="14">
        <f>-D6*D22</f>
        <v/>
      </c>
      <c r="E17" s="14">
        <f>-E6*E22</f>
        <v/>
      </c>
      <c r="F17" s="14">
        <f>-F6*F22</f>
        <v/>
      </c>
      <c r="G17" s="14">
        <f>-G6*G22</f>
        <v/>
      </c>
      <c r="H17" s="14">
        <f>-H6*H22</f>
        <v/>
      </c>
      <c r="I17" s="14">
        <f>-I6*I22</f>
        <v/>
      </c>
      <c r="J17" s="14">
        <f>-J6*J22</f>
        <v/>
      </c>
      <c r="K17" s="14">
        <f>-K6*K22</f>
        <v/>
      </c>
      <c r="L17" s="14">
        <f>-L6*L22</f>
        <v/>
      </c>
    </row>
    <row r="18">
      <c r="A18" t="inlineStr">
        <is>
          <t>add working capital (negative = build)</t>
        </is>
      </c>
      <c r="C18" s="13">
        <f>Assumptions!$C$18*(C6-B6)</f>
        <v/>
      </c>
      <c r="D18" s="13">
        <f>Assumptions!$C$18*(D6-C6)</f>
        <v/>
      </c>
      <c r="E18" s="13">
        <f>Assumptions!$C$18*(E6-D6)</f>
        <v/>
      </c>
      <c r="F18" s="13">
        <f>Assumptions!$C$18*(F6-E6)</f>
        <v/>
      </c>
      <c r="G18" s="13">
        <f>Assumptions!$C$18*(G6-F6)</f>
        <v/>
      </c>
      <c r="H18" s="13">
        <f>Assumptions!$C$18*(H6-G6)</f>
        <v/>
      </c>
      <c r="I18" s="13">
        <f>Assumptions!$C$18*(I6-H6)</f>
        <v/>
      </c>
      <c r="J18" s="13">
        <f>Assumptions!$C$18*(J6-I6)</f>
        <v/>
      </c>
      <c r="K18" s="13">
        <f>Assumptions!$C$18*(K6-J6)</f>
        <v/>
      </c>
      <c r="L18" s="13">
        <f>Assumptions!$C$18*(L6-K6)</f>
        <v/>
      </c>
    </row>
    <row r="19">
      <c r="A19" t="inlineStr">
        <is>
          <t>Unlevered owner FCF</t>
        </is>
      </c>
      <c r="B19" s="2" t="n">
        <v>83.922</v>
      </c>
      <c r="C19" s="17">
        <f>C15+C16+C17+C18</f>
        <v/>
      </c>
      <c r="D19" s="17">
        <f>D15+D16+D17+D18</f>
        <v/>
      </c>
      <c r="E19" s="17">
        <f>E15+E16+E17+E18</f>
        <v/>
      </c>
      <c r="F19" s="17">
        <f>F15+F16+F17+F18</f>
        <v/>
      </c>
      <c r="G19" s="17">
        <f>G15+G16+G17+G18</f>
        <v/>
      </c>
      <c r="H19" s="17">
        <f>H15+H16+H17+H18</f>
        <v/>
      </c>
      <c r="I19" s="17">
        <f>I15+I16+I17+I18</f>
        <v/>
      </c>
      <c r="J19" s="17">
        <f>J15+J16+J17+J18</f>
        <v/>
      </c>
      <c r="K19" s="17">
        <f>K15+K16+K17+K18</f>
        <v/>
      </c>
      <c r="L19" s="17">
        <f>L15+L16+L17+L18</f>
        <v/>
      </c>
    </row>
    <row r="20">
      <c r="A20" t="inlineStr">
        <is>
          <t>Discount factor</t>
        </is>
      </c>
      <c r="C20" s="18">
        <f>1/(1+Assumptions!$B$7)^C4</f>
        <v/>
      </c>
      <c r="D20" s="18">
        <f>1/(1+Assumptions!$B$7)^D4</f>
        <v/>
      </c>
      <c r="E20" s="18">
        <f>1/(1+Assumptions!$B$7)^E4</f>
        <v/>
      </c>
      <c r="F20" s="18">
        <f>1/(1+Assumptions!$B$7)^F4</f>
        <v/>
      </c>
      <c r="G20" s="18">
        <f>1/(1+Assumptions!$B$7)^G4</f>
        <v/>
      </c>
      <c r="H20" s="18">
        <f>1/(1+Assumptions!$B$7)^H4</f>
        <v/>
      </c>
      <c r="I20" s="18">
        <f>1/(1+Assumptions!$B$7)^I4</f>
        <v/>
      </c>
      <c r="J20" s="18">
        <f>1/(1+Assumptions!$B$7)^J4</f>
        <v/>
      </c>
      <c r="K20" s="18">
        <f>1/(1+Assumptions!$B$7)^K4</f>
        <v/>
      </c>
      <c r="L20" s="18">
        <f>1/(1+Assumptions!$B$7)^L4</f>
        <v/>
      </c>
    </row>
    <row r="21">
      <c r="A21" t="inlineStr">
        <is>
          <t>PV of FCF</t>
        </is>
      </c>
      <c r="C21" s="14">
        <f>C19*C20</f>
        <v/>
      </c>
      <c r="D21" s="14">
        <f>D19*D20</f>
        <v/>
      </c>
      <c r="E21" s="14">
        <f>E19*E20</f>
        <v/>
      </c>
      <c r="F21" s="14">
        <f>F19*F20</f>
        <v/>
      </c>
      <c r="G21" s="14">
        <f>G19*G20</f>
        <v/>
      </c>
      <c r="H21" s="14">
        <f>H19*H20</f>
        <v/>
      </c>
      <c r="I21" s="14">
        <f>I19*I20</f>
        <v/>
      </c>
      <c r="J21" s="14">
        <f>J19*J20</f>
        <v/>
      </c>
      <c r="K21" s="14">
        <f>K19*K20</f>
        <v/>
      </c>
      <c r="L21" s="14">
        <f>L19*L20</f>
        <v/>
      </c>
    </row>
    <row r="22">
      <c r="A22" t="inlineStr">
        <is>
          <t>Capex % of revenue (incl ~1.2% lease renewal)</t>
        </is>
      </c>
      <c r="B22" s="15" t="n">
        <v>0.0622</v>
      </c>
      <c r="C22" s="16" t="n">
        <v>0.062</v>
      </c>
      <c r="D22" s="16" t="n">
        <v>0.060889</v>
      </c>
      <c r="E22" s="16" t="n">
        <v>0.059778</v>
      </c>
      <c r="F22" s="16" t="n">
        <v>0.058667</v>
      </c>
      <c r="G22" s="16" t="n">
        <v>0.057556</v>
      </c>
      <c r="H22" s="16" t="n">
        <v>0.056444</v>
      </c>
      <c r="I22" s="16" t="n">
        <v>0.05533299999999999</v>
      </c>
      <c r="J22" s="16" t="n">
        <v>0.054222</v>
      </c>
      <c r="K22" s="16" t="n">
        <v>0.053111</v>
      </c>
      <c r="L22" s="16" t="n">
        <v>0.052</v>
      </c>
    </row>
    <row r="23">
      <c r="A23" t="inlineStr">
        <is>
          <t>Memo: FCF before SBC (company-style)</t>
        </is>
      </c>
      <c r="C23" s="14">
        <f>C19-C10</f>
        <v/>
      </c>
      <c r="D23" s="14">
        <f>D19-D10</f>
        <v/>
      </c>
      <c r="E23" s="14">
        <f>E19-E10</f>
        <v/>
      </c>
      <c r="F23" s="14">
        <f>F19-F10</f>
        <v/>
      </c>
      <c r="G23" s="14">
        <f>G19-G10</f>
        <v/>
      </c>
      <c r="H23" s="14">
        <f>H19-H10</f>
        <v/>
      </c>
      <c r="I23" s="14">
        <f>I19-I10</f>
        <v/>
      </c>
      <c r="J23" s="14">
        <f>J19-J10</f>
        <v/>
      </c>
      <c r="K23" s="14">
        <f>K19-K10</f>
        <v/>
      </c>
      <c r="L23" s="14">
        <f>L19-L10</f>
        <v/>
      </c>
    </row>
    <row r="24">
      <c r="A24" t="inlineStr">
        <is>
          <t>Memo: owner-FCF margin</t>
        </is>
      </c>
      <c r="B24" s="19">
        <f>B19/B6</f>
        <v/>
      </c>
      <c r="C24" s="10">
        <f>C19/C6</f>
        <v/>
      </c>
      <c r="D24" s="10">
        <f>D19/D6</f>
        <v/>
      </c>
      <c r="E24" s="10">
        <f>E19/E6</f>
        <v/>
      </c>
      <c r="F24" s="10">
        <f>F19/F6</f>
        <v/>
      </c>
      <c r="G24" s="10">
        <f>G19/G6</f>
        <v/>
      </c>
      <c r="H24" s="10">
        <f>H19/H6</f>
        <v/>
      </c>
      <c r="I24" s="10">
        <f>I19/I6</f>
        <v/>
      </c>
      <c r="J24" s="10">
        <f>J19/J6</f>
        <v/>
      </c>
      <c r="K24" s="10">
        <f>K19/K6</f>
        <v/>
      </c>
      <c r="L24" s="10">
        <f>L19/L6</f>
        <v/>
      </c>
    </row>
    <row r="26">
      <c r="A26" t="inlineStr">
        <is>
          <t>Sum of PV (years 1-10)</t>
        </is>
      </c>
      <c r="B26" s="14">
        <f>SUM(C21:L21)</f>
        <v/>
      </c>
    </row>
    <row r="27">
      <c r="A27" t="inlineStr">
        <is>
          <t>Terminal growth</t>
        </is>
      </c>
      <c r="B27" s="18">
        <f>Assumptions!$C$15</f>
        <v/>
      </c>
    </row>
    <row r="28">
      <c r="A28" t="inlineStr">
        <is>
          <t>Terminal-year FCF x (1+g)</t>
        </is>
      </c>
      <c r="B28" s="14">
        <f>L19*(1+B27)</f>
        <v/>
      </c>
    </row>
    <row r="29">
      <c r="A29" t="inlineStr">
        <is>
          <t>Gordon terminal value</t>
        </is>
      </c>
      <c r="B29" s="14">
        <f>IF(Assumptions!$B$7&gt;B27,B28/(Assumptions!$B$7-B27),0)</f>
        <v/>
      </c>
    </row>
    <row r="30">
      <c r="A30" t="inlineStr">
        <is>
          <t>Cap terminal value</t>
        </is>
      </c>
      <c r="B30" s="13">
        <f>Assumptions!$C$17*L19</f>
        <v/>
      </c>
    </row>
    <row r="31">
      <c r="A31" t="inlineStr">
        <is>
          <t>Terminal value used = MAX(0,MIN(Gordon,cap))</t>
        </is>
      </c>
      <c r="B31" s="14">
        <f>MAX(0,MIN(B29,B30))</f>
        <v/>
      </c>
    </row>
    <row r="32">
      <c r="A32" t="inlineStr">
        <is>
          <t>Implied exit multiple (x FCF_10)</t>
        </is>
      </c>
      <c r="B32" s="20">
        <f>IF(L19&lt;&gt;0,B31/L19,0)</f>
        <v/>
      </c>
    </row>
    <row r="33">
      <c r="A33" t="inlineStr">
        <is>
          <t>PV of terminal value</t>
        </is>
      </c>
      <c r="B33" s="14">
        <f>B31*L20</f>
        <v/>
      </c>
    </row>
    <row r="34">
      <c r="A34" t="inlineStr">
        <is>
          <t>Enterprise value</t>
        </is>
      </c>
      <c r="B34" s="14">
        <f>B26+B33</f>
        <v/>
      </c>
    </row>
    <row r="35">
      <c r="A35" t="inlineStr">
        <is>
          <t>less net debt (add net cash)</t>
        </is>
      </c>
      <c r="B35" s="13">
        <f>-Assumptions!$B$6</f>
        <v/>
      </c>
    </row>
    <row r="36">
      <c r="A36" t="inlineStr">
        <is>
          <t>Equity value</t>
        </is>
      </c>
      <c r="B36" s="14">
        <f>B34+B35</f>
        <v/>
      </c>
    </row>
    <row r="37">
      <c r="A37" t="inlineStr">
        <is>
          <t>Diluted shares (m)</t>
        </is>
      </c>
      <c r="B37" s="21">
        <f>Assumptions!$B$5</f>
        <v/>
      </c>
    </row>
    <row r="38">
      <c r="A38" t="inlineStr">
        <is>
          <t>VALUE PER SHARE (A$)</t>
        </is>
      </c>
      <c r="B38" s="22">
        <f>B36/B37</f>
        <v/>
      </c>
    </row>
    <row r="39">
      <c r="A39" t="inlineStr">
        <is>
          <t>Upside vs price</t>
        </is>
      </c>
      <c r="B39" s="10">
        <f>B38/Assumptions!$B$4-1</f>
        <v/>
      </c>
    </row>
    <row r="41">
      <c r="A41" t="inlineStr">
        <is>
          <t>Street memo: PV of explicit-period SBC</t>
        </is>
      </c>
      <c r="B41" s="14">
        <f>SUMPRODUCT(-C10:L10/(1+Assumptions!$B$7)^C4:L4)</f>
        <v/>
      </c>
    </row>
    <row r="42">
      <c r="A42" t="inlineStr">
        <is>
          <t>Street memo: PV of terminal SBC</t>
        </is>
      </c>
      <c r="B42" s="14">
        <f>IF(Assumptions!$B$7&gt;B27,(-L10*(1+B27)/(Assumptions!$B$7-B27))*L20,0)</f>
        <v/>
      </c>
    </row>
    <row r="43">
      <c r="A43" t="inlineStr">
        <is>
          <t>Street value per share (SBC as non-cash)</t>
        </is>
      </c>
      <c r="B43" s="23">
        <f>(B36+B41+B42)/B37</f>
        <v/>
      </c>
    </row>
    <row r="44">
      <c r="A44" t="inlineStr">
        <is>
          <t>Terminal % of EV</t>
        </is>
      </c>
      <c r="B44" s="10">
        <f>IF(B34&lt;&gt;0,B33/B34,0)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DCF_Bull -- owner-FCF component build, A$m. Drivers (yellow) on rows 5, 7, 9, 14, 22.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  <c r="H3" s="1" t="inlineStr">
        <is>
          <t>2032E</t>
        </is>
      </c>
      <c r="I3" s="1" t="inlineStr">
        <is>
          <t>2033E</t>
        </is>
      </c>
      <c r="J3" s="1" t="inlineStr">
        <is>
          <t>2034E</t>
        </is>
      </c>
      <c r="K3" s="1" t="inlineStr">
        <is>
          <t>2035E</t>
        </is>
      </c>
      <c r="L3" s="1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2" t="n">
        <v>0.12</v>
      </c>
      <c r="D5" s="12" t="n">
        <v>0.11</v>
      </c>
      <c r="E5" s="12" t="n">
        <v>0.1</v>
      </c>
      <c r="F5" s="12" t="n">
        <v>0.09</v>
      </c>
      <c r="G5" s="12" t="n">
        <v>0.08</v>
      </c>
      <c r="H5" s="12" t="n">
        <v>0.07000000000000001</v>
      </c>
      <c r="I5" s="12" t="n">
        <v>0.06</v>
      </c>
      <c r="J5" s="12" t="n">
        <v>0.05</v>
      </c>
      <c r="K5" s="12" t="n">
        <v>0.04</v>
      </c>
      <c r="L5" s="12" t="n">
        <v>0.035</v>
      </c>
    </row>
    <row r="6">
      <c r="A6" t="inlineStr">
        <is>
          <t>Revenue</t>
        </is>
      </c>
      <c r="B6" s="13">
        <f>Assumptions!$B$10</f>
        <v/>
      </c>
      <c r="C6" s="14">
        <f>B6*(1+C5)</f>
        <v/>
      </c>
      <c r="D6" s="14">
        <f>C6*(1+D5)</f>
        <v/>
      </c>
      <c r="E6" s="14">
        <f>D6*(1+E5)</f>
        <v/>
      </c>
      <c r="F6" s="14">
        <f>E6*(1+F5)</f>
        <v/>
      </c>
      <c r="G6" s="14">
        <f>F6*(1+G5)</f>
        <v/>
      </c>
      <c r="H6" s="14">
        <f>G6*(1+H5)</f>
        <v/>
      </c>
      <c r="I6" s="14">
        <f>H6*(1+I5)</f>
        <v/>
      </c>
      <c r="J6" s="14">
        <f>I6*(1+J5)</f>
        <v/>
      </c>
      <c r="K6" s="14">
        <f>J6*(1+K5)</f>
        <v/>
      </c>
      <c r="L6" s="14">
        <f>K6*(1+L5)</f>
        <v/>
      </c>
    </row>
    <row r="7">
      <c r="A7" t="inlineStr">
        <is>
          <t>Adj EBITDA margin (pre-SBC)</t>
        </is>
      </c>
      <c r="B7" s="15" t="n">
        <v>0.169</v>
      </c>
      <c r="C7" s="12" t="n">
        <v>0.172</v>
      </c>
      <c r="D7" s="12" t="n">
        <v>0.174556</v>
      </c>
      <c r="E7" s="12" t="n">
        <v>0.177111</v>
      </c>
      <c r="F7" s="12" t="n">
        <v>0.179667</v>
      </c>
      <c r="G7" s="12" t="n">
        <v>0.182222</v>
      </c>
      <c r="H7" s="12" t="n">
        <v>0.184778</v>
      </c>
      <c r="I7" s="12" t="n">
        <v>0.187333</v>
      </c>
      <c r="J7" s="12" t="n">
        <v>0.189889</v>
      </c>
      <c r="K7" s="12" t="n">
        <v>0.192444</v>
      </c>
      <c r="L7" s="12" t="n">
        <v>0.195</v>
      </c>
    </row>
    <row r="8">
      <c r="A8" t="inlineStr">
        <is>
          <t>Adjusted EBITDA</t>
        </is>
      </c>
      <c r="B8" s="14">
        <f>B6*B7</f>
        <v/>
      </c>
      <c r="C8" s="14">
        <f>C6*C7</f>
        <v/>
      </c>
      <c r="D8" s="14">
        <f>D6*D7</f>
        <v/>
      </c>
      <c r="E8" s="14">
        <f>E6*E7</f>
        <v/>
      </c>
      <c r="F8" s="14">
        <f>F6*F7</f>
        <v/>
      </c>
      <c r="G8" s="14">
        <f>G6*G7</f>
        <v/>
      </c>
      <c r="H8" s="14">
        <f>H6*H7</f>
        <v/>
      </c>
      <c r="I8" s="14">
        <f>I6*I7</f>
        <v/>
      </c>
      <c r="J8" s="14">
        <f>J6*J7</f>
        <v/>
      </c>
      <c r="K8" s="14">
        <f>K6*K7</f>
        <v/>
      </c>
      <c r="L8" s="14">
        <f>L6*L7</f>
        <v/>
      </c>
    </row>
    <row r="9">
      <c r="A9" t="inlineStr">
        <is>
          <t>SBC % of revenue</t>
        </is>
      </c>
      <c r="B9" s="15" t="n">
        <v>0.0121</v>
      </c>
      <c r="C9" s="16" t="n">
        <v>0.012</v>
      </c>
      <c r="D9" s="16" t="n">
        <v>0.012</v>
      </c>
      <c r="E9" s="16" t="n">
        <v>0.012</v>
      </c>
      <c r="F9" s="16" t="n">
        <v>0.012</v>
      </c>
      <c r="G9" s="16" t="n">
        <v>0.012</v>
      </c>
      <c r="H9" s="16" t="n">
        <v>0.012</v>
      </c>
      <c r="I9" s="16" t="n">
        <v>0.012</v>
      </c>
      <c r="J9" s="16" t="n">
        <v>0.012</v>
      </c>
      <c r="K9" s="16" t="n">
        <v>0.012</v>
      </c>
      <c r="L9" s="16" t="n">
        <v>0.012</v>
      </c>
    </row>
    <row r="10">
      <c r="A10" t="inlineStr">
        <is>
          <t>SBC (negative)</t>
        </is>
      </c>
      <c r="B10" s="14">
        <f>-B6*B9</f>
        <v/>
      </c>
      <c r="C10" s="14">
        <f>-C6*C9</f>
        <v/>
      </c>
      <c r="D10" s="14">
        <f>-D6*D9</f>
        <v/>
      </c>
      <c r="E10" s="14">
        <f>-E6*E9</f>
        <v/>
      </c>
      <c r="F10" s="14">
        <f>-F6*F9</f>
        <v/>
      </c>
      <c r="G10" s="14">
        <f>-G6*G9</f>
        <v/>
      </c>
      <c r="H10" s="14">
        <f>-H6*H9</f>
        <v/>
      </c>
      <c r="I10" s="14">
        <f>-I6*I9</f>
        <v/>
      </c>
      <c r="J10" s="14">
        <f>-J6*J9</f>
        <v/>
      </c>
      <c r="K10" s="14">
        <f>-K6*K9</f>
        <v/>
      </c>
      <c r="L10" s="14">
        <f>-L6*L9</f>
        <v/>
      </c>
    </row>
    <row r="11">
      <c r="A11" t="inlineStr">
        <is>
          <t>Owner EBITDA</t>
        </is>
      </c>
      <c r="B11" s="14">
        <f>B8+B10</f>
        <v/>
      </c>
      <c r="C11" s="14">
        <f>C8+C10</f>
        <v/>
      </c>
      <c r="D11" s="14">
        <f>D8+D10</f>
        <v/>
      </c>
      <c r="E11" s="14">
        <f>E8+E10</f>
        <v/>
      </c>
      <c r="F11" s="14">
        <f>F8+F10</f>
        <v/>
      </c>
      <c r="G11" s="14">
        <f>G8+G10</f>
        <v/>
      </c>
      <c r="H11" s="14">
        <f>H8+H10</f>
        <v/>
      </c>
      <c r="I11" s="14">
        <f>I8+I10</f>
        <v/>
      </c>
      <c r="J11" s="14">
        <f>J8+J10</f>
        <v/>
      </c>
      <c r="K11" s="14">
        <f>K8+K10</f>
        <v/>
      </c>
      <c r="L11" s="14">
        <f>L8+L10</f>
        <v/>
      </c>
    </row>
    <row r="12">
      <c r="A12" t="inlineStr">
        <is>
          <t>D&amp;A (negative)</t>
        </is>
      </c>
      <c r="B12" s="2" t="n">
        <v>-77.105</v>
      </c>
      <c r="C12" s="13">
        <f>-C6*Assumptions!$B$8</f>
        <v/>
      </c>
      <c r="D12" s="13">
        <f>-D6*Assumptions!$B$8</f>
        <v/>
      </c>
      <c r="E12" s="13">
        <f>-E6*Assumptions!$B$8</f>
        <v/>
      </c>
      <c r="F12" s="13">
        <f>-F6*Assumptions!$B$8</f>
        <v/>
      </c>
      <c r="G12" s="13">
        <f>-G6*Assumptions!$B$8</f>
        <v/>
      </c>
      <c r="H12" s="13">
        <f>-H6*Assumptions!$B$8</f>
        <v/>
      </c>
      <c r="I12" s="13">
        <f>-I6*Assumptions!$B$8</f>
        <v/>
      </c>
      <c r="J12" s="13">
        <f>-J6*Assumptions!$B$8</f>
        <v/>
      </c>
      <c r="K12" s="13">
        <f>-K6*Assumptions!$B$8</f>
        <v/>
      </c>
      <c r="L12" s="13">
        <f>-L6*Assumptions!$B$8</f>
        <v/>
      </c>
    </row>
    <row r="13">
      <c r="A13" t="inlineStr">
        <is>
          <t>EBIT, SBC expensed</t>
        </is>
      </c>
      <c r="B13" s="14">
        <f>B11+B12</f>
        <v/>
      </c>
      <c r="C13" s="14">
        <f>C11+C12</f>
        <v/>
      </c>
      <c r="D13" s="14">
        <f>D11+D12</f>
        <v/>
      </c>
      <c r="E13" s="14">
        <f>E11+E12</f>
        <v/>
      </c>
      <c r="F13" s="14">
        <f>F11+F12</f>
        <v/>
      </c>
      <c r="G13" s="14">
        <f>G11+G12</f>
        <v/>
      </c>
      <c r="H13" s="14">
        <f>H11+H12</f>
        <v/>
      </c>
      <c r="I13" s="14">
        <f>I11+I12</f>
        <v/>
      </c>
      <c r="J13" s="14">
        <f>J11+J12</f>
        <v/>
      </c>
      <c r="K13" s="14">
        <f>K11+K12</f>
        <v/>
      </c>
      <c r="L13" s="14">
        <f>L11+L12</f>
        <v/>
      </c>
    </row>
    <row r="14">
      <c r="A14" t="inlineStr">
        <is>
          <t>Cash tax rate</t>
        </is>
      </c>
      <c r="B14" s="15" t="n">
        <v>0.3225</v>
      </c>
      <c r="C14" s="12" t="n">
        <v>0.3</v>
      </c>
      <c r="D14" s="12" t="n">
        <v>0.29</v>
      </c>
      <c r="E14" s="12" t="n">
        <v>0.29</v>
      </c>
      <c r="F14" s="12" t="n">
        <v>0.29</v>
      </c>
      <c r="G14" s="12" t="n">
        <v>0.29</v>
      </c>
      <c r="H14" s="12" t="n">
        <v>0.29</v>
      </c>
      <c r="I14" s="12" t="n">
        <v>0.29</v>
      </c>
      <c r="J14" s="12" t="n">
        <v>0.29</v>
      </c>
      <c r="K14" s="12" t="n">
        <v>0.29</v>
      </c>
      <c r="L14" s="12" t="n">
        <v>0.29</v>
      </c>
    </row>
    <row r="15">
      <c r="A15" t="inlineStr">
        <is>
          <t>NOPAT</t>
        </is>
      </c>
      <c r="C15" s="14">
        <f>C13-MAX(0,C13)*C14</f>
        <v/>
      </c>
      <c r="D15" s="14">
        <f>D13-MAX(0,D13)*D14</f>
        <v/>
      </c>
      <c r="E15" s="14">
        <f>E13-MAX(0,E13)*E14</f>
        <v/>
      </c>
      <c r="F15" s="14">
        <f>F13-MAX(0,F13)*F14</f>
        <v/>
      </c>
      <c r="G15" s="14">
        <f>G13-MAX(0,G13)*G14</f>
        <v/>
      </c>
      <c r="H15" s="14">
        <f>H13-MAX(0,H13)*H14</f>
        <v/>
      </c>
      <c r="I15" s="14">
        <f>I13-MAX(0,I13)*I14</f>
        <v/>
      </c>
      <c r="J15" s="14">
        <f>J13-MAX(0,J13)*J14</f>
        <v/>
      </c>
      <c r="K15" s="14">
        <f>K13-MAX(0,K13)*K14</f>
        <v/>
      </c>
      <c r="L15" s="14">
        <f>L13-MAX(0,L13)*L14</f>
        <v/>
      </c>
    </row>
    <row r="16">
      <c r="A16" t="inlineStr">
        <is>
          <t>add back D&amp;A</t>
        </is>
      </c>
      <c r="C16" s="14">
        <f>-C12</f>
        <v/>
      </c>
      <c r="D16" s="14">
        <f>-D12</f>
        <v/>
      </c>
      <c r="E16" s="14">
        <f>-E12</f>
        <v/>
      </c>
      <c r="F16" s="14">
        <f>-F12</f>
        <v/>
      </c>
      <c r="G16" s="14">
        <f>-G12</f>
        <v/>
      </c>
      <c r="H16" s="14">
        <f>-H12</f>
        <v/>
      </c>
      <c r="I16" s="14">
        <f>-I12</f>
        <v/>
      </c>
      <c r="J16" s="14">
        <f>-J12</f>
        <v/>
      </c>
      <c r="K16" s="14">
        <f>-K12</f>
        <v/>
      </c>
      <c r="L16" s="14">
        <f>-L12</f>
        <v/>
      </c>
    </row>
    <row r="17">
      <c r="A17" t="inlineStr">
        <is>
          <t>less capex</t>
        </is>
      </c>
      <c r="B17" s="2" t="n">
        <v>-112.642</v>
      </c>
      <c r="C17" s="14">
        <f>-C6*C22</f>
        <v/>
      </c>
      <c r="D17" s="14">
        <f>-D6*D22</f>
        <v/>
      </c>
      <c r="E17" s="14">
        <f>-E6*E22</f>
        <v/>
      </c>
      <c r="F17" s="14">
        <f>-F6*F22</f>
        <v/>
      </c>
      <c r="G17" s="14">
        <f>-G6*G22</f>
        <v/>
      </c>
      <c r="H17" s="14">
        <f>-H6*H22</f>
        <v/>
      </c>
      <c r="I17" s="14">
        <f>-I6*I22</f>
        <v/>
      </c>
      <c r="J17" s="14">
        <f>-J6*J22</f>
        <v/>
      </c>
      <c r="K17" s="14">
        <f>-K6*K22</f>
        <v/>
      </c>
      <c r="L17" s="14">
        <f>-L6*L22</f>
        <v/>
      </c>
    </row>
    <row r="18">
      <c r="A18" t="inlineStr">
        <is>
          <t>add working capital (negative = build)</t>
        </is>
      </c>
      <c r="C18" s="13">
        <f>Assumptions!$D$18*(C6-B6)</f>
        <v/>
      </c>
      <c r="D18" s="13">
        <f>Assumptions!$D$18*(D6-C6)</f>
        <v/>
      </c>
      <c r="E18" s="13">
        <f>Assumptions!$D$18*(E6-D6)</f>
        <v/>
      </c>
      <c r="F18" s="13">
        <f>Assumptions!$D$18*(F6-E6)</f>
        <v/>
      </c>
      <c r="G18" s="13">
        <f>Assumptions!$D$18*(G6-F6)</f>
        <v/>
      </c>
      <c r="H18" s="13">
        <f>Assumptions!$D$18*(H6-G6)</f>
        <v/>
      </c>
      <c r="I18" s="13">
        <f>Assumptions!$D$18*(I6-H6)</f>
        <v/>
      </c>
      <c r="J18" s="13">
        <f>Assumptions!$D$18*(J6-I6)</f>
        <v/>
      </c>
      <c r="K18" s="13">
        <f>Assumptions!$D$18*(K6-J6)</f>
        <v/>
      </c>
      <c r="L18" s="13">
        <f>Assumptions!$D$18*(L6-K6)</f>
        <v/>
      </c>
    </row>
    <row r="19">
      <c r="A19" t="inlineStr">
        <is>
          <t>Unlevered owner FCF</t>
        </is>
      </c>
      <c r="B19" s="2" t="n">
        <v>83.922</v>
      </c>
      <c r="C19" s="17">
        <f>C15+C16+C17+C18</f>
        <v/>
      </c>
      <c r="D19" s="17">
        <f>D15+D16+D17+D18</f>
        <v/>
      </c>
      <c r="E19" s="17">
        <f>E15+E16+E17+E18</f>
        <v/>
      </c>
      <c r="F19" s="17">
        <f>F15+F16+F17+F18</f>
        <v/>
      </c>
      <c r="G19" s="17">
        <f>G15+G16+G17+G18</f>
        <v/>
      </c>
      <c r="H19" s="17">
        <f>H15+H16+H17+H18</f>
        <v/>
      </c>
      <c r="I19" s="17">
        <f>I15+I16+I17+I18</f>
        <v/>
      </c>
      <c r="J19" s="17">
        <f>J15+J16+J17+J18</f>
        <v/>
      </c>
      <c r="K19" s="17">
        <f>K15+K16+K17+K18</f>
        <v/>
      </c>
      <c r="L19" s="17">
        <f>L15+L16+L17+L18</f>
        <v/>
      </c>
    </row>
    <row r="20">
      <c r="A20" t="inlineStr">
        <is>
          <t>Discount factor</t>
        </is>
      </c>
      <c r="C20" s="18">
        <f>1/(1+Assumptions!$B$7)^C4</f>
        <v/>
      </c>
      <c r="D20" s="18">
        <f>1/(1+Assumptions!$B$7)^D4</f>
        <v/>
      </c>
      <c r="E20" s="18">
        <f>1/(1+Assumptions!$B$7)^E4</f>
        <v/>
      </c>
      <c r="F20" s="18">
        <f>1/(1+Assumptions!$B$7)^F4</f>
        <v/>
      </c>
      <c r="G20" s="18">
        <f>1/(1+Assumptions!$B$7)^G4</f>
        <v/>
      </c>
      <c r="H20" s="18">
        <f>1/(1+Assumptions!$B$7)^H4</f>
        <v/>
      </c>
      <c r="I20" s="18">
        <f>1/(1+Assumptions!$B$7)^I4</f>
        <v/>
      </c>
      <c r="J20" s="18">
        <f>1/(1+Assumptions!$B$7)^J4</f>
        <v/>
      </c>
      <c r="K20" s="18">
        <f>1/(1+Assumptions!$B$7)^K4</f>
        <v/>
      </c>
      <c r="L20" s="18">
        <f>1/(1+Assumptions!$B$7)^L4</f>
        <v/>
      </c>
    </row>
    <row r="21">
      <c r="A21" t="inlineStr">
        <is>
          <t>PV of FCF</t>
        </is>
      </c>
      <c r="C21" s="14">
        <f>C19*C20</f>
        <v/>
      </c>
      <c r="D21" s="14">
        <f>D19*D20</f>
        <v/>
      </c>
      <c r="E21" s="14">
        <f>E19*E20</f>
        <v/>
      </c>
      <c r="F21" s="14">
        <f>F19*F20</f>
        <v/>
      </c>
      <c r="G21" s="14">
        <f>G19*G20</f>
        <v/>
      </c>
      <c r="H21" s="14">
        <f>H19*H20</f>
        <v/>
      </c>
      <c r="I21" s="14">
        <f>I19*I20</f>
        <v/>
      </c>
      <c r="J21" s="14">
        <f>J19*J20</f>
        <v/>
      </c>
      <c r="K21" s="14">
        <f>K19*K20</f>
        <v/>
      </c>
      <c r="L21" s="14">
        <f>L19*L20</f>
        <v/>
      </c>
    </row>
    <row r="22">
      <c r="A22" t="inlineStr">
        <is>
          <t>Capex % of revenue (incl ~1.2% lease renewal)</t>
        </is>
      </c>
      <c r="B22" s="15" t="n">
        <v>0.0622</v>
      </c>
      <c r="C22" s="16" t="n">
        <v>0.062</v>
      </c>
      <c r="D22" s="16" t="n">
        <v>0.06122200000000001</v>
      </c>
      <c r="E22" s="16" t="n">
        <v>0.060444</v>
      </c>
      <c r="F22" s="16" t="n">
        <v>0.059667</v>
      </c>
      <c r="G22" s="16" t="n">
        <v>0.058889</v>
      </c>
      <c r="H22" s="16" t="n">
        <v>0.058111</v>
      </c>
      <c r="I22" s="16" t="n">
        <v>0.057333</v>
      </c>
      <c r="J22" s="16" t="n">
        <v>0.056556</v>
      </c>
      <c r="K22" s="16" t="n">
        <v>0.055778</v>
      </c>
      <c r="L22" s="16" t="n">
        <v>0.055</v>
      </c>
    </row>
    <row r="23">
      <c r="A23" t="inlineStr">
        <is>
          <t>Memo: FCF before SBC (company-style)</t>
        </is>
      </c>
      <c r="C23" s="14">
        <f>C19-C10</f>
        <v/>
      </c>
      <c r="D23" s="14">
        <f>D19-D10</f>
        <v/>
      </c>
      <c r="E23" s="14">
        <f>E19-E10</f>
        <v/>
      </c>
      <c r="F23" s="14">
        <f>F19-F10</f>
        <v/>
      </c>
      <c r="G23" s="14">
        <f>G19-G10</f>
        <v/>
      </c>
      <c r="H23" s="14">
        <f>H19-H10</f>
        <v/>
      </c>
      <c r="I23" s="14">
        <f>I19-I10</f>
        <v/>
      </c>
      <c r="J23" s="14">
        <f>J19-J10</f>
        <v/>
      </c>
      <c r="K23" s="14">
        <f>K19-K10</f>
        <v/>
      </c>
      <c r="L23" s="14">
        <f>L19-L10</f>
        <v/>
      </c>
    </row>
    <row r="24">
      <c r="A24" t="inlineStr">
        <is>
          <t>Memo: owner-FCF margin</t>
        </is>
      </c>
      <c r="B24" s="19">
        <f>B19/B6</f>
        <v/>
      </c>
      <c r="C24" s="10">
        <f>C19/C6</f>
        <v/>
      </c>
      <c r="D24" s="10">
        <f>D19/D6</f>
        <v/>
      </c>
      <c r="E24" s="10">
        <f>E19/E6</f>
        <v/>
      </c>
      <c r="F24" s="10">
        <f>F19/F6</f>
        <v/>
      </c>
      <c r="G24" s="10">
        <f>G19/G6</f>
        <v/>
      </c>
      <c r="H24" s="10">
        <f>H19/H6</f>
        <v/>
      </c>
      <c r="I24" s="10">
        <f>I19/I6</f>
        <v/>
      </c>
      <c r="J24" s="10">
        <f>J19/J6</f>
        <v/>
      </c>
      <c r="K24" s="10">
        <f>K19/K6</f>
        <v/>
      </c>
      <c r="L24" s="10">
        <f>L19/L6</f>
        <v/>
      </c>
    </row>
    <row r="26">
      <c r="A26" t="inlineStr">
        <is>
          <t>Sum of PV (years 1-10)</t>
        </is>
      </c>
      <c r="B26" s="14">
        <f>SUM(C21:L21)</f>
        <v/>
      </c>
    </row>
    <row r="27">
      <c r="A27" t="inlineStr">
        <is>
          <t>Terminal growth</t>
        </is>
      </c>
      <c r="B27" s="18">
        <f>Assumptions!$D$15</f>
        <v/>
      </c>
    </row>
    <row r="28">
      <c r="A28" t="inlineStr">
        <is>
          <t>Terminal-year FCF x (1+g)</t>
        </is>
      </c>
      <c r="B28" s="14">
        <f>L19*(1+B27)</f>
        <v/>
      </c>
    </row>
    <row r="29">
      <c r="A29" t="inlineStr">
        <is>
          <t>Gordon terminal value</t>
        </is>
      </c>
      <c r="B29" s="14">
        <f>IF(Assumptions!$B$7&gt;B27,B28/(Assumptions!$B$7-B27),0)</f>
        <v/>
      </c>
    </row>
    <row r="30">
      <c r="A30" t="inlineStr">
        <is>
          <t>Cap terminal value</t>
        </is>
      </c>
      <c r="B30" s="13">
        <f>Assumptions!$D$17*L19</f>
        <v/>
      </c>
    </row>
    <row r="31">
      <c r="A31" t="inlineStr">
        <is>
          <t>Terminal value used = MAX(0,MIN(Gordon,cap))</t>
        </is>
      </c>
      <c r="B31" s="14">
        <f>MAX(0,MIN(B29,B30))</f>
        <v/>
      </c>
    </row>
    <row r="32">
      <c r="A32" t="inlineStr">
        <is>
          <t>Implied exit multiple (x FCF_10)</t>
        </is>
      </c>
      <c r="B32" s="20">
        <f>IF(L19&lt;&gt;0,B31/L19,0)</f>
        <v/>
      </c>
    </row>
    <row r="33">
      <c r="A33" t="inlineStr">
        <is>
          <t>PV of terminal value</t>
        </is>
      </c>
      <c r="B33" s="14">
        <f>B31*L20</f>
        <v/>
      </c>
    </row>
    <row r="34">
      <c r="A34" t="inlineStr">
        <is>
          <t>Enterprise value</t>
        </is>
      </c>
      <c r="B34" s="14">
        <f>B26+B33</f>
        <v/>
      </c>
    </row>
    <row r="35">
      <c r="A35" t="inlineStr">
        <is>
          <t>less net debt (add net cash)</t>
        </is>
      </c>
      <c r="B35" s="13">
        <f>-Assumptions!$B$6</f>
        <v/>
      </c>
    </row>
    <row r="36">
      <c r="A36" t="inlineStr">
        <is>
          <t>Equity value</t>
        </is>
      </c>
      <c r="B36" s="14">
        <f>B34+B35</f>
        <v/>
      </c>
    </row>
    <row r="37">
      <c r="A37" t="inlineStr">
        <is>
          <t>Diluted shares (m)</t>
        </is>
      </c>
      <c r="B37" s="21">
        <f>Assumptions!$B$5</f>
        <v/>
      </c>
    </row>
    <row r="38">
      <c r="A38" t="inlineStr">
        <is>
          <t>VALUE PER SHARE (A$)</t>
        </is>
      </c>
      <c r="B38" s="22">
        <f>B36/B37</f>
        <v/>
      </c>
    </row>
    <row r="39">
      <c r="A39" t="inlineStr">
        <is>
          <t>Upside vs price</t>
        </is>
      </c>
      <c r="B39" s="10">
        <f>B38/Assumptions!$B$4-1</f>
        <v/>
      </c>
    </row>
    <row r="41">
      <c r="A41" t="inlineStr">
        <is>
          <t>Street memo: PV of explicit-period SBC</t>
        </is>
      </c>
      <c r="B41" s="14">
        <f>SUMPRODUCT(-C10:L10/(1+Assumptions!$B$7)^C4:L4)</f>
        <v/>
      </c>
    </row>
    <row r="42">
      <c r="A42" t="inlineStr">
        <is>
          <t>Street memo: PV of terminal SBC</t>
        </is>
      </c>
      <c r="B42" s="14">
        <f>IF(Assumptions!$B$7&gt;B27,(-L10*(1+B27)/(Assumptions!$B$7-B27))*L20,0)</f>
        <v/>
      </c>
    </row>
    <row r="43">
      <c r="A43" t="inlineStr">
        <is>
          <t>Street value per share (SBC as non-cash)</t>
        </is>
      </c>
      <c r="B43" s="23">
        <f>(B36+B41+B42)/B37</f>
        <v/>
      </c>
    </row>
    <row r="44">
      <c r="A44" t="inlineStr">
        <is>
          <t>Terminal % of EV</t>
        </is>
      </c>
      <c r="B44" s="10">
        <f>IF(B34&lt;&gt;0,B33/B34,0)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Reported FCF reconciled to owner FCF, A$m (links to Actuals)</t>
        </is>
      </c>
    </row>
    <row r="3">
      <c r="A3" t="inlineStr">
        <is>
          <t>FY</t>
        </is>
      </c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  <c r="L3" s="1" t="inlineStr">
        <is>
          <t>FY2026</t>
        </is>
      </c>
    </row>
    <row r="4">
      <c r="A4" t="inlineStr">
        <is>
          <t>Free cash flow (company definition: OCF - PP&amp;E - development capex)</t>
        </is>
      </c>
      <c r="B4" s="13">
        <f>Actuals!B10</f>
        <v/>
      </c>
      <c r="C4" s="13">
        <f>Actuals!C10</f>
        <v/>
      </c>
      <c r="D4" s="13">
        <f>Actuals!D10</f>
        <v/>
      </c>
      <c r="E4" s="13">
        <f>Actuals!E10</f>
        <v/>
      </c>
      <c r="F4" s="13">
        <f>Actuals!F10</f>
        <v/>
      </c>
      <c r="G4" s="13">
        <f>Actuals!G10</f>
        <v/>
      </c>
      <c r="H4" s="13">
        <f>Actuals!H10</f>
        <v/>
      </c>
      <c r="I4" s="13">
        <f>Actuals!I10</f>
        <v/>
      </c>
      <c r="J4" s="13">
        <f>Actuals!J10</f>
        <v/>
      </c>
      <c r="K4" s="13">
        <f>Actuals!K10</f>
        <v/>
      </c>
      <c r="L4" s="13">
        <f>Actuals!L10</f>
        <v/>
      </c>
    </row>
    <row r="5">
      <c r="A5" t="inlineStr">
        <is>
          <t>less: share-based payments (no separate equity-award tax line)</t>
        </is>
      </c>
      <c r="B5" s="13">
        <f>-Actuals!B6</f>
        <v/>
      </c>
      <c r="C5" s="13">
        <f>-Actuals!C6</f>
        <v/>
      </c>
      <c r="D5" s="13">
        <f>-Actuals!D6</f>
        <v/>
      </c>
      <c r="E5" s="13">
        <f>-Actuals!E6</f>
        <v/>
      </c>
      <c r="F5" s="13">
        <f>-Actuals!F6</f>
        <v/>
      </c>
      <c r="G5" s="13">
        <f>-Actuals!G6</f>
        <v/>
      </c>
      <c r="H5" s="13">
        <f>-Actuals!H6</f>
        <v/>
      </c>
      <c r="I5" s="13">
        <f>-Actuals!I6</f>
        <v/>
      </c>
      <c r="J5" s="13">
        <f>-Actuals!J6</f>
        <v/>
      </c>
      <c r="K5" s="13">
        <f>-Actuals!K6</f>
        <v/>
      </c>
      <c r="L5" s="13">
        <f>-Actuals!L6</f>
        <v/>
      </c>
    </row>
    <row r="6">
      <c r="A6" t="inlineStr">
        <is>
          <t>less: interest income</t>
        </is>
      </c>
      <c r="B6" s="13">
        <f>-Actuals!B11</f>
        <v/>
      </c>
      <c r="C6" s="13">
        <f>-Actuals!C11</f>
        <v/>
      </c>
      <c r="D6" s="13">
        <f>-Actuals!D11</f>
        <v/>
      </c>
      <c r="E6" s="13">
        <f>-Actuals!E11</f>
        <v/>
      </c>
      <c r="F6" s="13">
        <f>-Actuals!F11</f>
        <v/>
      </c>
      <c r="G6" s="13">
        <f>-Actuals!G11</f>
        <v/>
      </c>
      <c r="H6" s="13">
        <f>-Actuals!H11</f>
        <v/>
      </c>
      <c r="I6" s="13">
        <f>-Actuals!I11</f>
        <v/>
      </c>
      <c r="J6" s="13">
        <f>-Actuals!J11</f>
        <v/>
      </c>
      <c r="K6" s="13">
        <f>-Actuals!K11</f>
        <v/>
      </c>
      <c r="L6" s="13">
        <f>-Actuals!L11</f>
        <v/>
      </c>
    </row>
    <row r="7">
      <c r="A7" t="inlineStr">
        <is>
          <t>less: lease-asset renewal (lease principal repaid; nil pre-AASB16)</t>
        </is>
      </c>
      <c r="B7" s="13">
        <f>-Actuals!B12</f>
        <v/>
      </c>
      <c r="C7" s="13">
        <f>-Actuals!C12</f>
        <v/>
      </c>
      <c r="D7" s="13">
        <f>-Actuals!D12</f>
        <v/>
      </c>
      <c r="E7" s="13">
        <f>-Actuals!E12</f>
        <v/>
      </c>
      <c r="F7" s="13">
        <f>-Actuals!F12</f>
        <v/>
      </c>
      <c r="G7" s="13">
        <f>-Actuals!G12</f>
        <v/>
      </c>
      <c r="H7" s="13">
        <f>-Actuals!H12</f>
        <v/>
      </c>
      <c r="I7" s="13">
        <f>-Actuals!I12</f>
        <v/>
      </c>
      <c r="J7" s="13">
        <f>-Actuals!J12</f>
        <v/>
      </c>
      <c r="K7" s="13">
        <f>-Actuals!K12</f>
        <v/>
      </c>
      <c r="L7" s="13">
        <f>-Actuals!L12</f>
        <v/>
      </c>
    </row>
    <row r="8">
      <c r="A8" t="inlineStr">
        <is>
          <t>Owner FCF (sum of the four lines above)</t>
        </is>
      </c>
      <c r="B8" s="17">
        <f>SUM(B4:B7)</f>
        <v/>
      </c>
      <c r="C8" s="17">
        <f>SUM(C4:C7)</f>
        <v/>
      </c>
      <c r="D8" s="17">
        <f>SUM(D4:D7)</f>
        <v/>
      </c>
      <c r="E8" s="17">
        <f>SUM(E4:E7)</f>
        <v/>
      </c>
      <c r="F8" s="17">
        <f>SUM(F4:F7)</f>
        <v/>
      </c>
      <c r="G8" s="17">
        <f>SUM(G4:G7)</f>
        <v/>
      </c>
      <c r="H8" s="17">
        <f>SUM(H4:H7)</f>
        <v/>
      </c>
      <c r="I8" s="17">
        <f>SUM(I4:I7)</f>
        <v/>
      </c>
      <c r="J8" s="17">
        <f>SUM(J4:J7)</f>
        <v/>
      </c>
      <c r="K8" s="17">
        <f>SUM(K4:K7)</f>
        <v/>
      </c>
      <c r="L8" s="17">
        <f>SUM(L4:L7)</f>
        <v/>
      </c>
    </row>
    <row r="9">
      <c r="A9" t="inlineStr">
        <is>
          <t>Reported FCF margin</t>
        </is>
      </c>
      <c r="B9" s="10">
        <f>B4/Actuals!B4</f>
        <v/>
      </c>
      <c r="C9" s="10">
        <f>C4/Actuals!C4</f>
        <v/>
      </c>
      <c r="D9" s="10">
        <f>D4/Actuals!D4</f>
        <v/>
      </c>
      <c r="E9" s="10">
        <f>E4/Actuals!E4</f>
        <v/>
      </c>
      <c r="F9" s="10">
        <f>F4/Actuals!F4</f>
        <v/>
      </c>
      <c r="G9" s="10">
        <f>G4/Actuals!G4</f>
        <v/>
      </c>
      <c r="H9" s="10">
        <f>H4/Actuals!H4</f>
        <v/>
      </c>
      <c r="I9" s="10">
        <f>I4/Actuals!I4</f>
        <v/>
      </c>
      <c r="J9" s="10">
        <f>J4/Actuals!J4</f>
        <v/>
      </c>
      <c r="K9" s="10">
        <f>K4/Actuals!K4</f>
        <v/>
      </c>
      <c r="L9" s="10">
        <f>L4/Actuals!L4</f>
        <v/>
      </c>
    </row>
    <row r="10">
      <c r="A10" t="inlineStr">
        <is>
          <t>Owner FCF margin</t>
        </is>
      </c>
      <c r="B10" s="10">
        <f>B8/Actuals!B4</f>
        <v/>
      </c>
      <c r="C10" s="10">
        <f>C8/Actuals!C4</f>
        <v/>
      </c>
      <c r="D10" s="10">
        <f>D8/Actuals!D4</f>
        <v/>
      </c>
      <c r="E10" s="10">
        <f>E8/Actuals!E4</f>
        <v/>
      </c>
      <c r="F10" s="10">
        <f>F8/Actuals!F4</f>
        <v/>
      </c>
      <c r="G10" s="10">
        <f>G8/Actuals!G4</f>
        <v/>
      </c>
      <c r="H10" s="10">
        <f>H8/Actuals!H4</f>
        <v/>
      </c>
      <c r="I10" s="10">
        <f>I8/Actuals!I4</f>
        <v/>
      </c>
      <c r="J10" s="10">
        <f>J8/Actuals!J4</f>
        <v/>
      </c>
      <c r="K10" s="10">
        <f>K8/Actuals!K4</f>
        <v/>
      </c>
      <c r="L10" s="10">
        <f>L8/Actuals!L4</f>
        <v/>
      </c>
    </row>
    <row r="11">
      <c r="A11" t="inlineStr">
        <is>
          <t>Memo: cash tax rate (tax paid / PBT)</t>
        </is>
      </c>
      <c r="B11" s="10">
        <f>Actuals!B16/Actuals!B17</f>
        <v/>
      </c>
      <c r="C11" s="10">
        <f>Actuals!C16/Actuals!C17</f>
        <v/>
      </c>
      <c r="D11" s="10">
        <f>Actuals!D16/Actuals!D17</f>
        <v/>
      </c>
      <c r="E11" s="10">
        <f>Actuals!E16/Actuals!E17</f>
        <v/>
      </c>
      <c r="F11" s="10">
        <f>Actuals!F16/Actuals!F17</f>
        <v/>
      </c>
      <c r="G11" s="10">
        <f>Actuals!G16/Actuals!G17</f>
        <v/>
      </c>
      <c r="H11" s="10">
        <f>Actuals!H16/Actuals!H17</f>
        <v/>
      </c>
      <c r="I11" s="10">
        <f>Actuals!I16/Actuals!I17</f>
        <v/>
      </c>
      <c r="J11" s="10">
        <f>Actuals!J16/Actuals!J17</f>
        <v/>
      </c>
      <c r="K11" s="10">
        <f>Actuals!K16/Actuals!K17</f>
        <v/>
      </c>
      <c r="L11" s="10">
        <f>Actuals!L16/Actuals!L17</f>
        <v/>
      </c>
    </row>
    <row r="12">
      <c r="A12" t="inlineStr">
        <is>
          <t>Memo: SBC % of revenue</t>
        </is>
      </c>
      <c r="B12" s="10">
        <f>Actuals!B6/Actuals!B4</f>
        <v/>
      </c>
      <c r="C12" s="10">
        <f>Actuals!C6/Actuals!C4</f>
        <v/>
      </c>
      <c r="D12" s="10">
        <f>Actuals!D6/Actuals!D4</f>
        <v/>
      </c>
      <c r="E12" s="10">
        <f>Actuals!E6/Actuals!E4</f>
        <v/>
      </c>
      <c r="F12" s="10">
        <f>Actuals!F6/Actuals!F4</f>
        <v/>
      </c>
      <c r="G12" s="10">
        <f>Actuals!G6/Actuals!G4</f>
        <v/>
      </c>
      <c r="H12" s="10">
        <f>Actuals!H6/Actuals!H4</f>
        <v/>
      </c>
      <c r="I12" s="10">
        <f>Actuals!I6/Actuals!I4</f>
        <v/>
      </c>
      <c r="J12" s="10">
        <f>Actuals!J6/Actuals!J4</f>
        <v/>
      </c>
      <c r="K12" s="10">
        <f>Actuals!K6/Actuals!K4</f>
        <v/>
      </c>
      <c r="L12" s="10">
        <f>Actuals!L6/Actuals!L4</f>
        <v/>
      </c>
    </row>
    <row r="14">
      <c r="A14" t="inlineStr">
        <is>
          <t>Memo FY2026: OCF includes ~55.2m of IEEPA Phase 1 tariff-refund cash booked as a current 'value chain' provision (paid onward within 12 months). Underlying FY26 owner FCF:</t>
        </is>
      </c>
      <c r="M14" s="14">
        <f>L8-Actuals!B26</f>
        <v/>
      </c>
    </row>
    <row r="15">
      <c r="A15" t="inlineStr">
        <is>
          <t>Memo: FY2024 OCF 302.6m was an inventory unwind (+75.8m/yr rebuilt FY25-26); FY2022 OCF was negative on inventory build. Median owner FCF FY20-26 shown at M15:</t>
        </is>
      </c>
      <c r="M15" s="14">
        <f>MEDIAN(F8:L8)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Valuation summary (all cells are formulas; drivers live on Assumptions and the DCF_* tabs)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 per share</t>
        </is>
      </c>
      <c r="F3" s="1" t="inlineStr">
        <is>
          <t>Entry price @15% (TV at hurdle)</t>
        </is>
      </c>
      <c r="G3" s="1" t="inlineStr">
        <is>
          <t>Street entry price @15%</t>
        </is>
      </c>
      <c r="H3" s="1" t="inlineStr">
        <is>
          <t>Terminal % of EV</t>
        </is>
      </c>
    </row>
    <row r="4">
      <c r="A4" t="inlineStr">
        <is>
          <t>Bear</t>
        </is>
      </c>
      <c r="B4" s="24">
        <f>DCF_Bear!$B$38</f>
        <v/>
      </c>
      <c r="C4" s="10">
        <f>B4/Assumptions!$B$4-1</f>
        <v/>
      </c>
      <c r="D4" s="18">
        <f>Assumptions!$B$16</f>
        <v/>
      </c>
      <c r="E4" s="24">
        <f>DCF_Bear!$B$43</f>
        <v/>
      </c>
      <c r="F4" s="23">
        <f>(SUMPRODUCT(DCF_Bear!$C$19:$L$19/(1+Assumptions!$B$9)^DCF_Bear!$C$4:$L$4)+MAX(0,MIN(IF(Assumptions!$B$9&gt;Assumptions!$B$15,DCF_Bear!$L$19*(1+Assumptions!$B$15)/(Assumptions!$B$9-Assumptions!$B$15),0),Assumptions!$B$17*DCF_Bear!$L$19))/(1+Assumptions!$B$9)^Assumptions!$B$12-Assumptions!$B$6)/Assumptions!$B$5</f>
        <v/>
      </c>
      <c r="G4" s="23">
        <f>F4+(SUMPRODUCT(-DCF_Bear!$C$10:$L$10/(1+Assumptions!$B$9)^DCF_Bear!$C$4:$L$4)+IF(Assumptions!$B$9&gt;Assumptions!$B$15,(-DCF_Bear!$L$10*(1+Assumptions!$B$15)/(Assumptions!$B$9-Assumptions!$B$15))/(1+Assumptions!$B$9)^Assumptions!$B$12,0))/Assumptions!$B$5</f>
        <v/>
      </c>
      <c r="H4" s="18">
        <f>DCF_Bear!$B$44</f>
        <v/>
      </c>
    </row>
    <row r="5">
      <c r="A5" t="inlineStr">
        <is>
          <t>Base</t>
        </is>
      </c>
      <c r="B5" s="24">
        <f>DCF_Base!$B$38</f>
        <v/>
      </c>
      <c r="C5" s="10">
        <f>B5/Assumptions!$B$4-1</f>
        <v/>
      </c>
      <c r="D5" s="18">
        <f>Assumptions!$C$16</f>
        <v/>
      </c>
      <c r="E5" s="24">
        <f>DCF_Base!$B$43</f>
        <v/>
      </c>
      <c r="F5" s="23">
        <f>(SUMPRODUCT(DCF_Base!$C$19:$L$19/(1+Assumptions!$B$9)^DCF_Base!$C$4:$L$4)+MAX(0,MIN(IF(Assumptions!$B$9&gt;Assumptions!$C$15,DCF_Base!$L$19*(1+Assumptions!$C$15)/(Assumptions!$B$9-Assumptions!$C$15),0),Assumptions!$C$17*DCF_Base!$L$19))/(1+Assumptions!$B$9)^Assumptions!$B$12-Assumptions!$B$6)/Assumptions!$B$5</f>
        <v/>
      </c>
      <c r="G5" s="23">
        <f>F5+(SUMPRODUCT(-DCF_Base!$C$10:$L$10/(1+Assumptions!$B$9)^DCF_Base!$C$4:$L$4)+IF(Assumptions!$B$9&gt;Assumptions!$C$15,(-DCF_Base!$L$10*(1+Assumptions!$C$15)/(Assumptions!$B$9-Assumptions!$C$15))/(1+Assumptions!$B$9)^Assumptions!$B$12,0))/Assumptions!$B$5</f>
        <v/>
      </c>
      <c r="H5" s="18">
        <f>DCF_Base!$B$44</f>
        <v/>
      </c>
    </row>
    <row r="6">
      <c r="A6" t="inlineStr">
        <is>
          <t>Bull</t>
        </is>
      </c>
      <c r="B6" s="24">
        <f>DCF_Bull!$B$38</f>
        <v/>
      </c>
      <c r="C6" s="10">
        <f>B6/Assumptions!$B$4-1</f>
        <v/>
      </c>
      <c r="D6" s="18">
        <f>Assumptions!$D$16</f>
        <v/>
      </c>
      <c r="E6" s="24">
        <f>DCF_Bull!$B$43</f>
        <v/>
      </c>
      <c r="F6" s="23">
        <f>(SUMPRODUCT(DCF_Bull!$C$19:$L$19/(1+Assumptions!$B$9)^DCF_Bull!$C$4:$L$4)+MAX(0,MIN(IF(Assumptions!$B$9&gt;Assumptions!$D$15,DCF_Bull!$L$19*(1+Assumptions!$D$15)/(Assumptions!$B$9-Assumptions!$D$15),0),Assumptions!$D$17*DCF_Bull!$L$19))/(1+Assumptions!$B$9)^Assumptions!$B$12-Assumptions!$B$6)/Assumptions!$B$5</f>
        <v/>
      </c>
      <c r="G6" s="23">
        <f>F6+(SUMPRODUCT(-DCF_Bull!$C$10:$L$10/(1+Assumptions!$B$9)^DCF_Bull!$C$4:$L$4)+IF(Assumptions!$B$9&gt;Assumptions!$D$15,(-DCF_Bull!$L$10*(1+Assumptions!$D$15)/(Assumptions!$B$9-Assumptions!$D$15))/(1+Assumptions!$B$9)^Assumptions!$B$12,0))/Assumptions!$B$5</f>
        <v/>
      </c>
      <c r="H6" s="18">
        <f>DCF_Bull!$B$44</f>
        <v/>
      </c>
    </row>
    <row r="8">
      <c r="A8" t="inlineStr">
        <is>
          <t>Probability-weighted value per share</t>
        </is>
      </c>
      <c r="B8" s="22">
        <f>SUMPRODUCT(B4:B6,D4:D6)</f>
        <v/>
      </c>
    </row>
    <row r="9">
      <c r="A9" t="inlineStr">
        <is>
          <t>Current price</t>
        </is>
      </c>
      <c r="B9" s="24">
        <f>Assumptions!$B$4</f>
        <v/>
      </c>
    </row>
    <row r="10">
      <c r="A10" t="inlineStr">
        <is>
          <t>Margin of safety (1 - price/weighted)</t>
        </is>
      </c>
      <c r="B10" s="10">
        <f>1-B9/B8</f>
        <v/>
      </c>
    </row>
    <row r="11">
      <c r="A11" t="inlineStr">
        <is>
          <t>Street weighted value per share</t>
        </is>
      </c>
      <c r="B11" s="23">
        <f>SUMPRODUCT(E4:E6,D4:D6)</f>
        <v/>
      </c>
    </row>
    <row r="12">
      <c r="A12" t="inlineStr">
        <is>
          <t>Band position (price - house)/(street - house); 0% = house, 100% = street</t>
        </is>
      </c>
      <c r="B12" s="10">
        <f>IF(B11&lt;&gt;B8,(B9-B8)/(B11-B8),"n/a")</f>
        <v/>
      </c>
    </row>
    <row r="13">
      <c r="A13" t="inlineStr">
        <is>
          <t>Weighted entry price @15% hurdle (buy-below)</t>
        </is>
      </c>
      <c r="B13" s="25">
        <f>SUMPRODUCT(F4:F6,D4:D6)</f>
        <v/>
      </c>
    </row>
    <row r="14">
      <c r="A14" t="inlineStr">
        <is>
          <t>Weighted street entry price @15%</t>
        </is>
      </c>
      <c r="B14" s="23">
        <f>SUMPRODUCT(G4:G6,D4:D6)</f>
        <v/>
      </c>
    </row>
    <row r="17">
      <c r="A17" s="1" t="inlineStr">
        <is>
          <t>Required-return table (base case; TV rebuilt at each rate)</t>
        </is>
      </c>
    </row>
    <row r="18">
      <c r="A18" t="inlineStr">
        <is>
          <t>Required return</t>
        </is>
      </c>
      <c r="B18" t="inlineStr">
        <is>
          <t>Value per share</t>
        </is>
      </c>
    </row>
    <row r="19">
      <c r="A19" s="7" t="n">
        <v>0.09</v>
      </c>
      <c r="B19" s="23">
        <f>(SUMPRODUCT(DCF_Base!$C$19:$L$19/(1+$A$19)^DCF_Base!$C$4:$L$4)+MAX(0,MIN(IF($A$19&gt;Assumptions!$C$15,DCF_Base!$L$19*(1+Assumptions!$C$15)/($A$19-Assumptions!$C$15),0),Assumptions!$C$17*DCF_Base!$L$19))/(1+$A$19)^Assumptions!$B$12-Assumptions!$B$6)/Assumptions!$B$5</f>
        <v/>
      </c>
    </row>
    <row r="20">
      <c r="A20" s="7" t="n">
        <v>0.1</v>
      </c>
      <c r="B20" s="23">
        <f>(SUMPRODUCT(DCF_Base!$C$19:$L$19/(1+$A$20)^DCF_Base!$C$4:$L$4)+MAX(0,MIN(IF($A$20&gt;Assumptions!$C$15,DCF_Base!$L$19*(1+Assumptions!$C$15)/($A$20-Assumptions!$C$15),0),Assumptions!$C$17*DCF_Base!$L$19))/(1+$A$20)^Assumptions!$B$12-Assumptions!$B$6)/Assumptions!$B$5</f>
        <v/>
      </c>
    </row>
    <row r="21">
      <c r="A21" s="7" t="n">
        <v>0.11</v>
      </c>
      <c r="B21" s="23">
        <f>(SUMPRODUCT(DCF_Base!$C$19:$L$19/(1+$A$21)^DCF_Base!$C$4:$L$4)+MAX(0,MIN(IF($A$21&gt;Assumptions!$C$15,DCF_Base!$L$19*(1+Assumptions!$C$15)/($A$21-Assumptions!$C$15),0),Assumptions!$C$17*DCF_Base!$L$19))/(1+$A$21)^Assumptions!$B$12-Assumptions!$B$6)/Assumptions!$B$5</f>
        <v/>
      </c>
    </row>
    <row r="22">
      <c r="A22" s="7" t="n">
        <v>0.12</v>
      </c>
      <c r="B22" s="23">
        <f>(SUMPRODUCT(DCF_Base!$C$19:$L$19/(1+$A$22)^DCF_Base!$C$4:$L$4)+MAX(0,MIN(IF($A$22&gt;Assumptions!$C$15,DCF_Base!$L$19*(1+Assumptions!$C$15)/($A$22-Assumptions!$C$15),0),Assumptions!$C$17*DCF_Base!$L$19))/(1+$A$22)^Assumptions!$B$12-Assumptions!$B$6)/Assumptions!$B$5</f>
        <v/>
      </c>
    </row>
    <row r="23">
      <c r="A23" s="7" t="n">
        <v>0.15</v>
      </c>
      <c r="B23" s="23">
        <f>(SUMPRODUCT(DCF_Base!$C$19:$L$19/(1+$A$23)^DCF_Base!$C$4:$L$4)+MAX(0,MIN(IF($A$23&gt;Assumptions!$C$15,DCF_Base!$L$19*(1+Assumptions!$C$15)/($A$23-Assumptions!$C$15),0),Assumptions!$C$17*DCF_Base!$L$19))/(1+$A$23)^Assumptions!$B$12-Assumptions!$B$6)/Assumptions!$B$5</f>
        <v/>
      </c>
      <c r="C23" t="inlineStr">
        <is>
          <t>15% row -- must equal base entry price F5</t>
        </is>
      </c>
    </row>
    <row r="24">
      <c r="A24" s="18">
        <f>Assumptions!$B$7</f>
        <v/>
      </c>
      <c r="B24" s="23">
        <f>(SUMPRODUCT(DCF_Base!$C$19:$L$19/(1+$A$24)^DCF_Base!$C$4:$L$4)+MAX(0,MIN(IF($A$24&gt;Assumptions!$C$15,DCF_Base!$L$19*(1+Assumptions!$C$15)/($A$24-Assumptions!$C$15),0),Assumptions!$C$17*DCF_Base!$L$19))/(1+$A$24)^Assumptions!$B$12-Assumptions!$B$6)/Assumptions!$B$5</f>
        <v/>
      </c>
      <c r="C24" t="inlineStr">
        <is>
          <t>model WACC row -- must equal DCF_Base!B38</t>
        </is>
      </c>
    </row>
    <row r="27">
      <c r="A27" s="1" t="inlineStr">
        <is>
          <t>Sensitivity: base-case value per share, WACC (rows) x terminal growth (columns)</t>
        </is>
      </c>
    </row>
    <row r="28">
      <c r="B28" s="7" t="n">
        <v>0.02</v>
      </c>
      <c r="C28" s="7" t="n">
        <v>0.025</v>
      </c>
      <c r="D28" s="7" t="n">
        <v>0.03</v>
      </c>
      <c r="E28" s="7" t="n">
        <v>0.035</v>
      </c>
      <c r="F28" s="7" t="n">
        <v>0.04</v>
      </c>
    </row>
    <row r="29">
      <c r="A29" s="7" t="n">
        <v>0.08</v>
      </c>
      <c r="B29" s="23">
        <f>IF($A$29&gt;B$28,(SUMPRODUCT(DCF_Base!$C$19:$L$19/(1+$A$29)^DCF_Base!$C$4:$L$4)+MAX(0,MIN(IF($A$29&gt;B$28,DCF_Base!$L$19*(1+B$28)/($A$29-B$28),0),Assumptions!$C$17*DCF_Base!$L$19))/(1+$A$29)^Assumptions!$B$12-Assumptions!$B$6)/Assumptions!$B$5,"n/a")</f>
        <v/>
      </c>
      <c r="C29" s="23">
        <f>IF($A$29&gt;C$28,(SUMPRODUCT(DCF_Base!$C$19:$L$19/(1+$A$29)^DCF_Base!$C$4:$L$4)+MAX(0,MIN(IF($A$29&gt;C$28,DCF_Base!$L$19*(1+C$28)/($A$29-C$28),0),Assumptions!$C$17*DCF_Base!$L$19))/(1+$A$29)^Assumptions!$B$12-Assumptions!$B$6)/Assumptions!$B$5,"n/a")</f>
        <v/>
      </c>
      <c r="D29" s="23">
        <f>IF($A$29&gt;D$28,(SUMPRODUCT(DCF_Base!$C$19:$L$19/(1+$A$29)^DCF_Base!$C$4:$L$4)+MAX(0,MIN(IF($A$29&gt;D$28,DCF_Base!$L$19*(1+D$28)/($A$29-D$28),0),Assumptions!$C$17*DCF_Base!$L$19))/(1+$A$29)^Assumptions!$B$12-Assumptions!$B$6)/Assumptions!$B$5,"n/a")</f>
        <v/>
      </c>
      <c r="E29" s="23">
        <f>IF($A$29&gt;E$28,(SUMPRODUCT(DCF_Base!$C$19:$L$19/(1+$A$29)^DCF_Base!$C$4:$L$4)+MAX(0,MIN(IF($A$29&gt;E$28,DCF_Base!$L$19*(1+E$28)/($A$29-E$28),0),Assumptions!$C$17*DCF_Base!$L$19))/(1+$A$29)^Assumptions!$B$12-Assumptions!$B$6)/Assumptions!$B$5,"n/a")</f>
        <v/>
      </c>
      <c r="F29" s="23">
        <f>IF($A$29&gt;F$28,(SUMPRODUCT(DCF_Base!$C$19:$L$19/(1+$A$29)^DCF_Base!$C$4:$L$4)+MAX(0,MIN(IF($A$29&gt;F$28,DCF_Base!$L$19*(1+F$28)/($A$29-F$28),0),Assumptions!$C$17*DCF_Base!$L$19))/(1+$A$29)^Assumptions!$B$12-Assumptions!$B$6)/Assumptions!$B$5,"n/a")</f>
        <v/>
      </c>
    </row>
    <row r="30">
      <c r="A30" s="7" t="n">
        <v>0.09</v>
      </c>
      <c r="B30" s="23">
        <f>IF($A$30&gt;B$28,(SUMPRODUCT(DCF_Base!$C$19:$L$19/(1+$A$30)^DCF_Base!$C$4:$L$4)+MAX(0,MIN(IF($A$30&gt;B$28,DCF_Base!$L$19*(1+B$28)/($A$30-B$28),0),Assumptions!$C$17*DCF_Base!$L$19))/(1+$A$30)^Assumptions!$B$12-Assumptions!$B$6)/Assumptions!$B$5,"n/a")</f>
        <v/>
      </c>
      <c r="C30" s="23">
        <f>IF($A$30&gt;C$28,(SUMPRODUCT(DCF_Base!$C$19:$L$19/(1+$A$30)^DCF_Base!$C$4:$L$4)+MAX(0,MIN(IF($A$30&gt;C$28,DCF_Base!$L$19*(1+C$28)/($A$30-C$28),0),Assumptions!$C$17*DCF_Base!$L$19))/(1+$A$30)^Assumptions!$B$12-Assumptions!$B$6)/Assumptions!$B$5,"n/a")</f>
        <v/>
      </c>
      <c r="D30" s="23">
        <f>IF($A$30&gt;D$28,(SUMPRODUCT(DCF_Base!$C$19:$L$19/(1+$A$30)^DCF_Base!$C$4:$L$4)+MAX(0,MIN(IF($A$30&gt;D$28,DCF_Base!$L$19*(1+D$28)/($A$30-D$28),0),Assumptions!$C$17*DCF_Base!$L$19))/(1+$A$30)^Assumptions!$B$12-Assumptions!$B$6)/Assumptions!$B$5,"n/a")</f>
        <v/>
      </c>
      <c r="E30" s="23">
        <f>IF($A$30&gt;E$28,(SUMPRODUCT(DCF_Base!$C$19:$L$19/(1+$A$30)^DCF_Base!$C$4:$L$4)+MAX(0,MIN(IF($A$30&gt;E$28,DCF_Base!$L$19*(1+E$28)/($A$30-E$28),0),Assumptions!$C$17*DCF_Base!$L$19))/(1+$A$30)^Assumptions!$B$12-Assumptions!$B$6)/Assumptions!$B$5,"n/a")</f>
        <v/>
      </c>
      <c r="F30" s="23">
        <f>IF($A$30&gt;F$28,(SUMPRODUCT(DCF_Base!$C$19:$L$19/(1+$A$30)^DCF_Base!$C$4:$L$4)+MAX(0,MIN(IF($A$30&gt;F$28,DCF_Base!$L$19*(1+F$28)/($A$30-F$28),0),Assumptions!$C$17*DCF_Base!$L$19))/(1+$A$30)^Assumptions!$B$12-Assumptions!$B$6)/Assumptions!$B$5,"n/a")</f>
        <v/>
      </c>
    </row>
    <row r="31">
      <c r="A31" s="7" t="n">
        <v>0.1</v>
      </c>
      <c r="B31" s="23">
        <f>IF($A$31&gt;B$28,(SUMPRODUCT(DCF_Base!$C$19:$L$19/(1+$A$31)^DCF_Base!$C$4:$L$4)+MAX(0,MIN(IF($A$31&gt;B$28,DCF_Base!$L$19*(1+B$28)/($A$31-B$28),0),Assumptions!$C$17*DCF_Base!$L$19))/(1+$A$31)^Assumptions!$B$12-Assumptions!$B$6)/Assumptions!$B$5,"n/a")</f>
        <v/>
      </c>
      <c r="C31" s="23">
        <f>IF($A$31&gt;C$28,(SUMPRODUCT(DCF_Base!$C$19:$L$19/(1+$A$31)^DCF_Base!$C$4:$L$4)+MAX(0,MIN(IF($A$31&gt;C$28,DCF_Base!$L$19*(1+C$28)/($A$31-C$28),0),Assumptions!$C$17*DCF_Base!$L$19))/(1+$A$31)^Assumptions!$B$12-Assumptions!$B$6)/Assumptions!$B$5,"n/a")</f>
        <v/>
      </c>
      <c r="D31" s="25">
        <f>IF($A$31&gt;D$28,(SUMPRODUCT(DCF_Base!$C$19:$L$19/(1+$A$31)^DCF_Base!$C$4:$L$4)+MAX(0,MIN(IF($A$31&gt;D$28,DCF_Base!$L$19*(1+D$28)/($A$31-D$28),0),Assumptions!$C$17*DCF_Base!$L$19))/(1+$A$31)^Assumptions!$B$12-Assumptions!$B$6)/Assumptions!$B$5,"n/a")</f>
        <v/>
      </c>
      <c r="E31" s="23">
        <f>IF($A$31&gt;E$28,(SUMPRODUCT(DCF_Base!$C$19:$L$19/(1+$A$31)^DCF_Base!$C$4:$L$4)+MAX(0,MIN(IF($A$31&gt;E$28,DCF_Base!$L$19*(1+E$28)/($A$31-E$28),0),Assumptions!$C$17*DCF_Base!$L$19))/(1+$A$31)^Assumptions!$B$12-Assumptions!$B$6)/Assumptions!$B$5,"n/a")</f>
        <v/>
      </c>
      <c r="F31" s="23">
        <f>IF($A$31&gt;F$28,(SUMPRODUCT(DCF_Base!$C$19:$L$19/(1+$A$31)^DCF_Base!$C$4:$L$4)+MAX(0,MIN(IF($A$31&gt;F$28,DCF_Base!$L$19*(1+F$28)/($A$31-F$28),0),Assumptions!$C$17*DCF_Base!$L$19))/(1+$A$31)^Assumptions!$B$12-Assumptions!$B$6)/Assumptions!$B$5,"n/a")</f>
        <v/>
      </c>
    </row>
    <row r="32">
      <c r="A32" s="7" t="n">
        <v>0.11</v>
      </c>
      <c r="B32" s="23">
        <f>IF($A$32&gt;B$28,(SUMPRODUCT(DCF_Base!$C$19:$L$19/(1+$A$32)^DCF_Base!$C$4:$L$4)+MAX(0,MIN(IF($A$32&gt;B$28,DCF_Base!$L$19*(1+B$28)/($A$32-B$28),0),Assumptions!$C$17*DCF_Base!$L$19))/(1+$A$32)^Assumptions!$B$12-Assumptions!$B$6)/Assumptions!$B$5,"n/a")</f>
        <v/>
      </c>
      <c r="C32" s="23">
        <f>IF($A$32&gt;C$28,(SUMPRODUCT(DCF_Base!$C$19:$L$19/(1+$A$32)^DCF_Base!$C$4:$L$4)+MAX(0,MIN(IF($A$32&gt;C$28,DCF_Base!$L$19*(1+C$28)/($A$32-C$28),0),Assumptions!$C$17*DCF_Base!$L$19))/(1+$A$32)^Assumptions!$B$12-Assumptions!$B$6)/Assumptions!$B$5,"n/a")</f>
        <v/>
      </c>
      <c r="D32" s="23">
        <f>IF($A$32&gt;D$28,(SUMPRODUCT(DCF_Base!$C$19:$L$19/(1+$A$32)^DCF_Base!$C$4:$L$4)+MAX(0,MIN(IF($A$32&gt;D$28,DCF_Base!$L$19*(1+D$28)/($A$32-D$28),0),Assumptions!$C$17*DCF_Base!$L$19))/(1+$A$32)^Assumptions!$B$12-Assumptions!$B$6)/Assumptions!$B$5,"n/a")</f>
        <v/>
      </c>
      <c r="E32" s="23">
        <f>IF($A$32&gt;E$28,(SUMPRODUCT(DCF_Base!$C$19:$L$19/(1+$A$32)^DCF_Base!$C$4:$L$4)+MAX(0,MIN(IF($A$32&gt;E$28,DCF_Base!$L$19*(1+E$28)/($A$32-E$28),0),Assumptions!$C$17*DCF_Base!$L$19))/(1+$A$32)^Assumptions!$B$12-Assumptions!$B$6)/Assumptions!$B$5,"n/a")</f>
        <v/>
      </c>
      <c r="F32" s="23">
        <f>IF($A$32&gt;F$28,(SUMPRODUCT(DCF_Base!$C$19:$L$19/(1+$A$32)^DCF_Base!$C$4:$L$4)+MAX(0,MIN(IF($A$32&gt;F$28,DCF_Base!$L$19*(1+F$28)/($A$32-F$28),0),Assumptions!$C$17*DCF_Base!$L$19))/(1+$A$32)^Assumptions!$B$12-Assumptions!$B$6)/Assumptions!$B$5,"n/a")</f>
        <v/>
      </c>
    </row>
    <row r="33">
      <c r="A33" s="7" t="n">
        <v>0.12</v>
      </c>
      <c r="B33" s="23">
        <f>IF($A$33&gt;B$28,(SUMPRODUCT(DCF_Base!$C$19:$L$19/(1+$A$33)^DCF_Base!$C$4:$L$4)+MAX(0,MIN(IF($A$33&gt;B$28,DCF_Base!$L$19*(1+B$28)/($A$33-B$28),0),Assumptions!$C$17*DCF_Base!$L$19))/(1+$A$33)^Assumptions!$B$12-Assumptions!$B$6)/Assumptions!$B$5,"n/a")</f>
        <v/>
      </c>
      <c r="C33" s="23">
        <f>IF($A$33&gt;C$28,(SUMPRODUCT(DCF_Base!$C$19:$L$19/(1+$A$33)^DCF_Base!$C$4:$L$4)+MAX(0,MIN(IF($A$33&gt;C$28,DCF_Base!$L$19*(1+C$28)/($A$33-C$28),0),Assumptions!$C$17*DCF_Base!$L$19))/(1+$A$33)^Assumptions!$B$12-Assumptions!$B$6)/Assumptions!$B$5,"n/a")</f>
        <v/>
      </c>
      <c r="D33" s="23">
        <f>IF($A$33&gt;D$28,(SUMPRODUCT(DCF_Base!$C$19:$L$19/(1+$A$33)^DCF_Base!$C$4:$L$4)+MAX(0,MIN(IF($A$33&gt;D$28,DCF_Base!$L$19*(1+D$28)/($A$33-D$28),0),Assumptions!$C$17*DCF_Base!$L$19))/(1+$A$33)^Assumptions!$B$12-Assumptions!$B$6)/Assumptions!$B$5,"n/a")</f>
        <v/>
      </c>
      <c r="E33" s="23">
        <f>IF($A$33&gt;E$28,(SUMPRODUCT(DCF_Base!$C$19:$L$19/(1+$A$33)^DCF_Base!$C$4:$L$4)+MAX(0,MIN(IF($A$33&gt;E$28,DCF_Base!$L$19*(1+E$28)/($A$33-E$28),0),Assumptions!$C$17*DCF_Base!$L$19))/(1+$A$33)^Assumptions!$B$12-Assumptions!$B$6)/Assumptions!$B$5,"n/a")</f>
        <v/>
      </c>
      <c r="F33" s="23">
        <f>IF($A$33&gt;F$28,(SUMPRODUCT(DCF_Base!$C$19:$L$19/(1+$A$33)^DCF_Base!$C$4:$L$4)+MAX(0,MIN(IF($A$33&gt;F$28,DCF_Base!$L$19*(1+F$28)/($A$33-F$28),0),Assumptions!$C$17*DCF_Base!$L$19))/(1+$A$33)^Assumptions!$B$12-Assumptions!$B$6)/Assumptions!$B$5,"n/a")</f>
        <v/>
      </c>
    </row>
    <row r="35">
      <c r="A35" t="inlineStr">
        <is>
          <t>Sanity check by hand: the 10%/3% cell (D31) equals DCF_Base!B38; the 15% row of the required-return table equals the base entry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2026-09-21T13:52:34Z</dcterms:created>
  <dcterms:modified xsi:type="dcterms:W3CDTF">2026-09-21T13:52:34Z</dcterms:modified>
</cp:coreProperties>
</file>