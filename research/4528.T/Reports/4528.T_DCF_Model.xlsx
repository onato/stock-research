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<sst xmlns="http://schemas.openxmlformats.org/spreadsheetml/2006/main" count="385" uniqueCount="176">
  <si>
    <t xml:space="preserve">Ticker</t>
  </si>
  <si>
    <t xml:space="preserve">4528.T</t>
  </si>
  <si>
    <t xml:space="preserve">Company</t>
  </si>
  <si>
    <t xml:space="preserve">Ono Pharmaceutical Co., Ltd.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</si>
  <si>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</si>
  <si>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</si>
  <si>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</si>
  <si>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</si>
  <si>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close, Friday)</t>
  </si>
  <si>
    <t xml:space="preserve">Balance sheet date</t>
  </si>
  <si>
    <t xml:space="preserve">2026-09-30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</si>
  <si>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</si>
  <si>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</si>
  <si>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</si>
  <si>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</si>
  <si>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</si>
  <si>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</si>
  <si>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</si>
  <si>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</si>
  <si>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</si>
  <si>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</si>
  <si>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2026-10-31T03:39:02Z</t>
  </si>
  <si>
    <t xml:space="preserve">Drivers file</t>
  </si>
  <si>
    <t xml:space="preserve">4528.T_Drivers.json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</si>
  <si>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</si>
  <si>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</si>
  <si>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</si>
  <si>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running-off royalty annuity plus a mid-cap Japanese pharma that has to rebuild its revenue base with the cash that annuity throws off. The DCF is a 10-year explicit build because the margin is still moving (down, then up) through year seven; the terminal value is capped at 15x owner FCF so the valuation does not lean on a post-cliff Gordon multiple. All risk is charged in the flows at one JPY WACC; net cash, investment securities (haircut 20%) and NCI go through the bridge; leases are an operating cost; non-deductible Deciphera amortization is excluded from both the tax shield and the add-back. House and street bases coincide (SBC ~0.01% of revenue).
key_risks_to_valuation: Royalty run-off shape: the model assumes ~75% of FY2027 royalty income is gone by FY2032; every ¥10bn/yr of durable royalty tail is worth roughly ¥100-130/share; R&amp;D response: the trough margin assumes management trims R&amp;D from 31% toward 25% of sales by FY2033; a Takeda-style refusal to cut would push the base toward the bear path; Pipeline binary outcomes (sapablursen, ONO-4578, povetacicept-Japan): the base gives partial credit; the bull/bear spread is mostly these; FX: royalties and Deciphera sales are USD/EUR; guidance assumes USD/JPY 155, and a 10% stronger yen takes ~¥20bn off revenue at near-full margin; Investment-securities haircut and cross-shareholding unwind: 97bn carried at 80%; the full value is ¥41/share more; Terminal multiple: the 15x cap binds in the base case; at the 7% Gordon value the base IV would be ~¥150/share higher</t>
  </si>
  <si>
    <t xml:space="preserve">Data sources</t>
  </si>
  <si>
    <t xml:space="preserve">price: Yahoo Finance chart API at inputs.price_as_of; 52-week range 1859.5-2674.5
financials: 4528.T_Metrics.csv (core_metrics, IFRS, JPY millions) FY2010-H1 FY2027; balance-sheet anchors from 4528.T_HalfYear_H1-2026.txt (30 Sep 2026); FY2027 guidance and core/IFRS reconciliation from 4528.T_Annual_FY2025.txt (year ended 31 Mar 2026)
qualitative: 4528.T_Analysis.json (2026-10-31): royalty step-down timing, Deciphera, pipeline attrition, guidance</t>
  </si>
  <si>
    <t xml:space="preserve">Scenario narrative: bear</t>
  </si>
  <si>
    <t xml:space="preserve">The cliff arrives faster and nothing replaces it: Keytruda royalty ends on schedule, US biosimilars launch promptly in 2028 and take 60%+ of IV volume within two years, EU expiry in 2030 does the same, and the subQ tail is thinner than hoped. Domestic Opdivo loses share to competing PD-1s and successive NHI cuts; the FY2025-26 attrition pattern (gastric, bladder, adjuvant HCC, five early oncology assets discontinued) continues, so R&amp;D at ~30% of a shrinking revenue base produces no scale launch before FY2033. Deciphera plateaus near $450m. Revenue falls to ~270bn by FY2033 and EBITDA margin collapses to 10.5-13% because management, with 158bn of net cash and a never-cut dividend, is slow to right-size R&amp;D. The company survives (no scenario hits the zero-TV floor) but becomes a sub-scale domestic pharma on a 13x terminal multiple.</t>
  </si>
  <si>
    <t xml:space="preserve">Scenario narrative: base</t>
  </si>
  <si>
    <t xml:space="preserve">The Opdivo royalty annuity (173bn in FY2026, 185bn guided FY2027, ~34-40% of revenue and most of the profit) runs down on its contractual calendar: the Merck Keytruda settlement royalty stops after Dec 2026, US Opdivo IV exclusivity lapses in 2028, EU/ROW in 2030, leaving a subcutaneous-formulation and Braftovi/other tail of ~40-50bn into the 2030s. Domestic product sales keep shrinking on NHI price cuts and generic entry (Forxiga co-promotion already gone, hence the -11.8% guided FY2027). Deciphera's QINLOCK/ROMVIMZA grow from ~65bn to ~90bn+ and one or two of sapablursen, ONO-4578 and povetacicept (Japan) launch 2029-31, so revenue stabilises near 375bn by FY2032 and grows ~2% thereafter. Management keeps R&amp;D above 30% of sales through the cliff, so EBITDA margin troughs at 18.5% before cost discipline and new-product mix lift it to 21%. Net cash of 158bn plus 97bn of investment securities and a deleveraging balance sheet underwrite the 80/share dividend through the transition.</t>
  </si>
  <si>
    <t xml:space="preserve">Scenario narrative: bull</t>
  </si>
  <si>
    <t xml:space="preserve">Biosimilar nivolumab erodes slowly (IO biosimilars face heavier substitution friction than small molecules, and BMS converts 30-40% of US volume to subcutaneous Qvantig whose exclusivity runs well into the 2030s), so the royalty stream falls by roughly half rather than three-quarters by FY2032. Deciphera reaches $700m+ as ROMVIMZA penetrates TGCT and QINLOCK moves to earlier GIST lines and Japan; two pipeline assets (sapablursen in polycythemia vera, ONO-4578) reach near-simultaneous global approval using Deciphera's US/EU infrastructure, adding ~80bn of revenue by FY2033. Revenue troughs at ~430bn and grows 3% a year from FY2034; R&amp;D is redirected rather than cut, and EBITDA margin recovers to 25.5% with a 17x terminal multiple on a re-rated pipeline-driven franchise.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</si>
  <si>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</si>
  <si>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</si>
  <si>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</si>
  <si>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</si>
  <si>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</si>
  <si>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</si>
  <si>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</si>
  <si>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</si>
  <si>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</si>
  <si>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</si>
  <si>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</si>
  <si>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</si>
  <si>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</si>
  <si>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</si>
  <si>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</si>
  <si>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</si>
  <si>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</si>
  <si>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</si>
  <si>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</si>
  <si>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</si>
  <si>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</si>
  <si>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</si>
  <si>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</si>
  <si>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</si>
  <si>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</si>
  <si>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</si>
  <si>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</si>
  <si>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</si>
  <si>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</si>
  <si>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ResearchAndDevelopment</t>
  </si>
  <si>
    <t xml:space="preserve">RoyaltyRevenue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</si>
  <si>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</si>
  <si>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</si>
  <si>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</si>
  <si>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</si>
  <si>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</si>
  <si>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</si>
  <si>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</si>
  <si>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</si>
  <si>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</si>
  <si>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</si>
  <si>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</si>
  <si>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</si>
  <si>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</si>
  <si>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</si>
  <si>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</si>
  <si>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</si>
  <si>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</si>
  <si>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</si>
  <si>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</si>
  <si>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</si>
  <si>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</si>
  <si>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</si>
  <si>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</si>
  <si>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</si>
  <si>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</si>
  <si>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</si>
  <si>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</si>
  <si>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</si>
  <si>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</si>
  <si>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</si>
  <si>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</si>
  <si>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</si>
  <si>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</si>
  <si>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</si>
  <si>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</si>
  <si>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</si>
  <si>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</si>
  <si>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</si>
  <si>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</si>
  <si>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</si>
  <si>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</si>
  <si>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</si>
  <si>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</si>
  <si>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</si>
  <si>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</si>
  <si>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</si>
  <si>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</si>
  <si>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</si>
  <si>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</si>
  <si>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</si>
  <si>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</si>
  <si>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</si>
  <si>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</si>
  <si>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</si>
  <si>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4528.T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</si>
  <si>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</si>
  <si>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</si>
  <si>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</si>
  <si>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</si>
  <si>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</si>
  <si>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</si>
  <si>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</si>
  <si>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</si>
  <si>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</si>
  <si>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</si>
  <si>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</si>
  <si>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</si>
  <si>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</si>
  <si>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</si>
  <si>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</si>
  <si>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</si>
  <si>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</si>
  <si>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</si>
  <si>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</si>
  <si>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</si>
  <si>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</si>
  <si>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</si>
  <si>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</si>
  <si>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</si>
  <si>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</si>
  <si>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</si>
  <si>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</si>
  <si>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</si>
  <si>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</si>
  <si>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</si>
  <si>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4528.T owner-FCF component DCF: base case (millions, JPY)</t>
  </si>
  <si>
    <t xml:space="preserve">4528.T owner-FCF component DCF: bull case (millions, JPY)</t>
  </si>
  <si>
    <t xml:space="preserve">4528.T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</si>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</sst>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2256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135986</v>
      </c>
      <c r="C2" s="0" t="n">
        <v>20838</v>
      </c>
      <c r="D2" s="0" t="n">
        <v>115148</v>
      </c>
      <c r="E2" s="0" t="n">
        <v>84.68</v>
      </c>
      <c r="F2" s="0" t="n">
        <v>39841</v>
      </c>
      <c r="G2" s="0" t="n">
        <v>29.3</v>
      </c>
      <c r="H2" s="0" t="n">
        <v>42853</v>
      </c>
      <c r="I2" s="0" t="n">
        <v>27878</v>
      </c>
      <c r="J2" s="0" t="n">
        <v>20.5</v>
      </c>
      <c r="K2" s="0" t="n">
        <v>51.28</v>
      </c>
      <c r="L2" s="0" t="n">
        <v>21302</v>
      </c>
      <c r="M2" s="0" t="n">
        <v>3211</v>
      </c>
      <c r="N2" s="0" t="n">
        <v>18091</v>
      </c>
      <c r="O2" s="0" t="n">
        <v>402479</v>
      </c>
      <c r="P2" s="0" t="n">
        <v>433226</v>
      </c>
      <c r="Q2" s="0" t="n">
        <v>27117</v>
      </c>
      <c r="R2" s="0" t="n">
        <v>16</v>
      </c>
      <c r="S2" s="0" t="n">
        <v>72097</v>
      </c>
      <c r="T2" s="0" t="n">
        <v>543.685</v>
      </c>
      <c r="AA2" s="0" t="s">
        <v>17</v>
      </c>
      <c r="AB2" s="0" t="s">
        <v>14</v>
      </c>
      <c r="AD2" s="0" t="n">
        <v>3211</v>
      </c>
    </row>
    <row r="3" customFormat="false" ht="15" hidden="false" customHeight="false" outlineLevel="0" collapsed="false">
      <c r="A3" s="0" t="s">
        <v>68</v>
      </c>
      <c r="B3" s="0" t="n">
        <v>135255</v>
      </c>
      <c r="C3" s="0" t="n">
        <v>24759</v>
      </c>
      <c r="D3" s="0" t="n">
        <v>110496</v>
      </c>
      <c r="E3" s="0" t="n">
        <v>81.69</v>
      </c>
      <c r="F3" s="0" t="n">
        <v>35201</v>
      </c>
      <c r="G3" s="0" t="n">
        <v>26.03</v>
      </c>
      <c r="H3" s="0" t="n">
        <v>38253</v>
      </c>
      <c r="I3" s="0" t="n">
        <v>24222</v>
      </c>
      <c r="J3" s="0" t="n">
        <v>17.91</v>
      </c>
      <c r="K3" s="0" t="n">
        <v>44.78</v>
      </c>
      <c r="L3" s="0" t="n">
        <v>29796</v>
      </c>
      <c r="M3" s="0" t="n">
        <v>1294</v>
      </c>
      <c r="N3" s="0" t="n">
        <v>28502</v>
      </c>
      <c r="O3" s="0" t="n">
        <v>390713</v>
      </c>
      <c r="P3" s="0" t="n">
        <v>424443</v>
      </c>
      <c r="Q3" s="0" t="n">
        <v>29870</v>
      </c>
      <c r="R3" s="0" t="n">
        <v>15</v>
      </c>
      <c r="S3" s="0" t="n">
        <v>82577</v>
      </c>
      <c r="T3" s="0" t="n">
        <v>540.959</v>
      </c>
      <c r="AA3" s="0" t="s">
        <v>17</v>
      </c>
      <c r="AB3" s="0" t="s">
        <v>14</v>
      </c>
      <c r="AD3" s="0" t="n">
        <v>1294</v>
      </c>
    </row>
    <row r="4" customFormat="false" ht="15" hidden="false" customHeight="false" outlineLevel="0" collapsed="false">
      <c r="A4" s="0" t="s">
        <v>69</v>
      </c>
      <c r="B4" s="0" t="n">
        <v>145779</v>
      </c>
      <c r="C4" s="0" t="n">
        <v>28987</v>
      </c>
      <c r="D4" s="0" t="n">
        <v>116792</v>
      </c>
      <c r="E4" s="0" t="n">
        <v>80.12</v>
      </c>
      <c r="F4" s="0" t="n">
        <v>37904</v>
      </c>
      <c r="G4" s="0" t="n">
        <v>26</v>
      </c>
      <c r="H4" s="0" t="n">
        <v>40909</v>
      </c>
      <c r="I4" s="0" t="n">
        <v>24361</v>
      </c>
      <c r="J4" s="0" t="n">
        <v>16.71</v>
      </c>
      <c r="K4" s="0" t="n">
        <v>45.96</v>
      </c>
      <c r="L4" s="0" t="n">
        <v>21635</v>
      </c>
      <c r="M4" s="0" t="n">
        <v>2023</v>
      </c>
      <c r="N4" s="0" t="n">
        <v>19612</v>
      </c>
      <c r="O4" s="0" t="n">
        <v>397892</v>
      </c>
      <c r="P4" s="0" t="n">
        <v>436414</v>
      </c>
      <c r="Q4" s="0" t="n">
        <v>35446</v>
      </c>
      <c r="R4" s="0" t="n">
        <v>13</v>
      </c>
      <c r="S4" s="0" t="n">
        <v>85067</v>
      </c>
      <c r="T4" s="0" t="n">
        <v>530.094</v>
      </c>
      <c r="AA4" s="0" t="s">
        <v>17</v>
      </c>
      <c r="AB4" s="0" t="s">
        <v>14</v>
      </c>
      <c r="AD4" s="0" t="n">
        <v>2023</v>
      </c>
    </row>
    <row r="5" customFormat="false" ht="15" hidden="false" customHeight="false" outlineLevel="0" collapsed="false">
      <c r="A5" s="0" t="s">
        <v>70</v>
      </c>
      <c r="B5" s="0" t="n">
        <v>145393</v>
      </c>
      <c r="C5" s="0" t="n">
        <v>33983</v>
      </c>
      <c r="D5" s="0" t="n">
        <v>111410</v>
      </c>
      <c r="E5" s="0" t="n">
        <v>76.63</v>
      </c>
      <c r="F5" s="0" t="n">
        <v>31921</v>
      </c>
      <c r="G5" s="0" t="n">
        <v>21.95</v>
      </c>
      <c r="H5" s="0" t="n">
        <v>34766</v>
      </c>
      <c r="I5" s="0" t="n">
        <v>24120</v>
      </c>
      <c r="J5" s="0" t="n">
        <v>16.59</v>
      </c>
      <c r="K5" s="0" t="n">
        <v>45.5</v>
      </c>
      <c r="L5" s="0" t="n">
        <v>15662</v>
      </c>
      <c r="M5" s="0" t="n">
        <v>4578</v>
      </c>
      <c r="N5" s="0" t="n">
        <v>11084</v>
      </c>
      <c r="O5" s="0" t="n">
        <v>419989</v>
      </c>
      <c r="P5" s="0" t="n">
        <v>455573</v>
      </c>
      <c r="Q5" s="0" t="n">
        <v>32282</v>
      </c>
      <c r="R5" s="0" t="n">
        <v>237</v>
      </c>
      <c r="S5" s="0" t="n">
        <v>89117</v>
      </c>
      <c r="T5" s="0" t="n">
        <v>530.087</v>
      </c>
      <c r="AA5" s="0" t="s">
        <v>17</v>
      </c>
      <c r="AB5" s="0" t="s">
        <v>14</v>
      </c>
      <c r="AD5" s="0" t="n">
        <v>4578</v>
      </c>
    </row>
    <row r="6" customFormat="false" ht="15" hidden="false" customHeight="false" outlineLevel="0" collapsed="false">
      <c r="A6" s="0" t="s">
        <v>71</v>
      </c>
      <c r="B6" s="0" t="n">
        <v>143247</v>
      </c>
      <c r="C6" s="0" t="n">
        <v>32747</v>
      </c>
      <c r="D6" s="0" t="n">
        <v>110500</v>
      </c>
      <c r="E6" s="0" t="n">
        <v>77.14</v>
      </c>
      <c r="F6" s="0" t="n">
        <v>26423</v>
      </c>
      <c r="G6" s="0" t="n">
        <v>18.45</v>
      </c>
      <c r="H6" s="0" t="n">
        <v>31532</v>
      </c>
      <c r="I6" s="0" t="n">
        <v>20350</v>
      </c>
      <c r="J6" s="0" t="n">
        <v>14.21</v>
      </c>
      <c r="K6" s="0" t="n">
        <v>38.39</v>
      </c>
      <c r="L6" s="0" t="n">
        <v>28422</v>
      </c>
      <c r="M6" s="0" t="n">
        <v>12857</v>
      </c>
      <c r="N6" s="0" t="n">
        <v>15565</v>
      </c>
      <c r="O6" s="0" t="n">
        <v>447599</v>
      </c>
      <c r="P6" s="0" t="n">
        <v>485962</v>
      </c>
      <c r="Q6" s="0" t="n">
        <v>33966</v>
      </c>
      <c r="R6" s="0" t="n">
        <v>976</v>
      </c>
      <c r="S6" s="0" t="n">
        <v>104898</v>
      </c>
      <c r="T6" s="0" t="n">
        <v>530.058</v>
      </c>
      <c r="AA6" s="0" t="s">
        <v>17</v>
      </c>
      <c r="AB6" s="0" t="s">
        <v>14</v>
      </c>
      <c r="AC6" s="0" t="n">
        <v>7041</v>
      </c>
      <c r="AD6" s="0" t="n">
        <v>5816</v>
      </c>
      <c r="AE6" s="0" t="n">
        <v>44413</v>
      </c>
    </row>
    <row r="7" customFormat="false" ht="15" hidden="false" customHeight="false" outlineLevel="0" collapsed="false">
      <c r="A7" s="0" t="s">
        <v>72</v>
      </c>
      <c r="B7" s="0" t="n">
        <v>135775</v>
      </c>
      <c r="C7" s="0" t="n">
        <v>35136</v>
      </c>
      <c r="D7" s="0" t="n">
        <v>100639</v>
      </c>
      <c r="E7" s="0" t="n">
        <v>74.12</v>
      </c>
      <c r="F7" s="0" t="n">
        <v>14794</v>
      </c>
      <c r="G7" s="0" t="n">
        <v>10.9</v>
      </c>
      <c r="H7" s="0" t="n">
        <v>20894</v>
      </c>
      <c r="I7" s="0" t="n">
        <v>12976</v>
      </c>
      <c r="J7" s="0" t="n">
        <v>9.56</v>
      </c>
      <c r="K7" s="0" t="n">
        <v>24.48</v>
      </c>
      <c r="L7" s="0" t="n">
        <v>31579</v>
      </c>
      <c r="M7" s="0" t="n">
        <v>31118</v>
      </c>
      <c r="N7" s="0" t="n">
        <v>461</v>
      </c>
      <c r="O7" s="0" t="n">
        <v>470575</v>
      </c>
      <c r="P7" s="0" t="n">
        <v>524588</v>
      </c>
      <c r="Q7" s="0" t="n">
        <v>49375</v>
      </c>
      <c r="R7" s="0" t="n">
        <v>604</v>
      </c>
      <c r="S7" s="0" t="n">
        <v>104222</v>
      </c>
      <c r="T7" s="0" t="n">
        <v>530.065</v>
      </c>
      <c r="AA7" s="0" t="s">
        <v>17</v>
      </c>
      <c r="AB7" s="0" t="s">
        <v>14</v>
      </c>
      <c r="AC7" s="0" t="n">
        <v>13578</v>
      </c>
      <c r="AD7" s="0" t="n">
        <v>17540</v>
      </c>
      <c r="AE7" s="0" t="n">
        <v>41346</v>
      </c>
    </row>
    <row r="8" customFormat="false" ht="15" hidden="false" customHeight="false" outlineLevel="0" collapsed="false">
      <c r="A8" s="0" t="s">
        <v>73</v>
      </c>
      <c r="B8" s="0" t="n">
        <v>160284</v>
      </c>
      <c r="C8" s="0" t="n">
        <v>41524</v>
      </c>
      <c r="D8" s="0" t="n">
        <v>118760</v>
      </c>
      <c r="E8" s="0" t="n">
        <v>74.09</v>
      </c>
      <c r="F8" s="0" t="n">
        <v>30507</v>
      </c>
      <c r="G8" s="0" t="n">
        <v>19.03</v>
      </c>
      <c r="H8" s="0" t="n">
        <v>37041</v>
      </c>
      <c r="I8" s="0" t="n">
        <v>24979</v>
      </c>
      <c r="J8" s="0" t="n">
        <v>15.58</v>
      </c>
      <c r="K8" s="0" t="n">
        <v>47.13</v>
      </c>
      <c r="L8" s="0" t="n">
        <v>12842</v>
      </c>
      <c r="M8" s="0" t="n">
        <v>14082</v>
      </c>
      <c r="N8" s="0" t="n">
        <v>-1240</v>
      </c>
      <c r="O8" s="0" t="n">
        <v>471393</v>
      </c>
      <c r="P8" s="0" t="n">
        <v>540450</v>
      </c>
      <c r="Q8" s="0" t="n">
        <v>64195</v>
      </c>
      <c r="R8" s="0" t="n">
        <v>843</v>
      </c>
      <c r="S8" s="0" t="n">
        <v>110485</v>
      </c>
      <c r="T8" s="0" t="n">
        <v>530.002</v>
      </c>
      <c r="U8" s="0" t="n">
        <v>209</v>
      </c>
      <c r="AA8" s="0" t="s">
        <v>17</v>
      </c>
      <c r="AB8" s="0" t="s">
        <v>14</v>
      </c>
      <c r="AC8" s="0" t="n">
        <v>7061</v>
      </c>
      <c r="AD8" s="0" t="n">
        <v>7021</v>
      </c>
      <c r="AE8" s="0" t="n">
        <v>43369</v>
      </c>
    </row>
    <row r="9" customFormat="false" ht="15" hidden="false" customHeight="false" outlineLevel="0" collapsed="false">
      <c r="A9" s="0" t="s">
        <v>74</v>
      </c>
      <c r="B9" s="0" t="n">
        <v>244797</v>
      </c>
      <c r="C9" s="0" t="n">
        <v>65524</v>
      </c>
      <c r="D9" s="0" t="n">
        <v>179273</v>
      </c>
      <c r="E9" s="0" t="n">
        <v>73.23</v>
      </c>
      <c r="F9" s="0" t="n">
        <v>72284</v>
      </c>
      <c r="G9" s="0" t="n">
        <v>29.53</v>
      </c>
      <c r="H9" s="0" t="n">
        <v>80105</v>
      </c>
      <c r="I9" s="0" t="n">
        <v>55793</v>
      </c>
      <c r="J9" s="0" t="n">
        <v>22.79</v>
      </c>
      <c r="K9" s="0" t="n">
        <v>105.26</v>
      </c>
      <c r="L9" s="0" t="n">
        <v>74450</v>
      </c>
      <c r="M9" s="0" t="n">
        <v>24079</v>
      </c>
      <c r="N9" s="0" t="n">
        <v>50371</v>
      </c>
      <c r="O9" s="0" t="n">
        <v>519110</v>
      </c>
      <c r="P9" s="0" t="n">
        <v>617461</v>
      </c>
      <c r="Q9" s="0" t="n">
        <v>93250</v>
      </c>
      <c r="R9" s="0" t="n">
        <v>965</v>
      </c>
      <c r="S9" s="0" t="n">
        <v>146323</v>
      </c>
      <c r="T9" s="0" t="n">
        <v>530.049</v>
      </c>
      <c r="U9" s="0" t="n">
        <v>366</v>
      </c>
      <c r="AA9" s="0" t="s">
        <v>17</v>
      </c>
      <c r="AB9" s="0" t="s">
        <v>14</v>
      </c>
      <c r="AC9" s="0" t="n">
        <v>9274</v>
      </c>
      <c r="AD9" s="0" t="n">
        <v>14805</v>
      </c>
      <c r="AE9" s="0" t="n">
        <v>57506</v>
      </c>
    </row>
    <row r="10" customFormat="false" ht="15" hidden="false" customHeight="false" outlineLevel="0" collapsed="false">
      <c r="A10" s="0" t="s">
        <v>75</v>
      </c>
      <c r="B10" s="0" t="n">
        <v>261836</v>
      </c>
      <c r="C10" s="0" t="n">
        <v>65391</v>
      </c>
      <c r="D10" s="0" t="n">
        <v>196445</v>
      </c>
      <c r="E10" s="0" t="n">
        <v>75.03</v>
      </c>
      <c r="F10" s="0" t="n">
        <v>60684</v>
      </c>
      <c r="G10" s="0" t="n">
        <v>23.18</v>
      </c>
      <c r="H10" s="0" t="n">
        <v>69897</v>
      </c>
      <c r="I10" s="0" t="n">
        <v>50284</v>
      </c>
      <c r="J10" s="0" t="n">
        <v>19.2</v>
      </c>
      <c r="K10" s="0" t="n">
        <v>96.99</v>
      </c>
      <c r="L10" s="0" t="n">
        <v>15727</v>
      </c>
      <c r="M10" s="0" t="n">
        <v>29838</v>
      </c>
      <c r="N10" s="0" t="n">
        <v>-14111</v>
      </c>
      <c r="O10" s="0" t="n">
        <v>524391</v>
      </c>
      <c r="P10" s="0" t="n">
        <v>609226</v>
      </c>
      <c r="Q10" s="0" t="n">
        <v>79607</v>
      </c>
      <c r="R10" s="0" t="n">
        <v>712</v>
      </c>
      <c r="S10" s="0" t="n">
        <v>65273</v>
      </c>
      <c r="T10" s="0" t="n">
        <v>518.445</v>
      </c>
      <c r="U10" s="0" t="n">
        <v>286</v>
      </c>
      <c r="AA10" s="0" t="s">
        <v>17</v>
      </c>
      <c r="AB10" s="0" t="s">
        <v>14</v>
      </c>
      <c r="AC10" s="0" t="n">
        <v>14218</v>
      </c>
      <c r="AD10" s="0" t="n">
        <v>15620</v>
      </c>
      <c r="AE10" s="0" t="n">
        <v>68821</v>
      </c>
      <c r="AF10" s="0" t="n">
        <v>55948</v>
      </c>
    </row>
    <row r="11" customFormat="false" ht="15" hidden="false" customHeight="false" outlineLevel="0" collapsed="false">
      <c r="A11" s="0" t="s">
        <v>76</v>
      </c>
      <c r="B11" s="0" t="n">
        <v>288634</v>
      </c>
      <c r="C11" s="0" t="n">
        <v>83829</v>
      </c>
      <c r="D11" s="0" t="n">
        <v>204805</v>
      </c>
      <c r="E11" s="0" t="n">
        <v>70.96</v>
      </c>
      <c r="F11" s="0" t="n">
        <v>62010</v>
      </c>
      <c r="G11" s="0" t="n">
        <v>21.48</v>
      </c>
      <c r="H11" s="0" t="n">
        <v>72631</v>
      </c>
      <c r="I11" s="0" t="n">
        <v>51539</v>
      </c>
      <c r="J11" s="0" t="n">
        <v>17.86</v>
      </c>
      <c r="K11" s="0" t="n">
        <v>100.24</v>
      </c>
      <c r="L11" s="0" t="n">
        <v>66774</v>
      </c>
      <c r="M11" s="0" t="n">
        <v>29602</v>
      </c>
      <c r="N11" s="0" t="n">
        <v>37172</v>
      </c>
      <c r="O11" s="0" t="n">
        <v>557350</v>
      </c>
      <c r="P11" s="0" t="n">
        <v>655056</v>
      </c>
      <c r="Q11" s="0" t="n">
        <v>92321</v>
      </c>
      <c r="R11" s="0" t="n">
        <v>2200</v>
      </c>
      <c r="S11" s="0" t="n">
        <v>59981</v>
      </c>
      <c r="T11" s="0" t="n">
        <v>514.156</v>
      </c>
      <c r="U11" s="0" t="n">
        <v>27</v>
      </c>
      <c r="AA11" s="0" t="s">
        <v>17</v>
      </c>
      <c r="AB11" s="0" t="s">
        <v>14</v>
      </c>
      <c r="AC11" s="0" t="n">
        <v>7299</v>
      </c>
      <c r="AD11" s="0" t="n">
        <v>22303</v>
      </c>
      <c r="AE11" s="0" t="n">
        <v>70008</v>
      </c>
      <c r="AF11" s="0" t="n">
        <v>79687</v>
      </c>
    </row>
    <row r="12" customFormat="false" ht="15" hidden="false" customHeight="false" outlineLevel="0" collapsed="false">
      <c r="A12" s="0" t="s">
        <v>77</v>
      </c>
      <c r="B12" s="0" t="n">
        <v>292420</v>
      </c>
      <c r="C12" s="0" t="n">
        <v>79063</v>
      </c>
      <c r="D12" s="0" t="n">
        <v>213356</v>
      </c>
      <c r="E12" s="0" t="n">
        <v>72.96</v>
      </c>
      <c r="F12" s="0" t="n">
        <v>77491</v>
      </c>
      <c r="G12" s="0" t="n">
        <v>26.5</v>
      </c>
      <c r="H12" s="0" t="n">
        <v>91705</v>
      </c>
      <c r="I12" s="0" t="n">
        <v>59704</v>
      </c>
      <c r="J12" s="0" t="n">
        <v>20.42</v>
      </c>
      <c r="K12" s="0" t="n">
        <v>118.45</v>
      </c>
      <c r="L12" s="0" t="n">
        <v>74157</v>
      </c>
      <c r="M12" s="0" t="n">
        <v>22445</v>
      </c>
      <c r="N12" s="0" t="n">
        <v>51712</v>
      </c>
      <c r="O12" s="0" t="n">
        <v>562484</v>
      </c>
      <c r="P12" s="0" t="n">
        <v>673444</v>
      </c>
      <c r="Q12" s="0" t="n">
        <v>105422</v>
      </c>
      <c r="R12" s="0" t="n">
        <v>0</v>
      </c>
      <c r="S12" s="0" t="n">
        <v>69005</v>
      </c>
      <c r="T12" s="0" t="n">
        <v>504.044</v>
      </c>
      <c r="U12" s="0" t="n">
        <v>27</v>
      </c>
      <c r="AA12" s="0" t="s">
        <v>17</v>
      </c>
      <c r="AB12" s="0" t="s">
        <v>14</v>
      </c>
      <c r="AC12" s="0" t="n">
        <v>14970</v>
      </c>
      <c r="AD12" s="0" t="n">
        <v>7475</v>
      </c>
      <c r="AE12" s="0" t="n">
        <v>66497</v>
      </c>
      <c r="AF12" s="0" t="n">
        <v>86805</v>
      </c>
    </row>
    <row r="13" customFormat="false" ht="15" hidden="false" customHeight="false" outlineLevel="0" collapsed="false">
      <c r="A13" s="0" t="s">
        <v>78</v>
      </c>
      <c r="B13" s="0" t="n">
        <v>309284</v>
      </c>
      <c r="C13" s="0" t="n">
        <v>85573</v>
      </c>
      <c r="D13" s="0" t="n">
        <v>223711</v>
      </c>
      <c r="E13" s="0" t="n">
        <v>72.33</v>
      </c>
      <c r="F13" s="0" t="n">
        <v>98330</v>
      </c>
      <c r="G13" s="0" t="n">
        <v>31.79</v>
      </c>
      <c r="H13" s="0" t="n">
        <v>114150</v>
      </c>
      <c r="I13" s="0" t="n">
        <v>75425</v>
      </c>
      <c r="J13" s="0" t="n">
        <v>24.39</v>
      </c>
      <c r="K13" s="0" t="n">
        <v>151.09</v>
      </c>
      <c r="L13" s="0" t="n">
        <v>73977</v>
      </c>
      <c r="M13" s="0" t="n">
        <v>20293</v>
      </c>
      <c r="N13" s="0" t="n">
        <v>53684</v>
      </c>
      <c r="O13" s="0" t="n">
        <v>635547</v>
      </c>
      <c r="P13" s="0" t="n">
        <v>746842</v>
      </c>
      <c r="Q13" s="0" t="n">
        <v>105685</v>
      </c>
      <c r="R13" s="0" t="n">
        <v>0</v>
      </c>
      <c r="S13" s="0" t="n">
        <v>61045</v>
      </c>
      <c r="T13" s="0" t="n">
        <v>499.206</v>
      </c>
      <c r="U13" s="0" t="n">
        <v>40</v>
      </c>
      <c r="AA13" s="0" t="s">
        <v>17</v>
      </c>
      <c r="AB13" s="0" t="s">
        <v>14</v>
      </c>
      <c r="AC13" s="0" t="n">
        <v>13275</v>
      </c>
      <c r="AD13" s="0" t="n">
        <v>7018</v>
      </c>
      <c r="AE13" s="0" t="n">
        <v>62384</v>
      </c>
      <c r="AF13" s="0" t="n">
        <v>94740</v>
      </c>
    </row>
    <row r="14" customFormat="false" ht="15" hidden="false" customHeight="false" outlineLevel="0" collapsed="false">
      <c r="A14" s="0" t="s">
        <v>79</v>
      </c>
      <c r="B14" s="0" t="n">
        <v>361361</v>
      </c>
      <c r="C14" s="0" t="n">
        <v>93511</v>
      </c>
      <c r="D14" s="0" t="n">
        <v>267850</v>
      </c>
      <c r="E14" s="0" t="n">
        <v>74.12</v>
      </c>
      <c r="F14" s="0" t="n">
        <v>103195</v>
      </c>
      <c r="G14" s="0" t="n">
        <v>28.56</v>
      </c>
      <c r="H14" s="0" t="n">
        <v>120916</v>
      </c>
      <c r="I14" s="0" t="n">
        <v>80519</v>
      </c>
      <c r="J14" s="0" t="n">
        <v>22.28</v>
      </c>
      <c r="K14" s="0" t="n">
        <v>162.16</v>
      </c>
      <c r="L14" s="0" t="n">
        <v>61829</v>
      </c>
      <c r="M14" s="0" t="n">
        <v>12277</v>
      </c>
      <c r="N14" s="0" t="n">
        <v>49552</v>
      </c>
      <c r="O14" s="0" t="n">
        <v>655906</v>
      </c>
      <c r="P14" s="0" t="n">
        <v>739203</v>
      </c>
      <c r="Q14" s="0" t="n">
        <v>77529</v>
      </c>
      <c r="R14" s="0" t="n">
        <v>0</v>
      </c>
      <c r="S14" s="0" t="n">
        <v>69112</v>
      </c>
      <c r="T14" s="0" t="n">
        <v>496.54</v>
      </c>
      <c r="U14" s="0" t="n">
        <v>41</v>
      </c>
      <c r="AA14" s="0" t="s">
        <v>17</v>
      </c>
      <c r="AB14" s="0" t="s">
        <v>14</v>
      </c>
      <c r="AC14" s="0" t="n">
        <v>6780</v>
      </c>
      <c r="AD14" s="0" t="n">
        <v>5497</v>
      </c>
      <c r="AE14" s="0" t="n">
        <v>75879</v>
      </c>
      <c r="AF14" s="0" t="n">
        <v>115405</v>
      </c>
    </row>
    <row r="15" customFormat="false" ht="15" hidden="false" customHeight="false" outlineLevel="0" collapsed="false">
      <c r="A15" s="0" t="s">
        <v>80</v>
      </c>
      <c r="B15" s="0" t="n">
        <v>447187</v>
      </c>
      <c r="C15" s="0" t="n">
        <v>110062</v>
      </c>
      <c r="D15" s="0" t="n">
        <v>337124</v>
      </c>
      <c r="E15" s="0" t="n">
        <v>75.39</v>
      </c>
      <c r="F15" s="0" t="n">
        <v>141963</v>
      </c>
      <c r="G15" s="0" t="n">
        <v>31.75</v>
      </c>
      <c r="H15" s="0" t="n">
        <v>159414</v>
      </c>
      <c r="I15" s="0" t="n">
        <v>112723</v>
      </c>
      <c r="J15" s="0" t="n">
        <v>25.21</v>
      </c>
      <c r="K15" s="0" t="n">
        <v>230.79</v>
      </c>
      <c r="L15" s="0" t="n">
        <v>159610</v>
      </c>
      <c r="M15" s="0" t="n">
        <v>14497</v>
      </c>
      <c r="N15" s="0" t="n">
        <v>145113</v>
      </c>
      <c r="O15" s="0" t="n">
        <v>741868</v>
      </c>
      <c r="P15" s="0" t="n">
        <v>882437</v>
      </c>
      <c r="Q15" s="0" t="n">
        <v>134625</v>
      </c>
      <c r="R15" s="0" t="n">
        <v>0</v>
      </c>
      <c r="S15" s="0" t="n">
        <v>96135</v>
      </c>
      <c r="T15" s="0" t="n">
        <v>488.422</v>
      </c>
      <c r="U15" s="0" t="n">
        <v>142</v>
      </c>
      <c r="AA15" s="0" t="s">
        <v>17</v>
      </c>
      <c r="AB15" s="0" t="s">
        <v>14</v>
      </c>
      <c r="AC15" s="0" t="n">
        <v>9157</v>
      </c>
      <c r="AD15" s="0" t="n">
        <v>5340</v>
      </c>
      <c r="AE15" s="0" t="n">
        <v>95344</v>
      </c>
      <c r="AF15" s="0" t="n">
        <v>152141</v>
      </c>
    </row>
    <row r="16" customFormat="false" ht="15" hidden="false" customHeight="false" outlineLevel="0" collapsed="false">
      <c r="A16" s="0" t="s">
        <v>81</v>
      </c>
      <c r="B16" s="0" t="n">
        <v>502672</v>
      </c>
      <c r="C16" s="0" t="n">
        <v>127126</v>
      </c>
      <c r="D16" s="0" t="n">
        <v>375547</v>
      </c>
      <c r="E16" s="0" t="n">
        <v>74.71</v>
      </c>
      <c r="F16" s="0" t="n">
        <v>159935</v>
      </c>
      <c r="G16" s="0" t="n">
        <v>31.82</v>
      </c>
      <c r="H16" s="0" t="n">
        <v>178075</v>
      </c>
      <c r="I16" s="0" t="n">
        <v>127977</v>
      </c>
      <c r="J16" s="0" t="n">
        <v>25.46</v>
      </c>
      <c r="K16" s="0" t="n">
        <v>266.57</v>
      </c>
      <c r="L16" s="0" t="n">
        <v>110660</v>
      </c>
      <c r="M16" s="0" t="n">
        <v>20829</v>
      </c>
      <c r="N16" s="0" t="n">
        <v>89831</v>
      </c>
      <c r="O16" s="0" t="n">
        <v>792960</v>
      </c>
      <c r="P16" s="0" t="n">
        <v>913668</v>
      </c>
      <c r="Q16" s="0" t="n">
        <v>115063</v>
      </c>
      <c r="R16" s="0" t="n">
        <v>0</v>
      </c>
      <c r="S16" s="0" t="n">
        <v>166141</v>
      </c>
      <c r="T16" s="0" t="n">
        <v>480.088</v>
      </c>
      <c r="U16" s="0" t="n">
        <v>44</v>
      </c>
      <c r="AA16" s="0" t="s">
        <v>17</v>
      </c>
      <c r="AB16" s="0" t="s">
        <v>14</v>
      </c>
      <c r="AC16" s="0" t="n">
        <v>16809</v>
      </c>
      <c r="AD16" s="0" t="n">
        <v>4020</v>
      </c>
      <c r="AE16" s="0" t="n">
        <v>112174</v>
      </c>
      <c r="AF16" s="0" t="n">
        <v>185693</v>
      </c>
    </row>
    <row r="17" customFormat="false" ht="15" hidden="false" customHeight="false" outlineLevel="0" collapsed="false">
      <c r="A17" s="0" t="s">
        <v>82</v>
      </c>
      <c r="B17" s="0" t="n">
        <v>486871</v>
      </c>
      <c r="C17" s="0" t="n">
        <v>147950</v>
      </c>
      <c r="D17" s="0" t="n">
        <v>338921</v>
      </c>
      <c r="E17" s="0" t="n">
        <v>69.61</v>
      </c>
      <c r="F17" s="0" t="n">
        <v>59747</v>
      </c>
      <c r="G17" s="0" t="n">
        <v>12.27</v>
      </c>
      <c r="H17" s="0" t="n">
        <v>86641</v>
      </c>
      <c r="I17" s="0" t="n">
        <v>50047</v>
      </c>
      <c r="J17" s="0" t="n">
        <v>10.28</v>
      </c>
      <c r="K17" s="0" t="n">
        <v>106.41</v>
      </c>
      <c r="L17" s="0" t="n">
        <v>82459</v>
      </c>
      <c r="M17" s="0" t="n">
        <v>7990</v>
      </c>
      <c r="N17" s="0" t="n">
        <v>74469</v>
      </c>
      <c r="O17" s="0" t="n">
        <v>782452</v>
      </c>
      <c r="P17" s="0" t="n">
        <v>1064046</v>
      </c>
      <c r="Q17" s="0" t="n">
        <v>275844</v>
      </c>
      <c r="R17" s="0" t="n">
        <v>135000</v>
      </c>
      <c r="S17" s="0" t="n">
        <v>204567</v>
      </c>
      <c r="T17" s="0" t="n">
        <v>470.322</v>
      </c>
      <c r="U17" s="0" t="n">
        <v>47</v>
      </c>
      <c r="AA17" s="0" t="s">
        <v>17</v>
      </c>
      <c r="AB17" s="0" t="s">
        <v>14</v>
      </c>
      <c r="AC17" s="0" t="n">
        <v>2559</v>
      </c>
      <c r="AD17" s="0" t="n">
        <v>5431</v>
      </c>
      <c r="AE17" s="0" t="n">
        <v>149866</v>
      </c>
      <c r="AF17" s="0" t="n">
        <v>156107</v>
      </c>
    </row>
    <row r="18" customFormat="false" ht="15" hidden="false" customHeight="false" outlineLevel="0" collapsed="false">
      <c r="A18" s="0" t="s">
        <v>83</v>
      </c>
      <c r="B18" s="0" t="n">
        <v>515785</v>
      </c>
      <c r="C18" s="0" t="n">
        <v>141716</v>
      </c>
      <c r="D18" s="0" t="n">
        <v>374069</v>
      </c>
      <c r="E18" s="0" t="n">
        <v>72.52</v>
      </c>
      <c r="F18" s="0" t="n">
        <v>92236</v>
      </c>
      <c r="G18" s="0" t="n">
        <v>17.88</v>
      </c>
      <c r="H18" s="0" t="n">
        <v>129988</v>
      </c>
      <c r="I18" s="0" t="n">
        <v>69767</v>
      </c>
      <c r="J18" s="0" t="n">
        <v>13.53</v>
      </c>
      <c r="K18" s="0" t="n">
        <v>148.41</v>
      </c>
      <c r="L18" s="0" t="n">
        <v>136821</v>
      </c>
      <c r="M18" s="0" t="n">
        <v>53270</v>
      </c>
      <c r="N18" s="0" t="n">
        <v>83551</v>
      </c>
      <c r="O18" s="0" t="n">
        <v>850726</v>
      </c>
      <c r="P18" s="0" t="n">
        <v>1106515</v>
      </c>
      <c r="Q18" s="0" t="n">
        <v>249871</v>
      </c>
      <c r="R18" s="0" t="n">
        <v>110389</v>
      </c>
      <c r="S18" s="0" t="n">
        <v>237046</v>
      </c>
      <c r="T18" s="0" t="n">
        <v>470.096</v>
      </c>
      <c r="U18" s="0" t="n">
        <v>47</v>
      </c>
      <c r="AA18" s="0" t="s">
        <v>17</v>
      </c>
      <c r="AB18" s="0" t="s">
        <v>14</v>
      </c>
      <c r="AC18" s="0" t="n">
        <v>47246</v>
      </c>
      <c r="AD18" s="0" t="n">
        <v>6024</v>
      </c>
      <c r="AE18" s="0" t="n">
        <v>147043</v>
      </c>
      <c r="AF18" s="0" t="n">
        <v>173178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2256</v>
      </c>
    </row>
    <row r="3" customFormat="false" ht="15" hidden="false" customHeight="false" outlineLevel="0" collapsed="false">
      <c r="A3" s="0" t="s">
        <v>87</v>
      </c>
      <c r="B3" s="3" t="n">
        <v>470.52</v>
      </c>
    </row>
    <row r="4" customFormat="false" ht="15" hidden="false" customHeight="false" outlineLevel="0" collapsed="false">
      <c r="A4" s="0" t="s">
        <v>88</v>
      </c>
      <c r="B4" s="3" t="n">
        <v>-157673</v>
      </c>
    </row>
    <row r="5" customFormat="false" ht="15" hidden="false" customHeight="false" outlineLevel="0" collapsed="false">
      <c r="A5" s="0" t="s">
        <v>89</v>
      </c>
      <c r="B5" s="3" t="n">
        <v>71914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515785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-11.8</v>
      </c>
      <c r="D13" s="3" t="n">
        <v>-5.5</v>
      </c>
      <c r="E13" s="3" t="n">
        <v>-6</v>
      </c>
      <c r="F13" s="3" t="n">
        <v>-7</v>
      </c>
      <c r="G13" s="3" t="n">
        <v>-8</v>
      </c>
      <c r="H13" s="3" t="n">
        <v>-5</v>
      </c>
      <c r="I13" s="3" t="n">
        <v>-2</v>
      </c>
      <c r="J13" s="3" t="n">
        <v>0</v>
      </c>
      <c r="K13" s="3" t="n">
        <v>0.5</v>
      </c>
      <c r="L13" s="3" t="n">
        <v>1</v>
      </c>
    </row>
    <row r="14" customFormat="false" ht="15" hidden="false" customHeight="false" outlineLevel="0" collapsed="false">
      <c r="A14" s="0" t="s">
        <v>108</v>
      </c>
      <c r="C14" s="3" t="n">
        <v>29</v>
      </c>
      <c r="D14" s="3" t="n">
        <v>25</v>
      </c>
      <c r="E14" s="3" t="n">
        <v>20.5</v>
      </c>
      <c r="F14" s="3" t="n">
        <v>16.5</v>
      </c>
      <c r="G14" s="3" t="n">
        <v>13</v>
      </c>
      <c r="H14" s="3" t="n">
        <v>11</v>
      </c>
      <c r="I14" s="3" t="n">
        <v>10.5</v>
      </c>
      <c r="J14" s="3" t="n">
        <v>11</v>
      </c>
      <c r="K14" s="3" t="n">
        <v>12</v>
      </c>
      <c r="L14" s="3" t="n">
        <v>13</v>
      </c>
    </row>
    <row r="15" customFormat="false" ht="15" hidden="false" customHeight="false" outlineLevel="0" collapsed="false">
      <c r="A15" s="0" t="s">
        <v>109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110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111</v>
      </c>
      <c r="C17" s="3" t="n">
        <v>2.2</v>
      </c>
      <c r="D17" s="3" t="n">
        <v>2.2</v>
      </c>
      <c r="E17" s="3" t="n">
        <v>2.2</v>
      </c>
      <c r="F17" s="3" t="n">
        <v>2.2</v>
      </c>
      <c r="G17" s="3" t="n">
        <v>2.2</v>
      </c>
      <c r="H17" s="3" t="n">
        <v>2.2</v>
      </c>
      <c r="I17" s="3" t="n">
        <v>2.2</v>
      </c>
      <c r="J17" s="3" t="n">
        <v>2.2</v>
      </c>
      <c r="K17" s="3" t="n">
        <v>2.2</v>
      </c>
      <c r="L17" s="3" t="n">
        <v>2.2</v>
      </c>
    </row>
    <row r="18" customFormat="false" ht="15" hidden="false" customHeight="false" outlineLevel="0" collapsed="false">
      <c r="A18" s="0" t="s">
        <v>112</v>
      </c>
      <c r="C18" s="3" t="n">
        <v>3.5</v>
      </c>
      <c r="D18" s="3" t="n">
        <v>3.7</v>
      </c>
      <c r="E18" s="3" t="n">
        <v>3.9</v>
      </c>
      <c r="F18" s="3" t="n">
        <v>4.2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113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114</v>
      </c>
      <c r="B20" s="3" t="n">
        <v>7</v>
      </c>
    </row>
    <row r="21" customFormat="false" ht="15" hidden="false" customHeight="false" outlineLevel="0" collapsed="false">
      <c r="A21" s="0" t="s">
        <v>115</v>
      </c>
      <c r="B21" s="3" t="n">
        <v>1</v>
      </c>
    </row>
    <row r="22" customFormat="false" ht="15" hidden="false" customHeight="false" outlineLevel="0" collapsed="false">
      <c r="A22" s="0" t="s">
        <v>116</v>
      </c>
      <c r="B22" s="3" t="n">
        <v>13</v>
      </c>
    </row>
    <row r="23" customFormat="false" ht="15" hidden="false" customHeight="false" outlineLevel="0" collapsed="false">
      <c r="A23" s="0" t="s">
        <v>117</v>
      </c>
      <c r="B23" s="3" t="n">
        <v>-10</v>
      </c>
    </row>
    <row r="24" customFormat="false" ht="15" hidden="false" customHeight="false" outlineLevel="0" collapsed="false">
      <c r="A24" s="0" t="s">
        <v>118</v>
      </c>
      <c r="B24" s="3" t="n">
        <v>0.3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-11.8</v>
      </c>
      <c r="D27" s="3" t="n">
        <v>-3.5</v>
      </c>
      <c r="E27" s="3" t="n">
        <v>-3.5</v>
      </c>
      <c r="F27" s="3" t="n">
        <v>-4.5</v>
      </c>
      <c r="G27" s="3" t="n">
        <v>-5</v>
      </c>
      <c r="H27" s="3" t="n">
        <v>-2.5</v>
      </c>
      <c r="I27" s="3" t="n">
        <v>0</v>
      </c>
      <c r="J27" s="3" t="n">
        <v>1.5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108</v>
      </c>
      <c r="C28" s="3" t="n">
        <v>29.5</v>
      </c>
      <c r="D28" s="3" t="n">
        <v>27</v>
      </c>
      <c r="E28" s="3" t="n">
        <v>24</v>
      </c>
      <c r="F28" s="3" t="n">
        <v>21.5</v>
      </c>
      <c r="G28" s="3" t="n">
        <v>19.5</v>
      </c>
      <c r="H28" s="3" t="n">
        <v>18.5</v>
      </c>
      <c r="I28" s="3" t="n">
        <v>18.5</v>
      </c>
      <c r="J28" s="3" t="n">
        <v>19.5</v>
      </c>
      <c r="K28" s="3" t="n">
        <v>20.5</v>
      </c>
      <c r="L28" s="3" t="n">
        <v>21</v>
      </c>
    </row>
    <row r="29" customFormat="false" ht="15" hidden="false" customHeight="false" outlineLevel="0" collapsed="false">
      <c r="A29" s="0" t="s">
        <v>109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110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111</v>
      </c>
      <c r="C31" s="3" t="n">
        <v>2.2</v>
      </c>
      <c r="D31" s="3" t="n">
        <v>2.2</v>
      </c>
      <c r="E31" s="3" t="n">
        <v>2.2</v>
      </c>
      <c r="F31" s="3" t="n">
        <v>2.2</v>
      </c>
      <c r="G31" s="3" t="n">
        <v>2.2</v>
      </c>
      <c r="H31" s="3" t="n">
        <v>2.2</v>
      </c>
      <c r="I31" s="3" t="n">
        <v>2.2</v>
      </c>
      <c r="J31" s="3" t="n">
        <v>2.2</v>
      </c>
      <c r="K31" s="3" t="n">
        <v>2.2</v>
      </c>
      <c r="L31" s="3" t="n">
        <v>2.2</v>
      </c>
    </row>
    <row r="32" customFormat="false" ht="15" hidden="false" customHeight="false" outlineLevel="0" collapsed="false">
      <c r="A32" s="0" t="s">
        <v>112</v>
      </c>
      <c r="C32" s="3" t="n">
        <v>3.5</v>
      </c>
      <c r="D32" s="3" t="n">
        <v>3.6</v>
      </c>
      <c r="E32" s="3" t="n">
        <v>3.8</v>
      </c>
      <c r="F32" s="3" t="n">
        <v>4</v>
      </c>
      <c r="G32" s="3" t="n">
        <v>4.2</v>
      </c>
      <c r="H32" s="3" t="n">
        <v>4.2</v>
      </c>
      <c r="I32" s="3" t="n">
        <v>4.2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113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114</v>
      </c>
      <c r="B34" s="3" t="n">
        <v>7</v>
      </c>
    </row>
    <row r="35" customFormat="false" ht="15" hidden="false" customHeight="false" outlineLevel="0" collapsed="false">
      <c r="A35" s="0" t="s">
        <v>115</v>
      </c>
      <c r="B35" s="3" t="n">
        <v>1.5</v>
      </c>
    </row>
    <row r="36" customFormat="false" ht="15" hidden="false" customHeight="false" outlineLevel="0" collapsed="false">
      <c r="A36" s="0" t="s">
        <v>116</v>
      </c>
      <c r="B36" s="3" t="n">
        <v>15</v>
      </c>
    </row>
    <row r="37" customFormat="false" ht="15" hidden="false" customHeight="false" outlineLevel="0" collapsed="false">
      <c r="A37" s="0" t="s">
        <v>117</v>
      </c>
      <c r="B37" s="3" t="n">
        <v>-10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-11.8</v>
      </c>
      <c r="D41" s="3" t="n">
        <v>-1</v>
      </c>
      <c r="E41" s="3" t="n">
        <v>-1</v>
      </c>
      <c r="F41" s="3" t="n">
        <v>-1.5</v>
      </c>
      <c r="G41" s="3" t="n">
        <v>-2</v>
      </c>
      <c r="H41" s="3" t="n">
        <v>0</v>
      </c>
      <c r="I41" s="3" t="n">
        <v>2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30</v>
      </c>
      <c r="D42" s="3" t="n">
        <v>28.5</v>
      </c>
      <c r="E42" s="3" t="n">
        <v>26.5</v>
      </c>
      <c r="F42" s="3" t="n">
        <v>24.5</v>
      </c>
      <c r="G42" s="3" t="n">
        <v>23</v>
      </c>
      <c r="H42" s="3" t="n">
        <v>22.5</v>
      </c>
      <c r="I42" s="3" t="n">
        <v>23</v>
      </c>
      <c r="J42" s="3" t="n">
        <v>24</v>
      </c>
      <c r="K42" s="3" t="n">
        <v>25</v>
      </c>
      <c r="L42" s="3" t="n">
        <v>25.5</v>
      </c>
    </row>
    <row r="43" customFormat="false" ht="15" hidden="false" customHeight="false" outlineLevel="0" collapsed="false">
      <c r="A43" s="0" t="s">
        <v>109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110</v>
      </c>
      <c r="C44" s="3" t="n">
        <v>0.8</v>
      </c>
      <c r="D44" s="3" t="n">
        <v>0.8</v>
      </c>
      <c r="E44" s="3" t="n">
        <v>0.8</v>
      </c>
      <c r="F44" s="3" t="n">
        <v>0.8</v>
      </c>
      <c r="G44" s="3" t="n">
        <v>0.8</v>
      </c>
      <c r="H44" s="3" t="n">
        <v>0.8</v>
      </c>
      <c r="I44" s="3" t="n">
        <v>0.8</v>
      </c>
      <c r="J44" s="3" t="n">
        <v>0.8</v>
      </c>
      <c r="K44" s="3" t="n">
        <v>0.8</v>
      </c>
      <c r="L44" s="3" t="n">
        <v>0.8</v>
      </c>
    </row>
    <row r="45" customFormat="false" ht="15" hidden="false" customHeight="false" outlineLevel="0" collapsed="false">
      <c r="A45" s="0" t="s">
        <v>111</v>
      </c>
      <c r="C45" s="3" t="n">
        <v>2.2</v>
      </c>
      <c r="D45" s="3" t="n">
        <v>2.2</v>
      </c>
      <c r="E45" s="3" t="n">
        <v>2.2</v>
      </c>
      <c r="F45" s="3" t="n">
        <v>2.2</v>
      </c>
      <c r="G45" s="3" t="n">
        <v>2.2</v>
      </c>
      <c r="H45" s="3" t="n">
        <v>2.2</v>
      </c>
      <c r="I45" s="3" t="n">
        <v>2.2</v>
      </c>
      <c r="J45" s="3" t="n">
        <v>2.2</v>
      </c>
      <c r="K45" s="3" t="n">
        <v>2.2</v>
      </c>
      <c r="L45" s="3" t="n">
        <v>2.2</v>
      </c>
    </row>
    <row r="46" customFormat="false" ht="15" hidden="false" customHeight="false" outlineLevel="0" collapsed="false">
      <c r="A46" s="0" t="s">
        <v>112</v>
      </c>
      <c r="C46" s="3" t="n">
        <v>3.5</v>
      </c>
      <c r="D46" s="3" t="n">
        <v>3.6</v>
      </c>
      <c r="E46" s="3" t="n">
        <v>3.8</v>
      </c>
      <c r="F46" s="3" t="n">
        <v>4</v>
      </c>
      <c r="G46" s="3" t="n">
        <v>4.2</v>
      </c>
      <c r="H46" s="3" t="n">
        <v>4.2</v>
      </c>
      <c r="I46" s="3" t="n">
        <v>4.2</v>
      </c>
      <c r="J46" s="3" t="n">
        <v>4</v>
      </c>
      <c r="K46" s="3" t="n">
        <v>4</v>
      </c>
      <c r="L46" s="3" t="n">
        <v>4</v>
      </c>
    </row>
    <row r="47" customFormat="false" ht="15" hidden="false" customHeight="false" outlineLevel="0" collapsed="false">
      <c r="A47" s="0" t="s">
        <v>113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114</v>
      </c>
      <c r="B48" s="3" t="n">
        <v>7</v>
      </c>
    </row>
    <row r="49" customFormat="false" ht="15" hidden="false" customHeight="false" outlineLevel="0" collapsed="false">
      <c r="A49" s="0" t="s">
        <v>115</v>
      </c>
      <c r="B49" s="3" t="n">
        <v>1.5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-10</v>
      </c>
    </row>
    <row r="52" customFormat="false" ht="15" hidden="false" customHeight="false" outlineLevel="0" collapsed="false">
      <c r="A52" s="0" t="s">
        <v>118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-11.8</v>
      </c>
      <c r="D5" s="4" t="n">
        <f aca="false">Assumptions!D13</f>
        <v>-5.5</v>
      </c>
      <c r="E5" s="4" t="n">
        <f aca="false">Assumptions!E13</f>
        <v>-6</v>
      </c>
      <c r="F5" s="4" t="n">
        <f aca="false">Assumptions!F13</f>
        <v>-7</v>
      </c>
      <c r="G5" s="4" t="n">
        <f aca="false">Assumptions!G13</f>
        <v>-8</v>
      </c>
      <c r="H5" s="4" t="n">
        <f aca="false">Assumptions!H13</f>
        <v>-5</v>
      </c>
      <c r="I5" s="4" t="n">
        <f aca="false">Assumptions!I13</f>
        <v>-2</v>
      </c>
      <c r="J5" s="4" t="n">
        <f aca="false">Assumptions!J13</f>
        <v>0</v>
      </c>
      <c r="K5" s="4" t="n">
        <f aca="false">Assumptions!K13</f>
        <v>0.5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515785</v>
      </c>
      <c r="C6" s="0" t="n">
        <f aca="false">B6*(1+C5/100)</f>
        <v>454922.37</v>
      </c>
      <c r="D6" s="0" t="n">
        <f aca="false">C6*(1+D5/100)</f>
        <v>429901.63965</v>
      </c>
      <c r="E6" s="0" t="n">
        <f aca="false">D6*(1+E5/100)</f>
        <v>404107.541271</v>
      </c>
      <c r="F6" s="0" t="n">
        <f aca="false">E6*(1+F5/100)</f>
        <v>375820.01338203</v>
      </c>
      <c r="G6" s="0" t="n">
        <f aca="false">F6*(1+G5/100)</f>
        <v>345754.412311468</v>
      </c>
      <c r="H6" s="0" t="n">
        <f aca="false">G6*(1+H5/100)</f>
        <v>328466.691695894</v>
      </c>
      <c r="I6" s="0" t="n">
        <f aca="false">H6*(1+I5/100)</f>
        <v>321897.357861976</v>
      </c>
      <c r="J6" s="0" t="n">
        <f aca="false">I6*(1+J5/100)</f>
        <v>321897.357861976</v>
      </c>
      <c r="K6" s="0" t="n">
        <f aca="false">J6*(1+K5/100)</f>
        <v>323506.844651286</v>
      </c>
      <c r="L6" s="0" t="n">
        <f aca="false">K6*(1+L5/100)</f>
        <v>326741.913097799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29</v>
      </c>
      <c r="D7" s="4" t="n">
        <f aca="false">Assumptions!D14</f>
        <v>25</v>
      </c>
      <c r="E7" s="4" t="n">
        <f aca="false">Assumptions!E14</f>
        <v>20.5</v>
      </c>
      <c r="F7" s="4" t="n">
        <f aca="false">Assumptions!F14</f>
        <v>16.5</v>
      </c>
      <c r="G7" s="4" t="n">
        <f aca="false">Assumptions!G14</f>
        <v>13</v>
      </c>
      <c r="H7" s="4" t="n">
        <f aca="false">Assumptions!H14</f>
        <v>11</v>
      </c>
      <c r="I7" s="4" t="n">
        <f aca="false">Assumptions!I14</f>
        <v>10.5</v>
      </c>
      <c r="J7" s="4" t="n">
        <f aca="false">Assumptions!J14</f>
        <v>11</v>
      </c>
      <c r="K7" s="4" t="n">
        <f aca="false">Assumptions!K14</f>
        <v>12</v>
      </c>
      <c r="L7" s="4" t="n">
        <f aca="false">Assumptions!L14</f>
        <v>13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131927.4873</v>
      </c>
      <c r="D8" s="0" t="n">
        <f aca="false">D6*D7/100</f>
        <v>107475.4099125</v>
      </c>
      <c r="E8" s="0" t="n">
        <f aca="false">E6*E7/100</f>
        <v>82842.045960555</v>
      </c>
      <c r="F8" s="0" t="n">
        <f aca="false">F6*F7/100</f>
        <v>62010.3022080349</v>
      </c>
      <c r="G8" s="0" t="n">
        <f aca="false">G6*G7/100</f>
        <v>44948.0736004908</v>
      </c>
      <c r="H8" s="0" t="n">
        <f aca="false">H6*H7/100</f>
        <v>36131.3360865484</v>
      </c>
      <c r="I8" s="0" t="n">
        <f aca="false">I6*I7/100</f>
        <v>33799.2225755075</v>
      </c>
      <c r="J8" s="0" t="n">
        <f aca="false">J6*J7/100</f>
        <v>35408.7093648174</v>
      </c>
      <c r="K8" s="0" t="n">
        <f aca="false">K6*K7/100</f>
        <v>38820.8213581543</v>
      </c>
      <c r="L8" s="0" t="n">
        <f aca="false">L6*L7/100</f>
        <v>42476.4487027139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-454.92237</v>
      </c>
      <c r="D10" s="0" t="n">
        <f aca="false">-D6*D9/100</f>
        <v>-429.90163965</v>
      </c>
      <c r="E10" s="0" t="n">
        <f aca="false">-E6*E9/100</f>
        <v>-404.107541271</v>
      </c>
      <c r="F10" s="0" t="n">
        <f aca="false">-F6*F9/100</f>
        <v>-375.82001338203</v>
      </c>
      <c r="G10" s="0" t="n">
        <f aca="false">-G6*G9/100</f>
        <v>-345.754412311468</v>
      </c>
      <c r="H10" s="0" t="n">
        <f aca="false">-H6*H9/100</f>
        <v>-328.466691695894</v>
      </c>
      <c r="I10" s="0" t="n">
        <f aca="false">-I6*I9/100</f>
        <v>-321.897357861976</v>
      </c>
      <c r="J10" s="0" t="n">
        <f aca="false">-J6*J9/100</f>
        <v>-321.897357861976</v>
      </c>
      <c r="K10" s="0" t="n">
        <f aca="false">-K6*K9/100</f>
        <v>-323.506844651286</v>
      </c>
      <c r="L10" s="0" t="n">
        <f aca="false">-L6*L9/100</f>
        <v>-326.741913097799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127833.18597</v>
      </c>
      <c r="D11" s="0" t="n">
        <f aca="false">D8+D10+D24</f>
        <v>103606.29515565</v>
      </c>
      <c r="E11" s="0" t="n">
        <f aca="false">E8+E10+E24</f>
        <v>79205.078089116</v>
      </c>
      <c r="F11" s="0" t="n">
        <f aca="false">F8+F10+F24</f>
        <v>58627.9220875967</v>
      </c>
      <c r="G11" s="0" t="n">
        <f aca="false">G8+G10+G24</f>
        <v>41836.2838896876</v>
      </c>
      <c r="H11" s="0" t="n">
        <f aca="false">H8+H10+H24</f>
        <v>33175.1358612853</v>
      </c>
      <c r="I11" s="0" t="n">
        <f aca="false">I8+I10+I24</f>
        <v>30902.1463547497</v>
      </c>
      <c r="J11" s="0" t="n">
        <f aca="false">J8+J10+J24</f>
        <v>32511.6331440596</v>
      </c>
      <c r="K11" s="0" t="n">
        <f aca="false">K8+K10+K24</f>
        <v>35909.2597562928</v>
      </c>
      <c r="L11" s="0" t="n">
        <f aca="false">L8+L10+L24</f>
        <v>39535.7714848337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-10008.29214</v>
      </c>
      <c r="D12" s="4" t="n">
        <f aca="false">-D6*Assumptions!D17/100</f>
        <v>-9457.8360723</v>
      </c>
      <c r="E12" s="4" t="n">
        <f aca="false">-E6*Assumptions!E17/100</f>
        <v>-8890.365907962</v>
      </c>
      <c r="F12" s="4" t="n">
        <f aca="false">-F6*Assumptions!F17/100</f>
        <v>-8268.04029440466</v>
      </c>
      <c r="G12" s="4" t="n">
        <f aca="false">-G6*Assumptions!G17/100</f>
        <v>-7606.59707085229</v>
      </c>
      <c r="H12" s="4" t="n">
        <f aca="false">-H6*Assumptions!H17/100</f>
        <v>-7226.26721730967</v>
      </c>
      <c r="I12" s="4" t="n">
        <f aca="false">-I6*Assumptions!I17/100</f>
        <v>-7081.74187296348</v>
      </c>
      <c r="J12" s="4" t="n">
        <f aca="false">-J6*Assumptions!J17/100</f>
        <v>-7081.74187296348</v>
      </c>
      <c r="K12" s="4" t="n">
        <f aca="false">-K6*Assumptions!K17/100</f>
        <v>-7117.15058232829</v>
      </c>
      <c r="L12" s="4" t="n">
        <f aca="false">-L6*Assumptions!L17/100</f>
        <v>-7188.32208815158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117824.89383</v>
      </c>
      <c r="D13" s="0" t="n">
        <f aca="false">D11+D12</f>
        <v>94148.45908335</v>
      </c>
      <c r="E13" s="0" t="n">
        <f aca="false">E11+E12</f>
        <v>70314.712181154</v>
      </c>
      <c r="F13" s="0" t="n">
        <f aca="false">F11+F12</f>
        <v>50359.881793192</v>
      </c>
      <c r="G13" s="0" t="n">
        <f aca="false">G11+G12</f>
        <v>34229.6868188353</v>
      </c>
      <c r="H13" s="0" t="n">
        <f aca="false">H11+H12</f>
        <v>25948.8686439756</v>
      </c>
      <c r="I13" s="0" t="n">
        <f aca="false">I11+I12</f>
        <v>23820.4044817862</v>
      </c>
      <c r="J13" s="0" t="n">
        <f aca="false">J11+J12</f>
        <v>25429.8912710961</v>
      </c>
      <c r="K13" s="0" t="n">
        <f aca="false">K11+K12</f>
        <v>28792.1091739645</v>
      </c>
      <c r="L13" s="0" t="n">
        <f aca="false">L11+L12</f>
        <v>32347.4493966821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86012.1724959</v>
      </c>
      <c r="D15" s="0" t="n">
        <f aca="false">D13-MAX(0,D13)*D14/100</f>
        <v>68728.3751308455</v>
      </c>
      <c r="E15" s="0" t="n">
        <f aca="false">E13-MAX(0,E13)*E14/100</f>
        <v>51329.7398922424</v>
      </c>
      <c r="F15" s="0" t="n">
        <f aca="false">F13-MAX(0,F13)*F14/100</f>
        <v>36762.7137090302</v>
      </c>
      <c r="G15" s="0" t="n">
        <f aca="false">G13-MAX(0,G13)*G14/100</f>
        <v>24987.6713777498</v>
      </c>
      <c r="H15" s="0" t="n">
        <f aca="false">H13-MAX(0,H13)*H14/100</f>
        <v>18942.6741101022</v>
      </c>
      <c r="I15" s="0" t="n">
        <f aca="false">I13-MAX(0,I13)*I14/100</f>
        <v>17388.895271704</v>
      </c>
      <c r="J15" s="0" t="n">
        <f aca="false">J13-MAX(0,J13)*J14/100</f>
        <v>18563.8206279002</v>
      </c>
      <c r="K15" s="0" t="n">
        <f aca="false">K13-MAX(0,K13)*K14/100</f>
        <v>21018.2396969941</v>
      </c>
      <c r="L15" s="0" t="n">
        <f aca="false">L13-MAX(0,L13)*L14/100</f>
        <v>23613.6380595779</v>
      </c>
    </row>
    <row r="16" customFormat="false" ht="15" hidden="false" customHeight="false" outlineLevel="0" collapsed="false">
      <c r="A16" s="0" t="s">
        <v>129</v>
      </c>
      <c r="C16" s="0" t="n">
        <f aca="false">-C12</f>
        <v>10008.29214</v>
      </c>
      <c r="D16" s="0" t="n">
        <f aca="false">-D12</f>
        <v>9457.8360723</v>
      </c>
      <c r="E16" s="0" t="n">
        <f aca="false">-E12</f>
        <v>8890.365907962</v>
      </c>
      <c r="F16" s="0" t="n">
        <f aca="false">-F12</f>
        <v>8268.04029440466</v>
      </c>
      <c r="G16" s="0" t="n">
        <f aca="false">-G12</f>
        <v>7606.59707085229</v>
      </c>
      <c r="H16" s="0" t="n">
        <f aca="false">-H12</f>
        <v>7226.26721730967</v>
      </c>
      <c r="I16" s="0" t="n">
        <f aca="false">-I12</f>
        <v>7081.74187296348</v>
      </c>
      <c r="J16" s="0" t="n">
        <f aca="false">-J12</f>
        <v>7081.74187296348</v>
      </c>
      <c r="K16" s="0" t="n">
        <f aca="false">-K12</f>
        <v>7117.15058232829</v>
      </c>
      <c r="L16" s="0" t="n">
        <f aca="false">-L12</f>
        <v>7188.32208815158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-15922.28295</v>
      </c>
      <c r="D17" s="4" t="n">
        <f aca="false">-D6*Assumptions!D18/100</f>
        <v>-15906.36066705</v>
      </c>
      <c r="E17" s="4" t="n">
        <f aca="false">-E6*Assumptions!E18/100</f>
        <v>-15760.194109569</v>
      </c>
      <c r="F17" s="4" t="n">
        <f aca="false">-F6*Assumptions!F18/100</f>
        <v>-15784.4405620453</v>
      </c>
      <c r="G17" s="4" t="n">
        <f aca="false">-G6*Assumptions!G18/100</f>
        <v>-15558.948554016</v>
      </c>
      <c r="H17" s="4" t="n">
        <f aca="false">-H6*Assumptions!H18/100</f>
        <v>-14781.0011263152</v>
      </c>
      <c r="I17" s="4" t="n">
        <f aca="false">-I6*Assumptions!I18/100</f>
        <v>-14485.3811037889</v>
      </c>
      <c r="J17" s="4" t="n">
        <f aca="false">-J6*Assumptions!J18/100</f>
        <v>-14485.3811037889</v>
      </c>
      <c r="K17" s="4" t="n">
        <f aca="false">-K6*Assumptions!K18/100</f>
        <v>-14557.8080093079</v>
      </c>
      <c r="L17" s="4" t="n">
        <f aca="false">-L6*Assumptions!L18/100</f>
        <v>-14703.3860894009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6086.263</v>
      </c>
      <c r="D18" s="4" t="n">
        <f aca="false">(D6-C6)*Assumptions!$B$23/100</f>
        <v>2502.073035</v>
      </c>
      <c r="E18" s="4" t="n">
        <f aca="false">(E6-D6)*Assumptions!$B$23/100</f>
        <v>2579.4098379</v>
      </c>
      <c r="F18" s="4" t="n">
        <f aca="false">(F6-E6)*Assumptions!$B$23/100</f>
        <v>2828.752788897</v>
      </c>
      <c r="G18" s="4" t="n">
        <f aca="false">(G6-F6)*Assumptions!$B$23/100</f>
        <v>3006.56010705624</v>
      </c>
      <c r="H18" s="4" t="n">
        <f aca="false">(H6-G6)*Assumptions!$B$23/100</f>
        <v>1728.77206155734</v>
      </c>
      <c r="I18" s="4" t="n">
        <f aca="false">(I6-H6)*Assumptions!$B$23/100</f>
        <v>656.933383391792</v>
      </c>
      <c r="J18" s="4" t="n">
        <f aca="false">(J6-I6)*Assumptions!$B$23/100</f>
        <v>-0</v>
      </c>
      <c r="K18" s="4" t="n">
        <f aca="false">(K6-J6)*Assumptions!$B$23/100</f>
        <v>-160.948678930983</v>
      </c>
      <c r="L18" s="4" t="n">
        <f aca="false">(L6-K6)*Assumptions!$B$23/100</f>
        <v>-323.506844651286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86184.4446859</v>
      </c>
      <c r="D19" s="0" t="n">
        <f aca="false">D15+D16+D17+D18</f>
        <v>64781.9235710955</v>
      </c>
      <c r="E19" s="0" t="n">
        <f aca="false">E15+E16+E17+E18</f>
        <v>47039.3215285354</v>
      </c>
      <c r="F19" s="0" t="n">
        <f aca="false">F15+F16+F17+F18</f>
        <v>32075.0662302866</v>
      </c>
      <c r="G19" s="0" t="n">
        <f aca="false">G15+G16+G17+G18</f>
        <v>20041.8800016422</v>
      </c>
      <c r="H19" s="0" t="n">
        <f aca="false">H15+H16+H17+H18</f>
        <v>13116.712262654</v>
      </c>
      <c r="I19" s="0" t="n">
        <f aca="false">I15+I16+I17+I18</f>
        <v>10642.1894242703</v>
      </c>
      <c r="J19" s="0" t="n">
        <f aca="false">J15+J16+J17+J18</f>
        <v>11160.1813970747</v>
      </c>
      <c r="K19" s="0" t="n">
        <f aca="false">K15+K16+K17+K18</f>
        <v>13416.6335910835</v>
      </c>
      <c r="L19" s="0" t="n">
        <f aca="false">L15+L16+L17+L18</f>
        <v>15775.0672136773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80546.2099868225</v>
      </c>
      <c r="D21" s="0" t="n">
        <f aca="false">D19*D20</f>
        <v>56583.0409390301</v>
      </c>
      <c r="E21" s="0" t="n">
        <f aca="false">E19*E20</f>
        <v>38398.0982941296</v>
      </c>
      <c r="F21" s="0" t="n">
        <f aca="false">F19*F20</f>
        <v>24469.9144531929</v>
      </c>
      <c r="G21" s="0" t="n">
        <f aca="false">G19*G20</f>
        <v>14289.583452041</v>
      </c>
      <c r="H21" s="0" t="n">
        <f aca="false">H19*H20</f>
        <v>8740.21921825818</v>
      </c>
      <c r="I21" s="0" t="n">
        <f aca="false">I19*I20</f>
        <v>6627.42071705125</v>
      </c>
      <c r="J21" s="0" t="n">
        <f aca="false">J19*J20</f>
        <v>6495.32718169485</v>
      </c>
      <c r="K21" s="0" t="n">
        <f aca="false">K19*K20</f>
        <v>7297.75972207824</v>
      </c>
      <c r="L21" s="0" t="n">
        <f aca="false">L19*L20</f>
        <v>8019.24425145043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-3639.37896</v>
      </c>
      <c r="D24" s="0" t="n">
        <f aca="false">-D6*D23/100</f>
        <v>-3439.2131172</v>
      </c>
      <c r="E24" s="0" t="n">
        <f aca="false">-E6*E23/100</f>
        <v>-3232.860330168</v>
      </c>
      <c r="F24" s="0" t="n">
        <f aca="false">-F6*F23/100</f>
        <v>-3006.56010705624</v>
      </c>
      <c r="G24" s="0" t="n">
        <f aca="false">-G6*G23/100</f>
        <v>-2766.03529849174</v>
      </c>
      <c r="H24" s="0" t="n">
        <f aca="false">-H6*H23/100</f>
        <v>-2627.73353356715</v>
      </c>
      <c r="I24" s="0" t="n">
        <f aca="false">-I6*I23/100</f>
        <v>-2575.17886289581</v>
      </c>
      <c r="J24" s="0" t="n">
        <f aca="false">-J6*J23/100</f>
        <v>-2575.17886289581</v>
      </c>
      <c r="K24" s="0" t="n">
        <f aca="false">-K6*K23/100</f>
        <v>-2588.05475721029</v>
      </c>
      <c r="L24" s="0" t="n">
        <f aca="false">-L6*L23/100</f>
        <v>-2613.93530478239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251466.818215749</v>
      </c>
    </row>
    <row r="31" customFormat="false" ht="15" hidden="false" customHeight="false" outlineLevel="0" collapsed="false">
      <c r="A31" s="0" t="s">
        <v>138</v>
      </c>
      <c r="B31" s="0" t="n">
        <f aca="false">L19</f>
        <v>15775.0672136773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265546.964763567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205075.873777804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205075.873777804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104250.175268856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355716.993484605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585303.993484605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1243.95135910185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-0.44860312096549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2612.50059344991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2796.00017393916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1255.44608996853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113805.842041529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981.703201483815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-11.8</v>
      </c>
      <c r="D5" s="4" t="n">
        <f aca="false">Assumptions!D27</f>
        <v>-3.5</v>
      </c>
      <c r="E5" s="4" t="n">
        <f aca="false">Assumptions!E27</f>
        <v>-3.5</v>
      </c>
      <c r="F5" s="4" t="n">
        <f aca="false">Assumptions!F27</f>
        <v>-4.5</v>
      </c>
      <c r="G5" s="4" t="n">
        <f aca="false">Assumptions!G27</f>
        <v>-5</v>
      </c>
      <c r="H5" s="4" t="n">
        <f aca="false">Assumptions!H27</f>
        <v>-2.5</v>
      </c>
      <c r="I5" s="4" t="n">
        <f aca="false">Assumptions!I27</f>
        <v>0</v>
      </c>
      <c r="J5" s="4" t="n">
        <f aca="false">Assumptions!J27</f>
        <v>1.5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515785</v>
      </c>
      <c r="C6" s="0" t="n">
        <f aca="false">B6*(1+C5/100)</f>
        <v>454922.37</v>
      </c>
      <c r="D6" s="0" t="n">
        <f aca="false">C6*(1+D5/100)</f>
        <v>439000.08705</v>
      </c>
      <c r="E6" s="0" t="n">
        <f aca="false">D6*(1+E5/100)</f>
        <v>423635.08400325</v>
      </c>
      <c r="F6" s="0" t="n">
        <f aca="false">E6*(1+F5/100)</f>
        <v>404571.505223104</v>
      </c>
      <c r="G6" s="0" t="n">
        <f aca="false">F6*(1+G5/100)</f>
        <v>384342.929961949</v>
      </c>
      <c r="H6" s="0" t="n">
        <f aca="false">G6*(1+H5/100)</f>
        <v>374734.3567129</v>
      </c>
      <c r="I6" s="0" t="n">
        <f aca="false">H6*(1+I5/100)</f>
        <v>374734.3567129</v>
      </c>
      <c r="J6" s="0" t="n">
        <f aca="false">I6*(1+J5/100)</f>
        <v>380355.372063593</v>
      </c>
      <c r="K6" s="0" t="n">
        <f aca="false">J6*(1+K5/100)</f>
        <v>387962.479504865</v>
      </c>
      <c r="L6" s="0" t="n">
        <f aca="false">K6*(1+L5/100)</f>
        <v>395721.729094962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29.5</v>
      </c>
      <c r="D7" s="4" t="n">
        <f aca="false">Assumptions!D28</f>
        <v>27</v>
      </c>
      <c r="E7" s="4" t="n">
        <f aca="false">Assumptions!E28</f>
        <v>24</v>
      </c>
      <c r="F7" s="4" t="n">
        <f aca="false">Assumptions!F28</f>
        <v>21.5</v>
      </c>
      <c r="G7" s="4" t="n">
        <f aca="false">Assumptions!G28</f>
        <v>19.5</v>
      </c>
      <c r="H7" s="4" t="n">
        <f aca="false">Assumptions!H28</f>
        <v>18.5</v>
      </c>
      <c r="I7" s="4" t="n">
        <f aca="false">Assumptions!I28</f>
        <v>18.5</v>
      </c>
      <c r="J7" s="4" t="n">
        <f aca="false">Assumptions!J28</f>
        <v>19.5</v>
      </c>
      <c r="K7" s="4" t="n">
        <f aca="false">Assumptions!K28</f>
        <v>20.5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134202.09915</v>
      </c>
      <c r="D8" s="0" t="n">
        <f aca="false">D6*D7/100</f>
        <v>118530.0235035</v>
      </c>
      <c r="E8" s="0" t="n">
        <f aca="false">E6*E7/100</f>
        <v>101672.42016078</v>
      </c>
      <c r="F8" s="0" t="n">
        <f aca="false">F6*F7/100</f>
        <v>86982.8736229673</v>
      </c>
      <c r="G8" s="0" t="n">
        <f aca="false">G6*G7/100</f>
        <v>74946.87134258</v>
      </c>
      <c r="H8" s="0" t="n">
        <f aca="false">H6*H7/100</f>
        <v>69325.8559918865</v>
      </c>
      <c r="I8" s="0" t="n">
        <f aca="false">I6*I7/100</f>
        <v>69325.8559918865</v>
      </c>
      <c r="J8" s="0" t="n">
        <f aca="false">J6*J7/100</f>
        <v>74169.2975524007</v>
      </c>
      <c r="K8" s="0" t="n">
        <f aca="false">K6*K7/100</f>
        <v>79532.3082984973</v>
      </c>
      <c r="L8" s="0" t="n">
        <f aca="false">L6*L7/100</f>
        <v>83101.5631099421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-454.92237</v>
      </c>
      <c r="D10" s="0" t="n">
        <f aca="false">-D6*D9/100</f>
        <v>-439.00008705</v>
      </c>
      <c r="E10" s="0" t="n">
        <f aca="false">-E6*E9/100</f>
        <v>-423.63508400325</v>
      </c>
      <c r="F10" s="0" t="n">
        <f aca="false">-F6*F9/100</f>
        <v>-404.571505223104</v>
      </c>
      <c r="G10" s="0" t="n">
        <f aca="false">-G6*G9/100</f>
        <v>-384.342929961948</v>
      </c>
      <c r="H10" s="0" t="n">
        <f aca="false">-H6*H9/100</f>
        <v>-374.7343567129</v>
      </c>
      <c r="I10" s="0" t="n">
        <f aca="false">-I6*I9/100</f>
        <v>-374.7343567129</v>
      </c>
      <c r="J10" s="0" t="n">
        <f aca="false">-J6*J9/100</f>
        <v>-380.355372063593</v>
      </c>
      <c r="K10" s="0" t="n">
        <f aca="false">-K6*K9/100</f>
        <v>-387.962479504865</v>
      </c>
      <c r="L10" s="0" t="n">
        <f aca="false">-L6*L9/100</f>
        <v>-395.721729094962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130107.79782</v>
      </c>
      <c r="D11" s="0" t="n">
        <f aca="false">D8+D10+D24</f>
        <v>114579.02272005</v>
      </c>
      <c r="E11" s="0" t="n">
        <f aca="false">E8+E10+E24</f>
        <v>97859.7044047507</v>
      </c>
      <c r="F11" s="0" t="n">
        <f aca="false">F8+F10+F24</f>
        <v>83341.7300759593</v>
      </c>
      <c r="G11" s="0" t="n">
        <f aca="false">G8+G10+G24</f>
        <v>71487.7849729224</v>
      </c>
      <c r="H11" s="0" t="n">
        <f aca="false">H8+H10+H24</f>
        <v>65953.2467814704</v>
      </c>
      <c r="I11" s="0" t="n">
        <f aca="false">I8+I10+I24</f>
        <v>65953.2467814704</v>
      </c>
      <c r="J11" s="0" t="n">
        <f aca="false">J8+J10+J24</f>
        <v>70746.0992038283</v>
      </c>
      <c r="K11" s="0" t="n">
        <f aca="false">K8+K10+K24</f>
        <v>76040.6459829536</v>
      </c>
      <c r="L11" s="0" t="n">
        <f aca="false">L8+L10+L24</f>
        <v>79540.0675480874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-10008.29214</v>
      </c>
      <c r="D12" s="4" t="n">
        <f aca="false">-D6*Assumptions!D31/100</f>
        <v>-9658.0019151</v>
      </c>
      <c r="E12" s="4" t="n">
        <f aca="false">-E6*Assumptions!E31/100</f>
        <v>-9319.9718480715</v>
      </c>
      <c r="F12" s="4" t="n">
        <f aca="false">-F6*Assumptions!F31/100</f>
        <v>-8900.57311490828</v>
      </c>
      <c r="G12" s="4" t="n">
        <f aca="false">-G6*Assumptions!G31/100</f>
        <v>-8455.54445916287</v>
      </c>
      <c r="H12" s="4" t="n">
        <f aca="false">-H6*Assumptions!H31/100</f>
        <v>-8244.1558476838</v>
      </c>
      <c r="I12" s="4" t="n">
        <f aca="false">-I6*Assumptions!I31/100</f>
        <v>-8244.1558476838</v>
      </c>
      <c r="J12" s="4" t="n">
        <f aca="false">-J6*Assumptions!J31/100</f>
        <v>-8367.81818539905</v>
      </c>
      <c r="K12" s="4" t="n">
        <f aca="false">-K6*Assumptions!K31/100</f>
        <v>-8535.17454910703</v>
      </c>
      <c r="L12" s="4" t="n">
        <f aca="false">-L6*Assumptions!L31/100</f>
        <v>-8705.87804008917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120099.50568</v>
      </c>
      <c r="D13" s="0" t="n">
        <f aca="false">D11+D12</f>
        <v>104921.02080495</v>
      </c>
      <c r="E13" s="0" t="n">
        <f aca="false">E11+E12</f>
        <v>88539.7325566792</v>
      </c>
      <c r="F13" s="0" t="n">
        <f aca="false">F11+F12</f>
        <v>74441.1569610511</v>
      </c>
      <c r="G13" s="0" t="n">
        <f aca="false">G11+G12</f>
        <v>63032.2405137595</v>
      </c>
      <c r="H13" s="0" t="n">
        <f aca="false">H11+H12</f>
        <v>57709.0909337866</v>
      </c>
      <c r="I13" s="0" t="n">
        <f aca="false">I11+I12</f>
        <v>57709.0909337866</v>
      </c>
      <c r="J13" s="0" t="n">
        <f aca="false">J11+J12</f>
        <v>62378.2810184293</v>
      </c>
      <c r="K13" s="0" t="n">
        <f aca="false">K11+K12</f>
        <v>67505.4714338465</v>
      </c>
      <c r="L13" s="0" t="n">
        <f aca="false">L11+L12</f>
        <v>70834.1895079983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90074.62926</v>
      </c>
      <c r="D15" s="0" t="n">
        <f aca="false">D13-MAX(0,D13)*D14/100</f>
        <v>78690.7656037125</v>
      </c>
      <c r="E15" s="0" t="n">
        <f aca="false">E13-MAX(0,E13)*E14/100</f>
        <v>66404.7994175094</v>
      </c>
      <c r="F15" s="0" t="n">
        <f aca="false">F13-MAX(0,F13)*F14/100</f>
        <v>55830.8677207883</v>
      </c>
      <c r="G15" s="0" t="n">
        <f aca="false">G13-MAX(0,G13)*G14/100</f>
        <v>47274.1803853197</v>
      </c>
      <c r="H15" s="0" t="n">
        <f aca="false">H13-MAX(0,H13)*H14/100</f>
        <v>43281.8182003399</v>
      </c>
      <c r="I15" s="0" t="n">
        <f aca="false">I13-MAX(0,I13)*I14/100</f>
        <v>43281.8182003399</v>
      </c>
      <c r="J15" s="0" t="n">
        <f aca="false">J13-MAX(0,J13)*J14/100</f>
        <v>46783.710763822</v>
      </c>
      <c r="K15" s="0" t="n">
        <f aca="false">K13-MAX(0,K13)*K14/100</f>
        <v>50629.1035753849</v>
      </c>
      <c r="L15" s="0" t="n">
        <f aca="false">L13-MAX(0,L13)*L14/100</f>
        <v>53125.6421309987</v>
      </c>
    </row>
    <row r="16" customFormat="false" ht="15" hidden="false" customHeight="false" outlineLevel="0" collapsed="false">
      <c r="A16" s="0" t="s">
        <v>129</v>
      </c>
      <c r="C16" s="0" t="n">
        <f aca="false">-C12</f>
        <v>10008.29214</v>
      </c>
      <c r="D16" s="0" t="n">
        <f aca="false">-D12</f>
        <v>9658.0019151</v>
      </c>
      <c r="E16" s="0" t="n">
        <f aca="false">-E12</f>
        <v>9319.9718480715</v>
      </c>
      <c r="F16" s="0" t="n">
        <f aca="false">-F12</f>
        <v>8900.57311490828</v>
      </c>
      <c r="G16" s="0" t="n">
        <f aca="false">-G12</f>
        <v>8455.54445916287</v>
      </c>
      <c r="H16" s="0" t="n">
        <f aca="false">-H12</f>
        <v>8244.1558476838</v>
      </c>
      <c r="I16" s="0" t="n">
        <f aca="false">-I12</f>
        <v>8244.1558476838</v>
      </c>
      <c r="J16" s="0" t="n">
        <f aca="false">-J12</f>
        <v>8367.81818539905</v>
      </c>
      <c r="K16" s="0" t="n">
        <f aca="false">-K12</f>
        <v>8535.17454910703</v>
      </c>
      <c r="L16" s="0" t="n">
        <f aca="false">-L12</f>
        <v>8705.87804008917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-15922.28295</v>
      </c>
      <c r="D17" s="4" t="n">
        <f aca="false">-D6*Assumptions!D32/100</f>
        <v>-15804.0031338</v>
      </c>
      <c r="E17" s="4" t="n">
        <f aca="false">-E6*Assumptions!E32/100</f>
        <v>-16098.1331921235</v>
      </c>
      <c r="F17" s="4" t="n">
        <f aca="false">-F6*Assumptions!F32/100</f>
        <v>-16182.8602089241</v>
      </c>
      <c r="G17" s="4" t="n">
        <f aca="false">-G6*Assumptions!G32/100</f>
        <v>-16142.4030584018</v>
      </c>
      <c r="H17" s="4" t="n">
        <f aca="false">-H6*Assumptions!H32/100</f>
        <v>-15738.8429819418</v>
      </c>
      <c r="I17" s="4" t="n">
        <f aca="false">-I6*Assumptions!I32/100</f>
        <v>-15738.8429819418</v>
      </c>
      <c r="J17" s="4" t="n">
        <f aca="false">-J6*Assumptions!J32/100</f>
        <v>-15214.2148825437</v>
      </c>
      <c r="K17" s="4" t="n">
        <f aca="false">-K6*Assumptions!K32/100</f>
        <v>-15518.4991801946</v>
      </c>
      <c r="L17" s="4" t="n">
        <f aca="false">-L6*Assumptions!L32/100</f>
        <v>-15828.8691637985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6086.263</v>
      </c>
      <c r="D18" s="4" t="n">
        <f aca="false">(D6-C6)*Assumptions!$B$37/100</f>
        <v>1592.228295</v>
      </c>
      <c r="E18" s="4" t="n">
        <f aca="false">(E6-D6)*Assumptions!$B$37/100</f>
        <v>1536.500304675</v>
      </c>
      <c r="F18" s="4" t="n">
        <f aca="false">(F6-E6)*Assumptions!$B$37/100</f>
        <v>1906.35787801463</v>
      </c>
      <c r="G18" s="4" t="n">
        <f aca="false">(G6-F6)*Assumptions!$B$37/100</f>
        <v>2022.85752611552</v>
      </c>
      <c r="H18" s="4" t="n">
        <f aca="false">(H6-G6)*Assumptions!$B$37/100</f>
        <v>960.857324904873</v>
      </c>
      <c r="I18" s="4" t="n">
        <f aca="false">(I6-H6)*Assumptions!$B$37/100</f>
        <v>-0</v>
      </c>
      <c r="J18" s="4" t="n">
        <f aca="false">(J6-I6)*Assumptions!$B$37/100</f>
        <v>-562.101535069349</v>
      </c>
      <c r="K18" s="4" t="n">
        <f aca="false">(K6-J6)*Assumptions!$B$37/100</f>
        <v>-760.710744127189</v>
      </c>
      <c r="L18" s="4" t="n">
        <f aca="false">(L6-K6)*Assumptions!$B$37/100</f>
        <v>-775.924959009729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90246.90145</v>
      </c>
      <c r="D19" s="0" t="n">
        <f aca="false">D15+D16+D17+D18</f>
        <v>74136.9926800125</v>
      </c>
      <c r="E19" s="0" t="n">
        <f aca="false">E15+E16+E17+E18</f>
        <v>61163.1383781324</v>
      </c>
      <c r="F19" s="0" t="n">
        <f aca="false">F15+F16+F17+F18</f>
        <v>50454.9385047871</v>
      </c>
      <c r="G19" s="0" t="n">
        <f aca="false">G15+G16+G17+G18</f>
        <v>41610.1793121962</v>
      </c>
      <c r="H19" s="0" t="n">
        <f aca="false">H15+H16+H17+H18</f>
        <v>36747.9883909868</v>
      </c>
      <c r="I19" s="0" t="n">
        <f aca="false">I15+I16+I17+I18</f>
        <v>35787.1310660819</v>
      </c>
      <c r="J19" s="0" t="n">
        <f aca="false">J15+J16+J17+J18</f>
        <v>39375.2125316079</v>
      </c>
      <c r="K19" s="0" t="n">
        <f aca="false">K15+K16+K17+K18</f>
        <v>42885.0682001701</v>
      </c>
      <c r="L19" s="0" t="n">
        <f aca="false">L15+L16+L17+L18</f>
        <v>45226.7260482797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84342.8985514019</v>
      </c>
      <c r="D21" s="0" t="n">
        <f aca="false">D19*D20</f>
        <v>64754.1206044305</v>
      </c>
      <c r="E21" s="0" t="n">
        <f aca="false">E19*E20</f>
        <v>49927.3400020509</v>
      </c>
      <c r="F21" s="0" t="n">
        <f aca="false">F19*F20</f>
        <v>38491.8310094544</v>
      </c>
      <c r="G21" s="0" t="n">
        <f aca="false">G19*G20</f>
        <v>29667.4827754331</v>
      </c>
      <c r="H21" s="0" t="n">
        <f aca="false">H19*H20</f>
        <v>24486.7363052335</v>
      </c>
      <c r="I21" s="0" t="n">
        <f aca="false">I19*I20</f>
        <v>22286.4266341925</v>
      </c>
      <c r="J21" s="0" t="n">
        <f aca="false">J19*J20</f>
        <v>22916.7321875792</v>
      </c>
      <c r="K21" s="0" t="n">
        <f aca="false">K19*K20</f>
        <v>23326.635647095</v>
      </c>
      <c r="L21" s="0" t="n">
        <f aca="false">L19*L20</f>
        <v>22990.9741722138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-3639.37896</v>
      </c>
      <c r="D24" s="0" t="n">
        <f aca="false">-D6*D23/100</f>
        <v>-3512.0006964</v>
      </c>
      <c r="E24" s="0" t="n">
        <f aca="false">-E6*E23/100</f>
        <v>-3389.080672026</v>
      </c>
      <c r="F24" s="0" t="n">
        <f aca="false">-F6*F23/100</f>
        <v>-3236.57204178483</v>
      </c>
      <c r="G24" s="0" t="n">
        <f aca="false">-G6*G23/100</f>
        <v>-3074.74343969559</v>
      </c>
      <c r="H24" s="0" t="n">
        <f aca="false">-H6*H23/100</f>
        <v>-2997.8748537032</v>
      </c>
      <c r="I24" s="0" t="n">
        <f aca="false">-I6*I23/100</f>
        <v>-2997.8748537032</v>
      </c>
      <c r="J24" s="0" t="n">
        <f aca="false">-J6*J23/100</f>
        <v>-3042.84297650875</v>
      </c>
      <c r="K24" s="0" t="n">
        <f aca="false">-K6*K23/100</f>
        <v>-3103.69983603892</v>
      </c>
      <c r="L24" s="0" t="n">
        <f aca="false">-L6*L23/100</f>
        <v>-3165.7738327597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383191.177889085</v>
      </c>
    </row>
    <row r="31" customFormat="false" ht="15" hidden="false" customHeight="false" outlineLevel="0" collapsed="false">
      <c r="A31" s="0" t="s">
        <v>138</v>
      </c>
      <c r="B31" s="0" t="n">
        <f aca="false">L19</f>
        <v>45226.7260482797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834638.671618252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678400.890724195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678400.890724195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344864.612583206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728055.790472291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957642.790472291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2035.28604623032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-0.097834199365992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2853.71813471081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3712.40606874122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2049.24108364308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340037.977325954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1282.63790719974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-11.8</v>
      </c>
      <c r="D5" s="4" t="n">
        <f aca="false">Assumptions!D41</f>
        <v>-1</v>
      </c>
      <c r="E5" s="4" t="n">
        <f aca="false">Assumptions!E41</f>
        <v>-1</v>
      </c>
      <c r="F5" s="4" t="n">
        <f aca="false">Assumptions!F41</f>
        <v>-1.5</v>
      </c>
      <c r="G5" s="4" t="n">
        <f aca="false">Assumptions!G41</f>
        <v>-2</v>
      </c>
      <c r="H5" s="4" t="n">
        <f aca="false">Assumptions!H41</f>
        <v>0</v>
      </c>
      <c r="I5" s="4" t="n">
        <f aca="false">Assumptions!I41</f>
        <v>2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515785</v>
      </c>
      <c r="C6" s="0" t="n">
        <f aca="false">B6*(1+C5/100)</f>
        <v>454922.37</v>
      </c>
      <c r="D6" s="0" t="n">
        <f aca="false">C6*(1+D5/100)</f>
        <v>450373.1463</v>
      </c>
      <c r="E6" s="0" t="n">
        <f aca="false">D6*(1+E5/100)</f>
        <v>445869.414837</v>
      </c>
      <c r="F6" s="0" t="n">
        <f aca="false">E6*(1+F5/100)</f>
        <v>439181.373614445</v>
      </c>
      <c r="G6" s="0" t="n">
        <f aca="false">F6*(1+G5/100)</f>
        <v>430397.746142156</v>
      </c>
      <c r="H6" s="0" t="n">
        <f aca="false">G6*(1+H5/100)</f>
        <v>430397.746142156</v>
      </c>
      <c r="I6" s="0" t="n">
        <f aca="false">H6*(1+I5/100)</f>
        <v>439005.701064999</v>
      </c>
      <c r="J6" s="0" t="n">
        <f aca="false">I6*(1+J5/100)</f>
        <v>452175.872096949</v>
      </c>
      <c r="K6" s="0" t="n">
        <f aca="false">J6*(1+K5/100)</f>
        <v>465741.148259858</v>
      </c>
      <c r="L6" s="0" t="n">
        <f aca="false">K6*(1+L5/100)</f>
        <v>479713.382707653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30</v>
      </c>
      <c r="D7" s="4" t="n">
        <f aca="false">Assumptions!D42</f>
        <v>28.5</v>
      </c>
      <c r="E7" s="4" t="n">
        <f aca="false">Assumptions!E42</f>
        <v>26.5</v>
      </c>
      <c r="F7" s="4" t="n">
        <f aca="false">Assumptions!F42</f>
        <v>24.5</v>
      </c>
      <c r="G7" s="4" t="n">
        <f aca="false">Assumptions!G42</f>
        <v>23</v>
      </c>
      <c r="H7" s="4" t="n">
        <f aca="false">Assumptions!H42</f>
        <v>22.5</v>
      </c>
      <c r="I7" s="4" t="n">
        <f aca="false">Assumptions!I42</f>
        <v>23</v>
      </c>
      <c r="J7" s="4" t="n">
        <f aca="false">Assumptions!J42</f>
        <v>24</v>
      </c>
      <c r="K7" s="4" t="n">
        <f aca="false">Assumptions!K42</f>
        <v>25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136476.711</v>
      </c>
      <c r="D8" s="0" t="n">
        <f aca="false">D6*D7/100</f>
        <v>128356.3466955</v>
      </c>
      <c r="E8" s="0" t="n">
        <f aca="false">E6*E7/100</f>
        <v>118155.394931805</v>
      </c>
      <c r="F8" s="0" t="n">
        <f aca="false">F6*F7/100</f>
        <v>107599.436535539</v>
      </c>
      <c r="G8" s="0" t="n">
        <f aca="false">G6*G7/100</f>
        <v>98991.4816126959</v>
      </c>
      <c r="H8" s="0" t="n">
        <f aca="false">H6*H7/100</f>
        <v>96839.4928819851</v>
      </c>
      <c r="I8" s="0" t="n">
        <f aca="false">I6*I7/100</f>
        <v>100971.31124495</v>
      </c>
      <c r="J8" s="0" t="n">
        <f aca="false">J6*J7/100</f>
        <v>108522.209303268</v>
      </c>
      <c r="K8" s="0" t="n">
        <f aca="false">K6*K7/100</f>
        <v>116435.287064964</v>
      </c>
      <c r="L8" s="0" t="n">
        <f aca="false">L6*L7/100</f>
        <v>122326.912590452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-454.92237</v>
      </c>
      <c r="D10" s="0" t="n">
        <f aca="false">-D6*D9/100</f>
        <v>-450.3731463</v>
      </c>
      <c r="E10" s="0" t="n">
        <f aca="false">-E6*E9/100</f>
        <v>-445.869414837</v>
      </c>
      <c r="F10" s="0" t="n">
        <f aca="false">-F6*F9/100</f>
        <v>-439.181373614445</v>
      </c>
      <c r="G10" s="0" t="n">
        <f aca="false">-G6*G9/100</f>
        <v>-430.397746142156</v>
      </c>
      <c r="H10" s="0" t="n">
        <f aca="false">-H6*H9/100</f>
        <v>-430.397746142156</v>
      </c>
      <c r="I10" s="0" t="n">
        <f aca="false">-I6*I9/100</f>
        <v>-439.005701064999</v>
      </c>
      <c r="J10" s="0" t="n">
        <f aca="false">-J6*J9/100</f>
        <v>-452.175872096949</v>
      </c>
      <c r="K10" s="0" t="n">
        <f aca="false">-K6*K9/100</f>
        <v>-465.741148259858</v>
      </c>
      <c r="L10" s="0" t="n">
        <f aca="false">-L6*L9/100</f>
        <v>-479.713382707653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132382.40967</v>
      </c>
      <c r="D11" s="0" t="n">
        <f aca="false">D8+D10+D24</f>
        <v>124302.9883788</v>
      </c>
      <c r="E11" s="0" t="n">
        <f aca="false">E8+E10+E24</f>
        <v>114142.570198272</v>
      </c>
      <c r="F11" s="0" t="n">
        <f aca="false">F8+F10+F24</f>
        <v>103646.804173009</v>
      </c>
      <c r="G11" s="0" t="n">
        <f aca="false">G8+G10+G24</f>
        <v>95117.9018974165</v>
      </c>
      <c r="H11" s="0" t="n">
        <f aca="false">H8+H10+H24</f>
        <v>92965.9131667057</v>
      </c>
      <c r="I11" s="0" t="n">
        <f aca="false">I8+I10+I24</f>
        <v>97020.2599353648</v>
      </c>
      <c r="J11" s="0" t="n">
        <f aca="false">J8+J10+J24</f>
        <v>104452.626454395</v>
      </c>
      <c r="K11" s="0" t="n">
        <f aca="false">K8+K10+K24</f>
        <v>112243.616730626</v>
      </c>
      <c r="L11" s="0" t="n">
        <f aca="false">L8+L10+L24</f>
        <v>118009.492146083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-10008.29214</v>
      </c>
      <c r="D12" s="4" t="n">
        <f aca="false">-D6*Assumptions!D45/100</f>
        <v>-9908.2092186</v>
      </c>
      <c r="E12" s="4" t="n">
        <f aca="false">-E6*Assumptions!E45/100</f>
        <v>-9809.127126414</v>
      </c>
      <c r="F12" s="4" t="n">
        <f aca="false">-F6*Assumptions!F45/100</f>
        <v>-9661.99021951779</v>
      </c>
      <c r="G12" s="4" t="n">
        <f aca="false">-G6*Assumptions!G45/100</f>
        <v>-9468.75041512744</v>
      </c>
      <c r="H12" s="4" t="n">
        <f aca="false">-H6*Assumptions!H45/100</f>
        <v>-9468.75041512744</v>
      </c>
      <c r="I12" s="4" t="n">
        <f aca="false">-I6*Assumptions!I45/100</f>
        <v>-9658.12542342998</v>
      </c>
      <c r="J12" s="4" t="n">
        <f aca="false">-J6*Assumptions!J45/100</f>
        <v>-9947.86918613288</v>
      </c>
      <c r="K12" s="4" t="n">
        <f aca="false">-K6*Assumptions!K45/100</f>
        <v>-10246.3052617169</v>
      </c>
      <c r="L12" s="4" t="n">
        <f aca="false">-L6*Assumptions!L45/100</f>
        <v>-10553.6944195684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122374.11753</v>
      </c>
      <c r="D13" s="0" t="n">
        <f aca="false">D11+D12</f>
        <v>114394.7791602</v>
      </c>
      <c r="E13" s="0" t="n">
        <f aca="false">E11+E12</f>
        <v>104333.443071858</v>
      </c>
      <c r="F13" s="0" t="n">
        <f aca="false">F11+F12</f>
        <v>93984.8139534912</v>
      </c>
      <c r="G13" s="0" t="n">
        <f aca="false">G11+G12</f>
        <v>85649.1514822891</v>
      </c>
      <c r="H13" s="0" t="n">
        <f aca="false">H11+H12</f>
        <v>83497.1627515783</v>
      </c>
      <c r="I13" s="0" t="n">
        <f aca="false">I11+I12</f>
        <v>87362.1345119348</v>
      </c>
      <c r="J13" s="0" t="n">
        <f aca="false">J11+J12</f>
        <v>94504.7572682624</v>
      </c>
      <c r="K13" s="0" t="n">
        <f aca="false">K11+K12</f>
        <v>101997.311468909</v>
      </c>
      <c r="L13" s="0" t="n">
        <f aca="false">L11+L12</f>
        <v>107455.797726514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91780.5881475</v>
      </c>
      <c r="D15" s="0" t="n">
        <f aca="false">D13-MAX(0,D13)*D14/100</f>
        <v>85796.08437015</v>
      </c>
      <c r="E15" s="0" t="n">
        <f aca="false">E13-MAX(0,E13)*E14/100</f>
        <v>78250.0823038935</v>
      </c>
      <c r="F15" s="0" t="n">
        <f aca="false">F13-MAX(0,F13)*F14/100</f>
        <v>70488.6104651184</v>
      </c>
      <c r="G15" s="0" t="n">
        <f aca="false">G13-MAX(0,G13)*G14/100</f>
        <v>64236.8636117168</v>
      </c>
      <c r="H15" s="0" t="n">
        <f aca="false">H13-MAX(0,H13)*H14/100</f>
        <v>62622.8720636837</v>
      </c>
      <c r="I15" s="0" t="n">
        <f aca="false">I13-MAX(0,I13)*I14/100</f>
        <v>65521.6008839511</v>
      </c>
      <c r="J15" s="0" t="n">
        <f aca="false">J13-MAX(0,J13)*J14/100</f>
        <v>70878.5679511968</v>
      </c>
      <c r="K15" s="0" t="n">
        <f aca="false">K13-MAX(0,K13)*K14/100</f>
        <v>76497.9836016816</v>
      </c>
      <c r="L15" s="0" t="n">
        <f aca="false">L13-MAX(0,L13)*L14/100</f>
        <v>80591.8482948858</v>
      </c>
    </row>
    <row r="16" customFormat="false" ht="15" hidden="false" customHeight="false" outlineLevel="0" collapsed="false">
      <c r="A16" s="0" t="s">
        <v>129</v>
      </c>
      <c r="C16" s="0" t="n">
        <f aca="false">-C12</f>
        <v>10008.29214</v>
      </c>
      <c r="D16" s="0" t="n">
        <f aca="false">-D12</f>
        <v>9908.2092186</v>
      </c>
      <c r="E16" s="0" t="n">
        <f aca="false">-E12</f>
        <v>9809.127126414</v>
      </c>
      <c r="F16" s="0" t="n">
        <f aca="false">-F12</f>
        <v>9661.99021951779</v>
      </c>
      <c r="G16" s="0" t="n">
        <f aca="false">-G12</f>
        <v>9468.75041512744</v>
      </c>
      <c r="H16" s="0" t="n">
        <f aca="false">-H12</f>
        <v>9468.75041512744</v>
      </c>
      <c r="I16" s="0" t="n">
        <f aca="false">-I12</f>
        <v>9658.12542342998</v>
      </c>
      <c r="J16" s="0" t="n">
        <f aca="false">-J12</f>
        <v>9947.86918613288</v>
      </c>
      <c r="K16" s="0" t="n">
        <f aca="false">-K12</f>
        <v>10246.3052617169</v>
      </c>
      <c r="L16" s="0" t="n">
        <f aca="false">-L12</f>
        <v>10553.6944195684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-15922.28295</v>
      </c>
      <c r="D17" s="4" t="n">
        <f aca="false">-D6*Assumptions!D46/100</f>
        <v>-16213.4332668</v>
      </c>
      <c r="E17" s="4" t="n">
        <f aca="false">-E6*Assumptions!E46/100</f>
        <v>-16943.037763806</v>
      </c>
      <c r="F17" s="4" t="n">
        <f aca="false">-F6*Assumptions!F46/100</f>
        <v>-17567.2549445778</v>
      </c>
      <c r="G17" s="4" t="n">
        <f aca="false">-G6*Assumptions!G46/100</f>
        <v>-18076.7053379706</v>
      </c>
      <c r="H17" s="4" t="n">
        <f aca="false">-H6*Assumptions!H46/100</f>
        <v>-18076.7053379706</v>
      </c>
      <c r="I17" s="4" t="n">
        <f aca="false">-I6*Assumptions!I46/100</f>
        <v>-18438.23944473</v>
      </c>
      <c r="J17" s="4" t="n">
        <f aca="false">-J6*Assumptions!J46/100</f>
        <v>-18087.034883878</v>
      </c>
      <c r="K17" s="4" t="n">
        <f aca="false">-K6*Assumptions!K46/100</f>
        <v>-18629.6459303943</v>
      </c>
      <c r="L17" s="4" t="n">
        <f aca="false">-L6*Assumptions!L46/100</f>
        <v>-19188.5353083061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6086.263</v>
      </c>
      <c r="D18" s="4" t="n">
        <f aca="false">(D6-C6)*Assumptions!$B$51/100</f>
        <v>454.922370000003</v>
      </c>
      <c r="E18" s="4" t="n">
        <f aca="false">(E6-D6)*Assumptions!$B$51/100</f>
        <v>450.3731463</v>
      </c>
      <c r="F18" s="4" t="n">
        <f aca="false">(F6-E6)*Assumptions!$B$51/100</f>
        <v>668.804122255498</v>
      </c>
      <c r="G18" s="4" t="n">
        <f aca="false">(G6-F6)*Assumptions!$B$51/100</f>
        <v>878.362747228891</v>
      </c>
      <c r="H18" s="4" t="n">
        <f aca="false">(H6-G6)*Assumptions!$B$51/100</f>
        <v>-0</v>
      </c>
      <c r="I18" s="4" t="n">
        <f aca="false">(I6-H6)*Assumptions!$B$51/100</f>
        <v>-860.795492284314</v>
      </c>
      <c r="J18" s="4" t="n">
        <f aca="false">(J6-I6)*Assumptions!$B$51/100</f>
        <v>-1317.017103195</v>
      </c>
      <c r="K18" s="4" t="n">
        <f aca="false">(K6-J6)*Assumptions!$B$51/100</f>
        <v>-1356.52761629085</v>
      </c>
      <c r="L18" s="4" t="n">
        <f aca="false">(L6-K6)*Assumptions!$B$51/100</f>
        <v>-1397.22344477957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91952.8603375</v>
      </c>
      <c r="D19" s="0" t="n">
        <f aca="false">D15+D16+D17+D18</f>
        <v>79945.78269195</v>
      </c>
      <c r="E19" s="0" t="n">
        <f aca="false">E15+E16+E17+E18</f>
        <v>71566.5448128015</v>
      </c>
      <c r="F19" s="0" t="n">
        <f aca="false">F15+F16+F17+F18</f>
        <v>63252.1498623139</v>
      </c>
      <c r="G19" s="0" t="n">
        <f aca="false">G15+G16+G17+G18</f>
        <v>56507.2714361026</v>
      </c>
      <c r="H19" s="0" t="n">
        <f aca="false">H15+H16+H17+H18</f>
        <v>54014.9171408406</v>
      </c>
      <c r="I19" s="0" t="n">
        <f aca="false">I15+I16+I17+I18</f>
        <v>55880.6913703668</v>
      </c>
      <c r="J19" s="0" t="n">
        <f aca="false">J15+J16+J17+J18</f>
        <v>61422.3851502567</v>
      </c>
      <c r="K19" s="0" t="n">
        <f aca="false">K15+K16+K17+K18</f>
        <v>66758.1153167134</v>
      </c>
      <c r="L19" s="0" t="n">
        <f aca="false">L15+L16+L17+L18</f>
        <v>70559.7839613684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85937.2526518692</v>
      </c>
      <c r="D21" s="0" t="n">
        <f aca="false">D19*D20</f>
        <v>69827.7427652634</v>
      </c>
      <c r="E21" s="0" t="n">
        <f aca="false">E19*E20</f>
        <v>58419.6185871039</v>
      </c>
      <c r="F21" s="0" t="n">
        <f aca="false">F19*F20</f>
        <v>48254.7622816718</v>
      </c>
      <c r="G21" s="0" t="n">
        <f aca="false">G19*G20</f>
        <v>40288.9035742734</v>
      </c>
      <c r="H21" s="0" t="n">
        <f aca="false">H19*H20</f>
        <v>35992.4200068924</v>
      </c>
      <c r="I21" s="0" t="n">
        <f aca="false">I19*I20</f>
        <v>34799.6861272284</v>
      </c>
      <c r="J21" s="0" t="n">
        <f aca="false">J19*J20</f>
        <v>35748.3873815498</v>
      </c>
      <c r="K21" s="0" t="n">
        <f aca="false">K19*K20</f>
        <v>36311.991512084</v>
      </c>
      <c r="L21" s="0" t="n">
        <f aca="false">L19*L20</f>
        <v>35869.0162299402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0.8</v>
      </c>
      <c r="F23" s="4" t="n">
        <f aca="false">Assumptions!F44</f>
        <v>0.8</v>
      </c>
      <c r="G23" s="4" t="n">
        <f aca="false">Assumptions!G44</f>
        <v>0.8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0.8</v>
      </c>
      <c r="K23" s="4" t="n">
        <f aca="false">Assumptions!K44</f>
        <v>0.8</v>
      </c>
      <c r="L23" s="4" t="n">
        <f aca="false">Assumptions!L44</f>
        <v>0.8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-3639.37896</v>
      </c>
      <c r="D24" s="0" t="n">
        <f aca="false">-D6*D23/100</f>
        <v>-3602.9851704</v>
      </c>
      <c r="E24" s="0" t="n">
        <f aca="false">-E6*E23/100</f>
        <v>-3566.955318696</v>
      </c>
      <c r="F24" s="0" t="n">
        <f aca="false">-F6*F23/100</f>
        <v>-3513.45098891556</v>
      </c>
      <c r="G24" s="0" t="n">
        <f aca="false">-G6*G23/100</f>
        <v>-3443.18196913725</v>
      </c>
      <c r="H24" s="0" t="n">
        <f aca="false">-H6*H23/100</f>
        <v>-3443.18196913725</v>
      </c>
      <c r="I24" s="0" t="n">
        <f aca="false">-I6*I23/100</f>
        <v>-3512.04560851999</v>
      </c>
      <c r="J24" s="0" t="n">
        <f aca="false">-J6*J23/100</f>
        <v>-3617.40697677559</v>
      </c>
      <c r="K24" s="0" t="n">
        <f aca="false">-K6*K23/100</f>
        <v>-3725.92918607886</v>
      </c>
      <c r="L24" s="0" t="n">
        <f aca="false">-L6*L23/100</f>
        <v>-3837.70706166123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481449.781117876</v>
      </c>
    </row>
    <row r="31" customFormat="false" ht="15" hidden="false" customHeight="false" outlineLevel="0" collapsed="false">
      <c r="A31" s="0" t="s">
        <v>138</v>
      </c>
      <c r="B31" s="0" t="n">
        <f aca="false">L19</f>
        <v>70559.7839613684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1302148.74037798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1199516.32734326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1199516.32734326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609773.275908984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1091223.05702686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1320810.05702686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2807.12840480077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0.244294505674102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3144.96134725836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4500.36159827075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2823.37707211679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530505.042376214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1515.98464867499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1243.95135910185</v>
      </c>
      <c r="C4" s="0" t="n">
        <f aca="false">B4/Assumptions!$B$2-1</f>
        <v>-0.44860312096549</v>
      </c>
      <c r="D4" s="4" t="n">
        <f aca="false">Assumptions!$B$24</f>
        <v>0.3</v>
      </c>
      <c r="E4" s="4" t="n">
        <f aca="false">DCF_Bear!$B$43</f>
        <v>1255.44608996853</v>
      </c>
      <c r="F4" s="4" t="n">
        <f aca="false">DCF_Bear!$B$47</f>
        <v>981.703201483815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2035.28604623032</v>
      </c>
      <c r="C5" s="0" t="n">
        <f aca="false">B5/Assumptions!$B$2-1</f>
        <v>-0.097834199365992</v>
      </c>
      <c r="D5" s="4" t="n">
        <f aca="false">Assumptions!$B$38</f>
        <v>0.5</v>
      </c>
      <c r="E5" s="4" t="n">
        <f aca="false">DCF_Base!$B$43</f>
        <v>2049.24108364308</v>
      </c>
      <c r="F5" s="4" t="n">
        <f aca="false">DCF_Base!$B$47</f>
        <v>1282.63790719974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2807.12840480077</v>
      </c>
      <c r="C6" s="0" t="n">
        <f aca="false">B6/Assumptions!$B$2-1</f>
        <v>0.244294505674102</v>
      </c>
      <c r="D6" s="4" t="n">
        <f aca="false">Assumptions!$B$52</f>
        <v>0.2</v>
      </c>
      <c r="E6" s="4" t="n">
        <f aca="false">DCF_Bull!$B$43</f>
        <v>2823.37707211679</v>
      </c>
      <c r="F6" s="4" t="n">
        <f aca="false">DCF_Bull!$B$47</f>
        <v>1515.98464867499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1952.25411180587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1965.92978323546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-0.155587270303228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1239.02684378001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2035.28604623032</v>
      </c>
      <c r="C15" s="3" t="n">
        <v>7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1792.57406583399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1658.73546880708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1552.65741755362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1466.41198190198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1282.63790719974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2255.21229630553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2255.21229630553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2255.21229630553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2255.21229630553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2255.21229630553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2140.1511748429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2140.1511748429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2140.1511748429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2140.1511748429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2140.1511748429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2035.28604623032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2035.28604623032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2035.28604623032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2035.28604623032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2035.28604623032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1868.34731835555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1914.14188605246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1939.58331255074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1939.58331255074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1939.58331255074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1723.15186278387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1755.69352046362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1792.57406583399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1834.72326054299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1852.12430423019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2026-10-31T03:39:02Z</dcterms:created>
  <dc:creator>openpyxl</dc:creator>
  <dc:description/>
  <dc:language>en-NZ</dc:language>
  <cp:lastModifiedBy/>
  <dcterms:modified xsi:type="dcterms:W3CDTF">2026-10-31T03:39:02Z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