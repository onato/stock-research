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<sst xmlns="http://schemas.openxmlformats.org/spreadsheetml/2006/main" count="358" uniqueCount="166">
  <si>
    <t xml:space="preserve">Ticker</t>
  </si>
  <si>
    <t xml:space="preserve">1882.HK</t>
  </si>
  <si>
    <t xml:space="preserve">Company</t>
  </si>
  <si>
    <t xml:space="preserve">Haitian International Holdings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</si>
  <si>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</si>
  <si>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</si>
  <si>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</si>
  <si>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</si>
  <si>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 close (HKEX), Yahoo Finance chart API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</si>
  <si>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</si>
  <si>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</si>
  <si>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</si>
  <si>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</si>
  <si>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</si>
  <si>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</si>
  <si>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</si>
  <si>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</si>
  <si>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</si>
  <si>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</si>
  <si>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</si>
  <si>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</si>
  <si>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</si>
  <si>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2026-10-16T21:50:09Z</t>
  </si>
  <si>
    <t xml:space="preserve">Drivers file</t>
  </si>
  <si>
    <t xml:space="preserve">1882.HK_Drivers.json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</si>
  <si>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</si>
  <si>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</si>
  <si>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</si>
  <si>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Haitian is valued as a cyclical operating manufacturer on owner FCF in CNY, with its large treasury (term deposits and wealth-management products, ~RMB12.5bn gross, ~RMB8/share net of borrowings after a 10% WMP haircut) valued separately in the bridge and its income removed from the flows. At the current price, the market capitalises the operating business at a low single-digit EV/EBITDA, i.e. it either discounts the treasury heavily (China-cash discount) or prices a deep cyclical downturn. SBC is genuinely zero, so house and street bases coincide.
key_risks_to_valuation: Treasury haircut: if the WMP/term-deposit pile is worth materially less to minority holders (trapped onshore, credit events in trust products, or never distributed), roughly half of per-share value is at stake.; Cyclicality: a FY2022-style -23% revenue year would cut owner FCF by half for one to two years.; Overseas growth reversal from tariffs, sanctions, or energy costs (H1 FY2026 overseas -19.3%).; RMB appreciation compressing export margins (~34-43% of sales are foreign-currency); also moves the CNY-&gt;HKD conversion of value.; Government R&amp;D grants (~2.4% of revenue) are discretionary local subsidies.; Related-party transactions with the founding Zhang family group (e.g. the RMB336m Guohua disposal to a connected party).</t>
  </si>
  <si>
    <t xml:space="preserve">Data sources</t>
  </si>
  <si>
    <t xml:space="preserve">price: Yahoo Finance chart API at inputs.price_as_of; 52-week range 17.06-26.20 HKD
fx: Yahoo Finance CNYHKD=X, cross-checked against CNY=X and HKD=X
financials: research/1882.HK/Reports/1882.HK_Metrics.csv and kpis (FY2017-FY2025, H1 FY2023-H1 FY2026); FY2025 Annual Report income statement, notes 26-27 and cash flow statement; H1 FY2026 Interim Report balance sheet, notes 5, 6 and 12, liquidity section
qualitative: research/1882.HK/Reports/1882.HK_Analysis.json (2026-10-17)</t>
  </si>
  <si>
    <t xml:space="preserve">Scenario narrative: bear</t>
  </si>
  <si>
    <t xml:space="preserve">A FY2022-style capex downturn (revenue then fell 23%): tariffs and sanctions on Chinese capital equipment cap the overseas engine, China domestic moulding demand stays weak, and low-end domestic rivals (Yizumi, Borche, Tederic) compete on price. Revenue falls 2% in FY2026 and 8% in FY2027 before a slow recovery; margin compresses to 18.5-20% as RMB strength persists and local R&amp;D subsidies fade; cash tax creeps up. Balance sheet is not at risk -- the bear is an earnings trough, not solvency.</t>
  </si>
  <si>
    <t xml:space="preserve">Scenario narrative: base</t>
  </si>
  <si>
    <t xml:space="preserve">Overseas Chinese-enterprise capex resumes after the H1 FY2026 energy-price pause and Haitian's localized plants (Mexico, Vietnam, Serbia, India, Japan) take share from European/Japanese makers abroad, while China domestic demand grows with NEV/3C reinvestment but daily-goods and appliance moulders stay soft. Revenue recovers to mid-single-digit growth from FY2027 and ex-treasury EBITDA margin returns to the 23% of FY2024-25 as overseas mix rebuilds; RMB strength is a lasting but not worsening headwind. R&amp;D government grants (~2.4% of revenue) continue.</t>
  </si>
  <si>
    <t xml:space="preserve">Scenario narrative: bull</t>
  </si>
  <si>
    <t xml:space="preserve">The 'Five-Five' internationalisation compounds: reshoring and supply-chain diversification by Chinese and global manufacturers drives overseas sales back to the FY2025 +26% trajectory, Zhafir electric and Jupiter large-tonnage machines win in the premium segment against Engel/Arburg/Fanuc, and parts &amp; service grows its share. Revenue grows 7-9% for three years and margin expands to 24.5% on mix and scale procurement.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</si>
  <si>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</si>
  <si>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</si>
  <si>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</si>
  <si>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</si>
  <si>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</si>
  <si>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</si>
  <si>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</si>
  <si>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</si>
  <si>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</si>
  <si>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</si>
  <si>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</si>
  <si>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</si>
  <si>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</si>
  <si>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</si>
  <si>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</si>
  <si>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</si>
  <si>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</si>
  <si>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</si>
  <si>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</si>
  <si>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</si>
  <si>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</si>
  <si>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</si>
  <si>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</si>
  <si>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</si>
  <si>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</si>
  <si>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</si>
  <si>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</si>
  <si>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TermDeposits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</si>
  <si>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</si>
  <si>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</si>
  <si>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</si>
  <si>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</si>
  <si>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</si>
  <si>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</si>
  <si>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</si>
  <si>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</si>
  <si>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</si>
  <si>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</si>
  <si>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</si>
  <si>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</si>
  <si>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</si>
  <si>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</si>
  <si>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</si>
  <si>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</si>
  <si>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</si>
  <si>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</si>
  <si>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</si>
  <si>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</si>
  <si>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</si>
  <si>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</si>
  <si>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</si>
  <si>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</si>
  <si>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</si>
  <si>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</si>
  <si>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</si>
  <si>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</si>
  <si>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</si>
  <si>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</si>
  <si>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</si>
  <si>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</si>
  <si>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</si>
  <si>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</si>
  <si>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</si>
  <si>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</si>
  <si>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</si>
  <si>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</si>
  <si>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</si>
  <si>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</si>
  <si>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</si>
  <si>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</si>
  <si>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</si>
  <si>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</si>
  <si>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</si>
  <si>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</si>
  <si>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1882.HK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</si>
  <si>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</si>
  <si>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</si>
  <si>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</si>
  <si>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</si>
  <si>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</si>
  <si>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</si>
  <si>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</si>
  <si>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</si>
  <si>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</si>
  <si>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</si>
  <si>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</si>
  <si>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</si>
  <si>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</si>
  <si>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</si>
  <si>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</si>
  <si>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</si>
  <si>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</si>
  <si>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</si>
  <si>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</si>
  <si>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</si>
  <si>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</si>
  <si>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</si>
  <si>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</si>
  <si>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</si>
  <si>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</si>
  <si>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</si>
  <si>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</si>
  <si>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</si>
  <si>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</si>
  <si>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</si>
  <si>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1882.HK owner-FCF component DCF: base case (millions, CNY)</t>
  </si>
  <si>
    <t xml:space="preserve">1882.HK owner-FCF component DCF: bull case (millions, CNY)</t>
  </si>
  <si>
    <t xml:space="preserve">1882.HK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</si>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</sst>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17.75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10186.066</v>
      </c>
      <c r="C2" s="0" t="n">
        <v>6589.259</v>
      </c>
      <c r="D2" s="0" t="n">
        <v>3596.807</v>
      </c>
      <c r="E2" s="0" t="n">
        <v>35.3</v>
      </c>
      <c r="F2" s="0" t="n">
        <v>2372.889</v>
      </c>
      <c r="G2" s="0" t="n">
        <v>23.3</v>
      </c>
      <c r="H2" s="0" t="n">
        <v>2588.656</v>
      </c>
      <c r="I2" s="0" t="n">
        <v>2005.394</v>
      </c>
      <c r="J2" s="0" t="n">
        <v>19.7</v>
      </c>
      <c r="K2" s="0" t="n">
        <v>1.26</v>
      </c>
      <c r="L2" s="0" t="n">
        <v>1797.692</v>
      </c>
      <c r="M2" s="0" t="n">
        <v>804.672</v>
      </c>
      <c r="N2" s="0" t="n">
        <v>993.02</v>
      </c>
      <c r="O2" s="0" t="n">
        <v>10560.853</v>
      </c>
      <c r="P2" s="0" t="n">
        <v>18293.907</v>
      </c>
      <c r="Q2" s="0" t="n">
        <v>7732.554</v>
      </c>
      <c r="R2" s="0" t="n">
        <v>2087.613</v>
      </c>
      <c r="S2" s="0" t="n">
        <v>3029.252</v>
      </c>
      <c r="T2" s="0" t="n">
        <v>1596</v>
      </c>
      <c r="U2" s="0" t="n">
        <v>0</v>
      </c>
      <c r="AA2" s="0" t="s">
        <v>18</v>
      </c>
      <c r="AB2" s="0" t="s">
        <v>14</v>
      </c>
      <c r="AC2" s="0" t="n">
        <v>0</v>
      </c>
    </row>
    <row r="3" customFormat="false" ht="15" hidden="false" customHeight="false" outlineLevel="0" collapsed="false">
      <c r="A3" s="0" t="s">
        <v>66</v>
      </c>
      <c r="B3" s="0" t="n">
        <v>10851.245</v>
      </c>
      <c r="C3" s="0" t="n">
        <v>7424.96</v>
      </c>
      <c r="D3" s="0" t="n">
        <v>3426.285</v>
      </c>
      <c r="E3" s="0" t="n">
        <v>31.6</v>
      </c>
      <c r="F3" s="0" t="n">
        <v>2237.433</v>
      </c>
      <c r="G3" s="0" t="n">
        <v>20.6</v>
      </c>
      <c r="H3" s="0" t="n">
        <v>2505.528</v>
      </c>
      <c r="I3" s="0" t="n">
        <v>1916.883</v>
      </c>
      <c r="J3" s="0" t="n">
        <v>17.7</v>
      </c>
      <c r="K3" s="0" t="n">
        <v>1.2</v>
      </c>
      <c r="L3" s="0" t="n">
        <v>1548.283</v>
      </c>
      <c r="M3" s="0" t="n">
        <v>638.455</v>
      </c>
      <c r="N3" s="0" t="n">
        <v>909.828</v>
      </c>
      <c r="O3" s="0" t="n">
        <v>11920.526</v>
      </c>
      <c r="P3" s="0" t="n">
        <v>18792.545</v>
      </c>
      <c r="Q3" s="0" t="n">
        <v>6865.433</v>
      </c>
      <c r="R3" s="0" t="n">
        <v>1862.165</v>
      </c>
      <c r="S3" s="0" t="n">
        <v>3769.637</v>
      </c>
      <c r="T3" s="0" t="n">
        <v>1596</v>
      </c>
      <c r="U3" s="0" t="n">
        <v>0</v>
      </c>
      <c r="AA3" s="0" t="s">
        <v>18</v>
      </c>
      <c r="AB3" s="0" t="s">
        <v>14</v>
      </c>
      <c r="AC3" s="0" t="n">
        <v>100</v>
      </c>
    </row>
    <row r="4" customFormat="false" ht="15" hidden="false" customHeight="false" outlineLevel="0" collapsed="false">
      <c r="A4" s="0" t="s">
        <v>67</v>
      </c>
      <c r="B4" s="0" t="n">
        <v>9809.716</v>
      </c>
      <c r="C4" s="0" t="n">
        <v>6711.046</v>
      </c>
      <c r="D4" s="0" t="n">
        <v>3098.67</v>
      </c>
      <c r="E4" s="0" t="n">
        <v>31.6</v>
      </c>
      <c r="F4" s="0" t="n">
        <v>2143.391</v>
      </c>
      <c r="G4" s="0" t="n">
        <v>21.8</v>
      </c>
      <c r="H4" s="0" t="n">
        <v>2440.887</v>
      </c>
      <c r="I4" s="0" t="n">
        <v>1750.519</v>
      </c>
      <c r="J4" s="0" t="n">
        <v>17.8</v>
      </c>
      <c r="K4" s="0" t="n">
        <v>1.1</v>
      </c>
      <c r="L4" s="0" t="n">
        <v>2729.775</v>
      </c>
      <c r="M4" s="0" t="n">
        <v>463.24</v>
      </c>
      <c r="N4" s="0" t="n">
        <v>2266.535</v>
      </c>
      <c r="O4" s="0" t="n">
        <v>13119.063</v>
      </c>
      <c r="P4" s="0" t="n">
        <v>19303.344</v>
      </c>
      <c r="Q4" s="0" t="n">
        <v>6177.541</v>
      </c>
      <c r="R4" s="0" t="n">
        <v>1021.898</v>
      </c>
      <c r="S4" s="0" t="n">
        <v>1538.36</v>
      </c>
      <c r="T4" s="0" t="n">
        <v>1596</v>
      </c>
      <c r="U4" s="0" t="n">
        <v>0</v>
      </c>
      <c r="AA4" s="0" t="s">
        <v>18</v>
      </c>
      <c r="AB4" s="0" t="s">
        <v>14</v>
      </c>
      <c r="AC4" s="0" t="n">
        <v>190</v>
      </c>
    </row>
    <row r="5" customFormat="false" ht="15" hidden="false" customHeight="false" outlineLevel="0" collapsed="false">
      <c r="A5" s="0" t="s">
        <v>68</v>
      </c>
      <c r="B5" s="0" t="n">
        <v>11800.052</v>
      </c>
      <c r="C5" s="0" t="n">
        <v>7759.797</v>
      </c>
      <c r="D5" s="0" t="n">
        <v>4040.255</v>
      </c>
      <c r="E5" s="0" t="n">
        <v>34.2</v>
      </c>
      <c r="F5" s="0" t="n">
        <v>2873.194</v>
      </c>
      <c r="G5" s="0" t="n">
        <v>24.3</v>
      </c>
      <c r="H5" s="0" t="n">
        <v>3188.883</v>
      </c>
      <c r="I5" s="0" t="n">
        <v>2388.016</v>
      </c>
      <c r="J5" s="0" t="n">
        <v>20.2</v>
      </c>
      <c r="K5" s="0" t="n">
        <v>1.5</v>
      </c>
      <c r="L5" s="0" t="n">
        <v>3278.169</v>
      </c>
      <c r="M5" s="0" t="n">
        <v>895.134</v>
      </c>
      <c r="N5" s="0" t="n">
        <v>2383.035</v>
      </c>
      <c r="O5" s="0" t="n">
        <v>14777.234</v>
      </c>
      <c r="P5" s="0" t="n">
        <v>23391.86</v>
      </c>
      <c r="Q5" s="0" t="n">
        <v>8605.824</v>
      </c>
      <c r="R5" s="0" t="n">
        <v>1318.13</v>
      </c>
      <c r="S5" s="0" t="n">
        <v>3746.43</v>
      </c>
      <c r="T5" s="0" t="n">
        <v>1596</v>
      </c>
      <c r="U5" s="0" t="n">
        <v>0</v>
      </c>
      <c r="AA5" s="0" t="s">
        <v>18</v>
      </c>
      <c r="AB5" s="0" t="s">
        <v>14</v>
      </c>
      <c r="AC5" s="0" t="n">
        <v>230.884</v>
      </c>
    </row>
    <row r="6" customFormat="false" ht="15" hidden="false" customHeight="false" outlineLevel="0" collapsed="false">
      <c r="A6" s="0" t="s">
        <v>69</v>
      </c>
      <c r="B6" s="0" t="n">
        <v>16018.272</v>
      </c>
      <c r="C6" s="0" t="n">
        <v>10867.2</v>
      </c>
      <c r="D6" s="0" t="n">
        <v>5151.072</v>
      </c>
      <c r="E6" s="0" t="n">
        <v>32.2</v>
      </c>
      <c r="F6" s="0" t="n">
        <v>3596.659</v>
      </c>
      <c r="G6" s="0" t="n">
        <v>22.5</v>
      </c>
      <c r="H6" s="0" t="n">
        <v>3922.413</v>
      </c>
      <c r="I6" s="0" t="n">
        <v>3051.968</v>
      </c>
      <c r="J6" s="0" t="n">
        <v>19.1</v>
      </c>
      <c r="K6" s="0" t="n">
        <v>1.91</v>
      </c>
      <c r="L6" s="0" t="n">
        <v>3124.082</v>
      </c>
      <c r="M6" s="0" t="n">
        <v>923.788</v>
      </c>
      <c r="N6" s="0" t="n">
        <v>2200.294</v>
      </c>
      <c r="O6" s="0" t="n">
        <v>15934.377</v>
      </c>
      <c r="P6" s="0" t="n">
        <v>26153.315</v>
      </c>
      <c r="Q6" s="0" t="n">
        <v>10218.305</v>
      </c>
      <c r="R6" s="0" t="n">
        <v>2160.97</v>
      </c>
      <c r="S6" s="0" t="n">
        <v>3592.622</v>
      </c>
      <c r="T6" s="0" t="n">
        <v>1596</v>
      </c>
      <c r="U6" s="0" t="n">
        <v>0</v>
      </c>
      <c r="AA6" s="0" t="s">
        <v>18</v>
      </c>
      <c r="AB6" s="0" t="s">
        <v>14</v>
      </c>
      <c r="AC6" s="0" t="n">
        <v>945</v>
      </c>
    </row>
    <row r="7" customFormat="false" ht="15" hidden="false" customHeight="false" outlineLevel="0" collapsed="false">
      <c r="A7" s="0" t="s">
        <v>70</v>
      </c>
      <c r="B7" s="0" t="n">
        <v>12308.186</v>
      </c>
      <c r="C7" s="0" t="n">
        <v>8390.657</v>
      </c>
      <c r="D7" s="0" t="n">
        <v>3917.529</v>
      </c>
      <c r="E7" s="0" t="n">
        <v>31.8</v>
      </c>
      <c r="F7" s="0" t="n">
        <v>2632.358</v>
      </c>
      <c r="G7" s="0" t="n">
        <v>21.4</v>
      </c>
      <c r="H7" s="0" t="n">
        <v>2993.236</v>
      </c>
      <c r="I7" s="0" t="n">
        <v>2264.668</v>
      </c>
      <c r="J7" s="0" t="n">
        <v>18.4</v>
      </c>
      <c r="K7" s="0" t="n">
        <v>1.42</v>
      </c>
      <c r="L7" s="0" t="n">
        <v>1780.608</v>
      </c>
      <c r="M7" s="0" t="n">
        <v>1495.772</v>
      </c>
      <c r="N7" s="0" t="n">
        <v>284.836</v>
      </c>
      <c r="O7" s="0" t="n">
        <v>17011.117</v>
      </c>
      <c r="P7" s="0" t="n">
        <v>25791.201</v>
      </c>
      <c r="Q7" s="0" t="n">
        <v>8751.201</v>
      </c>
      <c r="R7" s="0" t="n">
        <v>1435.255</v>
      </c>
      <c r="S7" s="0" t="n">
        <v>3590.846</v>
      </c>
      <c r="T7" s="0" t="n">
        <v>1596</v>
      </c>
      <c r="U7" s="0" t="n">
        <v>0</v>
      </c>
      <c r="AA7" s="0" t="s">
        <v>18</v>
      </c>
      <c r="AB7" s="0" t="s">
        <v>14</v>
      </c>
      <c r="AC7" s="0" t="n">
        <v>2510.509</v>
      </c>
    </row>
    <row r="8" customFormat="false" ht="15" hidden="false" customHeight="false" outlineLevel="0" collapsed="false">
      <c r="A8" s="0" t="s">
        <v>71</v>
      </c>
      <c r="B8" s="0" t="n">
        <v>13069.307</v>
      </c>
      <c r="C8" s="0" t="n">
        <v>8869.034</v>
      </c>
      <c r="D8" s="0" t="n">
        <v>4200.273</v>
      </c>
      <c r="E8" s="0" t="n">
        <v>32.1</v>
      </c>
      <c r="F8" s="0" t="n">
        <v>2788.096</v>
      </c>
      <c r="G8" s="0" t="n">
        <v>21.3</v>
      </c>
      <c r="H8" s="0" t="n">
        <v>3179.487</v>
      </c>
      <c r="I8" s="0" t="n">
        <v>2491.528</v>
      </c>
      <c r="J8" s="0" t="n">
        <v>19.1</v>
      </c>
      <c r="K8" s="0" t="n">
        <v>1.56</v>
      </c>
      <c r="L8" s="0" t="n">
        <v>2012.591</v>
      </c>
      <c r="M8" s="0" t="n">
        <v>1115.595</v>
      </c>
      <c r="N8" s="0" t="n">
        <v>896.996</v>
      </c>
      <c r="O8" s="0" t="n">
        <v>18816.089</v>
      </c>
      <c r="P8" s="0" t="n">
        <v>29093.858</v>
      </c>
      <c r="Q8" s="0" t="n">
        <v>10251.578</v>
      </c>
      <c r="R8" s="0" t="n">
        <v>2747.439</v>
      </c>
      <c r="S8" s="0" t="n">
        <v>5445.649</v>
      </c>
      <c r="T8" s="0" t="n">
        <v>1596</v>
      </c>
      <c r="U8" s="0" t="n">
        <v>0</v>
      </c>
      <c r="AA8" s="0" t="s">
        <v>18</v>
      </c>
      <c r="AB8" s="0" t="s">
        <v>14</v>
      </c>
      <c r="AC8" s="0" t="n">
        <v>2207.974</v>
      </c>
    </row>
    <row r="9" customFormat="false" ht="15" hidden="false" customHeight="false" outlineLevel="0" collapsed="false">
      <c r="A9" s="0" t="s">
        <v>72</v>
      </c>
      <c r="B9" s="0" t="n">
        <v>16128.328</v>
      </c>
      <c r="C9" s="0" t="n">
        <v>10892.555</v>
      </c>
      <c r="D9" s="0" t="n">
        <v>5235.773</v>
      </c>
      <c r="E9" s="0" t="n">
        <v>32.5</v>
      </c>
      <c r="F9" s="0" t="n">
        <v>3533.878</v>
      </c>
      <c r="G9" s="0" t="n">
        <v>21.9</v>
      </c>
      <c r="H9" s="0" t="n">
        <v>4012.836</v>
      </c>
      <c r="I9" s="0" t="n">
        <v>3080.332</v>
      </c>
      <c r="J9" s="0" t="n">
        <v>19.1</v>
      </c>
      <c r="K9" s="0" t="n">
        <v>1.93</v>
      </c>
      <c r="L9" s="0" t="n">
        <v>2101.403</v>
      </c>
      <c r="M9" s="0" t="n">
        <v>1182.275</v>
      </c>
      <c r="N9" s="0" t="n">
        <v>919.128</v>
      </c>
      <c r="O9" s="0" t="n">
        <v>20845.03</v>
      </c>
      <c r="P9" s="0" t="n">
        <v>31145.511</v>
      </c>
      <c r="Q9" s="0" t="n">
        <v>10276.036</v>
      </c>
      <c r="R9" s="0" t="n">
        <v>2011.287</v>
      </c>
      <c r="S9" s="0" t="n">
        <v>2745.387</v>
      </c>
      <c r="T9" s="0" t="n">
        <v>1596</v>
      </c>
      <c r="U9" s="0" t="n">
        <v>0</v>
      </c>
      <c r="AA9" s="0" t="s">
        <v>18</v>
      </c>
      <c r="AB9" s="0" t="s">
        <v>14</v>
      </c>
      <c r="AC9" s="0" t="n">
        <v>1280.605</v>
      </c>
    </row>
    <row r="10" customFormat="false" ht="15" hidden="false" customHeight="false" outlineLevel="0" collapsed="false">
      <c r="A10" s="0" t="s">
        <v>73</v>
      </c>
      <c r="B10" s="0" t="n">
        <v>17733.166</v>
      </c>
      <c r="C10" s="0" t="n">
        <v>11934.053</v>
      </c>
      <c r="D10" s="0" t="n">
        <v>5799.113</v>
      </c>
      <c r="E10" s="0" t="n">
        <v>32.7</v>
      </c>
      <c r="F10" s="0" t="n">
        <v>3848.84</v>
      </c>
      <c r="G10" s="0" t="n">
        <v>21.7</v>
      </c>
      <c r="H10" s="0" t="n">
        <v>4377.052</v>
      </c>
      <c r="I10" s="0" t="n">
        <v>3301.137</v>
      </c>
      <c r="J10" s="0" t="n">
        <v>18.6</v>
      </c>
      <c r="K10" s="0" t="n">
        <v>2.07</v>
      </c>
      <c r="L10" s="0" t="n">
        <v>3479.819</v>
      </c>
      <c r="M10" s="0" t="n">
        <v>1284.074</v>
      </c>
      <c r="N10" s="0" t="n">
        <v>2195.745</v>
      </c>
      <c r="O10" s="0" t="n">
        <v>23047.58</v>
      </c>
      <c r="P10" s="0" t="n">
        <v>35742.108</v>
      </c>
      <c r="Q10" s="0" t="n">
        <v>12670.054</v>
      </c>
      <c r="R10" s="0" t="n">
        <v>3172.789</v>
      </c>
      <c r="S10" s="0" t="n">
        <v>3739.397</v>
      </c>
      <c r="T10" s="0" t="n">
        <v>1596</v>
      </c>
      <c r="U10" s="0" t="n">
        <v>0</v>
      </c>
      <c r="AA10" s="0" t="s">
        <v>18</v>
      </c>
      <c r="AB10" s="0" t="s">
        <v>14</v>
      </c>
      <c r="AC10" s="0" t="n">
        <v>2387.331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17.75</v>
      </c>
    </row>
    <row r="3" customFormat="false" ht="15" hidden="false" customHeight="false" outlineLevel="0" collapsed="false">
      <c r="A3" s="0" t="s">
        <v>77</v>
      </c>
      <c r="B3" s="3" t="n">
        <v>1596</v>
      </c>
    </row>
    <row r="4" customFormat="false" ht="15" hidden="false" customHeight="false" outlineLevel="0" collapsed="false">
      <c r="A4" s="0" t="s">
        <v>78</v>
      </c>
      <c r="B4" s="3" t="n">
        <v>-2079.3</v>
      </c>
    </row>
    <row r="5" customFormat="false" ht="15" hidden="false" customHeight="false" outlineLevel="0" collapsed="false">
      <c r="A5" s="0" t="s">
        <v>79</v>
      </c>
      <c r="B5" s="3" t="n">
        <v>10301.5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17733.166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1.1724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-2</v>
      </c>
      <c r="D13" s="3" t="n">
        <v>-8</v>
      </c>
      <c r="E13" s="3" t="n">
        <v>3</v>
      </c>
      <c r="F13" s="3" t="n">
        <v>5</v>
      </c>
      <c r="G13" s="3" t="n">
        <v>4</v>
      </c>
      <c r="H13" s="3" t="n">
        <v>3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20.5</v>
      </c>
      <c r="D14" s="3" t="n">
        <v>17.5</v>
      </c>
      <c r="E14" s="3" t="n">
        <v>19</v>
      </c>
      <c r="F14" s="3" t="n">
        <v>19.5</v>
      </c>
      <c r="G14" s="3" t="n">
        <v>20</v>
      </c>
      <c r="H14" s="3" t="n">
        <v>20</v>
      </c>
      <c r="I14" s="3" t="n">
        <v>20</v>
      </c>
      <c r="J14" s="3" t="n">
        <v>20</v>
      </c>
      <c r="K14" s="3" t="n">
        <v>20</v>
      </c>
      <c r="L14" s="3" t="n">
        <v>20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3.1</v>
      </c>
      <c r="D17" s="3" t="n">
        <v>3.3</v>
      </c>
      <c r="E17" s="3" t="n">
        <v>3.4</v>
      </c>
      <c r="F17" s="3" t="n">
        <v>3.5</v>
      </c>
      <c r="G17" s="3" t="n">
        <v>3.5</v>
      </c>
      <c r="H17" s="3" t="n">
        <v>3.5</v>
      </c>
      <c r="I17" s="3" t="n">
        <v>3.5</v>
      </c>
      <c r="J17" s="3" t="n">
        <v>3.5</v>
      </c>
      <c r="K17" s="3" t="n">
        <v>3.5</v>
      </c>
      <c r="L17" s="3" t="n">
        <v>3.5</v>
      </c>
    </row>
    <row r="18" customFormat="false" ht="15" hidden="false" customHeight="false" outlineLevel="0" collapsed="false">
      <c r="A18" s="0" t="s">
        <v>102</v>
      </c>
      <c r="C18" s="3" t="n">
        <v>5</v>
      </c>
      <c r="D18" s="3" t="n">
        <v>5</v>
      </c>
      <c r="E18" s="3" t="n">
        <v>5</v>
      </c>
      <c r="F18" s="3" t="n">
        <v>5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103</v>
      </c>
      <c r="C19" s="3" t="n">
        <v>18</v>
      </c>
      <c r="D19" s="3" t="n">
        <v>19</v>
      </c>
      <c r="E19" s="3" t="n">
        <v>19</v>
      </c>
      <c r="F19" s="3" t="n">
        <v>19</v>
      </c>
      <c r="G19" s="3" t="n">
        <v>19</v>
      </c>
      <c r="H19" s="3" t="n">
        <v>19</v>
      </c>
      <c r="I19" s="3" t="n">
        <v>19</v>
      </c>
      <c r="J19" s="3" t="n">
        <v>19</v>
      </c>
      <c r="K19" s="3" t="n">
        <v>19</v>
      </c>
      <c r="L19" s="3" t="n">
        <v>19</v>
      </c>
    </row>
    <row r="20" customFormat="false" ht="15" hidden="false" customHeight="false" outlineLevel="0" collapsed="false">
      <c r="A20" s="0" t="s">
        <v>104</v>
      </c>
      <c r="B20" s="3" t="n">
        <v>9.5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10</v>
      </c>
    </row>
    <row r="23" customFormat="false" ht="15" hidden="false" customHeight="false" outlineLevel="0" collapsed="false">
      <c r="A23" s="0" t="s">
        <v>107</v>
      </c>
      <c r="B23" s="3" t="n">
        <v>-15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1</v>
      </c>
      <c r="D27" s="3" t="n">
        <v>6</v>
      </c>
      <c r="E27" s="3" t="n">
        <v>6</v>
      </c>
      <c r="F27" s="3" t="n">
        <v>5.5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21.5</v>
      </c>
      <c r="D28" s="3" t="n">
        <v>22</v>
      </c>
      <c r="E28" s="3" t="n">
        <v>22.5</v>
      </c>
      <c r="F28" s="3" t="n">
        <v>23</v>
      </c>
      <c r="G28" s="3" t="n">
        <v>23</v>
      </c>
      <c r="H28" s="3" t="n">
        <v>23</v>
      </c>
      <c r="I28" s="3" t="n">
        <v>23</v>
      </c>
      <c r="J28" s="3" t="n">
        <v>23</v>
      </c>
      <c r="K28" s="3" t="n">
        <v>23</v>
      </c>
      <c r="L28" s="3" t="n">
        <v>23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3.1</v>
      </c>
      <c r="D31" s="3" t="n">
        <v>3.2</v>
      </c>
      <c r="E31" s="3" t="n">
        <v>3.3</v>
      </c>
      <c r="F31" s="3" t="n">
        <v>3.4</v>
      </c>
      <c r="G31" s="3" t="n">
        <v>3.5</v>
      </c>
      <c r="H31" s="3" t="n">
        <v>3.5</v>
      </c>
      <c r="I31" s="3" t="n">
        <v>3.6</v>
      </c>
      <c r="J31" s="3" t="n">
        <v>3.6</v>
      </c>
      <c r="K31" s="3" t="n">
        <v>3.6</v>
      </c>
      <c r="L31" s="3" t="n">
        <v>3.6</v>
      </c>
    </row>
    <row r="32" customFormat="false" ht="15" hidden="false" customHeight="false" outlineLevel="0" collapsed="false">
      <c r="A32" s="0" t="s">
        <v>102</v>
      </c>
      <c r="C32" s="3" t="n">
        <v>5.5</v>
      </c>
      <c r="D32" s="3" t="n">
        <v>6</v>
      </c>
      <c r="E32" s="3" t="n">
        <v>6</v>
      </c>
      <c r="F32" s="3" t="n">
        <v>5.5</v>
      </c>
      <c r="G32" s="3" t="n">
        <v>5.5</v>
      </c>
      <c r="H32" s="3" t="n">
        <v>5</v>
      </c>
      <c r="I32" s="3" t="n">
        <v>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103</v>
      </c>
      <c r="C33" s="3" t="n">
        <v>18</v>
      </c>
      <c r="D33" s="3" t="n">
        <v>18</v>
      </c>
      <c r="E33" s="3" t="n">
        <v>18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104</v>
      </c>
      <c r="B34" s="3" t="n">
        <v>9.5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-15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3</v>
      </c>
      <c r="D41" s="3" t="n">
        <v>9</v>
      </c>
      <c r="E41" s="3" t="n">
        <v>8</v>
      </c>
      <c r="F41" s="3" t="n">
        <v>7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22</v>
      </c>
      <c r="D42" s="3" t="n">
        <v>23</v>
      </c>
      <c r="E42" s="3" t="n">
        <v>23.5</v>
      </c>
      <c r="F42" s="3" t="n">
        <v>24</v>
      </c>
      <c r="G42" s="3" t="n">
        <v>24.5</v>
      </c>
      <c r="H42" s="3" t="n">
        <v>24.5</v>
      </c>
      <c r="I42" s="3" t="n">
        <v>24.5</v>
      </c>
      <c r="J42" s="3" t="n">
        <v>24.5</v>
      </c>
      <c r="K42" s="3" t="n">
        <v>24.5</v>
      </c>
      <c r="L42" s="3" t="n">
        <v>24.5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3.1</v>
      </c>
      <c r="D45" s="3" t="n">
        <v>3.2</v>
      </c>
      <c r="E45" s="3" t="n">
        <v>3.3</v>
      </c>
      <c r="F45" s="3" t="n">
        <v>3.4</v>
      </c>
      <c r="G45" s="3" t="n">
        <v>3.5</v>
      </c>
      <c r="H45" s="3" t="n">
        <v>3.5</v>
      </c>
      <c r="I45" s="3" t="n">
        <v>3.6</v>
      </c>
      <c r="J45" s="3" t="n">
        <v>3.6</v>
      </c>
      <c r="K45" s="3" t="n">
        <v>3.6</v>
      </c>
      <c r="L45" s="3" t="n">
        <v>3.6</v>
      </c>
    </row>
    <row r="46" customFormat="false" ht="15" hidden="false" customHeight="false" outlineLevel="0" collapsed="false">
      <c r="A46" s="0" t="s">
        <v>102</v>
      </c>
      <c r="C46" s="3" t="n">
        <v>6</v>
      </c>
      <c r="D46" s="3" t="n">
        <v>6.5</v>
      </c>
      <c r="E46" s="3" t="n">
        <v>6.5</v>
      </c>
      <c r="F46" s="3" t="n">
        <v>6</v>
      </c>
      <c r="G46" s="3" t="n">
        <v>5.5</v>
      </c>
      <c r="H46" s="3" t="n">
        <v>5.5</v>
      </c>
      <c r="I46" s="3" t="n">
        <v>5</v>
      </c>
      <c r="J46" s="3" t="n">
        <v>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103</v>
      </c>
      <c r="C47" s="3" t="n">
        <v>18</v>
      </c>
      <c r="D47" s="3" t="n">
        <v>18</v>
      </c>
      <c r="E47" s="3" t="n">
        <v>18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104</v>
      </c>
      <c r="B48" s="3" t="n">
        <v>9.5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13</v>
      </c>
    </row>
    <row r="51" customFormat="false" ht="15" hidden="false" customHeight="false" outlineLevel="0" collapsed="false">
      <c r="A51" s="0" t="s">
        <v>107</v>
      </c>
      <c r="B51" s="3" t="n">
        <v>-15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-2</v>
      </c>
      <c r="D5" s="4" t="n">
        <f aca="false">Assumptions!D13</f>
        <v>-8</v>
      </c>
      <c r="E5" s="4" t="n">
        <f aca="false">Assumptions!E13</f>
        <v>3</v>
      </c>
      <c r="F5" s="4" t="n">
        <f aca="false">Assumptions!F13</f>
        <v>5</v>
      </c>
      <c r="G5" s="4" t="n">
        <f aca="false">Assumptions!G13</f>
        <v>4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17733.166</v>
      </c>
      <c r="C6" s="0" t="n">
        <f aca="false">B6*(1+C5/100)</f>
        <v>17378.50268</v>
      </c>
      <c r="D6" s="0" t="n">
        <f aca="false">C6*(1+D5/100)</f>
        <v>15988.2224656</v>
      </c>
      <c r="E6" s="0" t="n">
        <f aca="false">D6*(1+E5/100)</f>
        <v>16467.869139568</v>
      </c>
      <c r="F6" s="0" t="n">
        <f aca="false">E6*(1+F5/100)</f>
        <v>17291.2625965464</v>
      </c>
      <c r="G6" s="0" t="n">
        <f aca="false">F6*(1+G5/100)</f>
        <v>17982.9131004083</v>
      </c>
      <c r="H6" s="0" t="n">
        <f aca="false">G6*(1+H5/100)</f>
        <v>18522.4004934205</v>
      </c>
      <c r="I6" s="0" t="n">
        <f aca="false">H6*(1+I5/100)</f>
        <v>18985.460505756</v>
      </c>
      <c r="J6" s="0" t="n">
        <f aca="false">I6*(1+J5/100)</f>
        <v>19365.1697158711</v>
      </c>
      <c r="K6" s="0" t="n">
        <f aca="false">J6*(1+K5/100)</f>
        <v>19752.4731101886</v>
      </c>
      <c r="L6" s="0" t="n">
        <f aca="false">K6*(1+L5/100)</f>
        <v>20147.5225723923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20.5</v>
      </c>
      <c r="D7" s="4" t="n">
        <f aca="false">Assumptions!D14</f>
        <v>17.5</v>
      </c>
      <c r="E7" s="4" t="n">
        <f aca="false">Assumptions!E14</f>
        <v>19</v>
      </c>
      <c r="F7" s="4" t="n">
        <f aca="false">Assumptions!F14</f>
        <v>19.5</v>
      </c>
      <c r="G7" s="4" t="n">
        <f aca="false">Assumptions!G14</f>
        <v>20</v>
      </c>
      <c r="H7" s="4" t="n">
        <f aca="false">Assumptions!H14</f>
        <v>20</v>
      </c>
      <c r="I7" s="4" t="n">
        <f aca="false">Assumptions!I14</f>
        <v>20</v>
      </c>
      <c r="J7" s="4" t="n">
        <f aca="false">Assumptions!J14</f>
        <v>20</v>
      </c>
      <c r="K7" s="4" t="n">
        <f aca="false">Assumptions!K14</f>
        <v>20</v>
      </c>
      <c r="L7" s="4" t="n">
        <f aca="false">Assumptions!L14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3562.5930494</v>
      </c>
      <c r="D8" s="0" t="n">
        <f aca="false">D6*D7/100</f>
        <v>2797.93893148</v>
      </c>
      <c r="E8" s="0" t="n">
        <f aca="false">E6*E7/100</f>
        <v>3128.89513651792</v>
      </c>
      <c r="F8" s="0" t="n">
        <f aca="false">F6*F7/100</f>
        <v>3371.79620632655</v>
      </c>
      <c r="G8" s="0" t="n">
        <f aca="false">G6*G7/100</f>
        <v>3596.58262008165</v>
      </c>
      <c r="H8" s="0" t="n">
        <f aca="false">H6*H7/100</f>
        <v>3704.4800986841</v>
      </c>
      <c r="I8" s="0" t="n">
        <f aca="false">I6*I7/100</f>
        <v>3797.0921011512</v>
      </c>
      <c r="J8" s="0" t="n">
        <f aca="false">J6*J7/100</f>
        <v>3873.03394317423</v>
      </c>
      <c r="K8" s="0" t="n">
        <f aca="false">K6*K7/100</f>
        <v>3950.49462203771</v>
      </c>
      <c r="L8" s="0" t="n">
        <f aca="false">L6*L7/100</f>
        <v>4029.50451447847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3562.5930494</v>
      </c>
      <c r="D11" s="0" t="n">
        <f aca="false">D8+D10+D24</f>
        <v>2797.93893148</v>
      </c>
      <c r="E11" s="0" t="n">
        <f aca="false">E8+E10+E24</f>
        <v>3128.89513651792</v>
      </c>
      <c r="F11" s="0" t="n">
        <f aca="false">F8+F10+F24</f>
        <v>3371.79620632655</v>
      </c>
      <c r="G11" s="0" t="n">
        <f aca="false">G8+G10+G24</f>
        <v>3596.58262008165</v>
      </c>
      <c r="H11" s="0" t="n">
        <f aca="false">H8+H10+H24</f>
        <v>3704.4800986841</v>
      </c>
      <c r="I11" s="0" t="n">
        <f aca="false">I8+I10+I24</f>
        <v>3797.0921011512</v>
      </c>
      <c r="J11" s="0" t="n">
        <f aca="false">J8+J10+J24</f>
        <v>3873.03394317423</v>
      </c>
      <c r="K11" s="0" t="n">
        <f aca="false">K8+K10+K24</f>
        <v>3950.49462203771</v>
      </c>
      <c r="L11" s="0" t="n">
        <f aca="false">L8+L10+L24</f>
        <v>4029.50451447847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-538.73358308</v>
      </c>
      <c r="D12" s="4" t="n">
        <f aca="false">-D6*Assumptions!D17/100</f>
        <v>-527.6113413648</v>
      </c>
      <c r="E12" s="4" t="n">
        <f aca="false">-E6*Assumptions!E17/100</f>
        <v>-559.907550745312</v>
      </c>
      <c r="F12" s="4" t="n">
        <f aca="false">-F6*Assumptions!F17/100</f>
        <v>-605.194190879124</v>
      </c>
      <c r="G12" s="4" t="n">
        <f aca="false">-G6*Assumptions!G17/100</f>
        <v>-629.401958514289</v>
      </c>
      <c r="H12" s="4" t="n">
        <f aca="false">-H6*Assumptions!H17/100</f>
        <v>-648.284017269718</v>
      </c>
      <c r="I12" s="4" t="n">
        <f aca="false">-I6*Assumptions!I17/100</f>
        <v>-664.491117701461</v>
      </c>
      <c r="J12" s="4" t="n">
        <f aca="false">-J6*Assumptions!J17/100</f>
        <v>-677.78094005549</v>
      </c>
      <c r="K12" s="4" t="n">
        <f aca="false">-K6*Assumptions!K17/100</f>
        <v>-691.3365588566</v>
      </c>
      <c r="L12" s="4" t="n">
        <f aca="false">-L6*Assumptions!L17/100</f>
        <v>-705.163290033732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3023.85946632</v>
      </c>
      <c r="D13" s="0" t="n">
        <f aca="false">D11+D12</f>
        <v>2270.3275901152</v>
      </c>
      <c r="E13" s="0" t="n">
        <f aca="false">E11+E12</f>
        <v>2568.98758577261</v>
      </c>
      <c r="F13" s="0" t="n">
        <f aca="false">F11+F12</f>
        <v>2766.60201544742</v>
      </c>
      <c r="G13" s="0" t="n">
        <f aca="false">G11+G12</f>
        <v>2967.18066156736</v>
      </c>
      <c r="H13" s="0" t="n">
        <f aca="false">H11+H12</f>
        <v>3056.19608141438</v>
      </c>
      <c r="I13" s="0" t="n">
        <f aca="false">I11+I12</f>
        <v>3132.60098344974</v>
      </c>
      <c r="J13" s="0" t="n">
        <f aca="false">J11+J12</f>
        <v>3195.25300311874</v>
      </c>
      <c r="K13" s="0" t="n">
        <f aca="false">K11+K12</f>
        <v>3259.15806318111</v>
      </c>
      <c r="L13" s="0" t="n">
        <f aca="false">L11+L12</f>
        <v>3324.34122444474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18</v>
      </c>
      <c r="D14" s="4" t="n">
        <f aca="false">Assumptions!D19</f>
        <v>19</v>
      </c>
      <c r="E14" s="4" t="n">
        <f aca="false">Assumptions!E19</f>
        <v>19</v>
      </c>
      <c r="F14" s="4" t="n">
        <f aca="false">Assumptions!F19</f>
        <v>19</v>
      </c>
      <c r="G14" s="4" t="n">
        <f aca="false">Assumptions!G19</f>
        <v>19</v>
      </c>
      <c r="H14" s="4" t="n">
        <f aca="false">Assumptions!H19</f>
        <v>19</v>
      </c>
      <c r="I14" s="4" t="n">
        <f aca="false">Assumptions!I19</f>
        <v>19</v>
      </c>
      <c r="J14" s="4" t="n">
        <f aca="false">Assumptions!J19</f>
        <v>19</v>
      </c>
      <c r="K14" s="4" t="n">
        <f aca="false">Assumptions!K19</f>
        <v>19</v>
      </c>
      <c r="L14" s="4" t="n">
        <f aca="false">Assumptions!L19</f>
        <v>19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2479.5647623824</v>
      </c>
      <c r="D15" s="0" t="n">
        <f aca="false">D13-MAX(0,D13)*D14/100</f>
        <v>1838.96534799331</v>
      </c>
      <c r="E15" s="0" t="n">
        <f aca="false">E13-MAX(0,E13)*E14/100</f>
        <v>2080.87994447581</v>
      </c>
      <c r="F15" s="0" t="n">
        <f aca="false">F13-MAX(0,F13)*F14/100</f>
        <v>2240.94763251241</v>
      </c>
      <c r="G15" s="0" t="n">
        <f aca="false">G13-MAX(0,G13)*G14/100</f>
        <v>2403.41633586956</v>
      </c>
      <c r="H15" s="0" t="n">
        <f aca="false">H13-MAX(0,H13)*H14/100</f>
        <v>2475.51882594565</v>
      </c>
      <c r="I15" s="0" t="n">
        <f aca="false">I13-MAX(0,I13)*I14/100</f>
        <v>2537.40679659429</v>
      </c>
      <c r="J15" s="0" t="n">
        <f aca="false">J13-MAX(0,J13)*J14/100</f>
        <v>2588.15493252618</v>
      </c>
      <c r="K15" s="0" t="n">
        <f aca="false">K13-MAX(0,K13)*K14/100</f>
        <v>2639.9180311767</v>
      </c>
      <c r="L15" s="0" t="n">
        <f aca="false">L13-MAX(0,L13)*L14/100</f>
        <v>2692.71639180024</v>
      </c>
    </row>
    <row r="16" customFormat="false" ht="15" hidden="false" customHeight="false" outlineLevel="0" collapsed="false">
      <c r="A16" s="0" t="s">
        <v>119</v>
      </c>
      <c r="C16" s="0" t="n">
        <f aca="false">-C12</f>
        <v>538.73358308</v>
      </c>
      <c r="D16" s="0" t="n">
        <f aca="false">-D12</f>
        <v>527.6113413648</v>
      </c>
      <c r="E16" s="0" t="n">
        <f aca="false">-E12</f>
        <v>559.907550745312</v>
      </c>
      <c r="F16" s="0" t="n">
        <f aca="false">-F12</f>
        <v>605.194190879124</v>
      </c>
      <c r="G16" s="0" t="n">
        <f aca="false">-G12</f>
        <v>629.401958514289</v>
      </c>
      <c r="H16" s="0" t="n">
        <f aca="false">-H12</f>
        <v>648.284017269718</v>
      </c>
      <c r="I16" s="0" t="n">
        <f aca="false">-I12</f>
        <v>664.491117701461</v>
      </c>
      <c r="J16" s="0" t="n">
        <f aca="false">-J12</f>
        <v>677.78094005549</v>
      </c>
      <c r="K16" s="0" t="n">
        <f aca="false">-K12</f>
        <v>691.3365588566</v>
      </c>
      <c r="L16" s="0" t="n">
        <f aca="false">-L12</f>
        <v>705.163290033732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-868.925134</v>
      </c>
      <c r="D17" s="4" t="n">
        <f aca="false">-D6*Assumptions!D18/100</f>
        <v>-799.41112328</v>
      </c>
      <c r="E17" s="4" t="n">
        <f aca="false">-E6*Assumptions!E18/100</f>
        <v>-823.3934569784</v>
      </c>
      <c r="F17" s="4" t="n">
        <f aca="false">-F6*Assumptions!F18/100</f>
        <v>-864.56312982732</v>
      </c>
      <c r="G17" s="4" t="n">
        <f aca="false">-G6*Assumptions!G18/100</f>
        <v>-809.231089518372</v>
      </c>
      <c r="H17" s="4" t="n">
        <f aca="false">-H6*Assumptions!H18/100</f>
        <v>-833.508022203923</v>
      </c>
      <c r="I17" s="4" t="n">
        <f aca="false">-I6*Assumptions!I18/100</f>
        <v>-854.345722759021</v>
      </c>
      <c r="J17" s="4" t="n">
        <f aca="false">-J6*Assumptions!J18/100</f>
        <v>-871.432637214201</v>
      </c>
      <c r="K17" s="4" t="n">
        <f aca="false">-K6*Assumptions!K18/100</f>
        <v>-888.861289958485</v>
      </c>
      <c r="L17" s="4" t="n">
        <f aca="false">-L6*Assumptions!L18/100</f>
        <v>-906.638515757655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53.199498</v>
      </c>
      <c r="D18" s="4" t="n">
        <f aca="false">(D6-C6)*Assumptions!$B$23/100</f>
        <v>208.54203216</v>
      </c>
      <c r="E18" s="4" t="n">
        <f aca="false">(E6-D6)*Assumptions!$B$23/100</f>
        <v>-71.9470010952003</v>
      </c>
      <c r="F18" s="4" t="n">
        <f aca="false">(F6-E6)*Assumptions!$B$23/100</f>
        <v>-123.50901854676</v>
      </c>
      <c r="G18" s="4" t="n">
        <f aca="false">(G6-F6)*Assumptions!$B$23/100</f>
        <v>-103.747575579278</v>
      </c>
      <c r="H18" s="4" t="n">
        <f aca="false">(H6-G6)*Assumptions!$B$23/100</f>
        <v>-80.9231089518373</v>
      </c>
      <c r="I18" s="4" t="n">
        <f aca="false">(I6-H6)*Assumptions!$B$23/100</f>
        <v>-69.4590018503266</v>
      </c>
      <c r="J18" s="4" t="n">
        <f aca="false">(J6-I6)*Assumptions!$B$23/100</f>
        <v>-56.9563815172682</v>
      </c>
      <c r="K18" s="4" t="n">
        <f aca="false">(K6-J6)*Assumptions!$B$23/100</f>
        <v>-58.0955091476135</v>
      </c>
      <c r="L18" s="4" t="n">
        <f aca="false">(L6-K6)*Assumptions!$B$23/100</f>
        <v>-59.257419330566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2202.5727094624</v>
      </c>
      <c r="D19" s="0" t="n">
        <f aca="false">D15+D16+D17+D18</f>
        <v>1775.70759823811</v>
      </c>
      <c r="E19" s="0" t="n">
        <f aca="false">E15+E16+E17+E18</f>
        <v>1745.44703714753</v>
      </c>
      <c r="F19" s="0" t="n">
        <f aca="false">F15+F16+F17+F18</f>
        <v>1858.06967501746</v>
      </c>
      <c r="G19" s="0" t="n">
        <f aca="false">G15+G16+G17+G18</f>
        <v>2119.8396292862</v>
      </c>
      <c r="H19" s="0" t="n">
        <f aca="false">H15+H16+H17+H18</f>
        <v>2209.37171205961</v>
      </c>
      <c r="I19" s="0" t="n">
        <f aca="false">I15+I16+I17+I18</f>
        <v>2278.09318968641</v>
      </c>
      <c r="J19" s="0" t="n">
        <f aca="false">J15+J16+J17+J18</f>
        <v>2337.5468538502</v>
      </c>
      <c r="K19" s="0" t="n">
        <f aca="false">K15+K16+K17+K18</f>
        <v>2384.2977909272</v>
      </c>
      <c r="L19" s="0" t="n">
        <f aca="false">L15+L16+L17+L18</f>
        <v>2431.98374674575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2011.48192644968</v>
      </c>
      <c r="D21" s="0" t="n">
        <f aca="false">D19*D20</f>
        <v>1480.95961154948</v>
      </c>
      <c r="E21" s="0" t="n">
        <f aca="false">E19*E20</f>
        <v>1329.42645819631</v>
      </c>
      <c r="F21" s="0" t="n">
        <f aca="false">F19*F20</f>
        <v>1292.42550144364</v>
      </c>
      <c r="G21" s="0" t="n">
        <f aca="false">G19*G20</f>
        <v>1346.58077848344</v>
      </c>
      <c r="H21" s="0" t="n">
        <f aca="false">H19*H20</f>
        <v>1281.69318209262</v>
      </c>
      <c r="I21" s="0" t="n">
        <f aca="false">I19*I20</f>
        <v>1206.90379114614</v>
      </c>
      <c r="J21" s="0" t="n">
        <f aca="false">J19*J20</f>
        <v>1130.9603287513</v>
      </c>
      <c r="K21" s="0" t="n">
        <f aca="false">K19*K20</f>
        <v>1053.49729253546</v>
      </c>
      <c r="L21" s="0" t="n">
        <f aca="false">L19*L20</f>
        <v>981.339943731657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13115.2688143797</v>
      </c>
    </row>
    <row r="31" customFormat="false" ht="15" hidden="false" customHeight="false" outlineLevel="0" collapsed="false">
      <c r="A31" s="0" t="s">
        <v>128</v>
      </c>
      <c r="B31" s="0" t="n">
        <f aca="false">L19</f>
        <v>2431.98374674575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30855.7937868367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24319.8374674575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24319.8374674575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9813.39943731657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22928.6682516963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35309.4682516963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25.9378575051935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0.461287746771462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25.9378575051935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18284.9148366439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20.0374102832194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1</v>
      </c>
      <c r="D5" s="4" t="n">
        <f aca="false">Assumptions!D27</f>
        <v>6</v>
      </c>
      <c r="E5" s="4" t="n">
        <f aca="false">Assumptions!E27</f>
        <v>6</v>
      </c>
      <c r="F5" s="4" t="n">
        <f aca="false">Assumptions!F27</f>
        <v>5.5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17733.166</v>
      </c>
      <c r="C6" s="0" t="n">
        <f aca="false">B6*(1+C5/100)</f>
        <v>17910.49766</v>
      </c>
      <c r="D6" s="0" t="n">
        <f aca="false">C6*(1+D5/100)</f>
        <v>18985.1275196</v>
      </c>
      <c r="E6" s="0" t="n">
        <f aca="false">D6*(1+E5/100)</f>
        <v>20124.235170776</v>
      </c>
      <c r="F6" s="0" t="n">
        <f aca="false">E6*(1+F5/100)</f>
        <v>21231.0681051687</v>
      </c>
      <c r="G6" s="0" t="n">
        <f aca="false">F6*(1+G5/100)</f>
        <v>22292.6215104271</v>
      </c>
      <c r="H6" s="0" t="n">
        <f aca="false">G6*(1+H5/100)</f>
        <v>23295.7894783963</v>
      </c>
      <c r="I6" s="0" t="n">
        <f aca="false">H6*(1+I5/100)</f>
        <v>24227.6210575322</v>
      </c>
      <c r="J6" s="0" t="n">
        <f aca="false">I6*(1+J5/100)</f>
        <v>25075.5877945458</v>
      </c>
      <c r="K6" s="0" t="n">
        <f aca="false">J6*(1+K5/100)</f>
        <v>25827.8554283822</v>
      </c>
      <c r="L6" s="0" t="n">
        <f aca="false">K6*(1+L5/100)</f>
        <v>26602.6910912337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21.5</v>
      </c>
      <c r="D7" s="4" t="n">
        <f aca="false">Assumptions!D28</f>
        <v>22</v>
      </c>
      <c r="E7" s="4" t="n">
        <f aca="false">Assumptions!E28</f>
        <v>22.5</v>
      </c>
      <c r="F7" s="4" t="n">
        <f aca="false">Assumptions!F28</f>
        <v>23</v>
      </c>
      <c r="G7" s="4" t="n">
        <f aca="false">Assumptions!G28</f>
        <v>23</v>
      </c>
      <c r="H7" s="4" t="n">
        <f aca="false">Assumptions!H28</f>
        <v>23</v>
      </c>
      <c r="I7" s="4" t="n">
        <f aca="false">Assumptions!I28</f>
        <v>23</v>
      </c>
      <c r="J7" s="4" t="n">
        <f aca="false">Assumptions!J28</f>
        <v>23</v>
      </c>
      <c r="K7" s="4" t="n">
        <f aca="false">Assumptions!K28</f>
        <v>23</v>
      </c>
      <c r="L7" s="4" t="n">
        <f aca="false">Assumptions!L28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3850.7569969</v>
      </c>
      <c r="D8" s="0" t="n">
        <f aca="false">D6*D7/100</f>
        <v>4176.728054312</v>
      </c>
      <c r="E8" s="0" t="n">
        <f aca="false">E6*E7/100</f>
        <v>4527.9529134246</v>
      </c>
      <c r="F8" s="0" t="n">
        <f aca="false">F6*F7/100</f>
        <v>4883.1456641888</v>
      </c>
      <c r="G8" s="0" t="n">
        <f aca="false">G6*G7/100</f>
        <v>5127.30294739824</v>
      </c>
      <c r="H8" s="0" t="n">
        <f aca="false">H6*H7/100</f>
        <v>5358.03158003116</v>
      </c>
      <c r="I8" s="0" t="n">
        <f aca="false">I6*I7/100</f>
        <v>5572.3528432324</v>
      </c>
      <c r="J8" s="0" t="n">
        <f aca="false">J6*J7/100</f>
        <v>5767.38519274554</v>
      </c>
      <c r="K8" s="0" t="n">
        <f aca="false">K6*K7/100</f>
        <v>5940.4067485279</v>
      </c>
      <c r="L8" s="0" t="n">
        <f aca="false">L6*L7/100</f>
        <v>6118.61895098374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3850.7569969</v>
      </c>
      <c r="D11" s="0" t="n">
        <f aca="false">D8+D10+D24</f>
        <v>4176.728054312</v>
      </c>
      <c r="E11" s="0" t="n">
        <f aca="false">E8+E10+E24</f>
        <v>4527.9529134246</v>
      </c>
      <c r="F11" s="0" t="n">
        <f aca="false">F8+F10+F24</f>
        <v>4883.1456641888</v>
      </c>
      <c r="G11" s="0" t="n">
        <f aca="false">G8+G10+G24</f>
        <v>5127.30294739824</v>
      </c>
      <c r="H11" s="0" t="n">
        <f aca="false">H8+H10+H24</f>
        <v>5358.03158003116</v>
      </c>
      <c r="I11" s="0" t="n">
        <f aca="false">I8+I10+I24</f>
        <v>5572.3528432324</v>
      </c>
      <c r="J11" s="0" t="n">
        <f aca="false">J8+J10+J24</f>
        <v>5767.38519274554</v>
      </c>
      <c r="K11" s="0" t="n">
        <f aca="false">K8+K10+K24</f>
        <v>5940.4067485279</v>
      </c>
      <c r="L11" s="0" t="n">
        <f aca="false">L8+L10+L24</f>
        <v>6118.61895098374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-555.22542746</v>
      </c>
      <c r="D12" s="4" t="n">
        <f aca="false">-D6*Assumptions!D31/100</f>
        <v>-607.5240806272</v>
      </c>
      <c r="E12" s="4" t="n">
        <f aca="false">-E6*Assumptions!E31/100</f>
        <v>-664.099760635608</v>
      </c>
      <c r="F12" s="4" t="n">
        <f aca="false">-F6*Assumptions!F31/100</f>
        <v>-721.856315575735</v>
      </c>
      <c r="G12" s="4" t="n">
        <f aca="false">-G6*Assumptions!G31/100</f>
        <v>-780.241752864949</v>
      </c>
      <c r="H12" s="4" t="n">
        <f aca="false">-H6*Assumptions!H31/100</f>
        <v>-815.352631743872</v>
      </c>
      <c r="I12" s="4" t="n">
        <f aca="false">-I6*Assumptions!I31/100</f>
        <v>-872.194358071159</v>
      </c>
      <c r="J12" s="4" t="n">
        <f aca="false">-J6*Assumptions!J31/100</f>
        <v>-902.721160603649</v>
      </c>
      <c r="K12" s="4" t="n">
        <f aca="false">-K6*Assumptions!K31/100</f>
        <v>-929.802795421759</v>
      </c>
      <c r="L12" s="4" t="n">
        <f aca="false">-L6*Assumptions!L31/100</f>
        <v>-957.696879284411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3295.53156944</v>
      </c>
      <c r="D13" s="0" t="n">
        <f aca="false">D11+D12</f>
        <v>3569.2039736848</v>
      </c>
      <c r="E13" s="0" t="n">
        <f aca="false">E11+E12</f>
        <v>3863.85315278899</v>
      </c>
      <c r="F13" s="0" t="n">
        <f aca="false">F11+F12</f>
        <v>4161.28934861306</v>
      </c>
      <c r="G13" s="0" t="n">
        <f aca="false">G11+G12</f>
        <v>4347.06119453329</v>
      </c>
      <c r="H13" s="0" t="n">
        <f aca="false">H11+H12</f>
        <v>4542.67894828728</v>
      </c>
      <c r="I13" s="0" t="n">
        <f aca="false">I11+I12</f>
        <v>4700.15848516124</v>
      </c>
      <c r="J13" s="0" t="n">
        <f aca="false">J11+J12</f>
        <v>4864.66403214189</v>
      </c>
      <c r="K13" s="0" t="n">
        <f aca="false">K11+K12</f>
        <v>5010.60395310614</v>
      </c>
      <c r="L13" s="0" t="n">
        <f aca="false">L11+L12</f>
        <v>5160.92207169933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18</v>
      </c>
      <c r="D14" s="4" t="n">
        <f aca="false">Assumptions!D33</f>
        <v>18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2702.3358869408</v>
      </c>
      <c r="D15" s="0" t="n">
        <f aca="false">D13-MAX(0,D13)*D14/100</f>
        <v>2926.74725842154</v>
      </c>
      <c r="E15" s="0" t="n">
        <f aca="false">E13-MAX(0,E13)*E14/100</f>
        <v>3168.35958528697</v>
      </c>
      <c r="F15" s="0" t="n">
        <f aca="false">F13-MAX(0,F13)*F14/100</f>
        <v>3412.25726586271</v>
      </c>
      <c r="G15" s="0" t="n">
        <f aca="false">G13-MAX(0,G13)*G14/100</f>
        <v>3564.5901795173</v>
      </c>
      <c r="H15" s="0" t="n">
        <f aca="false">H13-MAX(0,H13)*H14/100</f>
        <v>3724.99673759557</v>
      </c>
      <c r="I15" s="0" t="n">
        <f aca="false">I13-MAX(0,I13)*I14/100</f>
        <v>3854.12995783222</v>
      </c>
      <c r="J15" s="0" t="n">
        <f aca="false">J13-MAX(0,J13)*J14/100</f>
        <v>3989.02450635635</v>
      </c>
      <c r="K15" s="0" t="n">
        <f aca="false">K13-MAX(0,K13)*K14/100</f>
        <v>4108.69524154704</v>
      </c>
      <c r="L15" s="0" t="n">
        <f aca="false">L13-MAX(0,L13)*L14/100</f>
        <v>4231.95609879345</v>
      </c>
    </row>
    <row r="16" customFormat="false" ht="15" hidden="false" customHeight="false" outlineLevel="0" collapsed="false">
      <c r="A16" s="0" t="s">
        <v>119</v>
      </c>
      <c r="C16" s="0" t="n">
        <f aca="false">-C12</f>
        <v>555.22542746</v>
      </c>
      <c r="D16" s="0" t="n">
        <f aca="false">-D12</f>
        <v>607.5240806272</v>
      </c>
      <c r="E16" s="0" t="n">
        <f aca="false">-E12</f>
        <v>664.099760635608</v>
      </c>
      <c r="F16" s="0" t="n">
        <f aca="false">-F12</f>
        <v>721.856315575735</v>
      </c>
      <c r="G16" s="0" t="n">
        <f aca="false">-G12</f>
        <v>780.241752864949</v>
      </c>
      <c r="H16" s="0" t="n">
        <f aca="false">-H12</f>
        <v>815.352631743872</v>
      </c>
      <c r="I16" s="0" t="n">
        <f aca="false">-I12</f>
        <v>872.194358071159</v>
      </c>
      <c r="J16" s="0" t="n">
        <f aca="false">-J12</f>
        <v>902.721160603649</v>
      </c>
      <c r="K16" s="0" t="n">
        <f aca="false">-K12</f>
        <v>929.802795421759</v>
      </c>
      <c r="L16" s="0" t="n">
        <f aca="false">-L12</f>
        <v>957.696879284411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-985.0773713</v>
      </c>
      <c r="D17" s="4" t="n">
        <f aca="false">-D6*Assumptions!D32/100</f>
        <v>-1139.107651176</v>
      </c>
      <c r="E17" s="4" t="n">
        <f aca="false">-E6*Assumptions!E32/100</f>
        <v>-1207.45411024656</v>
      </c>
      <c r="F17" s="4" t="n">
        <f aca="false">-F6*Assumptions!F32/100</f>
        <v>-1167.70874578428</v>
      </c>
      <c r="G17" s="4" t="n">
        <f aca="false">-G6*Assumptions!G32/100</f>
        <v>-1226.09418307349</v>
      </c>
      <c r="H17" s="4" t="n">
        <f aca="false">-H6*Assumptions!H32/100</f>
        <v>-1164.78947391982</v>
      </c>
      <c r="I17" s="4" t="n">
        <f aca="false">-I6*Assumptions!I32/100</f>
        <v>-1211.38105287661</v>
      </c>
      <c r="J17" s="4" t="n">
        <f aca="false">-J6*Assumptions!J32/100</f>
        <v>-1253.77938972729</v>
      </c>
      <c r="K17" s="4" t="n">
        <f aca="false">-K6*Assumptions!K32/100</f>
        <v>-1291.39277141911</v>
      </c>
      <c r="L17" s="4" t="n">
        <f aca="false">-L6*Assumptions!L32/100</f>
        <v>-1330.13455456168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-26.599749</v>
      </c>
      <c r="D18" s="4" t="n">
        <f aca="false">(D6-C6)*Assumptions!$B$37/100</f>
        <v>-161.19447894</v>
      </c>
      <c r="E18" s="4" t="n">
        <f aca="false">(E6-D6)*Assumptions!$B$37/100</f>
        <v>-170.8661476764</v>
      </c>
      <c r="F18" s="4" t="n">
        <f aca="false">(F6-E6)*Assumptions!$B$37/100</f>
        <v>-166.024940158902</v>
      </c>
      <c r="G18" s="4" t="n">
        <f aca="false">(G6-F6)*Assumptions!$B$37/100</f>
        <v>-159.233010788765</v>
      </c>
      <c r="H18" s="4" t="n">
        <f aca="false">(H6-G6)*Assumptions!$B$37/100</f>
        <v>-150.475195195383</v>
      </c>
      <c r="I18" s="4" t="n">
        <f aca="false">(I6-H6)*Assumptions!$B$37/100</f>
        <v>-139.774736870378</v>
      </c>
      <c r="J18" s="4" t="n">
        <f aca="false">(J6-I6)*Assumptions!$B$37/100</f>
        <v>-127.195010552043</v>
      </c>
      <c r="K18" s="4" t="n">
        <f aca="false">(K6-J6)*Assumptions!$B$37/100</f>
        <v>-112.840145075456</v>
      </c>
      <c r="L18" s="4" t="n">
        <f aca="false">(L6-K6)*Assumptions!$B$37/100</f>
        <v>-116.22534942772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2245.8841941008</v>
      </c>
      <c r="D19" s="0" t="n">
        <f aca="false">D15+D16+D17+D18</f>
        <v>2233.96920893274</v>
      </c>
      <c r="E19" s="0" t="n">
        <f aca="false">E15+E16+E17+E18</f>
        <v>2454.13908799962</v>
      </c>
      <c r="F19" s="0" t="n">
        <f aca="false">F15+F16+F17+F18</f>
        <v>2800.37989549527</v>
      </c>
      <c r="G19" s="0" t="n">
        <f aca="false">G15+G16+G17+G18</f>
        <v>2959.50473851999</v>
      </c>
      <c r="H19" s="0" t="n">
        <f aca="false">H15+H16+H17+H18</f>
        <v>3225.08470022425</v>
      </c>
      <c r="I19" s="0" t="n">
        <f aca="false">I15+I16+I17+I18</f>
        <v>3375.16852615639</v>
      </c>
      <c r="J19" s="0" t="n">
        <f aca="false">J15+J16+J17+J18</f>
        <v>3510.77126668066</v>
      </c>
      <c r="K19" s="0" t="n">
        <f aca="false">K15+K16+K17+K18</f>
        <v>3634.26512047423</v>
      </c>
      <c r="L19" s="0" t="n">
        <f aca="false">L15+L16+L17+L18</f>
        <v>3743.29307408846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2051.03579369936</v>
      </c>
      <c r="D21" s="0" t="n">
        <f aca="false">D19*D20</f>
        <v>1863.15482073579</v>
      </c>
      <c r="E21" s="0" t="n">
        <f aca="false">E19*E20</f>
        <v>1869.20448815928</v>
      </c>
      <c r="F21" s="0" t="n">
        <f aca="false">F19*F20</f>
        <v>1947.8722672949</v>
      </c>
      <c r="G21" s="0" t="n">
        <f aca="false">G19*G20</f>
        <v>1879.95928544066</v>
      </c>
      <c r="H21" s="0" t="n">
        <f aca="false">H19*H20</f>
        <v>1870.92513649288</v>
      </c>
      <c r="I21" s="0" t="n">
        <f aca="false">I19*I20</f>
        <v>1788.11986639407</v>
      </c>
      <c r="J21" s="0" t="n">
        <f aca="false">J19*J20</f>
        <v>1698.59398514124</v>
      </c>
      <c r="K21" s="0" t="n">
        <f aca="false">K19*K20</f>
        <v>1605.79290025964</v>
      </c>
      <c r="L21" s="0" t="n">
        <f aca="false">L19*L20</f>
        <v>1510.4718605182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18085.130404136</v>
      </c>
    </row>
    <row r="31" customFormat="false" ht="15" hidden="false" customHeight="false" outlineLevel="0" collapsed="false">
      <c r="A31" s="0" t="s">
        <v>128</v>
      </c>
      <c r="B31" s="0" t="n">
        <f aca="false">L19</f>
        <v>3743.29307408846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54812.5057277238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44919.5168890615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44919.5168890615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18125.6623262184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36210.7927303544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48591.5927303544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35.6947263891401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1.01097050079662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35.6947263891401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30695.0032075254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25.0241510403139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3</v>
      </c>
      <c r="D5" s="4" t="n">
        <f aca="false">Assumptions!D41</f>
        <v>9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17733.166</v>
      </c>
      <c r="C6" s="0" t="n">
        <f aca="false">B6*(1+C5/100)</f>
        <v>18265.16098</v>
      </c>
      <c r="D6" s="0" t="n">
        <f aca="false">C6*(1+D5/100)</f>
        <v>19909.0254682</v>
      </c>
      <c r="E6" s="0" t="n">
        <f aca="false">D6*(1+E5/100)</f>
        <v>21501.747505656</v>
      </c>
      <c r="F6" s="0" t="n">
        <f aca="false">E6*(1+F5/100)</f>
        <v>23006.8698310519</v>
      </c>
      <c r="G6" s="0" t="n">
        <f aca="false">F6*(1+G5/100)</f>
        <v>24387.282020915</v>
      </c>
      <c r="H6" s="0" t="n">
        <f aca="false">G6*(1+H5/100)</f>
        <v>25606.6461219608</v>
      </c>
      <c r="I6" s="0" t="n">
        <f aca="false">H6*(1+I5/100)</f>
        <v>26758.945197449</v>
      </c>
      <c r="J6" s="0" t="n">
        <f aca="false">I6*(1+J5/100)</f>
        <v>27829.303005347</v>
      </c>
      <c r="K6" s="0" t="n">
        <f aca="false">J6*(1+K5/100)</f>
        <v>28803.3286105341</v>
      </c>
      <c r="L6" s="0" t="n">
        <f aca="false">K6*(1+L5/100)</f>
        <v>29667.4284688502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22</v>
      </c>
      <c r="D7" s="4" t="n">
        <f aca="false">Assumptions!D42</f>
        <v>23</v>
      </c>
      <c r="E7" s="4" t="n">
        <f aca="false">Assumptions!E42</f>
        <v>23.5</v>
      </c>
      <c r="F7" s="4" t="n">
        <f aca="false">Assumptions!F42</f>
        <v>24</v>
      </c>
      <c r="G7" s="4" t="n">
        <f aca="false">Assumptions!G42</f>
        <v>24.5</v>
      </c>
      <c r="H7" s="4" t="n">
        <f aca="false">Assumptions!H42</f>
        <v>24.5</v>
      </c>
      <c r="I7" s="4" t="n">
        <f aca="false">Assumptions!I42</f>
        <v>24.5</v>
      </c>
      <c r="J7" s="4" t="n">
        <f aca="false">Assumptions!J42</f>
        <v>24.5</v>
      </c>
      <c r="K7" s="4" t="n">
        <f aca="false">Assumptions!K42</f>
        <v>24.5</v>
      </c>
      <c r="L7" s="4" t="n">
        <f aca="false">Assumptions!L42</f>
        <v>24.5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4018.3354156</v>
      </c>
      <c r="D8" s="0" t="n">
        <f aca="false">D6*D7/100</f>
        <v>4579.075857686</v>
      </c>
      <c r="E8" s="0" t="n">
        <f aca="false">E6*E7/100</f>
        <v>5052.91066382916</v>
      </c>
      <c r="F8" s="0" t="n">
        <f aca="false">F6*F7/100</f>
        <v>5521.64875945246</v>
      </c>
      <c r="G8" s="0" t="n">
        <f aca="false">G6*G7/100</f>
        <v>5974.88409512419</v>
      </c>
      <c r="H8" s="0" t="n">
        <f aca="false">H6*H7/100</f>
        <v>6273.62829988039</v>
      </c>
      <c r="I8" s="0" t="n">
        <f aca="false">I6*I7/100</f>
        <v>6555.94157337501</v>
      </c>
      <c r="J8" s="0" t="n">
        <f aca="false">J6*J7/100</f>
        <v>6818.17923631001</v>
      </c>
      <c r="K8" s="0" t="n">
        <f aca="false">K6*K7/100</f>
        <v>7056.81550958086</v>
      </c>
      <c r="L8" s="0" t="n">
        <f aca="false">L6*L7/100</f>
        <v>7268.51997486829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4018.3354156</v>
      </c>
      <c r="D11" s="0" t="n">
        <f aca="false">D8+D10+D24</f>
        <v>4579.075857686</v>
      </c>
      <c r="E11" s="0" t="n">
        <f aca="false">E8+E10+E24</f>
        <v>5052.91066382916</v>
      </c>
      <c r="F11" s="0" t="n">
        <f aca="false">F8+F10+F24</f>
        <v>5521.64875945246</v>
      </c>
      <c r="G11" s="0" t="n">
        <f aca="false">G8+G10+G24</f>
        <v>5974.88409512419</v>
      </c>
      <c r="H11" s="0" t="n">
        <f aca="false">H8+H10+H24</f>
        <v>6273.62829988039</v>
      </c>
      <c r="I11" s="0" t="n">
        <f aca="false">I8+I10+I24</f>
        <v>6555.94157337501</v>
      </c>
      <c r="J11" s="0" t="n">
        <f aca="false">J8+J10+J24</f>
        <v>6818.17923631001</v>
      </c>
      <c r="K11" s="0" t="n">
        <f aca="false">K8+K10+K24</f>
        <v>7056.81550958086</v>
      </c>
      <c r="L11" s="0" t="n">
        <f aca="false">L8+L10+L24</f>
        <v>7268.51997486829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-566.21999038</v>
      </c>
      <c r="D12" s="4" t="n">
        <f aca="false">-D6*Assumptions!D45/100</f>
        <v>-637.0888149824</v>
      </c>
      <c r="E12" s="4" t="n">
        <f aca="false">-E6*Assumptions!E45/100</f>
        <v>-709.557667686648</v>
      </c>
      <c r="F12" s="4" t="n">
        <f aca="false">-F6*Assumptions!F45/100</f>
        <v>-782.233574255766</v>
      </c>
      <c r="G12" s="4" t="n">
        <f aca="false">-G6*Assumptions!G45/100</f>
        <v>-853.554870732026</v>
      </c>
      <c r="H12" s="4" t="n">
        <f aca="false">-H6*Assumptions!H45/100</f>
        <v>-896.232614268628</v>
      </c>
      <c r="I12" s="4" t="n">
        <f aca="false">-I6*Assumptions!I45/100</f>
        <v>-963.322027108165</v>
      </c>
      <c r="J12" s="4" t="n">
        <f aca="false">-J6*Assumptions!J45/100</f>
        <v>-1001.85490819249</v>
      </c>
      <c r="K12" s="4" t="n">
        <f aca="false">-K6*Assumptions!K45/100</f>
        <v>-1036.91982997923</v>
      </c>
      <c r="L12" s="4" t="n">
        <f aca="false">-L6*Assumptions!L45/100</f>
        <v>-1068.02742487861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3452.11542522</v>
      </c>
      <c r="D13" s="0" t="n">
        <f aca="false">D11+D12</f>
        <v>3941.9870427036</v>
      </c>
      <c r="E13" s="0" t="n">
        <f aca="false">E11+E12</f>
        <v>4343.35299614251</v>
      </c>
      <c r="F13" s="0" t="n">
        <f aca="false">F11+F12</f>
        <v>4739.4151851967</v>
      </c>
      <c r="G13" s="0" t="n">
        <f aca="false">G11+G12</f>
        <v>5121.32922439216</v>
      </c>
      <c r="H13" s="0" t="n">
        <f aca="false">H11+H12</f>
        <v>5377.39568561177</v>
      </c>
      <c r="I13" s="0" t="n">
        <f aca="false">I11+I12</f>
        <v>5592.61954626685</v>
      </c>
      <c r="J13" s="0" t="n">
        <f aca="false">J11+J12</f>
        <v>5816.32432811752</v>
      </c>
      <c r="K13" s="0" t="n">
        <f aca="false">K11+K12</f>
        <v>6019.89567960163</v>
      </c>
      <c r="L13" s="0" t="n">
        <f aca="false">L11+L12</f>
        <v>6200.49254998968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18</v>
      </c>
      <c r="D14" s="4" t="n">
        <f aca="false">Assumptions!D47</f>
        <v>18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2830.7346486804</v>
      </c>
      <c r="D15" s="0" t="n">
        <f aca="false">D13-MAX(0,D13)*D14/100</f>
        <v>3232.42937501695</v>
      </c>
      <c r="E15" s="0" t="n">
        <f aca="false">E13-MAX(0,E13)*E14/100</f>
        <v>3561.54945683686</v>
      </c>
      <c r="F15" s="0" t="n">
        <f aca="false">F13-MAX(0,F13)*F14/100</f>
        <v>3886.32045186129</v>
      </c>
      <c r="G15" s="0" t="n">
        <f aca="false">G13-MAX(0,G13)*G14/100</f>
        <v>4199.48996400157</v>
      </c>
      <c r="H15" s="0" t="n">
        <f aca="false">H13-MAX(0,H13)*H14/100</f>
        <v>4409.46446220165</v>
      </c>
      <c r="I15" s="0" t="n">
        <f aca="false">I13-MAX(0,I13)*I14/100</f>
        <v>4585.94802793882</v>
      </c>
      <c r="J15" s="0" t="n">
        <f aca="false">J13-MAX(0,J13)*J14/100</f>
        <v>4769.38594905637</v>
      </c>
      <c r="K15" s="0" t="n">
        <f aca="false">K13-MAX(0,K13)*K14/100</f>
        <v>4936.31445727334</v>
      </c>
      <c r="L15" s="0" t="n">
        <f aca="false">L13-MAX(0,L13)*L14/100</f>
        <v>5084.40389099154</v>
      </c>
    </row>
    <row r="16" customFormat="false" ht="15" hidden="false" customHeight="false" outlineLevel="0" collapsed="false">
      <c r="A16" s="0" t="s">
        <v>119</v>
      </c>
      <c r="C16" s="0" t="n">
        <f aca="false">-C12</f>
        <v>566.21999038</v>
      </c>
      <c r="D16" s="0" t="n">
        <f aca="false">-D12</f>
        <v>637.0888149824</v>
      </c>
      <c r="E16" s="0" t="n">
        <f aca="false">-E12</f>
        <v>709.557667686648</v>
      </c>
      <c r="F16" s="0" t="n">
        <f aca="false">-F12</f>
        <v>782.233574255766</v>
      </c>
      <c r="G16" s="0" t="n">
        <f aca="false">-G12</f>
        <v>853.554870732026</v>
      </c>
      <c r="H16" s="0" t="n">
        <f aca="false">-H12</f>
        <v>896.232614268628</v>
      </c>
      <c r="I16" s="0" t="n">
        <f aca="false">-I12</f>
        <v>963.322027108165</v>
      </c>
      <c r="J16" s="0" t="n">
        <f aca="false">-J12</f>
        <v>1001.85490819249</v>
      </c>
      <c r="K16" s="0" t="n">
        <f aca="false">-K12</f>
        <v>1036.91982997923</v>
      </c>
      <c r="L16" s="0" t="n">
        <f aca="false">-L12</f>
        <v>1068.02742487861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-1095.9096588</v>
      </c>
      <c r="D17" s="4" t="n">
        <f aca="false">-D6*Assumptions!D46/100</f>
        <v>-1294.086655433</v>
      </c>
      <c r="E17" s="4" t="n">
        <f aca="false">-E6*Assumptions!E46/100</f>
        <v>-1397.61358786764</v>
      </c>
      <c r="F17" s="4" t="n">
        <f aca="false">-F6*Assumptions!F46/100</f>
        <v>-1380.41218986312</v>
      </c>
      <c r="G17" s="4" t="n">
        <f aca="false">-G6*Assumptions!G46/100</f>
        <v>-1341.30051115033</v>
      </c>
      <c r="H17" s="4" t="n">
        <f aca="false">-H6*Assumptions!H46/100</f>
        <v>-1408.36553670784</v>
      </c>
      <c r="I17" s="4" t="n">
        <f aca="false">-I6*Assumptions!I46/100</f>
        <v>-1337.94725987245</v>
      </c>
      <c r="J17" s="4" t="n">
        <f aca="false">-J6*Assumptions!J46/100</f>
        <v>-1391.46515026735</v>
      </c>
      <c r="K17" s="4" t="n">
        <f aca="false">-K6*Assumptions!K46/100</f>
        <v>-1440.16643052671</v>
      </c>
      <c r="L17" s="4" t="n">
        <f aca="false">-L6*Assumptions!L46/100</f>
        <v>-1483.37142344251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-79.7992469999999</v>
      </c>
      <c r="D18" s="4" t="n">
        <f aca="false">(D6-C6)*Assumptions!$B$51/100</f>
        <v>-246.57967323</v>
      </c>
      <c r="E18" s="4" t="n">
        <f aca="false">(E6-D6)*Assumptions!$B$51/100</f>
        <v>-238.9083056184</v>
      </c>
      <c r="F18" s="4" t="n">
        <f aca="false">(F6-E6)*Assumptions!$B$51/100</f>
        <v>-225.768348809388</v>
      </c>
      <c r="G18" s="4" t="n">
        <f aca="false">(G6-F6)*Assumptions!$B$51/100</f>
        <v>-207.061828479467</v>
      </c>
      <c r="H18" s="4" t="n">
        <f aca="false">(H6-G6)*Assumptions!$B$51/100</f>
        <v>-182.904615156863</v>
      </c>
      <c r="I18" s="4" t="n">
        <f aca="false">(I6-H6)*Assumptions!$B$51/100</f>
        <v>-172.844861323235</v>
      </c>
      <c r="J18" s="4" t="n">
        <f aca="false">(J6-I6)*Assumptions!$B$51/100</f>
        <v>-160.553671184694</v>
      </c>
      <c r="K18" s="4" t="n">
        <f aca="false">(K6-J6)*Assumptions!$B$51/100</f>
        <v>-146.103840778072</v>
      </c>
      <c r="L18" s="4" t="n">
        <f aca="false">(L6-K6)*Assumptions!$B$51/100</f>
        <v>-129.614978747404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2221.2457332604</v>
      </c>
      <c r="D19" s="0" t="n">
        <f aca="false">D15+D16+D17+D18</f>
        <v>2328.85186133635</v>
      </c>
      <c r="E19" s="0" t="n">
        <f aca="false">E15+E16+E17+E18</f>
        <v>2634.58523103747</v>
      </c>
      <c r="F19" s="0" t="n">
        <f aca="false">F15+F16+F17+F18</f>
        <v>3062.37348744455</v>
      </c>
      <c r="G19" s="0" t="n">
        <f aca="false">G15+G16+G17+G18</f>
        <v>3504.6824951038</v>
      </c>
      <c r="H19" s="0" t="n">
        <f aca="false">H15+H16+H17+H18</f>
        <v>3714.42692460557</v>
      </c>
      <c r="I19" s="0" t="n">
        <f aca="false">I15+I16+I17+I18</f>
        <v>4038.47793385129</v>
      </c>
      <c r="J19" s="0" t="n">
        <f aca="false">J15+J16+J17+J18</f>
        <v>4219.22203579682</v>
      </c>
      <c r="K19" s="0" t="n">
        <f aca="false">K15+K16+K17+K18</f>
        <v>4386.96401594779</v>
      </c>
      <c r="L19" s="0" t="n">
        <f aca="false">L15+L16+L17+L18</f>
        <v>4539.44491368023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2028.53491621954</v>
      </c>
      <c r="D21" s="0" t="n">
        <f aca="false">D19*D20</f>
        <v>1942.28799344163</v>
      </c>
      <c r="E21" s="0" t="n">
        <f aca="false">E19*E20</f>
        <v>2006.64198796794</v>
      </c>
      <c r="F21" s="0" t="n">
        <f aca="false">F19*F20</f>
        <v>2130.10827491227</v>
      </c>
      <c r="G21" s="0" t="n">
        <f aca="false">G19*G20</f>
        <v>2226.271278919</v>
      </c>
      <c r="H21" s="0" t="n">
        <f aca="false">H19*H20</f>
        <v>2154.80067870071</v>
      </c>
      <c r="I21" s="0" t="n">
        <f aca="false">I19*I20</f>
        <v>2139.53246113523</v>
      </c>
      <c r="J21" s="0" t="n">
        <f aca="false">J19*J20</f>
        <v>2041.3591850875</v>
      </c>
      <c r="K21" s="0" t="n">
        <f aca="false">K19*K20</f>
        <v>1938.37142777967</v>
      </c>
      <c r="L21" s="0" t="n">
        <f aca="false">L19*L20</f>
        <v>1831.73042259219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20439.6386267557</v>
      </c>
    </row>
    <row r="31" customFormat="false" ht="15" hidden="false" customHeight="false" outlineLevel="0" collapsed="false">
      <c r="A31" s="0" t="s">
        <v>128</v>
      </c>
      <c r="B31" s="0" t="n">
        <f aca="false">L19</f>
        <v>4539.44491368023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71932.7424783176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59012.783877843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59012.783877843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23812.4954936984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44252.1341204541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56632.9341204541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41.6017869441231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1.34376264473933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41.6017869441231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38963.568842422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27.7692623809807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25.9378575051935</v>
      </c>
      <c r="C4" s="0" t="n">
        <f aca="false">B4/Assumptions!$B$2-1</f>
        <v>0.461287746771462</v>
      </c>
      <c r="D4" s="4" t="n">
        <f aca="false">Assumptions!$B$24</f>
        <v>0.25</v>
      </c>
      <c r="E4" s="4" t="n">
        <f aca="false">DCF_Bear!$B$43</f>
        <v>25.9378575051935</v>
      </c>
      <c r="F4" s="4" t="n">
        <f aca="false">DCF_Bear!$B$47</f>
        <v>20.0374102832194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35.6947263891401</v>
      </c>
      <c r="C5" s="0" t="n">
        <f aca="false">B5/Assumptions!$B$2-1</f>
        <v>1.01097050079662</v>
      </c>
      <c r="D5" s="4" t="n">
        <f aca="false">Assumptions!$B$38</f>
        <v>0.5</v>
      </c>
      <c r="E5" s="4" t="n">
        <f aca="false">DCF_Base!$B$43</f>
        <v>35.6947263891401</v>
      </c>
      <c r="F5" s="4" t="n">
        <f aca="false">DCF_Base!$B$47</f>
        <v>25.0241510403139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41.6017869441231</v>
      </c>
      <c r="C6" s="0" t="n">
        <f aca="false">B6/Assumptions!$B$2-1</f>
        <v>1.34376264473933</v>
      </c>
      <c r="D6" s="4" t="n">
        <f aca="false">Assumptions!$B$52</f>
        <v>0.25</v>
      </c>
      <c r="E6" s="4" t="n">
        <f aca="false">DCF_Bull!$B$43</f>
        <v>41.6017869441231</v>
      </c>
      <c r="F6" s="4" t="n">
        <f aca="false">DCF_Bull!$B$47</f>
        <v>27.7692623809807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34.7322743068992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34.7322743068992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0.48894794958837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24.463743686207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36.6442643340148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35.6947263891401</v>
      </c>
      <c r="C16" s="3" t="n">
        <v>9.5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34.7871437555138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33.0895138860909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30.464099401426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25.0241510403139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39.7676469214755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39.7676469214755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39.7676469214755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39.7676469214755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39.7676469214755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37.637994093716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37.637994093716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37.637994093716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37.637994093716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37.637994093716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35.6947263891401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35.6947263891401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35.6947263891401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35.6947263891401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35.6947263891401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33.1876847072355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33.9194045299106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33.9194045299106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33.9194045299106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33.9194045299106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30.5827351616934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31.1260722437143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31.7297801126265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32.2955870390957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32.2955870390957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2026-10-16T21:50:09Z</dcterms:created>
  <dc:creator>openpyxl</dc:creator>
  <dc:description/>
  <dc:language>en-NZ</dc:language>
  <cp:lastModifiedBy/>
  <dcterms:modified xsi:type="dcterms:W3CDTF">2026-10-16T21:50:09Z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