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_CF" sheetId="2" state="visible" r:id="rId2"/>
    <sheet xmlns:r="http://schemas.openxmlformats.org/officeDocument/2006/relationships" name="Bull_CF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an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t="inlineStr">
        <is>
          <t>AGY.AX — Argosy Minerals — Risked Project-NPV Model (2026-09-21)</t>
        </is>
      </c>
    </row>
    <row r="3">
      <c r="A3" t="inlineStr">
        <is>
          <t>Model</t>
        </is>
      </c>
      <c r="B3" t="inlineStr">
        <is>
          <t>Risked project-NPV (sum-of-parts): P(funded FID) x Argosy carried share x project NPV + net cash + raise - burn - overhead</t>
        </is>
      </c>
    </row>
    <row r="4">
      <c r="A4" t="inlineStr">
        <is>
          <t>Why not owner-FCF DCF</t>
        </is>
      </c>
      <c r="B4" t="inlineStr">
        <is>
          <t>Pre-revenue single-asset developer; historical FCF is overhead + JV advances</t>
        </is>
      </c>
    </row>
    <row r="6">
      <c r="A6" t="inlineStr">
        <is>
          <t>Current price (A$)</t>
        </is>
      </c>
      <c r="B6" t="n">
        <v>0.033</v>
      </c>
    </row>
    <row r="7">
      <c r="A7" t="inlineStr">
        <is>
          <t>Price as of</t>
        </is>
      </c>
      <c r="B7" t="inlineStr">
        <is>
          <t>2026-09-21T06:10:31Z regular close (ASX)</t>
        </is>
      </c>
    </row>
    <row r="8">
      <c r="A8" t="inlineStr">
        <is>
          <t>AUDUSD</t>
        </is>
      </c>
      <c r="B8" t="n">
        <v>0.7131999999999999</v>
      </c>
    </row>
    <row r="9">
      <c r="A9" t="inlineStr">
        <is>
          <t>Shares (m, 31-Dec-2025)</t>
        </is>
      </c>
      <c r="B9" t="n">
        <v>1543.42</v>
      </c>
    </row>
    <row r="10">
      <c r="A10" t="inlineStr">
        <is>
          <t>Net cash (A$m, 31-Dec-2025)</t>
        </is>
      </c>
      <c r="B10" t="n">
        <v>4.165</v>
      </c>
    </row>
    <row r="11">
      <c r="A11" t="inlineStr">
        <is>
          <t>Listed options (m)</t>
        </is>
      </c>
      <c r="B11" t="n">
        <v>40</v>
      </c>
    </row>
    <row r="12">
      <c r="A12" t="inlineStr">
        <is>
          <t>Option strike (A$)</t>
        </is>
      </c>
      <c r="B12" t="n">
        <v>0.04</v>
      </c>
    </row>
    <row r="13">
      <c r="A13" t="inlineStr">
        <is>
          <t>Resource (kt LCE)</t>
        </is>
      </c>
      <c r="B13" t="n">
        <v>731.801</v>
      </c>
    </row>
    <row r="14">
      <c r="A14" t="inlineStr">
        <is>
          <t>Expert FV of 77.5% (A$m, Dec-24)</t>
        </is>
      </c>
      <c r="B14" t="n">
        <v>75.90000000000001</v>
      </c>
    </row>
    <row r="15">
      <c r="A15" t="inlineStr">
        <is>
          <t>Weight bear</t>
        </is>
      </c>
      <c r="B15" t="n">
        <v>0.5</v>
      </c>
    </row>
    <row r="16">
      <c r="A16" t="inlineStr">
        <is>
          <t>Weight base</t>
        </is>
      </c>
      <c r="B16" t="n">
        <v>0.35</v>
      </c>
    </row>
    <row r="17">
      <c r="A17" t="inlineStr">
        <is>
          <t>Weight bull</t>
        </is>
      </c>
      <c r="B17" t="n">
        <v>0.15</v>
      </c>
    </row>
    <row r="18">
      <c r="A18" t="inlineStr">
        <is>
          <t>Hurdle</t>
        </is>
      </c>
      <c r="B18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Base_CF: 100% project, real US$m, unlevered post-tax. t=1 is calendar 2027.</t>
        </is>
      </c>
    </row>
    <row r="2">
      <c r="A2" t="inlineStr">
        <is>
          <t>Lithium price (US$/t real)</t>
        </is>
      </c>
      <c r="B2" t="n">
        <v>15000</v>
      </c>
    </row>
    <row r="3">
      <c r="A3" t="inlineStr">
        <is>
          <t>Opex (US$/t)</t>
        </is>
      </c>
      <c r="B3" t="n">
        <v>5500</v>
      </c>
    </row>
    <row r="4">
      <c r="A4" t="inlineStr">
        <is>
          <t>Freight/marketing (US$/t)</t>
        </is>
      </c>
      <c r="B4" t="n">
        <v>300</v>
      </c>
    </row>
    <row r="5">
      <c r="A5" t="inlineStr">
        <is>
          <t>Royalty + export duty</t>
        </is>
      </c>
      <c r="B5" t="n">
        <v>0.075</v>
      </c>
    </row>
    <row r="6">
      <c r="A6" t="inlineStr">
        <is>
          <t>Tax rate</t>
        </is>
      </c>
      <c r="B6" t="n">
        <v>0.35</v>
      </c>
    </row>
    <row r="7">
      <c r="A7" t="inlineStr">
        <is>
          <t>Initial capex (US$m)</t>
        </is>
      </c>
      <c r="B7" t="n">
        <v>250</v>
      </c>
    </row>
    <row r="8">
      <c r="A8" t="inlineStr">
        <is>
          <t>Sustaining capex % of initial</t>
        </is>
      </c>
      <c r="B8" t="n">
        <v>0.03</v>
      </c>
    </row>
    <row r="9">
      <c r="A9" t="inlineStr">
        <is>
          <t>WC % of revenue change</t>
        </is>
      </c>
      <c r="B9" t="n">
        <v>0.1</v>
      </c>
    </row>
    <row r="10">
      <c r="A10" t="inlineStr">
        <is>
          <t>Tax depreciation years</t>
        </is>
      </c>
      <c r="B10" t="n">
        <v>10</v>
      </c>
    </row>
    <row r="11">
      <c r="A11" t="inlineStr">
        <is>
          <t>Real discount rate</t>
        </is>
      </c>
      <c r="B11" t="n">
        <v>0.12</v>
      </c>
    </row>
    <row r="12">
      <c r="A12" t="inlineStr">
        <is>
          <t>First production t</t>
        </is>
      </c>
      <c r="B12" t="n">
        <v>5</v>
      </c>
    </row>
    <row r="13">
      <c r="A13" t="inlineStr">
        <is>
          <t>Nameplate tpa</t>
        </is>
      </c>
      <c r="B13" t="n">
        <v>12000</v>
      </c>
    </row>
    <row r="14">
      <c r="A14" t="inlineStr">
        <is>
          <t>Ramp yr1</t>
        </is>
      </c>
      <c r="B14" t="n">
        <v>0.5</v>
      </c>
    </row>
    <row r="15">
      <c r="A15" t="inlineStr">
        <is>
          <t>Ramp yr2</t>
        </is>
      </c>
      <c r="B15" t="n">
        <v>0.85</v>
      </c>
    </row>
    <row r="16">
      <c r="A16" t="inlineStr">
        <is>
          <t>Production years</t>
        </is>
      </c>
      <c r="B16" t="n">
        <v>25</v>
      </c>
    </row>
    <row r="17">
      <c r="A17" t="inlineStr">
        <is>
          <t>Capex sched t1</t>
        </is>
      </c>
      <c r="B17" t="n">
        <v>3</v>
      </c>
    </row>
    <row r="18">
      <c r="A18" t="inlineStr">
        <is>
          <t>Capex sched f1</t>
        </is>
      </c>
      <c r="B18" t="n">
        <v>0.4</v>
      </c>
    </row>
    <row r="19">
      <c r="A19" t="inlineStr">
        <is>
          <t>Capex sched t2</t>
        </is>
      </c>
      <c r="B19" t="n">
        <v>4</v>
      </c>
    </row>
    <row r="20">
      <c r="A20" t="inlineStr">
        <is>
          <t>Capex sched f2</t>
        </is>
      </c>
      <c r="B20" t="n">
        <v>0.6</v>
      </c>
    </row>
    <row r="21">
      <c r="A21" t="inlineStr">
        <is>
          <t>Hurdle rate</t>
        </is>
      </c>
      <c r="B21" t="n">
        <v>0.15</v>
      </c>
    </row>
    <row r="23">
      <c r="A23" t="inlineStr">
        <is>
          <t>t</t>
        </is>
      </c>
      <c r="B23" t="n">
        <v>1</v>
      </c>
      <c r="C23" t="n">
        <v>2</v>
      </c>
      <c r="D23" t="n">
        <v>3</v>
      </c>
      <c r="E23" t="n">
        <v>4</v>
      </c>
      <c r="F23" t="n">
        <v>5</v>
      </c>
      <c r="G23" t="n">
        <v>6</v>
      </c>
      <c r="H23" t="n">
        <v>7</v>
      </c>
      <c r="I23" t="n">
        <v>8</v>
      </c>
      <c r="J23" t="n">
        <v>9</v>
      </c>
      <c r="K23" t="n">
        <v>10</v>
      </c>
      <c r="L23" t="n">
        <v>11</v>
      </c>
      <c r="M23" t="n">
        <v>12</v>
      </c>
      <c r="N23" t="n">
        <v>13</v>
      </c>
      <c r="O23" t="n">
        <v>14</v>
      </c>
      <c r="P23" t="n">
        <v>15</v>
      </c>
      <c r="Q23" t="n">
        <v>16</v>
      </c>
      <c r="R23" t="n">
        <v>17</v>
      </c>
      <c r="S23" t="n">
        <v>18</v>
      </c>
      <c r="T23" t="n">
        <v>19</v>
      </c>
      <c r="U23" t="n">
        <v>20</v>
      </c>
      <c r="V23" t="n">
        <v>21</v>
      </c>
      <c r="W23" t="n">
        <v>22</v>
      </c>
      <c r="X23" t="n">
        <v>23</v>
      </c>
      <c r="Y23" t="n">
        <v>24</v>
      </c>
      <c r="Z23" t="n">
        <v>25</v>
      </c>
      <c r="AA23" t="n">
        <v>26</v>
      </c>
      <c r="AB23" t="n">
        <v>27</v>
      </c>
      <c r="AC23" t="n">
        <v>28</v>
      </c>
      <c r="AD23" t="n">
        <v>29</v>
      </c>
      <c r="AE23" t="n">
        <v>30</v>
      </c>
    </row>
    <row r="24">
      <c r="A24" t="inlineStr">
        <is>
          <t>Year</t>
        </is>
      </c>
      <c r="B24">
        <f>2026+B23</f>
        <v/>
      </c>
      <c r="C24">
        <f>2026+C23</f>
        <v/>
      </c>
      <c r="D24">
        <f>2026+D23</f>
        <v/>
      </c>
      <c r="E24">
        <f>2026+E23</f>
        <v/>
      </c>
      <c r="F24">
        <f>2026+F23</f>
        <v/>
      </c>
      <c r="G24">
        <f>2026+G23</f>
        <v/>
      </c>
      <c r="H24">
        <f>2026+H23</f>
        <v/>
      </c>
      <c r="I24">
        <f>2026+I23</f>
        <v/>
      </c>
      <c r="J24">
        <f>2026+J23</f>
        <v/>
      </c>
      <c r="K24">
        <f>2026+K23</f>
        <v/>
      </c>
      <c r="L24">
        <f>2026+L23</f>
        <v/>
      </c>
      <c r="M24">
        <f>2026+M23</f>
        <v/>
      </c>
      <c r="N24">
        <f>2026+N23</f>
        <v/>
      </c>
      <c r="O24">
        <f>2026+O23</f>
        <v/>
      </c>
      <c r="P24">
        <f>2026+P23</f>
        <v/>
      </c>
      <c r="Q24">
        <f>2026+Q23</f>
        <v/>
      </c>
      <c r="R24">
        <f>2026+R23</f>
        <v/>
      </c>
      <c r="S24">
        <f>2026+S23</f>
        <v/>
      </c>
      <c r="T24">
        <f>2026+T23</f>
        <v/>
      </c>
      <c r="U24">
        <f>2026+U23</f>
        <v/>
      </c>
      <c r="V24">
        <f>2026+V23</f>
        <v/>
      </c>
      <c r="W24">
        <f>2026+W23</f>
        <v/>
      </c>
      <c r="X24">
        <f>2026+X23</f>
        <v/>
      </c>
      <c r="Y24">
        <f>2026+Y23</f>
        <v/>
      </c>
      <c r="Z24">
        <f>2026+Z23</f>
        <v/>
      </c>
      <c r="AA24">
        <f>2026+AA23</f>
        <v/>
      </c>
      <c r="AB24">
        <f>2026+AB23</f>
        <v/>
      </c>
      <c r="AC24">
        <f>2026+AC23</f>
        <v/>
      </c>
      <c r="AD24">
        <f>2026+AD23</f>
        <v/>
      </c>
      <c r="AE24">
        <f>2026+AE23</f>
        <v/>
      </c>
    </row>
    <row r="25">
      <c r="A25" t="inlineStr">
        <is>
          <t>k = t - first_t</t>
        </is>
      </c>
      <c r="B25">
        <f>B23-$B$12</f>
        <v/>
      </c>
      <c r="C25">
        <f>C23-$B$12</f>
        <v/>
      </c>
      <c r="D25">
        <f>D23-$B$12</f>
        <v/>
      </c>
      <c r="E25">
        <f>E23-$B$12</f>
        <v/>
      </c>
      <c r="F25">
        <f>F23-$B$12</f>
        <v/>
      </c>
      <c r="G25">
        <f>G23-$B$12</f>
        <v/>
      </c>
      <c r="H25">
        <f>H23-$B$12</f>
        <v/>
      </c>
      <c r="I25">
        <f>I23-$B$12</f>
        <v/>
      </c>
      <c r="J25">
        <f>J23-$B$12</f>
        <v/>
      </c>
      <c r="K25">
        <f>K23-$B$12</f>
        <v/>
      </c>
      <c r="L25">
        <f>L23-$B$12</f>
        <v/>
      </c>
      <c r="M25">
        <f>M23-$B$12</f>
        <v/>
      </c>
      <c r="N25">
        <f>N23-$B$12</f>
        <v/>
      </c>
      <c r="O25">
        <f>O23-$B$12</f>
        <v/>
      </c>
      <c r="P25">
        <f>P23-$B$12</f>
        <v/>
      </c>
      <c r="Q25">
        <f>Q23-$B$12</f>
        <v/>
      </c>
      <c r="R25">
        <f>R23-$B$12</f>
        <v/>
      </c>
      <c r="S25">
        <f>S23-$B$12</f>
        <v/>
      </c>
      <c r="T25">
        <f>T23-$B$12</f>
        <v/>
      </c>
      <c r="U25">
        <f>U23-$B$12</f>
        <v/>
      </c>
      <c r="V25">
        <f>V23-$B$12</f>
        <v/>
      </c>
      <c r="W25">
        <f>W23-$B$12</f>
        <v/>
      </c>
      <c r="X25">
        <f>X23-$B$12</f>
        <v/>
      </c>
      <c r="Y25">
        <f>Y23-$B$12</f>
        <v/>
      </c>
      <c r="Z25">
        <f>Z23-$B$12</f>
        <v/>
      </c>
      <c r="AA25">
        <f>AA23-$B$12</f>
        <v/>
      </c>
      <c r="AB25">
        <f>AB23-$B$12</f>
        <v/>
      </c>
      <c r="AC25">
        <f>AC23-$B$12</f>
        <v/>
      </c>
      <c r="AD25">
        <f>AD23-$B$12</f>
        <v/>
      </c>
      <c r="AE25">
        <f>AE23-$B$12</f>
        <v/>
      </c>
    </row>
    <row r="26">
      <c r="A26" t="inlineStr">
        <is>
          <t>Utilisation</t>
        </is>
      </c>
      <c r="B26">
        <f>IF(OR(B25&lt;0,B25&gt;=$B$16),0,IF(B25=0,$B$14,IF(B25=1,$B$15,1)))</f>
        <v/>
      </c>
      <c r="C26">
        <f>IF(OR(C25&lt;0,C25&gt;=$B$16),0,IF(C25=0,$B$14,IF(C25=1,$B$15,1)))</f>
        <v/>
      </c>
      <c r="D26">
        <f>IF(OR(D25&lt;0,D25&gt;=$B$16),0,IF(D25=0,$B$14,IF(D25=1,$B$15,1)))</f>
        <v/>
      </c>
      <c r="E26">
        <f>IF(OR(E25&lt;0,E25&gt;=$B$16),0,IF(E25=0,$B$14,IF(E25=1,$B$15,1)))</f>
        <v/>
      </c>
      <c r="F26">
        <f>IF(OR(F25&lt;0,F25&gt;=$B$16),0,IF(F25=0,$B$14,IF(F25=1,$B$15,1)))</f>
        <v/>
      </c>
      <c r="G26">
        <f>IF(OR(G25&lt;0,G25&gt;=$B$16),0,IF(G25=0,$B$14,IF(G25=1,$B$15,1)))</f>
        <v/>
      </c>
      <c r="H26">
        <f>IF(OR(H25&lt;0,H25&gt;=$B$16),0,IF(H25=0,$B$14,IF(H25=1,$B$15,1)))</f>
        <v/>
      </c>
      <c r="I26">
        <f>IF(OR(I25&lt;0,I25&gt;=$B$16),0,IF(I25=0,$B$14,IF(I25=1,$B$15,1)))</f>
        <v/>
      </c>
      <c r="J26">
        <f>IF(OR(J25&lt;0,J25&gt;=$B$16),0,IF(J25=0,$B$14,IF(J25=1,$B$15,1)))</f>
        <v/>
      </c>
      <c r="K26">
        <f>IF(OR(K25&lt;0,K25&gt;=$B$16),0,IF(K25=0,$B$14,IF(K25=1,$B$15,1)))</f>
        <v/>
      </c>
      <c r="L26">
        <f>IF(OR(L25&lt;0,L25&gt;=$B$16),0,IF(L25=0,$B$14,IF(L25=1,$B$15,1)))</f>
        <v/>
      </c>
      <c r="M26">
        <f>IF(OR(M25&lt;0,M25&gt;=$B$16),0,IF(M25=0,$B$14,IF(M25=1,$B$15,1)))</f>
        <v/>
      </c>
      <c r="N26">
        <f>IF(OR(N25&lt;0,N25&gt;=$B$16),0,IF(N25=0,$B$14,IF(N25=1,$B$15,1)))</f>
        <v/>
      </c>
      <c r="O26">
        <f>IF(OR(O25&lt;0,O25&gt;=$B$16),0,IF(O25=0,$B$14,IF(O25=1,$B$15,1)))</f>
        <v/>
      </c>
      <c r="P26">
        <f>IF(OR(P25&lt;0,P25&gt;=$B$16),0,IF(P25=0,$B$14,IF(P25=1,$B$15,1)))</f>
        <v/>
      </c>
      <c r="Q26">
        <f>IF(OR(Q25&lt;0,Q25&gt;=$B$16),0,IF(Q25=0,$B$14,IF(Q25=1,$B$15,1)))</f>
        <v/>
      </c>
      <c r="R26">
        <f>IF(OR(R25&lt;0,R25&gt;=$B$16),0,IF(R25=0,$B$14,IF(R25=1,$B$15,1)))</f>
        <v/>
      </c>
      <c r="S26">
        <f>IF(OR(S25&lt;0,S25&gt;=$B$16),0,IF(S25=0,$B$14,IF(S25=1,$B$15,1)))</f>
        <v/>
      </c>
      <c r="T26">
        <f>IF(OR(T25&lt;0,T25&gt;=$B$16),0,IF(T25=0,$B$14,IF(T25=1,$B$15,1)))</f>
        <v/>
      </c>
      <c r="U26">
        <f>IF(OR(U25&lt;0,U25&gt;=$B$16),0,IF(U25=0,$B$14,IF(U25=1,$B$15,1)))</f>
        <v/>
      </c>
      <c r="V26">
        <f>IF(OR(V25&lt;0,V25&gt;=$B$16),0,IF(V25=0,$B$14,IF(V25=1,$B$15,1)))</f>
        <v/>
      </c>
      <c r="W26">
        <f>IF(OR(W25&lt;0,W25&gt;=$B$16),0,IF(W25=0,$B$14,IF(W25=1,$B$15,1)))</f>
        <v/>
      </c>
      <c r="X26">
        <f>IF(OR(X25&lt;0,X25&gt;=$B$16),0,IF(X25=0,$B$14,IF(X25=1,$B$15,1)))</f>
        <v/>
      </c>
      <c r="Y26">
        <f>IF(OR(Y25&lt;0,Y25&gt;=$B$16),0,IF(Y25=0,$B$14,IF(Y25=1,$B$15,1)))</f>
        <v/>
      </c>
      <c r="Z26">
        <f>IF(OR(Z25&lt;0,Z25&gt;=$B$16),0,IF(Z25=0,$B$14,IF(Z25=1,$B$15,1)))</f>
        <v/>
      </c>
      <c r="AA26">
        <f>IF(OR(AA25&lt;0,AA25&gt;=$B$16),0,IF(AA25=0,$B$14,IF(AA25=1,$B$15,1)))</f>
        <v/>
      </c>
      <c r="AB26">
        <f>IF(OR(AB25&lt;0,AB25&gt;=$B$16),0,IF(AB25=0,$B$14,IF(AB25=1,$B$15,1)))</f>
        <v/>
      </c>
      <c r="AC26">
        <f>IF(OR(AC25&lt;0,AC25&gt;=$B$16),0,IF(AC25=0,$B$14,IF(AC25=1,$B$15,1)))</f>
        <v/>
      </c>
      <c r="AD26">
        <f>IF(OR(AD25&lt;0,AD25&gt;=$B$16),0,IF(AD25=0,$B$14,IF(AD25=1,$B$15,1)))</f>
        <v/>
      </c>
      <c r="AE26">
        <f>IF(OR(AE25&lt;0,AE25&gt;=$B$16),0,IF(AE25=0,$B$14,IF(AE25=1,$B$15,1)))</f>
        <v/>
      </c>
    </row>
    <row r="27">
      <c r="A27" t="inlineStr">
        <is>
          <t>Production (t)</t>
        </is>
      </c>
      <c r="B27">
        <f>$B$13*B26</f>
        <v/>
      </c>
      <c r="C27">
        <f>$B$13*C26</f>
        <v/>
      </c>
      <c r="D27">
        <f>$B$13*D26</f>
        <v/>
      </c>
      <c r="E27">
        <f>$B$13*E26</f>
        <v/>
      </c>
      <c r="F27">
        <f>$B$13*F26</f>
        <v/>
      </c>
      <c r="G27">
        <f>$B$13*G26</f>
        <v/>
      </c>
      <c r="H27">
        <f>$B$13*H26</f>
        <v/>
      </c>
      <c r="I27">
        <f>$B$13*I26</f>
        <v/>
      </c>
      <c r="J27">
        <f>$B$13*J26</f>
        <v/>
      </c>
      <c r="K27">
        <f>$B$13*K26</f>
        <v/>
      </c>
      <c r="L27">
        <f>$B$13*L26</f>
        <v/>
      </c>
      <c r="M27">
        <f>$B$13*M26</f>
        <v/>
      </c>
      <c r="N27">
        <f>$B$13*N26</f>
        <v/>
      </c>
      <c r="O27">
        <f>$B$13*O26</f>
        <v/>
      </c>
      <c r="P27">
        <f>$B$13*P26</f>
        <v/>
      </c>
      <c r="Q27">
        <f>$B$13*Q26</f>
        <v/>
      </c>
      <c r="R27">
        <f>$B$13*R26</f>
        <v/>
      </c>
      <c r="S27">
        <f>$B$13*S26</f>
        <v/>
      </c>
      <c r="T27">
        <f>$B$13*T26</f>
        <v/>
      </c>
      <c r="U27">
        <f>$B$13*U26</f>
        <v/>
      </c>
      <c r="V27">
        <f>$B$13*V26</f>
        <v/>
      </c>
      <c r="W27">
        <f>$B$13*W26</f>
        <v/>
      </c>
      <c r="X27">
        <f>$B$13*X26</f>
        <v/>
      </c>
      <c r="Y27">
        <f>$B$13*Y26</f>
        <v/>
      </c>
      <c r="Z27">
        <f>$B$13*Z26</f>
        <v/>
      </c>
      <c r="AA27">
        <f>$B$13*AA26</f>
        <v/>
      </c>
      <c r="AB27">
        <f>$B$13*AB26</f>
        <v/>
      </c>
      <c r="AC27">
        <f>$B$13*AC26</f>
        <v/>
      </c>
      <c r="AD27">
        <f>$B$13*AD26</f>
        <v/>
      </c>
      <c r="AE27">
        <f>$B$13*AE26</f>
        <v/>
      </c>
    </row>
    <row r="28">
      <c r="A28" t="inlineStr">
        <is>
          <t>Revenue</t>
        </is>
      </c>
      <c r="B28">
        <f>B27*$B$2/1000000</f>
        <v/>
      </c>
      <c r="C28">
        <f>C27*$B$2/1000000</f>
        <v/>
      </c>
      <c r="D28">
        <f>D27*$B$2/1000000</f>
        <v/>
      </c>
      <c r="E28">
        <f>E27*$B$2/1000000</f>
        <v/>
      </c>
      <c r="F28">
        <f>F27*$B$2/1000000</f>
        <v/>
      </c>
      <c r="G28">
        <f>G27*$B$2/1000000</f>
        <v/>
      </c>
      <c r="H28">
        <f>H27*$B$2/1000000</f>
        <v/>
      </c>
      <c r="I28">
        <f>I27*$B$2/1000000</f>
        <v/>
      </c>
      <c r="J28">
        <f>J27*$B$2/1000000</f>
        <v/>
      </c>
      <c r="K28">
        <f>K27*$B$2/1000000</f>
        <v/>
      </c>
      <c r="L28">
        <f>L27*$B$2/1000000</f>
        <v/>
      </c>
      <c r="M28">
        <f>M27*$B$2/1000000</f>
        <v/>
      </c>
      <c r="N28">
        <f>N27*$B$2/1000000</f>
        <v/>
      </c>
      <c r="O28">
        <f>O27*$B$2/1000000</f>
        <v/>
      </c>
      <c r="P28">
        <f>P27*$B$2/1000000</f>
        <v/>
      </c>
      <c r="Q28">
        <f>Q27*$B$2/1000000</f>
        <v/>
      </c>
      <c r="R28">
        <f>R27*$B$2/1000000</f>
        <v/>
      </c>
      <c r="S28">
        <f>S27*$B$2/1000000</f>
        <v/>
      </c>
      <c r="T28">
        <f>T27*$B$2/1000000</f>
        <v/>
      </c>
      <c r="U28">
        <f>U27*$B$2/1000000</f>
        <v/>
      </c>
      <c r="V28">
        <f>V27*$B$2/1000000</f>
        <v/>
      </c>
      <c r="W28">
        <f>W27*$B$2/1000000</f>
        <v/>
      </c>
      <c r="X28">
        <f>X27*$B$2/1000000</f>
        <v/>
      </c>
      <c r="Y28">
        <f>Y27*$B$2/1000000</f>
        <v/>
      </c>
      <c r="Z28">
        <f>Z27*$B$2/1000000</f>
        <v/>
      </c>
      <c r="AA28">
        <f>AA27*$B$2/1000000</f>
        <v/>
      </c>
      <c r="AB28">
        <f>AB27*$B$2/1000000</f>
        <v/>
      </c>
      <c r="AC28">
        <f>AC27*$B$2/1000000</f>
        <v/>
      </c>
      <c r="AD28">
        <f>AD27*$B$2/1000000</f>
        <v/>
      </c>
      <c r="AE28">
        <f>AE27*$B$2/1000000</f>
        <v/>
      </c>
    </row>
    <row r="29">
      <c r="A29" t="inlineStr">
        <is>
          <t>Levies</t>
        </is>
      </c>
      <c r="B29">
        <f>B28*$B$5</f>
        <v/>
      </c>
      <c r="C29">
        <f>C28*$B$5</f>
        <v/>
      </c>
      <c r="D29">
        <f>D28*$B$5</f>
        <v/>
      </c>
      <c r="E29">
        <f>E28*$B$5</f>
        <v/>
      </c>
      <c r="F29">
        <f>F28*$B$5</f>
        <v/>
      </c>
      <c r="G29">
        <f>G28*$B$5</f>
        <v/>
      </c>
      <c r="H29">
        <f>H28*$B$5</f>
        <v/>
      </c>
      <c r="I29">
        <f>I28*$B$5</f>
        <v/>
      </c>
      <c r="J29">
        <f>J28*$B$5</f>
        <v/>
      </c>
      <c r="K29">
        <f>K28*$B$5</f>
        <v/>
      </c>
      <c r="L29">
        <f>L28*$B$5</f>
        <v/>
      </c>
      <c r="M29">
        <f>M28*$B$5</f>
        <v/>
      </c>
      <c r="N29">
        <f>N28*$B$5</f>
        <v/>
      </c>
      <c r="O29">
        <f>O28*$B$5</f>
        <v/>
      </c>
      <c r="P29">
        <f>P28*$B$5</f>
        <v/>
      </c>
      <c r="Q29">
        <f>Q28*$B$5</f>
        <v/>
      </c>
      <c r="R29">
        <f>R28*$B$5</f>
        <v/>
      </c>
      <c r="S29">
        <f>S28*$B$5</f>
        <v/>
      </c>
      <c r="T29">
        <f>T28*$B$5</f>
        <v/>
      </c>
      <c r="U29">
        <f>U28*$B$5</f>
        <v/>
      </c>
      <c r="V29">
        <f>V28*$B$5</f>
        <v/>
      </c>
      <c r="W29">
        <f>W28*$B$5</f>
        <v/>
      </c>
      <c r="X29">
        <f>X28*$B$5</f>
        <v/>
      </c>
      <c r="Y29">
        <f>Y28*$B$5</f>
        <v/>
      </c>
      <c r="Z29">
        <f>Z28*$B$5</f>
        <v/>
      </c>
      <c r="AA29">
        <f>AA28*$B$5</f>
        <v/>
      </c>
      <c r="AB29">
        <f>AB28*$B$5</f>
        <v/>
      </c>
      <c r="AC29">
        <f>AC28*$B$5</f>
        <v/>
      </c>
      <c r="AD29">
        <f>AD28*$B$5</f>
        <v/>
      </c>
      <c r="AE29">
        <f>AE28*$B$5</f>
        <v/>
      </c>
    </row>
    <row r="30">
      <c r="A30" t="inlineStr">
        <is>
          <t>Opex</t>
        </is>
      </c>
      <c r="B30">
        <f>B27*($B$3+$B$4)/1000000</f>
        <v/>
      </c>
      <c r="C30">
        <f>C27*($B$3+$B$4)/1000000</f>
        <v/>
      </c>
      <c r="D30">
        <f>D27*($B$3+$B$4)/1000000</f>
        <v/>
      </c>
      <c r="E30">
        <f>E27*($B$3+$B$4)/1000000</f>
        <v/>
      </c>
      <c r="F30">
        <f>F27*($B$3+$B$4)/1000000</f>
        <v/>
      </c>
      <c r="G30">
        <f>G27*($B$3+$B$4)/1000000</f>
        <v/>
      </c>
      <c r="H30">
        <f>H27*($B$3+$B$4)/1000000</f>
        <v/>
      </c>
      <c r="I30">
        <f>I27*($B$3+$B$4)/1000000</f>
        <v/>
      </c>
      <c r="J30">
        <f>J27*($B$3+$B$4)/1000000</f>
        <v/>
      </c>
      <c r="K30">
        <f>K27*($B$3+$B$4)/1000000</f>
        <v/>
      </c>
      <c r="L30">
        <f>L27*($B$3+$B$4)/1000000</f>
        <v/>
      </c>
      <c r="M30">
        <f>M27*($B$3+$B$4)/1000000</f>
        <v/>
      </c>
      <c r="N30">
        <f>N27*($B$3+$B$4)/1000000</f>
        <v/>
      </c>
      <c r="O30">
        <f>O27*($B$3+$B$4)/1000000</f>
        <v/>
      </c>
      <c r="P30">
        <f>P27*($B$3+$B$4)/1000000</f>
        <v/>
      </c>
      <c r="Q30">
        <f>Q27*($B$3+$B$4)/1000000</f>
        <v/>
      </c>
      <c r="R30">
        <f>R27*($B$3+$B$4)/1000000</f>
        <v/>
      </c>
      <c r="S30">
        <f>S27*($B$3+$B$4)/1000000</f>
        <v/>
      </c>
      <c r="T30">
        <f>T27*($B$3+$B$4)/1000000</f>
        <v/>
      </c>
      <c r="U30">
        <f>U27*($B$3+$B$4)/1000000</f>
        <v/>
      </c>
      <c r="V30">
        <f>V27*($B$3+$B$4)/1000000</f>
        <v/>
      </c>
      <c r="W30">
        <f>W27*($B$3+$B$4)/1000000</f>
        <v/>
      </c>
      <c r="X30">
        <f>X27*($B$3+$B$4)/1000000</f>
        <v/>
      </c>
      <c r="Y30">
        <f>Y27*($B$3+$B$4)/1000000</f>
        <v/>
      </c>
      <c r="Z30">
        <f>Z27*($B$3+$B$4)/1000000</f>
        <v/>
      </c>
      <c r="AA30">
        <f>AA27*($B$3+$B$4)/1000000</f>
        <v/>
      </c>
      <c r="AB30">
        <f>AB27*($B$3+$B$4)/1000000</f>
        <v/>
      </c>
      <c r="AC30">
        <f>AC27*($B$3+$B$4)/1000000</f>
        <v/>
      </c>
      <c r="AD30">
        <f>AD27*($B$3+$B$4)/1000000</f>
        <v/>
      </c>
      <c r="AE30">
        <f>AE27*($B$3+$B$4)/1000000</f>
        <v/>
      </c>
    </row>
    <row r="31">
      <c r="A31" t="inlineStr">
        <is>
          <t>EBITDA</t>
        </is>
      </c>
      <c r="B31">
        <f>B28-B29-B30</f>
        <v/>
      </c>
      <c r="C31">
        <f>C28-C29-C30</f>
        <v/>
      </c>
      <c r="D31">
        <f>D28-D29-D30</f>
        <v/>
      </c>
      <c r="E31">
        <f>E28-E29-E30</f>
        <v/>
      </c>
      <c r="F31">
        <f>F28-F29-F30</f>
        <v/>
      </c>
      <c r="G31">
        <f>G28-G29-G30</f>
        <v/>
      </c>
      <c r="H31">
        <f>H28-H29-H30</f>
        <v/>
      </c>
      <c r="I31">
        <f>I28-I29-I30</f>
        <v/>
      </c>
      <c r="J31">
        <f>J28-J29-J30</f>
        <v/>
      </c>
      <c r="K31">
        <f>K28-K29-K30</f>
        <v/>
      </c>
      <c r="L31">
        <f>L28-L29-L30</f>
        <v/>
      </c>
      <c r="M31">
        <f>M28-M29-M30</f>
        <v/>
      </c>
      <c r="N31">
        <f>N28-N29-N30</f>
        <v/>
      </c>
      <c r="O31">
        <f>O28-O29-O30</f>
        <v/>
      </c>
      <c r="P31">
        <f>P28-P29-P30</f>
        <v/>
      </c>
      <c r="Q31">
        <f>Q28-Q29-Q30</f>
        <v/>
      </c>
      <c r="R31">
        <f>R28-R29-R30</f>
        <v/>
      </c>
      <c r="S31">
        <f>S28-S29-S30</f>
        <v/>
      </c>
      <c r="T31">
        <f>T28-T29-T30</f>
        <v/>
      </c>
      <c r="U31">
        <f>U28-U29-U30</f>
        <v/>
      </c>
      <c r="V31">
        <f>V28-V29-V30</f>
        <v/>
      </c>
      <c r="W31">
        <f>W28-W29-W30</f>
        <v/>
      </c>
      <c r="X31">
        <f>X28-X29-X30</f>
        <v/>
      </c>
      <c r="Y31">
        <f>Y28-Y29-Y30</f>
        <v/>
      </c>
      <c r="Z31">
        <f>Z28-Z29-Z30</f>
        <v/>
      </c>
      <c r="AA31">
        <f>AA28-AA29-AA30</f>
        <v/>
      </c>
      <c r="AB31">
        <f>AB28-AB29-AB30</f>
        <v/>
      </c>
      <c r="AC31">
        <f>AC28-AC29-AC30</f>
        <v/>
      </c>
      <c r="AD31">
        <f>AD28-AD29-AD30</f>
        <v/>
      </c>
      <c r="AE31">
        <f>AE28-AE29-AE30</f>
        <v/>
      </c>
    </row>
    <row r="32">
      <c r="A32" t="inlineStr">
        <is>
          <t>Capex</t>
        </is>
      </c>
      <c r="B32">
        <f>$B$7*(IF(B23=$B$17,$B$18,0)+IF(B23=$B$19,$B$20,0))+IF(AND(B25&gt;=0,B25&lt;$B$16),$B$7*$B$8,0)</f>
        <v/>
      </c>
      <c r="C32">
        <f>$B$7*(IF(C23=$B$17,$B$18,0)+IF(C23=$B$19,$B$20,0))+IF(AND(C25&gt;=0,C25&lt;$B$16),$B$7*$B$8,0)</f>
        <v/>
      </c>
      <c r="D32">
        <f>$B$7*(IF(D23=$B$17,$B$18,0)+IF(D23=$B$19,$B$20,0))+IF(AND(D25&gt;=0,D25&lt;$B$16),$B$7*$B$8,0)</f>
        <v/>
      </c>
      <c r="E32">
        <f>$B$7*(IF(E23=$B$17,$B$18,0)+IF(E23=$B$19,$B$20,0))+IF(AND(E25&gt;=0,E25&lt;$B$16),$B$7*$B$8,0)</f>
        <v/>
      </c>
      <c r="F32">
        <f>$B$7*(IF(F23=$B$17,$B$18,0)+IF(F23=$B$19,$B$20,0))+IF(AND(F25&gt;=0,F25&lt;$B$16),$B$7*$B$8,0)</f>
        <v/>
      </c>
      <c r="G32">
        <f>$B$7*(IF(G23=$B$17,$B$18,0)+IF(G23=$B$19,$B$20,0))+IF(AND(G25&gt;=0,G25&lt;$B$16),$B$7*$B$8,0)</f>
        <v/>
      </c>
      <c r="H32">
        <f>$B$7*(IF(H23=$B$17,$B$18,0)+IF(H23=$B$19,$B$20,0))+IF(AND(H25&gt;=0,H25&lt;$B$16),$B$7*$B$8,0)</f>
        <v/>
      </c>
      <c r="I32">
        <f>$B$7*(IF(I23=$B$17,$B$18,0)+IF(I23=$B$19,$B$20,0))+IF(AND(I25&gt;=0,I25&lt;$B$16),$B$7*$B$8,0)</f>
        <v/>
      </c>
      <c r="J32">
        <f>$B$7*(IF(J23=$B$17,$B$18,0)+IF(J23=$B$19,$B$20,0))+IF(AND(J25&gt;=0,J25&lt;$B$16),$B$7*$B$8,0)</f>
        <v/>
      </c>
      <c r="K32">
        <f>$B$7*(IF(K23=$B$17,$B$18,0)+IF(K23=$B$19,$B$20,0))+IF(AND(K25&gt;=0,K25&lt;$B$16),$B$7*$B$8,0)</f>
        <v/>
      </c>
      <c r="L32">
        <f>$B$7*(IF(L23=$B$17,$B$18,0)+IF(L23=$B$19,$B$20,0))+IF(AND(L25&gt;=0,L25&lt;$B$16),$B$7*$B$8,0)</f>
        <v/>
      </c>
      <c r="M32">
        <f>$B$7*(IF(M23=$B$17,$B$18,0)+IF(M23=$B$19,$B$20,0))+IF(AND(M25&gt;=0,M25&lt;$B$16),$B$7*$B$8,0)</f>
        <v/>
      </c>
      <c r="N32">
        <f>$B$7*(IF(N23=$B$17,$B$18,0)+IF(N23=$B$19,$B$20,0))+IF(AND(N25&gt;=0,N25&lt;$B$16),$B$7*$B$8,0)</f>
        <v/>
      </c>
      <c r="O32">
        <f>$B$7*(IF(O23=$B$17,$B$18,0)+IF(O23=$B$19,$B$20,0))+IF(AND(O25&gt;=0,O25&lt;$B$16),$B$7*$B$8,0)</f>
        <v/>
      </c>
      <c r="P32">
        <f>$B$7*(IF(P23=$B$17,$B$18,0)+IF(P23=$B$19,$B$20,0))+IF(AND(P25&gt;=0,P25&lt;$B$16),$B$7*$B$8,0)</f>
        <v/>
      </c>
      <c r="Q32">
        <f>$B$7*(IF(Q23=$B$17,$B$18,0)+IF(Q23=$B$19,$B$20,0))+IF(AND(Q25&gt;=0,Q25&lt;$B$16),$B$7*$B$8,0)</f>
        <v/>
      </c>
      <c r="R32">
        <f>$B$7*(IF(R23=$B$17,$B$18,0)+IF(R23=$B$19,$B$20,0))+IF(AND(R25&gt;=0,R25&lt;$B$16),$B$7*$B$8,0)</f>
        <v/>
      </c>
      <c r="S32">
        <f>$B$7*(IF(S23=$B$17,$B$18,0)+IF(S23=$B$19,$B$20,0))+IF(AND(S25&gt;=0,S25&lt;$B$16),$B$7*$B$8,0)</f>
        <v/>
      </c>
      <c r="T32">
        <f>$B$7*(IF(T23=$B$17,$B$18,0)+IF(T23=$B$19,$B$20,0))+IF(AND(T25&gt;=0,T25&lt;$B$16),$B$7*$B$8,0)</f>
        <v/>
      </c>
      <c r="U32">
        <f>$B$7*(IF(U23=$B$17,$B$18,0)+IF(U23=$B$19,$B$20,0))+IF(AND(U25&gt;=0,U25&lt;$B$16),$B$7*$B$8,0)</f>
        <v/>
      </c>
      <c r="V32">
        <f>$B$7*(IF(V23=$B$17,$B$18,0)+IF(V23=$B$19,$B$20,0))+IF(AND(V25&gt;=0,V25&lt;$B$16),$B$7*$B$8,0)</f>
        <v/>
      </c>
      <c r="W32">
        <f>$B$7*(IF(W23=$B$17,$B$18,0)+IF(W23=$B$19,$B$20,0))+IF(AND(W25&gt;=0,W25&lt;$B$16),$B$7*$B$8,0)</f>
        <v/>
      </c>
      <c r="X32">
        <f>$B$7*(IF(X23=$B$17,$B$18,0)+IF(X23=$B$19,$B$20,0))+IF(AND(X25&gt;=0,X25&lt;$B$16),$B$7*$B$8,0)</f>
        <v/>
      </c>
      <c r="Y32">
        <f>$B$7*(IF(Y23=$B$17,$B$18,0)+IF(Y23=$B$19,$B$20,0))+IF(AND(Y25&gt;=0,Y25&lt;$B$16),$B$7*$B$8,0)</f>
        <v/>
      </c>
      <c r="Z32">
        <f>$B$7*(IF(Z23=$B$17,$B$18,0)+IF(Z23=$B$19,$B$20,0))+IF(AND(Z25&gt;=0,Z25&lt;$B$16),$B$7*$B$8,0)</f>
        <v/>
      </c>
      <c r="AA32">
        <f>$B$7*(IF(AA23=$B$17,$B$18,0)+IF(AA23=$B$19,$B$20,0))+IF(AND(AA25&gt;=0,AA25&lt;$B$16),$B$7*$B$8,0)</f>
        <v/>
      </c>
      <c r="AB32">
        <f>$B$7*(IF(AB23=$B$17,$B$18,0)+IF(AB23=$B$19,$B$20,0))+IF(AND(AB25&gt;=0,AB25&lt;$B$16),$B$7*$B$8,0)</f>
        <v/>
      </c>
      <c r="AC32">
        <f>$B$7*(IF(AC23=$B$17,$B$18,0)+IF(AC23=$B$19,$B$20,0))+IF(AND(AC25&gt;=0,AC25&lt;$B$16),$B$7*$B$8,0)</f>
        <v/>
      </c>
      <c r="AD32">
        <f>$B$7*(IF(AD23=$B$17,$B$18,0)+IF(AD23=$B$19,$B$20,0))+IF(AND(AD25&gt;=0,AD25&lt;$B$16),$B$7*$B$8,0)</f>
        <v/>
      </c>
      <c r="AE32">
        <f>$B$7*(IF(AE23=$B$17,$B$18,0)+IF(AE23=$B$19,$B$20,0))+IF(AND(AE25&gt;=0,AE25&lt;$B$16),$B$7*$B$8,0)</f>
        <v/>
      </c>
    </row>
    <row r="33">
      <c r="A33" t="inlineStr">
        <is>
          <t>Tax depreciation</t>
        </is>
      </c>
      <c r="B33">
        <f>IF(AND(B25&gt;=0,B25&lt;$B$10),$B$7/$B$10,0)</f>
        <v/>
      </c>
      <c r="C33">
        <f>IF(AND(C25&gt;=0,C25&lt;$B$10),$B$7/$B$10,0)</f>
        <v/>
      </c>
      <c r="D33">
        <f>IF(AND(D25&gt;=0,D25&lt;$B$10),$B$7/$B$10,0)</f>
        <v/>
      </c>
      <c r="E33">
        <f>IF(AND(E25&gt;=0,E25&lt;$B$10),$B$7/$B$10,0)</f>
        <v/>
      </c>
      <c r="F33">
        <f>IF(AND(F25&gt;=0,F25&lt;$B$10),$B$7/$B$10,0)</f>
        <v/>
      </c>
      <c r="G33">
        <f>IF(AND(G25&gt;=0,G25&lt;$B$10),$B$7/$B$10,0)</f>
        <v/>
      </c>
      <c r="H33">
        <f>IF(AND(H25&gt;=0,H25&lt;$B$10),$B$7/$B$10,0)</f>
        <v/>
      </c>
      <c r="I33">
        <f>IF(AND(I25&gt;=0,I25&lt;$B$10),$B$7/$B$10,0)</f>
        <v/>
      </c>
      <c r="J33">
        <f>IF(AND(J25&gt;=0,J25&lt;$B$10),$B$7/$B$10,0)</f>
        <v/>
      </c>
      <c r="K33">
        <f>IF(AND(K25&gt;=0,K25&lt;$B$10),$B$7/$B$10,0)</f>
        <v/>
      </c>
      <c r="L33">
        <f>IF(AND(L25&gt;=0,L25&lt;$B$10),$B$7/$B$10,0)</f>
        <v/>
      </c>
      <c r="M33">
        <f>IF(AND(M25&gt;=0,M25&lt;$B$10),$B$7/$B$10,0)</f>
        <v/>
      </c>
      <c r="N33">
        <f>IF(AND(N25&gt;=0,N25&lt;$B$10),$B$7/$B$10,0)</f>
        <v/>
      </c>
      <c r="O33">
        <f>IF(AND(O25&gt;=0,O25&lt;$B$10),$B$7/$B$10,0)</f>
        <v/>
      </c>
      <c r="P33">
        <f>IF(AND(P25&gt;=0,P25&lt;$B$10),$B$7/$B$10,0)</f>
        <v/>
      </c>
      <c r="Q33">
        <f>IF(AND(Q25&gt;=0,Q25&lt;$B$10),$B$7/$B$10,0)</f>
        <v/>
      </c>
      <c r="R33">
        <f>IF(AND(R25&gt;=0,R25&lt;$B$10),$B$7/$B$10,0)</f>
        <v/>
      </c>
      <c r="S33">
        <f>IF(AND(S25&gt;=0,S25&lt;$B$10),$B$7/$B$10,0)</f>
        <v/>
      </c>
      <c r="T33">
        <f>IF(AND(T25&gt;=0,T25&lt;$B$10),$B$7/$B$10,0)</f>
        <v/>
      </c>
      <c r="U33">
        <f>IF(AND(U25&gt;=0,U25&lt;$B$10),$B$7/$B$10,0)</f>
        <v/>
      </c>
      <c r="V33">
        <f>IF(AND(V25&gt;=0,V25&lt;$B$10),$B$7/$B$10,0)</f>
        <v/>
      </c>
      <c r="W33">
        <f>IF(AND(W25&gt;=0,W25&lt;$B$10),$B$7/$B$10,0)</f>
        <v/>
      </c>
      <c r="X33">
        <f>IF(AND(X25&gt;=0,X25&lt;$B$10),$B$7/$B$10,0)</f>
        <v/>
      </c>
      <c r="Y33">
        <f>IF(AND(Y25&gt;=0,Y25&lt;$B$10),$B$7/$B$10,0)</f>
        <v/>
      </c>
      <c r="Z33">
        <f>IF(AND(Z25&gt;=0,Z25&lt;$B$10),$B$7/$B$10,0)</f>
        <v/>
      </c>
      <c r="AA33">
        <f>IF(AND(AA25&gt;=0,AA25&lt;$B$10),$B$7/$B$10,0)</f>
        <v/>
      </c>
      <c r="AB33">
        <f>IF(AND(AB25&gt;=0,AB25&lt;$B$10),$B$7/$B$10,0)</f>
        <v/>
      </c>
      <c r="AC33">
        <f>IF(AND(AC25&gt;=0,AC25&lt;$B$10),$B$7/$B$10,0)</f>
        <v/>
      </c>
      <c r="AD33">
        <f>IF(AND(AD25&gt;=0,AD25&lt;$B$10),$B$7/$B$10,0)</f>
        <v/>
      </c>
      <c r="AE33">
        <f>IF(AND(AE25&gt;=0,AE25&lt;$B$10),$B$7/$B$10,0)</f>
        <v/>
      </c>
    </row>
    <row r="34">
      <c r="A34" t="inlineStr">
        <is>
          <t>Cash tax</t>
        </is>
      </c>
      <c r="B34">
        <f>MAX(0,B31-B33)*$B$6</f>
        <v/>
      </c>
      <c r="C34">
        <f>MAX(0,C31-C33)*$B$6</f>
        <v/>
      </c>
      <c r="D34">
        <f>MAX(0,D31-D33)*$B$6</f>
        <v/>
      </c>
      <c r="E34">
        <f>MAX(0,E31-E33)*$B$6</f>
        <v/>
      </c>
      <c r="F34">
        <f>MAX(0,F31-F33)*$B$6</f>
        <v/>
      </c>
      <c r="G34">
        <f>MAX(0,G31-G33)*$B$6</f>
        <v/>
      </c>
      <c r="H34">
        <f>MAX(0,H31-H33)*$B$6</f>
        <v/>
      </c>
      <c r="I34">
        <f>MAX(0,I31-I33)*$B$6</f>
        <v/>
      </c>
      <c r="J34">
        <f>MAX(0,J31-J33)*$B$6</f>
        <v/>
      </c>
      <c r="K34">
        <f>MAX(0,K31-K33)*$B$6</f>
        <v/>
      </c>
      <c r="L34">
        <f>MAX(0,L31-L33)*$B$6</f>
        <v/>
      </c>
      <c r="M34">
        <f>MAX(0,M31-M33)*$B$6</f>
        <v/>
      </c>
      <c r="N34">
        <f>MAX(0,N31-N33)*$B$6</f>
        <v/>
      </c>
      <c r="O34">
        <f>MAX(0,O31-O33)*$B$6</f>
        <v/>
      </c>
      <c r="P34">
        <f>MAX(0,P31-P33)*$B$6</f>
        <v/>
      </c>
      <c r="Q34">
        <f>MAX(0,Q31-Q33)*$B$6</f>
        <v/>
      </c>
      <c r="R34">
        <f>MAX(0,R31-R33)*$B$6</f>
        <v/>
      </c>
      <c r="S34">
        <f>MAX(0,S31-S33)*$B$6</f>
        <v/>
      </c>
      <c r="T34">
        <f>MAX(0,T31-T33)*$B$6</f>
        <v/>
      </c>
      <c r="U34">
        <f>MAX(0,U31-U33)*$B$6</f>
        <v/>
      </c>
      <c r="V34">
        <f>MAX(0,V31-V33)*$B$6</f>
        <v/>
      </c>
      <c r="W34">
        <f>MAX(0,W31-W33)*$B$6</f>
        <v/>
      </c>
      <c r="X34">
        <f>MAX(0,X31-X33)*$B$6</f>
        <v/>
      </c>
      <c r="Y34">
        <f>MAX(0,Y31-Y33)*$B$6</f>
        <v/>
      </c>
      <c r="Z34">
        <f>MAX(0,Z31-Z33)*$B$6</f>
        <v/>
      </c>
      <c r="AA34">
        <f>MAX(0,AA31-AA33)*$B$6</f>
        <v/>
      </c>
      <c r="AB34">
        <f>MAX(0,AB31-AB33)*$B$6</f>
        <v/>
      </c>
      <c r="AC34">
        <f>MAX(0,AC31-AC33)*$B$6</f>
        <v/>
      </c>
      <c r="AD34">
        <f>MAX(0,AD31-AD33)*$B$6</f>
        <v/>
      </c>
      <c r="AE34">
        <f>MAX(0,AE31-AE33)*$B$6</f>
        <v/>
      </c>
    </row>
    <row r="35">
      <c r="A35" t="inlineStr">
        <is>
          <t>dWC</t>
        </is>
      </c>
      <c r="B35">
        <f>IF(B25&gt;=$B$16,0,$B$9*(B28-0))</f>
        <v/>
      </c>
      <c r="C35">
        <f>IF(C25&gt;=$B$16,0,$B$9*(C28-B28))</f>
        <v/>
      </c>
      <c r="D35">
        <f>IF(D25&gt;=$B$16,0,$B$9*(D28-C28))</f>
        <v/>
      </c>
      <c r="E35">
        <f>IF(E25&gt;=$B$16,0,$B$9*(E28-D28))</f>
        <v/>
      </c>
      <c r="F35">
        <f>IF(F25&gt;=$B$16,0,$B$9*(F28-E28))</f>
        <v/>
      </c>
      <c r="G35">
        <f>IF(G25&gt;=$B$16,0,$B$9*(G28-F28))</f>
        <v/>
      </c>
      <c r="H35">
        <f>IF(H25&gt;=$B$16,0,$B$9*(H28-G28))</f>
        <v/>
      </c>
      <c r="I35">
        <f>IF(I25&gt;=$B$16,0,$B$9*(I28-H28))</f>
        <v/>
      </c>
      <c r="J35">
        <f>IF(J25&gt;=$B$16,0,$B$9*(J28-I28))</f>
        <v/>
      </c>
      <c r="K35">
        <f>IF(K25&gt;=$B$16,0,$B$9*(K28-J28))</f>
        <v/>
      </c>
      <c r="L35">
        <f>IF(L25&gt;=$B$16,0,$B$9*(L28-K28))</f>
        <v/>
      </c>
      <c r="M35">
        <f>IF(M25&gt;=$B$16,0,$B$9*(M28-L28))</f>
        <v/>
      </c>
      <c r="N35">
        <f>IF(N25&gt;=$B$16,0,$B$9*(N28-M28))</f>
        <v/>
      </c>
      <c r="O35">
        <f>IF(O25&gt;=$B$16,0,$B$9*(O28-N28))</f>
        <v/>
      </c>
      <c r="P35">
        <f>IF(P25&gt;=$B$16,0,$B$9*(P28-O28))</f>
        <v/>
      </c>
      <c r="Q35">
        <f>IF(Q25&gt;=$B$16,0,$B$9*(Q28-P28))</f>
        <v/>
      </c>
      <c r="R35">
        <f>IF(R25&gt;=$B$16,0,$B$9*(R28-Q28))</f>
        <v/>
      </c>
      <c r="S35">
        <f>IF(S25&gt;=$B$16,0,$B$9*(S28-R28))</f>
        <v/>
      </c>
      <c r="T35">
        <f>IF(T25&gt;=$B$16,0,$B$9*(T28-S28))</f>
        <v/>
      </c>
      <c r="U35">
        <f>IF(U25&gt;=$B$16,0,$B$9*(U28-T28))</f>
        <v/>
      </c>
      <c r="V35">
        <f>IF(V25&gt;=$B$16,0,$B$9*(V28-U28))</f>
        <v/>
      </c>
      <c r="W35">
        <f>IF(W25&gt;=$B$16,0,$B$9*(W28-V28))</f>
        <v/>
      </c>
      <c r="X35">
        <f>IF(X25&gt;=$B$16,0,$B$9*(X28-W28))</f>
        <v/>
      </c>
      <c r="Y35">
        <f>IF(Y25&gt;=$B$16,0,$B$9*(Y28-X28))</f>
        <v/>
      </c>
      <c r="Z35">
        <f>IF(Z25&gt;=$B$16,0,$B$9*(Z28-Y28))</f>
        <v/>
      </c>
      <c r="AA35">
        <f>IF(AA25&gt;=$B$16,0,$B$9*(AA28-Z28))</f>
        <v/>
      </c>
      <c r="AB35">
        <f>IF(AB25&gt;=$B$16,0,$B$9*(AB28-AA28))</f>
        <v/>
      </c>
      <c r="AC35">
        <f>IF(AC25&gt;=$B$16,0,$B$9*(AC28-AB28))</f>
        <v/>
      </c>
      <c r="AD35">
        <f>IF(AD25&gt;=$B$16,0,$B$9*(AD28-AC28))</f>
        <v/>
      </c>
      <c r="AE35">
        <f>IF(AE25&gt;=$B$16,0,$B$9*(AE28-AD28))</f>
        <v/>
      </c>
    </row>
    <row r="36">
      <c r="A36" t="inlineStr">
        <is>
          <t>FCF</t>
        </is>
      </c>
      <c r="B36">
        <f>B31-B34-B32-B35</f>
        <v/>
      </c>
      <c r="C36">
        <f>C31-C34-C32-C35</f>
        <v/>
      </c>
      <c r="D36">
        <f>D31-D34-D32-D35</f>
        <v/>
      </c>
      <c r="E36">
        <f>E31-E34-E32-E35</f>
        <v/>
      </c>
      <c r="F36">
        <f>F31-F34-F32-F35</f>
        <v/>
      </c>
      <c r="G36">
        <f>G31-G34-G32-G35</f>
        <v/>
      </c>
      <c r="H36">
        <f>H31-H34-H32-H35</f>
        <v/>
      </c>
      <c r="I36">
        <f>I31-I34-I32-I35</f>
        <v/>
      </c>
      <c r="J36">
        <f>J31-J34-J32-J35</f>
        <v/>
      </c>
      <c r="K36">
        <f>K31-K34-K32-K35</f>
        <v/>
      </c>
      <c r="L36">
        <f>L31-L34-L32-L35</f>
        <v/>
      </c>
      <c r="M36">
        <f>M31-M34-M32-M35</f>
        <v/>
      </c>
      <c r="N36">
        <f>N31-N34-N32-N35</f>
        <v/>
      </c>
      <c r="O36">
        <f>O31-O34-O32-O35</f>
        <v/>
      </c>
      <c r="P36">
        <f>P31-P34-P32-P35</f>
        <v/>
      </c>
      <c r="Q36">
        <f>Q31-Q34-Q32-Q35</f>
        <v/>
      </c>
      <c r="R36">
        <f>R31-R34-R32-R35</f>
        <v/>
      </c>
      <c r="S36">
        <f>S31-S34-S32-S35</f>
        <v/>
      </c>
      <c r="T36">
        <f>T31-T34-T32-T35</f>
        <v/>
      </c>
      <c r="U36">
        <f>U31-U34-U32-U35</f>
        <v/>
      </c>
      <c r="V36">
        <f>V31-V34-V32-V35</f>
        <v/>
      </c>
      <c r="W36">
        <f>W31-W34-W32-W35</f>
        <v/>
      </c>
      <c r="X36">
        <f>X31-X34-X32-X35</f>
        <v/>
      </c>
      <c r="Y36">
        <f>Y31-Y34-Y32-Y35</f>
        <v/>
      </c>
      <c r="Z36">
        <f>Z31-Z34-Z32-Z35</f>
        <v/>
      </c>
      <c r="AA36">
        <f>AA31-AA34-AA32-AA35</f>
        <v/>
      </c>
      <c r="AB36">
        <f>AB31-AB34-AB32-AB35</f>
        <v/>
      </c>
      <c r="AC36">
        <f>AC31-AC34-AC32-AC35</f>
        <v/>
      </c>
      <c r="AD36">
        <f>AD31-AD34-AD32-AD35</f>
        <v/>
      </c>
      <c r="AE36">
        <f>AE31-AE34-AE32-AE35</f>
        <v/>
      </c>
    </row>
    <row r="37">
      <c r="A37" t="inlineStr">
        <is>
          <t>DF</t>
        </is>
      </c>
      <c r="B37">
        <f>1/(1+$B$11)^B23</f>
        <v/>
      </c>
      <c r="C37">
        <f>1/(1+$B$11)^C23</f>
        <v/>
      </c>
      <c r="D37">
        <f>1/(1+$B$11)^D23</f>
        <v/>
      </c>
      <c r="E37">
        <f>1/(1+$B$11)^E23</f>
        <v/>
      </c>
      <c r="F37">
        <f>1/(1+$B$11)^F23</f>
        <v/>
      </c>
      <c r="G37">
        <f>1/(1+$B$11)^G23</f>
        <v/>
      </c>
      <c r="H37">
        <f>1/(1+$B$11)^H23</f>
        <v/>
      </c>
      <c r="I37">
        <f>1/(1+$B$11)^I23</f>
        <v/>
      </c>
      <c r="J37">
        <f>1/(1+$B$11)^J23</f>
        <v/>
      </c>
      <c r="K37">
        <f>1/(1+$B$11)^K23</f>
        <v/>
      </c>
      <c r="L37">
        <f>1/(1+$B$11)^L23</f>
        <v/>
      </c>
      <c r="M37">
        <f>1/(1+$B$11)^M23</f>
        <v/>
      </c>
      <c r="N37">
        <f>1/(1+$B$11)^N23</f>
        <v/>
      </c>
      <c r="O37">
        <f>1/(1+$B$11)^O23</f>
        <v/>
      </c>
      <c r="P37">
        <f>1/(1+$B$11)^P23</f>
        <v/>
      </c>
      <c r="Q37">
        <f>1/(1+$B$11)^Q23</f>
        <v/>
      </c>
      <c r="R37">
        <f>1/(1+$B$11)^R23</f>
        <v/>
      </c>
      <c r="S37">
        <f>1/(1+$B$11)^S23</f>
        <v/>
      </c>
      <c r="T37">
        <f>1/(1+$B$11)^T23</f>
        <v/>
      </c>
      <c r="U37">
        <f>1/(1+$B$11)^U23</f>
        <v/>
      </c>
      <c r="V37">
        <f>1/(1+$B$11)^V23</f>
        <v/>
      </c>
      <c r="W37">
        <f>1/(1+$B$11)^W23</f>
        <v/>
      </c>
      <c r="X37">
        <f>1/(1+$B$11)^X23</f>
        <v/>
      </c>
      <c r="Y37">
        <f>1/(1+$B$11)^Y23</f>
        <v/>
      </c>
      <c r="Z37">
        <f>1/(1+$B$11)^Z23</f>
        <v/>
      </c>
      <c r="AA37">
        <f>1/(1+$B$11)^AA23</f>
        <v/>
      </c>
      <c r="AB37">
        <f>1/(1+$B$11)^AB23</f>
        <v/>
      </c>
      <c r="AC37">
        <f>1/(1+$B$11)^AC23</f>
        <v/>
      </c>
      <c r="AD37">
        <f>1/(1+$B$11)^AD23</f>
        <v/>
      </c>
      <c r="AE37">
        <f>1/(1+$B$11)^AE23</f>
        <v/>
      </c>
    </row>
    <row r="38">
      <c r="A38" t="inlineStr">
        <is>
          <t>PV</t>
        </is>
      </c>
      <c r="B38">
        <f>B36*B37</f>
        <v/>
      </c>
      <c r="C38">
        <f>C36*C37</f>
        <v/>
      </c>
      <c r="D38">
        <f>D36*D37</f>
        <v/>
      </c>
      <c r="E38">
        <f>E36*E37</f>
        <v/>
      </c>
      <c r="F38">
        <f>F36*F37</f>
        <v/>
      </c>
      <c r="G38">
        <f>G36*G37</f>
        <v/>
      </c>
      <c r="H38">
        <f>H36*H37</f>
        <v/>
      </c>
      <c r="I38">
        <f>I36*I37</f>
        <v/>
      </c>
      <c r="J38">
        <f>J36*J37</f>
        <v/>
      </c>
      <c r="K38">
        <f>K36*K37</f>
        <v/>
      </c>
      <c r="L38">
        <f>L36*L37</f>
        <v/>
      </c>
      <c r="M38">
        <f>M36*M37</f>
        <v/>
      </c>
      <c r="N38">
        <f>N36*N37</f>
        <v/>
      </c>
      <c r="O38">
        <f>O36*O37</f>
        <v/>
      </c>
      <c r="P38">
        <f>P36*P37</f>
        <v/>
      </c>
      <c r="Q38">
        <f>Q36*Q37</f>
        <v/>
      </c>
      <c r="R38">
        <f>R36*R37</f>
        <v/>
      </c>
      <c r="S38">
        <f>S36*S37</f>
        <v/>
      </c>
      <c r="T38">
        <f>T36*T37</f>
        <v/>
      </c>
      <c r="U38">
        <f>U36*U37</f>
        <v/>
      </c>
      <c r="V38">
        <f>V36*V37</f>
        <v/>
      </c>
      <c r="W38">
        <f>W36*W37</f>
        <v/>
      </c>
      <c r="X38">
        <f>X36*X37</f>
        <v/>
      </c>
      <c r="Y38">
        <f>Y36*Y37</f>
        <v/>
      </c>
      <c r="Z38">
        <f>Z36*Z37</f>
        <v/>
      </c>
      <c r="AA38">
        <f>AA36*AA37</f>
        <v/>
      </c>
      <c r="AB38">
        <f>AB36*AB37</f>
        <v/>
      </c>
      <c r="AC38">
        <f>AC36*AC37</f>
        <v/>
      </c>
      <c r="AD38">
        <f>AD36*AD37</f>
        <v/>
      </c>
      <c r="AE38">
        <f>AE36*AE37</f>
        <v/>
      </c>
    </row>
    <row r="39">
      <c r="A39" t="inlineStr">
        <is>
          <t>DF @ hurdle</t>
        </is>
      </c>
      <c r="B39">
        <f>1/(1+$B$21)^B23</f>
        <v/>
      </c>
      <c r="C39">
        <f>1/(1+$B$21)^C23</f>
        <v/>
      </c>
      <c r="D39">
        <f>1/(1+$B$21)^D23</f>
        <v/>
      </c>
      <c r="E39">
        <f>1/(1+$B$21)^E23</f>
        <v/>
      </c>
      <c r="F39">
        <f>1/(1+$B$21)^F23</f>
        <v/>
      </c>
      <c r="G39">
        <f>1/(1+$B$21)^G23</f>
        <v/>
      </c>
      <c r="H39">
        <f>1/(1+$B$21)^H23</f>
        <v/>
      </c>
      <c r="I39">
        <f>1/(1+$B$21)^I23</f>
        <v/>
      </c>
      <c r="J39">
        <f>1/(1+$B$21)^J23</f>
        <v/>
      </c>
      <c r="K39">
        <f>1/(1+$B$21)^K23</f>
        <v/>
      </c>
      <c r="L39">
        <f>1/(1+$B$21)^L23</f>
        <v/>
      </c>
      <c r="M39">
        <f>1/(1+$B$21)^M23</f>
        <v/>
      </c>
      <c r="N39">
        <f>1/(1+$B$21)^N23</f>
        <v/>
      </c>
      <c r="O39">
        <f>1/(1+$B$21)^O23</f>
        <v/>
      </c>
      <c r="P39">
        <f>1/(1+$B$21)^P23</f>
        <v/>
      </c>
      <c r="Q39">
        <f>1/(1+$B$21)^Q23</f>
        <v/>
      </c>
      <c r="R39">
        <f>1/(1+$B$21)^R23</f>
        <v/>
      </c>
      <c r="S39">
        <f>1/(1+$B$21)^S23</f>
        <v/>
      </c>
      <c r="T39">
        <f>1/(1+$B$21)^T23</f>
        <v/>
      </c>
      <c r="U39">
        <f>1/(1+$B$21)^U23</f>
        <v/>
      </c>
      <c r="V39">
        <f>1/(1+$B$21)^V23</f>
        <v/>
      </c>
      <c r="W39">
        <f>1/(1+$B$21)^W23</f>
        <v/>
      </c>
      <c r="X39">
        <f>1/(1+$B$21)^X23</f>
        <v/>
      </c>
      <c r="Y39">
        <f>1/(1+$B$21)^Y23</f>
        <v/>
      </c>
      <c r="Z39">
        <f>1/(1+$B$21)^Z23</f>
        <v/>
      </c>
      <c r="AA39">
        <f>1/(1+$B$21)^AA23</f>
        <v/>
      </c>
      <c r="AB39">
        <f>1/(1+$B$21)^AB23</f>
        <v/>
      </c>
      <c r="AC39">
        <f>1/(1+$B$21)^AC23</f>
        <v/>
      </c>
      <c r="AD39">
        <f>1/(1+$B$21)^AD23</f>
        <v/>
      </c>
      <c r="AE39">
        <f>1/(1+$B$21)^AE23</f>
        <v/>
      </c>
    </row>
    <row r="40">
      <c r="A40" t="inlineStr">
        <is>
          <t>PV @ hurdle</t>
        </is>
      </c>
      <c r="B40">
        <f>B36*B39</f>
        <v/>
      </c>
      <c r="C40">
        <f>C36*C39</f>
        <v/>
      </c>
      <c r="D40">
        <f>D36*D39</f>
        <v/>
      </c>
      <c r="E40">
        <f>E36*E39</f>
        <v/>
      </c>
      <c r="F40">
        <f>F36*F39</f>
        <v/>
      </c>
      <c r="G40">
        <f>G36*G39</f>
        <v/>
      </c>
      <c r="H40">
        <f>H36*H39</f>
        <v/>
      </c>
      <c r="I40">
        <f>I36*I39</f>
        <v/>
      </c>
      <c r="J40">
        <f>J36*J39</f>
        <v/>
      </c>
      <c r="K40">
        <f>K36*K39</f>
        <v/>
      </c>
      <c r="L40">
        <f>L36*L39</f>
        <v/>
      </c>
      <c r="M40">
        <f>M36*M39</f>
        <v/>
      </c>
      <c r="N40">
        <f>N36*N39</f>
        <v/>
      </c>
      <c r="O40">
        <f>O36*O39</f>
        <v/>
      </c>
      <c r="P40">
        <f>P36*P39</f>
        <v/>
      </c>
      <c r="Q40">
        <f>Q36*Q39</f>
        <v/>
      </c>
      <c r="R40">
        <f>R36*R39</f>
        <v/>
      </c>
      <c r="S40">
        <f>S36*S39</f>
        <v/>
      </c>
      <c r="T40">
        <f>T36*T39</f>
        <v/>
      </c>
      <c r="U40">
        <f>U36*U39</f>
        <v/>
      </c>
      <c r="V40">
        <f>V36*V39</f>
        <v/>
      </c>
      <c r="W40">
        <f>W36*W39</f>
        <v/>
      </c>
      <c r="X40">
        <f>X36*X39</f>
        <v/>
      </c>
      <c r="Y40">
        <f>Y36*Y39</f>
        <v/>
      </c>
      <c r="Z40">
        <f>Z36*Z39</f>
        <v/>
      </c>
      <c r="AA40">
        <f>AA36*AA39</f>
        <v/>
      </c>
      <c r="AB40">
        <f>AB36*AB39</f>
        <v/>
      </c>
      <c r="AC40">
        <f>AC36*AC39</f>
        <v/>
      </c>
      <c r="AD40">
        <f>AD36*AD39</f>
        <v/>
      </c>
      <c r="AE40">
        <f>AE36*AE39</f>
        <v/>
      </c>
    </row>
    <row r="42">
      <c r="A42" t="inlineStr">
        <is>
          <t>Project NPV (US$m)</t>
        </is>
      </c>
      <c r="B42">
        <f>SUM(B38:AE38)</f>
        <v/>
      </c>
    </row>
    <row r="43">
      <c r="A43" t="inlineStr">
        <is>
          <t>Project NPV @ hurdle (US$m)</t>
        </is>
      </c>
      <c r="B43">
        <f>SUM(B40:AE40)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Bull_CF: 100% project, real US$m, unlevered post-tax. t=1 is calendar 2027.</t>
        </is>
      </c>
    </row>
    <row r="2">
      <c r="A2" t="inlineStr">
        <is>
          <t>Lithium price (US$/t real)</t>
        </is>
      </c>
      <c r="B2" t="n">
        <v>17000</v>
      </c>
    </row>
    <row r="3">
      <c r="A3" t="inlineStr">
        <is>
          <t>Opex (US$/t)</t>
        </is>
      </c>
      <c r="B3" t="n">
        <v>5000</v>
      </c>
    </row>
    <row r="4">
      <c r="A4" t="inlineStr">
        <is>
          <t>Freight/marketing (US$/t)</t>
        </is>
      </c>
      <c r="B4" t="n">
        <v>300</v>
      </c>
    </row>
    <row r="5">
      <c r="A5" t="inlineStr">
        <is>
          <t>Royalty + export duty</t>
        </is>
      </c>
      <c r="B5" t="n">
        <v>0.045</v>
      </c>
    </row>
    <row r="6">
      <c r="A6" t="inlineStr">
        <is>
          <t>Tax rate</t>
        </is>
      </c>
      <c r="B6" t="n">
        <v>0.25</v>
      </c>
    </row>
    <row r="7">
      <c r="A7" t="inlineStr">
        <is>
          <t>Initial capex (US$m)</t>
        </is>
      </c>
      <c r="B7" t="n">
        <v>230</v>
      </c>
    </row>
    <row r="8">
      <c r="A8" t="inlineStr">
        <is>
          <t>Sustaining capex % of initial</t>
        </is>
      </c>
      <c r="B8" t="n">
        <v>0.03</v>
      </c>
    </row>
    <row r="9">
      <c r="A9" t="inlineStr">
        <is>
          <t>WC % of revenue change</t>
        </is>
      </c>
      <c r="B9" t="n">
        <v>0.1</v>
      </c>
    </row>
    <row r="10">
      <c r="A10" t="inlineStr">
        <is>
          <t>Tax depreciation years</t>
        </is>
      </c>
      <c r="B10" t="n">
        <v>10</v>
      </c>
    </row>
    <row r="11">
      <c r="A11" t="inlineStr">
        <is>
          <t>Real discount rate</t>
        </is>
      </c>
      <c r="B11" t="n">
        <v>0.12</v>
      </c>
    </row>
    <row r="12">
      <c r="A12" t="inlineStr">
        <is>
          <t>First production t</t>
        </is>
      </c>
      <c r="B12" t="n">
        <v>3</v>
      </c>
    </row>
    <row r="13">
      <c r="A13" t="inlineStr">
        <is>
          <t>Nameplate tpa</t>
        </is>
      </c>
      <c r="B13" t="n">
        <v>12000</v>
      </c>
    </row>
    <row r="14">
      <c r="A14" t="inlineStr">
        <is>
          <t>Ramp yr1</t>
        </is>
      </c>
      <c r="B14" t="n">
        <v>0.5</v>
      </c>
    </row>
    <row r="15">
      <c r="A15" t="inlineStr">
        <is>
          <t>Ramp yr2</t>
        </is>
      </c>
      <c r="B15" t="n">
        <v>0.85</v>
      </c>
    </row>
    <row r="16">
      <c r="A16" t="inlineStr">
        <is>
          <t>Production years</t>
        </is>
      </c>
      <c r="B16" t="n">
        <v>25</v>
      </c>
    </row>
    <row r="17">
      <c r="A17" t="inlineStr">
        <is>
          <t>Capex sched t1</t>
        </is>
      </c>
      <c r="B17" t="n">
        <v>1</v>
      </c>
    </row>
    <row r="18">
      <c r="A18" t="inlineStr">
        <is>
          <t>Capex sched f1</t>
        </is>
      </c>
      <c r="B18" t="n">
        <v>0.4</v>
      </c>
    </row>
    <row r="19">
      <c r="A19" t="inlineStr">
        <is>
          <t>Capex sched t2</t>
        </is>
      </c>
      <c r="B19" t="n">
        <v>2</v>
      </c>
    </row>
    <row r="20">
      <c r="A20" t="inlineStr">
        <is>
          <t>Capex sched f2</t>
        </is>
      </c>
      <c r="B20" t="n">
        <v>0.6</v>
      </c>
    </row>
    <row r="21">
      <c r="A21" t="inlineStr">
        <is>
          <t>Hurdle rate</t>
        </is>
      </c>
      <c r="B21" t="n">
        <v>0.15</v>
      </c>
    </row>
    <row r="23">
      <c r="A23" t="inlineStr">
        <is>
          <t>t</t>
        </is>
      </c>
      <c r="B23" t="n">
        <v>1</v>
      </c>
      <c r="C23" t="n">
        <v>2</v>
      </c>
      <c r="D23" t="n">
        <v>3</v>
      </c>
      <c r="E23" t="n">
        <v>4</v>
      </c>
      <c r="F23" t="n">
        <v>5</v>
      </c>
      <c r="G23" t="n">
        <v>6</v>
      </c>
      <c r="H23" t="n">
        <v>7</v>
      </c>
      <c r="I23" t="n">
        <v>8</v>
      </c>
      <c r="J23" t="n">
        <v>9</v>
      </c>
      <c r="K23" t="n">
        <v>10</v>
      </c>
      <c r="L23" t="n">
        <v>11</v>
      </c>
      <c r="M23" t="n">
        <v>12</v>
      </c>
      <c r="N23" t="n">
        <v>13</v>
      </c>
      <c r="O23" t="n">
        <v>14</v>
      </c>
      <c r="P23" t="n">
        <v>15</v>
      </c>
      <c r="Q23" t="n">
        <v>16</v>
      </c>
      <c r="R23" t="n">
        <v>17</v>
      </c>
      <c r="S23" t="n">
        <v>18</v>
      </c>
      <c r="T23" t="n">
        <v>19</v>
      </c>
      <c r="U23" t="n">
        <v>20</v>
      </c>
      <c r="V23" t="n">
        <v>21</v>
      </c>
      <c r="W23" t="n">
        <v>22</v>
      </c>
      <c r="X23" t="n">
        <v>23</v>
      </c>
      <c r="Y23" t="n">
        <v>24</v>
      </c>
      <c r="Z23" t="n">
        <v>25</v>
      </c>
      <c r="AA23" t="n">
        <v>26</v>
      </c>
      <c r="AB23" t="n">
        <v>27</v>
      </c>
      <c r="AC23" t="n">
        <v>28</v>
      </c>
      <c r="AD23" t="n">
        <v>29</v>
      </c>
      <c r="AE23" t="n">
        <v>30</v>
      </c>
    </row>
    <row r="24">
      <c r="A24" t="inlineStr">
        <is>
          <t>Year</t>
        </is>
      </c>
      <c r="B24">
        <f>2026+B23</f>
        <v/>
      </c>
      <c r="C24">
        <f>2026+C23</f>
        <v/>
      </c>
      <c r="D24">
        <f>2026+D23</f>
        <v/>
      </c>
      <c r="E24">
        <f>2026+E23</f>
        <v/>
      </c>
      <c r="F24">
        <f>2026+F23</f>
        <v/>
      </c>
      <c r="G24">
        <f>2026+G23</f>
        <v/>
      </c>
      <c r="H24">
        <f>2026+H23</f>
        <v/>
      </c>
      <c r="I24">
        <f>2026+I23</f>
        <v/>
      </c>
      <c r="J24">
        <f>2026+J23</f>
        <v/>
      </c>
      <c r="K24">
        <f>2026+K23</f>
        <v/>
      </c>
      <c r="L24">
        <f>2026+L23</f>
        <v/>
      </c>
      <c r="M24">
        <f>2026+M23</f>
        <v/>
      </c>
      <c r="N24">
        <f>2026+N23</f>
        <v/>
      </c>
      <c r="O24">
        <f>2026+O23</f>
        <v/>
      </c>
      <c r="P24">
        <f>2026+P23</f>
        <v/>
      </c>
      <c r="Q24">
        <f>2026+Q23</f>
        <v/>
      </c>
      <c r="R24">
        <f>2026+R23</f>
        <v/>
      </c>
      <c r="S24">
        <f>2026+S23</f>
        <v/>
      </c>
      <c r="T24">
        <f>2026+T23</f>
        <v/>
      </c>
      <c r="U24">
        <f>2026+U23</f>
        <v/>
      </c>
      <c r="V24">
        <f>2026+V23</f>
        <v/>
      </c>
      <c r="W24">
        <f>2026+W23</f>
        <v/>
      </c>
      <c r="X24">
        <f>2026+X23</f>
        <v/>
      </c>
      <c r="Y24">
        <f>2026+Y23</f>
        <v/>
      </c>
      <c r="Z24">
        <f>2026+Z23</f>
        <v/>
      </c>
      <c r="AA24">
        <f>2026+AA23</f>
        <v/>
      </c>
      <c r="AB24">
        <f>2026+AB23</f>
        <v/>
      </c>
      <c r="AC24">
        <f>2026+AC23</f>
        <v/>
      </c>
      <c r="AD24">
        <f>2026+AD23</f>
        <v/>
      </c>
      <c r="AE24">
        <f>2026+AE23</f>
        <v/>
      </c>
    </row>
    <row r="25">
      <c r="A25" t="inlineStr">
        <is>
          <t>k = t - first_t</t>
        </is>
      </c>
      <c r="B25">
        <f>B23-$B$12</f>
        <v/>
      </c>
      <c r="C25">
        <f>C23-$B$12</f>
        <v/>
      </c>
      <c r="D25">
        <f>D23-$B$12</f>
        <v/>
      </c>
      <c r="E25">
        <f>E23-$B$12</f>
        <v/>
      </c>
      <c r="F25">
        <f>F23-$B$12</f>
        <v/>
      </c>
      <c r="G25">
        <f>G23-$B$12</f>
        <v/>
      </c>
      <c r="H25">
        <f>H23-$B$12</f>
        <v/>
      </c>
      <c r="I25">
        <f>I23-$B$12</f>
        <v/>
      </c>
      <c r="J25">
        <f>J23-$B$12</f>
        <v/>
      </c>
      <c r="K25">
        <f>K23-$B$12</f>
        <v/>
      </c>
      <c r="L25">
        <f>L23-$B$12</f>
        <v/>
      </c>
      <c r="M25">
        <f>M23-$B$12</f>
        <v/>
      </c>
      <c r="N25">
        <f>N23-$B$12</f>
        <v/>
      </c>
      <c r="O25">
        <f>O23-$B$12</f>
        <v/>
      </c>
      <c r="P25">
        <f>P23-$B$12</f>
        <v/>
      </c>
      <c r="Q25">
        <f>Q23-$B$12</f>
        <v/>
      </c>
      <c r="R25">
        <f>R23-$B$12</f>
        <v/>
      </c>
      <c r="S25">
        <f>S23-$B$12</f>
        <v/>
      </c>
      <c r="T25">
        <f>T23-$B$12</f>
        <v/>
      </c>
      <c r="U25">
        <f>U23-$B$12</f>
        <v/>
      </c>
      <c r="V25">
        <f>V23-$B$12</f>
        <v/>
      </c>
      <c r="W25">
        <f>W23-$B$12</f>
        <v/>
      </c>
      <c r="X25">
        <f>X23-$B$12</f>
        <v/>
      </c>
      <c r="Y25">
        <f>Y23-$B$12</f>
        <v/>
      </c>
      <c r="Z25">
        <f>Z23-$B$12</f>
        <v/>
      </c>
      <c r="AA25">
        <f>AA23-$B$12</f>
        <v/>
      </c>
      <c r="AB25">
        <f>AB23-$B$12</f>
        <v/>
      </c>
      <c r="AC25">
        <f>AC23-$B$12</f>
        <v/>
      </c>
      <c r="AD25">
        <f>AD23-$B$12</f>
        <v/>
      </c>
      <c r="AE25">
        <f>AE23-$B$12</f>
        <v/>
      </c>
    </row>
    <row r="26">
      <c r="A26" t="inlineStr">
        <is>
          <t>Utilisation</t>
        </is>
      </c>
      <c r="B26">
        <f>IF(OR(B25&lt;0,B25&gt;=$B$16),0,IF(B25=0,$B$14,IF(B25=1,$B$15,1)))</f>
        <v/>
      </c>
      <c r="C26">
        <f>IF(OR(C25&lt;0,C25&gt;=$B$16),0,IF(C25=0,$B$14,IF(C25=1,$B$15,1)))</f>
        <v/>
      </c>
      <c r="D26">
        <f>IF(OR(D25&lt;0,D25&gt;=$B$16),0,IF(D25=0,$B$14,IF(D25=1,$B$15,1)))</f>
        <v/>
      </c>
      <c r="E26">
        <f>IF(OR(E25&lt;0,E25&gt;=$B$16),0,IF(E25=0,$B$14,IF(E25=1,$B$15,1)))</f>
        <v/>
      </c>
      <c r="F26">
        <f>IF(OR(F25&lt;0,F25&gt;=$B$16),0,IF(F25=0,$B$14,IF(F25=1,$B$15,1)))</f>
        <v/>
      </c>
      <c r="G26">
        <f>IF(OR(G25&lt;0,G25&gt;=$B$16),0,IF(G25=0,$B$14,IF(G25=1,$B$15,1)))</f>
        <v/>
      </c>
      <c r="H26">
        <f>IF(OR(H25&lt;0,H25&gt;=$B$16),0,IF(H25=0,$B$14,IF(H25=1,$B$15,1)))</f>
        <v/>
      </c>
      <c r="I26">
        <f>IF(OR(I25&lt;0,I25&gt;=$B$16),0,IF(I25=0,$B$14,IF(I25=1,$B$15,1)))</f>
        <v/>
      </c>
      <c r="J26">
        <f>IF(OR(J25&lt;0,J25&gt;=$B$16),0,IF(J25=0,$B$14,IF(J25=1,$B$15,1)))</f>
        <v/>
      </c>
      <c r="K26">
        <f>IF(OR(K25&lt;0,K25&gt;=$B$16),0,IF(K25=0,$B$14,IF(K25=1,$B$15,1)))</f>
        <v/>
      </c>
      <c r="L26">
        <f>IF(OR(L25&lt;0,L25&gt;=$B$16),0,IF(L25=0,$B$14,IF(L25=1,$B$15,1)))</f>
        <v/>
      </c>
      <c r="M26">
        <f>IF(OR(M25&lt;0,M25&gt;=$B$16),0,IF(M25=0,$B$14,IF(M25=1,$B$15,1)))</f>
        <v/>
      </c>
      <c r="N26">
        <f>IF(OR(N25&lt;0,N25&gt;=$B$16),0,IF(N25=0,$B$14,IF(N25=1,$B$15,1)))</f>
        <v/>
      </c>
      <c r="O26">
        <f>IF(OR(O25&lt;0,O25&gt;=$B$16),0,IF(O25=0,$B$14,IF(O25=1,$B$15,1)))</f>
        <v/>
      </c>
      <c r="P26">
        <f>IF(OR(P25&lt;0,P25&gt;=$B$16),0,IF(P25=0,$B$14,IF(P25=1,$B$15,1)))</f>
        <v/>
      </c>
      <c r="Q26">
        <f>IF(OR(Q25&lt;0,Q25&gt;=$B$16),0,IF(Q25=0,$B$14,IF(Q25=1,$B$15,1)))</f>
        <v/>
      </c>
      <c r="R26">
        <f>IF(OR(R25&lt;0,R25&gt;=$B$16),0,IF(R25=0,$B$14,IF(R25=1,$B$15,1)))</f>
        <v/>
      </c>
      <c r="S26">
        <f>IF(OR(S25&lt;0,S25&gt;=$B$16),0,IF(S25=0,$B$14,IF(S25=1,$B$15,1)))</f>
        <v/>
      </c>
      <c r="T26">
        <f>IF(OR(T25&lt;0,T25&gt;=$B$16),0,IF(T25=0,$B$14,IF(T25=1,$B$15,1)))</f>
        <v/>
      </c>
      <c r="U26">
        <f>IF(OR(U25&lt;0,U25&gt;=$B$16),0,IF(U25=0,$B$14,IF(U25=1,$B$15,1)))</f>
        <v/>
      </c>
      <c r="V26">
        <f>IF(OR(V25&lt;0,V25&gt;=$B$16),0,IF(V25=0,$B$14,IF(V25=1,$B$15,1)))</f>
        <v/>
      </c>
      <c r="W26">
        <f>IF(OR(W25&lt;0,W25&gt;=$B$16),0,IF(W25=0,$B$14,IF(W25=1,$B$15,1)))</f>
        <v/>
      </c>
      <c r="X26">
        <f>IF(OR(X25&lt;0,X25&gt;=$B$16),0,IF(X25=0,$B$14,IF(X25=1,$B$15,1)))</f>
        <v/>
      </c>
      <c r="Y26">
        <f>IF(OR(Y25&lt;0,Y25&gt;=$B$16),0,IF(Y25=0,$B$14,IF(Y25=1,$B$15,1)))</f>
        <v/>
      </c>
      <c r="Z26">
        <f>IF(OR(Z25&lt;0,Z25&gt;=$B$16),0,IF(Z25=0,$B$14,IF(Z25=1,$B$15,1)))</f>
        <v/>
      </c>
      <c r="AA26">
        <f>IF(OR(AA25&lt;0,AA25&gt;=$B$16),0,IF(AA25=0,$B$14,IF(AA25=1,$B$15,1)))</f>
        <v/>
      </c>
      <c r="AB26">
        <f>IF(OR(AB25&lt;0,AB25&gt;=$B$16),0,IF(AB25=0,$B$14,IF(AB25=1,$B$15,1)))</f>
        <v/>
      </c>
      <c r="AC26">
        <f>IF(OR(AC25&lt;0,AC25&gt;=$B$16),0,IF(AC25=0,$B$14,IF(AC25=1,$B$15,1)))</f>
        <v/>
      </c>
      <c r="AD26">
        <f>IF(OR(AD25&lt;0,AD25&gt;=$B$16),0,IF(AD25=0,$B$14,IF(AD25=1,$B$15,1)))</f>
        <v/>
      </c>
      <c r="AE26">
        <f>IF(OR(AE25&lt;0,AE25&gt;=$B$16),0,IF(AE25=0,$B$14,IF(AE25=1,$B$15,1)))</f>
        <v/>
      </c>
    </row>
    <row r="27">
      <c r="A27" t="inlineStr">
        <is>
          <t>Production (t)</t>
        </is>
      </c>
      <c r="B27">
        <f>$B$13*B26</f>
        <v/>
      </c>
      <c r="C27">
        <f>$B$13*C26</f>
        <v/>
      </c>
      <c r="D27">
        <f>$B$13*D26</f>
        <v/>
      </c>
      <c r="E27">
        <f>$B$13*E26</f>
        <v/>
      </c>
      <c r="F27">
        <f>$B$13*F26</f>
        <v/>
      </c>
      <c r="G27">
        <f>$B$13*G26</f>
        <v/>
      </c>
      <c r="H27">
        <f>$B$13*H26</f>
        <v/>
      </c>
      <c r="I27">
        <f>$B$13*I26</f>
        <v/>
      </c>
      <c r="J27">
        <f>$B$13*J26</f>
        <v/>
      </c>
      <c r="K27">
        <f>$B$13*K26</f>
        <v/>
      </c>
      <c r="L27">
        <f>$B$13*L26</f>
        <v/>
      </c>
      <c r="M27">
        <f>$B$13*M26</f>
        <v/>
      </c>
      <c r="N27">
        <f>$B$13*N26</f>
        <v/>
      </c>
      <c r="O27">
        <f>$B$13*O26</f>
        <v/>
      </c>
      <c r="P27">
        <f>$B$13*P26</f>
        <v/>
      </c>
      <c r="Q27">
        <f>$B$13*Q26</f>
        <v/>
      </c>
      <c r="R27">
        <f>$B$13*R26</f>
        <v/>
      </c>
      <c r="S27">
        <f>$B$13*S26</f>
        <v/>
      </c>
      <c r="T27">
        <f>$B$13*T26</f>
        <v/>
      </c>
      <c r="U27">
        <f>$B$13*U26</f>
        <v/>
      </c>
      <c r="V27">
        <f>$B$13*V26</f>
        <v/>
      </c>
      <c r="W27">
        <f>$B$13*W26</f>
        <v/>
      </c>
      <c r="X27">
        <f>$B$13*X26</f>
        <v/>
      </c>
      <c r="Y27">
        <f>$B$13*Y26</f>
        <v/>
      </c>
      <c r="Z27">
        <f>$B$13*Z26</f>
        <v/>
      </c>
      <c r="AA27">
        <f>$B$13*AA26</f>
        <v/>
      </c>
      <c r="AB27">
        <f>$B$13*AB26</f>
        <v/>
      </c>
      <c r="AC27">
        <f>$B$13*AC26</f>
        <v/>
      </c>
      <c r="AD27">
        <f>$B$13*AD26</f>
        <v/>
      </c>
      <c r="AE27">
        <f>$B$13*AE26</f>
        <v/>
      </c>
    </row>
    <row r="28">
      <c r="A28" t="inlineStr">
        <is>
          <t>Revenue</t>
        </is>
      </c>
      <c r="B28">
        <f>B27*$B$2/1000000</f>
        <v/>
      </c>
      <c r="C28">
        <f>C27*$B$2/1000000</f>
        <v/>
      </c>
      <c r="D28">
        <f>D27*$B$2/1000000</f>
        <v/>
      </c>
      <c r="E28">
        <f>E27*$B$2/1000000</f>
        <v/>
      </c>
      <c r="F28">
        <f>F27*$B$2/1000000</f>
        <v/>
      </c>
      <c r="G28">
        <f>G27*$B$2/1000000</f>
        <v/>
      </c>
      <c r="H28">
        <f>H27*$B$2/1000000</f>
        <v/>
      </c>
      <c r="I28">
        <f>I27*$B$2/1000000</f>
        <v/>
      </c>
      <c r="J28">
        <f>J27*$B$2/1000000</f>
        <v/>
      </c>
      <c r="K28">
        <f>K27*$B$2/1000000</f>
        <v/>
      </c>
      <c r="L28">
        <f>L27*$B$2/1000000</f>
        <v/>
      </c>
      <c r="M28">
        <f>M27*$B$2/1000000</f>
        <v/>
      </c>
      <c r="N28">
        <f>N27*$B$2/1000000</f>
        <v/>
      </c>
      <c r="O28">
        <f>O27*$B$2/1000000</f>
        <v/>
      </c>
      <c r="P28">
        <f>P27*$B$2/1000000</f>
        <v/>
      </c>
      <c r="Q28">
        <f>Q27*$B$2/1000000</f>
        <v/>
      </c>
      <c r="R28">
        <f>R27*$B$2/1000000</f>
        <v/>
      </c>
      <c r="S28">
        <f>S27*$B$2/1000000</f>
        <v/>
      </c>
      <c r="T28">
        <f>T27*$B$2/1000000</f>
        <v/>
      </c>
      <c r="U28">
        <f>U27*$B$2/1000000</f>
        <v/>
      </c>
      <c r="V28">
        <f>V27*$B$2/1000000</f>
        <v/>
      </c>
      <c r="W28">
        <f>W27*$B$2/1000000</f>
        <v/>
      </c>
      <c r="X28">
        <f>X27*$B$2/1000000</f>
        <v/>
      </c>
      <c r="Y28">
        <f>Y27*$B$2/1000000</f>
        <v/>
      </c>
      <c r="Z28">
        <f>Z27*$B$2/1000000</f>
        <v/>
      </c>
      <c r="AA28">
        <f>AA27*$B$2/1000000</f>
        <v/>
      </c>
      <c r="AB28">
        <f>AB27*$B$2/1000000</f>
        <v/>
      </c>
      <c r="AC28">
        <f>AC27*$B$2/1000000</f>
        <v/>
      </c>
      <c r="AD28">
        <f>AD27*$B$2/1000000</f>
        <v/>
      </c>
      <c r="AE28">
        <f>AE27*$B$2/1000000</f>
        <v/>
      </c>
    </row>
    <row r="29">
      <c r="A29" t="inlineStr">
        <is>
          <t>Levies</t>
        </is>
      </c>
      <c r="B29">
        <f>B28*$B$5</f>
        <v/>
      </c>
      <c r="C29">
        <f>C28*$B$5</f>
        <v/>
      </c>
      <c r="D29">
        <f>D28*$B$5</f>
        <v/>
      </c>
      <c r="E29">
        <f>E28*$B$5</f>
        <v/>
      </c>
      <c r="F29">
        <f>F28*$B$5</f>
        <v/>
      </c>
      <c r="G29">
        <f>G28*$B$5</f>
        <v/>
      </c>
      <c r="H29">
        <f>H28*$B$5</f>
        <v/>
      </c>
      <c r="I29">
        <f>I28*$B$5</f>
        <v/>
      </c>
      <c r="J29">
        <f>J28*$B$5</f>
        <v/>
      </c>
      <c r="K29">
        <f>K28*$B$5</f>
        <v/>
      </c>
      <c r="L29">
        <f>L28*$B$5</f>
        <v/>
      </c>
      <c r="M29">
        <f>M28*$B$5</f>
        <v/>
      </c>
      <c r="N29">
        <f>N28*$B$5</f>
        <v/>
      </c>
      <c r="O29">
        <f>O28*$B$5</f>
        <v/>
      </c>
      <c r="P29">
        <f>P28*$B$5</f>
        <v/>
      </c>
      <c r="Q29">
        <f>Q28*$B$5</f>
        <v/>
      </c>
      <c r="R29">
        <f>R28*$B$5</f>
        <v/>
      </c>
      <c r="S29">
        <f>S28*$B$5</f>
        <v/>
      </c>
      <c r="T29">
        <f>T28*$B$5</f>
        <v/>
      </c>
      <c r="U29">
        <f>U28*$B$5</f>
        <v/>
      </c>
      <c r="V29">
        <f>V28*$B$5</f>
        <v/>
      </c>
      <c r="W29">
        <f>W28*$B$5</f>
        <v/>
      </c>
      <c r="X29">
        <f>X28*$B$5</f>
        <v/>
      </c>
      <c r="Y29">
        <f>Y28*$B$5</f>
        <v/>
      </c>
      <c r="Z29">
        <f>Z28*$B$5</f>
        <v/>
      </c>
      <c r="AA29">
        <f>AA28*$B$5</f>
        <v/>
      </c>
      <c r="AB29">
        <f>AB28*$B$5</f>
        <v/>
      </c>
      <c r="AC29">
        <f>AC28*$B$5</f>
        <v/>
      </c>
      <c r="AD29">
        <f>AD28*$B$5</f>
        <v/>
      </c>
      <c r="AE29">
        <f>AE28*$B$5</f>
        <v/>
      </c>
    </row>
    <row r="30">
      <c r="A30" t="inlineStr">
        <is>
          <t>Opex</t>
        </is>
      </c>
      <c r="B30">
        <f>B27*($B$3+$B$4)/1000000</f>
        <v/>
      </c>
      <c r="C30">
        <f>C27*($B$3+$B$4)/1000000</f>
        <v/>
      </c>
      <c r="D30">
        <f>D27*($B$3+$B$4)/1000000</f>
        <v/>
      </c>
      <c r="E30">
        <f>E27*($B$3+$B$4)/1000000</f>
        <v/>
      </c>
      <c r="F30">
        <f>F27*($B$3+$B$4)/1000000</f>
        <v/>
      </c>
      <c r="G30">
        <f>G27*($B$3+$B$4)/1000000</f>
        <v/>
      </c>
      <c r="H30">
        <f>H27*($B$3+$B$4)/1000000</f>
        <v/>
      </c>
      <c r="I30">
        <f>I27*($B$3+$B$4)/1000000</f>
        <v/>
      </c>
      <c r="J30">
        <f>J27*($B$3+$B$4)/1000000</f>
        <v/>
      </c>
      <c r="K30">
        <f>K27*($B$3+$B$4)/1000000</f>
        <v/>
      </c>
      <c r="L30">
        <f>L27*($B$3+$B$4)/1000000</f>
        <v/>
      </c>
      <c r="M30">
        <f>M27*($B$3+$B$4)/1000000</f>
        <v/>
      </c>
      <c r="N30">
        <f>N27*($B$3+$B$4)/1000000</f>
        <v/>
      </c>
      <c r="O30">
        <f>O27*($B$3+$B$4)/1000000</f>
        <v/>
      </c>
      <c r="P30">
        <f>P27*($B$3+$B$4)/1000000</f>
        <v/>
      </c>
      <c r="Q30">
        <f>Q27*($B$3+$B$4)/1000000</f>
        <v/>
      </c>
      <c r="R30">
        <f>R27*($B$3+$B$4)/1000000</f>
        <v/>
      </c>
      <c r="S30">
        <f>S27*($B$3+$B$4)/1000000</f>
        <v/>
      </c>
      <c r="T30">
        <f>T27*($B$3+$B$4)/1000000</f>
        <v/>
      </c>
      <c r="U30">
        <f>U27*($B$3+$B$4)/1000000</f>
        <v/>
      </c>
      <c r="V30">
        <f>V27*($B$3+$B$4)/1000000</f>
        <v/>
      </c>
      <c r="W30">
        <f>W27*($B$3+$B$4)/1000000</f>
        <v/>
      </c>
      <c r="X30">
        <f>X27*($B$3+$B$4)/1000000</f>
        <v/>
      </c>
      <c r="Y30">
        <f>Y27*($B$3+$B$4)/1000000</f>
        <v/>
      </c>
      <c r="Z30">
        <f>Z27*($B$3+$B$4)/1000000</f>
        <v/>
      </c>
      <c r="AA30">
        <f>AA27*($B$3+$B$4)/1000000</f>
        <v/>
      </c>
      <c r="AB30">
        <f>AB27*($B$3+$B$4)/1000000</f>
        <v/>
      </c>
      <c r="AC30">
        <f>AC27*($B$3+$B$4)/1000000</f>
        <v/>
      </c>
      <c r="AD30">
        <f>AD27*($B$3+$B$4)/1000000</f>
        <v/>
      </c>
      <c r="AE30">
        <f>AE27*($B$3+$B$4)/1000000</f>
        <v/>
      </c>
    </row>
    <row r="31">
      <c r="A31" t="inlineStr">
        <is>
          <t>EBITDA</t>
        </is>
      </c>
      <c r="B31">
        <f>B28-B29-B30</f>
        <v/>
      </c>
      <c r="C31">
        <f>C28-C29-C30</f>
        <v/>
      </c>
      <c r="D31">
        <f>D28-D29-D30</f>
        <v/>
      </c>
      <c r="E31">
        <f>E28-E29-E30</f>
        <v/>
      </c>
      <c r="F31">
        <f>F28-F29-F30</f>
        <v/>
      </c>
      <c r="G31">
        <f>G28-G29-G30</f>
        <v/>
      </c>
      <c r="H31">
        <f>H28-H29-H30</f>
        <v/>
      </c>
      <c r="I31">
        <f>I28-I29-I30</f>
        <v/>
      </c>
      <c r="J31">
        <f>J28-J29-J30</f>
        <v/>
      </c>
      <c r="K31">
        <f>K28-K29-K30</f>
        <v/>
      </c>
      <c r="L31">
        <f>L28-L29-L30</f>
        <v/>
      </c>
      <c r="M31">
        <f>M28-M29-M30</f>
        <v/>
      </c>
      <c r="N31">
        <f>N28-N29-N30</f>
        <v/>
      </c>
      <c r="O31">
        <f>O28-O29-O30</f>
        <v/>
      </c>
      <c r="P31">
        <f>P28-P29-P30</f>
        <v/>
      </c>
      <c r="Q31">
        <f>Q28-Q29-Q30</f>
        <v/>
      </c>
      <c r="R31">
        <f>R28-R29-R30</f>
        <v/>
      </c>
      <c r="S31">
        <f>S28-S29-S30</f>
        <v/>
      </c>
      <c r="T31">
        <f>T28-T29-T30</f>
        <v/>
      </c>
      <c r="U31">
        <f>U28-U29-U30</f>
        <v/>
      </c>
      <c r="V31">
        <f>V28-V29-V30</f>
        <v/>
      </c>
      <c r="W31">
        <f>W28-W29-W30</f>
        <v/>
      </c>
      <c r="X31">
        <f>X28-X29-X30</f>
        <v/>
      </c>
      <c r="Y31">
        <f>Y28-Y29-Y30</f>
        <v/>
      </c>
      <c r="Z31">
        <f>Z28-Z29-Z30</f>
        <v/>
      </c>
      <c r="AA31">
        <f>AA28-AA29-AA30</f>
        <v/>
      </c>
      <c r="AB31">
        <f>AB28-AB29-AB30</f>
        <v/>
      </c>
      <c r="AC31">
        <f>AC28-AC29-AC30</f>
        <v/>
      </c>
      <c r="AD31">
        <f>AD28-AD29-AD30</f>
        <v/>
      </c>
      <c r="AE31">
        <f>AE28-AE29-AE30</f>
        <v/>
      </c>
    </row>
    <row r="32">
      <c r="A32" t="inlineStr">
        <is>
          <t>Capex</t>
        </is>
      </c>
      <c r="B32">
        <f>$B$7*(IF(B23=$B$17,$B$18,0)+IF(B23=$B$19,$B$20,0))+IF(AND(B25&gt;=0,B25&lt;$B$16),$B$7*$B$8,0)</f>
        <v/>
      </c>
      <c r="C32">
        <f>$B$7*(IF(C23=$B$17,$B$18,0)+IF(C23=$B$19,$B$20,0))+IF(AND(C25&gt;=0,C25&lt;$B$16),$B$7*$B$8,0)</f>
        <v/>
      </c>
      <c r="D32">
        <f>$B$7*(IF(D23=$B$17,$B$18,0)+IF(D23=$B$19,$B$20,0))+IF(AND(D25&gt;=0,D25&lt;$B$16),$B$7*$B$8,0)</f>
        <v/>
      </c>
      <c r="E32">
        <f>$B$7*(IF(E23=$B$17,$B$18,0)+IF(E23=$B$19,$B$20,0))+IF(AND(E25&gt;=0,E25&lt;$B$16),$B$7*$B$8,0)</f>
        <v/>
      </c>
      <c r="F32">
        <f>$B$7*(IF(F23=$B$17,$B$18,0)+IF(F23=$B$19,$B$20,0))+IF(AND(F25&gt;=0,F25&lt;$B$16),$B$7*$B$8,0)</f>
        <v/>
      </c>
      <c r="G32">
        <f>$B$7*(IF(G23=$B$17,$B$18,0)+IF(G23=$B$19,$B$20,0))+IF(AND(G25&gt;=0,G25&lt;$B$16),$B$7*$B$8,0)</f>
        <v/>
      </c>
      <c r="H32">
        <f>$B$7*(IF(H23=$B$17,$B$18,0)+IF(H23=$B$19,$B$20,0))+IF(AND(H25&gt;=0,H25&lt;$B$16),$B$7*$B$8,0)</f>
        <v/>
      </c>
      <c r="I32">
        <f>$B$7*(IF(I23=$B$17,$B$18,0)+IF(I23=$B$19,$B$20,0))+IF(AND(I25&gt;=0,I25&lt;$B$16),$B$7*$B$8,0)</f>
        <v/>
      </c>
      <c r="J32">
        <f>$B$7*(IF(J23=$B$17,$B$18,0)+IF(J23=$B$19,$B$20,0))+IF(AND(J25&gt;=0,J25&lt;$B$16),$B$7*$B$8,0)</f>
        <v/>
      </c>
      <c r="K32">
        <f>$B$7*(IF(K23=$B$17,$B$18,0)+IF(K23=$B$19,$B$20,0))+IF(AND(K25&gt;=0,K25&lt;$B$16),$B$7*$B$8,0)</f>
        <v/>
      </c>
      <c r="L32">
        <f>$B$7*(IF(L23=$B$17,$B$18,0)+IF(L23=$B$19,$B$20,0))+IF(AND(L25&gt;=0,L25&lt;$B$16),$B$7*$B$8,0)</f>
        <v/>
      </c>
      <c r="M32">
        <f>$B$7*(IF(M23=$B$17,$B$18,0)+IF(M23=$B$19,$B$20,0))+IF(AND(M25&gt;=0,M25&lt;$B$16),$B$7*$B$8,0)</f>
        <v/>
      </c>
      <c r="N32">
        <f>$B$7*(IF(N23=$B$17,$B$18,0)+IF(N23=$B$19,$B$20,0))+IF(AND(N25&gt;=0,N25&lt;$B$16),$B$7*$B$8,0)</f>
        <v/>
      </c>
      <c r="O32">
        <f>$B$7*(IF(O23=$B$17,$B$18,0)+IF(O23=$B$19,$B$20,0))+IF(AND(O25&gt;=0,O25&lt;$B$16),$B$7*$B$8,0)</f>
        <v/>
      </c>
      <c r="P32">
        <f>$B$7*(IF(P23=$B$17,$B$18,0)+IF(P23=$B$19,$B$20,0))+IF(AND(P25&gt;=0,P25&lt;$B$16),$B$7*$B$8,0)</f>
        <v/>
      </c>
      <c r="Q32">
        <f>$B$7*(IF(Q23=$B$17,$B$18,0)+IF(Q23=$B$19,$B$20,0))+IF(AND(Q25&gt;=0,Q25&lt;$B$16),$B$7*$B$8,0)</f>
        <v/>
      </c>
      <c r="R32">
        <f>$B$7*(IF(R23=$B$17,$B$18,0)+IF(R23=$B$19,$B$20,0))+IF(AND(R25&gt;=0,R25&lt;$B$16),$B$7*$B$8,0)</f>
        <v/>
      </c>
      <c r="S32">
        <f>$B$7*(IF(S23=$B$17,$B$18,0)+IF(S23=$B$19,$B$20,0))+IF(AND(S25&gt;=0,S25&lt;$B$16),$B$7*$B$8,0)</f>
        <v/>
      </c>
      <c r="T32">
        <f>$B$7*(IF(T23=$B$17,$B$18,0)+IF(T23=$B$19,$B$20,0))+IF(AND(T25&gt;=0,T25&lt;$B$16),$B$7*$B$8,0)</f>
        <v/>
      </c>
      <c r="U32">
        <f>$B$7*(IF(U23=$B$17,$B$18,0)+IF(U23=$B$19,$B$20,0))+IF(AND(U25&gt;=0,U25&lt;$B$16),$B$7*$B$8,0)</f>
        <v/>
      </c>
      <c r="V32">
        <f>$B$7*(IF(V23=$B$17,$B$18,0)+IF(V23=$B$19,$B$20,0))+IF(AND(V25&gt;=0,V25&lt;$B$16),$B$7*$B$8,0)</f>
        <v/>
      </c>
      <c r="W32">
        <f>$B$7*(IF(W23=$B$17,$B$18,0)+IF(W23=$B$19,$B$20,0))+IF(AND(W25&gt;=0,W25&lt;$B$16),$B$7*$B$8,0)</f>
        <v/>
      </c>
      <c r="X32">
        <f>$B$7*(IF(X23=$B$17,$B$18,0)+IF(X23=$B$19,$B$20,0))+IF(AND(X25&gt;=0,X25&lt;$B$16),$B$7*$B$8,0)</f>
        <v/>
      </c>
      <c r="Y32">
        <f>$B$7*(IF(Y23=$B$17,$B$18,0)+IF(Y23=$B$19,$B$20,0))+IF(AND(Y25&gt;=0,Y25&lt;$B$16),$B$7*$B$8,0)</f>
        <v/>
      </c>
      <c r="Z32">
        <f>$B$7*(IF(Z23=$B$17,$B$18,0)+IF(Z23=$B$19,$B$20,0))+IF(AND(Z25&gt;=0,Z25&lt;$B$16),$B$7*$B$8,0)</f>
        <v/>
      </c>
      <c r="AA32">
        <f>$B$7*(IF(AA23=$B$17,$B$18,0)+IF(AA23=$B$19,$B$20,0))+IF(AND(AA25&gt;=0,AA25&lt;$B$16),$B$7*$B$8,0)</f>
        <v/>
      </c>
      <c r="AB32">
        <f>$B$7*(IF(AB23=$B$17,$B$18,0)+IF(AB23=$B$19,$B$20,0))+IF(AND(AB25&gt;=0,AB25&lt;$B$16),$B$7*$B$8,0)</f>
        <v/>
      </c>
      <c r="AC32">
        <f>$B$7*(IF(AC23=$B$17,$B$18,0)+IF(AC23=$B$19,$B$20,0))+IF(AND(AC25&gt;=0,AC25&lt;$B$16),$B$7*$B$8,0)</f>
        <v/>
      </c>
      <c r="AD32">
        <f>$B$7*(IF(AD23=$B$17,$B$18,0)+IF(AD23=$B$19,$B$20,0))+IF(AND(AD25&gt;=0,AD25&lt;$B$16),$B$7*$B$8,0)</f>
        <v/>
      </c>
      <c r="AE32">
        <f>$B$7*(IF(AE23=$B$17,$B$18,0)+IF(AE23=$B$19,$B$20,0))+IF(AND(AE25&gt;=0,AE25&lt;$B$16),$B$7*$B$8,0)</f>
        <v/>
      </c>
    </row>
    <row r="33">
      <c r="A33" t="inlineStr">
        <is>
          <t>Tax depreciation</t>
        </is>
      </c>
      <c r="B33">
        <f>IF(AND(B25&gt;=0,B25&lt;$B$10),$B$7/$B$10,0)</f>
        <v/>
      </c>
      <c r="C33">
        <f>IF(AND(C25&gt;=0,C25&lt;$B$10),$B$7/$B$10,0)</f>
        <v/>
      </c>
      <c r="D33">
        <f>IF(AND(D25&gt;=0,D25&lt;$B$10),$B$7/$B$10,0)</f>
        <v/>
      </c>
      <c r="E33">
        <f>IF(AND(E25&gt;=0,E25&lt;$B$10),$B$7/$B$10,0)</f>
        <v/>
      </c>
      <c r="F33">
        <f>IF(AND(F25&gt;=0,F25&lt;$B$10),$B$7/$B$10,0)</f>
        <v/>
      </c>
      <c r="G33">
        <f>IF(AND(G25&gt;=0,G25&lt;$B$10),$B$7/$B$10,0)</f>
        <v/>
      </c>
      <c r="H33">
        <f>IF(AND(H25&gt;=0,H25&lt;$B$10),$B$7/$B$10,0)</f>
        <v/>
      </c>
      <c r="I33">
        <f>IF(AND(I25&gt;=0,I25&lt;$B$10),$B$7/$B$10,0)</f>
        <v/>
      </c>
      <c r="J33">
        <f>IF(AND(J25&gt;=0,J25&lt;$B$10),$B$7/$B$10,0)</f>
        <v/>
      </c>
      <c r="K33">
        <f>IF(AND(K25&gt;=0,K25&lt;$B$10),$B$7/$B$10,0)</f>
        <v/>
      </c>
      <c r="L33">
        <f>IF(AND(L25&gt;=0,L25&lt;$B$10),$B$7/$B$10,0)</f>
        <v/>
      </c>
      <c r="M33">
        <f>IF(AND(M25&gt;=0,M25&lt;$B$10),$B$7/$B$10,0)</f>
        <v/>
      </c>
      <c r="N33">
        <f>IF(AND(N25&gt;=0,N25&lt;$B$10),$B$7/$B$10,0)</f>
        <v/>
      </c>
      <c r="O33">
        <f>IF(AND(O25&gt;=0,O25&lt;$B$10),$B$7/$B$10,0)</f>
        <v/>
      </c>
      <c r="P33">
        <f>IF(AND(P25&gt;=0,P25&lt;$B$10),$B$7/$B$10,0)</f>
        <v/>
      </c>
      <c r="Q33">
        <f>IF(AND(Q25&gt;=0,Q25&lt;$B$10),$B$7/$B$10,0)</f>
        <v/>
      </c>
      <c r="R33">
        <f>IF(AND(R25&gt;=0,R25&lt;$B$10),$B$7/$B$10,0)</f>
        <v/>
      </c>
      <c r="S33">
        <f>IF(AND(S25&gt;=0,S25&lt;$B$10),$B$7/$B$10,0)</f>
        <v/>
      </c>
      <c r="T33">
        <f>IF(AND(T25&gt;=0,T25&lt;$B$10),$B$7/$B$10,0)</f>
        <v/>
      </c>
      <c r="U33">
        <f>IF(AND(U25&gt;=0,U25&lt;$B$10),$B$7/$B$10,0)</f>
        <v/>
      </c>
      <c r="V33">
        <f>IF(AND(V25&gt;=0,V25&lt;$B$10),$B$7/$B$10,0)</f>
        <v/>
      </c>
      <c r="W33">
        <f>IF(AND(W25&gt;=0,W25&lt;$B$10),$B$7/$B$10,0)</f>
        <v/>
      </c>
      <c r="X33">
        <f>IF(AND(X25&gt;=0,X25&lt;$B$10),$B$7/$B$10,0)</f>
        <v/>
      </c>
      <c r="Y33">
        <f>IF(AND(Y25&gt;=0,Y25&lt;$B$10),$B$7/$B$10,0)</f>
        <v/>
      </c>
      <c r="Z33">
        <f>IF(AND(Z25&gt;=0,Z25&lt;$B$10),$B$7/$B$10,0)</f>
        <v/>
      </c>
      <c r="AA33">
        <f>IF(AND(AA25&gt;=0,AA25&lt;$B$10),$B$7/$B$10,0)</f>
        <v/>
      </c>
      <c r="AB33">
        <f>IF(AND(AB25&gt;=0,AB25&lt;$B$10),$B$7/$B$10,0)</f>
        <v/>
      </c>
      <c r="AC33">
        <f>IF(AND(AC25&gt;=0,AC25&lt;$B$10),$B$7/$B$10,0)</f>
        <v/>
      </c>
      <c r="AD33">
        <f>IF(AND(AD25&gt;=0,AD25&lt;$B$10),$B$7/$B$10,0)</f>
        <v/>
      </c>
      <c r="AE33">
        <f>IF(AND(AE25&gt;=0,AE25&lt;$B$10),$B$7/$B$10,0)</f>
        <v/>
      </c>
    </row>
    <row r="34">
      <c r="A34" t="inlineStr">
        <is>
          <t>Cash tax</t>
        </is>
      </c>
      <c r="B34">
        <f>MAX(0,B31-B33)*$B$6</f>
        <v/>
      </c>
      <c r="C34">
        <f>MAX(0,C31-C33)*$B$6</f>
        <v/>
      </c>
      <c r="D34">
        <f>MAX(0,D31-D33)*$B$6</f>
        <v/>
      </c>
      <c r="E34">
        <f>MAX(0,E31-E33)*$B$6</f>
        <v/>
      </c>
      <c r="F34">
        <f>MAX(0,F31-F33)*$B$6</f>
        <v/>
      </c>
      <c r="G34">
        <f>MAX(0,G31-G33)*$B$6</f>
        <v/>
      </c>
      <c r="H34">
        <f>MAX(0,H31-H33)*$B$6</f>
        <v/>
      </c>
      <c r="I34">
        <f>MAX(0,I31-I33)*$B$6</f>
        <v/>
      </c>
      <c r="J34">
        <f>MAX(0,J31-J33)*$B$6</f>
        <v/>
      </c>
      <c r="K34">
        <f>MAX(0,K31-K33)*$B$6</f>
        <v/>
      </c>
      <c r="L34">
        <f>MAX(0,L31-L33)*$B$6</f>
        <v/>
      </c>
      <c r="M34">
        <f>MAX(0,M31-M33)*$B$6</f>
        <v/>
      </c>
      <c r="N34">
        <f>MAX(0,N31-N33)*$B$6</f>
        <v/>
      </c>
      <c r="O34">
        <f>MAX(0,O31-O33)*$B$6</f>
        <v/>
      </c>
      <c r="P34">
        <f>MAX(0,P31-P33)*$B$6</f>
        <v/>
      </c>
      <c r="Q34">
        <f>MAX(0,Q31-Q33)*$B$6</f>
        <v/>
      </c>
      <c r="R34">
        <f>MAX(0,R31-R33)*$B$6</f>
        <v/>
      </c>
      <c r="S34">
        <f>MAX(0,S31-S33)*$B$6</f>
        <v/>
      </c>
      <c r="T34">
        <f>MAX(0,T31-T33)*$B$6</f>
        <v/>
      </c>
      <c r="U34">
        <f>MAX(0,U31-U33)*$B$6</f>
        <v/>
      </c>
      <c r="V34">
        <f>MAX(0,V31-V33)*$B$6</f>
        <v/>
      </c>
      <c r="W34">
        <f>MAX(0,W31-W33)*$B$6</f>
        <v/>
      </c>
      <c r="X34">
        <f>MAX(0,X31-X33)*$B$6</f>
        <v/>
      </c>
      <c r="Y34">
        <f>MAX(0,Y31-Y33)*$B$6</f>
        <v/>
      </c>
      <c r="Z34">
        <f>MAX(0,Z31-Z33)*$B$6</f>
        <v/>
      </c>
      <c r="AA34">
        <f>MAX(0,AA31-AA33)*$B$6</f>
        <v/>
      </c>
      <c r="AB34">
        <f>MAX(0,AB31-AB33)*$B$6</f>
        <v/>
      </c>
      <c r="AC34">
        <f>MAX(0,AC31-AC33)*$B$6</f>
        <v/>
      </c>
      <c r="AD34">
        <f>MAX(0,AD31-AD33)*$B$6</f>
        <v/>
      </c>
      <c r="AE34">
        <f>MAX(0,AE31-AE33)*$B$6</f>
        <v/>
      </c>
    </row>
    <row r="35">
      <c r="A35" t="inlineStr">
        <is>
          <t>dWC</t>
        </is>
      </c>
      <c r="B35">
        <f>IF(B25&gt;=$B$16,0,$B$9*(B28-0))</f>
        <v/>
      </c>
      <c r="C35">
        <f>IF(C25&gt;=$B$16,0,$B$9*(C28-B28))</f>
        <v/>
      </c>
      <c r="D35">
        <f>IF(D25&gt;=$B$16,0,$B$9*(D28-C28))</f>
        <v/>
      </c>
      <c r="E35">
        <f>IF(E25&gt;=$B$16,0,$B$9*(E28-D28))</f>
        <v/>
      </c>
      <c r="F35">
        <f>IF(F25&gt;=$B$16,0,$B$9*(F28-E28))</f>
        <v/>
      </c>
      <c r="G35">
        <f>IF(G25&gt;=$B$16,0,$B$9*(G28-F28))</f>
        <v/>
      </c>
      <c r="H35">
        <f>IF(H25&gt;=$B$16,0,$B$9*(H28-G28))</f>
        <v/>
      </c>
      <c r="I35">
        <f>IF(I25&gt;=$B$16,0,$B$9*(I28-H28))</f>
        <v/>
      </c>
      <c r="J35">
        <f>IF(J25&gt;=$B$16,0,$B$9*(J28-I28))</f>
        <v/>
      </c>
      <c r="K35">
        <f>IF(K25&gt;=$B$16,0,$B$9*(K28-J28))</f>
        <v/>
      </c>
      <c r="L35">
        <f>IF(L25&gt;=$B$16,0,$B$9*(L28-K28))</f>
        <v/>
      </c>
      <c r="M35">
        <f>IF(M25&gt;=$B$16,0,$B$9*(M28-L28))</f>
        <v/>
      </c>
      <c r="N35">
        <f>IF(N25&gt;=$B$16,0,$B$9*(N28-M28))</f>
        <v/>
      </c>
      <c r="O35">
        <f>IF(O25&gt;=$B$16,0,$B$9*(O28-N28))</f>
        <v/>
      </c>
      <c r="P35">
        <f>IF(P25&gt;=$B$16,0,$B$9*(P28-O28))</f>
        <v/>
      </c>
      <c r="Q35">
        <f>IF(Q25&gt;=$B$16,0,$B$9*(Q28-P28))</f>
        <v/>
      </c>
      <c r="R35">
        <f>IF(R25&gt;=$B$16,0,$B$9*(R28-Q28))</f>
        <v/>
      </c>
      <c r="S35">
        <f>IF(S25&gt;=$B$16,0,$B$9*(S28-R28))</f>
        <v/>
      </c>
      <c r="T35">
        <f>IF(T25&gt;=$B$16,0,$B$9*(T28-S28))</f>
        <v/>
      </c>
      <c r="U35">
        <f>IF(U25&gt;=$B$16,0,$B$9*(U28-T28))</f>
        <v/>
      </c>
      <c r="V35">
        <f>IF(V25&gt;=$B$16,0,$B$9*(V28-U28))</f>
        <v/>
      </c>
      <c r="W35">
        <f>IF(W25&gt;=$B$16,0,$B$9*(W28-V28))</f>
        <v/>
      </c>
      <c r="X35">
        <f>IF(X25&gt;=$B$16,0,$B$9*(X28-W28))</f>
        <v/>
      </c>
      <c r="Y35">
        <f>IF(Y25&gt;=$B$16,0,$B$9*(Y28-X28))</f>
        <v/>
      </c>
      <c r="Z35">
        <f>IF(Z25&gt;=$B$16,0,$B$9*(Z28-Y28))</f>
        <v/>
      </c>
      <c r="AA35">
        <f>IF(AA25&gt;=$B$16,0,$B$9*(AA28-Z28))</f>
        <v/>
      </c>
      <c r="AB35">
        <f>IF(AB25&gt;=$B$16,0,$B$9*(AB28-AA28))</f>
        <v/>
      </c>
      <c r="AC35">
        <f>IF(AC25&gt;=$B$16,0,$B$9*(AC28-AB28))</f>
        <v/>
      </c>
      <c r="AD35">
        <f>IF(AD25&gt;=$B$16,0,$B$9*(AD28-AC28))</f>
        <v/>
      </c>
      <c r="AE35">
        <f>IF(AE25&gt;=$B$16,0,$B$9*(AE28-AD28))</f>
        <v/>
      </c>
    </row>
    <row r="36">
      <c r="A36" t="inlineStr">
        <is>
          <t>FCF</t>
        </is>
      </c>
      <c r="B36">
        <f>B31-B34-B32-B35</f>
        <v/>
      </c>
      <c r="C36">
        <f>C31-C34-C32-C35</f>
        <v/>
      </c>
      <c r="D36">
        <f>D31-D34-D32-D35</f>
        <v/>
      </c>
      <c r="E36">
        <f>E31-E34-E32-E35</f>
        <v/>
      </c>
      <c r="F36">
        <f>F31-F34-F32-F35</f>
        <v/>
      </c>
      <c r="G36">
        <f>G31-G34-G32-G35</f>
        <v/>
      </c>
      <c r="H36">
        <f>H31-H34-H32-H35</f>
        <v/>
      </c>
      <c r="I36">
        <f>I31-I34-I32-I35</f>
        <v/>
      </c>
      <c r="J36">
        <f>J31-J34-J32-J35</f>
        <v/>
      </c>
      <c r="K36">
        <f>K31-K34-K32-K35</f>
        <v/>
      </c>
      <c r="L36">
        <f>L31-L34-L32-L35</f>
        <v/>
      </c>
      <c r="M36">
        <f>M31-M34-M32-M35</f>
        <v/>
      </c>
      <c r="N36">
        <f>N31-N34-N32-N35</f>
        <v/>
      </c>
      <c r="O36">
        <f>O31-O34-O32-O35</f>
        <v/>
      </c>
      <c r="P36">
        <f>P31-P34-P32-P35</f>
        <v/>
      </c>
      <c r="Q36">
        <f>Q31-Q34-Q32-Q35</f>
        <v/>
      </c>
      <c r="R36">
        <f>R31-R34-R32-R35</f>
        <v/>
      </c>
      <c r="S36">
        <f>S31-S34-S32-S35</f>
        <v/>
      </c>
      <c r="T36">
        <f>T31-T34-T32-T35</f>
        <v/>
      </c>
      <c r="U36">
        <f>U31-U34-U32-U35</f>
        <v/>
      </c>
      <c r="V36">
        <f>V31-V34-V32-V35</f>
        <v/>
      </c>
      <c r="W36">
        <f>W31-W34-W32-W35</f>
        <v/>
      </c>
      <c r="X36">
        <f>X31-X34-X32-X35</f>
        <v/>
      </c>
      <c r="Y36">
        <f>Y31-Y34-Y32-Y35</f>
        <v/>
      </c>
      <c r="Z36">
        <f>Z31-Z34-Z32-Z35</f>
        <v/>
      </c>
      <c r="AA36">
        <f>AA31-AA34-AA32-AA35</f>
        <v/>
      </c>
      <c r="AB36">
        <f>AB31-AB34-AB32-AB35</f>
        <v/>
      </c>
      <c r="AC36">
        <f>AC31-AC34-AC32-AC35</f>
        <v/>
      </c>
      <c r="AD36">
        <f>AD31-AD34-AD32-AD35</f>
        <v/>
      </c>
      <c r="AE36">
        <f>AE31-AE34-AE32-AE35</f>
        <v/>
      </c>
    </row>
    <row r="37">
      <c r="A37" t="inlineStr">
        <is>
          <t>DF</t>
        </is>
      </c>
      <c r="B37">
        <f>1/(1+$B$11)^B23</f>
        <v/>
      </c>
      <c r="C37">
        <f>1/(1+$B$11)^C23</f>
        <v/>
      </c>
      <c r="D37">
        <f>1/(1+$B$11)^D23</f>
        <v/>
      </c>
      <c r="E37">
        <f>1/(1+$B$11)^E23</f>
        <v/>
      </c>
      <c r="F37">
        <f>1/(1+$B$11)^F23</f>
        <v/>
      </c>
      <c r="G37">
        <f>1/(1+$B$11)^G23</f>
        <v/>
      </c>
      <c r="H37">
        <f>1/(1+$B$11)^H23</f>
        <v/>
      </c>
      <c r="I37">
        <f>1/(1+$B$11)^I23</f>
        <v/>
      </c>
      <c r="J37">
        <f>1/(1+$B$11)^J23</f>
        <v/>
      </c>
      <c r="K37">
        <f>1/(1+$B$11)^K23</f>
        <v/>
      </c>
      <c r="L37">
        <f>1/(1+$B$11)^L23</f>
        <v/>
      </c>
      <c r="M37">
        <f>1/(1+$B$11)^M23</f>
        <v/>
      </c>
      <c r="N37">
        <f>1/(1+$B$11)^N23</f>
        <v/>
      </c>
      <c r="O37">
        <f>1/(1+$B$11)^O23</f>
        <v/>
      </c>
      <c r="P37">
        <f>1/(1+$B$11)^P23</f>
        <v/>
      </c>
      <c r="Q37">
        <f>1/(1+$B$11)^Q23</f>
        <v/>
      </c>
      <c r="R37">
        <f>1/(1+$B$11)^R23</f>
        <v/>
      </c>
      <c r="S37">
        <f>1/(1+$B$11)^S23</f>
        <v/>
      </c>
      <c r="T37">
        <f>1/(1+$B$11)^T23</f>
        <v/>
      </c>
      <c r="U37">
        <f>1/(1+$B$11)^U23</f>
        <v/>
      </c>
      <c r="V37">
        <f>1/(1+$B$11)^V23</f>
        <v/>
      </c>
      <c r="W37">
        <f>1/(1+$B$11)^W23</f>
        <v/>
      </c>
      <c r="X37">
        <f>1/(1+$B$11)^X23</f>
        <v/>
      </c>
      <c r="Y37">
        <f>1/(1+$B$11)^Y23</f>
        <v/>
      </c>
      <c r="Z37">
        <f>1/(1+$B$11)^Z23</f>
        <v/>
      </c>
      <c r="AA37">
        <f>1/(1+$B$11)^AA23</f>
        <v/>
      </c>
      <c r="AB37">
        <f>1/(1+$B$11)^AB23</f>
        <v/>
      </c>
      <c r="AC37">
        <f>1/(1+$B$11)^AC23</f>
        <v/>
      </c>
      <c r="AD37">
        <f>1/(1+$B$11)^AD23</f>
        <v/>
      </c>
      <c r="AE37">
        <f>1/(1+$B$11)^AE23</f>
        <v/>
      </c>
    </row>
    <row r="38">
      <c r="A38" t="inlineStr">
        <is>
          <t>PV</t>
        </is>
      </c>
      <c r="B38">
        <f>B36*B37</f>
        <v/>
      </c>
      <c r="C38">
        <f>C36*C37</f>
        <v/>
      </c>
      <c r="D38">
        <f>D36*D37</f>
        <v/>
      </c>
      <c r="E38">
        <f>E36*E37</f>
        <v/>
      </c>
      <c r="F38">
        <f>F36*F37</f>
        <v/>
      </c>
      <c r="G38">
        <f>G36*G37</f>
        <v/>
      </c>
      <c r="H38">
        <f>H36*H37</f>
        <v/>
      </c>
      <c r="I38">
        <f>I36*I37</f>
        <v/>
      </c>
      <c r="J38">
        <f>J36*J37</f>
        <v/>
      </c>
      <c r="K38">
        <f>K36*K37</f>
        <v/>
      </c>
      <c r="L38">
        <f>L36*L37</f>
        <v/>
      </c>
      <c r="M38">
        <f>M36*M37</f>
        <v/>
      </c>
      <c r="N38">
        <f>N36*N37</f>
        <v/>
      </c>
      <c r="O38">
        <f>O36*O37</f>
        <v/>
      </c>
      <c r="P38">
        <f>P36*P37</f>
        <v/>
      </c>
      <c r="Q38">
        <f>Q36*Q37</f>
        <v/>
      </c>
      <c r="R38">
        <f>R36*R37</f>
        <v/>
      </c>
      <c r="S38">
        <f>S36*S37</f>
        <v/>
      </c>
      <c r="T38">
        <f>T36*T37</f>
        <v/>
      </c>
      <c r="U38">
        <f>U36*U37</f>
        <v/>
      </c>
      <c r="V38">
        <f>V36*V37</f>
        <v/>
      </c>
      <c r="W38">
        <f>W36*W37</f>
        <v/>
      </c>
      <c r="X38">
        <f>X36*X37</f>
        <v/>
      </c>
      <c r="Y38">
        <f>Y36*Y37</f>
        <v/>
      </c>
      <c r="Z38">
        <f>Z36*Z37</f>
        <v/>
      </c>
      <c r="AA38">
        <f>AA36*AA37</f>
        <v/>
      </c>
      <c r="AB38">
        <f>AB36*AB37</f>
        <v/>
      </c>
      <c r="AC38">
        <f>AC36*AC37</f>
        <v/>
      </c>
      <c r="AD38">
        <f>AD36*AD37</f>
        <v/>
      </c>
      <c r="AE38">
        <f>AE36*AE37</f>
        <v/>
      </c>
    </row>
    <row r="39">
      <c r="A39" t="inlineStr">
        <is>
          <t>DF @ hurdle</t>
        </is>
      </c>
      <c r="B39">
        <f>1/(1+$B$21)^B23</f>
        <v/>
      </c>
      <c r="C39">
        <f>1/(1+$B$21)^C23</f>
        <v/>
      </c>
      <c r="D39">
        <f>1/(1+$B$21)^D23</f>
        <v/>
      </c>
      <c r="E39">
        <f>1/(1+$B$21)^E23</f>
        <v/>
      </c>
      <c r="F39">
        <f>1/(1+$B$21)^F23</f>
        <v/>
      </c>
      <c r="G39">
        <f>1/(1+$B$21)^G23</f>
        <v/>
      </c>
      <c r="H39">
        <f>1/(1+$B$21)^H23</f>
        <v/>
      </c>
      <c r="I39">
        <f>1/(1+$B$21)^I23</f>
        <v/>
      </c>
      <c r="J39">
        <f>1/(1+$B$21)^J23</f>
        <v/>
      </c>
      <c r="K39">
        <f>1/(1+$B$21)^K23</f>
        <v/>
      </c>
      <c r="L39">
        <f>1/(1+$B$21)^L23</f>
        <v/>
      </c>
      <c r="M39">
        <f>1/(1+$B$21)^M23</f>
        <v/>
      </c>
      <c r="N39">
        <f>1/(1+$B$21)^N23</f>
        <v/>
      </c>
      <c r="O39">
        <f>1/(1+$B$21)^O23</f>
        <v/>
      </c>
      <c r="P39">
        <f>1/(1+$B$21)^P23</f>
        <v/>
      </c>
      <c r="Q39">
        <f>1/(1+$B$21)^Q23</f>
        <v/>
      </c>
      <c r="R39">
        <f>1/(1+$B$21)^R23</f>
        <v/>
      </c>
      <c r="S39">
        <f>1/(1+$B$21)^S23</f>
        <v/>
      </c>
      <c r="T39">
        <f>1/(1+$B$21)^T23</f>
        <v/>
      </c>
      <c r="U39">
        <f>1/(1+$B$21)^U23</f>
        <v/>
      </c>
      <c r="V39">
        <f>1/(1+$B$21)^V23</f>
        <v/>
      </c>
      <c r="W39">
        <f>1/(1+$B$21)^W23</f>
        <v/>
      </c>
      <c r="X39">
        <f>1/(1+$B$21)^X23</f>
        <v/>
      </c>
      <c r="Y39">
        <f>1/(1+$B$21)^Y23</f>
        <v/>
      </c>
      <c r="Z39">
        <f>1/(1+$B$21)^Z23</f>
        <v/>
      </c>
      <c r="AA39">
        <f>1/(1+$B$21)^AA23</f>
        <v/>
      </c>
      <c r="AB39">
        <f>1/(1+$B$21)^AB23</f>
        <v/>
      </c>
      <c r="AC39">
        <f>1/(1+$B$21)^AC23</f>
        <v/>
      </c>
      <c r="AD39">
        <f>1/(1+$B$21)^AD23</f>
        <v/>
      </c>
      <c r="AE39">
        <f>1/(1+$B$21)^AE23</f>
        <v/>
      </c>
    </row>
    <row r="40">
      <c r="A40" t="inlineStr">
        <is>
          <t>PV @ hurdle</t>
        </is>
      </c>
      <c r="B40">
        <f>B36*B39</f>
        <v/>
      </c>
      <c r="C40">
        <f>C36*C39</f>
        <v/>
      </c>
      <c r="D40">
        <f>D36*D39</f>
        <v/>
      </c>
      <c r="E40">
        <f>E36*E39</f>
        <v/>
      </c>
      <c r="F40">
        <f>F36*F39</f>
        <v/>
      </c>
      <c r="G40">
        <f>G36*G39</f>
        <v/>
      </c>
      <c r="H40">
        <f>H36*H39</f>
        <v/>
      </c>
      <c r="I40">
        <f>I36*I39</f>
        <v/>
      </c>
      <c r="J40">
        <f>J36*J39</f>
        <v/>
      </c>
      <c r="K40">
        <f>K36*K39</f>
        <v/>
      </c>
      <c r="L40">
        <f>L36*L39</f>
        <v/>
      </c>
      <c r="M40">
        <f>M36*M39</f>
        <v/>
      </c>
      <c r="N40">
        <f>N36*N39</f>
        <v/>
      </c>
      <c r="O40">
        <f>O36*O39</f>
        <v/>
      </c>
      <c r="P40">
        <f>P36*P39</f>
        <v/>
      </c>
      <c r="Q40">
        <f>Q36*Q39</f>
        <v/>
      </c>
      <c r="R40">
        <f>R36*R39</f>
        <v/>
      </c>
      <c r="S40">
        <f>S36*S39</f>
        <v/>
      </c>
      <c r="T40">
        <f>T36*T39</f>
        <v/>
      </c>
      <c r="U40">
        <f>U36*U39</f>
        <v/>
      </c>
      <c r="V40">
        <f>V36*V39</f>
        <v/>
      </c>
      <c r="W40">
        <f>W36*W39</f>
        <v/>
      </c>
      <c r="X40">
        <f>X36*X39</f>
        <v/>
      </c>
      <c r="Y40">
        <f>Y36*Y39</f>
        <v/>
      </c>
      <c r="Z40">
        <f>Z36*Z39</f>
        <v/>
      </c>
      <c r="AA40">
        <f>AA36*AA39</f>
        <v/>
      </c>
      <c r="AB40">
        <f>AB36*AB39</f>
        <v/>
      </c>
      <c r="AC40">
        <f>AC36*AC39</f>
        <v/>
      </c>
      <c r="AD40">
        <f>AD36*AD39</f>
        <v/>
      </c>
      <c r="AE40">
        <f>AE36*AE39</f>
        <v/>
      </c>
    </row>
    <row r="42">
      <c r="A42" t="inlineStr">
        <is>
          <t>Project NPV (US$m)</t>
        </is>
      </c>
      <c r="B42">
        <f>SUM(B38:AE38)</f>
        <v/>
      </c>
    </row>
    <row r="43">
      <c r="A43" t="inlineStr">
        <is>
          <t>Project NPV @ hurdle (US$m)</t>
        </is>
      </c>
      <c r="B43">
        <f>SUM(B40:AE40)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Equity bridge and per-share valuation (A$m unless noted)</t>
        </is>
      </c>
    </row>
    <row r="3">
      <c r="A3" t="inlineStr"/>
      <c r="B3" t="inlineStr">
        <is>
          <t>Bear</t>
        </is>
      </c>
      <c r="C3" t="inlineStr">
        <is>
          <t>Base</t>
        </is>
      </c>
      <c r="D3" t="inlineStr">
        <is>
          <t>Bull</t>
        </is>
      </c>
    </row>
    <row r="4">
      <c r="A4" t="inlineStr">
        <is>
          <t>Project NPV (US$m, 100%)</t>
        </is>
      </c>
      <c r="B4" t="n">
        <v>0</v>
      </c>
      <c r="C4">
        <f>'Base_CF'!$B$42</f>
        <v/>
      </c>
      <c r="D4">
        <f>'Bull_CF'!$B$42</f>
        <v/>
      </c>
    </row>
    <row r="5">
      <c r="A5" t="inlineStr">
        <is>
          <t>Project NPV (A$m)</t>
        </is>
      </c>
      <c r="B5" t="n">
        <v>0</v>
      </c>
      <c r="C5">
        <f>C4/Inputs!$B$8</f>
        <v/>
      </c>
      <c r="D5">
        <f>D4/Inputs!$B$8</f>
        <v/>
      </c>
    </row>
    <row r="6">
      <c r="A6" t="inlineStr">
        <is>
          <t>Argosy effective share</t>
        </is>
      </c>
      <c r="C6" t="n">
        <v>0.4</v>
      </c>
      <c r="D6" t="n">
        <v>0.55</v>
      </c>
    </row>
    <row r="7">
      <c r="A7" t="inlineStr">
        <is>
          <t>Attributable NPV (A$m)</t>
        </is>
      </c>
      <c r="B7">
        <f>Inputs!$B$14*B9</f>
        <v/>
      </c>
      <c r="C7">
        <f>C5*C6</f>
        <v/>
      </c>
      <c r="D7">
        <f>D5*D6</f>
        <v/>
      </c>
    </row>
    <row r="8">
      <c r="A8" t="inlineStr">
        <is>
          <t>Net cash</t>
        </is>
      </c>
      <c r="B8">
        <f>Inputs!$B$10</f>
        <v/>
      </c>
      <c r="C8">
        <f>Inputs!$B$10</f>
        <v/>
      </c>
      <c r="D8">
        <f>Inputs!$B$10</f>
        <v/>
      </c>
    </row>
    <row r="9">
      <c r="A9" t="inlineStr">
        <is>
          <t>Bear: expert FV haircut retained</t>
        </is>
      </c>
      <c r="B9" t="n">
        <v>0.2</v>
      </c>
    </row>
    <row r="10">
      <c r="A10" t="inlineStr">
        <is>
          <t>Pre-FID raise (A$m)</t>
        </is>
      </c>
      <c r="B10" t="n">
        <v>5</v>
      </c>
      <c r="C10" t="n">
        <v>12</v>
      </c>
      <c r="D10" t="n">
        <v>6</v>
      </c>
    </row>
    <row r="11">
      <c r="A11" t="inlineStr">
        <is>
          <t>Raise price (A$)</t>
        </is>
      </c>
      <c r="B11" t="n">
        <v>0.02</v>
      </c>
      <c r="C11" t="n">
        <v>0.03</v>
      </c>
      <c r="D11" t="n">
        <v>0.06</v>
      </c>
    </row>
    <row r="12">
      <c r="A12" t="inlineStr">
        <is>
          <t>Pre-FID burn</t>
        </is>
      </c>
      <c r="B12" t="n">
        <v>-5</v>
      </c>
      <c r="C12" t="n">
        <v>-12</v>
      </c>
      <c r="D12" t="n">
        <v>-6</v>
      </c>
    </row>
    <row r="13">
      <c r="A13" t="inlineStr">
        <is>
          <t>Post-FID overhead PV</t>
        </is>
      </c>
      <c r="B13" t="n">
        <v>0</v>
      </c>
      <c r="C13" t="n">
        <v>-7</v>
      </c>
      <c r="D13" t="n">
        <v>-7</v>
      </c>
    </row>
    <row r="14">
      <c r="A14" t="inlineStr">
        <is>
          <t>Options in the money? (1/0)</t>
        </is>
      </c>
      <c r="B14" t="n">
        <v>0</v>
      </c>
      <c r="C14" t="n">
        <v>0</v>
      </c>
      <c r="D14" t="n">
        <v>1</v>
      </c>
    </row>
    <row r="15">
      <c r="A15" t="inlineStr">
        <is>
          <t>Option proceeds</t>
        </is>
      </c>
      <c r="B15">
        <f>B14*Inputs!$B$11*Inputs!$B$12</f>
        <v/>
      </c>
      <c r="C15">
        <f>C14*Inputs!$B$11*Inputs!$B$12</f>
        <v/>
      </c>
      <c r="D15">
        <f>D14*Inputs!$B$11*Inputs!$B$12</f>
        <v/>
      </c>
    </row>
    <row r="16">
      <c r="A16" t="inlineStr">
        <is>
          <t>Equity value</t>
        </is>
      </c>
      <c r="B16">
        <f>B7+B8+B10+B12+B13+B15</f>
        <v/>
      </c>
      <c r="C16">
        <f>C7+C8+C10+C12+C13+C15</f>
        <v/>
      </c>
      <c r="D16">
        <f>D7+D8+D10+D12+D13+D15</f>
        <v/>
      </c>
    </row>
    <row r="17">
      <c r="A17" t="inlineStr">
        <is>
          <t>Shares (m)</t>
        </is>
      </c>
      <c r="B17">
        <f>Inputs!$B$9+B10/B11+B14*Inputs!$B$11</f>
        <v/>
      </c>
      <c r="C17">
        <f>Inputs!$B$9+C10/C11+C14*Inputs!$B$11</f>
        <v/>
      </c>
      <c r="D17">
        <f>Inputs!$B$9+D10/D11+D14*Inputs!$B$11</f>
        <v/>
      </c>
    </row>
    <row r="18">
      <c r="A18" t="inlineStr">
        <is>
          <t>IV per share (A$)</t>
        </is>
      </c>
      <c r="B18">
        <f>B16/B17</f>
        <v/>
      </c>
      <c r="C18">
        <f>C16/C17</f>
        <v/>
      </c>
      <c r="D18">
        <f>D16/D17</f>
        <v/>
      </c>
    </row>
    <row r="19">
      <c r="A19" t="inlineStr">
        <is>
          <t>Upside vs price</t>
        </is>
      </c>
      <c r="B19">
        <f>B18/Inputs!$B$6-1</f>
        <v/>
      </c>
      <c r="C19">
        <f>C18/Inputs!$B$6-1</f>
        <v/>
      </c>
      <c r="D19">
        <f>D18/Inputs!$B$6-1</f>
        <v/>
      </c>
    </row>
    <row r="21">
      <c r="A21" t="inlineStr">
        <is>
          <t>Weights</t>
        </is>
      </c>
      <c r="B21">
        <f>Inputs!$B$15</f>
        <v/>
      </c>
      <c r="C21">
        <f>Inputs!$B$16</f>
        <v/>
      </c>
      <c r="D21">
        <f>Inputs!$B$17</f>
        <v/>
      </c>
    </row>
    <row r="22">
      <c r="A22" t="inlineStr">
        <is>
          <t>Weighted IV (A$)</t>
        </is>
      </c>
      <c r="B22">
        <f>SUMPRODUCT(B18:D18,B21:D21)</f>
        <v/>
      </c>
    </row>
    <row r="24">
      <c r="A24" t="inlineStr">
        <is>
          <t>Entry price @ 15% hurdle</t>
        </is>
      </c>
    </row>
    <row r="25">
      <c r="A25" t="inlineStr">
        <is>
          <t>Project NPV @ hurdle (US$m)</t>
        </is>
      </c>
      <c r="B25" t="n">
        <v>0</v>
      </c>
      <c r="C25">
        <f>'Base_CF'!$B$43</f>
        <v/>
      </c>
      <c r="D25">
        <f>'Bull_CF'!$B$43</f>
        <v/>
      </c>
    </row>
    <row r="26">
      <c r="A26" t="inlineStr">
        <is>
          <t>Equity @ hurdle (A$m)</t>
        </is>
      </c>
      <c r="B26">
        <f>B16/(1+Inputs!$B$18)^2</f>
        <v/>
      </c>
      <c r="C26">
        <f>C25/Inputs!$B$8*C6+C8+C10+C12+C13+C15</f>
        <v/>
      </c>
      <c r="D26">
        <f>D25/Inputs!$B$8*D6+D8+D10+D12+D13+D15</f>
        <v/>
      </c>
    </row>
    <row r="27">
      <c r="A27" t="inlineStr">
        <is>
          <t>Entry price (A$)</t>
        </is>
      </c>
      <c r="B27">
        <f>B26/B17</f>
        <v/>
      </c>
      <c r="C27">
        <f>C26/C17</f>
        <v/>
      </c>
      <c r="D27">
        <f>D26/D17</f>
        <v/>
      </c>
    </row>
    <row r="28">
      <c r="A28" t="inlineStr">
        <is>
          <t>Weighted entry price (A$)</t>
        </is>
      </c>
      <c r="B28">
        <f>SUMPRODUCT(B27:D27,B21:D21)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IV A$/share — lithium price (rows, US$/t) x real discount rate (cols). Static values from model script; base structure, unweighted.</t>
        </is>
      </c>
    </row>
    <row r="2">
      <c r="A2" t="inlineStr"/>
      <c r="B2" t="n">
        <v>8</v>
      </c>
      <c r="C2" t="n">
        <v>10</v>
      </c>
      <c r="D2" t="n">
        <v>12</v>
      </c>
      <c r="E2" t="n">
        <v>14</v>
      </c>
      <c r="F2" t="n">
        <v>16</v>
      </c>
    </row>
    <row r="3">
      <c r="A3" t="n">
        <v>11000</v>
      </c>
      <c r="B3" t="n">
        <v>0.0098</v>
      </c>
      <c r="C3" t="n">
        <v>-0.0005999999999999999</v>
      </c>
      <c r="D3" t="n">
        <v>-0.0077</v>
      </c>
      <c r="E3" t="n">
        <v>-0.0126</v>
      </c>
      <c r="F3" t="n">
        <v>-0.0158</v>
      </c>
    </row>
    <row r="4">
      <c r="A4" t="n">
        <v>13000</v>
      </c>
      <c r="B4" t="n">
        <v>0.0402</v>
      </c>
      <c r="C4" t="n">
        <v>0.0232</v>
      </c>
      <c r="D4" t="n">
        <v>0.0112</v>
      </c>
      <c r="E4" t="n">
        <v>0.0027</v>
      </c>
      <c r="F4" t="n">
        <v>-0.0034</v>
      </c>
    </row>
    <row r="5">
      <c r="A5" t="n">
        <v>15000</v>
      </c>
      <c r="B5" t="n">
        <v>0.07000000000000001</v>
      </c>
      <c r="C5" t="n">
        <v>0.0468</v>
      </c>
      <c r="D5" t="n">
        <v>0.0301</v>
      </c>
      <c r="E5" t="n">
        <v>0.0179</v>
      </c>
      <c r="F5" t="n">
        <v>0.0091</v>
      </c>
    </row>
    <row r="6">
      <c r="A6" t="n">
        <v>17000</v>
      </c>
      <c r="B6" t="n">
        <v>0.0998</v>
      </c>
      <c r="C6" t="n">
        <v>0.0701</v>
      </c>
      <c r="D6" t="n">
        <v>0.0488</v>
      </c>
      <c r="E6" t="n">
        <v>0.0332</v>
      </c>
      <c r="F6" t="n">
        <v>0.0216</v>
      </c>
    </row>
    <row r="7">
      <c r="A7" t="n">
        <v>19000</v>
      </c>
      <c r="B7" t="n">
        <v>0.1296</v>
      </c>
      <c r="C7" t="n">
        <v>0.0934</v>
      </c>
      <c r="D7" t="n">
        <v>0.0673</v>
      </c>
      <c r="E7" t="n">
        <v>0.0483</v>
      </c>
      <c r="F7" t="n">
        <v>0.034</v>
      </c>
    </row>
    <row r="8">
      <c r="A8" t="n">
        <v>21000</v>
      </c>
      <c r="B8" t="n">
        <v>0.1594</v>
      </c>
      <c r="C8" t="n">
        <v>0.1167</v>
      </c>
      <c r="D8" t="n">
        <v>0.0858</v>
      </c>
      <c r="E8" t="n">
        <v>0.06320000000000001</v>
      </c>
      <c r="F8" t="n">
        <v>0.0464</v>
      </c>
    </row>
    <row r="10">
      <c r="A10" t="inlineStr">
        <is>
          <t>Weighted IV vs P(bear)</t>
        </is>
      </c>
      <c r="B10" t="n">
        <v>0.3</v>
      </c>
      <c r="C10" t="n">
        <v>0.4</v>
      </c>
      <c r="D10" t="n">
        <v>0.5</v>
      </c>
      <c r="E10" t="n">
        <v>0.6</v>
      </c>
      <c r="F10" t="n">
        <v>0.7</v>
      </c>
      <c r="G10" t="n">
        <v>0.8</v>
      </c>
    </row>
    <row r="11">
      <c r="A11" t="inlineStr"/>
      <c r="B11" t="n">
        <v>0.0513</v>
      </c>
      <c r="C11" t="n">
        <v>0.0455</v>
      </c>
      <c r="D11" t="n">
        <v>0.0397</v>
      </c>
      <c r="E11" t="n">
        <v>0.0339</v>
      </c>
      <c r="F11" t="n">
        <v>0.0282</v>
      </c>
      <c r="G11" t="n">
        <v>0.0224</v>
      </c>
    </row>
    <row r="12">
      <c r="A12" t="inlineStr">
        <is>
          <t>Market-implied P(bear)</t>
        </is>
      </c>
      <c r="B12" t="n">
        <v>0.616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 sanity checks (P/E, P/B, EV/EBITDA meaningless pre-revenue)</t>
        </is>
      </c>
    </row>
    <row r="2">
      <c r="A2" t="inlineStr">
        <is>
          <t>Market cap (A$m)</t>
        </is>
      </c>
      <c r="B2">
        <f>Inputs!B9*Inputs!B6</f>
        <v/>
      </c>
    </row>
    <row r="3">
      <c r="A3" t="inlineStr">
        <is>
          <t>EV (A$m)</t>
        </is>
      </c>
      <c r="B3">
        <f>B2-Inputs!B10</f>
        <v/>
      </c>
    </row>
    <row r="4">
      <c r="A4" t="inlineStr">
        <is>
          <t>EV / resource t LCE (US$, 100%)</t>
        </is>
      </c>
      <c r="B4">
        <f>B3*Inputs!B8/Inputs!B13*1000</f>
        <v/>
      </c>
    </row>
    <row r="5">
      <c r="A5" t="inlineStr">
        <is>
          <t>Unrisked base NAV/share (A$, 77.5%, no farm-down)</t>
        </is>
      </c>
      <c r="B5">
        <f>(0.775*Valuation!C5+Inputs!B10)/Inputs!B9</f>
        <v/>
      </c>
    </row>
    <row r="6">
      <c r="A6" t="inlineStr">
        <is>
          <t>Price / unrisked NAV</t>
        </is>
      </c>
      <c r="B6">
        <f>Inputs!B6/B5</f>
        <v/>
      </c>
    </row>
    <row r="7">
      <c r="A7" t="inlineStr">
        <is>
          <t>Price / weighted IV</t>
        </is>
      </c>
      <c r="B7">
        <f>Inputs!B6/Valuation!B22</f>
        <v/>
      </c>
    </row>
    <row r="8">
      <c r="A8" t="inlineStr">
        <is>
          <t>CGU book value (A$m)</t>
        </is>
      </c>
      <c r="B8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2026-09-21T09:33:06Z</dcterms:created>
  <dcterms:modified xmlns:dcterms="http://purl.org/dc/terms/" xmlns:xsi="http://www.w3.org/2001/XMLSchema-instance" xsi:type="dcterms:W3CDTF">2026-09-21T09:33:06Z</dcterms:modified>
</cp:coreProperties>
</file>