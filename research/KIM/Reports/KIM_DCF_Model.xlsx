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<sst xmlns="http://schemas.openxmlformats.org/spreadsheetml/2006/main" count="389" uniqueCount="174">
  <si>
    <t xml:space="preserve">Ticker</t>
  </si>
  <si>
    <t xml:space="preserve">KIM</t>
  </si>
  <si>
    <t xml:space="preserve">Company</t>
  </si>
  <si>
    <t xml:space="preserve">Kimco Realty Corporation</t>
  </si>
  <si>
    <t xml:space="preserve">Valuation date</t>
  </si>
  <si>
    <t xml:space="preserve">2026-09-29</t>
  </si>
  <si>
    <t xml:space="preserve">Current price</t>
  </si>
  <si>
    <t xml:space="preserve">Price as of</t>
  </si>
  <si>
    <t xml:space="preserve">2026-09-28T20:04:07Z (NYSE regular close; Yahoo v8 chart meta; 52-week range 19.76-26.65)</t>
  </si>
  <si>
    <t xml:space="preserve">Balance sheet date</t>
  </si>
  <si>
    <t xml:space="preserve">2026-06-30</t>
  </si>
  <si>
    <t xml:space="preserve">Model</t>
  </si>
  <si>
    <t xml:space="preserve">REIT AFFO capitalisation at cost of equity (engine route)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</si>
  <si>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</si>
  <si>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</si>
  <si>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</si>
  <si>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</si>
  <si>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</si>
  <si>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</si>
  <si>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</si>
  <si>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</si>
  <si>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2026-09-28T22:29:20Z</t>
  </si>
  <si>
    <t xml:space="preserve">Drivers file</t>
  </si>
  <si>
    <t xml:space="preserve">KIM_Drivers.json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</si>
  <si>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</si>
  <si>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</si>
  <si>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</si>
  <si>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Kimco is valued as a stream of AFFO available to common shareholders (Nareit FFO less non-cash GAAP revenues less leasing/maintenance capex, all on Kimco's own outlook-table definitions) capitalised at a 9.0% USD cost of equity, with no net-debt deduction because the flow is already after $330m of interest and $30m of preferred dividends. GAAP net income, book-value growth and the XBRL free cash flow are all set aside: the first is depreciation-and-gains noise, the second is stock-funded merger accounting, and the third is pre-capex because real-estate capex is untagged. The base case is essentially the raised FY2026 guidance fading to CPI growth; it lands close to the current price, which means the market is capitalising Kimco at roughly a 9% cost of equity for ~3% growth -- fair, not cheap. The dividend ($1.12, 5.0% yield) is 84% of FY2026E AFFO, so the retained cash just covers the redevelopment budget; growth beyond CPI depends on recycling and the structured-investment pipeline being accretive.
key_risks_to_valuation: Discount rate: every 50bp on the cost of equity moves the base value ~8-9% because the terminal value is roughly half of it; the price already implies ~8.5-9%.; Capex bridge: FFO-to-AFFO leakage of $335-355m/yr (leasing/maintenance capex plus non-cash revenues) is ~28% of FFO. Kimco's definition is broader than sell-side 'recurring' AFFO; a street AFFO of ~$1.55 would put the same 9% capitalisation ~15% higher, and a bear-case 15% capex ratio takes it ~10% lower.; Refinancing: $8.7bn of consolidated debt plus ~$1.1bn pro-rata JV debt; 2026-28 maturities refinance ~150bp above their coupons, and interest + preferred is guided to rise $7-11m in FY2026 alone.; Tenant credit: TJX, Home Depot, Albertsons, Ross, Amazon/Whole Foods, Kroger and Walmart are ~20% of ABR; a bankruptcy wave in off-price or discount would hit occupancy, credit loss and TI at once.; Revenue is the driver line, not the valued flow: dispositions or a shift in the JV/structured-investment mix can move the cash-FFO margin without changing FFO.</t>
  </si>
  <si>
    <t xml:space="preserve">Data sources</t>
  </si>
  <si>
    <t xml:space="preserve">price: Yahoo Finance v8 chart API at inputs.price_as_of (NYSE regular close); 52-week range 19.76-26.65.
financials: KIM Metrics CSV / core_metrics (SEC XBRL companyfacts, CIK 879101: revenue, net income, D&amp;A, SBC, equity-award taxes, buybacks, notes and mortgages payable, cash, shares); Q4-25 earnings release (8-K 12-Feb-2026 Ex.99.1: FY2025 FFO reconciliation $1,194.1m / $1.76, FY2025 outlook-table actuals for non-cash revenues $62m and leasing/maintenance capex $305m, initial FY2026 outlook); Q2-26 earnings release (8-K 4-Aug-2026 Ex.99.1: H1-26 FFO $620.4m, raised FY2026 outlook and assumptions, 30-Jun-2026 balance sheet, FFO share table); 8-K 15-Jun-2026 (3.50% exchangeable notes due 2031, $32.36 exchange price); FY2025 10-K (20-Feb-2026).
qualitative: KIM_Analysis.json (2026-09-29): business model, tenant concentration, occupancy, guidance, risk register, peer set.</t>
  </si>
  <si>
    <t xml:space="preserve">Scenario narrative: bear</t>
  </si>
  <si>
    <t xml:space="preserve">A consumer recession triggers a tenant-credit cycle: multiple national-chain bankruptcies (the Painted Tree rejections were the first) push credit loss above 100bp, occupancy slides from 96.4% to ~94%, and backfilling boxes needs 15% of revenue in TI and re-tenanting capital. Higher-for-longer rates lift refinancing costs ~200bp on the 2026-28 maturities and retail cap rates expand as in 2022-23, so Kimco sells assets to hold leverage inside 6x and the rent base shrinks. FFO stalls at 0.5-1.5% growth, the cash-FFO margin gives up 3pp, AFFO cover of the $1.12 dividend falls to ~1.0x, and the exit is 13.5x AFFO, the 2022-23 sector trough.</t>
  </si>
  <si>
    <t xml:space="preserve">Scenario narrative: base</t>
  </si>
  <si>
    <t xml:space="preserve">Kimco delivers the raised FY2026 guidance ($1.83-1.84 FFO per share, +4-4.5%) and then compounds FFO at 3-4% for three years as the $75m signed-not-open rent commences, same-property NOI grows 3-3.5% on contractual bumps and 40% new-lease spreads, and the Structured Investment Program adds 8-10% yields, before fading to a CPI-like 2.5%. Leasing and maintenance capex stays ~12.5-13% of revenue, so AFFO (~$1.34/share in FY2026E) covers the $1.12 dividend 1.2x and the retained ~$150m funds the redevelopment pipeline. No cap-rate compression and no discount-rate relief are assumed: the value is the AFFO stream capitalised at a 9% USD cost of equity, roughly what the current price already implies.</t>
  </si>
  <si>
    <t xml:space="preserve">Scenario narrative: bull</t>
  </si>
  <si>
    <t xml:space="preserve">The FY2025 pattern (guided $1.70-1.72, delivered $1.76) repeats; small-shop occupancy closes the gap to Regency and Federal, credit loss holds at the 55bp low end, the Fed easing cycle takes the 10-year toward 3.5% so the 2027-30 refinancing drift vanishes and shopping-center cap rates compress, and the Signature Series (10,000+ entitled residential units; The Milton sold at a 4.9% cap) plus the Structured Investment Program with its ROFO/ROFR pipeline deliver accretive external growth off the A-/A3 balance sheet. FFO grows 4-5% for five years, the cash-FFO margin expands 1.5pp and leasing capex normalises to 11.5% of revenue, so AFFO compounds ~5.5% and the exit is 17x.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</si>
  <si>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</si>
  <si>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</si>
  <si>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</si>
  <si>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</si>
  <si>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</si>
  <si>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</si>
  <si>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</si>
  <si>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</si>
  <si>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</si>
  <si>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</si>
  <si>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</si>
  <si>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</si>
  <si>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</si>
  <si>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</si>
  <si>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</si>
  <si>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</si>
  <si>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</si>
  <si>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</si>
  <si>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</si>
  <si>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</si>
  <si>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</si>
  <si>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</si>
  <si>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</si>
  <si>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</si>
  <si>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</si>
  <si>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</si>
  <si>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</si>
  <si>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</si>
  <si>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</si>
  <si>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</si>
  <si>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</si>
  <si>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</si>
  <si>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</si>
  <si>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</si>
  <si>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</si>
  <si>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</si>
  <si>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</si>
  <si>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</si>
  <si>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</si>
  <si>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</si>
  <si>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</si>
  <si>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</si>
  <si>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</si>
  <si>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</si>
  <si>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</si>
  <si>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</si>
  <si>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</si>
  <si>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</si>
  <si>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</si>
  <si>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</si>
  <si>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</si>
  <si>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</si>
  <si>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</si>
  <si>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</si>
  <si>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</si>
  <si>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</si>
  <si>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</si>
  <si>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</si>
  <si>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</si>
  <si>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</si>
  <si>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</si>
  <si>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</si>
  <si>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</si>
  <si>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</si>
  <si>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</si>
  <si>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</si>
  <si>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</si>
  <si>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</si>
  <si>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</si>
  <si>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</si>
  <si>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</si>
  <si>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</si>
  <si>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</si>
  <si>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</si>
  <si>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</si>
  <si>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</si>
  <si>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</si>
  <si>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</si>
  <si>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</si>
  <si>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</si>
  <si>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</si>
  <si>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</si>
  <si>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</si>
  <si>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</si>
  <si>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KIM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</si>
  <si>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</si>
  <si>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</si>
  <si>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</si>
  <si>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</si>
  <si>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</si>
  <si>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</si>
  <si>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</si>
  <si>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</si>
  <si>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</si>
  <si>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</si>
  <si>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</si>
  <si>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</si>
  <si>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</si>
  <si>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</si>
  <si>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</si>
  <si>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</si>
  <si>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</si>
  <si>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</si>
  <si>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</si>
  <si>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</si>
  <si>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</si>
  <si>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</si>
  <si>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</si>
  <si>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</si>
  <si>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</si>
  <si>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</si>
  <si>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</si>
  <si>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</si>
  <si>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</si>
  <si>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</si>
  <si>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KIM owner-FCF component DCF: base case (millions, USD)</t>
  </si>
  <si>
    <t xml:space="preserve">KIM owner-FCF component DCF: bull case (millions, USD)</t>
  </si>
  <si>
    <t xml:space="preserve">KIM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</si>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</sst>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22.49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3610.201</v>
      </c>
      <c r="S2" s="0" t="n">
        <v>345.065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674.534</v>
      </c>
      <c r="I3" s="0" t="n">
        <v>486.896</v>
      </c>
      <c r="J3" s="0" t="n">
        <v>72.1825734507082</v>
      </c>
      <c r="K3" s="0" t="n">
        <v>1.68</v>
      </c>
      <c r="L3" s="0" t="n">
        <v>665.989</v>
      </c>
      <c r="O3" s="0" t="n">
        <v>4169.141</v>
      </c>
      <c r="S3" s="0" t="n">
        <v>87.499</v>
      </c>
      <c r="T3" s="0" t="n">
        <v>257.058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751.196</v>
      </c>
      <c r="I4" s="0" t="n">
        <v>276.404</v>
      </c>
      <c r="J4" s="0" t="n">
        <v>36.7951906027189</v>
      </c>
      <c r="K4" s="0" t="n">
        <v>0.79</v>
      </c>
      <c r="L4" s="0" t="n">
        <v>567.599</v>
      </c>
      <c r="O4" s="0" t="n">
        <v>4204.733</v>
      </c>
      <c r="P4" s="0" t="n">
        <v>9397.147</v>
      </c>
      <c r="Q4" s="0" t="n">
        <v>5076.561</v>
      </c>
      <c r="S4" s="0" t="n">
        <v>136.177</v>
      </c>
      <c r="T4" s="0" t="n">
        <v>271.080525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755.446</v>
      </c>
      <c r="I5" s="0" t="n">
        <v>6.061</v>
      </c>
      <c r="J5" s="0" t="n">
        <v>0.802307511059692</v>
      </c>
      <c r="K5" s="0" t="n">
        <v>-0.15</v>
      </c>
      <c r="L5" s="0" t="n">
        <v>403.582</v>
      </c>
      <c r="M5" s="0" t="n">
        <v>955.371</v>
      </c>
      <c r="N5" s="0" t="n">
        <v>-551.789</v>
      </c>
      <c r="O5" s="0" t="n">
        <v>5117.978</v>
      </c>
      <c r="P5" s="0" t="n">
        <v>10183.079</v>
      </c>
      <c r="Q5" s="0" t="n">
        <v>4964.797</v>
      </c>
      <c r="S5" s="0" t="n">
        <v>122.058</v>
      </c>
      <c r="T5" s="0" t="n">
        <v>405.532566</v>
      </c>
      <c r="U5" s="0" t="n">
        <v>13.3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826.806</v>
      </c>
      <c r="F6" s="0" t="n">
        <v>229.84</v>
      </c>
      <c r="G6" s="0" t="n">
        <v>27.7985404073023</v>
      </c>
      <c r="H6" s="0" t="n">
        <v>477.477</v>
      </c>
      <c r="I6" s="0" t="n">
        <v>161.651</v>
      </c>
      <c r="J6" s="0" t="n">
        <v>19.5512611180857</v>
      </c>
      <c r="K6" s="0" t="n">
        <v>0.22</v>
      </c>
      <c r="L6" s="0" t="n">
        <v>479.935</v>
      </c>
      <c r="M6" s="0" t="n">
        <v>251.305</v>
      </c>
      <c r="N6" s="0" t="n">
        <v>228.63</v>
      </c>
      <c r="O6" s="0" t="n">
        <v>5161.286</v>
      </c>
      <c r="P6" s="0" t="n">
        <v>9833.875</v>
      </c>
      <c r="Q6" s="0" t="n">
        <v>4577.529</v>
      </c>
      <c r="S6" s="0" t="n">
        <v>125.154</v>
      </c>
      <c r="T6" s="0" t="n">
        <v>406.423514</v>
      </c>
      <c r="U6" s="0" t="n">
        <v>14.2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814.477</v>
      </c>
      <c r="F7" s="0" t="n">
        <v>237.78</v>
      </c>
      <c r="G7" s="0" t="n">
        <v>29.1941945567524</v>
      </c>
      <c r="H7" s="0" t="n">
        <v>488.919</v>
      </c>
      <c r="I7" s="0" t="n">
        <v>182.09</v>
      </c>
      <c r="J7" s="0" t="n">
        <v>22.3566779663514</v>
      </c>
      <c r="K7" s="0" t="n">
        <v>0.27</v>
      </c>
      <c r="L7" s="0" t="n">
        <v>448.613</v>
      </c>
      <c r="O7" s="0" t="n">
        <v>4880.143</v>
      </c>
      <c r="P7" s="0" t="n">
        <v>9628.762</v>
      </c>
      <c r="Q7" s="0" t="n">
        <v>4653.545</v>
      </c>
      <c r="S7" s="0" t="n">
        <v>112.882</v>
      </c>
      <c r="T7" s="0" t="n">
        <v>407.669</v>
      </c>
      <c r="U7" s="0" t="n">
        <v>16.9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793.373</v>
      </c>
      <c r="F8" s="0" t="n">
        <v>232.916</v>
      </c>
      <c r="G8" s="0" t="n">
        <v>29.3576917792766</v>
      </c>
      <c r="H8" s="0" t="n">
        <v>495.658</v>
      </c>
      <c r="I8" s="0" t="n">
        <v>280.275</v>
      </c>
      <c r="J8" s="0" t="n">
        <v>35.3270151618469</v>
      </c>
      <c r="K8" s="0" t="n">
        <v>0.42</v>
      </c>
      <c r="L8" s="0" t="n">
        <v>479.054</v>
      </c>
      <c r="O8" s="0" t="n">
        <v>4932.48</v>
      </c>
      <c r="P8" s="0" t="n">
        <v>9751.234</v>
      </c>
      <c r="Q8" s="0" t="n">
        <v>4737.678</v>
      </c>
      <c r="S8" s="0" t="n">
        <v>141.875</v>
      </c>
      <c r="T8" s="0" t="n">
        <v>407.782102</v>
      </c>
      <c r="U8" s="0" t="n">
        <v>17.907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861.527</v>
      </c>
      <c r="F9" s="0" t="n">
        <v>249.466</v>
      </c>
      <c r="G9" s="0" t="n">
        <v>28.9562602216762</v>
      </c>
      <c r="H9" s="0" t="n">
        <v>507.321</v>
      </c>
      <c r="I9" s="0" t="n">
        <v>241.353</v>
      </c>
      <c r="J9" s="0" t="n">
        <v>28.0145601937026</v>
      </c>
      <c r="K9" s="0" t="n">
        <v>0.43</v>
      </c>
      <c r="L9" s="0" t="n">
        <v>570.035</v>
      </c>
      <c r="O9" s="0" t="n">
        <v>4769.526</v>
      </c>
      <c r="P9" s="0" t="n">
        <v>9663.63</v>
      </c>
      <c r="Q9" s="0" t="n">
        <v>4807.951</v>
      </c>
      <c r="S9" s="0" t="n">
        <v>148.768</v>
      </c>
      <c r="T9" s="0" t="n">
        <v>409.731058</v>
      </c>
      <c r="U9" s="0" t="n">
        <v>18.9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993.897</v>
      </c>
      <c r="F10" s="0" t="n">
        <v>310.315</v>
      </c>
      <c r="G10" s="0" t="n">
        <v>31.22204815992</v>
      </c>
      <c r="H10" s="0" t="n">
        <v>583.408</v>
      </c>
      <c r="I10" s="0" t="n">
        <v>435.88</v>
      </c>
      <c r="J10" s="0" t="n">
        <v>43.8556510382867</v>
      </c>
      <c r="K10" s="0" t="n">
        <v>0.89</v>
      </c>
      <c r="L10" s="0" t="n">
        <v>629.343</v>
      </c>
      <c r="O10" s="0" t="n">
        <v>4901.765</v>
      </c>
      <c r="P10" s="0" t="n">
        <v>10261.4</v>
      </c>
      <c r="Q10" s="0" t="n">
        <v>5268.155</v>
      </c>
      <c r="S10" s="0" t="n">
        <v>187.322</v>
      </c>
      <c r="T10" s="0" t="n">
        <v>411.819818</v>
      </c>
      <c r="U10" s="0" t="n">
        <v>17.9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1166.769</v>
      </c>
      <c r="F11" s="0" t="n">
        <v>343.572</v>
      </c>
      <c r="G11" s="0" t="n">
        <v>29.4464456974774</v>
      </c>
      <c r="H11" s="0" t="n">
        <v>688.099</v>
      </c>
      <c r="I11" s="0" t="n">
        <v>900.143</v>
      </c>
      <c r="J11" s="0" t="n">
        <v>77.1483472735392</v>
      </c>
      <c r="K11" s="0" t="n">
        <v>2.01</v>
      </c>
      <c r="L11" s="0" t="n">
        <v>493.701</v>
      </c>
      <c r="O11" s="0" t="n">
        <v>5181.951</v>
      </c>
      <c r="P11" s="0" t="n">
        <v>11344.171</v>
      </c>
      <c r="Q11" s="0" t="n">
        <v>6075.511</v>
      </c>
      <c r="R11" s="0" t="n">
        <v>3761.3</v>
      </c>
      <c r="S11" s="0" t="n">
        <v>189.534</v>
      </c>
      <c r="T11" s="0" t="n">
        <v>413.430756</v>
      </c>
      <c r="U11" s="0" t="n">
        <v>18.5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1170.792</v>
      </c>
      <c r="F12" s="0" t="n">
        <v>393.646</v>
      </c>
      <c r="G12" s="0" t="n">
        <v>33.6221976234891</v>
      </c>
      <c r="H12" s="0" t="n">
        <v>748.966</v>
      </c>
      <c r="I12" s="0" t="n">
        <v>386.138</v>
      </c>
      <c r="J12" s="0" t="n">
        <v>32.9809223158341</v>
      </c>
      <c r="K12" s="0" t="n">
        <v>0.79</v>
      </c>
      <c r="L12" s="0" t="n">
        <v>592.096</v>
      </c>
      <c r="O12" s="0" t="n">
        <v>5402.874</v>
      </c>
      <c r="P12" s="0" t="n">
        <v>11230.6</v>
      </c>
      <c r="Q12" s="0" t="n">
        <v>5740.773</v>
      </c>
      <c r="R12" s="0" t="n">
        <v>3927.3</v>
      </c>
      <c r="S12" s="0" t="n">
        <v>142.486</v>
      </c>
      <c r="T12" s="0" t="n">
        <v>425.034113</v>
      </c>
      <c r="U12" s="0" t="n">
        <v>19.1</v>
      </c>
      <c r="V12" s="0" t="n">
        <v>1.035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1200.834</v>
      </c>
      <c r="F13" s="0" t="n">
        <v>431.017</v>
      </c>
      <c r="G13" s="0" t="n">
        <v>35.8931376026995</v>
      </c>
      <c r="H13" s="0" t="n">
        <v>791.828</v>
      </c>
      <c r="I13" s="0" t="n">
        <v>439.671</v>
      </c>
      <c r="J13" s="0" t="n">
        <v>36.6138034066324</v>
      </c>
      <c r="K13" s="0" t="n">
        <v>0.87</v>
      </c>
      <c r="L13" s="0" t="n">
        <v>614.181</v>
      </c>
      <c r="O13" s="0" t="n">
        <v>5530.245</v>
      </c>
      <c r="P13" s="0" t="n">
        <v>11763.726</v>
      </c>
      <c r="Q13" s="0" t="n">
        <v>6225.436</v>
      </c>
      <c r="R13" s="0" t="n">
        <v>4596.1</v>
      </c>
      <c r="S13" s="0" t="n">
        <v>238.513</v>
      </c>
      <c r="T13" s="0" t="n">
        <v>425.64638</v>
      </c>
      <c r="U13" s="0" t="n">
        <v>21.6</v>
      </c>
      <c r="V13" s="0" t="n">
        <v>1.09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1164.762</v>
      </c>
      <c r="F14" s="0" t="n">
        <v>582.406</v>
      </c>
      <c r="G14" s="0" t="n">
        <v>50.0021463612309</v>
      </c>
      <c r="H14" s="0" t="n">
        <v>892.786</v>
      </c>
      <c r="I14" s="0" t="n">
        <v>498.463</v>
      </c>
      <c r="J14" s="0" t="n">
        <v>42.795266329087</v>
      </c>
      <c r="K14" s="0" t="n">
        <v>1.02</v>
      </c>
      <c r="L14" s="0" t="n">
        <v>637.936</v>
      </c>
      <c r="O14" s="0" t="n">
        <v>5411.053</v>
      </c>
      <c r="P14" s="0" t="n">
        <v>10999.1</v>
      </c>
      <c r="Q14" s="0" t="n">
        <v>5564.365</v>
      </c>
      <c r="R14" s="0" t="n">
        <v>4381.5</v>
      </c>
      <c r="S14" s="0" t="n">
        <v>143.581</v>
      </c>
      <c r="T14" s="0" t="n">
        <v>421.388879</v>
      </c>
      <c r="U14" s="0" t="n">
        <v>18.221</v>
      </c>
      <c r="V14" s="0" t="n">
        <v>1.12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1158.884</v>
      </c>
      <c r="F15" s="0" t="n">
        <v>477.587</v>
      </c>
      <c r="G15" s="0" t="n">
        <v>41.2109408706997</v>
      </c>
      <c r="H15" s="0" t="n">
        <v>755.466</v>
      </c>
      <c r="I15" s="0" t="n">
        <v>413.561</v>
      </c>
      <c r="J15" s="0" t="n">
        <v>35.686142875387</v>
      </c>
      <c r="L15" s="0" t="n">
        <v>583.628</v>
      </c>
      <c r="O15" s="0" t="n">
        <v>4928.907</v>
      </c>
      <c r="P15" s="0" t="n">
        <v>10997.867</v>
      </c>
      <c r="Q15" s="0" t="n">
        <v>6051.017</v>
      </c>
      <c r="R15" s="0" t="n">
        <v>4831.8</v>
      </c>
      <c r="S15" s="0" t="n">
        <v>123.947</v>
      </c>
      <c r="T15" s="0" t="n">
        <v>431.814951</v>
      </c>
      <c r="U15" s="0" t="n">
        <v>20.2</v>
      </c>
      <c r="V15" s="0" t="n">
        <v>1.12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1057.893</v>
      </c>
      <c r="F16" s="0" t="n">
        <v>332.612</v>
      </c>
      <c r="G16" s="0" t="n">
        <v>31.4409869429139</v>
      </c>
      <c r="H16" s="0" t="n">
        <v>621.567</v>
      </c>
      <c r="I16" s="0" t="n">
        <v>1002.877</v>
      </c>
      <c r="J16" s="0" t="n">
        <v>94.7994740488877</v>
      </c>
      <c r="L16" s="0" t="n">
        <v>589.913</v>
      </c>
      <c r="O16" s="0" t="n">
        <v>5670.254</v>
      </c>
      <c r="P16" s="0" t="n">
        <v>11614.498</v>
      </c>
      <c r="Q16" s="0" t="n">
        <v>5928.46</v>
      </c>
      <c r="R16" s="0" t="n">
        <v>5044.2</v>
      </c>
      <c r="S16" s="0" t="n">
        <v>292.953</v>
      </c>
      <c r="T16" s="0" t="n">
        <v>432.518743</v>
      </c>
      <c r="U16" s="0" t="n">
        <v>23.7</v>
      </c>
      <c r="V16" s="0" t="n">
        <v>0.54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1364.585</v>
      </c>
      <c r="F17" s="0" t="n">
        <v>424.286</v>
      </c>
      <c r="G17" s="0" t="n">
        <v>31.0926765280287</v>
      </c>
      <c r="H17" s="0" t="n">
        <v>819.606</v>
      </c>
      <c r="I17" s="0" t="n">
        <v>849.696</v>
      </c>
      <c r="J17" s="0" t="n">
        <v>62.2677224211024</v>
      </c>
      <c r="L17" s="0" t="n">
        <v>618.875</v>
      </c>
      <c r="O17" s="0" t="n">
        <v>10110.182</v>
      </c>
      <c r="P17" s="0" t="n">
        <v>18459.199</v>
      </c>
      <c r="Q17" s="0" t="n">
        <v>8335.537</v>
      </c>
      <c r="R17" s="0" t="n">
        <v>7027.1</v>
      </c>
      <c r="S17" s="0" t="n">
        <v>325.631</v>
      </c>
      <c r="T17" s="0" t="n">
        <v>616.658593</v>
      </c>
      <c r="U17" s="0" t="n">
        <v>23.2</v>
      </c>
      <c r="V17" s="0" t="n">
        <v>0.68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1727.684</v>
      </c>
      <c r="F18" s="0" t="n">
        <v>565.464</v>
      </c>
      <c r="G18" s="0" t="n">
        <v>32.729596384524</v>
      </c>
      <c r="H18" s="0" t="n">
        <v>1070.464</v>
      </c>
      <c r="I18" s="0" t="n">
        <v>125.976</v>
      </c>
      <c r="J18" s="0" t="n">
        <v>7.29161119741805</v>
      </c>
      <c r="L18" s="0" t="n">
        <v>861.114</v>
      </c>
      <c r="O18" s="0" t="n">
        <v>9646.909</v>
      </c>
      <c r="P18" s="0" t="n">
        <v>17826.122</v>
      </c>
      <c r="Q18" s="0" t="n">
        <v>8086.28</v>
      </c>
      <c r="R18" s="0" t="n">
        <v>6781</v>
      </c>
      <c r="S18" s="0" t="n">
        <v>146.97</v>
      </c>
      <c r="T18" s="0" t="n">
        <v>618.483565</v>
      </c>
      <c r="U18" s="0" t="n">
        <v>26.639</v>
      </c>
      <c r="V18" s="0" t="n">
        <v>0.84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1783.4</v>
      </c>
      <c r="F19" s="0" t="n">
        <v>638.777</v>
      </c>
      <c r="G19" s="0" t="n">
        <v>35.8179320399238</v>
      </c>
      <c r="H19" s="0" t="n">
        <v>1146.042</v>
      </c>
      <c r="I19" s="0" t="n">
        <v>665.949</v>
      </c>
      <c r="J19" s="0" t="n">
        <v>37.3415386340698</v>
      </c>
      <c r="L19" s="0" t="n">
        <v>1071.607</v>
      </c>
      <c r="O19" s="0" t="n">
        <v>9653.458</v>
      </c>
      <c r="P19" s="0" t="n">
        <v>18274.022</v>
      </c>
      <c r="Q19" s="0" t="n">
        <v>8548.287</v>
      </c>
      <c r="R19" s="0" t="n">
        <v>7262.9</v>
      </c>
      <c r="S19" s="0" t="n">
        <v>780.518</v>
      </c>
      <c r="T19" s="0" t="n">
        <v>619.871237</v>
      </c>
      <c r="U19" s="0" t="n">
        <v>33.1</v>
      </c>
      <c r="V19" s="0" t="n">
        <v>1.02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2037.014</v>
      </c>
      <c r="F20" s="0" t="n">
        <v>629.088</v>
      </c>
      <c r="G20" s="0" t="n">
        <v>30.8828510751522</v>
      </c>
      <c r="H20" s="0" t="n">
        <v>1232.773</v>
      </c>
      <c r="I20" s="0" t="n">
        <v>419.439</v>
      </c>
      <c r="J20" s="0" t="n">
        <v>20.5908746822555</v>
      </c>
      <c r="L20" s="0" t="n">
        <v>1005.621</v>
      </c>
      <c r="O20" s="0" t="n">
        <v>10797.912</v>
      </c>
      <c r="P20" s="0" t="n">
        <v>20309.896</v>
      </c>
      <c r="Q20" s="0" t="n">
        <v>9464.107</v>
      </c>
      <c r="R20" s="0" t="n">
        <v>7964.7</v>
      </c>
      <c r="S20" s="0" t="n">
        <v>688.622</v>
      </c>
      <c r="T20" s="0" t="n">
        <v>679.493522</v>
      </c>
      <c r="U20" s="0" t="n">
        <v>34.9</v>
      </c>
      <c r="V20" s="0" t="n">
        <v>0.97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2140.116</v>
      </c>
      <c r="F21" s="0" t="n">
        <v>770.823</v>
      </c>
      <c r="G21" s="0" t="n">
        <v>36.017813987653</v>
      </c>
      <c r="H21" s="0" t="n">
        <v>1397.913</v>
      </c>
      <c r="I21" s="0" t="n">
        <v>592.81</v>
      </c>
      <c r="J21" s="0" t="n">
        <v>27.6999003792318</v>
      </c>
      <c r="L21" s="0" t="n">
        <v>1120.015</v>
      </c>
      <c r="M21" s="0" t="n">
        <v>18.4</v>
      </c>
      <c r="N21" s="0" t="n">
        <v>1101.615</v>
      </c>
      <c r="O21" s="0" t="n">
        <v>10543.372</v>
      </c>
      <c r="P21" s="0" t="n">
        <v>19688.25</v>
      </c>
      <c r="Q21" s="0" t="n">
        <v>9120.372</v>
      </c>
      <c r="R21" s="0" t="n">
        <v>7718.7</v>
      </c>
      <c r="S21" s="0" t="n">
        <v>211.648</v>
      </c>
      <c r="T21" s="0" t="n">
        <v>675.279</v>
      </c>
      <c r="U21" s="0" t="n">
        <v>33.225</v>
      </c>
      <c r="V21" s="0" t="n">
        <v>1.01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22.49</v>
      </c>
    </row>
    <row r="3" customFormat="false" ht="15" hidden="false" customHeight="false" outlineLevel="0" collapsed="false">
      <c r="A3" s="0" t="s">
        <v>86</v>
      </c>
      <c r="B3" s="3" t="n">
        <v>674.7</v>
      </c>
    </row>
    <row r="4" customFormat="false" ht="15" hidden="false" customHeight="false" outlineLevel="0" collapsed="false">
      <c r="A4" s="0" t="s">
        <v>87</v>
      </c>
      <c r="B4" s="3" t="n">
        <v>0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2140.1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3.5</v>
      </c>
      <c r="D13" s="3" t="n">
        <v>1</v>
      </c>
      <c r="E13" s="3" t="n">
        <v>0.5</v>
      </c>
      <c r="F13" s="3" t="n">
        <v>1</v>
      </c>
      <c r="G13" s="3" t="n">
        <v>1.5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107</v>
      </c>
      <c r="C14" s="3" t="n">
        <v>53</v>
      </c>
      <c r="D14" s="3" t="n">
        <v>52</v>
      </c>
      <c r="E14" s="3" t="n">
        <v>51</v>
      </c>
      <c r="F14" s="3" t="n">
        <v>50.5</v>
      </c>
      <c r="G14" s="3" t="n">
        <v>50.5</v>
      </c>
      <c r="H14" s="3" t="n">
        <v>50.5</v>
      </c>
      <c r="I14" s="3" t="n">
        <v>50.5</v>
      </c>
      <c r="J14" s="3" t="n">
        <v>50.5</v>
      </c>
      <c r="K14" s="3" t="n">
        <v>50.5</v>
      </c>
      <c r="L14" s="3" t="n">
        <v>50.5</v>
      </c>
    </row>
    <row r="15" customFormat="false" ht="15" hidden="false" customHeight="false" outlineLevel="0" collapsed="false">
      <c r="A15" s="0" t="s">
        <v>108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111</v>
      </c>
      <c r="C18" s="3" t="n">
        <v>13.5</v>
      </c>
      <c r="D18" s="3" t="n">
        <v>14.5</v>
      </c>
      <c r="E18" s="3" t="n">
        <v>15</v>
      </c>
      <c r="F18" s="3" t="n">
        <v>15</v>
      </c>
      <c r="G18" s="3" t="n">
        <v>15</v>
      </c>
      <c r="H18" s="3" t="n">
        <v>15</v>
      </c>
      <c r="I18" s="3" t="n">
        <v>15</v>
      </c>
      <c r="J18" s="3" t="n">
        <v>15</v>
      </c>
      <c r="K18" s="3" t="n">
        <v>15</v>
      </c>
      <c r="L18" s="3" t="n">
        <v>15</v>
      </c>
    </row>
    <row r="19" customFormat="false" ht="15" hidden="false" customHeight="false" outlineLevel="0" collapsed="false">
      <c r="A19" s="0" t="s">
        <v>112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 customFormat="false" ht="15" hidden="false" customHeight="false" outlineLevel="0" collapsed="false">
      <c r="A20" s="0" t="s">
        <v>113</v>
      </c>
      <c r="B20" s="3" t="n">
        <v>9</v>
      </c>
    </row>
    <row r="21" customFormat="false" ht="15" hidden="false" customHeight="false" outlineLevel="0" collapsed="false">
      <c r="A21" s="0" t="s">
        <v>114</v>
      </c>
      <c r="B21" s="3" t="n">
        <v>1.5</v>
      </c>
    </row>
    <row r="22" customFormat="false" ht="15" hidden="false" customHeight="false" outlineLevel="0" collapsed="false">
      <c r="A22" s="0" t="s">
        <v>115</v>
      </c>
      <c r="B22" s="3" t="n">
        <v>14</v>
      </c>
    </row>
    <row r="23" customFormat="false" ht="15" hidden="false" customHeight="false" outlineLevel="0" collapsed="false">
      <c r="A23" s="0" t="s">
        <v>116</v>
      </c>
      <c r="B23" s="3" t="n">
        <v>0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4.5</v>
      </c>
      <c r="D27" s="3" t="n">
        <v>4</v>
      </c>
      <c r="E27" s="3" t="n">
        <v>3.5</v>
      </c>
      <c r="F27" s="3" t="n">
        <v>3</v>
      </c>
      <c r="G27" s="3" t="n">
        <v>3</v>
      </c>
      <c r="H27" s="3" t="n">
        <v>2.75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107</v>
      </c>
      <c r="C28" s="3" t="n">
        <v>53.4</v>
      </c>
      <c r="D28" s="3" t="n">
        <v>53.5</v>
      </c>
      <c r="E28" s="3" t="n">
        <v>53.5</v>
      </c>
      <c r="F28" s="3" t="n">
        <v>53.5</v>
      </c>
      <c r="G28" s="3" t="n">
        <v>53.5</v>
      </c>
      <c r="H28" s="3" t="n">
        <v>53.5</v>
      </c>
      <c r="I28" s="3" t="n">
        <v>53.5</v>
      </c>
      <c r="J28" s="3" t="n">
        <v>53.5</v>
      </c>
      <c r="K28" s="3" t="n">
        <v>53.5</v>
      </c>
      <c r="L28" s="3" t="n">
        <v>53.5</v>
      </c>
    </row>
    <row r="29" customFormat="false" ht="15" hidden="false" customHeight="false" outlineLevel="0" collapsed="false">
      <c r="A29" s="0" t="s">
        <v>108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111</v>
      </c>
      <c r="C32" s="3" t="n">
        <v>12.9</v>
      </c>
      <c r="D32" s="3" t="n">
        <v>12.9</v>
      </c>
      <c r="E32" s="3" t="n">
        <v>12.7</v>
      </c>
      <c r="F32" s="3" t="n">
        <v>12.5</v>
      </c>
      <c r="G32" s="3" t="n">
        <v>12.5</v>
      </c>
      <c r="H32" s="3" t="n">
        <v>12.5</v>
      </c>
      <c r="I32" s="3" t="n">
        <v>12.5</v>
      </c>
      <c r="J32" s="3" t="n">
        <v>12.5</v>
      </c>
      <c r="K32" s="3" t="n">
        <v>12.5</v>
      </c>
      <c r="L32" s="3" t="n">
        <v>12.5</v>
      </c>
    </row>
    <row r="33" customFormat="false" ht="15" hidden="false" customHeight="false" outlineLevel="0" collapsed="false">
      <c r="A33" s="0" t="s">
        <v>112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 customFormat="false" ht="15" hidden="false" customHeight="false" outlineLevel="0" collapsed="false">
      <c r="A34" s="0" t="s">
        <v>113</v>
      </c>
      <c r="B34" s="3" t="n">
        <v>9</v>
      </c>
    </row>
    <row r="35" customFormat="false" ht="15" hidden="false" customHeight="false" outlineLevel="0" collapsed="false">
      <c r="A35" s="0" t="s">
        <v>114</v>
      </c>
      <c r="B35" s="3" t="n">
        <v>2.5</v>
      </c>
    </row>
    <row r="36" customFormat="false" ht="15" hidden="false" customHeight="false" outlineLevel="0" collapsed="false">
      <c r="A36" s="0" t="s">
        <v>115</v>
      </c>
      <c r="B36" s="3" t="n">
        <v>18</v>
      </c>
    </row>
    <row r="37" customFormat="false" ht="15" hidden="false" customHeight="false" outlineLevel="0" collapsed="false">
      <c r="A37" s="0" t="s">
        <v>116</v>
      </c>
      <c r="B37" s="3" t="n">
        <v>0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5</v>
      </c>
      <c r="D41" s="3" t="n">
        <v>5</v>
      </c>
      <c r="E41" s="3" t="n">
        <v>4.5</v>
      </c>
      <c r="F41" s="3" t="n">
        <v>4</v>
      </c>
      <c r="G41" s="3" t="n">
        <v>4</v>
      </c>
      <c r="H41" s="3" t="n">
        <v>3.5</v>
      </c>
      <c r="I41" s="3" t="n">
        <v>3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107</v>
      </c>
      <c r="C42" s="3" t="n">
        <v>53.6</v>
      </c>
      <c r="D42" s="3" t="n">
        <v>54</v>
      </c>
      <c r="E42" s="3" t="n">
        <v>54.3</v>
      </c>
      <c r="F42" s="3" t="n">
        <v>54.6</v>
      </c>
      <c r="G42" s="3" t="n">
        <v>54.8</v>
      </c>
      <c r="H42" s="3" t="n">
        <v>55</v>
      </c>
      <c r="I42" s="3" t="n">
        <v>55</v>
      </c>
      <c r="J42" s="3" t="n">
        <v>55</v>
      </c>
      <c r="K42" s="3" t="n">
        <v>55</v>
      </c>
      <c r="L42" s="3" t="n">
        <v>55</v>
      </c>
    </row>
    <row r="43" customFormat="false" ht="15" hidden="false" customHeight="false" outlineLevel="0" collapsed="false">
      <c r="A43" s="0" t="s">
        <v>108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111</v>
      </c>
      <c r="C46" s="3" t="n">
        <v>12.7</v>
      </c>
      <c r="D46" s="3" t="n">
        <v>12.5</v>
      </c>
      <c r="E46" s="3" t="n">
        <v>12.2</v>
      </c>
      <c r="F46" s="3" t="n">
        <v>12</v>
      </c>
      <c r="G46" s="3" t="n">
        <v>11.8</v>
      </c>
      <c r="H46" s="3" t="n">
        <v>11.5</v>
      </c>
      <c r="I46" s="3" t="n">
        <v>11.5</v>
      </c>
      <c r="J46" s="3" t="n">
        <v>11.5</v>
      </c>
      <c r="K46" s="3" t="n">
        <v>11.5</v>
      </c>
      <c r="L46" s="3" t="n">
        <v>11.5</v>
      </c>
    </row>
    <row r="47" customFormat="false" ht="15" hidden="false" customHeight="false" outlineLevel="0" collapsed="false">
      <c r="A47" s="0" t="s">
        <v>112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 customFormat="false" ht="15" hidden="false" customHeight="false" outlineLevel="0" collapsed="false">
      <c r="A48" s="0" t="s">
        <v>113</v>
      </c>
      <c r="B48" s="3" t="n">
        <v>9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18</v>
      </c>
    </row>
    <row r="51" customFormat="false" ht="15" hidden="false" customHeight="false" outlineLevel="0" collapsed="false">
      <c r="A51" s="0" t="s">
        <v>116</v>
      </c>
      <c r="B51" s="3" t="n">
        <v>0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3.5</v>
      </c>
      <c r="D5" s="4" t="n">
        <f aca="false">Assumptions!D13</f>
        <v>1</v>
      </c>
      <c r="E5" s="4" t="n">
        <f aca="false">Assumptions!E13</f>
        <v>0.5</v>
      </c>
      <c r="F5" s="4" t="n">
        <f aca="false">Assumptions!F13</f>
        <v>1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2140.1</v>
      </c>
      <c r="C6" s="0" t="n">
        <f aca="false">B6*(1+C5/100)</f>
        <v>2215.0035</v>
      </c>
      <c r="D6" s="0" t="n">
        <f aca="false">C6*(1+D5/100)</f>
        <v>2237.153535</v>
      </c>
      <c r="E6" s="0" t="n">
        <f aca="false">D6*(1+E5/100)</f>
        <v>2248.339302675</v>
      </c>
      <c r="F6" s="0" t="n">
        <f aca="false">E6*(1+F5/100)</f>
        <v>2270.82269570175</v>
      </c>
      <c r="G6" s="0" t="n">
        <f aca="false">F6*(1+G5/100)</f>
        <v>2304.88503613728</v>
      </c>
      <c r="H6" s="0" t="n">
        <f aca="false">G6*(1+H5/100)</f>
        <v>2339.45831167933</v>
      </c>
      <c r="I6" s="0" t="n">
        <f aca="false">H6*(1+I5/100)</f>
        <v>2374.55018635452</v>
      </c>
      <c r="J6" s="0" t="n">
        <f aca="false">I6*(1+J5/100)</f>
        <v>2410.16843914984</v>
      </c>
      <c r="K6" s="0" t="n">
        <f aca="false">J6*(1+K5/100)</f>
        <v>2446.32096573709</v>
      </c>
      <c r="L6" s="0" t="n">
        <f aca="false">K6*(1+L5/100)</f>
        <v>2483.01578022315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53</v>
      </c>
      <c r="D7" s="4" t="n">
        <f aca="false">Assumptions!D14</f>
        <v>52</v>
      </c>
      <c r="E7" s="4" t="n">
        <f aca="false">Assumptions!E14</f>
        <v>51</v>
      </c>
      <c r="F7" s="4" t="n">
        <f aca="false">Assumptions!F14</f>
        <v>50.5</v>
      </c>
      <c r="G7" s="4" t="n">
        <f aca="false">Assumptions!G14</f>
        <v>50.5</v>
      </c>
      <c r="H7" s="4" t="n">
        <f aca="false">Assumptions!H14</f>
        <v>50.5</v>
      </c>
      <c r="I7" s="4" t="n">
        <f aca="false">Assumptions!I14</f>
        <v>50.5</v>
      </c>
      <c r="J7" s="4" t="n">
        <f aca="false">Assumptions!J14</f>
        <v>50.5</v>
      </c>
      <c r="K7" s="4" t="n">
        <f aca="false">Assumptions!K14</f>
        <v>50.5</v>
      </c>
      <c r="L7" s="4" t="n">
        <f aca="false">Assumptions!L14</f>
        <v>50.5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1173.951855</v>
      </c>
      <c r="D8" s="0" t="n">
        <f aca="false">D6*D7/100</f>
        <v>1163.3198382</v>
      </c>
      <c r="E8" s="0" t="n">
        <f aca="false">E6*E7/100</f>
        <v>1146.65304436425</v>
      </c>
      <c r="F8" s="0" t="n">
        <f aca="false">F6*F7/100</f>
        <v>1146.76546132938</v>
      </c>
      <c r="G8" s="0" t="n">
        <f aca="false">G6*G7/100</f>
        <v>1163.96694324932</v>
      </c>
      <c r="H8" s="0" t="n">
        <f aca="false">H6*H7/100</f>
        <v>1181.42644739806</v>
      </c>
      <c r="I8" s="0" t="n">
        <f aca="false">I6*I7/100</f>
        <v>1199.14784410903</v>
      </c>
      <c r="J8" s="0" t="n">
        <f aca="false">J6*J7/100</f>
        <v>1217.13506177067</v>
      </c>
      <c r="K8" s="0" t="n">
        <f aca="false">K6*K7/100</f>
        <v>1235.39208769723</v>
      </c>
      <c r="L8" s="0" t="n">
        <f aca="false">L6*L7/100</f>
        <v>1253.92296901269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1173.951855</v>
      </c>
      <c r="D11" s="0" t="n">
        <f aca="false">D8+D10+D24</f>
        <v>1163.3198382</v>
      </c>
      <c r="E11" s="0" t="n">
        <f aca="false">E8+E10+E24</f>
        <v>1146.65304436425</v>
      </c>
      <c r="F11" s="0" t="n">
        <f aca="false">F8+F10+F24</f>
        <v>1146.76546132938</v>
      </c>
      <c r="G11" s="0" t="n">
        <f aca="false">G8+G10+G24</f>
        <v>1163.96694324932</v>
      </c>
      <c r="H11" s="0" t="n">
        <f aca="false">H8+H10+H24</f>
        <v>1181.42644739806</v>
      </c>
      <c r="I11" s="0" t="n">
        <f aca="false">I8+I10+I24</f>
        <v>1199.14784410903</v>
      </c>
      <c r="J11" s="0" t="n">
        <f aca="false">J8+J10+J24</f>
        <v>1217.13506177067</v>
      </c>
      <c r="K11" s="0" t="n">
        <f aca="false">K8+K10+K24</f>
        <v>1235.39208769723</v>
      </c>
      <c r="L11" s="0" t="n">
        <f aca="false">L8+L10+L24</f>
        <v>1253.92296901269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1173.951855</v>
      </c>
      <c r="D13" s="0" t="n">
        <f aca="false">D11+D12</f>
        <v>1163.3198382</v>
      </c>
      <c r="E13" s="0" t="n">
        <f aca="false">E11+E12</f>
        <v>1146.65304436425</v>
      </c>
      <c r="F13" s="0" t="n">
        <f aca="false">F11+F12</f>
        <v>1146.76546132938</v>
      </c>
      <c r="G13" s="0" t="n">
        <f aca="false">G11+G12</f>
        <v>1163.96694324932</v>
      </c>
      <c r="H13" s="0" t="n">
        <f aca="false">H11+H12</f>
        <v>1181.42644739806</v>
      </c>
      <c r="I13" s="0" t="n">
        <f aca="false">I11+I12</f>
        <v>1199.14784410903</v>
      </c>
      <c r="J13" s="0" t="n">
        <f aca="false">J11+J12</f>
        <v>1217.13506177067</v>
      </c>
      <c r="K13" s="0" t="n">
        <f aca="false">K11+K12</f>
        <v>1235.39208769723</v>
      </c>
      <c r="L13" s="0" t="n">
        <f aca="false">L11+L12</f>
        <v>1253.92296901269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0</v>
      </c>
      <c r="D14" s="4" t="n">
        <f aca="false">Assumptions!D19</f>
        <v>0</v>
      </c>
      <c r="E14" s="4" t="n">
        <f aca="false">Assumptions!E19</f>
        <v>0</v>
      </c>
      <c r="F14" s="4" t="n">
        <f aca="false">Assumptions!F19</f>
        <v>0</v>
      </c>
      <c r="G14" s="4" t="n">
        <f aca="false">Assumptions!G19</f>
        <v>0</v>
      </c>
      <c r="H14" s="4" t="n">
        <f aca="false">Assumptions!H19</f>
        <v>0</v>
      </c>
      <c r="I14" s="4" t="n">
        <f aca="false">Assumptions!I19</f>
        <v>0</v>
      </c>
      <c r="J14" s="4" t="n">
        <f aca="false">Assumptions!J19</f>
        <v>0</v>
      </c>
      <c r="K14" s="4" t="n">
        <f aca="false">Assumptions!K19</f>
        <v>0</v>
      </c>
      <c r="L14" s="4" t="n">
        <f aca="false">Assumptions!L19</f>
        <v>0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1173.951855</v>
      </c>
      <c r="D15" s="0" t="n">
        <f aca="false">D13-MAX(0,D13)*D14/100</f>
        <v>1163.3198382</v>
      </c>
      <c r="E15" s="0" t="n">
        <f aca="false">E13-MAX(0,E13)*E14/100</f>
        <v>1146.65304436425</v>
      </c>
      <c r="F15" s="0" t="n">
        <f aca="false">F13-MAX(0,F13)*F14/100</f>
        <v>1146.76546132938</v>
      </c>
      <c r="G15" s="0" t="n">
        <f aca="false">G13-MAX(0,G13)*G14/100</f>
        <v>1163.96694324932</v>
      </c>
      <c r="H15" s="0" t="n">
        <f aca="false">H13-MAX(0,H13)*H14/100</f>
        <v>1181.42644739806</v>
      </c>
      <c r="I15" s="0" t="n">
        <f aca="false">I13-MAX(0,I13)*I14/100</f>
        <v>1199.14784410903</v>
      </c>
      <c r="J15" s="0" t="n">
        <f aca="false">J13-MAX(0,J13)*J14/100</f>
        <v>1217.13506177067</v>
      </c>
      <c r="K15" s="0" t="n">
        <f aca="false">K13-MAX(0,K13)*K14/100</f>
        <v>1235.39208769723</v>
      </c>
      <c r="L15" s="0" t="n">
        <f aca="false">L13-MAX(0,L13)*L14/100</f>
        <v>1253.92296901269</v>
      </c>
    </row>
    <row r="16" customFormat="false" ht="15" hidden="false" customHeight="false" outlineLevel="0" collapsed="false">
      <c r="A16" s="0" t="s">
        <v>128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-299.0254725</v>
      </c>
      <c r="D17" s="4" t="n">
        <f aca="false">-D6*Assumptions!D18/100</f>
        <v>-324.387262575</v>
      </c>
      <c r="E17" s="4" t="n">
        <f aca="false">-E6*Assumptions!E18/100</f>
        <v>-337.25089540125</v>
      </c>
      <c r="F17" s="4" t="n">
        <f aca="false">-F6*Assumptions!F18/100</f>
        <v>-340.623404355262</v>
      </c>
      <c r="G17" s="4" t="n">
        <f aca="false">-G6*Assumptions!G18/100</f>
        <v>-345.732755420591</v>
      </c>
      <c r="H17" s="4" t="n">
        <f aca="false">-H6*Assumptions!H18/100</f>
        <v>-350.9187467519</v>
      </c>
      <c r="I17" s="4" t="n">
        <f aca="false">-I6*Assumptions!I18/100</f>
        <v>-356.182527953179</v>
      </c>
      <c r="J17" s="4" t="n">
        <f aca="false">-J6*Assumptions!J18/100</f>
        <v>-361.525265872476</v>
      </c>
      <c r="K17" s="4" t="n">
        <f aca="false">-K6*Assumptions!K18/100</f>
        <v>-366.948144860564</v>
      </c>
      <c r="L17" s="4" t="n">
        <f aca="false">-L6*Assumptions!L18/100</f>
        <v>-372.452367033472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874.9263825</v>
      </c>
      <c r="D19" s="0" t="n">
        <f aca="false">D15+D16+D17+D18</f>
        <v>838.932575625</v>
      </c>
      <c r="E19" s="0" t="n">
        <f aca="false">E15+E16+E17+E18</f>
        <v>809.402148963</v>
      </c>
      <c r="F19" s="0" t="n">
        <f aca="false">F15+F16+F17+F18</f>
        <v>806.142056974121</v>
      </c>
      <c r="G19" s="0" t="n">
        <f aca="false">G15+G16+G17+G18</f>
        <v>818.234187828733</v>
      </c>
      <c r="H19" s="0" t="n">
        <f aca="false">H15+H16+H17+H18</f>
        <v>830.507700646164</v>
      </c>
      <c r="I19" s="0" t="n">
        <f aca="false">I15+I16+I17+I18</f>
        <v>842.965316155856</v>
      </c>
      <c r="J19" s="0" t="n">
        <f aca="false">J15+J16+J17+J18</f>
        <v>855.609795898194</v>
      </c>
      <c r="K19" s="0" t="n">
        <f aca="false">K15+K16+K17+K18</f>
        <v>868.443942836667</v>
      </c>
      <c r="L19" s="0" t="n">
        <f aca="false">L15+L16+L17+L18</f>
        <v>881.470601979217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802.684754587156</v>
      </c>
      <c r="D21" s="0" t="n">
        <f aca="false">D19*D20</f>
        <v>706.112764603148</v>
      </c>
      <c r="E21" s="0" t="n">
        <f aca="false">E19*E20</f>
        <v>625.006968155153</v>
      </c>
      <c r="F21" s="0" t="n">
        <f aca="false">F19*F20</f>
        <v>571.091356860423</v>
      </c>
      <c r="G21" s="0" t="n">
        <f aca="false">G19*G20</f>
        <v>531.796080012229</v>
      </c>
      <c r="H21" s="0" t="n">
        <f aca="false">H19*H20</f>
        <v>495.204606616892</v>
      </c>
      <c r="I21" s="0" t="n">
        <f aca="false">I19*I20</f>
        <v>461.130895152427</v>
      </c>
      <c r="J21" s="0" t="n">
        <f aca="false">J19*J20</f>
        <v>429.401705119003</v>
      </c>
      <c r="K21" s="0" t="n">
        <f aca="false">K19*K20</f>
        <v>399.855716234668</v>
      </c>
      <c r="L21" s="0" t="n">
        <f aca="false">L19*L20</f>
        <v>372.34270823687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5394.62755557797</v>
      </c>
    </row>
    <row r="31" customFormat="false" ht="15" hidden="false" customHeight="false" outlineLevel="0" collapsed="false">
      <c r="A31" s="0" t="s">
        <v>137</v>
      </c>
      <c r="B31" s="0" t="n">
        <f aca="false">L19</f>
        <v>881.470601979217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11929.2354801187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12340.588427709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11929.2354801187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5039.03798480564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10433.6655403836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10433.6655403836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15.4641552399342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-0.312398610941121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15.4641552399342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6627.35304451041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8.67594705078474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4.5</v>
      </c>
      <c r="D5" s="4" t="n">
        <f aca="false">Assumptions!D27</f>
        <v>4</v>
      </c>
      <c r="E5" s="4" t="n">
        <f aca="false">Assumptions!E27</f>
        <v>3.5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2.75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2140.1</v>
      </c>
      <c r="C6" s="0" t="n">
        <f aca="false">B6*(1+C5/100)</f>
        <v>2236.4045</v>
      </c>
      <c r="D6" s="0" t="n">
        <f aca="false">C6*(1+D5/100)</f>
        <v>2325.86068</v>
      </c>
      <c r="E6" s="0" t="n">
        <f aca="false">D6*(1+E5/100)</f>
        <v>2407.2658038</v>
      </c>
      <c r="F6" s="0" t="n">
        <f aca="false">E6*(1+F5/100)</f>
        <v>2479.483777914</v>
      </c>
      <c r="G6" s="0" t="n">
        <f aca="false">F6*(1+G5/100)</f>
        <v>2553.86829125142</v>
      </c>
      <c r="H6" s="0" t="n">
        <f aca="false">G6*(1+H5/100)</f>
        <v>2624.09966926083</v>
      </c>
      <c r="I6" s="0" t="n">
        <f aca="false">H6*(1+I5/100)</f>
        <v>2689.70216099235</v>
      </c>
      <c r="J6" s="0" t="n">
        <f aca="false">I6*(1+J5/100)</f>
        <v>2756.94471501716</v>
      </c>
      <c r="K6" s="0" t="n">
        <f aca="false">J6*(1+K5/100)</f>
        <v>2825.86833289259</v>
      </c>
      <c r="L6" s="0" t="n">
        <f aca="false">K6*(1+L5/100)</f>
        <v>2896.51504121491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53.4</v>
      </c>
      <c r="D7" s="4" t="n">
        <f aca="false">Assumptions!D28</f>
        <v>53.5</v>
      </c>
      <c r="E7" s="4" t="n">
        <f aca="false">Assumptions!E28</f>
        <v>53.5</v>
      </c>
      <c r="F7" s="4" t="n">
        <f aca="false">Assumptions!F28</f>
        <v>53.5</v>
      </c>
      <c r="G7" s="4" t="n">
        <f aca="false">Assumptions!G28</f>
        <v>53.5</v>
      </c>
      <c r="H7" s="4" t="n">
        <f aca="false">Assumptions!H28</f>
        <v>53.5</v>
      </c>
      <c r="I7" s="4" t="n">
        <f aca="false">Assumptions!I28</f>
        <v>53.5</v>
      </c>
      <c r="J7" s="4" t="n">
        <f aca="false">Assumptions!J28</f>
        <v>53.5</v>
      </c>
      <c r="K7" s="4" t="n">
        <f aca="false">Assumptions!K28</f>
        <v>53.5</v>
      </c>
      <c r="L7" s="4" t="n">
        <f aca="false">Assumptions!L28</f>
        <v>53.5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1194.240003</v>
      </c>
      <c r="D8" s="0" t="n">
        <f aca="false">D6*D7/100</f>
        <v>1244.3354638</v>
      </c>
      <c r="E8" s="0" t="n">
        <f aca="false">E6*E7/100</f>
        <v>1287.887205033</v>
      </c>
      <c r="F8" s="0" t="n">
        <f aca="false">F6*F7/100</f>
        <v>1326.52382118399</v>
      </c>
      <c r="G8" s="0" t="n">
        <f aca="false">G6*G7/100</f>
        <v>1366.31953581951</v>
      </c>
      <c r="H8" s="0" t="n">
        <f aca="false">H6*H7/100</f>
        <v>1403.89332305455</v>
      </c>
      <c r="I8" s="0" t="n">
        <f aca="false">I6*I7/100</f>
        <v>1438.99065613091</v>
      </c>
      <c r="J8" s="0" t="n">
        <f aca="false">J6*J7/100</f>
        <v>1474.96542253418</v>
      </c>
      <c r="K8" s="0" t="n">
        <f aca="false">K6*K7/100</f>
        <v>1511.83955809754</v>
      </c>
      <c r="L8" s="0" t="n">
        <f aca="false">L6*L7/100</f>
        <v>1549.63554704998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1194.240003</v>
      </c>
      <c r="D11" s="0" t="n">
        <f aca="false">D8+D10+D24</f>
        <v>1244.3354638</v>
      </c>
      <c r="E11" s="0" t="n">
        <f aca="false">E8+E10+E24</f>
        <v>1287.887205033</v>
      </c>
      <c r="F11" s="0" t="n">
        <f aca="false">F8+F10+F24</f>
        <v>1326.52382118399</v>
      </c>
      <c r="G11" s="0" t="n">
        <f aca="false">G8+G10+G24</f>
        <v>1366.31953581951</v>
      </c>
      <c r="H11" s="0" t="n">
        <f aca="false">H8+H10+H24</f>
        <v>1403.89332305455</v>
      </c>
      <c r="I11" s="0" t="n">
        <f aca="false">I8+I10+I24</f>
        <v>1438.99065613091</v>
      </c>
      <c r="J11" s="0" t="n">
        <f aca="false">J8+J10+J24</f>
        <v>1474.96542253418</v>
      </c>
      <c r="K11" s="0" t="n">
        <f aca="false">K8+K10+K24</f>
        <v>1511.83955809754</v>
      </c>
      <c r="L11" s="0" t="n">
        <f aca="false">L8+L10+L24</f>
        <v>1549.63554704998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1194.240003</v>
      </c>
      <c r="D13" s="0" t="n">
        <f aca="false">D11+D12</f>
        <v>1244.3354638</v>
      </c>
      <c r="E13" s="0" t="n">
        <f aca="false">E11+E12</f>
        <v>1287.887205033</v>
      </c>
      <c r="F13" s="0" t="n">
        <f aca="false">F11+F12</f>
        <v>1326.52382118399</v>
      </c>
      <c r="G13" s="0" t="n">
        <f aca="false">G11+G12</f>
        <v>1366.31953581951</v>
      </c>
      <c r="H13" s="0" t="n">
        <f aca="false">H11+H12</f>
        <v>1403.89332305455</v>
      </c>
      <c r="I13" s="0" t="n">
        <f aca="false">I11+I12</f>
        <v>1438.99065613091</v>
      </c>
      <c r="J13" s="0" t="n">
        <f aca="false">J11+J12</f>
        <v>1474.96542253418</v>
      </c>
      <c r="K13" s="0" t="n">
        <f aca="false">K11+K12</f>
        <v>1511.83955809754</v>
      </c>
      <c r="L13" s="0" t="n">
        <f aca="false">L11+L12</f>
        <v>1549.63554704998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0</v>
      </c>
      <c r="D14" s="4" t="n">
        <f aca="false">Assumptions!D33</f>
        <v>0</v>
      </c>
      <c r="E14" s="4" t="n">
        <f aca="false">Assumptions!E33</f>
        <v>0</v>
      </c>
      <c r="F14" s="4" t="n">
        <f aca="false">Assumptions!F33</f>
        <v>0</v>
      </c>
      <c r="G14" s="4" t="n">
        <f aca="false">Assumptions!G33</f>
        <v>0</v>
      </c>
      <c r="H14" s="4" t="n">
        <f aca="false">Assumptions!H33</f>
        <v>0</v>
      </c>
      <c r="I14" s="4" t="n">
        <f aca="false">Assumptions!I33</f>
        <v>0</v>
      </c>
      <c r="J14" s="4" t="n">
        <f aca="false">Assumptions!J33</f>
        <v>0</v>
      </c>
      <c r="K14" s="4" t="n">
        <f aca="false">Assumptions!K33</f>
        <v>0</v>
      </c>
      <c r="L14" s="4" t="n">
        <f aca="false">Assumptions!L33</f>
        <v>0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1194.240003</v>
      </c>
      <c r="D15" s="0" t="n">
        <f aca="false">D13-MAX(0,D13)*D14/100</f>
        <v>1244.3354638</v>
      </c>
      <c r="E15" s="0" t="n">
        <f aca="false">E13-MAX(0,E13)*E14/100</f>
        <v>1287.887205033</v>
      </c>
      <c r="F15" s="0" t="n">
        <f aca="false">F13-MAX(0,F13)*F14/100</f>
        <v>1326.52382118399</v>
      </c>
      <c r="G15" s="0" t="n">
        <f aca="false">G13-MAX(0,G13)*G14/100</f>
        <v>1366.31953581951</v>
      </c>
      <c r="H15" s="0" t="n">
        <f aca="false">H13-MAX(0,H13)*H14/100</f>
        <v>1403.89332305455</v>
      </c>
      <c r="I15" s="0" t="n">
        <f aca="false">I13-MAX(0,I13)*I14/100</f>
        <v>1438.99065613091</v>
      </c>
      <c r="J15" s="0" t="n">
        <f aca="false">J13-MAX(0,J13)*J14/100</f>
        <v>1474.96542253418</v>
      </c>
      <c r="K15" s="0" t="n">
        <f aca="false">K13-MAX(0,K13)*K14/100</f>
        <v>1511.83955809754</v>
      </c>
      <c r="L15" s="0" t="n">
        <f aca="false">L13-MAX(0,L13)*L14/100</f>
        <v>1549.63554704998</v>
      </c>
    </row>
    <row r="16" customFormat="false" ht="15" hidden="false" customHeight="false" outlineLevel="0" collapsed="false">
      <c r="A16" s="0" t="s">
        <v>128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-288.4961805</v>
      </c>
      <c r="D17" s="4" t="n">
        <f aca="false">-D6*Assumptions!D32/100</f>
        <v>-300.03602772</v>
      </c>
      <c r="E17" s="4" t="n">
        <f aca="false">-E6*Assumptions!E32/100</f>
        <v>-305.7227570826</v>
      </c>
      <c r="F17" s="4" t="n">
        <f aca="false">-F6*Assumptions!F32/100</f>
        <v>-309.93547223925</v>
      </c>
      <c r="G17" s="4" t="n">
        <f aca="false">-G6*Assumptions!G32/100</f>
        <v>-319.233536406427</v>
      </c>
      <c r="H17" s="4" t="n">
        <f aca="false">-H6*Assumptions!H32/100</f>
        <v>-328.012458657604</v>
      </c>
      <c r="I17" s="4" t="n">
        <f aca="false">-I6*Assumptions!I32/100</f>
        <v>-336.212770124044</v>
      </c>
      <c r="J17" s="4" t="n">
        <f aca="false">-J6*Assumptions!J32/100</f>
        <v>-344.618089377145</v>
      </c>
      <c r="K17" s="4" t="n">
        <f aca="false">-K6*Assumptions!K32/100</f>
        <v>-353.233541611574</v>
      </c>
      <c r="L17" s="4" t="n">
        <f aca="false">-L6*Assumptions!L32/100</f>
        <v>-362.064380151863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905.7438225</v>
      </c>
      <c r="D19" s="0" t="n">
        <f aca="false">D15+D16+D17+D18</f>
        <v>944.29943608</v>
      </c>
      <c r="E19" s="0" t="n">
        <f aca="false">E15+E16+E17+E18</f>
        <v>982.1644479504</v>
      </c>
      <c r="F19" s="0" t="n">
        <f aca="false">F15+F16+F17+F18</f>
        <v>1016.58834894474</v>
      </c>
      <c r="G19" s="0" t="n">
        <f aca="false">G15+G16+G17+G18</f>
        <v>1047.08599941308</v>
      </c>
      <c r="H19" s="0" t="n">
        <f aca="false">H15+H16+H17+H18</f>
        <v>1075.88086439694</v>
      </c>
      <c r="I19" s="0" t="n">
        <f aca="false">I15+I16+I17+I18</f>
        <v>1102.77788600687</v>
      </c>
      <c r="J19" s="0" t="n">
        <f aca="false">J15+J16+J17+J18</f>
        <v>1130.34733315704</v>
      </c>
      <c r="K19" s="0" t="n">
        <f aca="false">K15+K16+K17+K18</f>
        <v>1158.60601648596</v>
      </c>
      <c r="L19" s="0" t="n">
        <f aca="false">L15+L16+L17+L18</f>
        <v>1187.57116689811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830.957635321101</v>
      </c>
      <c r="D21" s="0" t="n">
        <f aca="false">D19*D20</f>
        <v>794.797943001431</v>
      </c>
      <c r="E21" s="0" t="n">
        <f aca="false">E19*E20</f>
        <v>758.411161410594</v>
      </c>
      <c r="F21" s="0" t="n">
        <f aca="false">F19*F20</f>
        <v>720.176815667597</v>
      </c>
      <c r="G21" s="0" t="n">
        <f aca="false">G19*G20</f>
        <v>680.534055172133</v>
      </c>
      <c r="H21" s="0" t="n">
        <f aca="false">H19*H20</f>
        <v>641.512607054464</v>
      </c>
      <c r="I21" s="0" t="n">
        <f aca="false">I19*I20</f>
        <v>603.257268101675</v>
      </c>
      <c r="J21" s="0" t="n">
        <f aca="false">J19*J20</f>
        <v>567.283210829557</v>
      </c>
      <c r="K21" s="0" t="n">
        <f aca="false">K19*K20</f>
        <v>533.454395504859</v>
      </c>
      <c r="L21" s="0" t="n">
        <f aca="false">L19*L20</f>
        <v>501.642894855486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6632.0279869189</v>
      </c>
    </row>
    <row r="31" customFormat="false" ht="15" hidden="false" customHeight="false" outlineLevel="0" collapsed="false">
      <c r="A31" s="0" t="s">
        <v>137</v>
      </c>
      <c r="B31" s="0" t="n">
        <f aca="false">L19</f>
        <v>1187.57116689811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18727.083785701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21376.281004166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18727.083785701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7910.52257272113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14542.55055964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14542.55055964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21.5540989471469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-0.0416140975034721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21.5540989471469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9738.08356856452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11.1582427783222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5</v>
      </c>
      <c r="D5" s="4" t="n">
        <f aca="false">Assumptions!D41</f>
        <v>5</v>
      </c>
      <c r="E5" s="4" t="n">
        <f aca="false">Assumptions!E41</f>
        <v>4.5</v>
      </c>
      <c r="F5" s="4" t="n">
        <f aca="false">Assumptions!F41</f>
        <v>4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2140.1</v>
      </c>
      <c r="C6" s="0" t="n">
        <f aca="false">B6*(1+C5/100)</f>
        <v>2247.105</v>
      </c>
      <c r="D6" s="0" t="n">
        <f aca="false">C6*(1+D5/100)</f>
        <v>2359.46025</v>
      </c>
      <c r="E6" s="0" t="n">
        <f aca="false">D6*(1+E5/100)</f>
        <v>2465.63596125</v>
      </c>
      <c r="F6" s="0" t="n">
        <f aca="false">E6*(1+F5/100)</f>
        <v>2564.2613997</v>
      </c>
      <c r="G6" s="0" t="n">
        <f aca="false">F6*(1+G5/100)</f>
        <v>2666.831855688</v>
      </c>
      <c r="H6" s="0" t="n">
        <f aca="false">G6*(1+H5/100)</f>
        <v>2760.17097063708</v>
      </c>
      <c r="I6" s="0" t="n">
        <f aca="false">H6*(1+I5/100)</f>
        <v>2842.97609975619</v>
      </c>
      <c r="J6" s="0" t="n">
        <f aca="false">I6*(1+J5/100)</f>
        <v>2928.26538274888</v>
      </c>
      <c r="K6" s="0" t="n">
        <f aca="false">J6*(1+K5/100)</f>
        <v>3016.11334423135</v>
      </c>
      <c r="L6" s="0" t="n">
        <f aca="false">K6*(1+L5/100)</f>
        <v>3106.59674455829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53.6</v>
      </c>
      <c r="D7" s="4" t="n">
        <f aca="false">Assumptions!D42</f>
        <v>54</v>
      </c>
      <c r="E7" s="4" t="n">
        <f aca="false">Assumptions!E42</f>
        <v>54.3</v>
      </c>
      <c r="F7" s="4" t="n">
        <f aca="false">Assumptions!F42</f>
        <v>54.6</v>
      </c>
      <c r="G7" s="4" t="n">
        <f aca="false">Assumptions!G42</f>
        <v>54.8</v>
      </c>
      <c r="H7" s="4" t="n">
        <f aca="false">Assumptions!H42</f>
        <v>55</v>
      </c>
      <c r="I7" s="4" t="n">
        <f aca="false">Assumptions!I42</f>
        <v>55</v>
      </c>
      <c r="J7" s="4" t="n">
        <f aca="false">Assumptions!J42</f>
        <v>55</v>
      </c>
      <c r="K7" s="4" t="n">
        <f aca="false">Assumptions!K42</f>
        <v>55</v>
      </c>
      <c r="L7" s="4" t="n">
        <f aca="false">Assumptions!L42</f>
        <v>55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1204.44828</v>
      </c>
      <c r="D8" s="0" t="n">
        <f aca="false">D6*D7/100</f>
        <v>1274.108535</v>
      </c>
      <c r="E8" s="0" t="n">
        <f aca="false">E6*E7/100</f>
        <v>1338.84032695875</v>
      </c>
      <c r="F8" s="0" t="n">
        <f aca="false">F6*F7/100</f>
        <v>1400.0867242362</v>
      </c>
      <c r="G8" s="0" t="n">
        <f aca="false">G6*G7/100</f>
        <v>1461.42385691702</v>
      </c>
      <c r="H8" s="0" t="n">
        <f aca="false">H6*H7/100</f>
        <v>1518.09403385039</v>
      </c>
      <c r="I8" s="0" t="n">
        <f aca="false">I6*I7/100</f>
        <v>1563.63685486591</v>
      </c>
      <c r="J8" s="0" t="n">
        <f aca="false">J6*J7/100</f>
        <v>1610.54596051188</v>
      </c>
      <c r="K8" s="0" t="n">
        <f aca="false">K6*K7/100</f>
        <v>1658.86233932724</v>
      </c>
      <c r="L8" s="0" t="n">
        <f aca="false">L6*L7/100</f>
        <v>1708.62820950706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1204.44828</v>
      </c>
      <c r="D11" s="0" t="n">
        <f aca="false">D8+D10+D24</f>
        <v>1274.108535</v>
      </c>
      <c r="E11" s="0" t="n">
        <f aca="false">E8+E10+E24</f>
        <v>1338.84032695875</v>
      </c>
      <c r="F11" s="0" t="n">
        <f aca="false">F8+F10+F24</f>
        <v>1400.0867242362</v>
      </c>
      <c r="G11" s="0" t="n">
        <f aca="false">G8+G10+G24</f>
        <v>1461.42385691702</v>
      </c>
      <c r="H11" s="0" t="n">
        <f aca="false">H8+H10+H24</f>
        <v>1518.09403385039</v>
      </c>
      <c r="I11" s="0" t="n">
        <f aca="false">I8+I10+I24</f>
        <v>1563.63685486591</v>
      </c>
      <c r="J11" s="0" t="n">
        <f aca="false">J8+J10+J24</f>
        <v>1610.54596051188</v>
      </c>
      <c r="K11" s="0" t="n">
        <f aca="false">K8+K10+K24</f>
        <v>1658.86233932724</v>
      </c>
      <c r="L11" s="0" t="n">
        <f aca="false">L8+L10+L24</f>
        <v>1708.62820950706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1204.44828</v>
      </c>
      <c r="D13" s="0" t="n">
        <f aca="false">D11+D12</f>
        <v>1274.108535</v>
      </c>
      <c r="E13" s="0" t="n">
        <f aca="false">E11+E12</f>
        <v>1338.84032695875</v>
      </c>
      <c r="F13" s="0" t="n">
        <f aca="false">F11+F12</f>
        <v>1400.0867242362</v>
      </c>
      <c r="G13" s="0" t="n">
        <f aca="false">G11+G12</f>
        <v>1461.42385691702</v>
      </c>
      <c r="H13" s="0" t="n">
        <f aca="false">H11+H12</f>
        <v>1518.09403385039</v>
      </c>
      <c r="I13" s="0" t="n">
        <f aca="false">I11+I12</f>
        <v>1563.63685486591</v>
      </c>
      <c r="J13" s="0" t="n">
        <f aca="false">J11+J12</f>
        <v>1610.54596051188</v>
      </c>
      <c r="K13" s="0" t="n">
        <f aca="false">K11+K12</f>
        <v>1658.86233932724</v>
      </c>
      <c r="L13" s="0" t="n">
        <f aca="false">L11+L12</f>
        <v>1708.62820950706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0</v>
      </c>
      <c r="D14" s="4" t="n">
        <f aca="false">Assumptions!D47</f>
        <v>0</v>
      </c>
      <c r="E14" s="4" t="n">
        <f aca="false">Assumptions!E47</f>
        <v>0</v>
      </c>
      <c r="F14" s="4" t="n">
        <f aca="false">Assumptions!F47</f>
        <v>0</v>
      </c>
      <c r="G14" s="4" t="n">
        <f aca="false">Assumptions!G47</f>
        <v>0</v>
      </c>
      <c r="H14" s="4" t="n">
        <f aca="false">Assumptions!H47</f>
        <v>0</v>
      </c>
      <c r="I14" s="4" t="n">
        <f aca="false">Assumptions!I47</f>
        <v>0</v>
      </c>
      <c r="J14" s="4" t="n">
        <f aca="false">Assumptions!J47</f>
        <v>0</v>
      </c>
      <c r="K14" s="4" t="n">
        <f aca="false">Assumptions!K47</f>
        <v>0</v>
      </c>
      <c r="L14" s="4" t="n">
        <f aca="false">Assumptions!L47</f>
        <v>0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1204.44828</v>
      </c>
      <c r="D15" s="0" t="n">
        <f aca="false">D13-MAX(0,D13)*D14/100</f>
        <v>1274.108535</v>
      </c>
      <c r="E15" s="0" t="n">
        <f aca="false">E13-MAX(0,E13)*E14/100</f>
        <v>1338.84032695875</v>
      </c>
      <c r="F15" s="0" t="n">
        <f aca="false">F13-MAX(0,F13)*F14/100</f>
        <v>1400.0867242362</v>
      </c>
      <c r="G15" s="0" t="n">
        <f aca="false">G13-MAX(0,G13)*G14/100</f>
        <v>1461.42385691702</v>
      </c>
      <c r="H15" s="0" t="n">
        <f aca="false">H13-MAX(0,H13)*H14/100</f>
        <v>1518.09403385039</v>
      </c>
      <c r="I15" s="0" t="n">
        <f aca="false">I13-MAX(0,I13)*I14/100</f>
        <v>1563.63685486591</v>
      </c>
      <c r="J15" s="0" t="n">
        <f aca="false">J13-MAX(0,J13)*J14/100</f>
        <v>1610.54596051188</v>
      </c>
      <c r="K15" s="0" t="n">
        <f aca="false">K13-MAX(0,K13)*K14/100</f>
        <v>1658.86233932724</v>
      </c>
      <c r="L15" s="0" t="n">
        <f aca="false">L13-MAX(0,L13)*L14/100</f>
        <v>1708.62820950706</v>
      </c>
    </row>
    <row r="16" customFormat="false" ht="15" hidden="false" customHeight="false" outlineLevel="0" collapsed="false">
      <c r="A16" s="0" t="s">
        <v>128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-285.382335</v>
      </c>
      <c r="D17" s="4" t="n">
        <f aca="false">-D6*Assumptions!D46/100</f>
        <v>-294.93253125</v>
      </c>
      <c r="E17" s="4" t="n">
        <f aca="false">-E6*Assumptions!E46/100</f>
        <v>-300.8075872725</v>
      </c>
      <c r="F17" s="4" t="n">
        <f aca="false">-F6*Assumptions!F46/100</f>
        <v>-307.711367964</v>
      </c>
      <c r="G17" s="4" t="n">
        <f aca="false">-G6*Assumptions!G46/100</f>
        <v>-314.686158971184</v>
      </c>
      <c r="H17" s="4" t="n">
        <f aca="false">-H6*Assumptions!H46/100</f>
        <v>-317.419661623264</v>
      </c>
      <c r="I17" s="4" t="n">
        <f aca="false">-I6*Assumptions!I46/100</f>
        <v>-326.942251471962</v>
      </c>
      <c r="J17" s="4" t="n">
        <f aca="false">-J6*Assumptions!J46/100</f>
        <v>-336.750519016121</v>
      </c>
      <c r="K17" s="4" t="n">
        <f aca="false">-K6*Assumptions!K46/100</f>
        <v>-346.853034586605</v>
      </c>
      <c r="L17" s="4" t="n">
        <f aca="false">-L6*Assumptions!L46/100</f>
        <v>-357.258625624203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919.065945</v>
      </c>
      <c r="D19" s="0" t="n">
        <f aca="false">D15+D16+D17+D18</f>
        <v>979.17600375</v>
      </c>
      <c r="E19" s="0" t="n">
        <f aca="false">E15+E16+E17+E18</f>
        <v>1038.03273968625</v>
      </c>
      <c r="F19" s="0" t="n">
        <f aca="false">F15+F16+F17+F18</f>
        <v>1092.3753562722</v>
      </c>
      <c r="G19" s="0" t="n">
        <f aca="false">G15+G16+G17+G18</f>
        <v>1146.73769794584</v>
      </c>
      <c r="H19" s="0" t="n">
        <f aca="false">H15+H16+H17+H18</f>
        <v>1200.67437222713</v>
      </c>
      <c r="I19" s="0" t="n">
        <f aca="false">I15+I16+I17+I18</f>
        <v>1236.69460339394</v>
      </c>
      <c r="J19" s="0" t="n">
        <f aca="false">J15+J16+J17+J18</f>
        <v>1273.79544149576</v>
      </c>
      <c r="K19" s="0" t="n">
        <f aca="false">K15+K16+K17+K18</f>
        <v>1312.00930474064</v>
      </c>
      <c r="L19" s="0" t="n">
        <f aca="false">L15+L16+L17+L18</f>
        <v>1351.36958388285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843.179766055046</v>
      </c>
      <c r="D21" s="0" t="n">
        <f aca="false">D19*D20</f>
        <v>824.152852243077</v>
      </c>
      <c r="E21" s="0" t="n">
        <f aca="false">E19*E20</f>
        <v>801.551733348249</v>
      </c>
      <c r="F21" s="0" t="n">
        <f aca="false">F19*F20</f>
        <v>773.866242329552</v>
      </c>
      <c r="G21" s="0" t="n">
        <f aca="false">G19*G20</f>
        <v>745.300821746513</v>
      </c>
      <c r="H21" s="0" t="n">
        <f aca="false">H19*H20</f>
        <v>715.922898380251</v>
      </c>
      <c r="I21" s="0" t="n">
        <f aca="false">I19*I20</f>
        <v>676.514298469412</v>
      </c>
      <c r="J21" s="0" t="n">
        <f aca="false">J19*J20</f>
        <v>639.274979287609</v>
      </c>
      <c r="K21" s="0" t="n">
        <f aca="false">K19*K20</f>
        <v>604.085530886456</v>
      </c>
      <c r="L21" s="0" t="n">
        <f aca="false">L19*L20</f>
        <v>570.833116342248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7194.68223908841</v>
      </c>
    </row>
    <row r="31" customFormat="false" ht="15" hidden="false" customHeight="false" outlineLevel="0" collapsed="false">
      <c r="A31" s="0" t="s">
        <v>137</v>
      </c>
      <c r="B31" s="0" t="n">
        <f aca="false">L19</f>
        <v>1351.36958388285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23198.511189989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24324.6525098914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23198.511189989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9799.30183054192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16993.9840696303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16993.9840696303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25.1874671255822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0.119940734796898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25.1874671255822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11599.2555949945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12.4371879653713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15.4641552399342</v>
      </c>
      <c r="C4" s="0" t="n">
        <f aca="false">B4/Assumptions!$B$2-1</f>
        <v>-0.312398610941121</v>
      </c>
      <c r="D4" s="4" t="n">
        <f aca="false">Assumptions!$B$24</f>
        <v>0.25</v>
      </c>
      <c r="E4" s="4" t="n">
        <f aca="false">DCF_Bear!$B$43</f>
        <v>15.4641552399342</v>
      </c>
      <c r="F4" s="4" t="n">
        <f aca="false">DCF_Bear!$B$47</f>
        <v>8.67594705078474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21.5540989471469</v>
      </c>
      <c r="C5" s="0" t="n">
        <f aca="false">B5/Assumptions!$B$2-1</f>
        <v>-0.0416140975034721</v>
      </c>
      <c r="D5" s="4" t="n">
        <f aca="false">Assumptions!$B$38</f>
        <v>0.5</v>
      </c>
      <c r="E5" s="4" t="n">
        <f aca="false">DCF_Base!$B$43</f>
        <v>21.5540989471469</v>
      </c>
      <c r="F5" s="4" t="n">
        <f aca="false">DCF_Base!$B$47</f>
        <v>11.1582427783222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25.1874671255822</v>
      </c>
      <c r="C6" s="0" t="n">
        <f aca="false">B6/Assumptions!$B$2-1</f>
        <v>0.119940734796898</v>
      </c>
      <c r="D6" s="4" t="n">
        <f aca="false">Assumptions!$B$52</f>
        <v>0.25</v>
      </c>
      <c r="E6" s="4" t="n">
        <f aca="false">DCF_Bull!$B$43</f>
        <v>25.1874671255822</v>
      </c>
      <c r="F6" s="4" t="n">
        <f aca="false">DCF_Bull!$B$47</f>
        <v>12.4371879653713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20.9399550649526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20.9399550649526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-0.0740233171580087</v>
      </c>
    </row>
    <row r="11" customFormat="false" ht="15" hidden="false" customHeight="false" outlineLevel="0" collapsed="false">
      <c r="A11" s="0" t="s">
        <v>164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10.8574051432001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21.5540989471469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18.6651806641509</v>
      </c>
      <c r="C16" s="3" t="n">
        <v>10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16.4564500933538</v>
      </c>
      <c r="C17" s="3" t="n">
        <v>11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14.7130932023251</v>
      </c>
      <c r="C18" s="3" t="n">
        <v>12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11.1582427783222</v>
      </c>
      <c r="C19" s="3" t="n">
        <v>15</v>
      </c>
    </row>
    <row r="21" customFormat="false" ht="15" hidden="false" customHeight="false" outlineLevel="0" collapsed="false">
      <c r="A21" s="2" t="s">
        <v>173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26.9114856274075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26.9114856274075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26.9114856274075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26.9114856274075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26.9114856274075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23.0312794049509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24.1601405695253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24.9754291883845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24.9754291883845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24.9754291883845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19.8916977876041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20.6635268973918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21.5540989471469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22.5930996718612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23.2126872599935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17.4942408337442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18.0431188792474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18.6651806641509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19.3761084183264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20.1964096731443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15.604332377487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16.0067212988685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16.4564500933538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16.9623949871497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17.5357992001184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2026-09-28T22:29:20Z</dcterms:created>
  <dc:creator>openpyxl</dc:creator>
  <dc:description/>
  <dc:language>en-NZ</dc:language>
  <cp:lastModifiedBy/>
  <dcterms:modified xsi:type="dcterms:W3CDTF">2026-09-28T22:29:20Z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