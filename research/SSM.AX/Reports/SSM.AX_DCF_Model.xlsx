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<sst xmlns="http://schemas.openxmlformats.org/spreadsheetml/2006/main" count="365" uniqueCount="166">
  <si>
    <t xml:space="preserve">Ticker</t>
  </si>
  <si>
    <t xml:space="preserve">SSM.AX</t>
  </si>
  <si>
    <t xml:space="preserve">Company</t>
  </si>
  <si>
    <t xml:space="preserve">Service Stream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</si>
  <si>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</si>
  <si>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</si>
  <si>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</si>
  <si>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</si>
  <si>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2026-09-25T04:51:05Z regular session (Yahoo Finance chart API); 52-week range 1.78-2.72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</si>
  <si>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</si>
  <si>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</si>
  <si>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</si>
  <si>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</si>
  <si>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</si>
  <si>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</si>
  <si>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</si>
  <si>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</si>
  <si>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</si>
  <si>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</si>
  <si>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</si>
  <si>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</si>
  <si>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2026-09-25T05:17:04Z</t>
  </si>
  <si>
    <t xml:space="preserve">Drivers file</t>
  </si>
  <si>
    <t xml:space="preserve">SSM.AX_Drivers.json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</si>
  <si>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</si>
  <si>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</si>
  <si>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</si>
  <si>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Service Stream is a thin-margin, government/carrier-counterparty infrastructure services contractor with a net-cash, zero-debt balance sheet, record work-in-hand and a genuine but early-stage diversification (Defence, industrials/energy-transition bolt-ons) away from its historically NBN/telco-dependent revenue base. The owner-FCF DCF values it on a component build off statutory revenue and EBITDA-from-Operations margin, with the FY2026 base year explicitly normalised for a one-off tax-payment catch-up and a Defence-mobilisation capex spike so the terminal path is not anchored to either extreme.
key_risks_to_valuation: Customer/segment concentration: Telecommunications (NBN Co, Telstra, Optus) is still 43% of group revenue and the BSA precedent shows how fast that can unwind; Defence base-services is a brand-new vertical for the company (only 5 months of FY2026 trading) -- the margin and retention profile is unproven beyond initial mobilisation; Thin group EBITDA margin (6.6-7.0%) leaves little buffer against wage/subcontractor cost inflation or re-tender pricing pressure on ~70%-government-linked revenue; FY2026 capex and cash tax were both one-off elevated (Defence fleet mobilisation; FY2025 tax installment catch-up) -- getting the normalisation wrong in either direction materially moves the valuation; Working capital/cash conversion has swung meaningfully in the past (H1 FY2022/23) despite FY2026's strong 113.9% conversion</t>
  </si>
  <si>
    <t xml:space="preserve">Data sources</t>
  </si>
  <si>
    <t xml:space="preserve">price: Yahoo Finance chart API at inputs.price_as_of; 52-week range 1.78-2.72
financials: SSM.AX_Metrics.csv / core_metrics via metrics_normalized; SSM.AX_Annual_FY2026.txt and SSM.AX_Annual_FY2025.txt for lease, tax and EBITDA-from-Operations reconciliation detail (Table 3, Table 4, Table 13, Note 5, Note 15)
qualitative: SSM.AX_Analysis.json (business_model, growth_drivers, risks, recent_developments, guidance, bull_case, bear_case)</t>
  </si>
  <si>
    <t xml:space="preserve">Scenario narrative: bear</t>
  </si>
  <si>
    <t xml:space="preserve">NBN/Telstra/Optus concentration bites (the BSA precedent), Defence mobilisation disappoints on margin, and competitive government tendering caps the margin story -- growth stalls near zero for several years before a modest recovery.</t>
  </si>
  <si>
    <t xml:space="preserve">Scenario narrative: base</t>
  </si>
  <si>
    <t xml:space="preserve">Defence ramps to a full year, RiE adds a small bolt-on, Telco keeps softening moderately while Utilities keeps expanding margin -- net mid-single-digit growth decelerating to a 2.5% terminal rate, EBITDA margin maturing at ~7.8%.</t>
  </si>
  <si>
    <t xml:space="preserve">Scenario narrative: bull</t>
  </si>
  <si>
    <t xml:space="preserve">Defence becomes a genuine second growth pillar, further bolt-on M&amp;A repeats the RiE template, Telco stabilises instead of shrinking, and Utilities margin expansion continues past FY2026's pace -- margin matures near 9%.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</si>
  <si>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</si>
  <si>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</si>
  <si>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</si>
  <si>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</si>
  <si>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</si>
  <si>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</si>
  <si>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</si>
  <si>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</si>
  <si>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</si>
  <si>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</si>
  <si>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</si>
  <si>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</si>
  <si>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</si>
  <si>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</si>
  <si>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</si>
  <si>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</si>
  <si>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</si>
  <si>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</si>
  <si>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</si>
  <si>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</si>
  <si>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</si>
  <si>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</si>
  <si>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</si>
  <si>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</si>
  <si>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</si>
  <si>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</si>
  <si>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</si>
  <si>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</si>
  <si>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</si>
  <si>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</si>
  <si>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</si>
  <si>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</si>
  <si>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</si>
  <si>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</si>
  <si>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</si>
  <si>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</si>
  <si>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</si>
  <si>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</si>
  <si>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</si>
  <si>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</si>
  <si>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</si>
  <si>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</si>
  <si>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</si>
  <si>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</si>
  <si>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</si>
  <si>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</si>
  <si>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</si>
  <si>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</si>
  <si>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</si>
  <si>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</si>
  <si>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</si>
  <si>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</si>
  <si>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</si>
  <si>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</si>
  <si>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</si>
  <si>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</si>
  <si>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</si>
  <si>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</si>
  <si>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</si>
  <si>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</si>
  <si>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</si>
  <si>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</si>
  <si>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</si>
  <si>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</si>
  <si>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</si>
  <si>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</si>
  <si>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</si>
  <si>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</si>
  <si>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</si>
  <si>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</si>
  <si>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</si>
  <si>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</si>
  <si>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</si>
  <si>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</si>
  <si>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</si>
  <si>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</si>
  <si>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SSM.AX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</si>
  <si>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</si>
  <si>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</si>
  <si>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</si>
  <si>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</si>
  <si>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</si>
  <si>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</si>
  <si>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</si>
  <si>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</si>
  <si>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</si>
  <si>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</si>
  <si>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</si>
  <si>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</si>
  <si>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</si>
  <si>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</si>
  <si>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</si>
  <si>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</si>
  <si>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</si>
  <si>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</si>
  <si>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</si>
  <si>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</si>
  <si>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</si>
  <si>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</si>
  <si>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</si>
  <si>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</si>
  <si>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</si>
  <si>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</si>
  <si>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</si>
  <si>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</si>
  <si>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</si>
  <si>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</si>
  <si>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SSM.AX owner-FCF component DCF: base case (millions, AUD)</t>
  </si>
  <si>
    <t xml:space="preserve">SSM.AX owner-FCF component DCF: bull case (millions, AUD)</t>
  </si>
  <si>
    <t xml:space="preserve">SSM.AX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</si>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</sst>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2.465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410.888</v>
      </c>
      <c r="F2" s="0" t="n">
        <v>19.064</v>
      </c>
      <c r="G2" s="0" t="n">
        <v>4.6397</v>
      </c>
      <c r="H2" s="0" t="n">
        <v>25.389</v>
      </c>
      <c r="I2" s="0" t="n">
        <v>11.72</v>
      </c>
      <c r="J2" s="0" t="n">
        <v>2.8524</v>
      </c>
      <c r="K2" s="0" t="n">
        <v>0.0303</v>
      </c>
      <c r="L2" s="0" t="n">
        <v>32.311</v>
      </c>
      <c r="M2" s="0" t="n">
        <v>3.857</v>
      </c>
      <c r="N2" s="0" t="n">
        <v>28.454</v>
      </c>
      <c r="O2" s="0" t="n">
        <v>189.322</v>
      </c>
      <c r="P2" s="0" t="n">
        <v>266.377</v>
      </c>
      <c r="Q2" s="0" t="n">
        <v>77.055</v>
      </c>
      <c r="S2" s="0" t="n">
        <v>14.756</v>
      </c>
      <c r="T2" s="0" t="n">
        <v>388.653</v>
      </c>
      <c r="U2" s="0" t="n">
        <v>1.273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437.872</v>
      </c>
      <c r="F3" s="0" t="n">
        <v>28.408</v>
      </c>
      <c r="G3" s="0" t="n">
        <v>6.4877</v>
      </c>
      <c r="H3" s="0" t="n">
        <v>35.818</v>
      </c>
      <c r="I3" s="0" t="n">
        <v>19.983</v>
      </c>
      <c r="J3" s="0" t="n">
        <v>4.5637</v>
      </c>
      <c r="K3" s="0" t="n">
        <v>0.052</v>
      </c>
      <c r="L3" s="0" t="n">
        <v>62.33</v>
      </c>
      <c r="M3" s="0" t="n">
        <v>9.546</v>
      </c>
      <c r="N3" s="0" t="n">
        <v>52.784</v>
      </c>
      <c r="O3" s="0" t="n">
        <v>185.351</v>
      </c>
      <c r="P3" s="0" t="n">
        <v>278.292</v>
      </c>
      <c r="Q3" s="0" t="n">
        <v>92.941</v>
      </c>
      <c r="R3" s="0" t="n">
        <v>0</v>
      </c>
      <c r="S3" s="0" t="n">
        <v>41.086</v>
      </c>
      <c r="T3" s="0" t="n">
        <v>394.311</v>
      </c>
      <c r="U3" s="0" t="n">
        <v>2.385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501.543</v>
      </c>
      <c r="F4" s="0" t="n">
        <v>40.873</v>
      </c>
      <c r="G4" s="0" t="n">
        <v>8.1495</v>
      </c>
      <c r="H4" s="0" t="n">
        <v>48.352</v>
      </c>
      <c r="I4" s="0" t="n">
        <v>28.37</v>
      </c>
      <c r="J4" s="0" t="n">
        <v>5.6565</v>
      </c>
      <c r="K4" s="0" t="n">
        <v>0.0778</v>
      </c>
      <c r="L4" s="0" t="n">
        <v>50.745</v>
      </c>
      <c r="M4" s="0" t="n">
        <v>8.843</v>
      </c>
      <c r="N4" s="0" t="n">
        <v>41.902</v>
      </c>
      <c r="O4" s="0" t="n">
        <v>206.32</v>
      </c>
      <c r="P4" s="0" t="n">
        <v>331.773</v>
      </c>
      <c r="Q4" s="0" t="n">
        <v>125.453</v>
      </c>
      <c r="R4" s="0" t="n">
        <v>1.01</v>
      </c>
      <c r="S4" s="0" t="n">
        <v>50.897</v>
      </c>
      <c r="T4" s="0" t="n">
        <v>372.26</v>
      </c>
      <c r="U4" s="0" t="n">
        <v>4.977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630.509</v>
      </c>
      <c r="F5" s="0" t="n">
        <v>57.851</v>
      </c>
      <c r="G5" s="0" t="n">
        <v>9.1753</v>
      </c>
      <c r="H5" s="0" t="n">
        <v>67.296</v>
      </c>
      <c r="I5" s="0" t="n">
        <v>41.107</v>
      </c>
      <c r="J5" s="0" t="n">
        <v>6.5197</v>
      </c>
      <c r="K5" s="0" t="n">
        <v>0.1129</v>
      </c>
      <c r="L5" s="0" t="n">
        <v>79.677</v>
      </c>
      <c r="M5" s="0" t="n">
        <v>7.74</v>
      </c>
      <c r="N5" s="0" t="n">
        <v>71.937</v>
      </c>
      <c r="O5" s="0" t="n">
        <v>206.894</v>
      </c>
      <c r="P5" s="0" t="n">
        <v>357.985</v>
      </c>
      <c r="Q5" s="0" t="n">
        <v>151.091</v>
      </c>
      <c r="R5" s="0" t="n">
        <v>0.657</v>
      </c>
      <c r="S5" s="0" t="n">
        <v>73.698</v>
      </c>
      <c r="T5" s="0" t="n">
        <v>370.276</v>
      </c>
      <c r="U5" s="0" t="n">
        <v>6.932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850.959</v>
      </c>
      <c r="F6" s="0" t="n">
        <v>73.317</v>
      </c>
      <c r="G6" s="0" t="n">
        <v>8.6158</v>
      </c>
      <c r="H6" s="0" t="n">
        <v>89.543</v>
      </c>
      <c r="I6" s="0" t="n">
        <v>49.859</v>
      </c>
      <c r="J6" s="0" t="n">
        <v>5.8592</v>
      </c>
      <c r="K6" s="0" t="n">
        <v>0.1309</v>
      </c>
      <c r="L6" s="0" t="n">
        <v>59.523</v>
      </c>
      <c r="M6" s="0" t="n">
        <v>9.868</v>
      </c>
      <c r="N6" s="0" t="n">
        <v>49.655</v>
      </c>
      <c r="O6" s="0" t="n">
        <v>307.764</v>
      </c>
      <c r="P6" s="0" t="n">
        <v>607.171</v>
      </c>
      <c r="Q6" s="0" t="n">
        <v>299.407</v>
      </c>
      <c r="R6" s="0" t="n">
        <v>60.288</v>
      </c>
      <c r="S6" s="0" t="n">
        <v>70.809</v>
      </c>
      <c r="T6" s="0" t="n">
        <v>386.84</v>
      </c>
      <c r="U6" s="0" t="n">
        <v>7.873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927.951</v>
      </c>
      <c r="F7" s="0" t="n">
        <v>73.91</v>
      </c>
      <c r="G7" s="0" t="n">
        <v>7.9649</v>
      </c>
      <c r="H7" s="0" t="n">
        <v>105.588</v>
      </c>
      <c r="I7" s="0" t="n">
        <v>49.315</v>
      </c>
      <c r="J7" s="0" t="n">
        <v>5.3144</v>
      </c>
      <c r="K7" s="0" t="n">
        <v>0.1213</v>
      </c>
      <c r="L7" s="0" t="n">
        <v>57.683</v>
      </c>
      <c r="M7" s="0" t="n">
        <v>7.821</v>
      </c>
      <c r="N7" s="0" t="n">
        <v>49.862</v>
      </c>
      <c r="O7" s="0" t="n">
        <v>321.796</v>
      </c>
      <c r="P7" s="0" t="n">
        <v>588.681</v>
      </c>
      <c r="Q7" s="0" t="n">
        <v>266.885</v>
      </c>
      <c r="R7" s="0" t="n">
        <v>60</v>
      </c>
      <c r="S7" s="0" t="n">
        <v>79.472</v>
      </c>
      <c r="T7" s="0" t="n">
        <v>407.781</v>
      </c>
      <c r="U7" s="0" t="n">
        <v>2.004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803.006</v>
      </c>
      <c r="F8" s="0" t="n">
        <v>45.862</v>
      </c>
      <c r="G8" s="0" t="n">
        <v>5.7113</v>
      </c>
      <c r="H8" s="0" t="n">
        <v>75.153</v>
      </c>
      <c r="I8" s="0" t="n">
        <v>29.274</v>
      </c>
      <c r="J8" s="0" t="n">
        <v>3.6456</v>
      </c>
      <c r="K8" s="0" t="n">
        <v>0.0715</v>
      </c>
      <c r="L8" s="0" t="n">
        <v>45.547</v>
      </c>
      <c r="M8" s="0" t="n">
        <v>9.894</v>
      </c>
      <c r="N8" s="0" t="n">
        <v>35.653</v>
      </c>
      <c r="O8" s="0" t="n">
        <v>323.332</v>
      </c>
      <c r="P8" s="0" t="n">
        <v>547.426</v>
      </c>
      <c r="Q8" s="0" t="n">
        <v>224.094</v>
      </c>
      <c r="R8" s="0" t="n">
        <v>33.783</v>
      </c>
      <c r="S8" s="0" t="n">
        <v>50.573</v>
      </c>
      <c r="T8" s="0" t="n">
        <v>409.706</v>
      </c>
      <c r="U8" s="0" t="n">
        <v>1.288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1513.804</v>
      </c>
      <c r="F9" s="0" t="n">
        <v>-26.919</v>
      </c>
      <c r="G9" s="0" t="n">
        <v>-1.7782</v>
      </c>
      <c r="H9" s="0" t="n">
        <v>26.403</v>
      </c>
      <c r="I9" s="0" t="n">
        <v>-36.324</v>
      </c>
      <c r="J9" s="0" t="n">
        <v>-2.3995</v>
      </c>
      <c r="K9" s="0" t="n">
        <v>-0.0609</v>
      </c>
      <c r="L9" s="0" t="n">
        <v>58.547</v>
      </c>
      <c r="M9" s="0" t="n">
        <v>5.379</v>
      </c>
      <c r="N9" s="0" t="n">
        <v>53.168</v>
      </c>
      <c r="O9" s="0" t="n">
        <v>468.096</v>
      </c>
      <c r="P9" s="0" t="n">
        <v>1049.655</v>
      </c>
      <c r="Q9" s="0" t="n">
        <v>581.559</v>
      </c>
      <c r="R9" s="0" t="n">
        <v>148.907</v>
      </c>
      <c r="S9" s="0" t="n">
        <v>68.677</v>
      </c>
      <c r="T9" s="0" t="n">
        <v>596.1</v>
      </c>
      <c r="U9" s="0" t="n">
        <v>0.332</v>
      </c>
      <c r="W9" s="0" t="n">
        <v>91.114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2048.658</v>
      </c>
      <c r="F10" s="0" t="n">
        <v>18.828</v>
      </c>
      <c r="G10" s="0" t="n">
        <v>0.919</v>
      </c>
      <c r="H10" s="0" t="n">
        <v>86.878</v>
      </c>
      <c r="I10" s="0" t="n">
        <v>4.462</v>
      </c>
      <c r="J10" s="0" t="n">
        <v>0.2178</v>
      </c>
      <c r="K10" s="0" t="n">
        <v>0.0072</v>
      </c>
      <c r="L10" s="0" t="n">
        <v>94.812</v>
      </c>
      <c r="M10" s="0" t="n">
        <v>7.984</v>
      </c>
      <c r="N10" s="0" t="n">
        <v>86.828</v>
      </c>
      <c r="O10" s="0" t="n">
        <v>465.358</v>
      </c>
      <c r="P10" s="0" t="n">
        <v>1091.107</v>
      </c>
      <c r="Q10" s="0" t="n">
        <v>625.749</v>
      </c>
      <c r="R10" s="0" t="n">
        <v>118.612</v>
      </c>
      <c r="S10" s="0" t="n">
        <v>84.267</v>
      </c>
      <c r="T10" s="0" t="n">
        <v>625.281</v>
      </c>
      <c r="U10" s="0" t="n">
        <v>2.051</v>
      </c>
      <c r="W10" s="0" t="n">
        <v>93.957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2288.793</v>
      </c>
      <c r="F11" s="0" t="n">
        <v>58.291</v>
      </c>
      <c r="G11" s="0" t="n">
        <v>2.5468</v>
      </c>
      <c r="H11" s="0" t="n">
        <v>116.752</v>
      </c>
      <c r="I11" s="0" t="n">
        <v>32.298</v>
      </c>
      <c r="J11" s="0" t="n">
        <v>1.4111</v>
      </c>
      <c r="K11" s="0" t="n">
        <v>0.0525</v>
      </c>
      <c r="L11" s="0" t="n">
        <v>97.185</v>
      </c>
      <c r="M11" s="0" t="n">
        <v>10.473</v>
      </c>
      <c r="N11" s="0" t="n">
        <v>86.712</v>
      </c>
      <c r="O11" s="0" t="n">
        <v>480.288</v>
      </c>
      <c r="P11" s="0" t="n">
        <v>1048.559</v>
      </c>
      <c r="Q11" s="0" t="n">
        <v>568.271</v>
      </c>
      <c r="R11" s="0" t="n">
        <v>54.496</v>
      </c>
      <c r="S11" s="0" t="n">
        <v>62.947</v>
      </c>
      <c r="T11" s="0" t="n">
        <v>628.858</v>
      </c>
      <c r="U11" s="0" t="n">
        <v>4.39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2326.464</v>
      </c>
      <c r="F12" s="0" t="n">
        <v>86.254</v>
      </c>
      <c r="G12" s="0" t="n">
        <v>3.7075</v>
      </c>
      <c r="H12" s="0" t="n">
        <v>145.801</v>
      </c>
      <c r="I12" s="0" t="n">
        <v>59.184</v>
      </c>
      <c r="J12" s="0" t="n">
        <v>2.5439</v>
      </c>
      <c r="K12" s="0" t="n">
        <v>0.0966</v>
      </c>
      <c r="L12" s="0" t="n">
        <v>134.993</v>
      </c>
      <c r="M12" s="0" t="n">
        <v>13.105</v>
      </c>
      <c r="N12" s="0" t="n">
        <v>121.888</v>
      </c>
      <c r="O12" s="0" t="n">
        <v>512.572</v>
      </c>
      <c r="P12" s="0" t="n">
        <v>1045.946</v>
      </c>
      <c r="Q12" s="0" t="n">
        <v>533.374</v>
      </c>
      <c r="R12" s="0" t="n">
        <v>0</v>
      </c>
      <c r="S12" s="0" t="n">
        <v>73.553</v>
      </c>
      <c r="T12" s="0" t="n">
        <v>627.076</v>
      </c>
      <c r="U12" s="0" t="n">
        <v>5.935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2350.235</v>
      </c>
      <c r="F13" s="0" t="n">
        <v>82.503</v>
      </c>
      <c r="G13" s="0" t="n">
        <v>3.5104</v>
      </c>
      <c r="H13" s="0" t="n">
        <v>141.653</v>
      </c>
      <c r="I13" s="0" t="n">
        <v>56.935</v>
      </c>
      <c r="J13" s="0" t="n">
        <v>2.4225</v>
      </c>
      <c r="K13" s="0" t="n">
        <v>0.0927</v>
      </c>
      <c r="L13" s="0" t="n">
        <v>109.987</v>
      </c>
      <c r="M13" s="0" t="n">
        <v>29.702</v>
      </c>
      <c r="N13" s="0" t="n">
        <v>80.285</v>
      </c>
      <c r="O13" s="0" t="n">
        <v>521.641</v>
      </c>
      <c r="P13" s="0" t="n">
        <v>1109.245</v>
      </c>
      <c r="Q13" s="0" t="n">
        <v>587.604</v>
      </c>
      <c r="R13" s="0" t="n">
        <v>0</v>
      </c>
      <c r="S13" s="0" t="n">
        <v>80.675</v>
      </c>
      <c r="T13" s="0" t="n">
        <v>625.902</v>
      </c>
      <c r="U13" s="0" t="n">
        <v>5.053</v>
      </c>
      <c r="AA13" s="0" t="s">
        <v>17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2.465</v>
      </c>
    </row>
    <row r="3" customFormat="false" ht="15" hidden="false" customHeight="false" outlineLevel="0" collapsed="false">
      <c r="A3" s="0" t="s">
        <v>78</v>
      </c>
      <c r="B3" s="3" t="n">
        <v>625.902</v>
      </c>
    </row>
    <row r="4" customFormat="false" ht="15" hidden="false" customHeight="false" outlineLevel="0" collapsed="false">
      <c r="A4" s="0" t="s">
        <v>79</v>
      </c>
      <c r="B4" s="3" t="n">
        <v>-80.675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2350.235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2.5</v>
      </c>
      <c r="D13" s="3" t="n">
        <v>1</v>
      </c>
      <c r="E13" s="3" t="n">
        <v>0.5</v>
      </c>
      <c r="F13" s="3" t="n">
        <v>0.5</v>
      </c>
      <c r="G13" s="3" t="n">
        <v>1</v>
      </c>
      <c r="H13" s="3" t="n">
        <v>1.5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6.5</v>
      </c>
      <c r="D14" s="3" t="n">
        <v>6.2</v>
      </c>
      <c r="E14" s="3" t="n">
        <v>6</v>
      </c>
      <c r="F14" s="3" t="n">
        <v>6</v>
      </c>
      <c r="G14" s="3" t="n">
        <v>6.1</v>
      </c>
      <c r="H14" s="3" t="n">
        <v>6.2</v>
      </c>
      <c r="I14" s="3" t="n">
        <v>6.3</v>
      </c>
      <c r="J14" s="3" t="n">
        <v>6.3</v>
      </c>
      <c r="K14" s="3" t="n">
        <v>6.3</v>
      </c>
      <c r="L14" s="3" t="n">
        <v>6.3</v>
      </c>
    </row>
    <row r="15" customFormat="false" ht="15" hidden="false" customHeight="false" outlineLevel="0" collapsed="false">
      <c r="A15" s="0" t="s">
        <v>100</v>
      </c>
      <c r="C15" s="3" t="n">
        <v>0.22</v>
      </c>
      <c r="D15" s="3" t="n">
        <v>0.22</v>
      </c>
      <c r="E15" s="3" t="n">
        <v>0.22</v>
      </c>
      <c r="F15" s="3" t="n">
        <v>0.22</v>
      </c>
      <c r="G15" s="3" t="n">
        <v>0.22</v>
      </c>
      <c r="H15" s="3" t="n">
        <v>0.22</v>
      </c>
      <c r="I15" s="3" t="n">
        <v>0.22</v>
      </c>
      <c r="J15" s="3" t="n">
        <v>0.22</v>
      </c>
      <c r="K15" s="3" t="n">
        <v>0.22</v>
      </c>
      <c r="L15" s="3" t="n">
        <v>0.22</v>
      </c>
    </row>
    <row r="16" customFormat="false" ht="15" hidden="false" customHeight="false" outlineLevel="0" collapsed="false">
      <c r="A16" s="0" t="s">
        <v>101</v>
      </c>
      <c r="C16" s="3" t="n">
        <v>1.55</v>
      </c>
      <c r="D16" s="3" t="n">
        <v>1.6</v>
      </c>
      <c r="E16" s="3" t="n">
        <v>1.6</v>
      </c>
      <c r="F16" s="3" t="n">
        <v>1.6</v>
      </c>
      <c r="G16" s="3" t="n">
        <v>1.55</v>
      </c>
      <c r="H16" s="3" t="n">
        <v>1.55</v>
      </c>
      <c r="I16" s="3" t="n">
        <v>1.55</v>
      </c>
      <c r="J16" s="3" t="n">
        <v>1.55</v>
      </c>
      <c r="K16" s="3" t="n">
        <v>1.55</v>
      </c>
      <c r="L16" s="3" t="n">
        <v>1.55</v>
      </c>
    </row>
    <row r="17" customFormat="false" ht="15" hidden="false" customHeight="false" outlineLevel="0" collapsed="false">
      <c r="A17" s="0" t="s">
        <v>102</v>
      </c>
      <c r="C17" s="3" t="n">
        <v>1.25</v>
      </c>
      <c r="D17" s="3" t="n">
        <v>1.3</v>
      </c>
      <c r="E17" s="3" t="n">
        <v>1.3</v>
      </c>
      <c r="F17" s="3" t="n">
        <v>1.3</v>
      </c>
      <c r="G17" s="3" t="n">
        <v>1.25</v>
      </c>
      <c r="H17" s="3" t="n">
        <v>1.25</v>
      </c>
      <c r="I17" s="3" t="n">
        <v>1.2</v>
      </c>
      <c r="J17" s="3" t="n">
        <v>1.2</v>
      </c>
      <c r="K17" s="3" t="n">
        <v>1.2</v>
      </c>
      <c r="L17" s="3" t="n">
        <v>1.2</v>
      </c>
    </row>
    <row r="18" customFormat="false" ht="15" hidden="false" customHeight="false" outlineLevel="0" collapsed="false">
      <c r="A18" s="0" t="s">
        <v>103</v>
      </c>
      <c r="C18" s="3" t="n">
        <v>0.95</v>
      </c>
      <c r="D18" s="3" t="n">
        <v>0.9</v>
      </c>
      <c r="E18" s="3" t="n">
        <v>0.8</v>
      </c>
      <c r="F18" s="3" t="n">
        <v>0.7</v>
      </c>
      <c r="G18" s="3" t="n">
        <v>0.65</v>
      </c>
      <c r="H18" s="3" t="n">
        <v>0.65</v>
      </c>
      <c r="I18" s="3" t="n">
        <v>0.65</v>
      </c>
      <c r="J18" s="3" t="n">
        <v>0.65</v>
      </c>
      <c r="K18" s="3" t="n">
        <v>0.65</v>
      </c>
      <c r="L18" s="3" t="n">
        <v>0.65</v>
      </c>
    </row>
    <row r="19" customFormat="false" ht="15" hidden="false" customHeight="false" outlineLevel="0" collapsed="false">
      <c r="A19" s="0" t="s">
        <v>104</v>
      </c>
      <c r="C19" s="3" t="n">
        <v>27</v>
      </c>
      <c r="D19" s="3" t="n">
        <v>26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105</v>
      </c>
      <c r="B20" s="3" t="n">
        <v>10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-8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6</v>
      </c>
      <c r="D27" s="3" t="n">
        <v>5.5</v>
      </c>
      <c r="E27" s="3" t="n">
        <v>4.5</v>
      </c>
      <c r="F27" s="3" t="n">
        <v>4</v>
      </c>
      <c r="G27" s="3" t="n">
        <v>3.5</v>
      </c>
      <c r="H27" s="3" t="n">
        <v>3</v>
      </c>
      <c r="I27" s="3" t="n">
        <v>2.8</v>
      </c>
      <c r="J27" s="3" t="n">
        <v>2.6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7.1</v>
      </c>
      <c r="D28" s="3" t="n">
        <v>7.3</v>
      </c>
      <c r="E28" s="3" t="n">
        <v>7.5</v>
      </c>
      <c r="F28" s="3" t="n">
        <v>7.6</v>
      </c>
      <c r="G28" s="3" t="n">
        <v>7.7</v>
      </c>
      <c r="H28" s="3" t="n">
        <v>7.8</v>
      </c>
      <c r="I28" s="3" t="n">
        <v>7.8</v>
      </c>
      <c r="J28" s="3" t="n">
        <v>7.8</v>
      </c>
      <c r="K28" s="3" t="n">
        <v>7.8</v>
      </c>
      <c r="L28" s="3" t="n">
        <v>7.8</v>
      </c>
    </row>
    <row r="29" customFormat="false" ht="15" hidden="false" customHeight="false" outlineLevel="0" collapsed="false">
      <c r="A29" s="0" t="s">
        <v>100</v>
      </c>
      <c r="C29" s="3" t="n">
        <v>0.22</v>
      </c>
      <c r="D29" s="3" t="n">
        <v>0.22</v>
      </c>
      <c r="E29" s="3" t="n">
        <v>0.23</v>
      </c>
      <c r="F29" s="3" t="n">
        <v>0.23</v>
      </c>
      <c r="G29" s="3" t="n">
        <v>0.23</v>
      </c>
      <c r="H29" s="3" t="n">
        <v>0.23</v>
      </c>
      <c r="I29" s="3" t="n">
        <v>0.23</v>
      </c>
      <c r="J29" s="3" t="n">
        <v>0.23</v>
      </c>
      <c r="K29" s="3" t="n">
        <v>0.23</v>
      </c>
      <c r="L29" s="3" t="n">
        <v>0.23</v>
      </c>
    </row>
    <row r="30" customFormat="false" ht="15" hidden="false" customHeight="false" outlineLevel="0" collapsed="false">
      <c r="A30" s="0" t="s">
        <v>101</v>
      </c>
      <c r="C30" s="3" t="n">
        <v>1.45</v>
      </c>
      <c r="D30" s="3" t="n">
        <v>1.45</v>
      </c>
      <c r="E30" s="3" t="n">
        <v>1.45</v>
      </c>
      <c r="F30" s="3" t="n">
        <v>1.45</v>
      </c>
      <c r="G30" s="3" t="n">
        <v>1.45</v>
      </c>
      <c r="H30" s="3" t="n">
        <v>1.45</v>
      </c>
      <c r="I30" s="3" t="n">
        <v>1.45</v>
      </c>
      <c r="J30" s="3" t="n">
        <v>1.45</v>
      </c>
      <c r="K30" s="3" t="n">
        <v>1.45</v>
      </c>
      <c r="L30" s="3" t="n">
        <v>1.45</v>
      </c>
    </row>
    <row r="31" customFormat="false" ht="15" hidden="false" customHeight="false" outlineLevel="0" collapsed="false">
      <c r="A31" s="0" t="s">
        <v>102</v>
      </c>
      <c r="C31" s="3" t="n">
        <v>1.2</v>
      </c>
      <c r="D31" s="3" t="n">
        <v>1.2</v>
      </c>
      <c r="E31" s="3" t="n">
        <v>1.2</v>
      </c>
      <c r="F31" s="3" t="n">
        <v>1.15</v>
      </c>
      <c r="G31" s="3" t="n">
        <v>1.15</v>
      </c>
      <c r="H31" s="3" t="n">
        <v>1.15</v>
      </c>
      <c r="I31" s="3" t="n">
        <v>1.1</v>
      </c>
      <c r="J31" s="3" t="n">
        <v>1.1</v>
      </c>
      <c r="K31" s="3" t="n">
        <v>1.1</v>
      </c>
      <c r="L31" s="3" t="n">
        <v>1.1</v>
      </c>
    </row>
    <row r="32" customFormat="false" ht="15" hidden="false" customHeight="false" outlineLevel="0" collapsed="false">
      <c r="A32" s="0" t="s">
        <v>103</v>
      </c>
      <c r="C32" s="3" t="n">
        <v>0.9</v>
      </c>
      <c r="D32" s="3" t="n">
        <v>0.85</v>
      </c>
      <c r="E32" s="3" t="n">
        <v>0.75</v>
      </c>
      <c r="F32" s="3" t="n">
        <v>0.7</v>
      </c>
      <c r="G32" s="3" t="n">
        <v>0.65</v>
      </c>
      <c r="H32" s="3" t="n">
        <v>0.65</v>
      </c>
      <c r="I32" s="3" t="n">
        <v>0.65</v>
      </c>
      <c r="J32" s="3" t="n">
        <v>0.65</v>
      </c>
      <c r="K32" s="3" t="n">
        <v>0.65</v>
      </c>
      <c r="L32" s="3" t="n">
        <v>0.65</v>
      </c>
    </row>
    <row r="33" customFormat="false" ht="15" hidden="false" customHeight="false" outlineLevel="0" collapsed="false">
      <c r="A33" s="0" t="s">
        <v>104</v>
      </c>
      <c r="C33" s="3" t="n">
        <v>26</v>
      </c>
      <c r="D33" s="3" t="n">
        <v>25.5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105</v>
      </c>
      <c r="B34" s="3" t="n">
        <v>9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-3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8.5</v>
      </c>
      <c r="D41" s="3" t="n">
        <v>8</v>
      </c>
      <c r="E41" s="3" t="n">
        <v>6.5</v>
      </c>
      <c r="F41" s="3" t="n">
        <v>5.5</v>
      </c>
      <c r="G41" s="3" t="n">
        <v>4.5</v>
      </c>
      <c r="H41" s="3" t="n">
        <v>3.8</v>
      </c>
      <c r="I41" s="3" t="n">
        <v>3.2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7.3</v>
      </c>
      <c r="D42" s="3" t="n">
        <v>7.7</v>
      </c>
      <c r="E42" s="3" t="n">
        <v>8.1</v>
      </c>
      <c r="F42" s="3" t="n">
        <v>8.4</v>
      </c>
      <c r="G42" s="3" t="n">
        <v>8.6</v>
      </c>
      <c r="H42" s="3" t="n">
        <v>8.8</v>
      </c>
      <c r="I42" s="3" t="n">
        <v>8.9</v>
      </c>
      <c r="J42" s="3" t="n">
        <v>9</v>
      </c>
      <c r="K42" s="3" t="n">
        <v>9</v>
      </c>
      <c r="L42" s="3" t="n">
        <v>9</v>
      </c>
    </row>
    <row r="43" customFormat="false" ht="15" hidden="false" customHeight="false" outlineLevel="0" collapsed="false">
      <c r="A43" s="0" t="s">
        <v>100</v>
      </c>
      <c r="C43" s="3" t="n">
        <v>0.22</v>
      </c>
      <c r="D43" s="3" t="n">
        <v>0.22</v>
      </c>
      <c r="E43" s="3" t="n">
        <v>0.23</v>
      </c>
      <c r="F43" s="3" t="n">
        <v>0.23</v>
      </c>
      <c r="G43" s="3" t="n">
        <v>0.23</v>
      </c>
      <c r="H43" s="3" t="n">
        <v>0.23</v>
      </c>
      <c r="I43" s="3" t="n">
        <v>0.23</v>
      </c>
      <c r="J43" s="3" t="n">
        <v>0.23</v>
      </c>
      <c r="K43" s="3" t="n">
        <v>0.23</v>
      </c>
      <c r="L43" s="3" t="n">
        <v>0.23</v>
      </c>
    </row>
    <row r="44" customFormat="false" ht="15" hidden="false" customHeight="false" outlineLevel="0" collapsed="false">
      <c r="A44" s="0" t="s">
        <v>101</v>
      </c>
      <c r="C44" s="3" t="n">
        <v>1.4</v>
      </c>
      <c r="D44" s="3" t="n">
        <v>1.35</v>
      </c>
      <c r="E44" s="3" t="n">
        <v>1.3</v>
      </c>
      <c r="F44" s="3" t="n">
        <v>1.3</v>
      </c>
      <c r="G44" s="3" t="n">
        <v>1.3</v>
      </c>
      <c r="H44" s="3" t="n">
        <v>1.3</v>
      </c>
      <c r="I44" s="3" t="n">
        <v>1.3</v>
      </c>
      <c r="J44" s="3" t="n">
        <v>1.3</v>
      </c>
      <c r="K44" s="3" t="n">
        <v>1.3</v>
      </c>
      <c r="L44" s="3" t="n">
        <v>1.3</v>
      </c>
    </row>
    <row r="45" customFormat="false" ht="15" hidden="false" customHeight="false" outlineLevel="0" collapsed="false">
      <c r="A45" s="0" t="s">
        <v>102</v>
      </c>
      <c r="C45" s="3" t="n">
        <v>1.15</v>
      </c>
      <c r="D45" s="3" t="n">
        <v>1.1</v>
      </c>
      <c r="E45" s="3" t="n">
        <v>1.05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</row>
    <row r="46" customFormat="false" ht="15" hidden="false" customHeight="false" outlineLevel="0" collapsed="false">
      <c r="A46" s="0" t="s">
        <v>103</v>
      </c>
      <c r="C46" s="3" t="n">
        <v>0.85</v>
      </c>
      <c r="D46" s="3" t="n">
        <v>0.75</v>
      </c>
      <c r="E46" s="3" t="n">
        <v>0.65</v>
      </c>
      <c r="F46" s="3" t="n">
        <v>0.6</v>
      </c>
      <c r="G46" s="3" t="n">
        <v>0.6</v>
      </c>
      <c r="H46" s="3" t="n">
        <v>0.6</v>
      </c>
      <c r="I46" s="3" t="n">
        <v>0.6</v>
      </c>
      <c r="J46" s="3" t="n">
        <v>0.6</v>
      </c>
      <c r="K46" s="3" t="n">
        <v>0.6</v>
      </c>
      <c r="L46" s="3" t="n">
        <v>0.6</v>
      </c>
    </row>
    <row r="47" customFormat="false" ht="15" hidden="false" customHeight="false" outlineLevel="0" collapsed="false">
      <c r="A47" s="0" t="s">
        <v>104</v>
      </c>
      <c r="C47" s="3" t="n">
        <v>26</v>
      </c>
      <c r="D47" s="3" t="n">
        <v>25.5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105</v>
      </c>
      <c r="B48" s="3" t="n">
        <v>8.5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17</v>
      </c>
    </row>
    <row r="51" customFormat="false" ht="15" hidden="false" customHeight="false" outlineLevel="0" collapsed="false">
      <c r="A51" s="0" t="s">
        <v>108</v>
      </c>
      <c r="B51" s="3" t="n">
        <v>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2.5</v>
      </c>
      <c r="D5" s="4" t="n">
        <f aca="false">Assumptions!D13</f>
        <v>1</v>
      </c>
      <c r="E5" s="4" t="n">
        <f aca="false">Assumptions!E13</f>
        <v>0.5</v>
      </c>
      <c r="F5" s="4" t="n">
        <f aca="false">Assumptions!F13</f>
        <v>0.5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2350.235</v>
      </c>
      <c r="C6" s="0" t="n">
        <f aca="false">B6*(1+C5/100)</f>
        <v>2408.990875</v>
      </c>
      <c r="D6" s="0" t="n">
        <f aca="false">C6*(1+D5/100)</f>
        <v>2433.08078375</v>
      </c>
      <c r="E6" s="0" t="n">
        <f aca="false">D6*(1+E5/100)</f>
        <v>2445.24618766875</v>
      </c>
      <c r="F6" s="0" t="n">
        <f aca="false">E6*(1+F5/100)</f>
        <v>2457.47241860709</v>
      </c>
      <c r="G6" s="0" t="n">
        <f aca="false">F6*(1+G5/100)</f>
        <v>2482.04714279316</v>
      </c>
      <c r="H6" s="0" t="n">
        <f aca="false">G6*(1+H5/100)</f>
        <v>2519.27784993506</v>
      </c>
      <c r="I6" s="0" t="n">
        <f aca="false">H6*(1+I5/100)</f>
        <v>2569.66340693376</v>
      </c>
      <c r="J6" s="0" t="n">
        <f aca="false">I6*(1+J5/100)</f>
        <v>2621.05667507244</v>
      </c>
      <c r="K6" s="0" t="n">
        <f aca="false">J6*(1+K5/100)</f>
        <v>2673.47780857389</v>
      </c>
      <c r="L6" s="0" t="n">
        <f aca="false">K6*(1+L5/100)</f>
        <v>2726.94736474537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6.5</v>
      </c>
      <c r="D7" s="4" t="n">
        <f aca="false">Assumptions!D14</f>
        <v>6.2</v>
      </c>
      <c r="E7" s="4" t="n">
        <f aca="false">Assumptions!E14</f>
        <v>6</v>
      </c>
      <c r="F7" s="4" t="n">
        <f aca="false">Assumptions!F14</f>
        <v>6</v>
      </c>
      <c r="G7" s="4" t="n">
        <f aca="false">Assumptions!G14</f>
        <v>6.1</v>
      </c>
      <c r="H7" s="4" t="n">
        <f aca="false">Assumptions!H14</f>
        <v>6.2</v>
      </c>
      <c r="I7" s="4" t="n">
        <f aca="false">Assumptions!I14</f>
        <v>6.3</v>
      </c>
      <c r="J7" s="4" t="n">
        <f aca="false">Assumptions!J14</f>
        <v>6.3</v>
      </c>
      <c r="K7" s="4" t="n">
        <f aca="false">Assumptions!K14</f>
        <v>6.3</v>
      </c>
      <c r="L7" s="4" t="n">
        <f aca="false">Assumptions!L14</f>
        <v>6.3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156.584406875</v>
      </c>
      <c r="D8" s="0" t="n">
        <f aca="false">D6*D7/100</f>
        <v>150.8510085925</v>
      </c>
      <c r="E8" s="0" t="n">
        <f aca="false">E6*E7/100</f>
        <v>146.714771260125</v>
      </c>
      <c r="F8" s="0" t="n">
        <f aca="false">F6*F7/100</f>
        <v>147.448345116426</v>
      </c>
      <c r="G8" s="0" t="n">
        <f aca="false">G6*G7/100</f>
        <v>151.404875710383</v>
      </c>
      <c r="H8" s="0" t="n">
        <f aca="false">H6*H7/100</f>
        <v>156.195226695974</v>
      </c>
      <c r="I8" s="0" t="n">
        <f aca="false">I6*I7/100</f>
        <v>161.888794636827</v>
      </c>
      <c r="J8" s="0" t="n">
        <f aca="false">J6*J7/100</f>
        <v>165.126570529564</v>
      </c>
      <c r="K8" s="0" t="n">
        <f aca="false">K6*K7/100</f>
        <v>168.429101940155</v>
      </c>
      <c r="L8" s="0" t="n">
        <f aca="false">L6*L7/100</f>
        <v>171.797683978958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0.22</v>
      </c>
      <c r="D9" s="4" t="n">
        <f aca="false">Assumptions!D15</f>
        <v>0.22</v>
      </c>
      <c r="E9" s="4" t="n">
        <f aca="false">Assumptions!E15</f>
        <v>0.22</v>
      </c>
      <c r="F9" s="4" t="n">
        <f aca="false">Assumptions!F15</f>
        <v>0.22</v>
      </c>
      <c r="G9" s="4" t="n">
        <f aca="false">Assumptions!G15</f>
        <v>0.22</v>
      </c>
      <c r="H9" s="4" t="n">
        <f aca="false">Assumptions!H15</f>
        <v>0.22</v>
      </c>
      <c r="I9" s="4" t="n">
        <f aca="false">Assumptions!I15</f>
        <v>0.22</v>
      </c>
      <c r="J9" s="4" t="n">
        <f aca="false">Assumptions!J15</f>
        <v>0.22</v>
      </c>
      <c r="K9" s="4" t="n">
        <f aca="false">Assumptions!K15</f>
        <v>0.22</v>
      </c>
      <c r="L9" s="4" t="n">
        <f aca="false">Assumptions!L15</f>
        <v>0.22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-5.299779925</v>
      </c>
      <c r="D10" s="0" t="n">
        <f aca="false">-D6*D9/100</f>
        <v>-5.35277772425</v>
      </c>
      <c r="E10" s="0" t="n">
        <f aca="false">-E6*E9/100</f>
        <v>-5.37954161287125</v>
      </c>
      <c r="F10" s="0" t="n">
        <f aca="false">-F6*F9/100</f>
        <v>-5.40643932093561</v>
      </c>
      <c r="G10" s="0" t="n">
        <f aca="false">-G6*G9/100</f>
        <v>-5.46050371414496</v>
      </c>
      <c r="H10" s="0" t="n">
        <f aca="false">-H6*H9/100</f>
        <v>-5.54241126985714</v>
      </c>
      <c r="I10" s="0" t="n">
        <f aca="false">-I6*I9/100</f>
        <v>-5.65325949525428</v>
      </c>
      <c r="J10" s="0" t="n">
        <f aca="false">-J6*J9/100</f>
        <v>-5.76632468515937</v>
      </c>
      <c r="K10" s="0" t="n">
        <f aca="false">-K6*K9/100</f>
        <v>-5.88165117886255</v>
      </c>
      <c r="L10" s="0" t="n">
        <f aca="false">-L6*L9/100</f>
        <v>-5.9992842024398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113.9452683875</v>
      </c>
      <c r="D11" s="0" t="n">
        <f aca="false">D8+D10+D24</f>
        <v>106.56893832825</v>
      </c>
      <c r="E11" s="0" t="n">
        <f aca="false">E8+E10+E24</f>
        <v>102.211290644554</v>
      </c>
      <c r="F11" s="0" t="n">
        <f aca="false">F8+F10+F24</f>
        <v>102.722347097776</v>
      </c>
      <c r="G11" s="0" t="n">
        <f aca="false">G8+G10+G24</f>
        <v>107.472641282944</v>
      </c>
      <c r="H11" s="0" t="n">
        <f aca="false">H8+H10+H24</f>
        <v>111.604008752123</v>
      </c>
      <c r="I11" s="0" t="n">
        <f aca="false">I8+I10+I24</f>
        <v>116.405752334099</v>
      </c>
      <c r="J11" s="0" t="n">
        <f aca="false">J8+J10+J24</f>
        <v>118.733867380781</v>
      </c>
      <c r="K11" s="0" t="n">
        <f aca="false">K8+K10+K24</f>
        <v>121.108544728397</v>
      </c>
      <c r="L11" s="0" t="n">
        <f aca="false">L8+L10+L24</f>
        <v>123.530715622965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-30.1123859375</v>
      </c>
      <c r="D12" s="4" t="n">
        <f aca="false">-D6*Assumptions!D17/100</f>
        <v>-31.63005018875</v>
      </c>
      <c r="E12" s="4" t="n">
        <f aca="false">-E6*Assumptions!E17/100</f>
        <v>-31.7882004396938</v>
      </c>
      <c r="F12" s="4" t="n">
        <f aca="false">-F6*Assumptions!F17/100</f>
        <v>-31.9471414418922</v>
      </c>
      <c r="G12" s="4" t="n">
        <f aca="false">-G6*Assumptions!G17/100</f>
        <v>-31.0255892849146</v>
      </c>
      <c r="H12" s="4" t="n">
        <f aca="false">-H6*Assumptions!H17/100</f>
        <v>-31.4909731241883</v>
      </c>
      <c r="I12" s="4" t="n">
        <f aca="false">-I6*Assumptions!I17/100</f>
        <v>-30.8359608832052</v>
      </c>
      <c r="J12" s="4" t="n">
        <f aca="false">-J6*Assumptions!J17/100</f>
        <v>-31.4526801008693</v>
      </c>
      <c r="K12" s="4" t="n">
        <f aca="false">-K6*Assumptions!K17/100</f>
        <v>-32.0817337028866</v>
      </c>
      <c r="L12" s="4" t="n">
        <f aca="false">-L6*Assumptions!L17/100</f>
        <v>-32.7233683769444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83.83288245</v>
      </c>
      <c r="D13" s="0" t="n">
        <f aca="false">D11+D12</f>
        <v>74.9388881395</v>
      </c>
      <c r="E13" s="0" t="n">
        <f aca="false">E11+E12</f>
        <v>70.42309020486</v>
      </c>
      <c r="F13" s="0" t="n">
        <f aca="false">F11+F12</f>
        <v>70.7752056558843</v>
      </c>
      <c r="G13" s="0" t="n">
        <f aca="false">G11+G12</f>
        <v>76.4470519980295</v>
      </c>
      <c r="H13" s="0" t="n">
        <f aca="false">H11+H12</f>
        <v>80.113035627935</v>
      </c>
      <c r="I13" s="0" t="n">
        <f aca="false">I11+I12</f>
        <v>85.5697914508943</v>
      </c>
      <c r="J13" s="0" t="n">
        <f aca="false">J11+J12</f>
        <v>87.2811872799122</v>
      </c>
      <c r="K13" s="0" t="n">
        <f aca="false">K11+K12</f>
        <v>89.0268110255104</v>
      </c>
      <c r="L13" s="0" t="n">
        <f aca="false">L11+L12</f>
        <v>90.8073472460207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27</v>
      </c>
      <c r="D14" s="4" t="n">
        <f aca="false">Assumptions!D19</f>
        <v>26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61.1980041885</v>
      </c>
      <c r="D15" s="0" t="n">
        <f aca="false">D13-MAX(0,D13)*D14/100</f>
        <v>55.45477722323</v>
      </c>
      <c r="E15" s="0" t="n">
        <f aca="false">E13-MAX(0,E13)*E14/100</f>
        <v>52.817317653645</v>
      </c>
      <c r="F15" s="0" t="n">
        <f aca="false">F13-MAX(0,F13)*F14/100</f>
        <v>53.0814042419132</v>
      </c>
      <c r="G15" s="0" t="n">
        <f aca="false">G13-MAX(0,G13)*G14/100</f>
        <v>57.3352889985221</v>
      </c>
      <c r="H15" s="0" t="n">
        <f aca="false">H13-MAX(0,H13)*H14/100</f>
        <v>60.0847767209512</v>
      </c>
      <c r="I15" s="0" t="n">
        <f aca="false">I13-MAX(0,I13)*I14/100</f>
        <v>64.1773435881707</v>
      </c>
      <c r="J15" s="0" t="n">
        <f aca="false">J13-MAX(0,J13)*J14/100</f>
        <v>65.4608904599342</v>
      </c>
      <c r="K15" s="0" t="n">
        <f aca="false">K13-MAX(0,K13)*K14/100</f>
        <v>66.7701082691328</v>
      </c>
      <c r="L15" s="0" t="n">
        <f aca="false">L13-MAX(0,L13)*L14/100</f>
        <v>68.1055104345155</v>
      </c>
    </row>
    <row r="16" customFormat="false" ht="15" hidden="false" customHeight="false" outlineLevel="0" collapsed="false">
      <c r="A16" s="0" t="s">
        <v>120</v>
      </c>
      <c r="C16" s="0" t="n">
        <f aca="false">-C12</f>
        <v>30.1123859375</v>
      </c>
      <c r="D16" s="0" t="n">
        <f aca="false">-D12</f>
        <v>31.63005018875</v>
      </c>
      <c r="E16" s="0" t="n">
        <f aca="false">-E12</f>
        <v>31.7882004396938</v>
      </c>
      <c r="F16" s="0" t="n">
        <f aca="false">-F12</f>
        <v>31.9471414418922</v>
      </c>
      <c r="G16" s="0" t="n">
        <f aca="false">-G12</f>
        <v>31.0255892849146</v>
      </c>
      <c r="H16" s="0" t="n">
        <f aca="false">-H12</f>
        <v>31.4909731241883</v>
      </c>
      <c r="I16" s="0" t="n">
        <f aca="false">-I12</f>
        <v>30.8359608832052</v>
      </c>
      <c r="J16" s="0" t="n">
        <f aca="false">-J12</f>
        <v>31.4526801008693</v>
      </c>
      <c r="K16" s="0" t="n">
        <f aca="false">-K12</f>
        <v>32.0817337028866</v>
      </c>
      <c r="L16" s="0" t="n">
        <f aca="false">-L12</f>
        <v>32.7233683769444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-22.8854133125</v>
      </c>
      <c r="D17" s="4" t="n">
        <f aca="false">-D6*Assumptions!D18/100</f>
        <v>-21.89772705375</v>
      </c>
      <c r="E17" s="4" t="n">
        <f aca="false">-E6*Assumptions!E18/100</f>
        <v>-19.56196950135</v>
      </c>
      <c r="F17" s="4" t="n">
        <f aca="false">-F6*Assumptions!F18/100</f>
        <v>-17.2023069302497</v>
      </c>
      <c r="G17" s="4" t="n">
        <f aca="false">-G6*Assumptions!G18/100</f>
        <v>-16.1333064281556</v>
      </c>
      <c r="H17" s="4" t="n">
        <f aca="false">-H6*Assumptions!H18/100</f>
        <v>-16.3753060245779</v>
      </c>
      <c r="I17" s="4" t="n">
        <f aca="false">-I6*Assumptions!I18/100</f>
        <v>-16.7028121450695</v>
      </c>
      <c r="J17" s="4" t="n">
        <f aca="false">-J6*Assumptions!J18/100</f>
        <v>-17.0368683879709</v>
      </c>
      <c r="K17" s="4" t="n">
        <f aca="false">-K6*Assumptions!K18/100</f>
        <v>-17.3776057557303</v>
      </c>
      <c r="L17" s="4" t="n">
        <f aca="false">-L6*Assumptions!L18/100</f>
        <v>-17.7251578708449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-4.70046999999999</v>
      </c>
      <c r="D18" s="4" t="n">
        <f aca="false">(D6-C6)*Assumptions!$B$23/100</f>
        <v>-1.92719270000001</v>
      </c>
      <c r="E18" s="4" t="n">
        <f aca="false">(E6-D6)*Assumptions!$B$23/100</f>
        <v>-0.973232313499975</v>
      </c>
      <c r="F18" s="4" t="n">
        <f aca="false">(F6-E6)*Assumptions!$B$23/100</f>
        <v>-0.978098475067491</v>
      </c>
      <c r="G18" s="4" t="n">
        <f aca="false">(G6-F6)*Assumptions!$B$23/100</f>
        <v>-1.96597793488567</v>
      </c>
      <c r="H18" s="4" t="n">
        <f aca="false">(H6-G6)*Assumptions!$B$23/100</f>
        <v>-2.97845657135178</v>
      </c>
      <c r="I18" s="4" t="n">
        <f aca="false">(I6-H6)*Assumptions!$B$23/100</f>
        <v>-4.03084455989611</v>
      </c>
      <c r="J18" s="4" t="n">
        <f aca="false">(J6-I6)*Assumptions!$B$23/100</f>
        <v>-4.11146145109404</v>
      </c>
      <c r="K18" s="4" t="n">
        <f aca="false">(K6-J6)*Assumptions!$B$23/100</f>
        <v>-4.19369068011591</v>
      </c>
      <c r="L18" s="4" t="n">
        <f aca="false">(L6-K6)*Assumptions!$B$23/100</f>
        <v>-4.27756449371824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63.7245068135</v>
      </c>
      <c r="D19" s="0" t="n">
        <f aca="false">D15+D16+D17+D18</f>
        <v>63.25990765823</v>
      </c>
      <c r="E19" s="0" t="n">
        <f aca="false">E15+E16+E17+E18</f>
        <v>64.0703162784888</v>
      </c>
      <c r="F19" s="0" t="n">
        <f aca="false">F15+F16+F17+F18</f>
        <v>66.8481402784883</v>
      </c>
      <c r="G19" s="0" t="n">
        <f aca="false">G15+G16+G17+G18</f>
        <v>70.2615939203954</v>
      </c>
      <c r="H19" s="0" t="n">
        <f aca="false">H15+H16+H17+H18</f>
        <v>72.2219872492098</v>
      </c>
      <c r="I19" s="0" t="n">
        <f aca="false">I15+I16+I17+I18</f>
        <v>74.2796477664103</v>
      </c>
      <c r="J19" s="0" t="n">
        <f aca="false">J15+J16+J17+J18</f>
        <v>75.7652407217385</v>
      </c>
      <c r="K19" s="0" t="n">
        <f aca="false">K15+K16+K17+K18</f>
        <v>77.2805455361733</v>
      </c>
      <c r="L19" s="0" t="n">
        <f aca="false">L15+L16+L17+L18</f>
        <v>78.8261564468968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57.9313698304546</v>
      </c>
      <c r="D21" s="0" t="n">
        <f aca="false">D19*D20</f>
        <v>52.2809154200248</v>
      </c>
      <c r="E21" s="0" t="n">
        <f aca="false">E19*E20</f>
        <v>48.1369769184739</v>
      </c>
      <c r="F21" s="0" t="n">
        <f aca="false">F19*F20</f>
        <v>45.6581792763392</v>
      </c>
      <c r="G21" s="0" t="n">
        <f aca="false">G19*G20</f>
        <v>43.626921857297</v>
      </c>
      <c r="H21" s="0" t="n">
        <f aca="false">H19*H20</f>
        <v>40.7674289788552</v>
      </c>
      <c r="I21" s="0" t="n">
        <f aca="false">I19*I20</f>
        <v>38.1172042706508</v>
      </c>
      <c r="J21" s="0" t="n">
        <f aca="false">J19*J20</f>
        <v>35.345043960058</v>
      </c>
      <c r="K21" s="0" t="n">
        <f aca="false">K19*K20</f>
        <v>32.7744953084174</v>
      </c>
      <c r="L21" s="0" t="n">
        <f aca="false">L19*L20</f>
        <v>30.3908956496235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1.55</v>
      </c>
      <c r="D23" s="4" t="n">
        <f aca="false">Assumptions!D16</f>
        <v>1.6</v>
      </c>
      <c r="E23" s="4" t="n">
        <f aca="false">Assumptions!E16</f>
        <v>1.6</v>
      </c>
      <c r="F23" s="4" t="n">
        <f aca="false">Assumptions!F16</f>
        <v>1.6</v>
      </c>
      <c r="G23" s="4" t="n">
        <f aca="false">Assumptions!G16</f>
        <v>1.55</v>
      </c>
      <c r="H23" s="4" t="n">
        <f aca="false">Assumptions!H16</f>
        <v>1.55</v>
      </c>
      <c r="I23" s="4" t="n">
        <f aca="false">Assumptions!I16</f>
        <v>1.55</v>
      </c>
      <c r="J23" s="4" t="n">
        <f aca="false">Assumptions!J16</f>
        <v>1.55</v>
      </c>
      <c r="K23" s="4" t="n">
        <f aca="false">Assumptions!K16</f>
        <v>1.55</v>
      </c>
      <c r="L23" s="4" t="n">
        <f aca="false">Assumptions!L16</f>
        <v>1.55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-37.3393585625</v>
      </c>
      <c r="D24" s="0" t="n">
        <f aca="false">-D6*D23/100</f>
        <v>-38.92929254</v>
      </c>
      <c r="E24" s="0" t="n">
        <f aca="false">-E6*E23/100</f>
        <v>-39.1239390027</v>
      </c>
      <c r="F24" s="0" t="n">
        <f aca="false">-F6*F23/100</f>
        <v>-39.3195586977135</v>
      </c>
      <c r="G24" s="0" t="n">
        <f aca="false">-G6*G23/100</f>
        <v>-38.471730713294</v>
      </c>
      <c r="H24" s="0" t="n">
        <f aca="false">-H6*H23/100</f>
        <v>-39.0488066739935</v>
      </c>
      <c r="I24" s="0" t="n">
        <f aca="false">-I6*I23/100</f>
        <v>-39.8297828074733</v>
      </c>
      <c r="J24" s="0" t="n">
        <f aca="false">-J6*J23/100</f>
        <v>-40.6263784636228</v>
      </c>
      <c r="K24" s="0" t="n">
        <f aca="false">-K6*K23/100</f>
        <v>-41.4389060328953</v>
      </c>
      <c r="L24" s="0" t="n">
        <f aca="false">-L6*L23/100</f>
        <v>-42.2676841535532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425.029431470195</v>
      </c>
    </row>
    <row r="31" customFormat="false" ht="15" hidden="false" customHeight="false" outlineLevel="0" collapsed="false">
      <c r="A31" s="0" t="s">
        <v>129</v>
      </c>
      <c r="B31" s="0" t="n">
        <f aca="false">L19</f>
        <v>78.8261564468968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1005.03349469793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945.913877362761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945.913877362761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364.690747795481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789.720179265676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870.395179265676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1.39062533633968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-0.435851790531572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33.8936819424902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29.4905430117986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1.49189394540993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618.482150583344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0.922587339633007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6</v>
      </c>
      <c r="D5" s="4" t="n">
        <f aca="false">Assumptions!D27</f>
        <v>5.5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2.8</v>
      </c>
      <c r="J5" s="4" t="n">
        <f aca="false">Assumptions!J27</f>
        <v>2.6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2350.235</v>
      </c>
      <c r="C6" s="0" t="n">
        <f aca="false">B6*(1+C5/100)</f>
        <v>2491.2491</v>
      </c>
      <c r="D6" s="0" t="n">
        <f aca="false">C6*(1+D5/100)</f>
        <v>2628.2678005</v>
      </c>
      <c r="E6" s="0" t="n">
        <f aca="false">D6*(1+E5/100)</f>
        <v>2746.5398515225</v>
      </c>
      <c r="F6" s="0" t="n">
        <f aca="false">E6*(1+F5/100)</f>
        <v>2856.4014455834</v>
      </c>
      <c r="G6" s="0" t="n">
        <f aca="false">F6*(1+G5/100)</f>
        <v>2956.37549617882</v>
      </c>
      <c r="H6" s="0" t="n">
        <f aca="false">G6*(1+H5/100)</f>
        <v>3045.06676106418</v>
      </c>
      <c r="I6" s="0" t="n">
        <f aca="false">H6*(1+I5/100)</f>
        <v>3130.32863037398</v>
      </c>
      <c r="J6" s="0" t="n">
        <f aca="false">I6*(1+J5/100)</f>
        <v>3211.7171747637</v>
      </c>
      <c r="K6" s="0" t="n">
        <f aca="false">J6*(1+K5/100)</f>
        <v>3292.0101041328</v>
      </c>
      <c r="L6" s="0" t="n">
        <f aca="false">K6*(1+L5/100)</f>
        <v>3374.31035673612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7.1</v>
      </c>
      <c r="D7" s="4" t="n">
        <f aca="false">Assumptions!D28</f>
        <v>7.3</v>
      </c>
      <c r="E7" s="4" t="n">
        <f aca="false">Assumptions!E28</f>
        <v>7.5</v>
      </c>
      <c r="F7" s="4" t="n">
        <f aca="false">Assumptions!F28</f>
        <v>7.6</v>
      </c>
      <c r="G7" s="4" t="n">
        <f aca="false">Assumptions!G28</f>
        <v>7.7</v>
      </c>
      <c r="H7" s="4" t="n">
        <f aca="false">Assumptions!H28</f>
        <v>7.8</v>
      </c>
      <c r="I7" s="4" t="n">
        <f aca="false">Assumptions!I28</f>
        <v>7.8</v>
      </c>
      <c r="J7" s="4" t="n">
        <f aca="false">Assumptions!J28</f>
        <v>7.8</v>
      </c>
      <c r="K7" s="4" t="n">
        <f aca="false">Assumptions!K28</f>
        <v>7.8</v>
      </c>
      <c r="L7" s="4" t="n">
        <f aca="false">Assumptions!L28</f>
        <v>7.8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176.8786861</v>
      </c>
      <c r="D8" s="0" t="n">
        <f aca="false">D6*D7/100</f>
        <v>191.8635494365</v>
      </c>
      <c r="E8" s="0" t="n">
        <f aca="false">E6*E7/100</f>
        <v>205.990488864188</v>
      </c>
      <c r="F8" s="0" t="n">
        <f aca="false">F6*F7/100</f>
        <v>217.086509864338</v>
      </c>
      <c r="G8" s="0" t="n">
        <f aca="false">G6*G7/100</f>
        <v>227.640913205769</v>
      </c>
      <c r="H8" s="0" t="n">
        <f aca="false">H6*H7/100</f>
        <v>237.515207363006</v>
      </c>
      <c r="I8" s="0" t="n">
        <f aca="false">I6*I7/100</f>
        <v>244.16563316917</v>
      </c>
      <c r="J8" s="0" t="n">
        <f aca="false">J6*J7/100</f>
        <v>250.513939631569</v>
      </c>
      <c r="K8" s="0" t="n">
        <f aca="false">K6*K7/100</f>
        <v>256.776788122358</v>
      </c>
      <c r="L8" s="0" t="n">
        <f aca="false">L6*L7/100</f>
        <v>263.196207825417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0.22</v>
      </c>
      <c r="D9" s="4" t="n">
        <f aca="false">Assumptions!D29</f>
        <v>0.22</v>
      </c>
      <c r="E9" s="4" t="n">
        <f aca="false">Assumptions!E29</f>
        <v>0.23</v>
      </c>
      <c r="F9" s="4" t="n">
        <f aca="false">Assumptions!F29</f>
        <v>0.23</v>
      </c>
      <c r="G9" s="4" t="n">
        <f aca="false">Assumptions!G29</f>
        <v>0.23</v>
      </c>
      <c r="H9" s="4" t="n">
        <f aca="false">Assumptions!H29</f>
        <v>0.23</v>
      </c>
      <c r="I9" s="4" t="n">
        <f aca="false">Assumptions!I29</f>
        <v>0.23</v>
      </c>
      <c r="J9" s="4" t="n">
        <f aca="false">Assumptions!J29</f>
        <v>0.23</v>
      </c>
      <c r="K9" s="4" t="n">
        <f aca="false">Assumptions!K29</f>
        <v>0.23</v>
      </c>
      <c r="L9" s="4" t="n">
        <f aca="false">Assumptions!L29</f>
        <v>0.23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-5.48074802</v>
      </c>
      <c r="D10" s="0" t="n">
        <f aca="false">-D6*D9/100</f>
        <v>-5.7821891611</v>
      </c>
      <c r="E10" s="0" t="n">
        <f aca="false">-E6*E9/100</f>
        <v>-6.31704165850175</v>
      </c>
      <c r="F10" s="0" t="n">
        <f aca="false">-F6*F9/100</f>
        <v>-6.56972332484182</v>
      </c>
      <c r="G10" s="0" t="n">
        <f aca="false">-G6*G9/100</f>
        <v>-6.79966364121129</v>
      </c>
      <c r="H10" s="0" t="n">
        <f aca="false">-H6*H9/100</f>
        <v>-7.00365355044762</v>
      </c>
      <c r="I10" s="0" t="n">
        <f aca="false">-I6*I9/100</f>
        <v>-7.19975584986016</v>
      </c>
      <c r="J10" s="0" t="n">
        <f aca="false">-J6*J9/100</f>
        <v>-7.38694950195652</v>
      </c>
      <c r="K10" s="0" t="n">
        <f aca="false">-K6*K9/100</f>
        <v>-7.57162323950543</v>
      </c>
      <c r="L10" s="0" t="n">
        <f aca="false">-L6*L9/100</f>
        <v>-7.76091382049307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135.27482613</v>
      </c>
      <c r="D11" s="0" t="n">
        <f aca="false">D8+D10+D24</f>
        <v>147.97147716815</v>
      </c>
      <c r="E11" s="0" t="n">
        <f aca="false">E8+E10+E24</f>
        <v>159.84861935861</v>
      </c>
      <c r="F11" s="0" t="n">
        <f aca="false">F8+F10+F24</f>
        <v>169.098965578537</v>
      </c>
      <c r="G11" s="0" t="n">
        <f aca="false">G8+G10+G24</f>
        <v>177.973804869965</v>
      </c>
      <c r="H11" s="0" t="n">
        <f aca="false">H8+H10+H24</f>
        <v>186.358085777128</v>
      </c>
      <c r="I11" s="0" t="n">
        <f aca="false">I8+I10+I24</f>
        <v>191.576112178888</v>
      </c>
      <c r="J11" s="0" t="n">
        <f aca="false">J8+J10+J24</f>
        <v>196.557091095539</v>
      </c>
      <c r="K11" s="0" t="n">
        <f aca="false">K8+K10+K24</f>
        <v>201.471018372927</v>
      </c>
      <c r="L11" s="0" t="n">
        <f aca="false">L8+L10+L24</f>
        <v>206.50779383225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-29.8949892</v>
      </c>
      <c r="D12" s="4" t="n">
        <f aca="false">-D6*Assumptions!D31/100</f>
        <v>-31.539213606</v>
      </c>
      <c r="E12" s="4" t="n">
        <f aca="false">-E6*Assumptions!E31/100</f>
        <v>-32.95847821827</v>
      </c>
      <c r="F12" s="4" t="n">
        <f aca="false">-F6*Assumptions!F31/100</f>
        <v>-32.8486166242091</v>
      </c>
      <c r="G12" s="4" t="n">
        <f aca="false">-G6*Assumptions!G31/100</f>
        <v>-33.9983182060564</v>
      </c>
      <c r="H12" s="4" t="n">
        <f aca="false">-H6*Assumptions!H31/100</f>
        <v>-35.0182677522381</v>
      </c>
      <c r="I12" s="4" t="n">
        <f aca="false">-I6*Assumptions!I31/100</f>
        <v>-34.4336149341138</v>
      </c>
      <c r="J12" s="4" t="n">
        <f aca="false">-J6*Assumptions!J31/100</f>
        <v>-35.3288889224008</v>
      </c>
      <c r="K12" s="4" t="n">
        <f aca="false">-K6*Assumptions!K31/100</f>
        <v>-36.2121111454608</v>
      </c>
      <c r="L12" s="4" t="n">
        <f aca="false">-L6*Assumptions!L31/100</f>
        <v>-37.1174139240973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105.37983693</v>
      </c>
      <c r="D13" s="0" t="n">
        <f aca="false">D11+D12</f>
        <v>116.43226356215</v>
      </c>
      <c r="E13" s="0" t="n">
        <f aca="false">E11+E12</f>
        <v>126.89014114034</v>
      </c>
      <c r="F13" s="0" t="n">
        <f aca="false">F11+F12</f>
        <v>136.250348954328</v>
      </c>
      <c r="G13" s="0" t="n">
        <f aca="false">G11+G12</f>
        <v>143.975486663909</v>
      </c>
      <c r="H13" s="0" t="n">
        <f aca="false">H11+H12</f>
        <v>151.33981802489</v>
      </c>
      <c r="I13" s="0" t="n">
        <f aca="false">I11+I12</f>
        <v>157.142497244774</v>
      </c>
      <c r="J13" s="0" t="n">
        <f aca="false">J11+J12</f>
        <v>161.228202173138</v>
      </c>
      <c r="K13" s="0" t="n">
        <f aca="false">K11+K12</f>
        <v>165.258907227466</v>
      </c>
      <c r="L13" s="0" t="n">
        <f aca="false">L11+L12</f>
        <v>169.390379908153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26</v>
      </c>
      <c r="D14" s="4" t="n">
        <f aca="false">Assumptions!D33</f>
        <v>25.5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77.9810793282</v>
      </c>
      <c r="D15" s="0" t="n">
        <f aca="false">D13-MAX(0,D13)*D14/100</f>
        <v>86.7420363538017</v>
      </c>
      <c r="E15" s="0" t="n">
        <f aca="false">E13-MAX(0,E13)*E14/100</f>
        <v>95.1676058552546</v>
      </c>
      <c r="F15" s="0" t="n">
        <f aca="false">F13-MAX(0,F13)*F14/100</f>
        <v>102.187761715746</v>
      </c>
      <c r="G15" s="0" t="n">
        <f aca="false">G13-MAX(0,G13)*G14/100</f>
        <v>107.981614997931</v>
      </c>
      <c r="H15" s="0" t="n">
        <f aca="false">H13-MAX(0,H13)*H14/100</f>
        <v>113.504863518667</v>
      </c>
      <c r="I15" s="0" t="n">
        <f aca="false">I13-MAX(0,I13)*I14/100</f>
        <v>117.85687293358</v>
      </c>
      <c r="J15" s="0" t="n">
        <f aca="false">J13-MAX(0,J13)*J14/100</f>
        <v>120.921151629853</v>
      </c>
      <c r="K15" s="0" t="n">
        <f aca="false">K13-MAX(0,K13)*K14/100</f>
        <v>123.9441804206</v>
      </c>
      <c r="L15" s="0" t="n">
        <f aca="false">L13-MAX(0,L13)*L14/100</f>
        <v>127.042784931115</v>
      </c>
    </row>
    <row r="16" customFormat="false" ht="15" hidden="false" customHeight="false" outlineLevel="0" collapsed="false">
      <c r="A16" s="0" t="s">
        <v>120</v>
      </c>
      <c r="C16" s="0" t="n">
        <f aca="false">-C12</f>
        <v>29.8949892</v>
      </c>
      <c r="D16" s="0" t="n">
        <f aca="false">-D12</f>
        <v>31.539213606</v>
      </c>
      <c r="E16" s="0" t="n">
        <f aca="false">-E12</f>
        <v>32.95847821827</v>
      </c>
      <c r="F16" s="0" t="n">
        <f aca="false">-F12</f>
        <v>32.8486166242091</v>
      </c>
      <c r="G16" s="0" t="n">
        <f aca="false">-G12</f>
        <v>33.9983182060564</v>
      </c>
      <c r="H16" s="0" t="n">
        <f aca="false">-H12</f>
        <v>35.0182677522381</v>
      </c>
      <c r="I16" s="0" t="n">
        <f aca="false">-I12</f>
        <v>34.4336149341138</v>
      </c>
      <c r="J16" s="0" t="n">
        <f aca="false">-J12</f>
        <v>35.3288889224008</v>
      </c>
      <c r="K16" s="0" t="n">
        <f aca="false">-K12</f>
        <v>36.2121111454608</v>
      </c>
      <c r="L16" s="0" t="n">
        <f aca="false">-L12</f>
        <v>37.1174139240973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-22.4212419</v>
      </c>
      <c r="D17" s="4" t="n">
        <f aca="false">-D6*Assumptions!D32/100</f>
        <v>-22.34027630425</v>
      </c>
      <c r="E17" s="4" t="n">
        <f aca="false">-E6*Assumptions!E32/100</f>
        <v>-20.5990488864188</v>
      </c>
      <c r="F17" s="4" t="n">
        <f aca="false">-F6*Assumptions!F32/100</f>
        <v>-19.9948101190838</v>
      </c>
      <c r="G17" s="4" t="n">
        <f aca="false">-G6*Assumptions!G32/100</f>
        <v>-19.2164407251623</v>
      </c>
      <c r="H17" s="4" t="n">
        <f aca="false">-H6*Assumptions!H32/100</f>
        <v>-19.7929339469172</v>
      </c>
      <c r="I17" s="4" t="n">
        <f aca="false">-I6*Assumptions!I32/100</f>
        <v>-20.3471360974309</v>
      </c>
      <c r="J17" s="4" t="n">
        <f aca="false">-J6*Assumptions!J32/100</f>
        <v>-20.8761616359641</v>
      </c>
      <c r="K17" s="4" t="n">
        <f aca="false">-K6*Assumptions!K32/100</f>
        <v>-21.3980656768632</v>
      </c>
      <c r="L17" s="4" t="n">
        <f aca="false">-L6*Assumptions!L32/100</f>
        <v>-21.9330173187848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-4.23042300000001</v>
      </c>
      <c r="D18" s="4" t="n">
        <f aca="false">(D6-C6)*Assumptions!$B$37/100</f>
        <v>-4.11056101499999</v>
      </c>
      <c r="E18" s="4" t="n">
        <f aca="false">(E6-D6)*Assumptions!$B$37/100</f>
        <v>-3.548161530675</v>
      </c>
      <c r="F18" s="4" t="n">
        <f aca="false">(F6-E6)*Assumptions!$B$37/100</f>
        <v>-3.29584782182701</v>
      </c>
      <c r="G18" s="4" t="n">
        <f aca="false">(G6-F6)*Assumptions!$B$37/100</f>
        <v>-2.99922151786256</v>
      </c>
      <c r="H18" s="4" t="n">
        <f aca="false">(H6-G6)*Assumptions!$B$37/100</f>
        <v>-2.66073794656093</v>
      </c>
      <c r="I18" s="4" t="n">
        <f aca="false">(I6-H6)*Assumptions!$B$37/100</f>
        <v>-2.55785607929391</v>
      </c>
      <c r="J18" s="4" t="n">
        <f aca="false">(J6-I6)*Assumptions!$B$37/100</f>
        <v>-2.4416563316917</v>
      </c>
      <c r="K18" s="4" t="n">
        <f aca="false">(K6-J6)*Assumptions!$B$37/100</f>
        <v>-2.40878788107277</v>
      </c>
      <c r="L18" s="4" t="n">
        <f aca="false">(L6-K6)*Assumptions!$B$37/100</f>
        <v>-2.46900757809959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81.2244036282</v>
      </c>
      <c r="D19" s="0" t="n">
        <f aca="false">D15+D16+D17+D18</f>
        <v>91.8304126405518</v>
      </c>
      <c r="E19" s="0" t="n">
        <f aca="false">E15+E16+E17+E18</f>
        <v>103.978873656431</v>
      </c>
      <c r="F19" s="0" t="n">
        <f aca="false">F15+F16+F17+F18</f>
        <v>111.745720399044</v>
      </c>
      <c r="G19" s="0" t="n">
        <f aca="false">G15+G16+G17+G18</f>
        <v>119.764270960963</v>
      </c>
      <c r="H19" s="0" t="n">
        <f aca="false">H15+H16+H17+H18</f>
        <v>126.069459377427</v>
      </c>
      <c r="I19" s="0" t="n">
        <f aca="false">I15+I16+I17+I18</f>
        <v>129.385495690969</v>
      </c>
      <c r="J19" s="0" t="n">
        <f aca="false">J15+J16+J17+J18</f>
        <v>132.932222584598</v>
      </c>
      <c r="K19" s="0" t="n">
        <f aca="false">K15+K16+K17+K18</f>
        <v>136.349438008125</v>
      </c>
      <c r="L19" s="0" t="n">
        <f aca="false">L15+L16+L17+L18</f>
        <v>139.758173958328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74.5178014937615</v>
      </c>
      <c r="D21" s="0" t="n">
        <f aca="false">D19*D20</f>
        <v>77.291821092965</v>
      </c>
      <c r="E21" s="0" t="n">
        <f aca="false">E19*E20</f>
        <v>80.2907685128525</v>
      </c>
      <c r="F21" s="0" t="n">
        <f aca="false">F19*F20</f>
        <v>79.1634855593254</v>
      </c>
      <c r="G21" s="0" t="n">
        <f aca="false">G19*G20</f>
        <v>77.8385586546693</v>
      </c>
      <c r="H21" s="0" t="n">
        <f aca="false">H19*H20</f>
        <v>75.1710995440865</v>
      </c>
      <c r="I21" s="0" t="n">
        <f aca="false">I19*I20</f>
        <v>70.7782969289877</v>
      </c>
      <c r="J21" s="0" t="n">
        <f aca="false">J19*J20</f>
        <v>66.7141999971647</v>
      </c>
      <c r="K21" s="0" t="n">
        <f aca="false">K19*K20</f>
        <v>62.7790689803763</v>
      </c>
      <c r="L21" s="0" t="n">
        <f aca="false">L19*L20</f>
        <v>59.0353630320053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1.45</v>
      </c>
      <c r="D23" s="4" t="n">
        <f aca="false">Assumptions!D30</f>
        <v>1.45</v>
      </c>
      <c r="E23" s="4" t="n">
        <f aca="false">Assumptions!E30</f>
        <v>1.45</v>
      </c>
      <c r="F23" s="4" t="n">
        <f aca="false">Assumptions!F30</f>
        <v>1.45</v>
      </c>
      <c r="G23" s="4" t="n">
        <f aca="false">Assumptions!G30</f>
        <v>1.45</v>
      </c>
      <c r="H23" s="4" t="n">
        <f aca="false">Assumptions!H30</f>
        <v>1.45</v>
      </c>
      <c r="I23" s="4" t="n">
        <f aca="false">Assumptions!I30</f>
        <v>1.45</v>
      </c>
      <c r="J23" s="4" t="n">
        <f aca="false">Assumptions!J30</f>
        <v>1.45</v>
      </c>
      <c r="K23" s="4" t="n">
        <f aca="false">Assumptions!K30</f>
        <v>1.45</v>
      </c>
      <c r="L23" s="4" t="n">
        <f aca="false">Assumptions!L30</f>
        <v>1.45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-36.12311195</v>
      </c>
      <c r="D24" s="0" t="n">
        <f aca="false">-D6*D23/100</f>
        <v>-38.10988310725</v>
      </c>
      <c r="E24" s="0" t="n">
        <f aca="false">-E6*E23/100</f>
        <v>-39.8248278470763</v>
      </c>
      <c r="F24" s="0" t="n">
        <f aca="false">-F6*F23/100</f>
        <v>-41.4178209609593</v>
      </c>
      <c r="G24" s="0" t="n">
        <f aca="false">-G6*G23/100</f>
        <v>-42.8674446945929</v>
      </c>
      <c r="H24" s="0" t="n">
        <f aca="false">-H6*H23/100</f>
        <v>-44.1534680354307</v>
      </c>
      <c r="I24" s="0" t="n">
        <f aca="false">-I6*I23/100</f>
        <v>-45.3897651404227</v>
      </c>
      <c r="J24" s="0" t="n">
        <f aca="false">-J6*J23/100</f>
        <v>-46.5698990340737</v>
      </c>
      <c r="K24" s="0" t="n">
        <f aca="false">-K6*K23/100</f>
        <v>-47.7341465099255</v>
      </c>
      <c r="L24" s="0" t="n">
        <f aca="false">-L6*L23/100</f>
        <v>-48.9275001726737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723.580463796194</v>
      </c>
    </row>
    <row r="31" customFormat="false" ht="15" hidden="false" customHeight="false" outlineLevel="0" collapsed="false">
      <c r="A31" s="0" t="s">
        <v>129</v>
      </c>
      <c r="B31" s="0" t="n">
        <f aca="false">L19</f>
        <v>139.758173958328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2203.87889703517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2096.37260937492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2096.37260937492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885.530445480079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1609.11090927627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1689.78590927627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2.69976115953659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0.0952377929154538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42.4326529827671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51.696172552176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2.8501502388732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1146.01702645829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1.46305261382456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8.5</v>
      </c>
      <c r="D5" s="4" t="n">
        <f aca="false">Assumptions!D41</f>
        <v>8</v>
      </c>
      <c r="E5" s="4" t="n">
        <f aca="false">Assumptions!E41</f>
        <v>6.5</v>
      </c>
      <c r="F5" s="4" t="n">
        <f aca="false">Assumptions!F41</f>
        <v>5.5</v>
      </c>
      <c r="G5" s="4" t="n">
        <f aca="false">Assumptions!G41</f>
        <v>4.5</v>
      </c>
      <c r="H5" s="4" t="n">
        <f aca="false">Assumptions!H41</f>
        <v>3.8</v>
      </c>
      <c r="I5" s="4" t="n">
        <f aca="false">Assumptions!I41</f>
        <v>3.2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2350.235</v>
      </c>
      <c r="C6" s="0" t="n">
        <f aca="false">B6*(1+C5/100)</f>
        <v>2550.004975</v>
      </c>
      <c r="D6" s="0" t="n">
        <f aca="false">C6*(1+D5/100)</f>
        <v>2754.005373</v>
      </c>
      <c r="E6" s="0" t="n">
        <f aca="false">D6*(1+E5/100)</f>
        <v>2933.015722245</v>
      </c>
      <c r="F6" s="0" t="n">
        <f aca="false">E6*(1+F5/100)</f>
        <v>3094.33158696847</v>
      </c>
      <c r="G6" s="0" t="n">
        <f aca="false">F6*(1+G5/100)</f>
        <v>3233.57650838206</v>
      </c>
      <c r="H6" s="0" t="n">
        <f aca="false">G6*(1+H5/100)</f>
        <v>3356.45241570057</v>
      </c>
      <c r="I6" s="0" t="n">
        <f aca="false">H6*(1+I5/100)</f>
        <v>3463.85889300299</v>
      </c>
      <c r="J6" s="0" t="n">
        <f aca="false">I6*(1+J5/100)</f>
        <v>3567.77465979308</v>
      </c>
      <c r="K6" s="0" t="n">
        <f aca="false">J6*(1+K5/100)</f>
        <v>3674.80789958688</v>
      </c>
      <c r="L6" s="0" t="n">
        <f aca="false">K6*(1+L5/100)</f>
        <v>3785.05213657448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7.3</v>
      </c>
      <c r="D7" s="4" t="n">
        <f aca="false">Assumptions!D42</f>
        <v>7.7</v>
      </c>
      <c r="E7" s="4" t="n">
        <f aca="false">Assumptions!E42</f>
        <v>8.1</v>
      </c>
      <c r="F7" s="4" t="n">
        <f aca="false">Assumptions!F42</f>
        <v>8.4</v>
      </c>
      <c r="G7" s="4" t="n">
        <f aca="false">Assumptions!G42</f>
        <v>8.6</v>
      </c>
      <c r="H7" s="4" t="n">
        <f aca="false">Assumptions!H42</f>
        <v>8.8</v>
      </c>
      <c r="I7" s="4" t="n">
        <f aca="false">Assumptions!I42</f>
        <v>8.9</v>
      </c>
      <c r="J7" s="4" t="n">
        <f aca="false">Assumptions!J42</f>
        <v>9</v>
      </c>
      <c r="K7" s="4" t="n">
        <f aca="false">Assumptions!K42</f>
        <v>9</v>
      </c>
      <c r="L7" s="4" t="n">
        <f aca="false">Assumptions!L42</f>
        <v>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186.150363175</v>
      </c>
      <c r="D8" s="0" t="n">
        <f aca="false">D6*D7/100</f>
        <v>212.058413721</v>
      </c>
      <c r="E8" s="0" t="n">
        <f aca="false">E6*E7/100</f>
        <v>237.574273501845</v>
      </c>
      <c r="F8" s="0" t="n">
        <f aca="false">F6*F7/100</f>
        <v>259.923853305352</v>
      </c>
      <c r="G8" s="0" t="n">
        <f aca="false">G6*G7/100</f>
        <v>278.087579720857</v>
      </c>
      <c r="H8" s="0" t="n">
        <f aca="false">H6*H7/100</f>
        <v>295.367812581651</v>
      </c>
      <c r="I8" s="0" t="n">
        <f aca="false">I6*I7/100</f>
        <v>308.283441477266</v>
      </c>
      <c r="J8" s="0" t="n">
        <f aca="false">J6*J7/100</f>
        <v>321.099719381377</v>
      </c>
      <c r="K8" s="0" t="n">
        <f aca="false">K6*K7/100</f>
        <v>330.732710962819</v>
      </c>
      <c r="L8" s="0" t="n">
        <f aca="false">L6*L7/100</f>
        <v>340.654692291703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0.22</v>
      </c>
      <c r="D9" s="4" t="n">
        <f aca="false">Assumptions!D43</f>
        <v>0.22</v>
      </c>
      <c r="E9" s="4" t="n">
        <f aca="false">Assumptions!E43</f>
        <v>0.23</v>
      </c>
      <c r="F9" s="4" t="n">
        <f aca="false">Assumptions!F43</f>
        <v>0.23</v>
      </c>
      <c r="G9" s="4" t="n">
        <f aca="false">Assumptions!G43</f>
        <v>0.23</v>
      </c>
      <c r="H9" s="4" t="n">
        <f aca="false">Assumptions!H43</f>
        <v>0.23</v>
      </c>
      <c r="I9" s="4" t="n">
        <f aca="false">Assumptions!I43</f>
        <v>0.23</v>
      </c>
      <c r="J9" s="4" t="n">
        <f aca="false">Assumptions!J43</f>
        <v>0.23</v>
      </c>
      <c r="K9" s="4" t="n">
        <f aca="false">Assumptions!K43</f>
        <v>0.23</v>
      </c>
      <c r="L9" s="4" t="n">
        <f aca="false">Assumptions!L43</f>
        <v>0.23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-5.610010945</v>
      </c>
      <c r="D10" s="0" t="n">
        <f aca="false">-D6*D9/100</f>
        <v>-6.0588118206</v>
      </c>
      <c r="E10" s="0" t="n">
        <f aca="false">-E6*E9/100</f>
        <v>-6.7459361611635</v>
      </c>
      <c r="F10" s="0" t="n">
        <f aca="false">-F6*F9/100</f>
        <v>-7.11696265002749</v>
      </c>
      <c r="G10" s="0" t="n">
        <f aca="false">-G6*G9/100</f>
        <v>-7.43722596927873</v>
      </c>
      <c r="H10" s="0" t="n">
        <f aca="false">-H6*H9/100</f>
        <v>-7.71984055611132</v>
      </c>
      <c r="I10" s="0" t="n">
        <f aca="false">-I6*I9/100</f>
        <v>-7.96687545390688</v>
      </c>
      <c r="J10" s="0" t="n">
        <f aca="false">-J6*J9/100</f>
        <v>-8.20588171752409</v>
      </c>
      <c r="K10" s="0" t="n">
        <f aca="false">-K6*K9/100</f>
        <v>-8.45205816904981</v>
      </c>
      <c r="L10" s="0" t="n">
        <f aca="false">-L6*L9/100</f>
        <v>-8.70561991412131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144.84028258</v>
      </c>
      <c r="D11" s="0" t="n">
        <f aca="false">D8+D10+D24</f>
        <v>168.8205293649</v>
      </c>
      <c r="E11" s="0" t="n">
        <f aca="false">E8+E10+E24</f>
        <v>192.699132951496</v>
      </c>
      <c r="F11" s="0" t="n">
        <f aca="false">F8+F10+F24</f>
        <v>212.580580024734</v>
      </c>
      <c r="G11" s="0" t="n">
        <f aca="false">G8+G10+G24</f>
        <v>228.613859142611</v>
      </c>
      <c r="H11" s="0" t="n">
        <f aca="false">H8+H10+H24</f>
        <v>244.014090621432</v>
      </c>
      <c r="I11" s="0" t="n">
        <f aca="false">I8+I10+I24</f>
        <v>255.286400414321</v>
      </c>
      <c r="J11" s="0" t="n">
        <f aca="false">J8+J10+J24</f>
        <v>266.512767086543</v>
      </c>
      <c r="K11" s="0" t="n">
        <f aca="false">K8+K10+K24</f>
        <v>274.50815009914</v>
      </c>
      <c r="L11" s="0" t="n">
        <f aca="false">L8+L10+L24</f>
        <v>282.743394602114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-29.3250572125</v>
      </c>
      <c r="D12" s="4" t="n">
        <f aca="false">-D6*Assumptions!D45/100</f>
        <v>-30.294059103</v>
      </c>
      <c r="E12" s="4" t="n">
        <f aca="false">-E6*Assumptions!E45/100</f>
        <v>-30.7966650835725</v>
      </c>
      <c r="F12" s="4" t="n">
        <f aca="false">-F6*Assumptions!F45/100</f>
        <v>-30.9433158696848</v>
      </c>
      <c r="G12" s="4" t="n">
        <f aca="false">-G6*Assumptions!G45/100</f>
        <v>-32.3357650838206</v>
      </c>
      <c r="H12" s="4" t="n">
        <f aca="false">-H6*Assumptions!H45/100</f>
        <v>-33.5645241570057</v>
      </c>
      <c r="I12" s="4" t="n">
        <f aca="false">-I6*Assumptions!I45/100</f>
        <v>-34.6385889300299</v>
      </c>
      <c r="J12" s="4" t="n">
        <f aca="false">-J6*Assumptions!J45/100</f>
        <v>-35.6777465979308</v>
      </c>
      <c r="K12" s="4" t="n">
        <f aca="false">-K6*Assumptions!K45/100</f>
        <v>-36.7480789958688</v>
      </c>
      <c r="L12" s="4" t="n">
        <f aca="false">-L6*Assumptions!L45/100</f>
        <v>-37.8505213657448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115.5152253675</v>
      </c>
      <c r="D13" s="0" t="n">
        <f aca="false">D11+D12</f>
        <v>138.5264702619</v>
      </c>
      <c r="E13" s="0" t="n">
        <f aca="false">E11+E12</f>
        <v>161.902467867924</v>
      </c>
      <c r="F13" s="0" t="n">
        <f aca="false">F11+F12</f>
        <v>181.637264155049</v>
      </c>
      <c r="G13" s="0" t="n">
        <f aca="false">G11+G12</f>
        <v>196.278094058791</v>
      </c>
      <c r="H13" s="0" t="n">
        <f aca="false">H11+H12</f>
        <v>210.449566464426</v>
      </c>
      <c r="I13" s="0" t="n">
        <f aca="false">I11+I12</f>
        <v>220.647811484291</v>
      </c>
      <c r="J13" s="0" t="n">
        <f aca="false">J11+J12</f>
        <v>230.835020488612</v>
      </c>
      <c r="K13" s="0" t="n">
        <f aca="false">K11+K12</f>
        <v>237.760071103271</v>
      </c>
      <c r="L13" s="0" t="n">
        <f aca="false">L11+L12</f>
        <v>244.892873236369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26</v>
      </c>
      <c r="D14" s="4" t="n">
        <f aca="false">Assumptions!D47</f>
        <v>25.5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85.48126677195</v>
      </c>
      <c r="D15" s="0" t="n">
        <f aca="false">D13-MAX(0,D13)*D14/100</f>
        <v>103.202220345115</v>
      </c>
      <c r="E15" s="0" t="n">
        <f aca="false">E13-MAX(0,E13)*E14/100</f>
        <v>121.426850900943</v>
      </c>
      <c r="F15" s="0" t="n">
        <f aca="false">F13-MAX(0,F13)*F14/100</f>
        <v>136.227948116287</v>
      </c>
      <c r="G15" s="0" t="n">
        <f aca="false">G13-MAX(0,G13)*G14/100</f>
        <v>147.208570544093</v>
      </c>
      <c r="H15" s="0" t="n">
        <f aca="false">H13-MAX(0,H13)*H14/100</f>
        <v>157.83717484832</v>
      </c>
      <c r="I15" s="0" t="n">
        <f aca="false">I13-MAX(0,I13)*I14/100</f>
        <v>165.485858613218</v>
      </c>
      <c r="J15" s="0" t="n">
        <f aca="false">J13-MAX(0,J13)*J14/100</f>
        <v>173.126265366459</v>
      </c>
      <c r="K15" s="0" t="n">
        <f aca="false">K13-MAX(0,K13)*K14/100</f>
        <v>178.320053327453</v>
      </c>
      <c r="L15" s="0" t="n">
        <f aca="false">L13-MAX(0,L13)*L14/100</f>
        <v>183.669654927277</v>
      </c>
    </row>
    <row r="16" customFormat="false" ht="15" hidden="false" customHeight="false" outlineLevel="0" collapsed="false">
      <c r="A16" s="0" t="s">
        <v>120</v>
      </c>
      <c r="C16" s="0" t="n">
        <f aca="false">-C12</f>
        <v>29.3250572125</v>
      </c>
      <c r="D16" s="0" t="n">
        <f aca="false">-D12</f>
        <v>30.294059103</v>
      </c>
      <c r="E16" s="0" t="n">
        <f aca="false">-E12</f>
        <v>30.7966650835725</v>
      </c>
      <c r="F16" s="0" t="n">
        <f aca="false">-F12</f>
        <v>30.9433158696848</v>
      </c>
      <c r="G16" s="0" t="n">
        <f aca="false">-G12</f>
        <v>32.3357650838206</v>
      </c>
      <c r="H16" s="0" t="n">
        <f aca="false">-H12</f>
        <v>33.5645241570057</v>
      </c>
      <c r="I16" s="0" t="n">
        <f aca="false">-I12</f>
        <v>34.6385889300299</v>
      </c>
      <c r="J16" s="0" t="n">
        <f aca="false">-J12</f>
        <v>35.6777465979308</v>
      </c>
      <c r="K16" s="0" t="n">
        <f aca="false">-K12</f>
        <v>36.7480789958688</v>
      </c>
      <c r="L16" s="0" t="n">
        <f aca="false">-L12</f>
        <v>37.8505213657448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-21.6750422875</v>
      </c>
      <c r="D17" s="4" t="n">
        <f aca="false">-D6*Assumptions!D46/100</f>
        <v>-20.6550402975</v>
      </c>
      <c r="E17" s="4" t="n">
        <f aca="false">-E6*Assumptions!E46/100</f>
        <v>-19.0646021945925</v>
      </c>
      <c r="F17" s="4" t="n">
        <f aca="false">-F6*Assumptions!F46/100</f>
        <v>-18.5659895218109</v>
      </c>
      <c r="G17" s="4" t="n">
        <f aca="false">-G6*Assumptions!G46/100</f>
        <v>-19.4014590502923</v>
      </c>
      <c r="H17" s="4" t="n">
        <f aca="false">-H6*Assumptions!H46/100</f>
        <v>-20.1387144942034</v>
      </c>
      <c r="I17" s="4" t="n">
        <f aca="false">-I6*Assumptions!I46/100</f>
        <v>-20.783153358018</v>
      </c>
      <c r="J17" s="4" t="n">
        <f aca="false">-J6*Assumptions!J46/100</f>
        <v>-21.4066479587585</v>
      </c>
      <c r="K17" s="4" t="n">
        <f aca="false">-K6*Assumptions!K46/100</f>
        <v>-22.0488473975213</v>
      </c>
      <c r="L17" s="4" t="n">
        <f aca="false">-L6*Assumptions!L46/100</f>
        <v>-22.7103128194469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93.13128169695</v>
      </c>
      <c r="D19" s="0" t="n">
        <f aca="false">D15+D16+D17+D18</f>
        <v>112.841239150616</v>
      </c>
      <c r="E19" s="0" t="n">
        <f aca="false">E15+E16+E17+E18</f>
        <v>133.158913789923</v>
      </c>
      <c r="F19" s="0" t="n">
        <f aca="false">F15+F16+F17+F18</f>
        <v>148.605274464161</v>
      </c>
      <c r="G19" s="0" t="n">
        <f aca="false">G15+G16+G17+G18</f>
        <v>160.142876577621</v>
      </c>
      <c r="H19" s="0" t="n">
        <f aca="false">H15+H16+H17+H18</f>
        <v>171.262984511122</v>
      </c>
      <c r="I19" s="0" t="n">
        <f aca="false">I15+I16+I17+I18</f>
        <v>179.34129418523</v>
      </c>
      <c r="J19" s="0" t="n">
        <f aca="false">J15+J16+J17+J18</f>
        <v>187.397364005632</v>
      </c>
      <c r="K19" s="0" t="n">
        <f aca="false">K15+K16+K17+K18</f>
        <v>193.019284925801</v>
      </c>
      <c r="L19" s="0" t="n">
        <f aca="false">L15+L16+L17+L18</f>
        <v>198.809863473575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85.83528267</v>
      </c>
      <c r="D21" s="0" t="n">
        <f aca="false">D19*D20</f>
        <v>95.8535871652535</v>
      </c>
      <c r="E21" s="0" t="n">
        <f aca="false">E19*E20</f>
        <v>104.25119198437</v>
      </c>
      <c r="F21" s="0" t="n">
        <f aca="false">F19*F20</f>
        <v>107.22974455992</v>
      </c>
      <c r="G21" s="0" t="n">
        <f aca="false">G19*G20</f>
        <v>106.502287140192</v>
      </c>
      <c r="H21" s="0" t="n">
        <f aca="false">H19*H20</f>
        <v>104.974805555613</v>
      </c>
      <c r="I21" s="0" t="n">
        <f aca="false">I19*I20</f>
        <v>101.314622866922</v>
      </c>
      <c r="J21" s="0" t="n">
        <f aca="false">J19*J20</f>
        <v>97.5720820203981</v>
      </c>
      <c r="K21" s="0" t="n">
        <f aca="false">K19*K20</f>
        <v>92.6260317797328</v>
      </c>
      <c r="L21" s="0" t="n">
        <f aca="false">L19*L20</f>
        <v>87.9307029798385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1.4</v>
      </c>
      <c r="D23" s="4" t="n">
        <f aca="false">Assumptions!D44</f>
        <v>1.35</v>
      </c>
      <c r="E23" s="4" t="n">
        <f aca="false">Assumptions!E44</f>
        <v>1.3</v>
      </c>
      <c r="F23" s="4" t="n">
        <f aca="false">Assumptions!F44</f>
        <v>1.3</v>
      </c>
      <c r="G23" s="4" t="n">
        <f aca="false">Assumptions!G44</f>
        <v>1.3</v>
      </c>
      <c r="H23" s="4" t="n">
        <f aca="false">Assumptions!H44</f>
        <v>1.3</v>
      </c>
      <c r="I23" s="4" t="n">
        <f aca="false">Assumptions!I44</f>
        <v>1.3</v>
      </c>
      <c r="J23" s="4" t="n">
        <f aca="false">Assumptions!J44</f>
        <v>1.3</v>
      </c>
      <c r="K23" s="4" t="n">
        <f aca="false">Assumptions!K44</f>
        <v>1.3</v>
      </c>
      <c r="L23" s="4" t="n">
        <f aca="false">Assumptions!L44</f>
        <v>1.3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-35.70006965</v>
      </c>
      <c r="D24" s="0" t="n">
        <f aca="false">-D6*D23/100</f>
        <v>-37.1790725355</v>
      </c>
      <c r="E24" s="0" t="n">
        <f aca="false">-E6*E23/100</f>
        <v>-38.129204389185</v>
      </c>
      <c r="F24" s="0" t="n">
        <f aca="false">-F6*F23/100</f>
        <v>-40.2263106305902</v>
      </c>
      <c r="G24" s="0" t="n">
        <f aca="false">-G6*G23/100</f>
        <v>-42.0364946089667</v>
      </c>
      <c r="H24" s="0" t="n">
        <f aca="false">-H6*H23/100</f>
        <v>-43.6338814041075</v>
      </c>
      <c r="I24" s="0" t="n">
        <f aca="false">-I6*I23/100</f>
        <v>-45.0301656090389</v>
      </c>
      <c r="J24" s="0" t="n">
        <f aca="false">-J6*J23/100</f>
        <v>-46.3810705773101</v>
      </c>
      <c r="K24" s="0" t="n">
        <f aca="false">-K6*K23/100</f>
        <v>-47.7725026946294</v>
      </c>
      <c r="L24" s="0" t="n">
        <f aca="false">-L6*L23/100</f>
        <v>-49.2056777754683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984.090338722239</v>
      </c>
    </row>
    <row r="31" customFormat="false" ht="15" hidden="false" customHeight="false" outlineLevel="0" collapsed="false">
      <c r="A31" s="0" t="s">
        <v>129</v>
      </c>
      <c r="B31" s="0" t="n">
        <f aca="false">L19</f>
        <v>198.809863473575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3723.16653414149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3379.76767905077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3379.76767905077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1494.82195065725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2478.91228937949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2559.58728937949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4.08943778639387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0.659001130382907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47.0915929028776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72.106905061395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4.27988053616024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1706.45132814818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1.96143286815681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1.39062533633968</v>
      </c>
      <c r="C4" s="0" t="n">
        <f aca="false">B4/Assumptions!$B$2-1</f>
        <v>-0.435851790531572</v>
      </c>
      <c r="D4" s="4" t="n">
        <f aca="false">Assumptions!$B$24</f>
        <v>0.25</v>
      </c>
      <c r="E4" s="4" t="n">
        <f aca="false">DCF_Bear!$B$43</f>
        <v>1.49189394540993</v>
      </c>
      <c r="F4" s="4" t="n">
        <f aca="false">DCF_Bear!$B$47</f>
        <v>0.922587339633007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2.69976115953659</v>
      </c>
      <c r="C5" s="0" t="n">
        <f aca="false">B5/Assumptions!$B$2-1</f>
        <v>0.0952377929154538</v>
      </c>
      <c r="D5" s="4" t="n">
        <f aca="false">Assumptions!$B$38</f>
        <v>0.5</v>
      </c>
      <c r="E5" s="4" t="n">
        <f aca="false">DCF_Base!$B$43</f>
        <v>2.8501502388732</v>
      </c>
      <c r="F5" s="4" t="n">
        <f aca="false">DCF_Base!$B$47</f>
        <v>1.46305261382456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4.08943778639387</v>
      </c>
      <c r="C6" s="0" t="n">
        <f aca="false">B6/Assumptions!$B$2-1</f>
        <v>0.659001130382907</v>
      </c>
      <c r="D6" s="4" t="n">
        <f aca="false">Assumptions!$B$52</f>
        <v>0.25</v>
      </c>
      <c r="E6" s="4" t="n">
        <f aca="false">DCF_Bull!$B$43</f>
        <v>4.27988053616024</v>
      </c>
      <c r="F6" s="4" t="n">
        <f aca="false">DCF_Bull!$B$47</f>
        <v>1.96143286815681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2.71989636045168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2.86801873982914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0.0937154680442869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-172.084975628245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1.45253135885974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2.69976115953659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2.40755914194952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2.12903208295732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1.90948581640289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1.46305261382456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3.10777196434438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3.10777196434438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3.10777196434438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3.10777196434438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3.10777196434438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2.89427050336279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2.89427050336279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2.89427050336279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2.89427050336279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2.89427050336279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2.56142448843855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2.65933810629366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2.69976115953659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2.69976115953659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2.69976115953659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2.25901466023478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2.32864488603857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2.40755914194952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2.49774686299061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2.52234351418364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2.02093311734316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2.0719798511054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2.12903208295732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2.19321584379072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2.26595743940191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2026-09-25T05:17:04Z</dcterms:created>
  <dc:creator>openpyxl</dc:creator>
  <dc:description/>
  <dc:language>en-NZ</dc:language>
  <cp:lastModifiedBy/>
  <dcterms:modified xsi:type="dcterms:W3CDTF">2026-09-25T05:17:04Z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