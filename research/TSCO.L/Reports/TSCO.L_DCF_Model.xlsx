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<sst xmlns="http://schemas.openxmlformats.org/spreadsheetml/2006/main" count="360" uniqueCount="166">
  <si>
    <t xml:space="preserve">Ticker</t>
  </si>
  <si>
    <t xml:space="preserve">TSCO.L</t>
  </si>
  <si>
    <t xml:space="preserve">Company</t>
  </si>
  <si>
    <t xml:space="preserve">Tesco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</si>
  <si>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</si>
  <si>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</si>
  <si>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</si>
  <si>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</si>
  <si>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2026-10-09T16:15:00Z regular close (LSE closing auction)</t>
  </si>
  <si>
    <t xml:space="preserve">Balance sheet date</t>
  </si>
  <si>
    <t xml:space="preserve">2026-02-28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</si>
  <si>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</si>
  <si>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</si>
  <si>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</si>
  <si>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</si>
  <si>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</si>
  <si>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</si>
  <si>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</si>
  <si>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</si>
  <si>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</si>
  <si>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</si>
  <si>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</si>
  <si>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2026-10-10T06:35:46Z</t>
  </si>
  <si>
    <t xml:space="preserve">Drivers file</t>
  </si>
  <si>
    <t xml:space="preserve">TSCO.L_Drivers.json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</si>
  <si>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</si>
  <si>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</si>
  <si>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</si>
  <si>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Tesco is valued as an unlevered owner-FCF stream after the full cost of its leases (treatment B), with SBC expensed and the share count held flat. The business is a defensive, low-growth, low-margin compounder whose value is dominated by the terminal multiple rather than growth; the stock trades near its 52-week high at ~17x adjusted EPS and ~17x its own levered FCF, which the house basis only supports on the bull-leaning end of the scenario range. The buyback is value-neutral in this frame: it changes EPS, not the owner's share of a fixed cash stream.
key_risks_to_valuation: Terminal multiple dominates: at 2% growth and 7.5% WACC the cap/Gordon choice (15-20x) moves value by ~15%; a UK grocer re-rating to 12-13x FCF would put the price above every scenario.; Margin: each 10bps of adjusted operating margin is ~£75m of EBIT, ~£55m of FCF and ~10-12p/share; business rates reform, EPR and NI are unmodelled beyond the guidance year except via the bear path.; Lease treatment: treatment B charges the full £1.06bn lease payment in perpetuity; treatment A (leases as debt, £7.9bn) would give a similar value only if ROU renewal capex is charged - switching treatments without that adjustment moves value by ~£1/share either way.; Stale anchors: net debt and share count are from 28 Feb 2026; ~7 months of buybacks (~£800m, ~160m shares) and the H1 FY27 balance sheet are not yet reflected.; Cash tax: full-expensing capital allowances keep cash tax ~£200m below the P&amp;L charge; the model ramps to 27% so any permanence of the gap is upside, any reversal (timing catch-up) is downside.</t>
  </si>
  <si>
    <t xml:space="preserve">Data sources</t>
  </si>
  <si>
    <t xml:space="preserve">price: Yahoo Finance chart API at inputs.price_as_of; 52-week range 411.7-516.2 GBp.
financials: research/TSCO.L/Reports/TSCO.L_Metrics.csv (core_metrics, FY2017-FY2026 annuals and H1s) and TSCO.L_Annual_FY2026.txt (53 weeks to 28 Feb 2026): cash flow statement, Note 9 EPS, Note 13 Leases, Note 22 Borrowings, Note 29 Share capital, Note 30 Own shares, APM free-cash-flow reconciliation.
qualitative: research/TSCO.L/Reports/TSCO.L_Analysis.json (2026-10-10): FY26 results and FY27 guidance (adj. OP £3.0-3.3bn, capex c.£1.6bn, tax c.27%, medium-term FCF £1.5-2.0bn), competitive position, risks.</t>
  </si>
  <si>
    <t xml:space="preserve">Scenario narrative: bear</t>
  </si>
  <si>
    <t xml:space="preserve">Price war meets cost shock: Aldi/Lidl/Asda pressure plus business rates, EPR, NI and an energy/food cost spike compress margin ~60bps permanently, growth slows to 1.5-2%, capex and lease costs rise. A de-rating, not a solvency event. Terminal 1.5% at 15x.</t>
  </si>
  <si>
    <t xml:space="preserve">Scenario narrative: base</t>
  </si>
  <si>
    <t xml:space="preserve">Steady defensive compounder: ~3% nominal sales growth fading to 2%, adjusted operating margin flat at ~4.2-4.3% with Save to Invest and retail media offsetting UK cost headwinds, capex ~2.1-2.2% of sales, cash tax normalising to 27%. The price-investment flywheel keeps share at ~28.5% but does not expand margin.</t>
  </si>
  <si>
    <t xml:space="preserve">Scenario narrative: bull</t>
  </si>
  <si>
    <t xml:space="preserve">Share-gain flywheel plus capital-light mix shift: retail media/dunnhumby, Marketplace and IMS lift margin ~50bps over five years, FY27 at the top of guidance, sales growth 3-3.75%, lease intensity falling as owned-estate share rises. Terminal 2.5% growth at 20x.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</si>
  <si>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</si>
  <si>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</si>
  <si>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</si>
  <si>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</si>
  <si>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</si>
  <si>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</si>
  <si>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</si>
  <si>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</si>
  <si>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</si>
  <si>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</si>
  <si>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</si>
  <si>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</si>
  <si>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</si>
  <si>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</si>
  <si>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</si>
  <si>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</si>
  <si>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</si>
  <si>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</si>
  <si>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</si>
  <si>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</si>
  <si>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</si>
  <si>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</si>
  <si>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</si>
  <si>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</si>
  <si>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</si>
  <si>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</si>
  <si>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</si>
  <si>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</si>
  <si>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</si>
  <si>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</si>
  <si>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</si>
  <si>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</si>
  <si>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</si>
  <si>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</si>
  <si>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</si>
  <si>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</si>
  <si>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</si>
  <si>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</si>
  <si>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</si>
  <si>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</si>
  <si>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</si>
  <si>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</si>
  <si>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</si>
  <si>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</si>
  <si>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</si>
  <si>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</si>
  <si>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</si>
  <si>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</si>
  <si>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</si>
  <si>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</si>
  <si>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</si>
  <si>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</si>
  <si>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</si>
  <si>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</si>
  <si>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</si>
  <si>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</si>
  <si>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</si>
  <si>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</si>
  <si>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</si>
  <si>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</si>
  <si>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</si>
  <si>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</si>
  <si>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</si>
  <si>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</si>
  <si>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</si>
  <si>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</si>
  <si>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</si>
  <si>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</si>
  <si>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</si>
  <si>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</si>
  <si>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</si>
  <si>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</si>
  <si>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</si>
  <si>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</si>
  <si>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TSCO.L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</si>
  <si>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</si>
  <si>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</si>
  <si>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</si>
  <si>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</si>
  <si>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</si>
  <si>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</si>
  <si>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</si>
  <si>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</si>
  <si>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</si>
  <si>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</si>
  <si>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</si>
  <si>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</si>
  <si>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</si>
  <si>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</si>
  <si>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</si>
  <si>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</si>
  <si>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</si>
  <si>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</si>
  <si>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</si>
  <si>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</si>
  <si>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</si>
  <si>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</si>
  <si>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</si>
  <si>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</si>
  <si>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</si>
  <si>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</si>
  <si>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</si>
  <si>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</si>
  <si>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</si>
  <si>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</si>
  <si>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TSCO.L owner-FCF component DCF: base case (millions, GBP)</t>
  </si>
  <si>
    <t xml:space="preserve">TSCO.L owner-FCF component DCF: bull case (millions, GBP)</t>
  </si>
  <si>
    <t xml:space="preserve">TSCO.L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</si>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</sst>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503.8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55917</v>
      </c>
      <c r="C2" s="0" t="n">
        <v>53015</v>
      </c>
      <c r="D2" s="0" t="n">
        <v>2902</v>
      </c>
      <c r="E2" s="0" t="n">
        <v>5.189835</v>
      </c>
      <c r="F2" s="0" t="n">
        <v>1017</v>
      </c>
      <c r="G2" s="0" t="n">
        <v>1.818767</v>
      </c>
      <c r="H2" s="0" t="n">
        <v>2321</v>
      </c>
      <c r="I2" s="0" t="n">
        <v>-40</v>
      </c>
      <c r="J2" s="0" t="n">
        <v>-0.071535</v>
      </c>
      <c r="K2" s="0" t="n">
        <v>-0.0049</v>
      </c>
      <c r="L2" s="0" t="n">
        <v>1989</v>
      </c>
      <c r="M2" s="0" t="n">
        <v>1374</v>
      </c>
      <c r="N2" s="0" t="n">
        <v>615</v>
      </c>
      <c r="O2" s="0" t="n">
        <v>6438</v>
      </c>
      <c r="P2" s="0" t="n">
        <v>45853</v>
      </c>
      <c r="Q2" s="0" t="n">
        <v>39439</v>
      </c>
      <c r="R2" s="0" t="n">
        <v>11993</v>
      </c>
      <c r="S2" s="0" t="n">
        <v>6548</v>
      </c>
      <c r="T2" s="0" t="n">
        <v>8163</v>
      </c>
      <c r="U2" s="0" t="n">
        <v>294</v>
      </c>
      <c r="V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57491</v>
      </c>
      <c r="C3" s="0" t="n">
        <v>54141</v>
      </c>
      <c r="D3" s="0" t="n">
        <v>3350</v>
      </c>
      <c r="E3" s="0" t="n">
        <v>5.826999</v>
      </c>
      <c r="F3" s="0" t="n">
        <v>1837</v>
      </c>
      <c r="G3" s="0" t="n">
        <v>3.195283</v>
      </c>
      <c r="H3" s="0" t="n">
        <v>3132</v>
      </c>
      <c r="I3" s="0" t="n">
        <v>1206</v>
      </c>
      <c r="J3" s="0" t="n">
        <v>2.09772</v>
      </c>
      <c r="K3" s="0" t="n">
        <v>0.1472</v>
      </c>
      <c r="L3" s="0" t="n">
        <v>2782</v>
      </c>
      <c r="M3" s="0" t="n">
        <v>1637</v>
      </c>
      <c r="N3" s="0" t="n">
        <v>1145</v>
      </c>
      <c r="O3" s="0" t="n">
        <v>10480</v>
      </c>
      <c r="R3" s="0" t="n">
        <v>8621</v>
      </c>
      <c r="S3" s="0" t="n">
        <v>5088</v>
      </c>
      <c r="T3" s="0" t="n">
        <v>8193</v>
      </c>
      <c r="U3" s="0" t="n">
        <v>252</v>
      </c>
      <c r="V3" s="0" t="n">
        <v>0.03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63911</v>
      </c>
      <c r="C4" s="0" t="n">
        <v>59215</v>
      </c>
      <c r="D4" s="0" t="n">
        <v>4696</v>
      </c>
      <c r="E4" s="0" t="n">
        <v>7.347718</v>
      </c>
      <c r="F4" s="0" t="n">
        <v>2649</v>
      </c>
      <c r="G4" s="0" t="n">
        <v>4.144826</v>
      </c>
      <c r="H4" s="0" t="n">
        <v>4699</v>
      </c>
      <c r="I4" s="0" t="n">
        <v>1272</v>
      </c>
      <c r="J4" s="0" t="n">
        <v>1.990268</v>
      </c>
      <c r="K4" s="0" t="n">
        <v>0.1304</v>
      </c>
      <c r="L4" s="0" t="n">
        <v>2552</v>
      </c>
      <c r="M4" s="0" t="n">
        <v>1292</v>
      </c>
      <c r="N4" s="0" t="n">
        <v>1260</v>
      </c>
      <c r="O4" s="0" t="n">
        <v>13456</v>
      </c>
      <c r="P4" s="0" t="n">
        <v>56898</v>
      </c>
      <c r="Q4" s="0" t="n">
        <v>43466</v>
      </c>
      <c r="R4" s="0" t="n">
        <v>7143</v>
      </c>
      <c r="S4" s="0" t="n">
        <v>3306</v>
      </c>
      <c r="T4" s="0" t="n">
        <v>9755</v>
      </c>
      <c r="U4" s="0" t="n">
        <v>118</v>
      </c>
      <c r="V4" s="0" t="n">
        <v>0.0577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64760</v>
      </c>
      <c r="F5" s="0" t="n">
        <v>2518</v>
      </c>
      <c r="G5" s="0" t="n">
        <v>3.888203</v>
      </c>
      <c r="H5" s="0" t="n">
        <v>4675</v>
      </c>
      <c r="I5" s="0" t="n">
        <v>971</v>
      </c>
      <c r="J5" s="0" t="n">
        <v>1.499382</v>
      </c>
      <c r="K5" s="0" t="n">
        <v>0.099254</v>
      </c>
      <c r="L5" s="0" t="n">
        <v>38</v>
      </c>
      <c r="M5" s="0" t="n">
        <v>1204</v>
      </c>
      <c r="N5" s="0" t="n">
        <v>-1166</v>
      </c>
      <c r="O5" s="0" t="n">
        <v>13314</v>
      </c>
      <c r="P5" s="0" t="n">
        <v>53070</v>
      </c>
      <c r="Q5" s="0" t="n">
        <v>39778</v>
      </c>
      <c r="R5" s="0" t="n">
        <v>8224</v>
      </c>
      <c r="S5" s="0" t="n">
        <v>5213</v>
      </c>
      <c r="T5" s="0" t="n">
        <v>9783</v>
      </c>
      <c r="U5" s="0" t="n">
        <v>122</v>
      </c>
      <c r="V5" s="0" t="n">
        <v>0.0915</v>
      </c>
      <c r="X5" s="0" t="n">
        <v>58091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57887</v>
      </c>
      <c r="C6" s="0" t="n">
        <v>54111</v>
      </c>
      <c r="D6" s="0" t="n">
        <v>3776</v>
      </c>
      <c r="E6" s="0" t="n">
        <v>6.523054</v>
      </c>
      <c r="F6" s="0" t="n">
        <v>1547</v>
      </c>
      <c r="G6" s="0" t="n">
        <v>2.672448</v>
      </c>
      <c r="H6" s="0" t="n">
        <v>3311</v>
      </c>
      <c r="I6" s="0" t="n">
        <v>5954</v>
      </c>
      <c r="J6" s="0" t="n">
        <v>10.285556</v>
      </c>
      <c r="K6" s="0" t="n">
        <v>0.6166</v>
      </c>
      <c r="L6" s="0" t="n">
        <v>602</v>
      </c>
      <c r="M6" s="0" t="n">
        <v>1377</v>
      </c>
      <c r="N6" s="0" t="n">
        <v>-775</v>
      </c>
      <c r="O6" s="0" t="n">
        <v>12077</v>
      </c>
      <c r="P6" s="0" t="n">
        <v>45512</v>
      </c>
      <c r="Q6" s="0" t="n">
        <v>33453</v>
      </c>
      <c r="R6" s="0" t="n">
        <v>7268</v>
      </c>
      <c r="S6" s="0" t="n">
        <v>3521</v>
      </c>
      <c r="T6" s="0" t="n">
        <v>9656</v>
      </c>
      <c r="U6" s="0" t="n">
        <v>69</v>
      </c>
      <c r="V6" s="0" t="n">
        <v>0.0915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61344</v>
      </c>
      <c r="C7" s="0" t="n">
        <v>56711</v>
      </c>
      <c r="D7" s="0" t="n">
        <v>4633</v>
      </c>
      <c r="E7" s="0" t="n">
        <v>7.552491</v>
      </c>
      <c r="F7" s="0" t="n">
        <v>2560</v>
      </c>
      <c r="G7" s="0" t="n">
        <v>4.173187</v>
      </c>
      <c r="H7" s="0" t="n">
        <v>4278</v>
      </c>
      <c r="I7" s="0" t="n">
        <v>1481</v>
      </c>
      <c r="J7" s="0" t="n">
        <v>2.414254</v>
      </c>
      <c r="K7" s="0" t="n">
        <v>0.1912</v>
      </c>
      <c r="L7" s="0" t="n">
        <v>3757</v>
      </c>
      <c r="M7" s="0" t="n">
        <v>1178</v>
      </c>
      <c r="N7" s="0" t="n">
        <v>2579</v>
      </c>
      <c r="O7" s="0" t="n">
        <v>15660</v>
      </c>
      <c r="P7" s="0" t="n">
        <v>49351</v>
      </c>
      <c r="Q7" s="0" t="n">
        <v>33707</v>
      </c>
      <c r="R7" s="0" t="n">
        <v>7399</v>
      </c>
      <c r="S7" s="0" t="n">
        <v>4421</v>
      </c>
      <c r="T7" s="0" t="n">
        <v>7746</v>
      </c>
      <c r="U7" s="0" t="n">
        <v>122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65322</v>
      </c>
      <c r="C8" s="0" t="n">
        <v>61961</v>
      </c>
      <c r="D8" s="0" t="n">
        <v>3361</v>
      </c>
      <c r="E8" s="0" t="n">
        <v>5.14528</v>
      </c>
      <c r="F8" s="0" t="n">
        <v>1410</v>
      </c>
      <c r="G8" s="0" t="n">
        <v>2.158538</v>
      </c>
      <c r="H8" s="0" t="n">
        <v>3110</v>
      </c>
      <c r="I8" s="0" t="n">
        <v>737</v>
      </c>
      <c r="J8" s="0" t="n">
        <v>1.128257</v>
      </c>
      <c r="K8" s="0" t="n">
        <v>0.0985</v>
      </c>
      <c r="L8" s="0" t="n">
        <v>3722</v>
      </c>
      <c r="M8" s="0" t="n">
        <v>1250</v>
      </c>
      <c r="N8" s="0" t="n">
        <v>2472</v>
      </c>
      <c r="O8" s="0" t="n">
        <v>12236</v>
      </c>
      <c r="P8" s="0" t="n">
        <v>45868</v>
      </c>
      <c r="Q8" s="0" t="n">
        <v>33643</v>
      </c>
      <c r="R8" s="0" t="n">
        <v>7351</v>
      </c>
      <c r="S8" s="0" t="n">
        <v>4093</v>
      </c>
      <c r="T8" s="0" t="n">
        <v>7482</v>
      </c>
      <c r="U8" s="0" t="n">
        <v>112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68187</v>
      </c>
      <c r="C9" s="0" t="n">
        <v>63338</v>
      </c>
      <c r="D9" s="0" t="n">
        <v>4849</v>
      </c>
      <c r="E9" s="0" t="n">
        <v>7.111326</v>
      </c>
      <c r="F9" s="0" t="n">
        <v>2821</v>
      </c>
      <c r="G9" s="0" t="n">
        <v>4.137152</v>
      </c>
      <c r="H9" s="0" t="n">
        <v>4544</v>
      </c>
      <c r="I9" s="0" t="n">
        <v>1188</v>
      </c>
      <c r="J9" s="0" t="n">
        <v>1.742268</v>
      </c>
      <c r="K9" s="0" t="n">
        <v>0.1656</v>
      </c>
      <c r="L9" s="0" t="n">
        <v>3839</v>
      </c>
      <c r="M9" s="0" t="n">
        <v>1386</v>
      </c>
      <c r="N9" s="0" t="n">
        <v>2453</v>
      </c>
      <c r="O9" s="0" t="n">
        <v>11671</v>
      </c>
      <c r="P9" s="0" t="n">
        <v>47039</v>
      </c>
      <c r="Q9" s="0" t="n">
        <v>35374</v>
      </c>
      <c r="R9" s="0" t="n">
        <v>7219</v>
      </c>
      <c r="S9" s="0" t="n">
        <v>4468</v>
      </c>
      <c r="T9" s="0" t="n">
        <v>7174</v>
      </c>
      <c r="U9" s="0" t="n">
        <v>128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69916</v>
      </c>
      <c r="C10" s="0" t="n">
        <v>64865</v>
      </c>
      <c r="D10" s="0" t="n">
        <v>5051</v>
      </c>
      <c r="E10" s="0" t="n">
        <v>7.224384</v>
      </c>
      <c r="F10" s="0" t="n">
        <v>2711</v>
      </c>
      <c r="G10" s="0" t="n">
        <v>3.87751</v>
      </c>
      <c r="H10" s="0" t="n">
        <v>4486</v>
      </c>
      <c r="I10" s="0" t="n">
        <v>1626</v>
      </c>
      <c r="J10" s="0" t="n">
        <v>2.325648</v>
      </c>
      <c r="K10" s="0" t="n">
        <v>0.235</v>
      </c>
      <c r="L10" s="0" t="n">
        <v>2919</v>
      </c>
      <c r="M10" s="0" t="n">
        <v>1539</v>
      </c>
      <c r="N10" s="0" t="n">
        <v>1380</v>
      </c>
      <c r="O10" s="0" t="n">
        <v>11666</v>
      </c>
      <c r="P10" s="0" t="n">
        <v>38890</v>
      </c>
      <c r="Q10" s="0" t="n">
        <v>27228</v>
      </c>
      <c r="R10" s="0" t="n">
        <v>6950</v>
      </c>
      <c r="S10" s="0" t="n">
        <v>4478</v>
      </c>
      <c r="T10" s="0" t="n">
        <v>6919</v>
      </c>
      <c r="U10" s="0" t="n">
        <v>136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73712</v>
      </c>
      <c r="C11" s="0" t="n">
        <v>68174</v>
      </c>
      <c r="D11" s="0" t="n">
        <v>5538</v>
      </c>
      <c r="E11" s="0" t="n">
        <v>7.513024</v>
      </c>
      <c r="F11" s="0" t="n">
        <v>2985</v>
      </c>
      <c r="G11" s="0" t="n">
        <v>4.049544</v>
      </c>
      <c r="H11" s="0" t="n">
        <v>4880</v>
      </c>
      <c r="I11" s="0" t="n">
        <v>1787</v>
      </c>
      <c r="J11" s="0" t="n">
        <v>2.4243</v>
      </c>
      <c r="K11" s="0" t="n">
        <v>0.271</v>
      </c>
      <c r="L11" s="0" t="n">
        <v>3906</v>
      </c>
      <c r="M11" s="0" t="n">
        <v>1666</v>
      </c>
      <c r="N11" s="0" t="n">
        <v>2240</v>
      </c>
      <c r="O11" s="0" t="n">
        <v>11463</v>
      </c>
      <c r="P11" s="0" t="n">
        <v>39474</v>
      </c>
      <c r="Q11" s="0" t="n">
        <v>28017</v>
      </c>
      <c r="R11" s="0" t="n">
        <v>7196</v>
      </c>
      <c r="S11" s="0" t="n">
        <v>3944</v>
      </c>
      <c r="T11" s="0" t="n">
        <v>6594</v>
      </c>
      <c r="U11" s="0" t="n">
        <v>140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503.8</v>
      </c>
    </row>
    <row r="3" customFormat="false" ht="15" hidden="false" customHeight="false" outlineLevel="0" collapsed="false">
      <c r="A3" s="0" t="s">
        <v>77</v>
      </c>
      <c r="B3" s="3" t="n">
        <v>6448</v>
      </c>
    </row>
    <row r="4" customFormat="false" ht="15" hidden="false" customHeight="false" outlineLevel="0" collapsed="false">
      <c r="A4" s="0" t="s">
        <v>78</v>
      </c>
      <c r="B4" s="3" t="n">
        <v>2679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73712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100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0.5</v>
      </c>
      <c r="D13" s="3" t="n">
        <v>2</v>
      </c>
      <c r="E13" s="3" t="n">
        <v>2</v>
      </c>
      <c r="F13" s="3" t="n">
        <v>2</v>
      </c>
      <c r="G13" s="3" t="n">
        <v>1.75</v>
      </c>
      <c r="H13" s="3" t="n">
        <v>1.75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6.85</v>
      </c>
      <c r="D14" s="3" t="n">
        <v>6.7</v>
      </c>
      <c r="E14" s="3" t="n">
        <v>6.6</v>
      </c>
      <c r="F14" s="3" t="n">
        <v>6.5</v>
      </c>
      <c r="G14" s="3" t="n">
        <v>6.5</v>
      </c>
      <c r="H14" s="3" t="n">
        <v>6.5</v>
      </c>
      <c r="I14" s="3" t="n">
        <v>6.5</v>
      </c>
      <c r="J14" s="3" t="n">
        <v>6.5</v>
      </c>
      <c r="K14" s="3" t="n">
        <v>6.5</v>
      </c>
      <c r="L14" s="3" t="n">
        <v>6.5</v>
      </c>
    </row>
    <row r="15" customFormat="false" ht="15" hidden="false" customHeight="false" outlineLevel="0" collapsed="false">
      <c r="A15" s="0" t="s">
        <v>99</v>
      </c>
      <c r="C15" s="3" t="n">
        <v>0.19</v>
      </c>
      <c r="D15" s="3" t="n">
        <v>0.19</v>
      </c>
      <c r="E15" s="3" t="n">
        <v>0.19</v>
      </c>
      <c r="F15" s="3" t="n">
        <v>0.19</v>
      </c>
      <c r="G15" s="3" t="n">
        <v>0.19</v>
      </c>
      <c r="H15" s="3" t="n">
        <v>0.19</v>
      </c>
      <c r="I15" s="3" t="n">
        <v>0.19</v>
      </c>
      <c r="J15" s="3" t="n">
        <v>0.19</v>
      </c>
      <c r="K15" s="3" t="n">
        <v>0.19</v>
      </c>
      <c r="L15" s="3" t="n">
        <v>0.19</v>
      </c>
    </row>
    <row r="16" customFormat="false" ht="15" hidden="false" customHeight="false" outlineLevel="0" collapsed="false">
      <c r="A16" s="0" t="s">
        <v>100</v>
      </c>
      <c r="C16" s="3" t="n">
        <v>1.45</v>
      </c>
      <c r="D16" s="3" t="n">
        <v>1.47</v>
      </c>
      <c r="E16" s="3" t="n">
        <v>1.48</v>
      </c>
      <c r="F16" s="3" t="n">
        <v>1.5</v>
      </c>
      <c r="G16" s="3" t="n">
        <v>1.5</v>
      </c>
      <c r="H16" s="3" t="n">
        <v>1.5</v>
      </c>
      <c r="I16" s="3" t="n">
        <v>1.5</v>
      </c>
      <c r="J16" s="3" t="n">
        <v>1.5</v>
      </c>
      <c r="K16" s="3" t="n">
        <v>1.5</v>
      </c>
      <c r="L16" s="3" t="n">
        <v>1.5</v>
      </c>
    </row>
    <row r="17" customFormat="false" ht="15" hidden="false" customHeight="false" outlineLevel="0" collapsed="false">
      <c r="A17" s="0" t="s">
        <v>101</v>
      </c>
      <c r="C17" s="3" t="n">
        <v>1.78</v>
      </c>
      <c r="D17" s="3" t="n">
        <v>1.8</v>
      </c>
      <c r="E17" s="3" t="n">
        <v>1.82</v>
      </c>
      <c r="F17" s="3" t="n">
        <v>1.84</v>
      </c>
      <c r="G17" s="3" t="n">
        <v>1.85</v>
      </c>
      <c r="H17" s="3" t="n">
        <v>1.85</v>
      </c>
      <c r="I17" s="3" t="n">
        <v>1.85</v>
      </c>
      <c r="J17" s="3" t="n">
        <v>1.85</v>
      </c>
      <c r="K17" s="3" t="n">
        <v>1.85</v>
      </c>
      <c r="L17" s="3" t="n">
        <v>1.85</v>
      </c>
    </row>
    <row r="18" customFormat="false" ht="15" hidden="false" customHeight="false" outlineLevel="0" collapsed="false">
      <c r="A18" s="0" t="s">
        <v>102</v>
      </c>
      <c r="C18" s="3" t="n">
        <v>2.25</v>
      </c>
      <c r="D18" s="3" t="n">
        <v>2.3</v>
      </c>
      <c r="E18" s="3" t="n">
        <v>2.3</v>
      </c>
      <c r="F18" s="3" t="n">
        <v>2.3</v>
      </c>
      <c r="G18" s="3" t="n">
        <v>2.3</v>
      </c>
      <c r="H18" s="3" t="n">
        <v>2.3</v>
      </c>
      <c r="I18" s="3" t="n">
        <v>2.3</v>
      </c>
      <c r="J18" s="3" t="n">
        <v>2.3</v>
      </c>
      <c r="K18" s="3" t="n">
        <v>2.3</v>
      </c>
      <c r="L18" s="3" t="n">
        <v>2.3</v>
      </c>
    </row>
    <row r="19" customFormat="false" ht="15" hidden="false" customHeight="false" outlineLevel="0" collapsed="false">
      <c r="A19" s="0" t="s">
        <v>103</v>
      </c>
      <c r="C19" s="3" t="n">
        <v>26</v>
      </c>
      <c r="D19" s="3" t="n">
        <v>26.5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104</v>
      </c>
      <c r="B20" s="3" t="n">
        <v>7.5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2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1.5</v>
      </c>
      <c r="D27" s="3" t="n">
        <v>3</v>
      </c>
      <c r="E27" s="3" t="n">
        <v>3</v>
      </c>
      <c r="F27" s="3" t="n">
        <v>2.75</v>
      </c>
      <c r="G27" s="3" t="n">
        <v>2.5</v>
      </c>
      <c r="H27" s="3" t="n">
        <v>2.5</v>
      </c>
      <c r="I27" s="3" t="n">
        <v>2.5</v>
      </c>
      <c r="J27" s="3" t="n">
        <v>2.25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7</v>
      </c>
      <c r="D28" s="3" t="n">
        <v>7</v>
      </c>
      <c r="E28" s="3" t="n">
        <v>7.05</v>
      </c>
      <c r="F28" s="3" t="n">
        <v>7.1</v>
      </c>
      <c r="G28" s="3" t="n">
        <v>7.1</v>
      </c>
      <c r="H28" s="3" t="n">
        <v>7.1</v>
      </c>
      <c r="I28" s="3" t="n">
        <v>7.1</v>
      </c>
      <c r="J28" s="3" t="n">
        <v>7.1</v>
      </c>
      <c r="K28" s="3" t="n">
        <v>7.1</v>
      </c>
      <c r="L28" s="3" t="n">
        <v>7.1</v>
      </c>
    </row>
    <row r="29" customFormat="false" ht="15" hidden="false" customHeight="false" outlineLevel="0" collapsed="false">
      <c r="A29" s="0" t="s">
        <v>99</v>
      </c>
      <c r="C29" s="3" t="n">
        <v>0.19</v>
      </c>
      <c r="D29" s="3" t="n">
        <v>0.19</v>
      </c>
      <c r="E29" s="3" t="n">
        <v>0.19</v>
      </c>
      <c r="F29" s="3" t="n">
        <v>0.19</v>
      </c>
      <c r="G29" s="3" t="n">
        <v>0.19</v>
      </c>
      <c r="H29" s="3" t="n">
        <v>0.19</v>
      </c>
      <c r="I29" s="3" t="n">
        <v>0.19</v>
      </c>
      <c r="J29" s="3" t="n">
        <v>0.19</v>
      </c>
      <c r="K29" s="3" t="n">
        <v>0.19</v>
      </c>
      <c r="L29" s="3" t="n">
        <v>0.19</v>
      </c>
    </row>
    <row r="30" customFormat="false" ht="15" hidden="false" customHeight="false" outlineLevel="0" collapsed="false">
      <c r="A30" s="0" t="s">
        <v>100</v>
      </c>
      <c r="C30" s="3" t="n">
        <v>1.44</v>
      </c>
      <c r="D30" s="3" t="n">
        <v>1.44</v>
      </c>
      <c r="E30" s="3" t="n">
        <v>1.43</v>
      </c>
      <c r="F30" s="3" t="n">
        <v>1.43</v>
      </c>
      <c r="G30" s="3" t="n">
        <v>1.42</v>
      </c>
      <c r="H30" s="3" t="n">
        <v>1.42</v>
      </c>
      <c r="I30" s="3" t="n">
        <v>1.42</v>
      </c>
      <c r="J30" s="3" t="n">
        <v>1.42</v>
      </c>
      <c r="K30" s="3" t="n">
        <v>1.42</v>
      </c>
      <c r="L30" s="3" t="n">
        <v>1.42</v>
      </c>
    </row>
    <row r="31" customFormat="false" ht="15" hidden="false" customHeight="false" outlineLevel="0" collapsed="false">
      <c r="A31" s="0" t="s">
        <v>101</v>
      </c>
      <c r="C31" s="3" t="n">
        <v>1.78</v>
      </c>
      <c r="D31" s="3" t="n">
        <v>1.78</v>
      </c>
      <c r="E31" s="3" t="n">
        <v>1.79</v>
      </c>
      <c r="F31" s="3" t="n">
        <v>1.8</v>
      </c>
      <c r="G31" s="3" t="n">
        <v>1.8</v>
      </c>
      <c r="H31" s="3" t="n">
        <v>1.8</v>
      </c>
      <c r="I31" s="3" t="n">
        <v>1.8</v>
      </c>
      <c r="J31" s="3" t="n">
        <v>1.8</v>
      </c>
      <c r="K31" s="3" t="n">
        <v>1.8</v>
      </c>
      <c r="L31" s="3" t="n">
        <v>1.8</v>
      </c>
    </row>
    <row r="32" customFormat="false" ht="15" hidden="false" customHeight="false" outlineLevel="0" collapsed="false">
      <c r="A32" s="0" t="s">
        <v>102</v>
      </c>
      <c r="C32" s="3" t="n">
        <v>2.2</v>
      </c>
      <c r="D32" s="3" t="n">
        <v>2.2</v>
      </c>
      <c r="E32" s="3" t="n">
        <v>2.2</v>
      </c>
      <c r="F32" s="3" t="n">
        <v>2.15</v>
      </c>
      <c r="G32" s="3" t="n">
        <v>2.15</v>
      </c>
      <c r="H32" s="3" t="n">
        <v>2.1</v>
      </c>
      <c r="I32" s="3" t="n">
        <v>2.1</v>
      </c>
      <c r="J32" s="3" t="n">
        <v>2.1</v>
      </c>
      <c r="K32" s="3" t="n">
        <v>2.1</v>
      </c>
      <c r="L32" s="3" t="n">
        <v>2.1</v>
      </c>
    </row>
    <row r="33" customFormat="false" ht="15" hidden="false" customHeight="false" outlineLevel="0" collapsed="false">
      <c r="A33" s="0" t="s">
        <v>103</v>
      </c>
      <c r="C33" s="3" t="n">
        <v>25</v>
      </c>
      <c r="D33" s="3" t="n">
        <v>25.5</v>
      </c>
      <c r="E33" s="3" t="n">
        <v>26</v>
      </c>
      <c r="F33" s="3" t="n">
        <v>26.5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104</v>
      </c>
      <c r="B34" s="3" t="n">
        <v>7.5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18</v>
      </c>
    </row>
    <row r="37" customFormat="false" ht="15" hidden="false" customHeight="false" outlineLevel="0" collapsed="false">
      <c r="A37" s="0" t="s">
        <v>107</v>
      </c>
      <c r="B37" s="3" t="n">
        <v>4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2.5</v>
      </c>
      <c r="D41" s="3" t="n">
        <v>3.75</v>
      </c>
      <c r="E41" s="3" t="n">
        <v>3.75</v>
      </c>
      <c r="F41" s="3" t="n">
        <v>3.5</v>
      </c>
      <c r="G41" s="3" t="n">
        <v>3.25</v>
      </c>
      <c r="H41" s="3" t="n">
        <v>3</v>
      </c>
      <c r="I41" s="3" t="n">
        <v>3</v>
      </c>
      <c r="J41" s="3" t="n">
        <v>2.75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7.1</v>
      </c>
      <c r="D42" s="3" t="n">
        <v>7.2</v>
      </c>
      <c r="E42" s="3" t="n">
        <v>7.3</v>
      </c>
      <c r="F42" s="3" t="n">
        <v>7.4</v>
      </c>
      <c r="G42" s="3" t="n">
        <v>7.5</v>
      </c>
      <c r="H42" s="3" t="n">
        <v>7.5</v>
      </c>
      <c r="I42" s="3" t="n">
        <v>7.5</v>
      </c>
      <c r="J42" s="3" t="n">
        <v>7.5</v>
      </c>
      <c r="K42" s="3" t="n">
        <v>7.5</v>
      </c>
      <c r="L42" s="3" t="n">
        <v>7.5</v>
      </c>
    </row>
    <row r="43" customFormat="false" ht="15" hidden="false" customHeight="false" outlineLevel="0" collapsed="false">
      <c r="A43" s="0" t="s">
        <v>99</v>
      </c>
      <c r="C43" s="3" t="n">
        <v>0.19</v>
      </c>
      <c r="D43" s="3" t="n">
        <v>0.19</v>
      </c>
      <c r="E43" s="3" t="n">
        <v>0.19</v>
      </c>
      <c r="F43" s="3" t="n">
        <v>0.19</v>
      </c>
      <c r="G43" s="3" t="n">
        <v>0.19</v>
      </c>
      <c r="H43" s="3" t="n">
        <v>0.19</v>
      </c>
      <c r="I43" s="3" t="n">
        <v>0.19</v>
      </c>
      <c r="J43" s="3" t="n">
        <v>0.19</v>
      </c>
      <c r="K43" s="3" t="n">
        <v>0.19</v>
      </c>
      <c r="L43" s="3" t="n">
        <v>0.19</v>
      </c>
    </row>
    <row r="44" customFormat="false" ht="15" hidden="false" customHeight="false" outlineLevel="0" collapsed="false">
      <c r="A44" s="0" t="s">
        <v>100</v>
      </c>
      <c r="C44" s="3" t="n">
        <v>1.44</v>
      </c>
      <c r="D44" s="3" t="n">
        <v>1.42</v>
      </c>
      <c r="E44" s="3" t="n">
        <v>1.4</v>
      </c>
      <c r="F44" s="3" t="n">
        <v>1.4</v>
      </c>
      <c r="G44" s="3" t="n">
        <v>1.38</v>
      </c>
      <c r="H44" s="3" t="n">
        <v>1.38</v>
      </c>
      <c r="I44" s="3" t="n">
        <v>1.38</v>
      </c>
      <c r="J44" s="3" t="n">
        <v>1.38</v>
      </c>
      <c r="K44" s="3" t="n">
        <v>1.38</v>
      </c>
      <c r="L44" s="3" t="n">
        <v>1.38</v>
      </c>
    </row>
    <row r="45" customFormat="false" ht="15" hidden="false" customHeight="false" outlineLevel="0" collapsed="false">
      <c r="A45" s="0" t="s">
        <v>101</v>
      </c>
      <c r="C45" s="3" t="n">
        <v>1.78</v>
      </c>
      <c r="D45" s="3" t="n">
        <v>1.78</v>
      </c>
      <c r="E45" s="3" t="n">
        <v>1.78</v>
      </c>
      <c r="F45" s="3" t="n">
        <v>1.78</v>
      </c>
      <c r="G45" s="3" t="n">
        <v>1.78</v>
      </c>
      <c r="H45" s="3" t="n">
        <v>1.78</v>
      </c>
      <c r="I45" s="3" t="n">
        <v>1.78</v>
      </c>
      <c r="J45" s="3" t="n">
        <v>1.78</v>
      </c>
      <c r="K45" s="3" t="n">
        <v>1.78</v>
      </c>
      <c r="L45" s="3" t="n">
        <v>1.78</v>
      </c>
    </row>
    <row r="46" customFormat="false" ht="15" hidden="false" customHeight="false" outlineLevel="0" collapsed="false">
      <c r="A46" s="0" t="s">
        <v>102</v>
      </c>
      <c r="C46" s="3" t="n">
        <v>2.15</v>
      </c>
      <c r="D46" s="3" t="n">
        <v>2.15</v>
      </c>
      <c r="E46" s="3" t="n">
        <v>2.1</v>
      </c>
      <c r="F46" s="3" t="n">
        <v>2.1</v>
      </c>
      <c r="G46" s="3" t="n">
        <v>2.05</v>
      </c>
      <c r="H46" s="3" t="n">
        <v>2.05</v>
      </c>
      <c r="I46" s="3" t="n">
        <v>2.05</v>
      </c>
      <c r="J46" s="3" t="n">
        <v>2.05</v>
      </c>
      <c r="K46" s="3" t="n">
        <v>2.05</v>
      </c>
      <c r="L46" s="3" t="n">
        <v>2.05</v>
      </c>
    </row>
    <row r="47" customFormat="false" ht="15" hidden="false" customHeight="false" outlineLevel="0" collapsed="false">
      <c r="A47" s="0" t="s">
        <v>103</v>
      </c>
      <c r="C47" s="3" t="n">
        <v>25</v>
      </c>
      <c r="D47" s="3" t="n">
        <v>25.5</v>
      </c>
      <c r="E47" s="3" t="n">
        <v>26</v>
      </c>
      <c r="F47" s="3" t="n">
        <v>26.5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104</v>
      </c>
      <c r="B48" s="3" t="n">
        <v>7.5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20</v>
      </c>
    </row>
    <row r="51" customFormat="false" ht="15" hidden="false" customHeight="false" outlineLevel="0" collapsed="false">
      <c r="A51" s="0" t="s">
        <v>107</v>
      </c>
      <c r="B51" s="3" t="n">
        <v>6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0.5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1.75</v>
      </c>
      <c r="H5" s="4" t="n">
        <f aca="false">Assumptions!H13</f>
        <v>1.75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73712</v>
      </c>
      <c r="C6" s="0" t="n">
        <f aca="false">B6*(1+C5/100)</f>
        <v>74080.56</v>
      </c>
      <c r="D6" s="0" t="n">
        <f aca="false">C6*(1+D5/100)</f>
        <v>75562.1712</v>
      </c>
      <c r="E6" s="0" t="n">
        <f aca="false">D6*(1+E5/100)</f>
        <v>77073.414624</v>
      </c>
      <c r="F6" s="0" t="n">
        <f aca="false">E6*(1+F5/100)</f>
        <v>78614.88291648</v>
      </c>
      <c r="G6" s="0" t="n">
        <f aca="false">F6*(1+G5/100)</f>
        <v>79990.6433675184</v>
      </c>
      <c r="H6" s="0" t="n">
        <f aca="false">G6*(1+H5/100)</f>
        <v>81390.47962645</v>
      </c>
      <c r="I6" s="0" t="n">
        <f aca="false">H6*(1+I5/100)</f>
        <v>82611.3368208467</v>
      </c>
      <c r="J6" s="0" t="n">
        <f aca="false">I6*(1+J5/100)</f>
        <v>83850.5068731594</v>
      </c>
      <c r="K6" s="0" t="n">
        <f aca="false">J6*(1+K5/100)</f>
        <v>85108.2644762568</v>
      </c>
      <c r="L6" s="0" t="n">
        <f aca="false">K6*(1+L5/100)</f>
        <v>86384.8884434007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6.85</v>
      </c>
      <c r="D7" s="4" t="n">
        <f aca="false">Assumptions!D14</f>
        <v>6.7</v>
      </c>
      <c r="E7" s="4" t="n">
        <f aca="false">Assumptions!E14</f>
        <v>6.6</v>
      </c>
      <c r="F7" s="4" t="n">
        <f aca="false">Assumptions!F14</f>
        <v>6.5</v>
      </c>
      <c r="G7" s="4" t="n">
        <f aca="false">Assumptions!G14</f>
        <v>6.5</v>
      </c>
      <c r="H7" s="4" t="n">
        <f aca="false">Assumptions!H14</f>
        <v>6.5</v>
      </c>
      <c r="I7" s="4" t="n">
        <f aca="false">Assumptions!I14</f>
        <v>6.5</v>
      </c>
      <c r="J7" s="4" t="n">
        <f aca="false">Assumptions!J14</f>
        <v>6.5</v>
      </c>
      <c r="K7" s="4" t="n">
        <f aca="false">Assumptions!K14</f>
        <v>6.5</v>
      </c>
      <c r="L7" s="4" t="n">
        <f aca="false">Assumptions!L14</f>
        <v>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5074.51836</v>
      </c>
      <c r="D8" s="0" t="n">
        <f aca="false">D6*D7/100</f>
        <v>5062.6654704</v>
      </c>
      <c r="E8" s="0" t="n">
        <f aca="false">E6*E7/100</f>
        <v>5086.845365184</v>
      </c>
      <c r="F8" s="0" t="n">
        <f aca="false">F6*F7/100</f>
        <v>5109.9673895712</v>
      </c>
      <c r="G8" s="0" t="n">
        <f aca="false">G6*G7/100</f>
        <v>5199.3918188887</v>
      </c>
      <c r="H8" s="0" t="n">
        <f aca="false">H6*H7/100</f>
        <v>5290.38117571925</v>
      </c>
      <c r="I8" s="0" t="n">
        <f aca="false">I6*I7/100</f>
        <v>5369.73689335504</v>
      </c>
      <c r="J8" s="0" t="n">
        <f aca="false">J6*J7/100</f>
        <v>5450.28294675536</v>
      </c>
      <c r="K8" s="0" t="n">
        <f aca="false">K6*K7/100</f>
        <v>5532.03719095669</v>
      </c>
      <c r="L8" s="0" t="n">
        <f aca="false">L6*L7/100</f>
        <v>5615.01774882104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0.19</v>
      </c>
      <c r="D9" s="4" t="n">
        <f aca="false">Assumptions!D15</f>
        <v>0.19</v>
      </c>
      <c r="E9" s="4" t="n">
        <f aca="false">Assumptions!E15</f>
        <v>0.19</v>
      </c>
      <c r="F9" s="4" t="n">
        <f aca="false">Assumptions!F15</f>
        <v>0.19</v>
      </c>
      <c r="G9" s="4" t="n">
        <f aca="false">Assumptions!G15</f>
        <v>0.19</v>
      </c>
      <c r="H9" s="4" t="n">
        <f aca="false">Assumptions!H15</f>
        <v>0.19</v>
      </c>
      <c r="I9" s="4" t="n">
        <f aca="false">Assumptions!I15</f>
        <v>0.19</v>
      </c>
      <c r="J9" s="4" t="n">
        <f aca="false">Assumptions!J15</f>
        <v>0.19</v>
      </c>
      <c r="K9" s="4" t="n">
        <f aca="false">Assumptions!K15</f>
        <v>0.19</v>
      </c>
      <c r="L9" s="4" t="n">
        <f aca="false">Assumptions!L15</f>
        <v>0.19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-140.753064</v>
      </c>
      <c r="D10" s="0" t="n">
        <f aca="false">-D6*D9/100</f>
        <v>-143.56812528</v>
      </c>
      <c r="E10" s="0" t="n">
        <f aca="false">-E6*E9/100</f>
        <v>-146.4394877856</v>
      </c>
      <c r="F10" s="0" t="n">
        <f aca="false">-F6*F9/100</f>
        <v>-149.368277541312</v>
      </c>
      <c r="G10" s="0" t="n">
        <f aca="false">-G6*G9/100</f>
        <v>-151.982222398285</v>
      </c>
      <c r="H10" s="0" t="n">
        <f aca="false">-H6*H9/100</f>
        <v>-154.641911290255</v>
      </c>
      <c r="I10" s="0" t="n">
        <f aca="false">-I6*I9/100</f>
        <v>-156.961539959609</v>
      </c>
      <c r="J10" s="0" t="n">
        <f aca="false">-J6*J9/100</f>
        <v>-159.315963059003</v>
      </c>
      <c r="K10" s="0" t="n">
        <f aca="false">-K6*K9/100</f>
        <v>-161.705702504888</v>
      </c>
      <c r="L10" s="0" t="n">
        <f aca="false">-L6*L9/100</f>
        <v>-164.131288042461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3859.597176</v>
      </c>
      <c r="D11" s="0" t="n">
        <f aca="false">D8+D10+D24</f>
        <v>3808.33342848</v>
      </c>
      <c r="E11" s="0" t="n">
        <f aca="false">E8+E10+E24</f>
        <v>3799.7193409632</v>
      </c>
      <c r="F11" s="0" t="n">
        <f aca="false">F8+F10+F24</f>
        <v>3781.37586828269</v>
      </c>
      <c r="G11" s="0" t="n">
        <f aca="false">G8+G10+G24</f>
        <v>3847.54994597764</v>
      </c>
      <c r="H11" s="0" t="n">
        <f aca="false">H8+H10+H24</f>
        <v>3914.88207003224</v>
      </c>
      <c r="I11" s="0" t="n">
        <f aca="false">I8+I10+I24</f>
        <v>3973.60530108273</v>
      </c>
      <c r="J11" s="0" t="n">
        <f aca="false">J8+J10+J24</f>
        <v>4033.20938059897</v>
      </c>
      <c r="K11" s="0" t="n">
        <f aca="false">K8+K10+K24</f>
        <v>4093.70752130795</v>
      </c>
      <c r="L11" s="0" t="n">
        <f aca="false">L8+L10+L24</f>
        <v>4155.11313412757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-1318.633968</v>
      </c>
      <c r="D12" s="4" t="n">
        <f aca="false">-D6*Assumptions!D17/100</f>
        <v>-1360.1190816</v>
      </c>
      <c r="E12" s="4" t="n">
        <f aca="false">-E6*Assumptions!E17/100</f>
        <v>-1402.7361461568</v>
      </c>
      <c r="F12" s="4" t="n">
        <f aca="false">-F6*Assumptions!F17/100</f>
        <v>-1446.51384566323</v>
      </c>
      <c r="G12" s="4" t="n">
        <f aca="false">-G6*Assumptions!G17/100</f>
        <v>-1479.82690229909</v>
      </c>
      <c r="H12" s="4" t="n">
        <f aca="false">-H6*Assumptions!H17/100</f>
        <v>-1505.72387308933</v>
      </c>
      <c r="I12" s="4" t="n">
        <f aca="false">-I6*Assumptions!I17/100</f>
        <v>-1528.30973118566</v>
      </c>
      <c r="J12" s="4" t="n">
        <f aca="false">-J6*Assumptions!J17/100</f>
        <v>-1551.23437715345</v>
      </c>
      <c r="K12" s="4" t="n">
        <f aca="false">-K6*Assumptions!K17/100</f>
        <v>-1574.50289281075</v>
      </c>
      <c r="L12" s="4" t="n">
        <f aca="false">-L6*Assumptions!L17/100</f>
        <v>-1598.12043620291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2540.963208</v>
      </c>
      <c r="D13" s="0" t="n">
        <f aca="false">D11+D12</f>
        <v>2448.21434688</v>
      </c>
      <c r="E13" s="0" t="n">
        <f aca="false">E11+E12</f>
        <v>2396.9831948064</v>
      </c>
      <c r="F13" s="0" t="n">
        <f aca="false">F11+F12</f>
        <v>2334.86202261946</v>
      </c>
      <c r="G13" s="0" t="n">
        <f aca="false">G11+G12</f>
        <v>2367.72304367855</v>
      </c>
      <c r="H13" s="0" t="n">
        <f aca="false">H11+H12</f>
        <v>2409.15819694292</v>
      </c>
      <c r="I13" s="0" t="n">
        <f aca="false">I11+I12</f>
        <v>2445.29556989706</v>
      </c>
      <c r="J13" s="0" t="n">
        <f aca="false">J11+J12</f>
        <v>2481.97500344552</v>
      </c>
      <c r="K13" s="0" t="n">
        <f aca="false">K11+K12</f>
        <v>2519.2046284972</v>
      </c>
      <c r="L13" s="0" t="n">
        <f aca="false">L11+L12</f>
        <v>2556.99269792466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26</v>
      </c>
      <c r="D14" s="4" t="n">
        <f aca="false">Assumptions!D19</f>
        <v>26.5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1880.31277392</v>
      </c>
      <c r="D15" s="0" t="n">
        <f aca="false">D13-MAX(0,D13)*D14/100</f>
        <v>1799.4375449568</v>
      </c>
      <c r="E15" s="0" t="n">
        <f aca="false">E13-MAX(0,E13)*E14/100</f>
        <v>1749.79773220867</v>
      </c>
      <c r="F15" s="0" t="n">
        <f aca="false">F13-MAX(0,F13)*F14/100</f>
        <v>1704.4492765122</v>
      </c>
      <c r="G15" s="0" t="n">
        <f aca="false">G13-MAX(0,G13)*G14/100</f>
        <v>1728.43782188534</v>
      </c>
      <c r="H15" s="0" t="n">
        <f aca="false">H13-MAX(0,H13)*H14/100</f>
        <v>1758.68548376833</v>
      </c>
      <c r="I15" s="0" t="n">
        <f aca="false">I13-MAX(0,I13)*I14/100</f>
        <v>1785.06576602486</v>
      </c>
      <c r="J15" s="0" t="n">
        <f aca="false">J13-MAX(0,J13)*J14/100</f>
        <v>1811.84175251523</v>
      </c>
      <c r="K15" s="0" t="n">
        <f aca="false">K13-MAX(0,K13)*K14/100</f>
        <v>1839.01937880296</v>
      </c>
      <c r="L15" s="0" t="n">
        <f aca="false">L13-MAX(0,L13)*L14/100</f>
        <v>1866.604669485</v>
      </c>
    </row>
    <row r="16" customFormat="false" ht="15" hidden="false" customHeight="false" outlineLevel="0" collapsed="false">
      <c r="A16" s="0" t="s">
        <v>119</v>
      </c>
      <c r="C16" s="0" t="n">
        <f aca="false">-C12</f>
        <v>1318.633968</v>
      </c>
      <c r="D16" s="0" t="n">
        <f aca="false">-D12</f>
        <v>1360.1190816</v>
      </c>
      <c r="E16" s="0" t="n">
        <f aca="false">-E12</f>
        <v>1402.7361461568</v>
      </c>
      <c r="F16" s="0" t="n">
        <f aca="false">-F12</f>
        <v>1446.51384566323</v>
      </c>
      <c r="G16" s="0" t="n">
        <f aca="false">-G12</f>
        <v>1479.82690229909</v>
      </c>
      <c r="H16" s="0" t="n">
        <f aca="false">-H12</f>
        <v>1505.72387308933</v>
      </c>
      <c r="I16" s="0" t="n">
        <f aca="false">-I12</f>
        <v>1528.30973118566</v>
      </c>
      <c r="J16" s="0" t="n">
        <f aca="false">-J12</f>
        <v>1551.23437715345</v>
      </c>
      <c r="K16" s="0" t="n">
        <f aca="false">-K12</f>
        <v>1574.50289281075</v>
      </c>
      <c r="L16" s="0" t="n">
        <f aca="false">-L12</f>
        <v>1598.12043620291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-1666.8126</v>
      </c>
      <c r="D17" s="4" t="n">
        <f aca="false">-D6*Assumptions!D18/100</f>
        <v>-1737.9299376</v>
      </c>
      <c r="E17" s="4" t="n">
        <f aca="false">-E6*Assumptions!E18/100</f>
        <v>-1772.688536352</v>
      </c>
      <c r="F17" s="4" t="n">
        <f aca="false">-F6*Assumptions!F18/100</f>
        <v>-1808.14230707904</v>
      </c>
      <c r="G17" s="4" t="n">
        <f aca="false">-G6*Assumptions!G18/100</f>
        <v>-1839.78479745292</v>
      </c>
      <c r="H17" s="4" t="n">
        <f aca="false">-H6*Assumptions!H18/100</f>
        <v>-1871.98103140835</v>
      </c>
      <c r="I17" s="4" t="n">
        <f aca="false">-I6*Assumptions!I18/100</f>
        <v>-1900.06074687947</v>
      </c>
      <c r="J17" s="4" t="n">
        <f aca="false">-J6*Assumptions!J18/100</f>
        <v>-1928.56165808267</v>
      </c>
      <c r="K17" s="4" t="n">
        <f aca="false">-K6*Assumptions!K18/100</f>
        <v>-1957.49008295391</v>
      </c>
      <c r="L17" s="4" t="n">
        <f aca="false">-L6*Assumptions!L18/100</f>
        <v>-1986.85243419821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7.37119999999995</v>
      </c>
      <c r="D18" s="4" t="n">
        <f aca="false">(D6-C6)*Assumptions!$B$23/100</f>
        <v>29.632224</v>
      </c>
      <c r="E18" s="4" t="n">
        <f aca="false">(E6-D6)*Assumptions!$B$23/100</f>
        <v>30.22486848</v>
      </c>
      <c r="F18" s="4" t="n">
        <f aca="false">(F6-E6)*Assumptions!$B$23/100</f>
        <v>30.8293658496</v>
      </c>
      <c r="G18" s="4" t="n">
        <f aca="false">(G6-F6)*Assumptions!$B$23/100</f>
        <v>27.5152090207682</v>
      </c>
      <c r="H18" s="4" t="n">
        <f aca="false">(H6-G6)*Assumptions!$B$23/100</f>
        <v>27.9967251786316</v>
      </c>
      <c r="I18" s="4" t="n">
        <f aca="false">(I6-H6)*Assumptions!$B$23/100</f>
        <v>24.4171438879348</v>
      </c>
      <c r="J18" s="4" t="n">
        <f aca="false">(J6-I6)*Assumptions!$B$23/100</f>
        <v>24.7834010462539</v>
      </c>
      <c r="K18" s="4" t="n">
        <f aca="false">(K6-J6)*Assumptions!$B$23/100</f>
        <v>25.1551520619477</v>
      </c>
      <c r="L18" s="4" t="n">
        <f aca="false">(L6-K6)*Assumptions!$B$23/100</f>
        <v>25.5324793428768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1539.50534192</v>
      </c>
      <c r="D19" s="0" t="n">
        <f aca="false">D15+D16+D17+D18</f>
        <v>1451.2589129568</v>
      </c>
      <c r="E19" s="0" t="n">
        <f aca="false">E15+E16+E17+E18</f>
        <v>1410.07021049347</v>
      </c>
      <c r="F19" s="0" t="n">
        <f aca="false">F15+F16+F17+F18</f>
        <v>1373.650180946</v>
      </c>
      <c r="G19" s="0" t="n">
        <f aca="false">G15+G16+G17+G18</f>
        <v>1395.99513575227</v>
      </c>
      <c r="H19" s="0" t="n">
        <f aca="false">H15+H16+H17+H18</f>
        <v>1420.42505062794</v>
      </c>
      <c r="I19" s="0" t="n">
        <f aca="false">I15+I16+I17+I18</f>
        <v>1437.73189421898</v>
      </c>
      <c r="J19" s="0" t="n">
        <f aca="false">J15+J16+J17+J18</f>
        <v>1459.29787263227</v>
      </c>
      <c r="K19" s="0" t="n">
        <f aca="false">K15+K16+K17+K18</f>
        <v>1481.18734072175</v>
      </c>
      <c r="L19" s="0" t="n">
        <f aca="false">L15+L16+L17+L18</f>
        <v>1503.40515083258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1432.09799248372</v>
      </c>
      <c r="D21" s="0" t="n">
        <f aca="false">D19*D20</f>
        <v>1255.82166616056</v>
      </c>
      <c r="E21" s="0" t="n">
        <f aca="false">E19*E20</f>
        <v>1135.05091968735</v>
      </c>
      <c r="F21" s="0" t="n">
        <f aca="false">F19*F20</f>
        <v>1028.58998321977</v>
      </c>
      <c r="G21" s="0" t="n">
        <f aca="false">G19*G20</f>
        <v>972.392462527018</v>
      </c>
      <c r="H21" s="0" t="n">
        <f aca="false">H19*H20</f>
        <v>920.380772670922</v>
      </c>
      <c r="I21" s="0" t="n">
        <f aca="false">I19*I20</f>
        <v>866.599945417687</v>
      </c>
      <c r="J21" s="0" t="n">
        <f aca="false">J19*J20</f>
        <v>818.231576371119</v>
      </c>
      <c r="K21" s="0" t="n">
        <f aca="false">K19*K20</f>
        <v>772.562837224824</v>
      </c>
      <c r="L21" s="0" t="n">
        <f aca="false">L19*L20</f>
        <v>729.443050961113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1.45</v>
      </c>
      <c r="D23" s="4" t="n">
        <f aca="false">Assumptions!D16</f>
        <v>1.47</v>
      </c>
      <c r="E23" s="4" t="n">
        <f aca="false">Assumptions!E16</f>
        <v>1.48</v>
      </c>
      <c r="F23" s="4" t="n">
        <f aca="false">Assumptions!F16</f>
        <v>1.5</v>
      </c>
      <c r="G23" s="4" t="n">
        <f aca="false">Assumptions!G16</f>
        <v>1.5</v>
      </c>
      <c r="H23" s="4" t="n">
        <f aca="false">Assumptions!H16</f>
        <v>1.5</v>
      </c>
      <c r="I23" s="4" t="n">
        <f aca="false">Assumptions!I16</f>
        <v>1.5</v>
      </c>
      <c r="J23" s="4" t="n">
        <f aca="false">Assumptions!J16</f>
        <v>1.5</v>
      </c>
      <c r="K23" s="4" t="n">
        <f aca="false">Assumptions!K16</f>
        <v>1.5</v>
      </c>
      <c r="L23" s="4" t="n">
        <f aca="false">Assumptions!L16</f>
        <v>1.5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-1074.16812</v>
      </c>
      <c r="D24" s="0" t="n">
        <f aca="false">-D6*D23/100</f>
        <v>-1110.76391664</v>
      </c>
      <c r="E24" s="0" t="n">
        <f aca="false">-E6*E23/100</f>
        <v>-1140.6865364352</v>
      </c>
      <c r="F24" s="0" t="n">
        <f aca="false">-F6*F23/100</f>
        <v>-1179.2232437472</v>
      </c>
      <c r="G24" s="0" t="n">
        <f aca="false">-G6*G23/100</f>
        <v>-1199.85965051278</v>
      </c>
      <c r="H24" s="0" t="n">
        <f aca="false">-H6*H23/100</f>
        <v>-1220.85719439675</v>
      </c>
      <c r="I24" s="0" t="n">
        <f aca="false">-I6*I23/100</f>
        <v>-1239.1700523127</v>
      </c>
      <c r="J24" s="0" t="n">
        <f aca="false">-J6*J23/100</f>
        <v>-1257.75760309739</v>
      </c>
      <c r="K24" s="0" t="n">
        <f aca="false">-K6*K23/100</f>
        <v>-1276.62396714385</v>
      </c>
      <c r="L24" s="0" t="n">
        <f aca="false">-L6*L23/100</f>
        <v>-1295.77332665101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9931.17120672409</v>
      </c>
    </row>
    <row r="31" customFormat="false" ht="15" hidden="false" customHeight="false" outlineLevel="0" collapsed="false">
      <c r="A31" s="0" t="s">
        <v>128</v>
      </c>
      <c r="B31" s="0" t="n">
        <f aca="false">L19</f>
        <v>1503.40515083258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25432.6038015844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22551.0772624886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22551.0772624886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10941.6457644167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20872.8169711408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18193.8169711408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282.16217387005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-0.439932167784737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1038.87553921792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1347.16728280897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319.166560067737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11303.3794673708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114.484641763561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1.5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2.75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2.25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73712</v>
      </c>
      <c r="C6" s="0" t="n">
        <f aca="false">B6*(1+C5/100)</f>
        <v>74817.68</v>
      </c>
      <c r="D6" s="0" t="n">
        <f aca="false">C6*(1+D5/100)</f>
        <v>77062.2104</v>
      </c>
      <c r="E6" s="0" t="n">
        <f aca="false">D6*(1+E5/100)</f>
        <v>79374.076712</v>
      </c>
      <c r="F6" s="0" t="n">
        <f aca="false">E6*(1+F5/100)</f>
        <v>81556.86382158</v>
      </c>
      <c r="G6" s="0" t="n">
        <f aca="false">F6*(1+G5/100)</f>
        <v>83595.7854171195</v>
      </c>
      <c r="H6" s="0" t="n">
        <f aca="false">G6*(1+H5/100)</f>
        <v>85685.6800525475</v>
      </c>
      <c r="I6" s="0" t="n">
        <f aca="false">H6*(1+I5/100)</f>
        <v>87827.8220538612</v>
      </c>
      <c r="J6" s="0" t="n">
        <f aca="false">I6*(1+J5/100)</f>
        <v>89803.948050073</v>
      </c>
      <c r="K6" s="0" t="n">
        <f aca="false">J6*(1+K5/100)</f>
        <v>91600.0270110745</v>
      </c>
      <c r="L6" s="0" t="n">
        <f aca="false">K6*(1+L5/100)</f>
        <v>93432.027551296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7</v>
      </c>
      <c r="D7" s="4" t="n">
        <f aca="false">Assumptions!D28</f>
        <v>7</v>
      </c>
      <c r="E7" s="4" t="n">
        <f aca="false">Assumptions!E28</f>
        <v>7.05</v>
      </c>
      <c r="F7" s="4" t="n">
        <f aca="false">Assumptions!F28</f>
        <v>7.1</v>
      </c>
      <c r="G7" s="4" t="n">
        <f aca="false">Assumptions!G28</f>
        <v>7.1</v>
      </c>
      <c r="H7" s="4" t="n">
        <f aca="false">Assumptions!H28</f>
        <v>7.1</v>
      </c>
      <c r="I7" s="4" t="n">
        <f aca="false">Assumptions!I28</f>
        <v>7.1</v>
      </c>
      <c r="J7" s="4" t="n">
        <f aca="false">Assumptions!J28</f>
        <v>7.1</v>
      </c>
      <c r="K7" s="4" t="n">
        <f aca="false">Assumptions!K28</f>
        <v>7.1</v>
      </c>
      <c r="L7" s="4" t="n">
        <f aca="false">Assumptions!L28</f>
        <v>7.1</v>
      </c>
    </row>
    <row r="8" customFormat="false" ht="15" hidden="false" customHeight="false" outlineLevel="0" collapsed="false">
      <c r="A8" s="0" t="s">
        <v>44</v>
      </c>
      <c r="C8" s="0" t="n">
        <f aca="false">C6*C7/100</f>
        <v>5237.2376</v>
      </c>
      <c r="D8" s="0" t="n">
        <f aca="false">D6*D7/100</f>
        <v>5394.354728</v>
      </c>
      <c r="E8" s="0" t="n">
        <f aca="false">E6*E7/100</f>
        <v>5595.872408196</v>
      </c>
      <c r="F8" s="0" t="n">
        <f aca="false">F6*F7/100</f>
        <v>5790.53733133218</v>
      </c>
      <c r="G8" s="0" t="n">
        <f aca="false">G6*G7/100</f>
        <v>5935.30076461548</v>
      </c>
      <c r="H8" s="0" t="n">
        <f aca="false">H6*H7/100</f>
        <v>6083.68328373087</v>
      </c>
      <c r="I8" s="0" t="n">
        <f aca="false">I6*I7/100</f>
        <v>6235.77536582414</v>
      </c>
      <c r="J8" s="0" t="n">
        <f aca="false">J6*J7/100</f>
        <v>6376.08031155519</v>
      </c>
      <c r="K8" s="0" t="n">
        <f aca="false">K6*K7/100</f>
        <v>6503.60191778629</v>
      </c>
      <c r="L8" s="0" t="n">
        <f aca="false">L6*L7/100</f>
        <v>6633.67395614201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0.19</v>
      </c>
      <c r="D9" s="4" t="n">
        <f aca="false">Assumptions!D29</f>
        <v>0.19</v>
      </c>
      <c r="E9" s="4" t="n">
        <f aca="false">Assumptions!E29</f>
        <v>0.19</v>
      </c>
      <c r="F9" s="4" t="n">
        <f aca="false">Assumptions!F29</f>
        <v>0.19</v>
      </c>
      <c r="G9" s="4" t="n">
        <f aca="false">Assumptions!G29</f>
        <v>0.19</v>
      </c>
      <c r="H9" s="4" t="n">
        <f aca="false">Assumptions!H29</f>
        <v>0.19</v>
      </c>
      <c r="I9" s="4" t="n">
        <f aca="false">Assumptions!I29</f>
        <v>0.19</v>
      </c>
      <c r="J9" s="4" t="n">
        <f aca="false">Assumptions!J29</f>
        <v>0.19</v>
      </c>
      <c r="K9" s="4" t="n">
        <f aca="false">Assumptions!K29</f>
        <v>0.19</v>
      </c>
      <c r="L9" s="4" t="n">
        <f aca="false">Assumptions!L29</f>
        <v>0.19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-142.153592</v>
      </c>
      <c r="D10" s="0" t="n">
        <f aca="false">-D6*D9/100</f>
        <v>-146.41819976</v>
      </c>
      <c r="E10" s="0" t="n">
        <f aca="false">-E6*E9/100</f>
        <v>-150.8107457528</v>
      </c>
      <c r="F10" s="0" t="n">
        <f aca="false">-F6*F9/100</f>
        <v>-154.958041261002</v>
      </c>
      <c r="G10" s="0" t="n">
        <f aca="false">-G6*G9/100</f>
        <v>-158.831992292527</v>
      </c>
      <c r="H10" s="0" t="n">
        <f aca="false">-H6*H9/100</f>
        <v>-162.80279209984</v>
      </c>
      <c r="I10" s="0" t="n">
        <f aca="false">-I6*I9/100</f>
        <v>-166.872861902336</v>
      </c>
      <c r="J10" s="0" t="n">
        <f aca="false">-J6*J9/100</f>
        <v>-170.627501295139</v>
      </c>
      <c r="K10" s="0" t="n">
        <f aca="false">-K6*K9/100</f>
        <v>-174.040051321042</v>
      </c>
      <c r="L10" s="0" t="n">
        <f aca="false">-L6*L9/100</f>
        <v>-177.520852347462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4017.709416</v>
      </c>
      <c r="D11" s="0" t="n">
        <f aca="false">D8+D10+D24</f>
        <v>4138.24069848</v>
      </c>
      <c r="E11" s="0" t="n">
        <f aca="false">E8+E10+E24</f>
        <v>4310.0123654616</v>
      </c>
      <c r="F11" s="0" t="n">
        <f aca="false">F8+F10+F24</f>
        <v>4469.31613742258</v>
      </c>
      <c r="G11" s="0" t="n">
        <f aca="false">G8+G10+G24</f>
        <v>4589.40861939986</v>
      </c>
      <c r="H11" s="0" t="n">
        <f aca="false">H8+H10+H24</f>
        <v>4704.14383488486</v>
      </c>
      <c r="I11" s="0" t="n">
        <f aca="false">I8+I10+I24</f>
        <v>4821.74743075698</v>
      </c>
      <c r="J11" s="0" t="n">
        <f aca="false">J8+J10+J24</f>
        <v>4930.23674794901</v>
      </c>
      <c r="K11" s="0" t="n">
        <f aca="false">K8+K10+K24</f>
        <v>5028.84148290799</v>
      </c>
      <c r="L11" s="0" t="n">
        <f aca="false">L8+L10+L24</f>
        <v>5129.41831256615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-1331.754704</v>
      </c>
      <c r="D12" s="4" t="n">
        <f aca="false">-D6*Assumptions!D31/100</f>
        <v>-1371.70734512</v>
      </c>
      <c r="E12" s="4" t="n">
        <f aca="false">-E6*Assumptions!E31/100</f>
        <v>-1420.7959731448</v>
      </c>
      <c r="F12" s="4" t="n">
        <f aca="false">-F6*Assumptions!F31/100</f>
        <v>-1468.02354878844</v>
      </c>
      <c r="G12" s="4" t="n">
        <f aca="false">-G6*Assumptions!G31/100</f>
        <v>-1504.72413750815</v>
      </c>
      <c r="H12" s="4" t="n">
        <f aca="false">-H6*Assumptions!H31/100</f>
        <v>-1542.34224094585</v>
      </c>
      <c r="I12" s="4" t="n">
        <f aca="false">-I6*Assumptions!I31/100</f>
        <v>-1580.9007969695</v>
      </c>
      <c r="J12" s="4" t="n">
        <f aca="false">-J6*Assumptions!J31/100</f>
        <v>-1616.47106490131</v>
      </c>
      <c r="K12" s="4" t="n">
        <f aca="false">-K6*Assumptions!K31/100</f>
        <v>-1648.80048619934</v>
      </c>
      <c r="L12" s="4" t="n">
        <f aca="false">-L6*Assumptions!L31/100</f>
        <v>-1681.77649592333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2685.954712</v>
      </c>
      <c r="D13" s="0" t="n">
        <f aca="false">D11+D12</f>
        <v>2766.53335336</v>
      </c>
      <c r="E13" s="0" t="n">
        <f aca="false">E11+E12</f>
        <v>2889.2163923168</v>
      </c>
      <c r="F13" s="0" t="n">
        <f aca="false">F11+F12</f>
        <v>3001.29258863414</v>
      </c>
      <c r="G13" s="0" t="n">
        <f aca="false">G11+G12</f>
        <v>3084.68448189171</v>
      </c>
      <c r="H13" s="0" t="n">
        <f aca="false">H11+H12</f>
        <v>3161.801593939</v>
      </c>
      <c r="I13" s="0" t="n">
        <f aca="false">I11+I12</f>
        <v>3240.84663378748</v>
      </c>
      <c r="J13" s="0" t="n">
        <f aca="false">J11+J12</f>
        <v>3313.76568304769</v>
      </c>
      <c r="K13" s="0" t="n">
        <f aca="false">K11+K12</f>
        <v>3380.04099670865</v>
      </c>
      <c r="L13" s="0" t="n">
        <f aca="false">L11+L12</f>
        <v>3447.64181664282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25</v>
      </c>
      <c r="D14" s="4" t="n">
        <f aca="false">Assumptions!D33</f>
        <v>25.5</v>
      </c>
      <c r="E14" s="4" t="n">
        <f aca="false">Assumptions!E33</f>
        <v>26</v>
      </c>
      <c r="F14" s="4" t="n">
        <f aca="false">Assumptions!F33</f>
        <v>26.5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2014.466034</v>
      </c>
      <c r="D15" s="0" t="n">
        <f aca="false">D13-MAX(0,D13)*D14/100</f>
        <v>2061.0673482532</v>
      </c>
      <c r="E15" s="0" t="n">
        <f aca="false">E13-MAX(0,E13)*E14/100</f>
        <v>2138.02013031443</v>
      </c>
      <c r="F15" s="0" t="n">
        <f aca="false">F13-MAX(0,F13)*F14/100</f>
        <v>2205.9500526461</v>
      </c>
      <c r="G15" s="0" t="n">
        <f aca="false">G13-MAX(0,G13)*G14/100</f>
        <v>2251.81967178095</v>
      </c>
      <c r="H15" s="0" t="n">
        <f aca="false">H13-MAX(0,H13)*H14/100</f>
        <v>2308.11516357547</v>
      </c>
      <c r="I15" s="0" t="n">
        <f aca="false">I13-MAX(0,I13)*I14/100</f>
        <v>2365.81804266486</v>
      </c>
      <c r="J15" s="0" t="n">
        <f aca="false">J13-MAX(0,J13)*J14/100</f>
        <v>2419.04894862482</v>
      </c>
      <c r="K15" s="0" t="n">
        <f aca="false">K13-MAX(0,K13)*K14/100</f>
        <v>2467.42992759731</v>
      </c>
      <c r="L15" s="0" t="n">
        <f aca="false">L13-MAX(0,L13)*L14/100</f>
        <v>2516.77852614926</v>
      </c>
    </row>
    <row r="16" customFormat="false" ht="15" hidden="false" customHeight="false" outlineLevel="0" collapsed="false">
      <c r="A16" s="0" t="s">
        <v>119</v>
      </c>
      <c r="C16" s="0" t="n">
        <f aca="false">-C12</f>
        <v>1331.754704</v>
      </c>
      <c r="D16" s="0" t="n">
        <f aca="false">-D12</f>
        <v>1371.70734512</v>
      </c>
      <c r="E16" s="0" t="n">
        <f aca="false">-E12</f>
        <v>1420.7959731448</v>
      </c>
      <c r="F16" s="0" t="n">
        <f aca="false">-F12</f>
        <v>1468.02354878844</v>
      </c>
      <c r="G16" s="0" t="n">
        <f aca="false">-G12</f>
        <v>1504.72413750815</v>
      </c>
      <c r="H16" s="0" t="n">
        <f aca="false">-H12</f>
        <v>1542.34224094585</v>
      </c>
      <c r="I16" s="0" t="n">
        <f aca="false">-I12</f>
        <v>1580.9007969695</v>
      </c>
      <c r="J16" s="0" t="n">
        <f aca="false">-J12</f>
        <v>1616.47106490131</v>
      </c>
      <c r="K16" s="0" t="n">
        <f aca="false">-K12</f>
        <v>1648.80048619934</v>
      </c>
      <c r="L16" s="0" t="n">
        <f aca="false">-L12</f>
        <v>1681.77649592333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-1645.98896</v>
      </c>
      <c r="D17" s="4" t="n">
        <f aca="false">-D6*Assumptions!D32/100</f>
        <v>-1695.3686288</v>
      </c>
      <c r="E17" s="4" t="n">
        <f aca="false">-E6*Assumptions!E32/100</f>
        <v>-1746.229687664</v>
      </c>
      <c r="F17" s="4" t="n">
        <f aca="false">-F6*Assumptions!F32/100</f>
        <v>-1753.47257216397</v>
      </c>
      <c r="G17" s="4" t="n">
        <f aca="false">-G6*Assumptions!G32/100</f>
        <v>-1797.30938646807</v>
      </c>
      <c r="H17" s="4" t="n">
        <f aca="false">-H6*Assumptions!H32/100</f>
        <v>-1799.3992811035</v>
      </c>
      <c r="I17" s="4" t="n">
        <f aca="false">-I6*Assumptions!I32/100</f>
        <v>-1844.38426313108</v>
      </c>
      <c r="J17" s="4" t="n">
        <f aca="false">-J6*Assumptions!J32/100</f>
        <v>-1885.88290905153</v>
      </c>
      <c r="K17" s="4" t="n">
        <f aca="false">-K6*Assumptions!K32/100</f>
        <v>-1923.60056723256</v>
      </c>
      <c r="L17" s="4" t="n">
        <f aca="false">-L6*Assumptions!L32/100</f>
        <v>-1962.07257857722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44.2271999999997</v>
      </c>
      <c r="D18" s="4" t="n">
        <f aca="false">(D6-C6)*Assumptions!$B$37/100</f>
        <v>89.7812160000001</v>
      </c>
      <c r="E18" s="4" t="n">
        <f aca="false">(E6-D6)*Assumptions!$B$37/100</f>
        <v>92.4746524799999</v>
      </c>
      <c r="F18" s="4" t="n">
        <f aca="false">(F6-E6)*Assumptions!$B$37/100</f>
        <v>87.3114843832003</v>
      </c>
      <c r="G18" s="4" t="n">
        <f aca="false">(G6-F6)*Assumptions!$B$37/100</f>
        <v>81.5568638215796</v>
      </c>
      <c r="H18" s="4" t="n">
        <f aca="false">(H6-G6)*Assumptions!$B$37/100</f>
        <v>83.5957854171191</v>
      </c>
      <c r="I18" s="4" t="n">
        <f aca="false">(I6-H6)*Assumptions!$B$37/100</f>
        <v>85.6856800525473</v>
      </c>
      <c r="J18" s="4" t="n">
        <f aca="false">(J6-I6)*Assumptions!$B$37/100</f>
        <v>79.0450398484751</v>
      </c>
      <c r="K18" s="4" t="n">
        <f aca="false">(K6-J6)*Assumptions!$B$37/100</f>
        <v>71.8431584400585</v>
      </c>
      <c r="L18" s="4" t="n">
        <f aca="false">(L6-K6)*Assumptions!$B$37/100</f>
        <v>73.2800216088595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1744.458978</v>
      </c>
      <c r="D19" s="0" t="n">
        <f aca="false">D15+D16+D17+D18</f>
        <v>1827.1872805732</v>
      </c>
      <c r="E19" s="0" t="n">
        <f aca="false">E15+E16+E17+E18</f>
        <v>1905.06106827523</v>
      </c>
      <c r="F19" s="0" t="n">
        <f aca="false">F15+F16+F17+F18</f>
        <v>2007.81251365377</v>
      </c>
      <c r="G19" s="0" t="n">
        <f aca="false">G15+G16+G17+G18</f>
        <v>2040.79128664261</v>
      </c>
      <c r="H19" s="0" t="n">
        <f aca="false">H15+H16+H17+H18</f>
        <v>2134.65390883495</v>
      </c>
      <c r="I19" s="0" t="n">
        <f aca="false">I15+I16+I17+I18</f>
        <v>2188.02025655582</v>
      </c>
      <c r="J19" s="0" t="n">
        <f aca="false">J15+J16+J17+J18</f>
        <v>2228.68214432307</v>
      </c>
      <c r="K19" s="0" t="n">
        <f aca="false">K15+K16+K17+K18</f>
        <v>2264.47300500415</v>
      </c>
      <c r="L19" s="0" t="n">
        <f aca="false">L15+L16+L17+L18</f>
        <v>2309.76246510423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1622.75253767442</v>
      </c>
      <c r="D21" s="0" t="n">
        <f aca="false">D19*D20</f>
        <v>1581.12474251872</v>
      </c>
      <c r="E21" s="0" t="n">
        <f aca="false">E19*E20</f>
        <v>1533.4990424694</v>
      </c>
      <c r="F21" s="0" t="n">
        <f aca="false">F19*F20</f>
        <v>1503.45107391557</v>
      </c>
      <c r="G21" s="0" t="n">
        <f aca="false">G19*G20</f>
        <v>1421.53078753581</v>
      </c>
      <c r="H21" s="0" t="n">
        <f aca="false">H19*H20</f>
        <v>1383.17358816642</v>
      </c>
      <c r="I21" s="0" t="n">
        <f aca="false">I19*I20</f>
        <v>1318.83993290287</v>
      </c>
      <c r="J21" s="0" t="n">
        <f aca="false">J19*J20</f>
        <v>1249.62705584589</v>
      </c>
      <c r="K21" s="0" t="n">
        <f aca="false">K19*K20</f>
        <v>1181.11169429288</v>
      </c>
      <c r="L21" s="0" t="n">
        <f aca="false">L19*L20</f>
        <v>1120.6827238872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1.44</v>
      </c>
      <c r="D23" s="4" t="n">
        <f aca="false">Assumptions!D30</f>
        <v>1.44</v>
      </c>
      <c r="E23" s="4" t="n">
        <f aca="false">Assumptions!E30</f>
        <v>1.43</v>
      </c>
      <c r="F23" s="4" t="n">
        <f aca="false">Assumptions!F30</f>
        <v>1.43</v>
      </c>
      <c r="G23" s="4" t="n">
        <f aca="false">Assumptions!G30</f>
        <v>1.42</v>
      </c>
      <c r="H23" s="4" t="n">
        <f aca="false">Assumptions!H30</f>
        <v>1.42</v>
      </c>
      <c r="I23" s="4" t="n">
        <f aca="false">Assumptions!I30</f>
        <v>1.42</v>
      </c>
      <c r="J23" s="4" t="n">
        <f aca="false">Assumptions!J30</f>
        <v>1.42</v>
      </c>
      <c r="K23" s="4" t="n">
        <f aca="false">Assumptions!K30</f>
        <v>1.42</v>
      </c>
      <c r="L23" s="4" t="n">
        <f aca="false">Assumptions!L30</f>
        <v>1.42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-1077.374592</v>
      </c>
      <c r="D24" s="0" t="n">
        <f aca="false">-D6*D23/100</f>
        <v>-1109.69582976</v>
      </c>
      <c r="E24" s="0" t="n">
        <f aca="false">-E6*E23/100</f>
        <v>-1135.0492969816</v>
      </c>
      <c r="F24" s="0" t="n">
        <f aca="false">-F6*F23/100</f>
        <v>-1166.26315264859</v>
      </c>
      <c r="G24" s="0" t="n">
        <f aca="false">-G6*G23/100</f>
        <v>-1187.0601529231</v>
      </c>
      <c r="H24" s="0" t="n">
        <f aca="false">-H6*H23/100</f>
        <v>-1216.73665674617</v>
      </c>
      <c r="I24" s="0" t="n">
        <f aca="false">-I6*I23/100</f>
        <v>-1247.15507316483</v>
      </c>
      <c r="J24" s="0" t="n">
        <f aca="false">-J6*J23/100</f>
        <v>-1275.21606231104</v>
      </c>
      <c r="K24" s="0" t="n">
        <f aca="false">-K6*K23/100</f>
        <v>-1300.72038355726</v>
      </c>
      <c r="L24" s="0" t="n">
        <f aca="false">-L6*L23/100</f>
        <v>-1326.7347912284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13915.7931792092</v>
      </c>
    </row>
    <row r="31" customFormat="false" ht="15" hidden="false" customHeight="false" outlineLevel="0" collapsed="false">
      <c r="A31" s="0" t="s">
        <v>128</v>
      </c>
      <c r="B31" s="0" t="n">
        <f aca="false">L19</f>
        <v>2309.76246510423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42835.5948073876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41575.7243718762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41575.7243718762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20172.2890299695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34088.0822091787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31409.0822091787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487.113557834658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-0.0331211634881748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1085.65456018778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1597.35782727286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528.723551436715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18122.7516492794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183.049785061715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2.5</v>
      </c>
      <c r="D5" s="4" t="n">
        <f aca="false">Assumptions!D41</f>
        <v>3.75</v>
      </c>
      <c r="E5" s="4" t="n">
        <f aca="false">Assumptions!E41</f>
        <v>3.75</v>
      </c>
      <c r="F5" s="4" t="n">
        <f aca="false">Assumptions!F41</f>
        <v>3.5</v>
      </c>
      <c r="G5" s="4" t="n">
        <f aca="false">Assumptions!G41</f>
        <v>3.25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2.75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73712</v>
      </c>
      <c r="C6" s="0" t="n">
        <f aca="false">B6*(1+C5/100)</f>
        <v>75554.8</v>
      </c>
      <c r="D6" s="0" t="n">
        <f aca="false">C6*(1+D5/100)</f>
        <v>78388.105</v>
      </c>
      <c r="E6" s="0" t="n">
        <f aca="false">D6*(1+E5/100)</f>
        <v>81327.6589375</v>
      </c>
      <c r="F6" s="0" t="n">
        <f aca="false">E6*(1+F5/100)</f>
        <v>84174.1270003125</v>
      </c>
      <c r="G6" s="0" t="n">
        <f aca="false">F6*(1+G5/100)</f>
        <v>86909.7861278227</v>
      </c>
      <c r="H6" s="0" t="n">
        <f aca="false">G6*(1+H5/100)</f>
        <v>89517.0797116573</v>
      </c>
      <c r="I6" s="0" t="n">
        <f aca="false">H6*(1+I5/100)</f>
        <v>92202.5921030071</v>
      </c>
      <c r="J6" s="0" t="n">
        <f aca="false">I6*(1+J5/100)</f>
        <v>94738.1633858397</v>
      </c>
      <c r="K6" s="0" t="n">
        <f aca="false">J6*(1+K5/100)</f>
        <v>97106.6174704857</v>
      </c>
      <c r="L6" s="0" t="n">
        <f aca="false">K6*(1+L5/100)</f>
        <v>99534.2829072479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7.1</v>
      </c>
      <c r="D7" s="4" t="n">
        <f aca="false">Assumptions!D42</f>
        <v>7.2</v>
      </c>
      <c r="E7" s="4" t="n">
        <f aca="false">Assumptions!E42</f>
        <v>7.3</v>
      </c>
      <c r="F7" s="4" t="n">
        <f aca="false">Assumptions!F42</f>
        <v>7.4</v>
      </c>
      <c r="G7" s="4" t="n">
        <f aca="false">Assumptions!G42</f>
        <v>7.5</v>
      </c>
      <c r="H7" s="4" t="n">
        <f aca="false">Assumptions!H42</f>
        <v>7.5</v>
      </c>
      <c r="I7" s="4" t="n">
        <f aca="false">Assumptions!I42</f>
        <v>7.5</v>
      </c>
      <c r="J7" s="4" t="n">
        <f aca="false">Assumptions!J42</f>
        <v>7.5</v>
      </c>
      <c r="K7" s="4" t="n">
        <f aca="false">Assumptions!K42</f>
        <v>7.5</v>
      </c>
      <c r="L7" s="4" t="n">
        <f aca="false">Assumptions!L42</f>
        <v>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5364.3908</v>
      </c>
      <c r="D8" s="0" t="n">
        <f aca="false">D6*D7/100</f>
        <v>5643.94356</v>
      </c>
      <c r="E8" s="0" t="n">
        <f aca="false">E6*E7/100</f>
        <v>5936.9191024375</v>
      </c>
      <c r="F8" s="0" t="n">
        <f aca="false">F6*F7/100</f>
        <v>6228.88539802313</v>
      </c>
      <c r="G8" s="0" t="n">
        <f aca="false">G6*G7/100</f>
        <v>6518.2339595867</v>
      </c>
      <c r="H8" s="0" t="n">
        <f aca="false">H6*H7/100</f>
        <v>6713.7809783743</v>
      </c>
      <c r="I8" s="0" t="n">
        <f aca="false">I6*I7/100</f>
        <v>6915.19440772553</v>
      </c>
      <c r="J8" s="0" t="n">
        <f aca="false">J6*J7/100</f>
        <v>7105.36225393798</v>
      </c>
      <c r="K8" s="0" t="n">
        <f aca="false">K6*K7/100</f>
        <v>7282.99631028643</v>
      </c>
      <c r="L8" s="0" t="n">
        <f aca="false">L6*L7/100</f>
        <v>7465.07121804359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0.19</v>
      </c>
      <c r="D9" s="4" t="n">
        <f aca="false">Assumptions!D43</f>
        <v>0.19</v>
      </c>
      <c r="E9" s="4" t="n">
        <f aca="false">Assumptions!E43</f>
        <v>0.19</v>
      </c>
      <c r="F9" s="4" t="n">
        <f aca="false">Assumptions!F43</f>
        <v>0.19</v>
      </c>
      <c r="G9" s="4" t="n">
        <f aca="false">Assumptions!G43</f>
        <v>0.19</v>
      </c>
      <c r="H9" s="4" t="n">
        <f aca="false">Assumptions!H43</f>
        <v>0.19</v>
      </c>
      <c r="I9" s="4" t="n">
        <f aca="false">Assumptions!I43</f>
        <v>0.19</v>
      </c>
      <c r="J9" s="4" t="n">
        <f aca="false">Assumptions!J43</f>
        <v>0.19</v>
      </c>
      <c r="K9" s="4" t="n">
        <f aca="false">Assumptions!K43</f>
        <v>0.19</v>
      </c>
      <c r="L9" s="4" t="n">
        <f aca="false">Assumptions!L43</f>
        <v>0.19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-143.55412</v>
      </c>
      <c r="D10" s="0" t="n">
        <f aca="false">-D6*D9/100</f>
        <v>-148.9373995</v>
      </c>
      <c r="E10" s="0" t="n">
        <f aca="false">-E6*E9/100</f>
        <v>-154.52255198125</v>
      </c>
      <c r="F10" s="0" t="n">
        <f aca="false">-F6*F9/100</f>
        <v>-159.930841300594</v>
      </c>
      <c r="G10" s="0" t="n">
        <f aca="false">-G6*G9/100</f>
        <v>-165.128593642863</v>
      </c>
      <c r="H10" s="0" t="n">
        <f aca="false">-H6*H9/100</f>
        <v>-170.082451452149</v>
      </c>
      <c r="I10" s="0" t="n">
        <f aca="false">-I6*I9/100</f>
        <v>-175.184924995713</v>
      </c>
      <c r="J10" s="0" t="n">
        <f aca="false">-J6*J9/100</f>
        <v>-180.002510433096</v>
      </c>
      <c r="K10" s="0" t="n">
        <f aca="false">-K6*K9/100</f>
        <v>-184.502573193923</v>
      </c>
      <c r="L10" s="0" t="n">
        <f aca="false">-L6*L9/100</f>
        <v>-189.115137523771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4132.84756</v>
      </c>
      <c r="D11" s="0" t="n">
        <f aca="false">D8+D10+D24</f>
        <v>4381.8950695</v>
      </c>
      <c r="E11" s="0" t="n">
        <f aca="false">E8+E10+E24</f>
        <v>4643.80932533125</v>
      </c>
      <c r="F11" s="0" t="n">
        <f aca="false">F8+F10+F24</f>
        <v>4890.51677871816</v>
      </c>
      <c r="G11" s="0" t="n">
        <f aca="false">G8+G10+G24</f>
        <v>5153.75031737988</v>
      </c>
      <c r="H11" s="0" t="n">
        <f aca="false">H8+H10+H24</f>
        <v>5308.36282690128</v>
      </c>
      <c r="I11" s="0" t="n">
        <f aca="false">I8+I10+I24</f>
        <v>5467.61371170832</v>
      </c>
      <c r="J11" s="0" t="n">
        <f aca="false">J8+J10+J24</f>
        <v>5617.9730887803</v>
      </c>
      <c r="K11" s="0" t="n">
        <f aca="false">K8+K10+K24</f>
        <v>5758.42241599981</v>
      </c>
      <c r="L11" s="0" t="n">
        <f aca="false">L8+L10+L24</f>
        <v>5902.3829763998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-1344.87544</v>
      </c>
      <c r="D12" s="4" t="n">
        <f aca="false">-D6*Assumptions!D45/100</f>
        <v>-1395.308269</v>
      </c>
      <c r="E12" s="4" t="n">
        <f aca="false">-E6*Assumptions!E45/100</f>
        <v>-1447.6323290875</v>
      </c>
      <c r="F12" s="4" t="n">
        <f aca="false">-F6*Assumptions!F45/100</f>
        <v>-1498.29946060556</v>
      </c>
      <c r="G12" s="4" t="n">
        <f aca="false">-G6*Assumptions!G45/100</f>
        <v>-1546.99419307524</v>
      </c>
      <c r="H12" s="4" t="n">
        <f aca="false">-H6*Assumptions!H45/100</f>
        <v>-1593.4040188675</v>
      </c>
      <c r="I12" s="4" t="n">
        <f aca="false">-I6*Assumptions!I45/100</f>
        <v>-1641.20613943353</v>
      </c>
      <c r="J12" s="4" t="n">
        <f aca="false">-J6*Assumptions!J45/100</f>
        <v>-1686.33930826795</v>
      </c>
      <c r="K12" s="4" t="n">
        <f aca="false">-K6*Assumptions!K45/100</f>
        <v>-1728.49779097465</v>
      </c>
      <c r="L12" s="4" t="n">
        <f aca="false">-L6*Assumptions!L45/100</f>
        <v>-1771.71023574901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2787.97212</v>
      </c>
      <c r="D13" s="0" t="n">
        <f aca="false">D11+D12</f>
        <v>2986.5868005</v>
      </c>
      <c r="E13" s="0" t="n">
        <f aca="false">E11+E12</f>
        <v>3196.17699624375</v>
      </c>
      <c r="F13" s="0" t="n">
        <f aca="false">F11+F12</f>
        <v>3392.21731811259</v>
      </c>
      <c r="G13" s="0" t="n">
        <f aca="false">G11+G12</f>
        <v>3606.75612430464</v>
      </c>
      <c r="H13" s="0" t="n">
        <f aca="false">H11+H12</f>
        <v>3714.95880803378</v>
      </c>
      <c r="I13" s="0" t="n">
        <f aca="false">I11+I12</f>
        <v>3826.40757227479</v>
      </c>
      <c r="J13" s="0" t="n">
        <f aca="false">J11+J12</f>
        <v>3931.63378051235</v>
      </c>
      <c r="K13" s="0" t="n">
        <f aca="false">K11+K12</f>
        <v>4029.92462502516</v>
      </c>
      <c r="L13" s="0" t="n">
        <f aca="false">L11+L12</f>
        <v>4130.67274065079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25</v>
      </c>
      <c r="D14" s="4" t="n">
        <f aca="false">Assumptions!D47</f>
        <v>25.5</v>
      </c>
      <c r="E14" s="4" t="n">
        <f aca="false">Assumptions!E47</f>
        <v>26</v>
      </c>
      <c r="F14" s="4" t="n">
        <f aca="false">Assumptions!F47</f>
        <v>26.5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2090.97909</v>
      </c>
      <c r="D15" s="0" t="n">
        <f aca="false">D13-MAX(0,D13)*D14/100</f>
        <v>2225.0071663725</v>
      </c>
      <c r="E15" s="0" t="n">
        <f aca="false">E13-MAX(0,E13)*E14/100</f>
        <v>2365.17097722037</v>
      </c>
      <c r="F15" s="0" t="n">
        <f aca="false">F13-MAX(0,F13)*F14/100</f>
        <v>2493.27972881276</v>
      </c>
      <c r="G15" s="0" t="n">
        <f aca="false">G13-MAX(0,G13)*G14/100</f>
        <v>2632.93197074239</v>
      </c>
      <c r="H15" s="0" t="n">
        <f aca="false">H13-MAX(0,H13)*H14/100</f>
        <v>2711.91992986466</v>
      </c>
      <c r="I15" s="0" t="n">
        <f aca="false">I13-MAX(0,I13)*I14/100</f>
        <v>2793.2775277606</v>
      </c>
      <c r="J15" s="0" t="n">
        <f aca="false">J13-MAX(0,J13)*J14/100</f>
        <v>2870.09265977402</v>
      </c>
      <c r="K15" s="0" t="n">
        <f aca="false">K13-MAX(0,K13)*K14/100</f>
        <v>2941.84497626837</v>
      </c>
      <c r="L15" s="0" t="n">
        <f aca="false">L13-MAX(0,L13)*L14/100</f>
        <v>3015.39110067507</v>
      </c>
    </row>
    <row r="16" customFormat="false" ht="15" hidden="false" customHeight="false" outlineLevel="0" collapsed="false">
      <c r="A16" s="0" t="s">
        <v>119</v>
      </c>
      <c r="C16" s="0" t="n">
        <f aca="false">-C12</f>
        <v>1344.87544</v>
      </c>
      <c r="D16" s="0" t="n">
        <f aca="false">-D12</f>
        <v>1395.308269</v>
      </c>
      <c r="E16" s="0" t="n">
        <f aca="false">-E12</f>
        <v>1447.6323290875</v>
      </c>
      <c r="F16" s="0" t="n">
        <f aca="false">-F12</f>
        <v>1498.29946060556</v>
      </c>
      <c r="G16" s="0" t="n">
        <f aca="false">-G12</f>
        <v>1546.99419307524</v>
      </c>
      <c r="H16" s="0" t="n">
        <f aca="false">-H12</f>
        <v>1593.4040188675</v>
      </c>
      <c r="I16" s="0" t="n">
        <f aca="false">-I12</f>
        <v>1641.20613943353</v>
      </c>
      <c r="J16" s="0" t="n">
        <f aca="false">-J12</f>
        <v>1686.33930826795</v>
      </c>
      <c r="K16" s="0" t="n">
        <f aca="false">-K12</f>
        <v>1728.49779097465</v>
      </c>
      <c r="L16" s="0" t="n">
        <f aca="false">-L12</f>
        <v>1771.71023574901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-1624.4282</v>
      </c>
      <c r="D17" s="4" t="n">
        <f aca="false">-D6*Assumptions!D46/100</f>
        <v>-1685.3442575</v>
      </c>
      <c r="E17" s="4" t="n">
        <f aca="false">-E6*Assumptions!E46/100</f>
        <v>-1707.8808376875</v>
      </c>
      <c r="F17" s="4" t="n">
        <f aca="false">-F6*Assumptions!F46/100</f>
        <v>-1767.65666700656</v>
      </c>
      <c r="G17" s="4" t="n">
        <f aca="false">-G6*Assumptions!G46/100</f>
        <v>-1781.65061562036</v>
      </c>
      <c r="H17" s="4" t="n">
        <f aca="false">-H6*Assumptions!H46/100</f>
        <v>-1835.10013408898</v>
      </c>
      <c r="I17" s="4" t="n">
        <f aca="false">-I6*Assumptions!I46/100</f>
        <v>-1890.15313811164</v>
      </c>
      <c r="J17" s="4" t="n">
        <f aca="false">-J6*Assumptions!J46/100</f>
        <v>-1942.13234940971</v>
      </c>
      <c r="K17" s="4" t="n">
        <f aca="false">-K6*Assumptions!K46/100</f>
        <v>-1990.68565814496</v>
      </c>
      <c r="L17" s="4" t="n">
        <f aca="false">-L6*Assumptions!L46/100</f>
        <v>-2040.45279959858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110.567999999999</v>
      </c>
      <c r="D18" s="4" t="n">
        <f aca="false">(D6-C6)*Assumptions!$B$51/100</f>
        <v>169.9983</v>
      </c>
      <c r="E18" s="4" t="n">
        <f aca="false">(E6-D6)*Assumptions!$B$51/100</f>
        <v>176.37323625</v>
      </c>
      <c r="F18" s="4" t="n">
        <f aca="false">(F6-E6)*Assumptions!$B$51/100</f>
        <v>170.78808376875</v>
      </c>
      <c r="G18" s="4" t="n">
        <f aca="false">(G6-F6)*Assumptions!$B$51/100</f>
        <v>164.139547650609</v>
      </c>
      <c r="H18" s="4" t="n">
        <f aca="false">(H6-G6)*Assumptions!$B$51/100</f>
        <v>156.43761503008</v>
      </c>
      <c r="I18" s="4" t="n">
        <f aca="false">(I6-H6)*Assumptions!$B$51/100</f>
        <v>161.130743480983</v>
      </c>
      <c r="J18" s="4" t="n">
        <f aca="false">(J6-I6)*Assumptions!$B$51/100</f>
        <v>152.134276969962</v>
      </c>
      <c r="K18" s="4" t="n">
        <f aca="false">(K6-J6)*Assumptions!$B$51/100</f>
        <v>142.107245078759</v>
      </c>
      <c r="L18" s="4" t="n">
        <f aca="false">(L6-K6)*Assumptions!$B$51/100</f>
        <v>145.659926205728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1921.99433</v>
      </c>
      <c r="D19" s="0" t="n">
        <f aca="false">D15+D16+D17+D18</f>
        <v>2104.9694778725</v>
      </c>
      <c r="E19" s="0" t="n">
        <f aca="false">E15+E16+E17+E18</f>
        <v>2281.29570487037</v>
      </c>
      <c r="F19" s="0" t="n">
        <f aca="false">F15+F16+F17+F18</f>
        <v>2394.71060618051</v>
      </c>
      <c r="G19" s="0" t="n">
        <f aca="false">G15+G16+G17+G18</f>
        <v>2562.41509584787</v>
      </c>
      <c r="H19" s="0" t="n">
        <f aca="false">H15+H16+H17+H18</f>
        <v>2626.66142967326</v>
      </c>
      <c r="I19" s="0" t="n">
        <f aca="false">I15+I16+I17+I18</f>
        <v>2705.46127256346</v>
      </c>
      <c r="J19" s="0" t="n">
        <f aca="false">J15+J16+J17+J18</f>
        <v>2766.43389560221</v>
      </c>
      <c r="K19" s="0" t="n">
        <f aca="false">K15+K16+K17+K18</f>
        <v>2821.76435417681</v>
      </c>
      <c r="L19" s="0" t="n">
        <f aca="false">L15+L16+L17+L18</f>
        <v>2892.30846303123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1787.90170232558</v>
      </c>
      <c r="D21" s="0" t="n">
        <f aca="false">D19*D20</f>
        <v>1821.49873693672</v>
      </c>
      <c r="E21" s="0" t="n">
        <f aca="false">E19*E20</f>
        <v>1836.35308981227</v>
      </c>
      <c r="F21" s="0" t="n">
        <f aca="false">F19*F20</f>
        <v>1793.16057056907</v>
      </c>
      <c r="G21" s="0" t="n">
        <f aca="false">G19*G20</f>
        <v>1784.87235467709</v>
      </c>
      <c r="H21" s="0" t="n">
        <f aca="false">H19*H20</f>
        <v>1701.97552846513</v>
      </c>
      <c r="I21" s="0" t="n">
        <f aca="false">I19*I20</f>
        <v>1630.73004122705</v>
      </c>
      <c r="J21" s="0" t="n">
        <f aca="false">J19*J20</f>
        <v>1551.14566379931</v>
      </c>
      <c r="K21" s="0" t="n">
        <f aca="false">K19*K20</f>
        <v>1471.7856516249</v>
      </c>
      <c r="L21" s="0" t="n">
        <f aca="false">L19*L20</f>
        <v>1403.3305050377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1.44</v>
      </c>
      <c r="D23" s="4" t="n">
        <f aca="false">Assumptions!D44</f>
        <v>1.42</v>
      </c>
      <c r="E23" s="4" t="n">
        <f aca="false">Assumptions!E44</f>
        <v>1.4</v>
      </c>
      <c r="F23" s="4" t="n">
        <f aca="false">Assumptions!F44</f>
        <v>1.4</v>
      </c>
      <c r="G23" s="4" t="n">
        <f aca="false">Assumptions!G44</f>
        <v>1.38</v>
      </c>
      <c r="H23" s="4" t="n">
        <f aca="false">Assumptions!H44</f>
        <v>1.38</v>
      </c>
      <c r="I23" s="4" t="n">
        <f aca="false">Assumptions!I44</f>
        <v>1.38</v>
      </c>
      <c r="J23" s="4" t="n">
        <f aca="false">Assumptions!J44</f>
        <v>1.38</v>
      </c>
      <c r="K23" s="4" t="n">
        <f aca="false">Assumptions!K44</f>
        <v>1.38</v>
      </c>
      <c r="L23" s="4" t="n">
        <f aca="false">Assumptions!L44</f>
        <v>1.38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-1087.98912</v>
      </c>
      <c r="D24" s="0" t="n">
        <f aca="false">-D6*D23/100</f>
        <v>-1113.111091</v>
      </c>
      <c r="E24" s="0" t="n">
        <f aca="false">-E6*E23/100</f>
        <v>-1138.587225125</v>
      </c>
      <c r="F24" s="0" t="n">
        <f aca="false">-F6*F23/100</f>
        <v>-1178.43777800437</v>
      </c>
      <c r="G24" s="0" t="n">
        <f aca="false">-G6*G23/100</f>
        <v>-1199.35504856395</v>
      </c>
      <c r="H24" s="0" t="n">
        <f aca="false">-H6*H23/100</f>
        <v>-1235.33570002087</v>
      </c>
      <c r="I24" s="0" t="n">
        <f aca="false">-I6*I23/100</f>
        <v>-1272.3957710215</v>
      </c>
      <c r="J24" s="0" t="n">
        <f aca="false">-J6*J23/100</f>
        <v>-1307.38665472459</v>
      </c>
      <c r="K24" s="0" t="n">
        <f aca="false">-K6*K23/100</f>
        <v>-1340.0713210927</v>
      </c>
      <c r="L24" s="0" t="n">
        <f aca="false">-L6*L23/100</f>
        <v>-1373.57310412002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16782.7538444748</v>
      </c>
    </row>
    <row r="31" customFormat="false" ht="15" hidden="false" customHeight="false" outlineLevel="0" collapsed="false">
      <c r="A31" s="0" t="s">
        <v>128</v>
      </c>
      <c r="B31" s="0" t="n">
        <f aca="false">L19</f>
        <v>2892.30846303123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59292.3234921403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57846.1692606247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57846.1692606247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28066.6101007539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44849.3639452287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42170.3639452287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654.006885006649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0.298147846380803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1126.30098732863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1881.02908776682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700.646619421901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23716.9293968561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235.168053681589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282.16217387005</v>
      </c>
      <c r="C4" s="0" t="n">
        <f aca="false">B4/Assumptions!$B$2-1</f>
        <v>-0.439932167784737</v>
      </c>
      <c r="D4" s="4" t="n">
        <f aca="false">Assumptions!$B$24</f>
        <v>0.25</v>
      </c>
      <c r="E4" s="4" t="n">
        <f aca="false">DCF_Bear!$B$43</f>
        <v>319.166560067737</v>
      </c>
      <c r="F4" s="4" t="n">
        <f aca="false">DCF_Bear!$B$47</f>
        <v>114.484641763561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487.113557834658</v>
      </c>
      <c r="C5" s="0" t="n">
        <f aca="false">B5/Assumptions!$B$2-1</f>
        <v>-0.0331211634881748</v>
      </c>
      <c r="D5" s="4" t="n">
        <f aca="false">Assumptions!$B$38</f>
        <v>0.5</v>
      </c>
      <c r="E5" s="4" t="n">
        <f aca="false">DCF_Base!$B$43</f>
        <v>528.723551436715</v>
      </c>
      <c r="F5" s="4" t="n">
        <f aca="false">DCF_Base!$B$47</f>
        <v>183.049785061715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654.006885006649</v>
      </c>
      <c r="C6" s="0" t="n">
        <f aca="false">B6/Assumptions!$B$2-1</f>
        <v>0.298147846380803</v>
      </c>
      <c r="D6" s="4" t="n">
        <f aca="false">Assumptions!$B$52</f>
        <v>0.25</v>
      </c>
      <c r="E6" s="4" t="n">
        <f aca="false">DCF_Bull!$B$43</f>
        <v>700.646619421901</v>
      </c>
      <c r="F6" s="4" t="n">
        <f aca="false">DCF_Bull!$B$47</f>
        <v>235.168053681589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477.599043636503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519.315070590767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-0.0548597337297811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62.8078900999438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178.938066392145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487.113557834658</v>
      </c>
      <c r="C15" s="3" t="n">
        <v>7.5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380.002659265406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326.599704059691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285.087345782325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251.897430243849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183.049785061715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574.065507792657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574.065507792657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574.065507792657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574.065507792657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574.065507792657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528.514196180666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528.514196180666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528.514196180666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528.514196180666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528.514196180666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444.331243504167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468.284883038166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487.113557834658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487.113557834658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487.113557834658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377.617153706647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393.988535926442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412.878592333899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434.916991475932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449.439991832203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326.689891528686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338.32783677985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351.517508064502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366.591418104105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383.984391226724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2026-10-10T06:35:46Z</dcterms:created>
  <dc:creator>openpyxl</dc:creator>
  <dc:description/>
  <dc:language>en-NZ</dc:language>
  <cp:lastModifiedBy/>
  <dcterms:modified xsi:type="dcterms:W3CDTF">2026-10-10T06:35:46Z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