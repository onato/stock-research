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<sst xmlns="http://schemas.openxmlformats.org/spreadsheetml/2006/main" count="354" uniqueCount="163">
  <si>
    <t xml:space="preserve">Ticker</t>
  </si>
  <si>
    <t xml:space="preserve">CCP.AX</t>
  </si>
  <si>
    <t xml:space="preserve">Company</t>
  </si>
  <si>
    <t xml:space="preserve">Credit Corp Group Limited</t>
  </si>
  <si>
    <t xml:space="preserve">Valuation date</t>
  </si>
  <si>
    <t xml:space="preserve">2026-09-22</t>
  </si>
  <si>
    <t xml:space="preserve">Current price</t>
  </si>
  <si>
    <t xml:space="preserve">Price as of</t>
  </si>
  <si>
    <t xml:space="preserve">2026-09-22T06:10:06Z (Yahoo regularMarketPrice, ASX regular session; 52w range 9.50-16.615)</t>
  </si>
  <si>
    <t xml:space="preserve">Balance sheet date</t>
  </si>
  <si>
    <t xml:space="preserve">2026-06-30</t>
  </si>
  <si>
    <t xml:space="preserve">Model</t>
  </si>
  <si>
    <t xml:space="preserve">owner_fcf_dcf_component</t>
  </si>
  <si>
    <t xml:space="preserve">Currency (model)</t>
  </si>
  <si>
    <t xml:space="preserve">AUD</t>
  </si>
  <si>
    <t xml:space="preserve">Currency (quote)</t>
  </si>
  <si>
    <t xml:space="preserve">Units</t>
  </si>
  <si>
    <t xml:space="preserve">millions</t>
  </si>
  <si>
    <t xml:space="preserve">Engine</t>
  </si>
  <si>
    <t xml:space="preserve">dcf_engine v1</t>
  </si>
  <si>
    <t xml:space="preserve">Built at</t>
  </si>
  <si>
    <t xml:space="preserve">2026-09-22T09:14:26Z</t>
  </si>
  <si>
    <t xml:space="preserve">Drivers file</t>
  </si>
  <si>
    <t xml:space="preserve">CCP.AX_Drivers.json</t>
  </si>
  <si>
    <t xml:space="preserve">Convention</t>
  </si>
  <si>
    <t xml:space="preserve">Percents stored as percents; formulas divide by 100. Blue = input, green = link, black = formula.</t>
  </si>
  <si>
    <t xml:space="preserve">Methodology</t>
  </si>
  <si>
    <t xml:space="preserve">summary: Value the distributable earnings of a leveraged consumer-finance operator at its cost of equity, with the growth capital it must retain treated as reinvestment, and never deduct the warehouse debt that funds its earning assets. The stock at ~9x FY2026 earnings and ~1.0x book is priced as ex-growth; the base case implies ~1.1x book, i.e. modest undervaluation, with the bull-bear spread driven by the credit cycle and US pricing rather than by the discount rate.
key_risks_to_valuation: Credit-cycle trough: FY2020 and FY2024 each roughly halved NPAT; a repeat inside the forecast window is the bear case, not a tail; US PDL pricing: purchasing discipline caps growth of the now-largest segment; sustained seller's market leaves the US book shrinking; UK sub-prime lending entry under a regulatory regime that forced prior incumbents out; start-up losses and claims risk; PDL carrying values are accounting estimates (useful life, collection curves); re-estimation can hit reported earnings without a cash event; Funding cost: interest expense rose from A$5m (FY2022) to A$38m (FY2026); the model assumes the post-2022 rate regime persists but no further step-up; Reinvestment coefficient (1.56x equity/revenue) assumes constant leverage; a shift to higher gearing would raise FCFE and value, a de-gearing would lower it</t>
  </si>
  <si>
    <t xml:space="preserve">Data sources</t>
  </si>
  <si>
    <t xml:space="preserve">price: Yahoo Finance chart API, 2026-09-22T06:10:06Z, A$13.92
financials: research/CCP.AX/Reports/CCP.AX_Metrics.csv (FY2019-FY2026, AUD millions, built from the annual reports); kpis PDLAcquisitions, CashTaxesPaid, InterestExpense, DividendsPaid; FY2026 Annual Report balance sheet, cash flow and note 18/14 lines cited in inputs
qualitative: research/CCP.AX/Reports/CCP.AX_Analysis.json; FY2026 Annual Report Outlook (lines 1334, 4692): NPAT +4-12% FY2027, AU/NZ pipeline A$54m, US A$62m</t>
  </si>
  <si>
    <t xml:space="preserve">Scenario narrative: bear</t>
  </si>
  <si>
    <t xml:space="preserve">The double-edged cycle bites: a consumer downturn lifts charge-off supply but cuts collection rates on ledgers bought at FY2025-26 prices and lifts loan-book losses, repeating the FY2024 trough (NPAT halved). US price competition persists, so discipline means shrinking volumes; the UK entry meets the same responsible-lending regime that forced incumbents out and is wound back with start-up losses. Margins settle 3pp below base and growth is 2%.</t>
  </si>
  <si>
    <t xml:space="preserve">Scenario narrative: base</t>
  </si>
  <si>
    <t xml:space="preserve">Credit Corp compounds distributable earnings at roughly its sustainable rate: ~12% ROE with half retained funds ~6% growth of the PDL and loan books at constant leverage, decaying to 2.5%. FY2027 lands in the middle of the A$110-118m guidance as US operational gains (legal channel, asset turnover near PRA/Encore) offset lower US purchasing, AU/NZ lending grows off the record A$510m book, and the UK pilot is roughly break-even by FY2029. Margins recover to 28% but not to the 2021-22 cheap-funding peak.</t>
  </si>
  <si>
    <t xml:space="preserve">Scenario narrative: bull</t>
  </si>
  <si>
    <t xml:space="preserve">The US pricing cycle turns: purchasing volumes re-accelerate off the A$62m secured pipeline while the collections platform holds peer-level turnover, the UK book scales to the A$150-200m medium-term target with the under-served market's excess demand keeping losses low, and Wizit broadens AU lending. Revenue grows 8% for two years and margins reach 30%. The stock re-rates from ~9x to a mid-teens P/E.</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</si>
  <si>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</si>
  <si>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</si>
  <si>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</si>
  <si>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</si>
  <si>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</si>
  <si>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</si>
  <si>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</si>
  <si>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</si>
  <si>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</si>
  <si>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</si>
  <si>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</si>
  <si>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</si>
  <si>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</si>
  <si>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</si>
  <si>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</si>
  <si>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</si>
  <si>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</si>
  <si>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</si>
  <si>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</si>
  <si>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</si>
  <si>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</si>
  <si>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</si>
  <si>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</si>
  <si>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</si>
  <si>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</si>
  <si>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</si>
  <si>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</si>
  <si>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MarketingExpense</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</si>
  <si>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</si>
  <si>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</si>
  <si>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</si>
  <si>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</si>
  <si>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</si>
  <si>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</si>
  <si>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</si>
  <si>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</si>
  <si>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</si>
  <si>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</si>
  <si>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</si>
  <si>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</si>
  <si>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</si>
  <si>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</si>
  <si>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</si>
  <si>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</si>
  <si>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</si>
  <si>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</si>
  <si>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AUD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</si>
  <si>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</si>
  <si>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</si>
  <si>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</si>
  <si>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</si>
  <si>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</si>
  <si>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</si>
  <si>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</si>
  <si>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</si>
  <si>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</si>
  <si>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</si>
  <si>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</si>
  <si>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</si>
  <si>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</si>
  <si>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</si>
  <si>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</si>
  <si>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</si>
  <si>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</si>
  <si>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</si>
  <si>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</si>
  <si>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</si>
  <si>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</si>
  <si>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</si>
  <si>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</si>
  <si>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</si>
  <si>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</si>
  <si>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</si>
  <si>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CCP.AX owner-FCF component DCF: bear case (millions, AUD)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</si>
  <si>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</si>
  <si>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</si>
  <si>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</si>
  <si>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</si>
  <si>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</si>
  <si>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</si>
  <si>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</si>
  <si>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</si>
  <si>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</si>
  <si>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</si>
  <si>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</si>
  <si>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</si>
  <si>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</si>
  <si>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</si>
  <si>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</si>
  <si>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</si>
  <si>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</si>
  <si>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</si>
  <si>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</si>
  <si>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</si>
  <si>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</si>
  <si>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</si>
  <si>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</si>
  <si>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</si>
  <si>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</si>
  <si>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</si>
  <si>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</si>
  <si>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</si>
  <si>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</si>
  <si>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</si>
  <si>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CCP.AX owner-FCF component DCF: base case (millions, AUD)</t>
  </si>
  <si>
    <t xml:space="preserve">CCP.AX owner-FCF component DCF: bull case (millions, AUD)</t>
  </si>
  <si>
    <t xml:space="preserve">CCP.AX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</si>
  <si>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</si>
  <si>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</si>
  <si>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</si>
  <si>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</si>
  <si>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</si>
  <si>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</si>
  <si>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</si>
  <si>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</si>
  <si>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</si>
  <si>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</si>
  <si>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</si>
  <si>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</si>
  <si>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</si>
  <si>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</si>
  <si>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</si>
  <si>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</si>
  <si>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11% (WACC)</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</si>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</sst>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13.92</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row>
    <row r="2" customFormat="false" ht="15" hidden="false" customHeight="false" outlineLevel="0" collapsed="false">
      <c r="A2" s="0" t="s">
        <v>64</v>
      </c>
      <c r="B2" s="0" t="n">
        <v>324.254</v>
      </c>
      <c r="F2" s="0" t="n">
        <v>113.167</v>
      </c>
      <c r="H2" s="0" t="n">
        <v>115.519</v>
      </c>
      <c r="I2" s="0" t="n">
        <v>70.285</v>
      </c>
      <c r="J2" s="0" t="n">
        <v>21.7</v>
      </c>
      <c r="K2" s="0" t="n">
        <v>1.412</v>
      </c>
      <c r="L2" s="0" t="n">
        <v>-3.083</v>
      </c>
      <c r="M2" s="0" t="n">
        <v>1.894</v>
      </c>
      <c r="N2" s="0" t="n">
        <v>-4.977</v>
      </c>
      <c r="O2" s="0" t="n">
        <v>463.602</v>
      </c>
      <c r="P2" s="0" t="n">
        <v>649.471</v>
      </c>
      <c r="Q2" s="0" t="n">
        <v>185.869</v>
      </c>
      <c r="R2" s="0" t="n">
        <v>142.702</v>
      </c>
      <c r="S2" s="0" t="n">
        <v>22.709</v>
      </c>
      <c r="T2" s="0" t="n">
        <v>54.918</v>
      </c>
      <c r="U2" s="0" t="n">
        <v>3.141</v>
      </c>
      <c r="AA2" s="0" t="s">
        <v>17</v>
      </c>
      <c r="AB2" s="0" t="s">
        <v>14</v>
      </c>
      <c r="AC2" s="0" t="n">
        <v>12.562</v>
      </c>
    </row>
    <row r="3" customFormat="false" ht="15" hidden="false" customHeight="false" outlineLevel="0" collapsed="false">
      <c r="A3" s="0" t="s">
        <v>65</v>
      </c>
      <c r="B3" s="0" t="n">
        <v>313.403</v>
      </c>
      <c r="F3" s="0" t="n">
        <v>33.104</v>
      </c>
      <c r="H3" s="0" t="n">
        <v>44.009</v>
      </c>
      <c r="I3" s="0" t="n">
        <v>15.454</v>
      </c>
      <c r="J3" s="0" t="n">
        <v>4.9</v>
      </c>
      <c r="K3" s="0" t="n">
        <v>0.255</v>
      </c>
      <c r="L3" s="0" t="n">
        <v>115.646</v>
      </c>
      <c r="M3" s="0" t="n">
        <v>3.145</v>
      </c>
      <c r="N3" s="0" t="n">
        <v>112.501</v>
      </c>
      <c r="O3" s="0" t="n">
        <v>594.21</v>
      </c>
      <c r="P3" s="0" t="n">
        <v>722.65</v>
      </c>
      <c r="Q3" s="0" t="n">
        <v>128.44</v>
      </c>
      <c r="R3" s="0" t="n">
        <v>22.42</v>
      </c>
      <c r="S3" s="0" t="n">
        <v>48.66</v>
      </c>
      <c r="T3" s="0" t="n">
        <v>67.316</v>
      </c>
      <c r="U3" s="0" t="n">
        <v>2.5</v>
      </c>
      <c r="AA3" s="0" t="s">
        <v>17</v>
      </c>
      <c r="AB3" s="0" t="s">
        <v>14</v>
      </c>
      <c r="AC3" s="0" t="n">
        <v>10.561</v>
      </c>
    </row>
    <row r="4" customFormat="false" ht="15" hidden="false" customHeight="false" outlineLevel="0" collapsed="false">
      <c r="A4" s="0" t="s">
        <v>66</v>
      </c>
      <c r="B4" s="0" t="n">
        <v>374.786</v>
      </c>
      <c r="F4" s="0" t="n">
        <v>131.874</v>
      </c>
      <c r="H4" s="0" t="n">
        <v>142.712</v>
      </c>
      <c r="I4" s="0" t="n">
        <v>88.13</v>
      </c>
      <c r="J4" s="0" t="n">
        <v>23.5</v>
      </c>
      <c r="K4" s="0" t="n">
        <v>1.299</v>
      </c>
      <c r="L4" s="0" t="n">
        <v>67.726</v>
      </c>
      <c r="M4" s="0" t="n">
        <v>2.783</v>
      </c>
      <c r="N4" s="0" t="n">
        <v>64.943</v>
      </c>
      <c r="O4" s="0" t="n">
        <v>667.063</v>
      </c>
      <c r="P4" s="0" t="n">
        <v>781.25</v>
      </c>
      <c r="Q4" s="0" t="n">
        <v>114.187</v>
      </c>
      <c r="R4" s="0" t="n">
        <v>3.608</v>
      </c>
      <c r="S4" s="0" t="n">
        <v>61.677</v>
      </c>
      <c r="T4" s="0" t="n">
        <v>67.316</v>
      </c>
      <c r="U4" s="0" t="n">
        <v>2.5</v>
      </c>
      <c r="AA4" s="0" t="s">
        <v>17</v>
      </c>
      <c r="AB4" s="0" t="s">
        <v>14</v>
      </c>
      <c r="AC4" s="0" t="n">
        <v>8.39</v>
      </c>
    </row>
    <row r="5" customFormat="false" ht="15" hidden="false" customHeight="false" outlineLevel="0" collapsed="false">
      <c r="A5" s="0" t="s">
        <v>67</v>
      </c>
      <c r="B5" s="0" t="n">
        <v>411.2</v>
      </c>
      <c r="F5" s="0" t="n">
        <v>148.181</v>
      </c>
      <c r="H5" s="0" t="n">
        <v>158.691</v>
      </c>
      <c r="I5" s="0" t="n">
        <v>100.716</v>
      </c>
      <c r="J5" s="0" t="n">
        <v>24.5</v>
      </c>
      <c r="K5" s="0" t="n">
        <v>1.485</v>
      </c>
      <c r="L5" s="0" t="n">
        <v>-100.296</v>
      </c>
      <c r="M5" s="0" t="n">
        <v>3.82</v>
      </c>
      <c r="N5" s="0" t="n">
        <v>-104.116</v>
      </c>
      <c r="O5" s="0" t="n">
        <v>740.641</v>
      </c>
      <c r="P5" s="0" t="n">
        <v>974.613</v>
      </c>
      <c r="Q5" s="0" t="n">
        <v>233.972</v>
      </c>
      <c r="R5" s="0" t="n">
        <v>128.589</v>
      </c>
      <c r="S5" s="0" t="n">
        <v>29.705</v>
      </c>
      <c r="T5" s="0" t="n">
        <v>67.832</v>
      </c>
      <c r="U5" s="0" t="n">
        <v>4.322</v>
      </c>
      <c r="AA5" s="0" t="s">
        <v>17</v>
      </c>
      <c r="AB5" s="0" t="s">
        <v>14</v>
      </c>
      <c r="AC5" s="0" t="n">
        <v>13.316</v>
      </c>
    </row>
    <row r="6" customFormat="false" ht="15" hidden="false" customHeight="false" outlineLevel="0" collapsed="false">
      <c r="A6" s="0" t="s">
        <v>68</v>
      </c>
      <c r="B6" s="0" t="n">
        <v>473.369</v>
      </c>
      <c r="F6" s="0" t="n">
        <v>145.347</v>
      </c>
      <c r="H6" s="0" t="n">
        <v>156.507</v>
      </c>
      <c r="I6" s="0" t="n">
        <v>91.251</v>
      </c>
      <c r="J6" s="0" t="n">
        <v>19.3</v>
      </c>
      <c r="K6" s="0" t="n">
        <v>1.324</v>
      </c>
      <c r="L6" s="0" t="n">
        <v>-84.002</v>
      </c>
      <c r="M6" s="0" t="n">
        <v>1.33</v>
      </c>
      <c r="N6" s="0" t="n">
        <v>-85.332</v>
      </c>
      <c r="O6" s="0" t="n">
        <v>817.416</v>
      </c>
      <c r="P6" s="0" t="n">
        <v>1248.787</v>
      </c>
      <c r="Q6" s="0" t="n">
        <v>431.371</v>
      </c>
      <c r="R6" s="0" t="n">
        <v>314.21</v>
      </c>
      <c r="S6" s="0" t="n">
        <v>65.82</v>
      </c>
      <c r="T6" s="0" t="n">
        <v>68.067</v>
      </c>
      <c r="U6" s="0" t="n">
        <v>1.592</v>
      </c>
      <c r="AA6" s="0" t="s">
        <v>17</v>
      </c>
      <c r="AB6" s="0" t="s">
        <v>14</v>
      </c>
      <c r="AC6" s="0" t="n">
        <v>12.338</v>
      </c>
    </row>
    <row r="7" customFormat="false" ht="15" hidden="false" customHeight="false" outlineLevel="0" collapsed="false">
      <c r="A7" s="0" t="s">
        <v>69</v>
      </c>
      <c r="B7" s="0" t="n">
        <v>476.264</v>
      </c>
      <c r="F7" s="0" t="n">
        <v>98.721</v>
      </c>
      <c r="H7" s="0" t="n">
        <v>108.524</v>
      </c>
      <c r="I7" s="0" t="n">
        <v>50.707</v>
      </c>
      <c r="J7" s="0" t="n">
        <v>10.6</v>
      </c>
      <c r="K7" s="0" t="n">
        <v>0.736</v>
      </c>
      <c r="L7" s="0" t="n">
        <v>-48.583</v>
      </c>
      <c r="M7" s="0" t="n">
        <v>1.465</v>
      </c>
      <c r="N7" s="0" t="n">
        <v>-50.048</v>
      </c>
      <c r="O7" s="0" t="n">
        <v>825.671</v>
      </c>
      <c r="P7" s="0" t="n">
        <v>1324.329</v>
      </c>
      <c r="Q7" s="0" t="n">
        <v>498.658</v>
      </c>
      <c r="R7" s="0" t="n">
        <v>384.55</v>
      </c>
      <c r="S7" s="0" t="n">
        <v>34.849</v>
      </c>
      <c r="T7" s="0" t="n">
        <v>68.067</v>
      </c>
      <c r="U7" s="0" t="n">
        <v>-0.708</v>
      </c>
      <c r="AA7" s="0" t="s">
        <v>17</v>
      </c>
      <c r="AB7" s="0" t="s">
        <v>14</v>
      </c>
      <c r="AC7" s="0" t="n">
        <v>13.928</v>
      </c>
    </row>
    <row r="8" customFormat="false" ht="15" hidden="false" customHeight="false" outlineLevel="0" collapsed="false">
      <c r="A8" s="0" t="s">
        <v>70</v>
      </c>
      <c r="B8" s="0" t="n">
        <v>545.637</v>
      </c>
      <c r="F8" s="0" t="n">
        <v>169.866</v>
      </c>
      <c r="H8" s="0" t="n">
        <v>178.403</v>
      </c>
      <c r="I8" s="0" t="n">
        <v>94.095</v>
      </c>
      <c r="J8" s="0" t="n">
        <v>17.2</v>
      </c>
      <c r="K8" s="0" t="n">
        <v>1.366</v>
      </c>
      <c r="L8" s="0" t="n">
        <v>52.565</v>
      </c>
      <c r="M8" s="0" t="n">
        <v>1.493</v>
      </c>
      <c r="N8" s="0" t="n">
        <v>51.072</v>
      </c>
      <c r="O8" s="0" t="n">
        <v>890.275</v>
      </c>
      <c r="P8" s="0" t="n">
        <v>1398.142</v>
      </c>
      <c r="Q8" s="0" t="n">
        <v>507.867</v>
      </c>
      <c r="R8" s="0" t="n">
        <v>400.856</v>
      </c>
      <c r="S8" s="0" t="n">
        <v>56.712</v>
      </c>
      <c r="T8" s="0" t="n">
        <v>68.067</v>
      </c>
      <c r="U8" s="0" t="n">
        <v>1.686</v>
      </c>
      <c r="AA8" s="0" t="s">
        <v>17</v>
      </c>
      <c r="AB8" s="0" t="s">
        <v>14</v>
      </c>
      <c r="AC8" s="0" t="n">
        <v>13.215</v>
      </c>
    </row>
    <row r="9" customFormat="false" ht="15" hidden="false" customHeight="false" outlineLevel="0" collapsed="false">
      <c r="A9" s="0" t="s">
        <v>71</v>
      </c>
      <c r="B9" s="0" t="n">
        <v>585.952</v>
      </c>
      <c r="F9" s="0" t="n">
        <v>188.152</v>
      </c>
      <c r="H9" s="0" t="n">
        <v>198.039</v>
      </c>
      <c r="I9" s="0" t="n">
        <v>105.51</v>
      </c>
      <c r="J9" s="0" t="n">
        <v>18</v>
      </c>
      <c r="K9" s="0" t="n">
        <v>1.55</v>
      </c>
      <c r="L9" s="0" t="n">
        <v>2.704</v>
      </c>
      <c r="M9" s="0" t="n">
        <v>9.334</v>
      </c>
      <c r="N9" s="0" t="n">
        <v>-6.63</v>
      </c>
      <c r="O9" s="0" t="n">
        <v>913.931</v>
      </c>
      <c r="P9" s="0" t="n">
        <v>1488.23</v>
      </c>
      <c r="Q9" s="0" t="n">
        <v>574.299</v>
      </c>
      <c r="R9" s="0" t="n">
        <v>470.735</v>
      </c>
      <c r="S9" s="0" t="n">
        <v>61.51</v>
      </c>
      <c r="T9" s="0" t="n">
        <v>68.067</v>
      </c>
      <c r="U9" s="0" t="n">
        <v>-1.412</v>
      </c>
      <c r="AA9" s="0" t="s">
        <v>17</v>
      </c>
      <c r="AB9" s="0" t="s">
        <v>14</v>
      </c>
      <c r="AC9" s="0" t="n">
        <v>17.624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72</v>
      </c>
      <c r="B1" s="2" t="s">
        <v>73</v>
      </c>
    </row>
    <row r="2" customFormat="false" ht="15" hidden="false" customHeight="false" outlineLevel="0" collapsed="false">
      <c r="A2" s="0" t="s">
        <v>74</v>
      </c>
      <c r="B2" s="3" t="n">
        <v>13.92</v>
      </c>
    </row>
    <row r="3" customFormat="false" ht="15" hidden="false" customHeight="false" outlineLevel="0" collapsed="false">
      <c r="A3" s="0" t="s">
        <v>75</v>
      </c>
      <c r="B3" s="3" t="n">
        <v>68.067</v>
      </c>
    </row>
    <row r="4" customFormat="false" ht="15" hidden="false" customHeight="false" outlineLevel="0" collapsed="false">
      <c r="A4" s="0" t="s">
        <v>76</v>
      </c>
      <c r="B4" s="3" t="n">
        <v>0</v>
      </c>
    </row>
    <row r="5" customFormat="false" ht="15" hidden="false" customHeight="false" outlineLevel="0" collapsed="false">
      <c r="A5" s="0" t="s">
        <v>77</v>
      </c>
      <c r="B5" s="3" t="n">
        <v>0</v>
      </c>
    </row>
    <row r="6" customFormat="false" ht="15" hidden="false" customHeight="false" outlineLevel="0" collapsed="false">
      <c r="A6" s="0" t="s">
        <v>78</v>
      </c>
      <c r="B6" s="3" t="n">
        <v>15</v>
      </c>
    </row>
    <row r="7" customFormat="false" ht="15" hidden="false" customHeight="false" outlineLevel="0" collapsed="false">
      <c r="A7" s="0" t="s">
        <v>79</v>
      </c>
      <c r="B7" s="3" t="n">
        <v>585.952</v>
      </c>
    </row>
    <row r="8" customFormat="false" ht="15" hidden="false" customHeight="false" outlineLevel="0" collapsed="false">
      <c r="A8" s="0" t="s">
        <v>80</v>
      </c>
      <c r="B8" s="3" t="s">
        <v>71</v>
      </c>
    </row>
    <row r="9" customFormat="false" ht="15" hidden="false" customHeight="false" outlineLevel="0" collapsed="false">
      <c r="A9" s="0" t="s">
        <v>81</v>
      </c>
      <c r="B9" s="3" t="s">
        <v>82</v>
      </c>
    </row>
    <row r="10" customFormat="false" ht="15" hidden="false" customHeight="false" outlineLevel="0" collapsed="false">
      <c r="A10" s="0" t="s">
        <v>83</v>
      </c>
      <c r="B10" s="3" t="n">
        <v>1</v>
      </c>
    </row>
    <row r="12" customFormat="false" ht="15" hidden="false" customHeight="false" outlineLevel="0" collapsed="false">
      <c r="A12" s="2" t="s">
        <v>84</v>
      </c>
      <c r="C12" s="2" t="s">
        <v>85</v>
      </c>
      <c r="D12" s="2" t="s">
        <v>86</v>
      </c>
      <c r="E12" s="2" t="s">
        <v>87</v>
      </c>
      <c r="F12" s="2" t="s">
        <v>88</v>
      </c>
      <c r="G12" s="2" t="s">
        <v>89</v>
      </c>
      <c r="H12" s="2" t="s">
        <v>90</v>
      </c>
      <c r="I12" s="2" t="s">
        <v>91</v>
      </c>
      <c r="J12" s="2" t="s">
        <v>92</v>
      </c>
      <c r="K12" s="2" t="s">
        <v>93</v>
      </c>
      <c r="L12" s="2" t="s">
        <v>94</v>
      </c>
    </row>
    <row r="13" customFormat="false" ht="15" hidden="false" customHeight="false" outlineLevel="0" collapsed="false">
      <c r="A13" s="0" t="s">
        <v>95</v>
      </c>
      <c r="C13" s="3" t="n">
        <v>3</v>
      </c>
      <c r="D13" s="3" t="n">
        <v>-3</v>
      </c>
      <c r="E13" s="3" t="n">
        <v>1</v>
      </c>
      <c r="F13" s="3" t="n">
        <v>4</v>
      </c>
      <c r="G13" s="3" t="n">
        <v>4</v>
      </c>
      <c r="H13" s="3" t="n">
        <v>3</v>
      </c>
      <c r="I13" s="3" t="n">
        <v>3</v>
      </c>
      <c r="J13" s="3" t="n">
        <v>2.5</v>
      </c>
      <c r="K13" s="3" t="n">
        <v>2.5</v>
      </c>
      <c r="L13" s="3" t="n">
        <v>2</v>
      </c>
    </row>
    <row r="14" customFormat="false" ht="15" hidden="false" customHeight="false" outlineLevel="0" collapsed="false">
      <c r="A14" s="0" t="s">
        <v>96</v>
      </c>
      <c r="C14" s="3" t="n">
        <v>25.5</v>
      </c>
      <c r="D14" s="3" t="n">
        <v>18</v>
      </c>
      <c r="E14" s="3" t="n">
        <v>20</v>
      </c>
      <c r="F14" s="3" t="n">
        <v>23</v>
      </c>
      <c r="G14" s="3" t="n">
        <v>24.5</v>
      </c>
      <c r="H14" s="3" t="n">
        <v>25</v>
      </c>
      <c r="I14" s="3" t="n">
        <v>25</v>
      </c>
      <c r="J14" s="3" t="n">
        <v>25</v>
      </c>
      <c r="K14" s="3" t="n">
        <v>25</v>
      </c>
      <c r="L14" s="3" t="n">
        <v>25</v>
      </c>
    </row>
    <row r="15" customFormat="false" ht="15" hidden="false" customHeight="false" outlineLevel="0" collapsed="false">
      <c r="A15" s="0" t="s">
        <v>97</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98</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99</v>
      </c>
      <c r="C17" s="3" t="n">
        <v>1.7</v>
      </c>
      <c r="D17" s="3" t="n">
        <v>1.7</v>
      </c>
      <c r="E17" s="3" t="n">
        <v>1.7</v>
      </c>
      <c r="F17" s="3" t="n">
        <v>1.7</v>
      </c>
      <c r="G17" s="3" t="n">
        <v>1.7</v>
      </c>
      <c r="H17" s="3" t="n">
        <v>1.7</v>
      </c>
      <c r="I17" s="3" t="n">
        <v>1.7</v>
      </c>
      <c r="J17" s="3" t="n">
        <v>1.7</v>
      </c>
      <c r="K17" s="3" t="n">
        <v>1.7</v>
      </c>
      <c r="L17" s="3" t="n">
        <v>1.7</v>
      </c>
    </row>
    <row r="18" customFormat="false" ht="15" hidden="false" customHeight="false" outlineLevel="0" collapsed="false">
      <c r="A18" s="0" t="s">
        <v>100</v>
      </c>
      <c r="C18" s="3" t="n">
        <v>6.7</v>
      </c>
      <c r="D18" s="3" t="n">
        <v>2</v>
      </c>
      <c r="E18" s="3" t="n">
        <v>3.6</v>
      </c>
      <c r="F18" s="3" t="n">
        <v>8.2</v>
      </c>
      <c r="G18" s="3" t="n">
        <v>8.2</v>
      </c>
      <c r="H18" s="3" t="n">
        <v>6.7</v>
      </c>
      <c r="I18" s="3" t="n">
        <v>6.7</v>
      </c>
      <c r="J18" s="3" t="n">
        <v>5.9</v>
      </c>
      <c r="K18" s="3" t="n">
        <v>5.9</v>
      </c>
      <c r="L18" s="3" t="n">
        <v>5.1</v>
      </c>
    </row>
    <row r="19" customFormat="false" ht="15" hidden="false" customHeight="false" outlineLevel="0" collapsed="false">
      <c r="A19" s="0" t="s">
        <v>101</v>
      </c>
      <c r="C19" s="3" t="n">
        <v>30</v>
      </c>
      <c r="D19" s="3" t="n">
        <v>30</v>
      </c>
      <c r="E19" s="3" t="n">
        <v>30</v>
      </c>
      <c r="F19" s="3" t="n">
        <v>30</v>
      </c>
      <c r="G19" s="3" t="n">
        <v>30</v>
      </c>
      <c r="H19" s="3" t="n">
        <v>30</v>
      </c>
      <c r="I19" s="3" t="n">
        <v>30</v>
      </c>
      <c r="J19" s="3" t="n">
        <v>30</v>
      </c>
      <c r="K19" s="3" t="n">
        <v>30</v>
      </c>
      <c r="L19" s="3" t="n">
        <v>30</v>
      </c>
    </row>
    <row r="20" customFormat="false" ht="15" hidden="false" customHeight="false" outlineLevel="0" collapsed="false">
      <c r="A20" s="0" t="s">
        <v>102</v>
      </c>
      <c r="B20" s="3" t="n">
        <v>11</v>
      </c>
    </row>
    <row r="21" customFormat="false" ht="15" hidden="false" customHeight="false" outlineLevel="0" collapsed="false">
      <c r="A21" s="0" t="s">
        <v>103</v>
      </c>
      <c r="B21" s="3" t="n">
        <v>2</v>
      </c>
    </row>
    <row r="22" customFormat="false" ht="15" hidden="false" customHeight="false" outlineLevel="0" collapsed="false">
      <c r="A22" s="0" t="s">
        <v>104</v>
      </c>
      <c r="B22" s="3" t="n">
        <v>12</v>
      </c>
    </row>
    <row r="23" customFormat="false" ht="15" hidden="false" customHeight="false" outlineLevel="0" collapsed="false">
      <c r="A23" s="0" t="s">
        <v>105</v>
      </c>
      <c r="B23" s="3" t="n">
        <v>0</v>
      </c>
    </row>
    <row r="24" customFormat="false" ht="15" hidden="false" customHeight="false" outlineLevel="0" collapsed="false">
      <c r="A24" s="0" t="s">
        <v>106</v>
      </c>
      <c r="B24" s="3" t="n">
        <v>0.25</v>
      </c>
    </row>
    <row r="26" customFormat="false" ht="15" hidden="false" customHeight="false" outlineLevel="0" collapsed="false">
      <c r="A26" s="2" t="s">
        <v>107</v>
      </c>
      <c r="C26" s="2" t="s">
        <v>85</v>
      </c>
      <c r="D26" s="2" t="s">
        <v>86</v>
      </c>
      <c r="E26" s="2" t="s">
        <v>87</v>
      </c>
      <c r="F26" s="2" t="s">
        <v>88</v>
      </c>
      <c r="G26" s="2" t="s">
        <v>89</v>
      </c>
      <c r="H26" s="2" t="s">
        <v>90</v>
      </c>
      <c r="I26" s="2" t="s">
        <v>91</v>
      </c>
      <c r="J26" s="2" t="s">
        <v>92</v>
      </c>
      <c r="K26" s="2" t="s">
        <v>93</v>
      </c>
      <c r="L26" s="2" t="s">
        <v>94</v>
      </c>
    </row>
    <row r="27" customFormat="false" ht="15" hidden="false" customHeight="false" outlineLevel="0" collapsed="false">
      <c r="A27" s="0" t="s">
        <v>95</v>
      </c>
      <c r="C27" s="3" t="n">
        <v>6</v>
      </c>
      <c r="D27" s="3" t="n">
        <v>6</v>
      </c>
      <c r="E27" s="3" t="n">
        <v>5</v>
      </c>
      <c r="F27" s="3" t="n">
        <v>5</v>
      </c>
      <c r="G27" s="3" t="n">
        <v>4</v>
      </c>
      <c r="H27" s="3" t="n">
        <v>4</v>
      </c>
      <c r="I27" s="3" t="n">
        <v>3.5</v>
      </c>
      <c r="J27" s="3" t="n">
        <v>3</v>
      </c>
      <c r="K27" s="3" t="n">
        <v>3</v>
      </c>
      <c r="L27" s="3" t="n">
        <v>2.5</v>
      </c>
    </row>
    <row r="28" customFormat="false" ht="15" hidden="false" customHeight="false" outlineLevel="0" collapsed="false">
      <c r="A28" s="0" t="s">
        <v>96</v>
      </c>
      <c r="C28" s="3" t="n">
        <v>27.6</v>
      </c>
      <c r="D28" s="3" t="n">
        <v>27.8</v>
      </c>
      <c r="E28" s="3" t="n">
        <v>28</v>
      </c>
      <c r="F28" s="3" t="n">
        <v>28</v>
      </c>
      <c r="G28" s="3" t="n">
        <v>28</v>
      </c>
      <c r="H28" s="3" t="n">
        <v>28</v>
      </c>
      <c r="I28" s="3" t="n">
        <v>28</v>
      </c>
      <c r="J28" s="3" t="n">
        <v>28</v>
      </c>
      <c r="K28" s="3" t="n">
        <v>28</v>
      </c>
      <c r="L28" s="3" t="n">
        <v>28</v>
      </c>
    </row>
    <row r="29" customFormat="false" ht="15" hidden="false" customHeight="false" outlineLevel="0" collapsed="false">
      <c r="A29" s="0" t="s">
        <v>97</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98</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99</v>
      </c>
      <c r="C31" s="3" t="n">
        <v>1.7</v>
      </c>
      <c r="D31" s="3" t="n">
        <v>1.7</v>
      </c>
      <c r="E31" s="3" t="n">
        <v>1.7</v>
      </c>
      <c r="F31" s="3" t="n">
        <v>1.7</v>
      </c>
      <c r="G31" s="3" t="n">
        <v>1.7</v>
      </c>
      <c r="H31" s="3" t="n">
        <v>1.7</v>
      </c>
      <c r="I31" s="3" t="n">
        <v>1.7</v>
      </c>
      <c r="J31" s="3" t="n">
        <v>1.7</v>
      </c>
      <c r="K31" s="3" t="n">
        <v>1.7</v>
      </c>
      <c r="L31" s="3" t="n">
        <v>1.7</v>
      </c>
    </row>
    <row r="32" customFormat="false" ht="15" hidden="false" customHeight="false" outlineLevel="0" collapsed="false">
      <c r="A32" s="0" t="s">
        <v>100</v>
      </c>
      <c r="C32" s="3" t="n">
        <v>11.4</v>
      </c>
      <c r="D32" s="3" t="n">
        <v>11.4</v>
      </c>
      <c r="E32" s="3" t="n">
        <v>9.8</v>
      </c>
      <c r="F32" s="3" t="n">
        <v>9.8</v>
      </c>
      <c r="G32" s="3" t="n">
        <v>8.2</v>
      </c>
      <c r="H32" s="3" t="n">
        <v>8.2</v>
      </c>
      <c r="I32" s="3" t="n">
        <v>7.5</v>
      </c>
      <c r="J32" s="3" t="n">
        <v>6.7</v>
      </c>
      <c r="K32" s="3" t="n">
        <v>6.7</v>
      </c>
      <c r="L32" s="3" t="n">
        <v>5.9</v>
      </c>
    </row>
    <row r="33" customFormat="false" ht="15" hidden="false" customHeight="false" outlineLevel="0" collapsed="false">
      <c r="A33" s="0" t="s">
        <v>101</v>
      </c>
      <c r="C33" s="3" t="n">
        <v>30</v>
      </c>
      <c r="D33" s="3" t="n">
        <v>30</v>
      </c>
      <c r="E33" s="3" t="n">
        <v>30</v>
      </c>
      <c r="F33" s="3" t="n">
        <v>30</v>
      </c>
      <c r="G33" s="3" t="n">
        <v>30</v>
      </c>
      <c r="H33" s="3" t="n">
        <v>30</v>
      </c>
      <c r="I33" s="3" t="n">
        <v>30</v>
      </c>
      <c r="J33" s="3" t="n">
        <v>30</v>
      </c>
      <c r="K33" s="3" t="n">
        <v>30</v>
      </c>
      <c r="L33" s="3" t="n">
        <v>30</v>
      </c>
    </row>
    <row r="34" customFormat="false" ht="15" hidden="false" customHeight="false" outlineLevel="0" collapsed="false">
      <c r="A34" s="0" t="s">
        <v>102</v>
      </c>
      <c r="B34" s="3" t="n">
        <v>11</v>
      </c>
    </row>
    <row r="35" customFormat="false" ht="15" hidden="false" customHeight="false" outlineLevel="0" collapsed="false">
      <c r="A35" s="0" t="s">
        <v>103</v>
      </c>
      <c r="B35" s="3" t="n">
        <v>2.5</v>
      </c>
    </row>
    <row r="36" customFormat="false" ht="15" hidden="false" customHeight="false" outlineLevel="0" collapsed="false">
      <c r="A36" s="0" t="s">
        <v>104</v>
      </c>
      <c r="B36" s="3" t="n">
        <v>15</v>
      </c>
    </row>
    <row r="37" customFormat="false" ht="15" hidden="false" customHeight="false" outlineLevel="0" collapsed="false">
      <c r="A37" s="0" t="s">
        <v>105</v>
      </c>
      <c r="B37" s="3" t="n">
        <v>0</v>
      </c>
    </row>
    <row r="38" customFormat="false" ht="15" hidden="false" customHeight="false" outlineLevel="0" collapsed="false">
      <c r="A38" s="0" t="s">
        <v>106</v>
      </c>
      <c r="B38" s="3" t="n">
        <v>0.5</v>
      </c>
    </row>
    <row r="40" customFormat="false" ht="15" hidden="false" customHeight="false" outlineLevel="0" collapsed="false">
      <c r="A40" s="2" t="s">
        <v>108</v>
      </c>
      <c r="C40" s="2" t="s">
        <v>85</v>
      </c>
      <c r="D40" s="2" t="s">
        <v>86</v>
      </c>
      <c r="E40" s="2" t="s">
        <v>87</v>
      </c>
      <c r="F40" s="2" t="s">
        <v>88</v>
      </c>
      <c r="G40" s="2" t="s">
        <v>89</v>
      </c>
      <c r="H40" s="2" t="s">
        <v>90</v>
      </c>
      <c r="I40" s="2" t="s">
        <v>91</v>
      </c>
      <c r="J40" s="2" t="s">
        <v>92</v>
      </c>
      <c r="K40" s="2" t="s">
        <v>93</v>
      </c>
      <c r="L40" s="2" t="s">
        <v>94</v>
      </c>
    </row>
    <row r="41" customFormat="false" ht="15" hidden="false" customHeight="false" outlineLevel="0" collapsed="false">
      <c r="A41" s="0" t="s">
        <v>95</v>
      </c>
      <c r="C41" s="3" t="n">
        <v>8</v>
      </c>
      <c r="D41" s="3" t="n">
        <v>8</v>
      </c>
      <c r="E41" s="3" t="n">
        <v>7</v>
      </c>
      <c r="F41" s="3" t="n">
        <v>6</v>
      </c>
      <c r="G41" s="3" t="n">
        <v>5</v>
      </c>
      <c r="H41" s="3" t="n">
        <v>4.5</v>
      </c>
      <c r="I41" s="3" t="n">
        <v>4</v>
      </c>
      <c r="J41" s="3" t="n">
        <v>3.5</v>
      </c>
      <c r="K41" s="3" t="n">
        <v>3</v>
      </c>
      <c r="L41" s="3" t="n">
        <v>3</v>
      </c>
    </row>
    <row r="42" customFormat="false" ht="15" hidden="false" customHeight="false" outlineLevel="0" collapsed="false">
      <c r="A42" s="0" t="s">
        <v>96</v>
      </c>
      <c r="C42" s="3" t="n">
        <v>28</v>
      </c>
      <c r="D42" s="3" t="n">
        <v>28.5</v>
      </c>
      <c r="E42" s="3" t="n">
        <v>29</v>
      </c>
      <c r="F42" s="3" t="n">
        <v>29.5</v>
      </c>
      <c r="G42" s="3" t="n">
        <v>30</v>
      </c>
      <c r="H42" s="3" t="n">
        <v>30</v>
      </c>
      <c r="I42" s="3" t="n">
        <v>30</v>
      </c>
      <c r="J42" s="3" t="n">
        <v>30</v>
      </c>
      <c r="K42" s="3" t="n">
        <v>30</v>
      </c>
      <c r="L42" s="3" t="n">
        <v>30</v>
      </c>
    </row>
    <row r="43" customFormat="false" ht="15" hidden="false" customHeight="false" outlineLevel="0" collapsed="false">
      <c r="A43" s="0" t="s">
        <v>97</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98</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99</v>
      </c>
      <c r="C45" s="3" t="n">
        <v>1.7</v>
      </c>
      <c r="D45" s="3" t="n">
        <v>1.7</v>
      </c>
      <c r="E45" s="3" t="n">
        <v>1.7</v>
      </c>
      <c r="F45" s="3" t="n">
        <v>1.7</v>
      </c>
      <c r="G45" s="3" t="n">
        <v>1.7</v>
      </c>
      <c r="H45" s="3" t="n">
        <v>1.7</v>
      </c>
      <c r="I45" s="3" t="n">
        <v>1.7</v>
      </c>
      <c r="J45" s="3" t="n">
        <v>1.7</v>
      </c>
      <c r="K45" s="3" t="n">
        <v>1.7</v>
      </c>
      <c r="L45" s="3" t="n">
        <v>1.7</v>
      </c>
    </row>
    <row r="46" customFormat="false" ht="15" hidden="false" customHeight="false" outlineLevel="0" collapsed="false">
      <c r="A46" s="0" t="s">
        <v>100</v>
      </c>
      <c r="C46" s="3" t="n">
        <v>14.5</v>
      </c>
      <c r="D46" s="3" t="n">
        <v>14.5</v>
      </c>
      <c r="E46" s="3" t="n">
        <v>12.9</v>
      </c>
      <c r="F46" s="3" t="n">
        <v>11.4</v>
      </c>
      <c r="G46" s="3" t="n">
        <v>9.8</v>
      </c>
      <c r="H46" s="3" t="n">
        <v>9</v>
      </c>
      <c r="I46" s="3" t="n">
        <v>8.2</v>
      </c>
      <c r="J46" s="3" t="n">
        <v>7.5</v>
      </c>
      <c r="K46" s="3" t="n">
        <v>6.7</v>
      </c>
      <c r="L46" s="3" t="n">
        <v>6.7</v>
      </c>
    </row>
    <row r="47" customFormat="false" ht="15" hidden="false" customHeight="false" outlineLevel="0" collapsed="false">
      <c r="A47" s="0" t="s">
        <v>101</v>
      </c>
      <c r="C47" s="3" t="n">
        <v>30</v>
      </c>
      <c r="D47" s="3" t="n">
        <v>30</v>
      </c>
      <c r="E47" s="3" t="n">
        <v>30</v>
      </c>
      <c r="F47" s="3" t="n">
        <v>30</v>
      </c>
      <c r="G47" s="3" t="n">
        <v>30</v>
      </c>
      <c r="H47" s="3" t="n">
        <v>30</v>
      </c>
      <c r="I47" s="3" t="n">
        <v>30</v>
      </c>
      <c r="J47" s="3" t="n">
        <v>30</v>
      </c>
      <c r="K47" s="3" t="n">
        <v>30</v>
      </c>
      <c r="L47" s="3" t="n">
        <v>30</v>
      </c>
    </row>
    <row r="48" customFormat="false" ht="15" hidden="false" customHeight="false" outlineLevel="0" collapsed="false">
      <c r="A48" s="0" t="s">
        <v>102</v>
      </c>
      <c r="B48" s="3" t="n">
        <v>11</v>
      </c>
    </row>
    <row r="49" customFormat="false" ht="15" hidden="false" customHeight="false" outlineLevel="0" collapsed="false">
      <c r="A49" s="0" t="s">
        <v>103</v>
      </c>
      <c r="B49" s="3" t="n">
        <v>3</v>
      </c>
    </row>
    <row r="50" customFormat="false" ht="15" hidden="false" customHeight="false" outlineLevel="0" collapsed="false">
      <c r="A50" s="0" t="s">
        <v>104</v>
      </c>
      <c r="B50" s="3" t="n">
        <v>16</v>
      </c>
    </row>
    <row r="51" customFormat="false" ht="15" hidden="false" customHeight="false" outlineLevel="0" collapsed="false">
      <c r="A51" s="0" t="s">
        <v>105</v>
      </c>
      <c r="B51" s="3" t="n">
        <v>0</v>
      </c>
    </row>
    <row r="52" customFormat="false" ht="15" hidden="false" customHeight="false" outlineLevel="0" collapsed="false">
      <c r="A52" s="0" t="s">
        <v>106</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109</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Assumptions!C13</f>
        <v>3</v>
      </c>
      <c r="D5" s="4" t="n">
        <f aca="false">Assumptions!D13</f>
        <v>-3</v>
      </c>
      <c r="E5" s="4" t="n">
        <f aca="false">Assumptions!E13</f>
        <v>1</v>
      </c>
      <c r="F5" s="4" t="n">
        <f aca="false">Assumptions!F13</f>
        <v>4</v>
      </c>
      <c r="G5" s="4" t="n">
        <f aca="false">Assumptions!G13</f>
        <v>4</v>
      </c>
      <c r="H5" s="4" t="n">
        <f aca="false">Assumptions!H13</f>
        <v>3</v>
      </c>
      <c r="I5" s="4" t="n">
        <f aca="false">Assumptions!I13</f>
        <v>3</v>
      </c>
      <c r="J5" s="4" t="n">
        <f aca="false">Assumptions!J13</f>
        <v>2.5</v>
      </c>
      <c r="K5" s="4" t="n">
        <f aca="false">Assumptions!K13</f>
        <v>2.5</v>
      </c>
      <c r="L5" s="4" t="n">
        <f aca="false">Assumptions!L13</f>
        <v>2</v>
      </c>
    </row>
    <row r="6" customFormat="false" ht="15" hidden="false" customHeight="false" outlineLevel="0" collapsed="false">
      <c r="A6" s="0" t="s">
        <v>37</v>
      </c>
      <c r="B6" s="3" t="n">
        <v>585.952</v>
      </c>
      <c r="C6" s="0" t="n">
        <f aca="false">B6*(1+C5/100)</f>
        <v>603.53056</v>
      </c>
      <c r="D6" s="0" t="n">
        <f aca="false">C6*(1+D5/100)</f>
        <v>585.4246432</v>
      </c>
      <c r="E6" s="0" t="n">
        <f aca="false">D6*(1+E5/100)</f>
        <v>591.278889632</v>
      </c>
      <c r="F6" s="0" t="n">
        <f aca="false">E6*(1+F5/100)</f>
        <v>614.93004521728</v>
      </c>
      <c r="G6" s="0" t="n">
        <f aca="false">F6*(1+G5/100)</f>
        <v>639.527247025971</v>
      </c>
      <c r="H6" s="0" t="n">
        <f aca="false">G6*(1+H5/100)</f>
        <v>658.71306443675</v>
      </c>
      <c r="I6" s="0" t="n">
        <f aca="false">H6*(1+I5/100)</f>
        <v>678.474456369853</v>
      </c>
      <c r="J6" s="0" t="n">
        <f aca="false">I6*(1+J5/100)</f>
        <v>695.436317779099</v>
      </c>
      <c r="K6" s="0" t="n">
        <f aca="false">J6*(1+K5/100)</f>
        <v>712.822225723577</v>
      </c>
      <c r="L6" s="0" t="n">
        <f aca="false">K6*(1+L5/100)</f>
        <v>727.078670238048</v>
      </c>
    </row>
    <row r="7" customFormat="false" ht="15" hidden="false" customHeight="false" outlineLevel="0" collapsed="false">
      <c r="A7" s="0" t="s">
        <v>96</v>
      </c>
      <c r="C7" s="4" t="n">
        <f aca="false">Assumptions!C14</f>
        <v>25.5</v>
      </c>
      <c r="D7" s="4" t="n">
        <f aca="false">Assumptions!D14</f>
        <v>18</v>
      </c>
      <c r="E7" s="4" t="n">
        <f aca="false">Assumptions!E14</f>
        <v>20</v>
      </c>
      <c r="F7" s="4" t="n">
        <f aca="false">Assumptions!F14</f>
        <v>23</v>
      </c>
      <c r="G7" s="4" t="n">
        <f aca="false">Assumptions!G14</f>
        <v>24.5</v>
      </c>
      <c r="H7" s="4" t="n">
        <f aca="false">Assumptions!H14</f>
        <v>25</v>
      </c>
      <c r="I7" s="4" t="n">
        <f aca="false">Assumptions!I14</f>
        <v>25</v>
      </c>
      <c r="J7" s="4" t="n">
        <f aca="false">Assumptions!J14</f>
        <v>25</v>
      </c>
      <c r="K7" s="4" t="n">
        <f aca="false">Assumptions!K14</f>
        <v>25</v>
      </c>
      <c r="L7" s="4" t="n">
        <f aca="false">Assumptions!L14</f>
        <v>25</v>
      </c>
    </row>
    <row r="8" customFormat="false" ht="15" hidden="false" customHeight="false" outlineLevel="0" collapsed="false">
      <c r="A8" s="0" t="s">
        <v>43</v>
      </c>
      <c r="C8" s="0" t="n">
        <f aca="false">C6*C7/100</f>
        <v>153.9002928</v>
      </c>
      <c r="D8" s="0" t="n">
        <f aca="false">D6*D7/100</f>
        <v>105.376435776</v>
      </c>
      <c r="E8" s="0" t="n">
        <f aca="false">E6*E7/100</f>
        <v>118.2557779264</v>
      </c>
      <c r="F8" s="0" t="n">
        <f aca="false">F6*F7/100</f>
        <v>141.433910399974</v>
      </c>
      <c r="G8" s="0" t="n">
        <f aca="false">G6*G7/100</f>
        <v>156.684175521363</v>
      </c>
      <c r="H8" s="0" t="n">
        <f aca="false">H6*H7/100</f>
        <v>164.678266109188</v>
      </c>
      <c r="I8" s="0" t="n">
        <f aca="false">I6*I7/100</f>
        <v>169.618614092463</v>
      </c>
      <c r="J8" s="0" t="n">
        <f aca="false">J6*J7/100</f>
        <v>173.859079444775</v>
      </c>
      <c r="K8" s="0" t="n">
        <f aca="false">K6*K7/100</f>
        <v>178.205556430894</v>
      </c>
      <c r="L8" s="0" t="n">
        <f aca="false">L6*L7/100</f>
        <v>181.769667559512</v>
      </c>
    </row>
    <row r="9" customFormat="false" ht="15" hidden="false" customHeight="false" outlineLevel="0" collapsed="false">
      <c r="A9" s="0" t="s">
        <v>97</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113</v>
      </c>
      <c r="C11" s="0" t="n">
        <f aca="false">C8+C10+C24</f>
        <v>153.9002928</v>
      </c>
      <c r="D11" s="0" t="n">
        <f aca="false">D8+D10+D24</f>
        <v>105.376435776</v>
      </c>
      <c r="E11" s="0" t="n">
        <f aca="false">E8+E10+E24</f>
        <v>118.2557779264</v>
      </c>
      <c r="F11" s="0" t="n">
        <f aca="false">F8+F10+F24</f>
        <v>141.433910399974</v>
      </c>
      <c r="G11" s="0" t="n">
        <f aca="false">G8+G10+G24</f>
        <v>156.684175521363</v>
      </c>
      <c r="H11" s="0" t="n">
        <f aca="false">H8+H10+H24</f>
        <v>164.678266109188</v>
      </c>
      <c r="I11" s="0" t="n">
        <f aca="false">I8+I10+I24</f>
        <v>169.618614092463</v>
      </c>
      <c r="J11" s="0" t="n">
        <f aca="false">J8+J10+J24</f>
        <v>173.859079444775</v>
      </c>
      <c r="K11" s="0" t="n">
        <f aca="false">K8+K10+K24</f>
        <v>178.205556430894</v>
      </c>
      <c r="L11" s="0" t="n">
        <f aca="false">L8+L10+L24</f>
        <v>181.769667559512</v>
      </c>
    </row>
    <row r="12" customFormat="false" ht="15" hidden="false" customHeight="false" outlineLevel="0" collapsed="false">
      <c r="A12" s="0" t="s">
        <v>114</v>
      </c>
      <c r="C12" s="4" t="n">
        <f aca="false">-C6*Assumptions!C17/100</f>
        <v>-10.26001952</v>
      </c>
      <c r="D12" s="4" t="n">
        <f aca="false">-D6*Assumptions!D17/100</f>
        <v>-9.9522189344</v>
      </c>
      <c r="E12" s="4" t="n">
        <f aca="false">-E6*Assumptions!E17/100</f>
        <v>-10.051741123744</v>
      </c>
      <c r="F12" s="4" t="n">
        <f aca="false">-F6*Assumptions!F17/100</f>
        <v>-10.4538107686938</v>
      </c>
      <c r="G12" s="4" t="n">
        <f aca="false">-G6*Assumptions!G17/100</f>
        <v>-10.8719631994415</v>
      </c>
      <c r="H12" s="4" t="n">
        <f aca="false">-H6*Assumptions!H17/100</f>
        <v>-11.1981220954248</v>
      </c>
      <c r="I12" s="4" t="n">
        <f aca="false">-I6*Assumptions!I17/100</f>
        <v>-11.5340657582875</v>
      </c>
      <c r="J12" s="4" t="n">
        <f aca="false">-J6*Assumptions!J17/100</f>
        <v>-11.8224174022447</v>
      </c>
      <c r="K12" s="4" t="n">
        <f aca="false">-K6*Assumptions!K17/100</f>
        <v>-12.1179778373008</v>
      </c>
      <c r="L12" s="4" t="n">
        <f aca="false">-L6*Assumptions!L17/100</f>
        <v>-12.3603373940468</v>
      </c>
    </row>
    <row r="13" customFormat="false" ht="15" hidden="false" customHeight="false" outlineLevel="0" collapsed="false">
      <c r="A13" s="0" t="s">
        <v>115</v>
      </c>
      <c r="C13" s="0" t="n">
        <f aca="false">C11+C12</f>
        <v>143.64027328</v>
      </c>
      <c r="D13" s="0" t="n">
        <f aca="false">D11+D12</f>
        <v>95.4242168416</v>
      </c>
      <c r="E13" s="0" t="n">
        <f aca="false">E11+E12</f>
        <v>108.204036802656</v>
      </c>
      <c r="F13" s="0" t="n">
        <f aca="false">F11+F12</f>
        <v>130.980099631281</v>
      </c>
      <c r="G13" s="0" t="n">
        <f aca="false">G11+G12</f>
        <v>145.812212321921</v>
      </c>
      <c r="H13" s="0" t="n">
        <f aca="false">H11+H12</f>
        <v>153.480144013763</v>
      </c>
      <c r="I13" s="0" t="n">
        <f aca="false">I11+I12</f>
        <v>158.084548334176</v>
      </c>
      <c r="J13" s="0" t="n">
        <f aca="false">J11+J12</f>
        <v>162.03666204253</v>
      </c>
      <c r="K13" s="0" t="n">
        <f aca="false">K11+K12</f>
        <v>166.087578593593</v>
      </c>
      <c r="L13" s="0" t="n">
        <f aca="false">L11+L12</f>
        <v>169.409330165465</v>
      </c>
    </row>
    <row r="14" customFormat="false" ht="15" hidden="false" customHeight="false" outlineLevel="0" collapsed="false">
      <c r="A14" s="0" t="s">
        <v>101</v>
      </c>
      <c r="C14" s="4" t="n">
        <f aca="false">Assumptions!C19</f>
        <v>30</v>
      </c>
      <c r="D14" s="4" t="n">
        <f aca="false">Assumptions!D19</f>
        <v>30</v>
      </c>
      <c r="E14" s="4" t="n">
        <f aca="false">Assumptions!E19</f>
        <v>30</v>
      </c>
      <c r="F14" s="4" t="n">
        <f aca="false">Assumptions!F19</f>
        <v>30</v>
      </c>
      <c r="G14" s="4" t="n">
        <f aca="false">Assumptions!G19</f>
        <v>30</v>
      </c>
      <c r="H14" s="4" t="n">
        <f aca="false">Assumptions!H19</f>
        <v>30</v>
      </c>
      <c r="I14" s="4" t="n">
        <f aca="false">Assumptions!I19</f>
        <v>30</v>
      </c>
      <c r="J14" s="4" t="n">
        <f aca="false">Assumptions!J19</f>
        <v>30</v>
      </c>
      <c r="K14" s="4" t="n">
        <f aca="false">Assumptions!K19</f>
        <v>30</v>
      </c>
      <c r="L14" s="4" t="n">
        <f aca="false">Assumptions!L19</f>
        <v>30</v>
      </c>
    </row>
    <row r="15" customFormat="false" ht="15" hidden="false" customHeight="false" outlineLevel="0" collapsed="false">
      <c r="A15" s="0" t="s">
        <v>116</v>
      </c>
      <c r="C15" s="0" t="n">
        <f aca="false">C13-MAX(0,C13)*C14/100</f>
        <v>100.548191296</v>
      </c>
      <c r="D15" s="0" t="n">
        <f aca="false">D13-MAX(0,D13)*D14/100</f>
        <v>66.79695178912</v>
      </c>
      <c r="E15" s="0" t="n">
        <f aca="false">E13-MAX(0,E13)*E14/100</f>
        <v>75.7428257618592</v>
      </c>
      <c r="F15" s="0" t="n">
        <f aca="false">F13-MAX(0,F13)*F14/100</f>
        <v>91.6860697418965</v>
      </c>
      <c r="G15" s="0" t="n">
        <f aca="false">G13-MAX(0,G13)*G14/100</f>
        <v>102.068548625345</v>
      </c>
      <c r="H15" s="0" t="n">
        <f aca="false">H13-MAX(0,H13)*H14/100</f>
        <v>107.436100809634</v>
      </c>
      <c r="I15" s="0" t="n">
        <f aca="false">I13-MAX(0,I13)*I14/100</f>
        <v>110.659183833923</v>
      </c>
      <c r="J15" s="0" t="n">
        <f aca="false">J13-MAX(0,J13)*J14/100</f>
        <v>113.425663429771</v>
      </c>
      <c r="K15" s="0" t="n">
        <f aca="false">K13-MAX(0,K13)*K14/100</f>
        <v>116.261305015515</v>
      </c>
      <c r="L15" s="0" t="n">
        <f aca="false">L13-MAX(0,L13)*L14/100</f>
        <v>118.586531115826</v>
      </c>
    </row>
    <row r="16" customFormat="false" ht="15" hidden="false" customHeight="false" outlineLevel="0" collapsed="false">
      <c r="A16" s="0" t="s">
        <v>117</v>
      </c>
      <c r="C16" s="0" t="n">
        <f aca="false">-C12</f>
        <v>10.26001952</v>
      </c>
      <c r="D16" s="0" t="n">
        <f aca="false">-D12</f>
        <v>9.9522189344</v>
      </c>
      <c r="E16" s="0" t="n">
        <f aca="false">-E12</f>
        <v>10.051741123744</v>
      </c>
      <c r="F16" s="0" t="n">
        <f aca="false">-F12</f>
        <v>10.4538107686938</v>
      </c>
      <c r="G16" s="0" t="n">
        <f aca="false">-G12</f>
        <v>10.8719631994415</v>
      </c>
      <c r="H16" s="0" t="n">
        <f aca="false">-H12</f>
        <v>11.1981220954248</v>
      </c>
      <c r="I16" s="0" t="n">
        <f aca="false">-I12</f>
        <v>11.5340657582875</v>
      </c>
      <c r="J16" s="0" t="n">
        <f aca="false">-J12</f>
        <v>11.8224174022447</v>
      </c>
      <c r="K16" s="0" t="n">
        <f aca="false">-K12</f>
        <v>12.1179778373008</v>
      </c>
      <c r="L16" s="0" t="n">
        <f aca="false">-L12</f>
        <v>12.3603373940468</v>
      </c>
    </row>
    <row r="17" customFormat="false" ht="15" hidden="false" customHeight="false" outlineLevel="0" collapsed="false">
      <c r="A17" s="0" t="s">
        <v>118</v>
      </c>
      <c r="C17" s="4" t="n">
        <f aca="false">-C6*Assumptions!C18/100</f>
        <v>-40.43654752</v>
      </c>
      <c r="D17" s="4" t="n">
        <f aca="false">-D6*Assumptions!D18/100</f>
        <v>-11.708492864</v>
      </c>
      <c r="E17" s="4" t="n">
        <f aca="false">-E6*Assumptions!E18/100</f>
        <v>-21.286040026752</v>
      </c>
      <c r="F17" s="4" t="n">
        <f aca="false">-F6*Assumptions!F18/100</f>
        <v>-50.424263707817</v>
      </c>
      <c r="G17" s="4" t="n">
        <f aca="false">-G6*Assumptions!G18/100</f>
        <v>-52.4412342561296</v>
      </c>
      <c r="H17" s="4" t="n">
        <f aca="false">-H6*Assumptions!H18/100</f>
        <v>-44.1337753172623</v>
      </c>
      <c r="I17" s="4" t="n">
        <f aca="false">-I6*Assumptions!I18/100</f>
        <v>-45.4577885767801</v>
      </c>
      <c r="J17" s="4" t="n">
        <f aca="false">-J6*Assumptions!J18/100</f>
        <v>-41.0307427489669</v>
      </c>
      <c r="K17" s="4" t="n">
        <f aca="false">-K6*Assumptions!K18/100</f>
        <v>-42.056511317691</v>
      </c>
      <c r="L17" s="4" t="n">
        <f aca="false">-L6*Assumptions!L18/100</f>
        <v>-37.0810121821405</v>
      </c>
    </row>
    <row r="18" customFormat="false" ht="15" hidden="false" customHeight="false" outlineLevel="0" collapsed="false">
      <c r="A18" s="0" t="s">
        <v>119</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120</v>
      </c>
      <c r="C19" s="0" t="n">
        <f aca="false">C15+C16+C17+C18</f>
        <v>70.371663296</v>
      </c>
      <c r="D19" s="0" t="n">
        <f aca="false">D15+D16+D17+D18</f>
        <v>65.04067785952</v>
      </c>
      <c r="E19" s="0" t="n">
        <f aca="false">E15+E16+E17+E18</f>
        <v>64.5085268588512</v>
      </c>
      <c r="F19" s="0" t="n">
        <f aca="false">F15+F16+F17+F18</f>
        <v>51.7156168027733</v>
      </c>
      <c r="G19" s="0" t="n">
        <f aca="false">G15+G16+G17+G18</f>
        <v>60.4992775686569</v>
      </c>
      <c r="H19" s="0" t="n">
        <f aca="false">H15+H16+H17+H18</f>
        <v>74.5004475877964</v>
      </c>
      <c r="I19" s="0" t="n">
        <f aca="false">I15+I16+I17+I18</f>
        <v>76.7354610154304</v>
      </c>
      <c r="J19" s="0" t="n">
        <f aca="false">J15+J16+J17+J18</f>
        <v>84.2173380830489</v>
      </c>
      <c r="K19" s="0" t="n">
        <f aca="false">K15+K16+K17+K18</f>
        <v>86.3227715351251</v>
      </c>
      <c r="L19" s="0" t="n">
        <f aca="false">L15+L16+L17+L18</f>
        <v>93.865856327732</v>
      </c>
    </row>
    <row r="20" customFormat="false" ht="15" hidden="false" customHeight="false" outlineLevel="0" collapsed="false">
      <c r="A20" s="0" t="s">
        <v>121</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122</v>
      </c>
      <c r="C21" s="0" t="n">
        <f aca="false">C19*C20</f>
        <v>63.3978948612613</v>
      </c>
      <c r="D21" s="0" t="n">
        <f aca="false">D19*D20</f>
        <v>52.7884732241863</v>
      </c>
      <c r="E21" s="0" t="n">
        <f aca="false">E19*E20</f>
        <v>47.1680788596128</v>
      </c>
      <c r="F21" s="0" t="n">
        <f aca="false">F19*F20</f>
        <v>34.0666786350004</v>
      </c>
      <c r="G21" s="0" t="n">
        <f aca="false">G19*G20</f>
        <v>35.9033766197028</v>
      </c>
      <c r="H21" s="0" t="n">
        <f aca="false">H19*H20</f>
        <v>39.8309815873287</v>
      </c>
      <c r="I21" s="0" t="n">
        <f aca="false">I19*I20</f>
        <v>36.9602802116654</v>
      </c>
      <c r="J21" s="0" t="n">
        <f aca="false">J19*J20</f>
        <v>36.5441344419233</v>
      </c>
      <c r="K21" s="0" t="n">
        <f aca="false">K19*K20</f>
        <v>33.7457097324066</v>
      </c>
      <c r="L21" s="0" t="n">
        <f aca="false">L19*L20</f>
        <v>33.0580976855013</v>
      </c>
    </row>
    <row r="23" customFormat="false" ht="15" hidden="false" customHeight="false" outlineLevel="0" collapsed="false">
      <c r="A23" s="0" t="s">
        <v>98</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124</v>
      </c>
    </row>
    <row r="27" customFormat="false" ht="15" hidden="false" customHeight="false" outlineLevel="0" collapsed="false">
      <c r="A27" s="0" t="s">
        <v>102</v>
      </c>
      <c r="B27" s="4" t="n">
        <f aca="false">Assumptions!$B$20</f>
        <v>11</v>
      </c>
    </row>
    <row r="28" customFormat="false" ht="15" hidden="false" customHeight="false" outlineLevel="0" collapsed="false">
      <c r="A28" s="0" t="s">
        <v>103</v>
      </c>
      <c r="B28" s="4" t="n">
        <f aca="false">Assumptions!$B$21</f>
        <v>2</v>
      </c>
    </row>
    <row r="29" customFormat="false" ht="15" hidden="false" customHeight="false" outlineLevel="0" collapsed="false">
      <c r="A29" s="0" t="s">
        <v>104</v>
      </c>
      <c r="B29" s="4" t="n">
        <f aca="false">Assumptions!$B$22</f>
        <v>12</v>
      </c>
    </row>
    <row r="30" customFormat="false" ht="15" hidden="false" customHeight="false" outlineLevel="0" collapsed="false">
      <c r="A30" s="0" t="s">
        <v>125</v>
      </c>
      <c r="B30" s="0" t="n">
        <f aca="false">SUM(C21:L21)</f>
        <v>413.463705858589</v>
      </c>
    </row>
    <row r="31" customFormat="false" ht="15" hidden="false" customHeight="false" outlineLevel="0" collapsed="false">
      <c r="A31" s="0" t="s">
        <v>126</v>
      </c>
      <c r="B31" s="0" t="n">
        <f aca="false">L19</f>
        <v>93.865856327732</v>
      </c>
    </row>
    <row r="32" customFormat="false" ht="15" hidden="false" customHeight="false" outlineLevel="0" collapsed="false">
      <c r="A32" s="0" t="s">
        <v>127</v>
      </c>
      <c r="B32" s="0" t="n">
        <f aca="false">IF(B27&gt;B28,B31*(1+B28/100)/((B27-B28)/100),B31*B29)</f>
        <v>1063.81303838096</v>
      </c>
    </row>
    <row r="33" customFormat="false" ht="15" hidden="false" customHeight="false" outlineLevel="0" collapsed="false">
      <c r="A33" s="0" t="s">
        <v>128</v>
      </c>
      <c r="B33" s="0" t="n">
        <f aca="false">B31*B29</f>
        <v>1126.39027593278</v>
      </c>
    </row>
    <row r="34" customFormat="false" ht="15" hidden="false" customHeight="false" outlineLevel="0" collapsed="false">
      <c r="A34" s="0" t="s">
        <v>129</v>
      </c>
      <c r="B34" s="0" t="n">
        <f aca="false">MAX(0,MIN(B32,B33))</f>
        <v>1063.81303838096</v>
      </c>
    </row>
    <row r="35" customFormat="false" ht="15" hidden="false" customHeight="false" outlineLevel="0" collapsed="false">
      <c r="A35" s="0" t="s">
        <v>130</v>
      </c>
      <c r="B35" s="0" t="n">
        <f aca="false">B34/(1+B27/100)^L4</f>
        <v>374.658440435681</v>
      </c>
    </row>
    <row r="36" customFormat="false" ht="15" hidden="false" customHeight="false" outlineLevel="0" collapsed="false">
      <c r="A36" s="0" t="s">
        <v>131</v>
      </c>
      <c r="B36" s="0" t="n">
        <f aca="false">B30+B35</f>
        <v>788.12214629427</v>
      </c>
    </row>
    <row r="37" customFormat="false" ht="15" hidden="false" customHeight="false" outlineLevel="0" collapsed="false">
      <c r="A37" s="0" t="s">
        <v>132</v>
      </c>
      <c r="B37" s="0" t="n">
        <f aca="false">B36+Assumptions!$B$5-Assumptions!$B$4</f>
        <v>788.12214629427</v>
      </c>
    </row>
    <row r="38" customFormat="false" ht="15" hidden="false" customHeight="false" outlineLevel="0" collapsed="false">
      <c r="A38" s="0" t="s">
        <v>133</v>
      </c>
      <c r="B38" s="0" t="n">
        <f aca="false">B37/Assumptions!$B$3*Assumptions!$B$10</f>
        <v>11.578623213808</v>
      </c>
    </row>
    <row r="39" customFormat="false" ht="15" hidden="false" customHeight="false" outlineLevel="0" collapsed="false">
      <c r="A39" s="0" t="s">
        <v>134</v>
      </c>
      <c r="B39" s="4" t="n">
        <f aca="false">B38/Assumptions!$B$2-1</f>
        <v>-0.168202355329884</v>
      </c>
    </row>
    <row r="41" customFormat="false" ht="15" hidden="false" customHeight="false" outlineLevel="0" collapsed="false">
      <c r="A41" s="0" t="s">
        <v>135</v>
      </c>
      <c r="B41" s="0" t="n">
        <f aca="false">SUMPRODUCT(-C10:L10/(1+$B$27/100)^C4:L4)</f>
        <v>0</v>
      </c>
    </row>
    <row r="42" customFormat="false" ht="15" hidden="false" customHeight="false" outlineLevel="0" collapsed="false">
      <c r="A42" s="0" t="s">
        <v>136</v>
      </c>
      <c r="B42" s="0" t="n">
        <f aca="false">IF(B27&gt;B28,-L10*(1+B28/100)/((B27-B28)/100),-L10*20)/(1+B27/100)^L4</f>
        <v>0</v>
      </c>
    </row>
    <row r="43" customFormat="false" ht="15" hidden="false" customHeight="false" outlineLevel="0" collapsed="false">
      <c r="A43" s="0" t="s">
        <v>137</v>
      </c>
      <c r="B43" s="0" t="n">
        <f aca="false">(B37+B41+B42)/Assumptions!$B$3*Assumptions!$B$10</f>
        <v>11.578623213808</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736.485949648359</v>
      </c>
    </row>
    <row r="47" customFormat="false" ht="15" hidden="false" customHeight="false" outlineLevel="0" collapsed="false">
      <c r="A47" s="0" t="s">
        <v>139</v>
      </c>
      <c r="B47" s="0" t="n">
        <f aca="false">(SUMPRODUCT(C19:L19/(1+B45/100)^C4:L4)+B46/(1+B45/100)^L4+Assumptions!$B$5-Assumptions!$B$4)/Assumptions!$B$3*Assumptions!$B$10</f>
        <v>7.79836544940058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140</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Assumptions!C27</f>
        <v>6</v>
      </c>
      <c r="D5" s="4" t="n">
        <f aca="false">Assumptions!D27</f>
        <v>6</v>
      </c>
      <c r="E5" s="4" t="n">
        <f aca="false">Assumptions!E27</f>
        <v>5</v>
      </c>
      <c r="F5" s="4" t="n">
        <f aca="false">Assumptions!F27</f>
        <v>5</v>
      </c>
      <c r="G5" s="4" t="n">
        <f aca="false">Assumptions!G27</f>
        <v>4</v>
      </c>
      <c r="H5" s="4" t="n">
        <f aca="false">Assumptions!H27</f>
        <v>4</v>
      </c>
      <c r="I5" s="4" t="n">
        <f aca="false">Assumptions!I27</f>
        <v>3.5</v>
      </c>
      <c r="J5" s="4" t="n">
        <f aca="false">Assumptions!J27</f>
        <v>3</v>
      </c>
      <c r="K5" s="4" t="n">
        <f aca="false">Assumptions!K27</f>
        <v>3</v>
      </c>
      <c r="L5" s="4" t="n">
        <f aca="false">Assumptions!L27</f>
        <v>2.5</v>
      </c>
    </row>
    <row r="6" customFormat="false" ht="15" hidden="false" customHeight="false" outlineLevel="0" collapsed="false">
      <c r="A6" s="0" t="s">
        <v>37</v>
      </c>
      <c r="B6" s="3" t="n">
        <v>585.952</v>
      </c>
      <c r="C6" s="0" t="n">
        <f aca="false">B6*(1+C5/100)</f>
        <v>621.10912</v>
      </c>
      <c r="D6" s="0" t="n">
        <f aca="false">C6*(1+D5/100)</f>
        <v>658.3756672</v>
      </c>
      <c r="E6" s="0" t="n">
        <f aca="false">D6*(1+E5/100)</f>
        <v>691.29445056</v>
      </c>
      <c r="F6" s="0" t="n">
        <f aca="false">E6*(1+F5/100)</f>
        <v>725.859173088</v>
      </c>
      <c r="G6" s="0" t="n">
        <f aca="false">F6*(1+G5/100)</f>
        <v>754.89354001152</v>
      </c>
      <c r="H6" s="0" t="n">
        <f aca="false">G6*(1+H5/100)</f>
        <v>785.089281611981</v>
      </c>
      <c r="I6" s="0" t="n">
        <f aca="false">H6*(1+I5/100)</f>
        <v>812.5674064684</v>
      </c>
      <c r="J6" s="0" t="n">
        <f aca="false">I6*(1+J5/100)</f>
        <v>836.944428662452</v>
      </c>
      <c r="K6" s="0" t="n">
        <f aca="false">J6*(1+K5/100)</f>
        <v>862.052761522326</v>
      </c>
      <c r="L6" s="0" t="n">
        <f aca="false">K6*(1+L5/100)</f>
        <v>883.604080560384</v>
      </c>
    </row>
    <row r="7" customFormat="false" ht="15" hidden="false" customHeight="false" outlineLevel="0" collapsed="false">
      <c r="A7" s="0" t="s">
        <v>96</v>
      </c>
      <c r="C7" s="4" t="n">
        <f aca="false">Assumptions!C28</f>
        <v>27.6</v>
      </c>
      <c r="D7" s="4" t="n">
        <f aca="false">Assumptions!D28</f>
        <v>27.8</v>
      </c>
      <c r="E7" s="4" t="n">
        <f aca="false">Assumptions!E28</f>
        <v>28</v>
      </c>
      <c r="F7" s="4" t="n">
        <f aca="false">Assumptions!F28</f>
        <v>28</v>
      </c>
      <c r="G7" s="4" t="n">
        <f aca="false">Assumptions!G28</f>
        <v>28</v>
      </c>
      <c r="H7" s="4" t="n">
        <f aca="false">Assumptions!H28</f>
        <v>28</v>
      </c>
      <c r="I7" s="4" t="n">
        <f aca="false">Assumptions!I28</f>
        <v>28</v>
      </c>
      <c r="J7" s="4" t="n">
        <f aca="false">Assumptions!J28</f>
        <v>28</v>
      </c>
      <c r="K7" s="4" t="n">
        <f aca="false">Assumptions!K28</f>
        <v>28</v>
      </c>
      <c r="L7" s="4" t="n">
        <f aca="false">Assumptions!L28</f>
        <v>28</v>
      </c>
    </row>
    <row r="8" customFormat="false" ht="15" hidden="false" customHeight="false" outlineLevel="0" collapsed="false">
      <c r="A8" s="0" t="s">
        <v>43</v>
      </c>
      <c r="C8" s="0" t="n">
        <f aca="false">C6*C7/100</f>
        <v>171.42611712</v>
      </c>
      <c r="D8" s="0" t="n">
        <f aca="false">D6*D7/100</f>
        <v>183.0284354816</v>
      </c>
      <c r="E8" s="0" t="n">
        <f aca="false">E6*E7/100</f>
        <v>193.5624461568</v>
      </c>
      <c r="F8" s="0" t="n">
        <f aca="false">F6*F7/100</f>
        <v>203.24056846464</v>
      </c>
      <c r="G8" s="0" t="n">
        <f aca="false">G6*G7/100</f>
        <v>211.370191203226</v>
      </c>
      <c r="H8" s="0" t="n">
        <f aca="false">H6*H7/100</f>
        <v>219.824998851355</v>
      </c>
      <c r="I8" s="0" t="n">
        <f aca="false">I6*I7/100</f>
        <v>227.518873811152</v>
      </c>
      <c r="J8" s="0" t="n">
        <f aca="false">J6*J7/100</f>
        <v>234.344440025487</v>
      </c>
      <c r="K8" s="0" t="n">
        <f aca="false">K6*K7/100</f>
        <v>241.374773226251</v>
      </c>
      <c r="L8" s="0" t="n">
        <f aca="false">L6*L7/100</f>
        <v>247.409142556908</v>
      </c>
    </row>
    <row r="9" customFormat="false" ht="15" hidden="false" customHeight="false" outlineLevel="0" collapsed="false">
      <c r="A9" s="0" t="s">
        <v>97</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113</v>
      </c>
      <c r="C11" s="0" t="n">
        <f aca="false">C8+C10+C24</f>
        <v>171.42611712</v>
      </c>
      <c r="D11" s="0" t="n">
        <f aca="false">D8+D10+D24</f>
        <v>183.0284354816</v>
      </c>
      <c r="E11" s="0" t="n">
        <f aca="false">E8+E10+E24</f>
        <v>193.5624461568</v>
      </c>
      <c r="F11" s="0" t="n">
        <f aca="false">F8+F10+F24</f>
        <v>203.24056846464</v>
      </c>
      <c r="G11" s="0" t="n">
        <f aca="false">G8+G10+G24</f>
        <v>211.370191203226</v>
      </c>
      <c r="H11" s="0" t="n">
        <f aca="false">H8+H10+H24</f>
        <v>219.824998851355</v>
      </c>
      <c r="I11" s="0" t="n">
        <f aca="false">I8+I10+I24</f>
        <v>227.518873811152</v>
      </c>
      <c r="J11" s="0" t="n">
        <f aca="false">J8+J10+J24</f>
        <v>234.344440025487</v>
      </c>
      <c r="K11" s="0" t="n">
        <f aca="false">K8+K10+K24</f>
        <v>241.374773226251</v>
      </c>
      <c r="L11" s="0" t="n">
        <f aca="false">L8+L10+L24</f>
        <v>247.409142556908</v>
      </c>
    </row>
    <row r="12" customFormat="false" ht="15" hidden="false" customHeight="false" outlineLevel="0" collapsed="false">
      <c r="A12" s="0" t="s">
        <v>114</v>
      </c>
      <c r="C12" s="4" t="n">
        <f aca="false">-C6*Assumptions!C31/100</f>
        <v>-10.55885504</v>
      </c>
      <c r="D12" s="4" t="n">
        <f aca="false">-D6*Assumptions!D31/100</f>
        <v>-11.1923863424</v>
      </c>
      <c r="E12" s="4" t="n">
        <f aca="false">-E6*Assumptions!E31/100</f>
        <v>-11.75200565952</v>
      </c>
      <c r="F12" s="4" t="n">
        <f aca="false">-F6*Assumptions!F31/100</f>
        <v>-12.339605942496</v>
      </c>
      <c r="G12" s="4" t="n">
        <f aca="false">-G6*Assumptions!G31/100</f>
        <v>-12.8331901801958</v>
      </c>
      <c r="H12" s="4" t="n">
        <f aca="false">-H6*Assumptions!H31/100</f>
        <v>-13.3465177874037</v>
      </c>
      <c r="I12" s="4" t="n">
        <f aca="false">-I6*Assumptions!I31/100</f>
        <v>-13.8136459099628</v>
      </c>
      <c r="J12" s="4" t="n">
        <f aca="false">-J6*Assumptions!J31/100</f>
        <v>-14.2280552872617</v>
      </c>
      <c r="K12" s="4" t="n">
        <f aca="false">-K6*Assumptions!K31/100</f>
        <v>-14.6548969458795</v>
      </c>
      <c r="L12" s="4" t="n">
        <f aca="false">-L6*Assumptions!L31/100</f>
        <v>-15.0212693695265</v>
      </c>
    </row>
    <row r="13" customFormat="false" ht="15" hidden="false" customHeight="false" outlineLevel="0" collapsed="false">
      <c r="A13" s="0" t="s">
        <v>115</v>
      </c>
      <c r="C13" s="0" t="n">
        <f aca="false">C11+C12</f>
        <v>160.86726208</v>
      </c>
      <c r="D13" s="0" t="n">
        <f aca="false">D11+D12</f>
        <v>171.8360491392</v>
      </c>
      <c r="E13" s="0" t="n">
        <f aca="false">E11+E12</f>
        <v>181.81044049728</v>
      </c>
      <c r="F13" s="0" t="n">
        <f aca="false">F11+F12</f>
        <v>190.900962522144</v>
      </c>
      <c r="G13" s="0" t="n">
        <f aca="false">G11+G12</f>
        <v>198.53700102303</v>
      </c>
      <c r="H13" s="0" t="n">
        <f aca="false">H11+H12</f>
        <v>206.478481063951</v>
      </c>
      <c r="I13" s="0" t="n">
        <f aca="false">I11+I12</f>
        <v>213.705227901189</v>
      </c>
      <c r="J13" s="0" t="n">
        <f aca="false">J11+J12</f>
        <v>220.116384738225</v>
      </c>
      <c r="K13" s="0" t="n">
        <f aca="false">K11+K12</f>
        <v>226.719876280372</v>
      </c>
      <c r="L13" s="0" t="n">
        <f aca="false">L11+L12</f>
        <v>232.387873187381</v>
      </c>
    </row>
    <row r="14" customFormat="false" ht="15" hidden="false" customHeight="false" outlineLevel="0" collapsed="false">
      <c r="A14" s="0" t="s">
        <v>101</v>
      </c>
      <c r="C14" s="4" t="n">
        <f aca="false">Assumptions!C33</f>
        <v>30</v>
      </c>
      <c r="D14" s="4" t="n">
        <f aca="false">Assumptions!D33</f>
        <v>30</v>
      </c>
      <c r="E14" s="4" t="n">
        <f aca="false">Assumptions!E33</f>
        <v>30</v>
      </c>
      <c r="F14" s="4" t="n">
        <f aca="false">Assumptions!F33</f>
        <v>30</v>
      </c>
      <c r="G14" s="4" t="n">
        <f aca="false">Assumptions!G33</f>
        <v>30</v>
      </c>
      <c r="H14" s="4" t="n">
        <f aca="false">Assumptions!H33</f>
        <v>30</v>
      </c>
      <c r="I14" s="4" t="n">
        <f aca="false">Assumptions!I33</f>
        <v>30</v>
      </c>
      <c r="J14" s="4" t="n">
        <f aca="false">Assumptions!J33</f>
        <v>30</v>
      </c>
      <c r="K14" s="4" t="n">
        <f aca="false">Assumptions!K33</f>
        <v>30</v>
      </c>
      <c r="L14" s="4" t="n">
        <f aca="false">Assumptions!L33</f>
        <v>30</v>
      </c>
    </row>
    <row r="15" customFormat="false" ht="15" hidden="false" customHeight="false" outlineLevel="0" collapsed="false">
      <c r="A15" s="0" t="s">
        <v>116</v>
      </c>
      <c r="C15" s="0" t="n">
        <f aca="false">C13-MAX(0,C13)*C14/100</f>
        <v>112.607083456</v>
      </c>
      <c r="D15" s="0" t="n">
        <f aca="false">D13-MAX(0,D13)*D14/100</f>
        <v>120.28523439744</v>
      </c>
      <c r="E15" s="0" t="n">
        <f aca="false">E13-MAX(0,E13)*E14/100</f>
        <v>127.267308348096</v>
      </c>
      <c r="F15" s="0" t="n">
        <f aca="false">F13-MAX(0,F13)*F14/100</f>
        <v>133.630673765501</v>
      </c>
      <c r="G15" s="0" t="n">
        <f aca="false">G13-MAX(0,G13)*G14/100</f>
        <v>138.975900716121</v>
      </c>
      <c r="H15" s="0" t="n">
        <f aca="false">H13-MAX(0,H13)*H14/100</f>
        <v>144.534936744766</v>
      </c>
      <c r="I15" s="0" t="n">
        <f aca="false">I13-MAX(0,I13)*I14/100</f>
        <v>149.593659530833</v>
      </c>
      <c r="J15" s="0" t="n">
        <f aca="false">J13-MAX(0,J13)*J14/100</f>
        <v>154.081469316757</v>
      </c>
      <c r="K15" s="0" t="n">
        <f aca="false">K13-MAX(0,K13)*K14/100</f>
        <v>158.70391339626</v>
      </c>
      <c r="L15" s="0" t="n">
        <f aca="false">L13-MAX(0,L13)*L14/100</f>
        <v>162.671511231167</v>
      </c>
    </row>
    <row r="16" customFormat="false" ht="15" hidden="false" customHeight="false" outlineLevel="0" collapsed="false">
      <c r="A16" s="0" t="s">
        <v>117</v>
      </c>
      <c r="C16" s="0" t="n">
        <f aca="false">-C12</f>
        <v>10.55885504</v>
      </c>
      <c r="D16" s="0" t="n">
        <f aca="false">-D12</f>
        <v>11.1923863424</v>
      </c>
      <c r="E16" s="0" t="n">
        <f aca="false">-E12</f>
        <v>11.75200565952</v>
      </c>
      <c r="F16" s="0" t="n">
        <f aca="false">-F12</f>
        <v>12.339605942496</v>
      </c>
      <c r="G16" s="0" t="n">
        <f aca="false">-G12</f>
        <v>12.8331901801958</v>
      </c>
      <c r="H16" s="0" t="n">
        <f aca="false">-H12</f>
        <v>13.3465177874037</v>
      </c>
      <c r="I16" s="0" t="n">
        <f aca="false">-I12</f>
        <v>13.8136459099628</v>
      </c>
      <c r="J16" s="0" t="n">
        <f aca="false">-J12</f>
        <v>14.2280552872617</v>
      </c>
      <c r="K16" s="0" t="n">
        <f aca="false">-K12</f>
        <v>14.6548969458795</v>
      </c>
      <c r="L16" s="0" t="n">
        <f aca="false">-L12</f>
        <v>15.0212693695265</v>
      </c>
    </row>
    <row r="17" customFormat="false" ht="15" hidden="false" customHeight="false" outlineLevel="0" collapsed="false">
      <c r="A17" s="0" t="s">
        <v>118</v>
      </c>
      <c r="C17" s="4" t="n">
        <f aca="false">-C6*Assumptions!C32/100</f>
        <v>-70.80643968</v>
      </c>
      <c r="D17" s="4" t="n">
        <f aca="false">-D6*Assumptions!D32/100</f>
        <v>-75.0548260608</v>
      </c>
      <c r="E17" s="4" t="n">
        <f aca="false">-E6*Assumptions!E32/100</f>
        <v>-67.74685615488</v>
      </c>
      <c r="F17" s="4" t="n">
        <f aca="false">-F6*Assumptions!F32/100</f>
        <v>-71.134198962624</v>
      </c>
      <c r="G17" s="4" t="n">
        <f aca="false">-G6*Assumptions!G32/100</f>
        <v>-61.9012702809446</v>
      </c>
      <c r="H17" s="4" t="n">
        <f aca="false">-H6*Assumptions!H32/100</f>
        <v>-64.3773210921824</v>
      </c>
      <c r="I17" s="4" t="n">
        <f aca="false">-I6*Assumptions!I32/100</f>
        <v>-60.94255548513</v>
      </c>
      <c r="J17" s="4" t="n">
        <f aca="false">-J6*Assumptions!J32/100</f>
        <v>-56.0752767203843</v>
      </c>
      <c r="K17" s="4" t="n">
        <f aca="false">-K6*Assumptions!K32/100</f>
        <v>-57.7575350219958</v>
      </c>
      <c r="L17" s="4" t="n">
        <f aca="false">-L6*Assumptions!L32/100</f>
        <v>-52.1326407530627</v>
      </c>
    </row>
    <row r="18" customFormat="false" ht="15" hidden="false" customHeight="false" outlineLevel="0" collapsed="false">
      <c r="A18" s="0" t="s">
        <v>119</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120</v>
      </c>
      <c r="C19" s="0" t="n">
        <f aca="false">C15+C16+C17+C18</f>
        <v>52.359498816</v>
      </c>
      <c r="D19" s="0" t="n">
        <f aca="false">D15+D16+D17+D18</f>
        <v>56.42279467904</v>
      </c>
      <c r="E19" s="0" t="n">
        <f aca="false">E15+E16+E17+E18</f>
        <v>71.272457852736</v>
      </c>
      <c r="F19" s="0" t="n">
        <f aca="false">F15+F16+F17+F18</f>
        <v>74.8360807453728</v>
      </c>
      <c r="G19" s="0" t="n">
        <f aca="false">G15+G16+G17+G18</f>
        <v>89.9078206153721</v>
      </c>
      <c r="H19" s="0" t="n">
        <f aca="false">H15+H16+H17+H18</f>
        <v>93.5041334399869</v>
      </c>
      <c r="I19" s="0" t="n">
        <f aca="false">I15+I16+I17+I18</f>
        <v>102.464749955665</v>
      </c>
      <c r="J19" s="0" t="n">
        <f aca="false">J15+J16+J17+J18</f>
        <v>112.234247883635</v>
      </c>
      <c r="K19" s="0" t="n">
        <f aca="false">K15+K16+K17+K18</f>
        <v>115.601275320144</v>
      </c>
      <c r="L19" s="0" t="n">
        <f aca="false">L15+L16+L17+L18</f>
        <v>125.560139847631</v>
      </c>
    </row>
    <row r="20" customFormat="false" ht="15" hidden="false" customHeight="false" outlineLevel="0" collapsed="false">
      <c r="A20" s="0" t="s">
        <v>121</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122</v>
      </c>
      <c r="C21" s="0" t="n">
        <f aca="false">C19*C20</f>
        <v>47.170719654054</v>
      </c>
      <c r="D21" s="0" t="n">
        <f aca="false">D19*D20</f>
        <v>45.7940059078321</v>
      </c>
      <c r="E21" s="0" t="n">
        <f aca="false">E19*E20</f>
        <v>52.1138069060558</v>
      </c>
      <c r="F21" s="0" t="n">
        <f aca="false">F19*F20</f>
        <v>49.2968443705933</v>
      </c>
      <c r="G21" s="0" t="n">
        <f aca="false">G19*G20</f>
        <v>53.3559155470432</v>
      </c>
      <c r="H21" s="0" t="n">
        <f aca="false">H19*H20</f>
        <v>49.9911280801125</v>
      </c>
      <c r="I21" s="0" t="n">
        <f aca="false">I19*I20</f>
        <v>49.3530086359692</v>
      </c>
      <c r="J21" s="0" t="n">
        <f aca="false">J19*J20</f>
        <v>48.7014139487892</v>
      </c>
      <c r="K21" s="0" t="n">
        <f aca="false">K19*K20</f>
        <v>45.1914021326603</v>
      </c>
      <c r="L21" s="0" t="n">
        <f aca="false">L19*L20</f>
        <v>44.2203324070869</v>
      </c>
    </row>
    <row r="23" customFormat="false" ht="15" hidden="false" customHeight="false" outlineLevel="0" collapsed="false">
      <c r="A23" s="0" t="s">
        <v>98</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124</v>
      </c>
    </row>
    <row r="27" customFormat="false" ht="15" hidden="false" customHeight="false" outlineLevel="0" collapsed="false">
      <c r="A27" s="0" t="s">
        <v>102</v>
      </c>
      <c r="B27" s="4" t="n">
        <f aca="false">Assumptions!$B$34</f>
        <v>11</v>
      </c>
    </row>
    <row r="28" customFormat="false" ht="15" hidden="false" customHeight="false" outlineLevel="0" collapsed="false">
      <c r="A28" s="0" t="s">
        <v>103</v>
      </c>
      <c r="B28" s="4" t="n">
        <f aca="false">Assumptions!$B$35</f>
        <v>2.5</v>
      </c>
    </row>
    <row r="29" customFormat="false" ht="15" hidden="false" customHeight="false" outlineLevel="0" collapsed="false">
      <c r="A29" s="0" t="s">
        <v>104</v>
      </c>
      <c r="B29" s="4" t="n">
        <f aca="false">Assumptions!$B$36</f>
        <v>15</v>
      </c>
    </row>
    <row r="30" customFormat="false" ht="15" hidden="false" customHeight="false" outlineLevel="0" collapsed="false">
      <c r="A30" s="0" t="s">
        <v>125</v>
      </c>
      <c r="B30" s="0" t="n">
        <f aca="false">SUM(C21:L21)</f>
        <v>485.188577590197</v>
      </c>
    </row>
    <row r="31" customFormat="false" ht="15" hidden="false" customHeight="false" outlineLevel="0" collapsed="false">
      <c r="A31" s="0" t="s">
        <v>126</v>
      </c>
      <c r="B31" s="0" t="n">
        <f aca="false">L19</f>
        <v>125.560139847631</v>
      </c>
    </row>
    <row r="32" customFormat="false" ht="15" hidden="false" customHeight="false" outlineLevel="0" collapsed="false">
      <c r="A32" s="0" t="s">
        <v>127</v>
      </c>
      <c r="B32" s="0" t="n">
        <f aca="false">IF(B27&gt;B28,B31*(1+B28/100)/((B27-B28)/100),B31*B29)</f>
        <v>1514.10756875084</v>
      </c>
    </row>
    <row r="33" customFormat="false" ht="15" hidden="false" customHeight="false" outlineLevel="0" collapsed="false">
      <c r="A33" s="0" t="s">
        <v>128</v>
      </c>
      <c r="B33" s="0" t="n">
        <f aca="false">B31*B29</f>
        <v>1883.40209771446</v>
      </c>
    </row>
    <row r="34" customFormat="false" ht="15" hidden="false" customHeight="false" outlineLevel="0" collapsed="false">
      <c r="A34" s="0" t="s">
        <v>129</v>
      </c>
      <c r="B34" s="0" t="n">
        <f aca="false">MAX(0,MIN(B32,B33))</f>
        <v>1514.10756875084</v>
      </c>
    </row>
    <row r="35" customFormat="false" ht="15" hidden="false" customHeight="false" outlineLevel="0" collapsed="false">
      <c r="A35" s="0" t="s">
        <v>130</v>
      </c>
      <c r="B35" s="0" t="n">
        <f aca="false">B34/(1+B27/100)^L4</f>
        <v>533.245184908989</v>
      </c>
    </row>
    <row r="36" customFormat="false" ht="15" hidden="false" customHeight="false" outlineLevel="0" collapsed="false">
      <c r="A36" s="0" t="s">
        <v>131</v>
      </c>
      <c r="B36" s="0" t="n">
        <f aca="false">B30+B35</f>
        <v>1018.43376249919</v>
      </c>
    </row>
    <row r="37" customFormat="false" ht="15" hidden="false" customHeight="false" outlineLevel="0" collapsed="false">
      <c r="A37" s="0" t="s">
        <v>132</v>
      </c>
      <c r="B37" s="0" t="n">
        <f aca="false">B36+Assumptions!$B$5-Assumptions!$B$4</f>
        <v>1018.43376249919</v>
      </c>
    </row>
    <row r="38" customFormat="false" ht="15" hidden="false" customHeight="false" outlineLevel="0" collapsed="false">
      <c r="A38" s="0" t="s">
        <v>133</v>
      </c>
      <c r="B38" s="0" t="n">
        <f aca="false">B37/Assumptions!$B$3*Assumptions!$B$10</f>
        <v>14.962224903392</v>
      </c>
    </row>
    <row r="39" customFormat="false" ht="15" hidden="false" customHeight="false" outlineLevel="0" collapsed="false">
      <c r="A39" s="0" t="s">
        <v>134</v>
      </c>
      <c r="B39" s="4" t="n">
        <f aca="false">B38/Assumptions!$B$2-1</f>
        <v>0.074872478691957</v>
      </c>
    </row>
    <row r="41" customFormat="false" ht="15" hidden="false" customHeight="false" outlineLevel="0" collapsed="false">
      <c r="A41" s="0" t="s">
        <v>135</v>
      </c>
      <c r="B41" s="0" t="n">
        <f aca="false">SUMPRODUCT(-C10:L10/(1+$B$27/100)^C4:L4)</f>
        <v>0</v>
      </c>
    </row>
    <row r="42" customFormat="false" ht="15" hidden="false" customHeight="false" outlineLevel="0" collapsed="false">
      <c r="A42" s="0" t="s">
        <v>136</v>
      </c>
      <c r="B42" s="0" t="n">
        <f aca="false">IF(B27&gt;B28,-L10*(1+B28/100)/((B27-B28)/100),-L10*20)/(1+B27/100)^L4</f>
        <v>0</v>
      </c>
    </row>
    <row r="43" customFormat="false" ht="15" hidden="false" customHeight="false" outlineLevel="0" collapsed="false">
      <c r="A43" s="0" t="s">
        <v>137</v>
      </c>
      <c r="B43" s="0" t="n">
        <f aca="false">(B37+B41+B42)/Assumptions!$B$3*Assumptions!$B$10</f>
        <v>14.962224903392</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1029.59314675057</v>
      </c>
    </row>
    <row r="47" customFormat="false" ht="15" hidden="false" customHeight="false" outlineLevel="0" collapsed="false">
      <c r="A47" s="0" t="s">
        <v>139</v>
      </c>
      <c r="B47" s="0" t="n">
        <f aca="false">(SUMPRODUCT(C19:L19/(1+B45/100)^C4:L4)+B46/(1+B45/100)^L4+Assumptions!$B$5-Assumptions!$B$4)/Assumptions!$B$3*Assumptions!$B$10</f>
        <v>9.64602515712007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Assumptions!C41</f>
        <v>8</v>
      </c>
      <c r="D5" s="4" t="n">
        <f aca="false">Assumptions!D41</f>
        <v>8</v>
      </c>
      <c r="E5" s="4" t="n">
        <f aca="false">Assumptions!E41</f>
        <v>7</v>
      </c>
      <c r="F5" s="4" t="n">
        <f aca="false">Assumptions!F41</f>
        <v>6</v>
      </c>
      <c r="G5" s="4" t="n">
        <f aca="false">Assumptions!G41</f>
        <v>5</v>
      </c>
      <c r="H5" s="4" t="n">
        <f aca="false">Assumptions!H41</f>
        <v>4.5</v>
      </c>
      <c r="I5" s="4" t="n">
        <f aca="false">Assumptions!I41</f>
        <v>4</v>
      </c>
      <c r="J5" s="4" t="n">
        <f aca="false">Assumptions!J41</f>
        <v>3.5</v>
      </c>
      <c r="K5" s="4" t="n">
        <f aca="false">Assumptions!K41</f>
        <v>3</v>
      </c>
      <c r="L5" s="4" t="n">
        <f aca="false">Assumptions!L41</f>
        <v>3</v>
      </c>
    </row>
    <row r="6" customFormat="false" ht="15" hidden="false" customHeight="false" outlineLevel="0" collapsed="false">
      <c r="A6" s="0" t="s">
        <v>37</v>
      </c>
      <c r="B6" s="3" t="n">
        <v>585.952</v>
      </c>
      <c r="C6" s="0" t="n">
        <f aca="false">B6*(1+C5/100)</f>
        <v>632.82816</v>
      </c>
      <c r="D6" s="0" t="n">
        <f aca="false">C6*(1+D5/100)</f>
        <v>683.4544128</v>
      </c>
      <c r="E6" s="0" t="n">
        <f aca="false">D6*(1+E5/100)</f>
        <v>731.296221696</v>
      </c>
      <c r="F6" s="0" t="n">
        <f aca="false">E6*(1+F5/100)</f>
        <v>775.17399499776</v>
      </c>
      <c r="G6" s="0" t="n">
        <f aca="false">F6*(1+G5/100)</f>
        <v>813.932694747648</v>
      </c>
      <c r="H6" s="0" t="n">
        <f aca="false">G6*(1+H5/100)</f>
        <v>850.559666011292</v>
      </c>
      <c r="I6" s="0" t="n">
        <f aca="false">H6*(1+I5/100)</f>
        <v>884.582052651744</v>
      </c>
      <c r="J6" s="0" t="n">
        <f aca="false">I6*(1+J5/100)</f>
        <v>915.542424494555</v>
      </c>
      <c r="K6" s="0" t="n">
        <f aca="false">J6*(1+K5/100)</f>
        <v>943.008697229392</v>
      </c>
      <c r="L6" s="0" t="n">
        <f aca="false">K6*(1+L5/100)</f>
        <v>971.298958146274</v>
      </c>
    </row>
    <row r="7" customFormat="false" ht="15" hidden="false" customHeight="false" outlineLevel="0" collapsed="false">
      <c r="A7" s="0" t="s">
        <v>96</v>
      </c>
      <c r="C7" s="4" t="n">
        <f aca="false">Assumptions!C42</f>
        <v>28</v>
      </c>
      <c r="D7" s="4" t="n">
        <f aca="false">Assumptions!D42</f>
        <v>28.5</v>
      </c>
      <c r="E7" s="4" t="n">
        <f aca="false">Assumptions!E42</f>
        <v>29</v>
      </c>
      <c r="F7" s="4" t="n">
        <f aca="false">Assumptions!F42</f>
        <v>29.5</v>
      </c>
      <c r="G7" s="4" t="n">
        <f aca="false">Assumptions!G42</f>
        <v>30</v>
      </c>
      <c r="H7" s="4" t="n">
        <f aca="false">Assumptions!H42</f>
        <v>30</v>
      </c>
      <c r="I7" s="4" t="n">
        <f aca="false">Assumptions!I42</f>
        <v>30</v>
      </c>
      <c r="J7" s="4" t="n">
        <f aca="false">Assumptions!J42</f>
        <v>30</v>
      </c>
      <c r="K7" s="4" t="n">
        <f aca="false">Assumptions!K42</f>
        <v>30</v>
      </c>
      <c r="L7" s="4" t="n">
        <f aca="false">Assumptions!L42</f>
        <v>30</v>
      </c>
    </row>
    <row r="8" customFormat="false" ht="15" hidden="false" customHeight="false" outlineLevel="0" collapsed="false">
      <c r="A8" s="0" t="s">
        <v>43</v>
      </c>
      <c r="C8" s="0" t="n">
        <f aca="false">C6*C7/100</f>
        <v>177.1918848</v>
      </c>
      <c r="D8" s="0" t="n">
        <f aca="false">D6*D7/100</f>
        <v>194.784507648</v>
      </c>
      <c r="E8" s="0" t="n">
        <f aca="false">E6*E7/100</f>
        <v>212.07590429184</v>
      </c>
      <c r="F8" s="0" t="n">
        <f aca="false">F6*F7/100</f>
        <v>228.676328524339</v>
      </c>
      <c r="G8" s="0" t="n">
        <f aca="false">G6*G7/100</f>
        <v>244.179808424295</v>
      </c>
      <c r="H8" s="0" t="n">
        <f aca="false">H6*H7/100</f>
        <v>255.167899803388</v>
      </c>
      <c r="I8" s="0" t="n">
        <f aca="false">I6*I7/100</f>
        <v>265.374615795523</v>
      </c>
      <c r="J8" s="0" t="n">
        <f aca="false">J6*J7/100</f>
        <v>274.662727348367</v>
      </c>
      <c r="K8" s="0" t="n">
        <f aca="false">K6*K7/100</f>
        <v>282.902609168818</v>
      </c>
      <c r="L8" s="0" t="n">
        <f aca="false">L6*L7/100</f>
        <v>291.389687443882</v>
      </c>
    </row>
    <row r="9" customFormat="false" ht="15" hidden="false" customHeight="false" outlineLevel="0" collapsed="false">
      <c r="A9" s="0" t="s">
        <v>97</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113</v>
      </c>
      <c r="C11" s="0" t="n">
        <f aca="false">C8+C10+C24</f>
        <v>177.1918848</v>
      </c>
      <c r="D11" s="0" t="n">
        <f aca="false">D8+D10+D24</f>
        <v>194.784507648</v>
      </c>
      <c r="E11" s="0" t="n">
        <f aca="false">E8+E10+E24</f>
        <v>212.07590429184</v>
      </c>
      <c r="F11" s="0" t="n">
        <f aca="false">F8+F10+F24</f>
        <v>228.676328524339</v>
      </c>
      <c r="G11" s="0" t="n">
        <f aca="false">G8+G10+G24</f>
        <v>244.179808424295</v>
      </c>
      <c r="H11" s="0" t="n">
        <f aca="false">H8+H10+H24</f>
        <v>255.167899803388</v>
      </c>
      <c r="I11" s="0" t="n">
        <f aca="false">I8+I10+I24</f>
        <v>265.374615795523</v>
      </c>
      <c r="J11" s="0" t="n">
        <f aca="false">J8+J10+J24</f>
        <v>274.662727348367</v>
      </c>
      <c r="K11" s="0" t="n">
        <f aca="false">K8+K10+K24</f>
        <v>282.902609168818</v>
      </c>
      <c r="L11" s="0" t="n">
        <f aca="false">L8+L10+L24</f>
        <v>291.389687443882</v>
      </c>
    </row>
    <row r="12" customFormat="false" ht="15" hidden="false" customHeight="false" outlineLevel="0" collapsed="false">
      <c r="A12" s="0" t="s">
        <v>114</v>
      </c>
      <c r="C12" s="4" t="n">
        <f aca="false">-C6*Assumptions!C45/100</f>
        <v>-10.75807872</v>
      </c>
      <c r="D12" s="4" t="n">
        <f aca="false">-D6*Assumptions!D45/100</f>
        <v>-11.6187250176</v>
      </c>
      <c r="E12" s="4" t="n">
        <f aca="false">-E6*Assumptions!E45/100</f>
        <v>-12.432035768832</v>
      </c>
      <c r="F12" s="4" t="n">
        <f aca="false">-F6*Assumptions!F45/100</f>
        <v>-13.1779579149619</v>
      </c>
      <c r="G12" s="4" t="n">
        <f aca="false">-G6*Assumptions!G45/100</f>
        <v>-13.83685581071</v>
      </c>
      <c r="H12" s="4" t="n">
        <f aca="false">-H6*Assumptions!H45/100</f>
        <v>-14.459514322192</v>
      </c>
      <c r="I12" s="4" t="n">
        <f aca="false">-I6*Assumptions!I45/100</f>
        <v>-15.0378948950797</v>
      </c>
      <c r="J12" s="4" t="n">
        <f aca="false">-J6*Assumptions!J45/100</f>
        <v>-15.5642212164074</v>
      </c>
      <c r="K12" s="4" t="n">
        <f aca="false">-K6*Assumptions!K45/100</f>
        <v>-16.0311478528997</v>
      </c>
      <c r="L12" s="4" t="n">
        <f aca="false">-L6*Assumptions!L45/100</f>
        <v>-16.5120822884867</v>
      </c>
    </row>
    <row r="13" customFormat="false" ht="15" hidden="false" customHeight="false" outlineLevel="0" collapsed="false">
      <c r="A13" s="0" t="s">
        <v>115</v>
      </c>
      <c r="C13" s="0" t="n">
        <f aca="false">C11+C12</f>
        <v>166.43380608</v>
      </c>
      <c r="D13" s="0" t="n">
        <f aca="false">D11+D12</f>
        <v>183.1657826304</v>
      </c>
      <c r="E13" s="0" t="n">
        <f aca="false">E11+E12</f>
        <v>199.643868523008</v>
      </c>
      <c r="F13" s="0" t="n">
        <f aca="false">F11+F12</f>
        <v>215.498370609377</v>
      </c>
      <c r="G13" s="0" t="n">
        <f aca="false">G11+G12</f>
        <v>230.342952613585</v>
      </c>
      <c r="H13" s="0" t="n">
        <f aca="false">H11+H12</f>
        <v>240.708385481196</v>
      </c>
      <c r="I13" s="0" t="n">
        <f aca="false">I11+I12</f>
        <v>250.336720900444</v>
      </c>
      <c r="J13" s="0" t="n">
        <f aca="false">J11+J12</f>
        <v>259.098506131959</v>
      </c>
      <c r="K13" s="0" t="n">
        <f aca="false">K11+K12</f>
        <v>266.871461315918</v>
      </c>
      <c r="L13" s="0" t="n">
        <f aca="false">L11+L12</f>
        <v>274.877605155396</v>
      </c>
    </row>
    <row r="14" customFormat="false" ht="15" hidden="false" customHeight="false" outlineLevel="0" collapsed="false">
      <c r="A14" s="0" t="s">
        <v>101</v>
      </c>
      <c r="C14" s="4" t="n">
        <f aca="false">Assumptions!C47</f>
        <v>30</v>
      </c>
      <c r="D14" s="4" t="n">
        <f aca="false">Assumptions!D47</f>
        <v>30</v>
      </c>
      <c r="E14" s="4" t="n">
        <f aca="false">Assumptions!E47</f>
        <v>30</v>
      </c>
      <c r="F14" s="4" t="n">
        <f aca="false">Assumptions!F47</f>
        <v>30</v>
      </c>
      <c r="G14" s="4" t="n">
        <f aca="false">Assumptions!G47</f>
        <v>30</v>
      </c>
      <c r="H14" s="4" t="n">
        <f aca="false">Assumptions!H47</f>
        <v>30</v>
      </c>
      <c r="I14" s="4" t="n">
        <f aca="false">Assumptions!I47</f>
        <v>30</v>
      </c>
      <c r="J14" s="4" t="n">
        <f aca="false">Assumptions!J47</f>
        <v>30</v>
      </c>
      <c r="K14" s="4" t="n">
        <f aca="false">Assumptions!K47</f>
        <v>30</v>
      </c>
      <c r="L14" s="4" t="n">
        <f aca="false">Assumptions!L47</f>
        <v>30</v>
      </c>
    </row>
    <row r="15" customFormat="false" ht="15" hidden="false" customHeight="false" outlineLevel="0" collapsed="false">
      <c r="A15" s="0" t="s">
        <v>116</v>
      </c>
      <c r="C15" s="0" t="n">
        <f aca="false">C13-MAX(0,C13)*C14/100</f>
        <v>116.503664256</v>
      </c>
      <c r="D15" s="0" t="n">
        <f aca="false">D13-MAX(0,D13)*D14/100</f>
        <v>128.21604784128</v>
      </c>
      <c r="E15" s="0" t="n">
        <f aca="false">E13-MAX(0,E13)*E14/100</f>
        <v>139.750707966106</v>
      </c>
      <c r="F15" s="0" t="n">
        <f aca="false">F13-MAX(0,F13)*F14/100</f>
        <v>150.848859426564</v>
      </c>
      <c r="G15" s="0" t="n">
        <f aca="false">G13-MAX(0,G13)*G14/100</f>
        <v>161.240066829509</v>
      </c>
      <c r="H15" s="0" t="n">
        <f aca="false">H13-MAX(0,H13)*H14/100</f>
        <v>168.495869836837</v>
      </c>
      <c r="I15" s="0" t="n">
        <f aca="false">I13-MAX(0,I13)*I14/100</f>
        <v>175.235704630311</v>
      </c>
      <c r="J15" s="0" t="n">
        <f aca="false">J13-MAX(0,J13)*J14/100</f>
        <v>181.368954292371</v>
      </c>
      <c r="K15" s="0" t="n">
        <f aca="false">K13-MAX(0,K13)*K14/100</f>
        <v>186.810022921143</v>
      </c>
      <c r="L15" s="0" t="n">
        <f aca="false">L13-MAX(0,L13)*L14/100</f>
        <v>192.414323608777</v>
      </c>
    </row>
    <row r="16" customFormat="false" ht="15" hidden="false" customHeight="false" outlineLevel="0" collapsed="false">
      <c r="A16" s="0" t="s">
        <v>117</v>
      </c>
      <c r="C16" s="0" t="n">
        <f aca="false">-C12</f>
        <v>10.75807872</v>
      </c>
      <c r="D16" s="0" t="n">
        <f aca="false">-D12</f>
        <v>11.6187250176</v>
      </c>
      <c r="E16" s="0" t="n">
        <f aca="false">-E12</f>
        <v>12.432035768832</v>
      </c>
      <c r="F16" s="0" t="n">
        <f aca="false">-F12</f>
        <v>13.1779579149619</v>
      </c>
      <c r="G16" s="0" t="n">
        <f aca="false">-G12</f>
        <v>13.83685581071</v>
      </c>
      <c r="H16" s="0" t="n">
        <f aca="false">-H12</f>
        <v>14.459514322192</v>
      </c>
      <c r="I16" s="0" t="n">
        <f aca="false">-I12</f>
        <v>15.0378948950797</v>
      </c>
      <c r="J16" s="0" t="n">
        <f aca="false">-J12</f>
        <v>15.5642212164074</v>
      </c>
      <c r="K16" s="0" t="n">
        <f aca="false">-K12</f>
        <v>16.0311478528997</v>
      </c>
      <c r="L16" s="0" t="n">
        <f aca="false">-L12</f>
        <v>16.5120822884867</v>
      </c>
    </row>
    <row r="17" customFormat="false" ht="15" hidden="false" customHeight="false" outlineLevel="0" collapsed="false">
      <c r="A17" s="0" t="s">
        <v>118</v>
      </c>
      <c r="C17" s="4" t="n">
        <f aca="false">-C6*Assumptions!C46/100</f>
        <v>-91.7600832</v>
      </c>
      <c r="D17" s="4" t="n">
        <f aca="false">-D6*Assumptions!D46/100</f>
        <v>-99.100889856</v>
      </c>
      <c r="E17" s="4" t="n">
        <f aca="false">-E6*Assumptions!E46/100</f>
        <v>-94.337212598784</v>
      </c>
      <c r="F17" s="4" t="n">
        <f aca="false">-F6*Assumptions!F46/100</f>
        <v>-88.3698354297447</v>
      </c>
      <c r="G17" s="4" t="n">
        <f aca="false">-G6*Assumptions!G46/100</f>
        <v>-79.7654040852695</v>
      </c>
      <c r="H17" s="4" t="n">
        <f aca="false">-H6*Assumptions!H46/100</f>
        <v>-76.5503699410163</v>
      </c>
      <c r="I17" s="4" t="n">
        <f aca="false">-I6*Assumptions!I46/100</f>
        <v>-72.535728317443</v>
      </c>
      <c r="J17" s="4" t="n">
        <f aca="false">-J6*Assumptions!J46/100</f>
        <v>-68.6656818370916</v>
      </c>
      <c r="K17" s="4" t="n">
        <f aca="false">-K6*Assumptions!K46/100</f>
        <v>-63.1815827143693</v>
      </c>
      <c r="L17" s="4" t="n">
        <f aca="false">-L6*Assumptions!L46/100</f>
        <v>-65.0770301958003</v>
      </c>
    </row>
    <row r="18" customFormat="false" ht="15" hidden="false" customHeight="false" outlineLevel="0" collapsed="false">
      <c r="A18" s="0" t="s">
        <v>119</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120</v>
      </c>
      <c r="C19" s="0" t="n">
        <f aca="false">C15+C16+C17+C18</f>
        <v>35.501659776</v>
      </c>
      <c r="D19" s="0" t="n">
        <f aca="false">D15+D16+D17+D18</f>
        <v>40.73388300288</v>
      </c>
      <c r="E19" s="0" t="n">
        <f aca="false">E15+E16+E17+E18</f>
        <v>57.8455311361536</v>
      </c>
      <c r="F19" s="0" t="n">
        <f aca="false">F15+F16+F17+F18</f>
        <v>75.6569819117814</v>
      </c>
      <c r="G19" s="0" t="n">
        <f aca="false">G15+G16+G17+G18</f>
        <v>95.3115185549496</v>
      </c>
      <c r="H19" s="0" t="n">
        <f aca="false">H15+H16+H17+H18</f>
        <v>106.405014218013</v>
      </c>
      <c r="I19" s="0" t="n">
        <f aca="false">I15+I16+I17+I18</f>
        <v>117.737871207947</v>
      </c>
      <c r="J19" s="0" t="n">
        <f aca="false">J15+J16+J17+J18</f>
        <v>128.267493671687</v>
      </c>
      <c r="K19" s="0" t="n">
        <f aca="false">K15+K16+K17+K18</f>
        <v>139.659588059673</v>
      </c>
      <c r="L19" s="0" t="n">
        <f aca="false">L15+L16+L17+L18</f>
        <v>143.849375701463</v>
      </c>
    </row>
    <row r="20" customFormat="false" ht="15" hidden="false" customHeight="false" outlineLevel="0" collapsed="false">
      <c r="A20" s="0" t="s">
        <v>121</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122</v>
      </c>
      <c r="C21" s="0" t="n">
        <f aca="false">C19*C20</f>
        <v>31.9834772756757</v>
      </c>
      <c r="D21" s="0" t="n">
        <f aca="false">D19*D20</f>
        <v>33.0605332382761</v>
      </c>
      <c r="E21" s="0" t="n">
        <f aca="false">E19*E20</f>
        <v>42.2961538135313</v>
      </c>
      <c r="F21" s="0" t="n">
        <f aca="false">F19*F20</f>
        <v>49.8375973956184</v>
      </c>
      <c r="G21" s="0" t="n">
        <f aca="false">G19*G20</f>
        <v>56.5627472657128</v>
      </c>
      <c r="H21" s="0" t="n">
        <f aca="false">H19*H20</f>
        <v>56.888465765558</v>
      </c>
      <c r="I21" s="0" t="n">
        <f aca="false">I19*I20</f>
        <v>56.7094359476859</v>
      </c>
      <c r="J21" s="0" t="n">
        <f aca="false">J19*J20</f>
        <v>55.6586641178838</v>
      </c>
      <c r="K21" s="0" t="n">
        <f aca="false">K19*K20</f>
        <v>54.5963925415845</v>
      </c>
      <c r="L21" s="0" t="n">
        <f aca="false">L19*L20</f>
        <v>50.6615174034523</v>
      </c>
    </row>
    <row r="23" customFormat="false" ht="15" hidden="false" customHeight="false" outlineLevel="0" collapsed="false">
      <c r="A23" s="0" t="s">
        <v>98</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124</v>
      </c>
    </row>
    <row r="27" customFormat="false" ht="15" hidden="false" customHeight="false" outlineLevel="0" collapsed="false">
      <c r="A27" s="0" t="s">
        <v>102</v>
      </c>
      <c r="B27" s="4" t="n">
        <f aca="false">Assumptions!$B$48</f>
        <v>11</v>
      </c>
    </row>
    <row r="28" customFormat="false" ht="15" hidden="false" customHeight="false" outlineLevel="0" collapsed="false">
      <c r="A28" s="0" t="s">
        <v>103</v>
      </c>
      <c r="B28" s="4" t="n">
        <f aca="false">Assumptions!$B$49</f>
        <v>3</v>
      </c>
    </row>
    <row r="29" customFormat="false" ht="15" hidden="false" customHeight="false" outlineLevel="0" collapsed="false">
      <c r="A29" s="0" t="s">
        <v>104</v>
      </c>
      <c r="B29" s="4" t="n">
        <f aca="false">Assumptions!$B$50</f>
        <v>16</v>
      </c>
    </row>
    <row r="30" customFormat="false" ht="15" hidden="false" customHeight="false" outlineLevel="0" collapsed="false">
      <c r="A30" s="0" t="s">
        <v>125</v>
      </c>
      <c r="B30" s="0" t="n">
        <f aca="false">SUM(C21:L21)</f>
        <v>488.254984764979</v>
      </c>
    </row>
    <row r="31" customFormat="false" ht="15" hidden="false" customHeight="false" outlineLevel="0" collapsed="false">
      <c r="A31" s="0" t="s">
        <v>126</v>
      </c>
      <c r="B31" s="0" t="n">
        <f aca="false">L19</f>
        <v>143.849375701463</v>
      </c>
    </row>
    <row r="32" customFormat="false" ht="15" hidden="false" customHeight="false" outlineLevel="0" collapsed="false">
      <c r="A32" s="0" t="s">
        <v>127</v>
      </c>
      <c r="B32" s="0" t="n">
        <f aca="false">IF(B27&gt;B28,B31*(1+B28/100)/((B27-B28)/100),B31*B29)</f>
        <v>1852.06071215634</v>
      </c>
    </row>
    <row r="33" customFormat="false" ht="15" hidden="false" customHeight="false" outlineLevel="0" collapsed="false">
      <c r="A33" s="0" t="s">
        <v>128</v>
      </c>
      <c r="B33" s="0" t="n">
        <f aca="false">B31*B29</f>
        <v>2301.59001122341</v>
      </c>
    </row>
    <row r="34" customFormat="false" ht="15" hidden="false" customHeight="false" outlineLevel="0" collapsed="false">
      <c r="A34" s="0" t="s">
        <v>129</v>
      </c>
      <c r="B34" s="0" t="n">
        <f aca="false">MAX(0,MIN(B32,B33))</f>
        <v>1852.06071215634</v>
      </c>
    </row>
    <row r="35" customFormat="false" ht="15" hidden="false" customHeight="false" outlineLevel="0" collapsed="false">
      <c r="A35" s="0" t="s">
        <v>130</v>
      </c>
      <c r="B35" s="0" t="n">
        <f aca="false">B34/(1+B27/100)^L4</f>
        <v>652.267036569448</v>
      </c>
    </row>
    <row r="36" customFormat="false" ht="15" hidden="false" customHeight="false" outlineLevel="0" collapsed="false">
      <c r="A36" s="0" t="s">
        <v>131</v>
      </c>
      <c r="B36" s="0" t="n">
        <f aca="false">B30+B35</f>
        <v>1140.52202133443</v>
      </c>
    </row>
    <row r="37" customFormat="false" ht="15" hidden="false" customHeight="false" outlineLevel="0" collapsed="false">
      <c r="A37" s="0" t="s">
        <v>132</v>
      </c>
      <c r="B37" s="0" t="n">
        <f aca="false">B36+Assumptions!$B$5-Assumptions!$B$4</f>
        <v>1140.52202133443</v>
      </c>
    </row>
    <row r="38" customFormat="false" ht="15" hidden="false" customHeight="false" outlineLevel="0" collapsed="false">
      <c r="A38" s="0" t="s">
        <v>133</v>
      </c>
      <c r="B38" s="0" t="n">
        <f aca="false">B37/Assumptions!$B$3*Assumptions!$B$10</f>
        <v>16.7558732033794</v>
      </c>
    </row>
    <row r="39" customFormat="false" ht="15" hidden="false" customHeight="false" outlineLevel="0" collapsed="false">
      <c r="A39" s="0" t="s">
        <v>134</v>
      </c>
      <c r="B39" s="4" t="n">
        <f aca="false">B38/Assumptions!$B$2-1</f>
        <v>0.20372652323128</v>
      </c>
    </row>
    <row r="41" customFormat="false" ht="15" hidden="false" customHeight="false" outlineLevel="0" collapsed="false">
      <c r="A41" s="0" t="s">
        <v>135</v>
      </c>
      <c r="B41" s="0" t="n">
        <f aca="false">SUMPRODUCT(-C10:L10/(1+$B$27/100)^C4:L4)</f>
        <v>0</v>
      </c>
    </row>
    <row r="42" customFormat="false" ht="15" hidden="false" customHeight="false" outlineLevel="0" collapsed="false">
      <c r="A42" s="0" t="s">
        <v>136</v>
      </c>
      <c r="B42" s="0" t="n">
        <f aca="false">IF(B27&gt;B28,-L10*(1+B28/100)/((B27-B28)/100),-L10*20)/(1+B27/100)^L4</f>
        <v>0</v>
      </c>
    </row>
    <row r="43" customFormat="false" ht="15" hidden="false" customHeight="false" outlineLevel="0" collapsed="false">
      <c r="A43" s="0" t="s">
        <v>137</v>
      </c>
      <c r="B43" s="0" t="n">
        <f aca="false">(B37+B41+B42)/Assumptions!$B$3*Assumptions!$B$10</f>
        <v>16.7558732033794</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1234.70714143756</v>
      </c>
    </row>
    <row r="47" customFormat="false" ht="15" hidden="false" customHeight="false" outlineLevel="0" collapsed="false">
      <c r="A47" s="0" t="s">
        <v>139</v>
      </c>
      <c r="B47" s="0" t="n">
        <f aca="false">(SUMPRODUCT(C19:L19/(1+B45/100)^C4:L4)+B46/(1+B45/100)^L4+Assumptions!$B$5-Assumptions!$B$4)/Assumptions!$B$3*Assumptions!$B$10</f>
        <v>10.3280977181204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142</v>
      </c>
    </row>
    <row r="3" customFormat="false" ht="15" hidden="false" customHeight="false" outlineLevel="0" collapsed="false">
      <c r="A3" s="2" t="s">
        <v>143</v>
      </c>
      <c r="B3" s="2" t="s">
        <v>144</v>
      </c>
      <c r="C3" s="2" t="s">
        <v>134</v>
      </c>
      <c r="D3" s="2" t="s">
        <v>145</v>
      </c>
      <c r="E3" s="2" t="s">
        <v>137</v>
      </c>
      <c r="F3" s="2" t="s">
        <v>146</v>
      </c>
    </row>
    <row r="4" customFormat="false" ht="15" hidden="false" customHeight="false" outlineLevel="0" collapsed="false">
      <c r="A4" s="0" t="s">
        <v>147</v>
      </c>
      <c r="B4" s="4" t="n">
        <f aca="false">DCF_Bear!$B$38</f>
        <v>11.578623213808</v>
      </c>
      <c r="C4" s="0" t="n">
        <f aca="false">B4/Assumptions!$B$2-1</f>
        <v>-0.168202355329884</v>
      </c>
      <c r="D4" s="4" t="n">
        <f aca="false">Assumptions!$B$24</f>
        <v>0.25</v>
      </c>
      <c r="E4" s="4" t="n">
        <f aca="false">DCF_Bear!$B$43</f>
        <v>11.578623213808</v>
      </c>
      <c r="F4" s="4" t="n">
        <f aca="false">DCF_Bear!$B$47</f>
        <v>7.79836544940058</v>
      </c>
    </row>
    <row r="5" customFormat="false" ht="15" hidden="false" customHeight="false" outlineLevel="0" collapsed="false">
      <c r="A5" s="0" t="s">
        <v>148</v>
      </c>
      <c r="B5" s="4" t="n">
        <f aca="false">DCF_Base!$B$38</f>
        <v>14.962224903392</v>
      </c>
      <c r="C5" s="0" t="n">
        <f aca="false">B5/Assumptions!$B$2-1</f>
        <v>0.074872478691957</v>
      </c>
      <c r="D5" s="4" t="n">
        <f aca="false">Assumptions!$B$38</f>
        <v>0.5</v>
      </c>
      <c r="E5" s="4" t="n">
        <f aca="false">DCF_Base!$B$43</f>
        <v>14.962224903392</v>
      </c>
      <c r="F5" s="4" t="n">
        <f aca="false">DCF_Base!$B$47</f>
        <v>9.64602515712007</v>
      </c>
    </row>
    <row r="6" customFormat="false" ht="15" hidden="false" customHeight="false" outlineLevel="0" collapsed="false">
      <c r="A6" s="0" t="s">
        <v>149</v>
      </c>
      <c r="B6" s="4" t="n">
        <f aca="false">DCF_Bull!$B$38</f>
        <v>16.7558732033794</v>
      </c>
      <c r="C6" s="0" t="n">
        <f aca="false">B6/Assumptions!$B$2-1</f>
        <v>0.20372652323128</v>
      </c>
      <c r="D6" s="4" t="n">
        <f aca="false">Assumptions!$B$52</f>
        <v>0.25</v>
      </c>
      <c r="E6" s="4" t="n">
        <f aca="false">DCF_Bull!$B$43</f>
        <v>16.7558732033794</v>
      </c>
      <c r="F6" s="4" t="n">
        <f aca="false">DCF_Bull!$B$47</f>
        <v>10.3280977181204</v>
      </c>
    </row>
    <row r="8" customFormat="false" ht="15" hidden="false" customHeight="false" outlineLevel="0" collapsed="false">
      <c r="A8" s="0" t="s">
        <v>150</v>
      </c>
      <c r="B8" s="0" t="n">
        <f aca="false">SUMPRODUCT(B4:B6,D4:D6)</f>
        <v>14.5647365559929</v>
      </c>
    </row>
    <row r="9" customFormat="false" ht="15" hidden="false" customHeight="false" outlineLevel="0" collapsed="false">
      <c r="A9" s="0" t="s">
        <v>151</v>
      </c>
      <c r="B9" s="0" t="n">
        <f aca="false">SUMPRODUCT(E4:E6,D4:D6)</f>
        <v>14.5647365559929</v>
      </c>
    </row>
    <row r="10" customFormat="false" ht="15" hidden="false" customHeight="false" outlineLevel="0" collapsed="false">
      <c r="A10" s="0" t="s">
        <v>152</v>
      </c>
      <c r="B10" s="0" t="n">
        <f aca="false">1-Assumptions!$B$2/B8</f>
        <v>0.0442669562552158</v>
      </c>
    </row>
    <row r="11" customFormat="false" ht="15" hidden="false" customHeight="false" outlineLevel="0" collapsed="false">
      <c r="A11" s="0" t="s">
        <v>153</v>
      </c>
      <c r="B11" s="0" t="str">
        <f aca="false">IF(ABS(B9-B8)&gt;0.01*ABS(B8),(Assumptions!$B$2-B8)/(B9-B8)*100,"n/a")</f>
        <v>n/a</v>
      </c>
    </row>
    <row r="12" customFormat="false" ht="15" hidden="false" customHeight="false" outlineLevel="0" collapsed="false">
      <c r="A12" s="0" t="s">
        <v>154</v>
      </c>
      <c r="B12" s="0" t="n">
        <f aca="false">SUMPRODUCT(F4:F6,D4:D6)</f>
        <v>9.35462837044027</v>
      </c>
    </row>
    <row r="14" customFormat="false" ht="15" hidden="false" customHeight="false" outlineLevel="0" collapsed="false">
      <c r="A14" s="2" t="s">
        <v>155</v>
      </c>
      <c r="C14" s="0" t="s">
        <v>156</v>
      </c>
    </row>
    <row r="15" customFormat="false" ht="15" hidden="false" customHeight="false" outlineLevel="0" collapsed="false">
      <c r="A15" s="0" t="s">
        <v>157</v>
      </c>
      <c r="B15" s="0" t="n">
        <f aca="false">(SUMPRODUCT(DCF_Base!$C$19:$L$19/(1+$C$15/100)^DCF_Base!$C$4:$L$4)+MAX(0,MIN(IF($C$15&gt;DCF_Base!$B$28,DCF_Base!$L$19*(1+DCF_Base!$B$28/100)/(($C$15-DCF_Base!$B$28)/100),DCF_Base!$L$19*DCF_Base!$B$29),DCF_Base!$L$19*DCF_Base!$B$29))/(1+$C$15/100)^DCF_Base!$L$4+Assumptions!$B$5-Assumptions!$B$4)/Assumptions!$B$3*Assumptions!$B$10</f>
        <v>19.5686079857312</v>
      </c>
      <c r="C15" s="3" t="n">
        <v>9</v>
      </c>
    </row>
    <row r="16" customFormat="false" ht="15" hidden="false" customHeight="false" outlineLevel="0" collapsed="false">
      <c r="A16" s="0" t="s">
        <v>158</v>
      </c>
      <c r="B16" s="0" t="n">
        <f aca="false">(SUMPRODUCT(DCF_Base!$C$19:$L$19/(1+$C$16/100)^DCF_Base!$C$4:$L$4)+MAX(0,MIN(IF($C$16&gt;DCF_Base!$B$28,DCF_Base!$L$19*(1+DCF_Base!$B$28/100)/(($C$16-DCF_Base!$B$28)/100),DCF_Base!$L$19*DCF_Base!$B$29),DCF_Base!$L$19*DCF_Base!$B$29))/(1+$C$16/100)^DCF_Base!$L$4+Assumptions!$B$5-Assumptions!$B$4)/Assumptions!$B$3*Assumptions!$B$10</f>
        <v>17.2103968655646</v>
      </c>
      <c r="C16" s="3" t="n">
        <v>10</v>
      </c>
    </row>
    <row r="17" customFormat="false" ht="15" hidden="false" customHeight="false" outlineLevel="0" collapsed="false">
      <c r="A17" s="0" t="s">
        <v>159</v>
      </c>
      <c r="B17" s="0" t="n">
        <f aca="false">(SUMPRODUCT(DCF_Base!$C$19:$L$19/(1+$C$17/100)^DCF_Base!$C$4:$L$4)+MAX(0,MIN(IF($C$17&gt;DCF_Base!$B$28,DCF_Base!$L$19*(1+DCF_Base!$B$28/100)/(($C$17-DCF_Base!$B$28)/100),DCF_Base!$L$19*DCF_Base!$B$29),DCF_Base!$L$19*DCF_Base!$B$29))/(1+$C$17/100)^DCF_Base!$L$4+Assumptions!$B$5-Assumptions!$B$4)/Assumptions!$B$3*Assumptions!$B$10</f>
        <v>14.962224903392</v>
      </c>
      <c r="C17" s="3" t="n">
        <v>11</v>
      </c>
    </row>
    <row r="18" customFormat="false" ht="15" hidden="false" customHeight="false" outlineLevel="0" collapsed="false">
      <c r="A18" s="0" t="s">
        <v>160</v>
      </c>
      <c r="B18" s="0" t="n">
        <f aca="false">(SUMPRODUCT(DCF_Base!$C$19:$L$19/(1+$C$18/100)^DCF_Base!$C$4:$L$4)+MAX(0,MIN(IF($C$18&gt;DCF_Base!$B$28,DCF_Base!$L$19*(1+DCF_Base!$B$28/100)/(($C$18-DCF_Base!$B$28)/100),DCF_Base!$L$19*DCF_Base!$B$29),DCF_Base!$L$19*DCF_Base!$B$29))/(1+$C$18/100)^DCF_Base!$L$4+Assumptions!$B$5-Assumptions!$B$4)/Assumptions!$B$3*Assumptions!$B$10</f>
        <v>13.1985712638528</v>
      </c>
      <c r="C18" s="3" t="n">
        <v>12</v>
      </c>
    </row>
    <row r="19" customFormat="false" ht="15" hidden="false" customHeight="false" outlineLevel="0" collapsed="false">
      <c r="A19" s="0" t="s">
        <v>161</v>
      </c>
      <c r="B19" s="0" t="n">
        <f aca="false">(SUMPRODUCT(DCF_Base!$C$19:$L$19/(1+$C$19/100)^DCF_Base!$C$4:$L$4)+MAX(0,MIN(IF($C$19&gt;DCF_Base!$B$28,DCF_Base!$L$19*(1+DCF_Base!$B$28/100)/(($C$19-DCF_Base!$B$28)/100),DCF_Base!$L$19*DCF_Base!$B$29),DCF_Base!$L$19*DCF_Base!$B$29))/(1+$C$19/100)^DCF_Base!$L$4+Assumptions!$B$5-Assumptions!$B$4)/Assumptions!$B$3*Assumptions!$B$10</f>
        <v>9.64602515712007</v>
      </c>
      <c r="C19" s="3" t="n">
        <v>15</v>
      </c>
    </row>
    <row r="21" customFormat="false" ht="15" hidden="false" customHeight="false" outlineLevel="0" collapsed="false">
      <c r="A21" s="2" t="s">
        <v>162</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9</v>
      </c>
      <c r="B23" s="0" t="n">
        <f aca="false">(SUMPRODUCT(DCF_Base!$C$19:$L$19/(1+$A$23/100)^DCF_Base!$C$4:$L$4)+MAX(0,MIN(IF($A$23&gt;$B$22,DCF_Base!$L$19*(1+$B$22/100)/(($A$23-$B$22)/100),DCF_Base!$L$19*DCF_Base!$B$29),DCF_Base!$L$19*DCF_Base!$B$29))/(1+$A$23/100)^DCF_Base!$L$4+Assumptions!$B$5-Assumptions!$B$4)/Assumptions!$B$3*Assumptions!$B$10</f>
        <v>18.4257780096651</v>
      </c>
      <c r="C23" s="0" t="n">
        <f aca="false">(SUMPRODUCT(DCF_Base!$C$19:$L$19/(1+$A$23/100)^DCF_Base!$C$4:$L$4)+MAX(0,MIN(IF($A$23&gt;$C$22,DCF_Base!$L$19*(1+$C$22/100)/(($A$23-$C$22)/100),DCF_Base!$L$19*DCF_Base!$B$29),DCF_Base!$L$19*DCF_Base!$B$29))/(1+$A$23/100)^DCF_Base!$L$4+Assumptions!$B$5-Assumptions!$B$4)/Assumptions!$B$3*Assumptions!$B$10</f>
        <v>19.234664161556</v>
      </c>
      <c r="D23" s="0" t="n">
        <f aca="false">(SUMPRODUCT(DCF_Base!$C$19:$L$19/(1+$A$23/100)^DCF_Base!$C$4:$L$4)+MAX(0,MIN(IF($A$23&gt;$D$22,DCF_Base!$L$19*(1+$D$22/100)/(($A$23-$D$22)/100),DCF_Base!$L$19*DCF_Base!$B$29),DCF_Base!$L$19*DCF_Base!$B$29))/(1+$A$23/100)^DCF_Base!$L$4+Assumptions!$B$5-Assumptions!$B$4)/Assumptions!$B$3*Assumptions!$B$10</f>
        <v>19.5686079857312</v>
      </c>
      <c r="E23" s="0" t="n">
        <f aca="false">(SUMPRODUCT(DCF_Base!$C$19:$L$19/(1+$A$23/100)^DCF_Base!$C$4:$L$4)+MAX(0,MIN(IF($A$23&gt;$E$22,DCF_Base!$L$19*(1+$E$22/100)/(($A$23-$E$22)/100),DCF_Base!$L$19*DCF_Base!$B$29),DCF_Base!$L$19*DCF_Base!$B$29))/(1+$A$23/100)^DCF_Base!$L$4+Assumptions!$B$5-Assumptions!$B$4)/Assumptions!$B$3*Assumptions!$B$10</f>
        <v>19.5686079857312</v>
      </c>
      <c r="F23" s="0" t="n">
        <f aca="false">(SUMPRODUCT(DCF_Base!$C$19:$L$19/(1+$A$23/100)^DCF_Base!$C$4:$L$4)+MAX(0,MIN(IF($A$23&gt;$F$22,DCF_Base!$L$19*(1+$F$22/100)/(($A$23-$F$22)/100),DCF_Base!$L$19*DCF_Base!$B$29),DCF_Base!$L$19*DCF_Base!$B$29))/(1+$A$23/100)^DCF_Base!$L$4+Assumptions!$B$5-Assumptions!$B$4)/Assumptions!$B$3*Assumptions!$B$10</f>
        <v>19.5686079857312</v>
      </c>
    </row>
    <row r="24" customFormat="false" ht="15" hidden="false" customHeight="false" outlineLevel="0" collapsed="false">
      <c r="A24" s="3" t="n">
        <v>10</v>
      </c>
      <c r="B24" s="0" t="n">
        <f aca="false">(SUMPRODUCT(DCF_Base!$C$19:$L$19/(1+$A$24/100)^DCF_Base!$C$4:$L$4)+MAX(0,MIN(IF($A$24&gt;$B$22,DCF_Base!$L$19*(1+$B$22/100)/(($A$24-$B$22)/100),DCF_Base!$L$19*DCF_Base!$B$29),DCF_Base!$L$19*DCF_Base!$B$29))/(1+$A$24/100)^DCF_Base!$L$4+Assumptions!$B$5-Assumptions!$B$4)/Assumptions!$B$3*Assumptions!$B$10</f>
        <v>15.9832378979869</v>
      </c>
      <c r="C24" s="0" t="n">
        <f aca="false">(SUMPRODUCT(DCF_Base!$C$19:$L$19/(1+$A$24/100)^DCF_Base!$C$4:$L$4)+MAX(0,MIN(IF($A$24&gt;$C$22,DCF_Base!$L$19*(1+$C$22/100)/(($A$24-$C$22)/100),DCF_Base!$L$19*DCF_Base!$B$29),DCF_Base!$L$19*DCF_Base!$B$29))/(1+$A$24/100)^DCF_Base!$L$4+Assumptions!$B$5-Assumptions!$B$4)/Assumptions!$B$3*Assumptions!$B$10</f>
        <v>16.558468664039</v>
      </c>
      <c r="D24" s="0" t="n">
        <f aca="false">(SUMPRODUCT(DCF_Base!$C$19:$L$19/(1+$A$24/100)^DCF_Base!$C$4:$L$4)+MAX(0,MIN(IF($A$24&gt;$D$22,DCF_Base!$L$19*(1+$D$22/100)/(($A$24-$D$22)/100),DCF_Base!$L$19*DCF_Base!$B$29),DCF_Base!$L$19*DCF_Base!$B$29))/(1+$A$24/100)^DCF_Base!$L$4+Assumptions!$B$5-Assumptions!$B$4)/Assumptions!$B$3*Assumptions!$B$10</f>
        <v>17.2103968655646</v>
      </c>
      <c r="E24" s="0" t="n">
        <f aca="false">(SUMPRODUCT(DCF_Base!$C$19:$L$19/(1+$A$24/100)^DCF_Base!$C$4:$L$4)+MAX(0,MIN(IF($A$24&gt;$E$22,DCF_Base!$L$19*(1+$E$22/100)/(($A$24-$E$22)/100),DCF_Base!$L$19*DCF_Base!$B$29),DCF_Base!$L$19*DCF_Base!$B$29))/(1+$A$24/100)^DCF_Base!$L$4+Assumptions!$B$5-Assumptions!$B$4)/Assumptions!$B$3*Assumptions!$B$10</f>
        <v>17.9554576673082</v>
      </c>
      <c r="F24" s="0" t="n">
        <f aca="false">(SUMPRODUCT(DCF_Base!$C$19:$L$19/(1+$A$24/100)^DCF_Base!$C$4:$L$4)+MAX(0,MIN(IF($A$24&gt;$F$22,DCF_Base!$L$19*(1+$F$22/100)/(($A$24-$F$22)/100),DCF_Base!$L$19*DCF_Base!$B$29),DCF_Base!$L$19*DCF_Base!$B$29))/(1+$A$24/100)^DCF_Base!$L$4+Assumptions!$B$5-Assumptions!$B$4)/Assumptions!$B$3*Assumptions!$B$10</f>
        <v>18.1586560677838</v>
      </c>
    </row>
    <row r="25" customFormat="false" ht="15" hidden="false" customHeight="false" outlineLevel="0" collapsed="false">
      <c r="A25" s="3" t="n">
        <v>11</v>
      </c>
      <c r="B25" s="0" t="n">
        <f aca="false">(SUMPRODUCT(DCF_Base!$C$19:$L$19/(1+$A$25/100)^DCF_Base!$C$4:$L$4)+MAX(0,MIN(IF($A$25&gt;$B$22,DCF_Base!$L$19*(1+$B$22/100)/(($A$25-$B$22)/100),DCF_Base!$L$19*DCF_Base!$B$29),DCF_Base!$L$19*DCF_Base!$B$29))/(1+$A$25/100)^DCF_Base!$L$4+Assumptions!$B$5-Assumptions!$B$4)/Assumptions!$B$3*Assumptions!$B$10</f>
        <v>14.0691953306474</v>
      </c>
      <c r="C25" s="0" t="n">
        <f aca="false">(SUMPRODUCT(DCF_Base!$C$19:$L$19/(1+$A$25/100)^DCF_Base!$C$4:$L$4)+MAX(0,MIN(IF($A$25&gt;$C$22,DCF_Base!$L$19*(1+$C$22/100)/(($A$25-$C$22)/100),DCF_Base!$L$19*DCF_Base!$B$29),DCF_Base!$L$19*DCF_Base!$B$29))/(1+$A$25/100)^DCF_Base!$L$4+Assumptions!$B$5-Assumptions!$B$4)/Assumptions!$B$3*Assumptions!$B$10</f>
        <v>14.4909037399991</v>
      </c>
      <c r="D25" s="0" t="n">
        <f aca="false">(SUMPRODUCT(DCF_Base!$C$19:$L$19/(1+$A$25/100)^DCF_Base!$C$4:$L$4)+MAX(0,MIN(IF($A$25&gt;$D$22,DCF_Base!$L$19*(1+$D$22/100)/(($A$25-$D$22)/100),DCF_Base!$L$19*DCF_Base!$B$29),DCF_Base!$L$19*DCF_Base!$B$29))/(1+$A$25/100)^DCF_Base!$L$4+Assumptions!$B$5-Assumptions!$B$4)/Assumptions!$B$3*Assumptions!$B$10</f>
        <v>14.962224903392</v>
      </c>
      <c r="E25" s="0" t="n">
        <f aca="false">(SUMPRODUCT(DCF_Base!$C$19:$L$19/(1+$A$25/100)^DCF_Base!$C$4:$L$4)+MAX(0,MIN(IF($A$25&gt;$E$22,DCF_Base!$L$19*(1+$E$22/100)/(($A$25-$E$22)/100),DCF_Base!$L$19*DCF_Base!$B$29),DCF_Base!$L$19*DCF_Base!$B$29))/(1+$A$25/100)^DCF_Base!$L$4+Assumptions!$B$5-Assumptions!$B$4)/Assumptions!$B$3*Assumptions!$B$10</f>
        <v>15.4924612122092</v>
      </c>
      <c r="F25" s="0" t="n">
        <f aca="false">(SUMPRODUCT(DCF_Base!$C$19:$L$19/(1+$A$25/100)^DCF_Base!$C$4:$L$4)+MAX(0,MIN(IF($A$25&gt;$F$22,DCF_Base!$L$19*(1+$F$22/100)/(($A$25-$F$22)/100),DCF_Base!$L$19*DCF_Base!$B$29),DCF_Base!$L$19*DCF_Base!$B$29))/(1+$A$25/100)^DCF_Base!$L$4+Assumptions!$B$5-Assumptions!$B$4)/Assumptions!$B$3*Assumptions!$B$10</f>
        <v>16.0933956955352</v>
      </c>
    </row>
    <row r="26" customFormat="false" ht="15" hidden="false" customHeight="false" outlineLevel="0" collapsed="false">
      <c r="A26" s="3" t="n">
        <v>12</v>
      </c>
      <c r="B26" s="0" t="n">
        <f aca="false">(SUMPRODUCT(DCF_Base!$C$19:$L$19/(1+$A$26/100)^DCF_Base!$C$4:$L$4)+MAX(0,MIN(IF($A$26&gt;$B$22,DCF_Base!$L$19*(1+$B$22/100)/(($A$26-$B$22)/100),DCF_Base!$L$19*DCF_Base!$B$29),DCF_Base!$L$19*DCF_Base!$B$29))/(1+$A$26/100)^DCF_Base!$L$4+Assumptions!$B$5-Assumptions!$B$4)/Assumptions!$B$3*Assumptions!$B$10</f>
        <v>12.5317029652891</v>
      </c>
      <c r="C26" s="0" t="n">
        <f aca="false">(SUMPRODUCT(DCF_Base!$C$19:$L$19/(1+$A$26/100)^DCF_Base!$C$4:$L$4)+MAX(0,MIN(IF($A$26&gt;$C$22,DCF_Base!$L$19*(1+$C$22/100)/(($A$26-$C$22)/100),DCF_Base!$L$19*DCF_Base!$B$29),DCF_Base!$L$19*DCF_Base!$B$29))/(1+$A$26/100)^DCF_Base!$L$4+Assumptions!$B$5-Assumptions!$B$4)/Assumptions!$B$3*Assumptions!$B$10</f>
        <v>12.8484654071069</v>
      </c>
      <c r="D26" s="0" t="n">
        <f aca="false">(SUMPRODUCT(DCF_Base!$C$19:$L$19/(1+$A$26/100)^DCF_Base!$C$4:$L$4)+MAX(0,MIN(IF($A$26&gt;$D$22,DCF_Base!$L$19*(1+$D$22/100)/(($A$26-$D$22)/100),DCF_Base!$L$19*DCF_Base!$B$29),DCF_Base!$L$19*DCF_Base!$B$29))/(1+$A$26/100)^DCF_Base!$L$4+Assumptions!$B$5-Assumptions!$B$4)/Assumptions!$B$3*Assumptions!$B$10</f>
        <v>13.1985712638528</v>
      </c>
      <c r="E26" s="0" t="n">
        <f aca="false">(SUMPRODUCT(DCF_Base!$C$19:$L$19/(1+$A$26/100)^DCF_Base!$C$4:$L$4)+MAX(0,MIN(IF($A$26&gt;$E$22,DCF_Base!$L$19*(1+$E$22/100)/(($A$26-$E$22)/100),DCF_Base!$L$19*DCF_Base!$B$29),DCF_Base!$L$19*DCF_Base!$B$29))/(1+$A$26/100)^DCF_Base!$L$4+Assumptions!$B$5-Assumptions!$B$4)/Assumptions!$B$3*Assumptions!$B$10</f>
        <v>13.5875777713484</v>
      </c>
      <c r="F26" s="0" t="n">
        <f aca="false">(SUMPRODUCT(DCF_Base!$C$19:$L$19/(1+$A$26/100)^DCF_Base!$C$4:$L$4)+MAX(0,MIN(IF($A$26&gt;$F$22,DCF_Base!$L$19*(1+$F$22/100)/(($A$26-$F$22)/100),DCF_Base!$L$19*DCF_Base!$B$29),DCF_Base!$L$19*DCF_Base!$B$29))/(1+$A$26/100)^DCF_Base!$L$4+Assumptions!$B$5-Assumptions!$B$4)/Assumptions!$B$3*Assumptions!$B$10</f>
        <v>14.022349750314</v>
      </c>
    </row>
    <row r="27" customFormat="false" ht="15" hidden="false" customHeight="false" outlineLevel="0" collapsed="false">
      <c r="A27" s="3" t="n">
        <v>13</v>
      </c>
      <c r="B27" s="0" t="n">
        <f aca="false">(SUMPRODUCT(DCF_Base!$C$19:$L$19/(1+$A$27/100)^DCF_Base!$C$4:$L$4)+MAX(0,MIN(IF($A$27&gt;$B$22,DCF_Base!$L$19*(1+$B$22/100)/(($A$27-$B$22)/100),DCF_Base!$L$19*DCF_Base!$B$29),DCF_Base!$L$19*DCF_Base!$B$29))/(1+$A$27/100)^DCF_Base!$L$4+Assumptions!$B$5-Assumptions!$B$4)/Assumptions!$B$3*Assumptions!$B$10</f>
        <v>11.2717391099725</v>
      </c>
      <c r="C27" s="0" t="n">
        <f aca="false">(SUMPRODUCT(DCF_Base!$C$19:$L$19/(1+$A$27/100)^DCF_Base!$C$4:$L$4)+MAX(0,MIN(IF($A$27&gt;$C$22,DCF_Base!$L$19*(1+$C$22/100)/(($A$27-$C$22)/100),DCF_Base!$L$19*DCF_Base!$B$29),DCF_Base!$L$19*DCF_Base!$B$29))/(1+$A$27/100)^DCF_Base!$L$4+Assumptions!$B$5-Assumptions!$B$4)/Assumptions!$B$3*Assumptions!$B$10</f>
        <v>11.5144496677847</v>
      </c>
      <c r="D27" s="0" t="n">
        <f aca="false">(SUMPRODUCT(DCF_Base!$C$19:$L$19/(1+$A$27/100)^DCF_Base!$C$4:$L$4)+MAX(0,MIN(IF($A$27&gt;$D$22,DCF_Base!$L$19*(1+$D$22/100)/(($A$27-$D$22)/100),DCF_Base!$L$19*DCF_Base!$B$29),DCF_Base!$L$19*DCF_Base!$B$29))/(1+$A$27/100)^DCF_Base!$L$4+Assumptions!$B$5-Assumptions!$B$4)/Assumptions!$B$3*Assumptions!$B$10</f>
        <v>11.7802755168171</v>
      </c>
      <c r="E27" s="0" t="n">
        <f aca="false">(SUMPRODUCT(DCF_Base!$C$19:$L$19/(1+$A$27/100)^DCF_Base!$C$4:$L$4)+MAX(0,MIN(IF($A$27&gt;$E$22,DCF_Base!$L$19*(1+$E$22/100)/(($A$27-$E$22)/100),DCF_Base!$L$19*DCF_Base!$B$29),DCF_Base!$L$19*DCF_Base!$B$29))/(1+$A$27/100)^DCF_Base!$L$4+Assumptions!$B$5-Assumptions!$B$4)/Assumptions!$B$3*Assumptions!$B$10</f>
        <v>12.0726839507527</v>
      </c>
      <c r="F27" s="0" t="n">
        <f aca="false">(SUMPRODUCT(DCF_Base!$C$19:$L$19/(1+$A$27/100)^DCF_Base!$C$4:$L$4)+MAX(0,MIN(IF($A$27&gt;$F$22,DCF_Base!$L$19*(1+$F$22/100)/(($A$27-$F$22)/100),DCF_Base!$L$19*DCF_Base!$B$29),DCF_Base!$L$19*DCF_Base!$B$29))/(1+$A$27/100)^DCF_Base!$L$4+Assumptions!$B$5-Assumptions!$B$4)/Assumptions!$B$3*Assumptions!$B$10</f>
        <v>12.3958722198395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2026-09-22T09:14:26Z</dcterms:created>
  <dc:creator>openpyxl</dc:creator>
  <dc:description/>
  <dc:language>en-NZ</dc:language>
  <cp:lastModifiedBy/>
  <dcterms:modified xsi:type="dcterms:W3CDTF">2026-09-22T09:14:26Z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