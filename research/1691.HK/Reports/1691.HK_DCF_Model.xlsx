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<sst xmlns="http://schemas.openxmlformats.org/spreadsheetml/2006/main" count="351" uniqueCount="163">
  <si>
    <t xml:space="preserve">Ticker</t>
  </si>
  <si>
    <t xml:space="preserve">1691.HK</t>
  </si>
  <si>
    <t xml:space="preserve">Company</t>
  </si>
  <si>
    <t xml:space="preserve">JS Global Lifestyle Company Limited</t>
  </si>
  <si>
    <t xml:space="preserve">Valuation date</t>
  </si>
  <si>
    <t xml:space="preserve">2026-10-17</t>
  </si>
  <si>
    <t xml:space="preserve">Current price</t>
  </si>
  <si>
    <t xml:space="preserve">Price as of</t>
  </si>
  <si>
    <t xml:space="preserve">2026-10-16T08:08:14Z (HKEX regular close 16:08 HKT, Friday 2026-10-16)</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</si>
  <si>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</si>
  <si>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</si>
  <si>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</si>
  <si>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</si>
  <si>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</si>
  <si>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</si>
  <si>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</si>
  <si>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</si>
  <si>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</si>
  <si>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</si>
  <si>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</si>
  <si>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</si>
  <si>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</si>
  <si>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2026-10-16T15:23:28Z</t>
  </si>
  <si>
    <t xml:space="preserve">Drivers file</t>
  </si>
  <si>
    <t xml:space="preserve">1691.HK_Drivers.json</t>
  </si>
  <si>
    <t xml:space="preserve">Convention</t>
  </si>
  <si>
    <t xml:space="preserve">Percents stored as percents; formulas divide by 100. Blue = input, green = link, black = formula.</t>
  </si>
  <si>
    <t xml:space="preserve">Methodology</t>
  </si>
  <si>
    <t xml:space="preserve">summary: JS Global is valued as an operating consumer-appliance business on fully SBC-expensed, interest-stripped owner FCF with the lease cash cost charged in EBIT and the Joyoung minority deducted at book. Today the operations earn roughly zero owner FCF, so the house value is a bet on the SharkNinja APAC margin ramp plus a large balance sheet: net cash US$358m, ~US$100m of financial assets (after haircuts) less US$157m of NCI, about HK$0.68/share. The base case is worth modestly more than the current price and the bear case is the balance sheet alone. SOTP memo (not the house basis): JS Global's ~67% of SZSE-listed Joyoung is worth ~US$1.37bn at Joyoung's market price (CNY 17.79, 2026-10-16) against JS Global's own ~US$0.79bn market capitalisation, i.e. the market prices JS Global at a &gt;40% discount to the look-through Joyoung stake alone, with SharkNinja APAC and the parent-level cash implicitly free. The DCF does not capitalise Joyoung at that multiple (its DCF-basis value is a fraction of it), so this discount is a re-rating/holdco-governance thesis rather than cash-flow value, and it is shown here rather than used.
key_risks_to_valuation: Shark/Ninja APAC distribution rights are licensed from the independent SharkNinja Inc.; renegotiation, non-renewal or SharkNinja managing APAC directly removes the entire margin-ramp thesis (bear case).; Joyoung (62% of revenue) operates at a 1-3% margin in an intensely competitive Chinese small-appliance market; a price war or weaker Chinese consumer pushes the group back to zero owner FCF.; The margin ramp (2.6% -&gt; 7.8% pre-SBC EBITDA) is unproven: SharkNinja APAC segment margin was ~4% in FY2025 and infrastructure/marketing spend for India, Korea direct and SEA is still rising.; Execution in new markets: Korea revenue fell 69% in H1 FY2026 during the distributor transition; India and SEA launches carry similar risk.; Unlisted Level-3 financial assets (~US$87m FVTPL+FVOCI) have lost US$33m over two years; the bridge haircuts them 50% but further write-downs are possible.; Minority interest valued at book (US$157m); if Joyoung's cash is not accessible to the parent (71% controlling holder, PRC capital controls), the effective net cash to JS Global shareholders is lower than the consolidated figure.; FX: revenue across RMB, JPY, KRW, AUD/NZD against USD reporting and an HKD quote; a stronger USD depresses reported growth.; Governance: 71% controlling shareholder, March 2026 management reshuffle (Chairman stepped down as CEO; CFO became CEO).</t>
  </si>
  <si>
    <t xml:space="preserve">Data sources</t>
  </si>
  <si>
    <t xml:space="preserve">price: Yahoo Finance chart API (HKEX quote in HKD) at inputs.price_as_of; 52-week range 1.26-2.18. USD/HKD from Yahoo USDHKD=X same date.
financials: 1691.HK_Metrics.csv / core_metrics (financial-parser, 2026-10-17) for FY2019-FY2025 and interims; 2026 Interim Report (six months to 2026-06-30) for balance-sheet anchors, share count and FVTPL/FVOCI composition; FY2025 Annual Report for the non-IFRS reconciliation, segment results, lease cash cost and cash tax.
qualitative: 1691.HK_Analysis.json (qualitative-analyst, 2026-10-17); Joyoung Co. (002242.SZ) market price via Yahoo Finance for the NCI memo.</t>
  </si>
  <si>
    <t xml:space="preserve">Scenario narrative: bear</t>
  </si>
  <si>
    <t xml:space="preserve">The growth engine stalls or is taken away: SharkNinja Inc. renegotiates or does not renew the APAC distribution rights on terms that leave JS Global as a thin-margin distributor, or new-market launches (India, Korea direct) consume marketing and working capital without reaching profitability. Joyoung faces a Midea/Supor/Xiaomi price war and a weak Chinese consumer, revenue slips and its 1-2% segment margin does not recover. Group revenue declines in FY2026-27 and then grows only 1-2%; blended margin stays at 2-3.5%, so owner FCF is roughly zero in perpetuity and the equity is worth little more than the balance sheet (~HK$0.75/share of net cash, financial assets and minority adjustment). New management (CFO-turned-CEO Han Run, March 2026) and the 71% controlling holder limit the chance of a value-unlocking sale of the Joyoung stake.</t>
  </si>
  <si>
    <t xml:space="preserve">Scenario narrative: base</t>
  </si>
  <si>
    <t xml:space="preserve">SharkNinja APAC keeps compounding at 15-20% as Korea's direct model recovers, India and Southeast Asia scale from a small base and coffee/frozen-drink/beauty categories broaden the range; its segment margin rises from ~4% toward low-teens as fixed IT/logistics/R&amp;D infrastructure built in 2024-26 is leveraged. Joyoung holds share in a price-competitive China market at a 2-3% margin with flat-to-low-single-digit revenue. Group revenue grows ~6% in the middle years and blended pre-SBC EBITDA reaches 7.8% by year 10. SBC settles at ~1% of revenue now the spin-off awards have vested. The Shark/Ninja APAC distribution relationship continues on roughly current terms. Owner FCF is ~zero in FY2026-27 and climbs to ~US$90m by year 10; about a third of value is the balance sheet (net cash 358 + financial assets 100 - NCI 157).</t>
  </si>
  <si>
    <t xml:space="preserve">Scenario narrative: bull</t>
  </si>
  <si>
    <t xml:space="preserve">Shark/Ninja become the leading premium small-appliance brands across APAC the way they did in the US and UK: Korea direct, India and Southeast Asia ramp fast, Japan cordless-vacuum share keeps rising, and the APAC segment approaches SharkNinja Inc.-like economics (~15%+ EBITDA) by year 8-10 while growing 20-25% in the near term. Joyoung's premiumisation (titanium cookware, low-purine, AI juicers) stabilises its margin at 3-4%. Group growth 9-10% in FY2027-29 and blended margin 11.5% by year 10. The distribution agreement is extended on terms that preserve APAC economics, or SharkNinja Inc. takes a stake in / consolidates the APAC business at a premium.</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</si>
  <si>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</si>
  <si>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</si>
  <si>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</si>
  <si>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</si>
  <si>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</si>
  <si>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</si>
  <si>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</si>
  <si>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</si>
  <si>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</si>
  <si>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</si>
  <si>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</si>
  <si>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</si>
  <si>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</si>
  <si>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</si>
  <si>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</si>
  <si>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</si>
  <si>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</si>
  <si>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</si>
  <si>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</si>
  <si>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</si>
  <si>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</si>
  <si>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</si>
  <si>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</si>
  <si>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</si>
  <si>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</si>
  <si>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</si>
  <si>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</si>
  <si>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</si>
  <si>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</si>
  <si>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</si>
  <si>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</si>
  <si>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</si>
  <si>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</si>
  <si>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</si>
  <si>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</si>
  <si>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</si>
  <si>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</si>
  <si>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</si>
  <si>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</si>
  <si>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</si>
  <si>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</si>
  <si>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</si>
  <si>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</si>
  <si>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</si>
  <si>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</si>
  <si>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</si>
  <si>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</si>
  <si>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</si>
  <si>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</si>
  <si>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</si>
  <si>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</si>
  <si>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</si>
  <si>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</si>
  <si>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</si>
  <si>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</si>
  <si>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</si>
  <si>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</si>
  <si>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</si>
  <si>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</si>
  <si>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</si>
  <si>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</si>
  <si>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</si>
  <si>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</si>
  <si>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</si>
  <si>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</si>
  <si>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</si>
  <si>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</si>
  <si>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</si>
  <si>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</si>
  <si>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</si>
  <si>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</si>
  <si>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1691.HK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</si>
  <si>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</si>
  <si>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</si>
  <si>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</si>
  <si>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</si>
  <si>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</si>
  <si>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</si>
  <si>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</si>
  <si>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</si>
  <si>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</si>
  <si>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</si>
  <si>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</si>
  <si>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</si>
  <si>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</si>
  <si>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</si>
  <si>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</si>
  <si>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</si>
  <si>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</si>
  <si>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</si>
  <si>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</si>
  <si>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</si>
  <si>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</si>
  <si>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</si>
  <si>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</si>
  <si>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</si>
  <si>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</si>
  <si>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</si>
  <si>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</si>
  <si>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</si>
  <si>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</si>
  <si>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</si>
  <si>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1691.HK owner-FCF component DCF: base case (millions, USD)</t>
  </si>
  <si>
    <t xml:space="preserve">1691.HK owner-FCF component DCF: bull case (millions, USD)</t>
  </si>
  <si>
    <t xml:space="preserve">1691.HK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</si>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</sst>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1.79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3016.094</v>
      </c>
      <c r="C2" s="0" t="n">
        <v>1889.568</v>
      </c>
      <c r="D2" s="0" t="n">
        <v>1126.526</v>
      </c>
      <c r="E2" s="0" t="n">
        <v>37.4</v>
      </c>
      <c r="F2" s="0" t="n">
        <v>196.764</v>
      </c>
      <c r="G2" s="0" t="n">
        <v>6.5</v>
      </c>
      <c r="H2" s="0" t="n">
        <v>289.959</v>
      </c>
      <c r="I2" s="0" t="n">
        <v>42.134</v>
      </c>
      <c r="J2" s="0" t="n">
        <v>1.4</v>
      </c>
      <c r="K2" s="0" t="n">
        <v>0.0186</v>
      </c>
      <c r="L2" s="0" t="n">
        <v>379.783</v>
      </c>
      <c r="M2" s="0" t="n">
        <v>87.337</v>
      </c>
      <c r="N2" s="0" t="n">
        <v>292.446</v>
      </c>
      <c r="O2" s="0" t="n">
        <v>1287.821</v>
      </c>
      <c r="P2" s="0" t="n">
        <v>3774.792</v>
      </c>
      <c r="Q2" s="0" t="n">
        <v>2241.431</v>
      </c>
      <c r="R2" s="0" t="n">
        <v>1075.295</v>
      </c>
      <c r="S2" s="0" t="n">
        <v>421.316</v>
      </c>
      <c r="T2" s="0" t="n">
        <v>2269.828</v>
      </c>
      <c r="U2" s="0" t="n">
        <v>30.266</v>
      </c>
      <c r="AA2" s="0" t="s">
        <v>18</v>
      </c>
      <c r="AB2" s="0" t="s">
        <v>14</v>
      </c>
    </row>
    <row r="3" customFormat="false" ht="15" hidden="false" customHeight="false" outlineLevel="0" collapsed="false">
      <c r="A3" s="0" t="s">
        <v>65</v>
      </c>
      <c r="B3" s="0" t="n">
        <v>4195.816</v>
      </c>
      <c r="C3" s="0" t="n">
        <v>2453.03</v>
      </c>
      <c r="D3" s="0" t="n">
        <v>1742.786</v>
      </c>
      <c r="E3" s="0" t="n">
        <v>41.5</v>
      </c>
      <c r="F3" s="0" t="n">
        <v>596.086</v>
      </c>
      <c r="G3" s="0" t="n">
        <v>14.2</v>
      </c>
      <c r="H3" s="0" t="n">
        <v>701.004</v>
      </c>
      <c r="I3" s="0" t="n">
        <v>344.43</v>
      </c>
      <c r="J3" s="0" t="n">
        <v>8.2</v>
      </c>
      <c r="K3" s="0" t="n">
        <v>0.1042</v>
      </c>
      <c r="L3" s="0" t="n">
        <v>652.949</v>
      </c>
      <c r="M3" s="0" t="n">
        <v>83.921</v>
      </c>
      <c r="N3" s="0" t="n">
        <v>569.028</v>
      </c>
      <c r="O3" s="0" t="n">
        <v>1611.778</v>
      </c>
      <c r="P3" s="0" t="n">
        <v>4654.108</v>
      </c>
      <c r="Q3" s="0" t="n">
        <v>2733.741</v>
      </c>
      <c r="R3" s="0" t="n">
        <v>939.416</v>
      </c>
      <c r="S3" s="0" t="n">
        <v>570.81</v>
      </c>
      <c r="T3" s="0" t="n">
        <v>3350.912</v>
      </c>
      <c r="U3" s="0" t="n">
        <v>38.015</v>
      </c>
      <c r="AA3" s="0" t="s">
        <v>18</v>
      </c>
      <c r="AB3" s="0" t="s">
        <v>14</v>
      </c>
    </row>
    <row r="4" customFormat="false" ht="15" hidden="false" customHeight="false" outlineLevel="0" collapsed="false">
      <c r="A4" s="0" t="s">
        <v>66</v>
      </c>
      <c r="B4" s="0" t="n">
        <v>5150.593</v>
      </c>
      <c r="C4" s="0" t="n">
        <v>3226.21</v>
      </c>
      <c r="D4" s="0" t="n">
        <v>1924.383</v>
      </c>
      <c r="E4" s="0" t="n">
        <v>37.4</v>
      </c>
      <c r="F4" s="0" t="n">
        <v>594.641</v>
      </c>
      <c r="G4" s="0" t="n">
        <v>11.5</v>
      </c>
      <c r="H4" s="0" t="n">
        <v>711.415</v>
      </c>
      <c r="I4" s="0" t="n">
        <v>420.499</v>
      </c>
      <c r="J4" s="0" t="n">
        <v>8.2</v>
      </c>
      <c r="K4" s="0" t="n">
        <v>0.1236</v>
      </c>
      <c r="L4" s="0" t="n">
        <v>329.516</v>
      </c>
      <c r="M4" s="0" t="n">
        <v>115.186</v>
      </c>
      <c r="N4" s="0" t="n">
        <v>214.33</v>
      </c>
      <c r="O4" s="0" t="n">
        <v>1860.097</v>
      </c>
      <c r="P4" s="0" t="n">
        <v>4808.811</v>
      </c>
      <c r="Q4" s="0" t="n">
        <v>2719.916</v>
      </c>
      <c r="R4" s="0" t="n">
        <v>942.146</v>
      </c>
      <c r="S4" s="0" t="n">
        <v>555.457</v>
      </c>
      <c r="T4" s="0" t="n">
        <v>3420.877</v>
      </c>
      <c r="U4" s="0" t="n">
        <v>28.369</v>
      </c>
      <c r="AA4" s="0" t="s">
        <v>18</v>
      </c>
      <c r="AB4" s="0" t="s">
        <v>14</v>
      </c>
    </row>
    <row r="5" customFormat="false" ht="15" hidden="false" customHeight="false" outlineLevel="0" collapsed="false">
      <c r="A5" s="0" t="s">
        <v>67</v>
      </c>
      <c r="B5" s="0" t="n">
        <v>5041.21</v>
      </c>
      <c r="C5" s="0" t="n">
        <v>3161.024</v>
      </c>
      <c r="D5" s="0" t="n">
        <v>1880.186</v>
      </c>
      <c r="E5" s="0" t="n">
        <v>37.3</v>
      </c>
      <c r="F5" s="0" t="n">
        <v>496.489</v>
      </c>
      <c r="G5" s="0" t="n">
        <v>9.8</v>
      </c>
      <c r="H5" s="0" t="n">
        <v>624.537</v>
      </c>
      <c r="I5" s="0" t="n">
        <v>332.274</v>
      </c>
      <c r="J5" s="0" t="n">
        <v>6.6</v>
      </c>
      <c r="K5" s="0" t="n">
        <v>0.0972</v>
      </c>
      <c r="L5" s="0" t="n">
        <v>500.926</v>
      </c>
      <c r="M5" s="0" t="n">
        <v>150.055</v>
      </c>
      <c r="N5" s="0" t="n">
        <v>350.871</v>
      </c>
      <c r="O5" s="0" t="n">
        <v>1899.692</v>
      </c>
      <c r="P5" s="0" t="n">
        <v>4635.815</v>
      </c>
      <c r="Q5" s="0" t="n">
        <v>2571.166</v>
      </c>
      <c r="R5" s="0" t="n">
        <v>857.056</v>
      </c>
      <c r="S5" s="0" t="n">
        <v>504.137</v>
      </c>
      <c r="T5" s="0" t="n">
        <v>3447.463</v>
      </c>
      <c r="U5" s="0" t="n">
        <v>12.25</v>
      </c>
      <c r="X5" s="0" t="n">
        <v>1475.506</v>
      </c>
      <c r="AA5" s="0" t="s">
        <v>18</v>
      </c>
      <c r="AB5" s="0" t="s">
        <v>14</v>
      </c>
    </row>
    <row r="6" customFormat="false" ht="15" hidden="false" customHeight="false" outlineLevel="0" collapsed="false">
      <c r="A6" s="0" t="s">
        <v>68</v>
      </c>
      <c r="B6" s="0" t="n">
        <v>1428.706</v>
      </c>
      <c r="C6" s="0" t="n">
        <v>942.122</v>
      </c>
      <c r="D6" s="0" t="n">
        <v>486.584</v>
      </c>
      <c r="E6" s="0" t="n">
        <v>34.1</v>
      </c>
      <c r="I6" s="0" t="n">
        <v>131.707</v>
      </c>
      <c r="J6" s="0" t="n">
        <v>9.2</v>
      </c>
      <c r="K6" s="0" t="n">
        <v>0.0385</v>
      </c>
      <c r="L6" s="0" t="n">
        <v>312.119</v>
      </c>
      <c r="M6" s="0" t="n">
        <v>95.019</v>
      </c>
      <c r="N6" s="0" t="n">
        <v>217.1</v>
      </c>
      <c r="O6" s="0" t="n">
        <v>535.465</v>
      </c>
      <c r="P6" s="0" t="n">
        <v>1403.291</v>
      </c>
      <c r="Q6" s="0" t="n">
        <v>705.126</v>
      </c>
      <c r="R6" s="0" t="n">
        <v>0</v>
      </c>
      <c r="S6" s="0" t="n">
        <v>319.801</v>
      </c>
      <c r="T6" s="0" t="n">
        <v>3436.913</v>
      </c>
      <c r="U6" s="0" t="n">
        <v>15.583</v>
      </c>
      <c r="X6" s="0" t="n">
        <v>1428.706</v>
      </c>
      <c r="AA6" s="0" t="s">
        <v>18</v>
      </c>
      <c r="AB6" s="0" t="s">
        <v>14</v>
      </c>
    </row>
    <row r="7" customFormat="false" ht="15" hidden="false" customHeight="false" outlineLevel="0" collapsed="false">
      <c r="A7" s="0" t="s">
        <v>69</v>
      </c>
      <c r="B7" s="0" t="n">
        <v>1593.585</v>
      </c>
      <c r="C7" s="0" t="n">
        <v>1083.397</v>
      </c>
      <c r="D7" s="0" t="n">
        <v>510.188</v>
      </c>
      <c r="E7" s="0" t="n">
        <v>32</v>
      </c>
      <c r="F7" s="0" t="n">
        <v>-3.171</v>
      </c>
      <c r="G7" s="0" t="n">
        <v>-0.2</v>
      </c>
      <c r="H7" s="0" t="n">
        <v>15.738</v>
      </c>
      <c r="I7" s="0" t="n">
        <v>6.209</v>
      </c>
      <c r="J7" s="0" t="n">
        <v>0.4</v>
      </c>
      <c r="K7" s="0" t="n">
        <v>0.0018</v>
      </c>
      <c r="L7" s="0" t="n">
        <v>56.032</v>
      </c>
      <c r="M7" s="0" t="n">
        <v>8.822</v>
      </c>
      <c r="N7" s="0" t="n">
        <v>47.21</v>
      </c>
      <c r="O7" s="0" t="n">
        <v>534.311</v>
      </c>
      <c r="P7" s="0" t="n">
        <v>1496.81</v>
      </c>
      <c r="Q7" s="0" t="n">
        <v>804.637</v>
      </c>
      <c r="R7" s="0" t="n">
        <v>15</v>
      </c>
      <c r="S7" s="0" t="n">
        <v>359.58</v>
      </c>
      <c r="T7" s="0" t="n">
        <v>3459.128</v>
      </c>
      <c r="U7" s="0" t="n">
        <v>99.506</v>
      </c>
      <c r="X7" s="0" t="n">
        <v>1593.585</v>
      </c>
      <c r="AA7" s="0" t="s">
        <v>18</v>
      </c>
      <c r="AB7" s="0" t="s">
        <v>14</v>
      </c>
    </row>
    <row r="8" customFormat="false" ht="15" hidden="false" customHeight="false" outlineLevel="0" collapsed="false">
      <c r="A8" s="0" t="s">
        <v>70</v>
      </c>
      <c r="B8" s="0" t="n">
        <v>1659.563</v>
      </c>
      <c r="C8" s="0" t="n">
        <v>1125.704</v>
      </c>
      <c r="D8" s="0" t="n">
        <v>533.859</v>
      </c>
      <c r="E8" s="0" t="n">
        <v>32.2</v>
      </c>
      <c r="F8" s="0" t="n">
        <v>-24.532</v>
      </c>
      <c r="G8" s="0" t="n">
        <v>-1.5</v>
      </c>
      <c r="H8" s="0" t="n">
        <v>-0.447</v>
      </c>
      <c r="I8" s="0" t="n">
        <v>-24.15</v>
      </c>
      <c r="J8" s="0" t="n">
        <v>-1.5</v>
      </c>
      <c r="K8" s="0" t="n">
        <v>-0.007</v>
      </c>
      <c r="L8" s="0" t="n">
        <v>116.948</v>
      </c>
      <c r="M8" s="0" t="n">
        <v>16.612</v>
      </c>
      <c r="N8" s="0" t="n">
        <v>100.336</v>
      </c>
      <c r="O8" s="0" t="n">
        <v>520.153</v>
      </c>
      <c r="P8" s="0" t="n">
        <v>1636.23</v>
      </c>
      <c r="Q8" s="0" t="n">
        <v>954.835</v>
      </c>
      <c r="R8" s="0" t="n">
        <v>79.952</v>
      </c>
      <c r="S8" s="0" t="n">
        <v>556.347</v>
      </c>
      <c r="T8" s="0" t="n">
        <v>3474.059</v>
      </c>
      <c r="U8" s="0" t="n">
        <v>40.975</v>
      </c>
      <c r="X8" s="0" t="n">
        <v>1659.563</v>
      </c>
      <c r="AA8" s="0" t="s">
        <v>18</v>
      </c>
      <c r="AB8"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1.79</v>
      </c>
    </row>
    <row r="3" customFormat="false" ht="15" hidden="false" customHeight="false" outlineLevel="0" collapsed="false">
      <c r="A3" s="0" t="s">
        <v>74</v>
      </c>
      <c r="B3" s="3" t="n">
        <v>3460.631</v>
      </c>
    </row>
    <row r="4" customFormat="false" ht="15" hidden="false" customHeight="false" outlineLevel="0" collapsed="false">
      <c r="A4" s="0" t="s">
        <v>75</v>
      </c>
      <c r="B4" s="3" t="n">
        <v>-358.364</v>
      </c>
    </row>
    <row r="5" customFormat="false" ht="15" hidden="false" customHeight="false" outlineLevel="0" collapsed="false">
      <c r="A5" s="0" t="s">
        <v>76</v>
      </c>
      <c r="B5" s="3" t="n">
        <v>-57.179</v>
      </c>
    </row>
    <row r="6" customFormat="false" ht="15" hidden="false" customHeight="false" outlineLevel="0" collapsed="false">
      <c r="A6" s="0" t="s">
        <v>77</v>
      </c>
      <c r="B6" s="3" t="n">
        <v>15</v>
      </c>
    </row>
    <row r="7" customFormat="false" ht="15" hidden="false" customHeight="false" outlineLevel="0" collapsed="false">
      <c r="A7" s="0" t="s">
        <v>78</v>
      </c>
      <c r="B7" s="3" t="n">
        <v>1659.563</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7.8476</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-4</v>
      </c>
      <c r="D13" s="3" t="n">
        <v>-1</v>
      </c>
      <c r="E13" s="3" t="n">
        <v>0.5</v>
      </c>
      <c r="F13" s="3" t="n">
        <v>1</v>
      </c>
      <c r="G13" s="3" t="n">
        <v>1.5</v>
      </c>
      <c r="H13" s="3" t="n">
        <v>2</v>
      </c>
      <c r="I13" s="3" t="n">
        <v>2</v>
      </c>
      <c r="J13" s="3" t="n">
        <v>2</v>
      </c>
      <c r="K13" s="3" t="n">
        <v>2</v>
      </c>
      <c r="L13" s="3" t="n">
        <v>2</v>
      </c>
    </row>
    <row r="14" customFormat="false" ht="15" hidden="false" customHeight="false" outlineLevel="0" collapsed="false">
      <c r="A14" s="0" t="s">
        <v>95</v>
      </c>
      <c r="C14" s="3" t="n">
        <v>2.2</v>
      </c>
      <c r="D14" s="3" t="n">
        <v>2</v>
      </c>
      <c r="E14" s="3" t="n">
        <v>2.2</v>
      </c>
      <c r="F14" s="3" t="n">
        <v>2.5</v>
      </c>
      <c r="G14" s="3" t="n">
        <v>2.8</v>
      </c>
      <c r="H14" s="3" t="n">
        <v>3</v>
      </c>
      <c r="I14" s="3" t="n">
        <v>3.2</v>
      </c>
      <c r="J14" s="3" t="n">
        <v>3.4</v>
      </c>
      <c r="K14" s="3" t="n">
        <v>3.5</v>
      </c>
      <c r="L14" s="3" t="n">
        <v>3.5</v>
      </c>
    </row>
    <row r="15" customFormat="false" ht="15" hidden="false" customHeight="false" outlineLevel="0" collapsed="false">
      <c r="A15" s="0" t="s">
        <v>96</v>
      </c>
      <c r="C15" s="3" t="n">
        <v>1.2</v>
      </c>
      <c r="D15" s="3" t="n">
        <v>1</v>
      </c>
      <c r="E15" s="3" t="n">
        <v>1</v>
      </c>
      <c r="F15" s="3" t="n">
        <v>1</v>
      </c>
      <c r="G15" s="3" t="n">
        <v>1</v>
      </c>
      <c r="H15" s="3" t="n">
        <v>1</v>
      </c>
      <c r="I15" s="3" t="n">
        <v>1</v>
      </c>
      <c r="J15" s="3" t="n">
        <v>1</v>
      </c>
      <c r="K15" s="3" t="n">
        <v>1</v>
      </c>
      <c r="L15" s="3" t="n">
        <v>1</v>
      </c>
    </row>
    <row r="16" customFormat="false" ht="15" hidden="false" customHeight="false" outlineLevel="0" collapsed="false">
      <c r="A16" s="0" t="s">
        <v>97</v>
      </c>
      <c r="C16" s="3" t="n">
        <v>0.7</v>
      </c>
      <c r="D16" s="3" t="n">
        <v>0.7</v>
      </c>
      <c r="E16" s="3" t="n">
        <v>0.7</v>
      </c>
      <c r="F16" s="3" t="n">
        <v>0.7</v>
      </c>
      <c r="G16" s="3" t="n">
        <v>0.7</v>
      </c>
      <c r="H16" s="3" t="n">
        <v>0.7</v>
      </c>
      <c r="I16" s="3" t="n">
        <v>0.7</v>
      </c>
      <c r="J16" s="3" t="n">
        <v>0.7</v>
      </c>
      <c r="K16" s="3" t="n">
        <v>0.7</v>
      </c>
      <c r="L16" s="3" t="n">
        <v>0.7</v>
      </c>
    </row>
    <row r="17" customFormat="false" ht="15" hidden="false" customHeight="false" outlineLevel="0" collapsed="false">
      <c r="A17" s="0" t="s">
        <v>98</v>
      </c>
      <c r="C17" s="3" t="n">
        <v>1.1</v>
      </c>
      <c r="D17" s="3" t="n">
        <v>1.1</v>
      </c>
      <c r="E17" s="3" t="n">
        <v>1.1</v>
      </c>
      <c r="F17" s="3" t="n">
        <v>1.1</v>
      </c>
      <c r="G17" s="3" t="n">
        <v>1.1</v>
      </c>
      <c r="H17" s="3" t="n">
        <v>1.1</v>
      </c>
      <c r="I17" s="3" t="n">
        <v>1.1</v>
      </c>
      <c r="J17" s="3" t="n">
        <v>1.1</v>
      </c>
      <c r="K17" s="3" t="n">
        <v>1.1</v>
      </c>
      <c r="L17" s="3" t="n">
        <v>1.1</v>
      </c>
    </row>
    <row r="18" customFormat="false" ht="15" hidden="false" customHeight="false" outlineLevel="0" collapsed="false">
      <c r="A18" s="0" t="s">
        <v>99</v>
      </c>
      <c r="C18" s="3" t="n">
        <v>1.1</v>
      </c>
      <c r="D18" s="3" t="n">
        <v>1.1</v>
      </c>
      <c r="E18" s="3" t="n">
        <v>1.1</v>
      </c>
      <c r="F18" s="3" t="n">
        <v>1.1</v>
      </c>
      <c r="G18" s="3" t="n">
        <v>1.1</v>
      </c>
      <c r="H18" s="3" t="n">
        <v>1.1</v>
      </c>
      <c r="I18" s="3" t="n">
        <v>1.1</v>
      </c>
      <c r="J18" s="3" t="n">
        <v>1.1</v>
      </c>
      <c r="K18" s="3" t="n">
        <v>1.1</v>
      </c>
      <c r="L18" s="3" t="n">
        <v>1.1</v>
      </c>
    </row>
    <row r="19" customFormat="false" ht="15" hidden="false" customHeight="false" outlineLevel="0" collapsed="false">
      <c r="A19" s="0" t="s">
        <v>100</v>
      </c>
      <c r="C19" s="3" t="n">
        <v>15</v>
      </c>
      <c r="D19" s="3" t="n">
        <v>18</v>
      </c>
      <c r="E19" s="3" t="n">
        <v>20</v>
      </c>
      <c r="F19" s="3" t="n">
        <v>22</v>
      </c>
      <c r="G19" s="3" t="n">
        <v>22</v>
      </c>
      <c r="H19" s="3" t="n">
        <v>22</v>
      </c>
      <c r="I19" s="3" t="n">
        <v>22</v>
      </c>
      <c r="J19" s="3" t="n">
        <v>22</v>
      </c>
      <c r="K19" s="3" t="n">
        <v>22</v>
      </c>
      <c r="L19" s="3" t="n">
        <v>22</v>
      </c>
    </row>
    <row r="20" customFormat="false" ht="15" hidden="false" customHeight="false" outlineLevel="0" collapsed="false">
      <c r="A20" s="0" t="s">
        <v>101</v>
      </c>
      <c r="B20" s="3" t="n">
        <v>10.5</v>
      </c>
    </row>
    <row r="21" customFormat="false" ht="15" hidden="false" customHeight="false" outlineLevel="0" collapsed="false">
      <c r="A21" s="0" t="s">
        <v>102</v>
      </c>
      <c r="B21" s="3" t="n">
        <v>2.5</v>
      </c>
    </row>
    <row r="22" customFormat="false" ht="15" hidden="false" customHeight="false" outlineLevel="0" collapsed="false">
      <c r="A22" s="0" t="s">
        <v>103</v>
      </c>
      <c r="B22" s="3" t="n">
        <v>15</v>
      </c>
    </row>
    <row r="23" customFormat="false" ht="15" hidden="false" customHeight="false" outlineLevel="0" collapsed="false">
      <c r="A23" s="0" t="s">
        <v>104</v>
      </c>
      <c r="B23" s="3" t="n">
        <v>-5</v>
      </c>
    </row>
    <row r="24" customFormat="false" ht="15" hidden="false" customHeight="false" outlineLevel="0" collapsed="false">
      <c r="A24" s="0" t="s">
        <v>105</v>
      </c>
      <c r="B24" s="3" t="n">
        <v>0.3</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-1.5</v>
      </c>
      <c r="D27" s="3" t="n">
        <v>5</v>
      </c>
      <c r="E27" s="3" t="n">
        <v>6</v>
      </c>
      <c r="F27" s="3" t="n">
        <v>6</v>
      </c>
      <c r="G27" s="3" t="n">
        <v>5.5</v>
      </c>
      <c r="H27" s="3" t="n">
        <v>5</v>
      </c>
      <c r="I27" s="3" t="n">
        <v>4.5</v>
      </c>
      <c r="J27" s="3" t="n">
        <v>4</v>
      </c>
      <c r="K27" s="3" t="n">
        <v>3.5</v>
      </c>
      <c r="L27" s="3" t="n">
        <v>3</v>
      </c>
    </row>
    <row r="28" customFormat="false" ht="15" hidden="false" customHeight="false" outlineLevel="0" collapsed="false">
      <c r="A28" s="0" t="s">
        <v>95</v>
      </c>
      <c r="C28" s="3" t="n">
        <v>2.6</v>
      </c>
      <c r="D28" s="3" t="n">
        <v>3.2</v>
      </c>
      <c r="E28" s="3" t="n">
        <v>3.9</v>
      </c>
      <c r="F28" s="3" t="n">
        <v>4.6</v>
      </c>
      <c r="G28" s="3" t="n">
        <v>5.3</v>
      </c>
      <c r="H28" s="3" t="n">
        <v>6</v>
      </c>
      <c r="I28" s="3" t="n">
        <v>6.6</v>
      </c>
      <c r="J28" s="3" t="n">
        <v>7.1</v>
      </c>
      <c r="K28" s="3" t="n">
        <v>7.5</v>
      </c>
      <c r="L28" s="3" t="n">
        <v>7.8</v>
      </c>
    </row>
    <row r="29" customFormat="false" ht="15" hidden="false" customHeight="false" outlineLevel="0" collapsed="false">
      <c r="A29" s="0" t="s">
        <v>96</v>
      </c>
      <c r="C29" s="3" t="n">
        <v>1.2</v>
      </c>
      <c r="D29" s="3" t="n">
        <v>1</v>
      </c>
      <c r="E29" s="3" t="n">
        <v>1</v>
      </c>
      <c r="F29" s="3" t="n">
        <v>1</v>
      </c>
      <c r="G29" s="3" t="n">
        <v>1</v>
      </c>
      <c r="H29" s="3" t="n">
        <v>1</v>
      </c>
      <c r="I29" s="3" t="n">
        <v>1</v>
      </c>
      <c r="J29" s="3" t="n">
        <v>1</v>
      </c>
      <c r="K29" s="3" t="n">
        <v>1</v>
      </c>
      <c r="L29" s="3" t="n">
        <v>1</v>
      </c>
    </row>
    <row r="30" customFormat="false" ht="15" hidden="false" customHeight="false" outlineLevel="0" collapsed="false">
      <c r="A30" s="0" t="s">
        <v>97</v>
      </c>
      <c r="C30" s="3" t="n">
        <v>0.7</v>
      </c>
      <c r="D30" s="3" t="n">
        <v>0.7</v>
      </c>
      <c r="E30" s="3" t="n">
        <v>0.7</v>
      </c>
      <c r="F30" s="3" t="n">
        <v>0.7</v>
      </c>
      <c r="G30" s="3" t="n">
        <v>0.7</v>
      </c>
      <c r="H30" s="3" t="n">
        <v>0.7</v>
      </c>
      <c r="I30" s="3" t="n">
        <v>0.7</v>
      </c>
      <c r="J30" s="3" t="n">
        <v>0.7</v>
      </c>
      <c r="K30" s="3" t="n">
        <v>0.7</v>
      </c>
      <c r="L30" s="3" t="n">
        <v>0.7</v>
      </c>
    </row>
    <row r="31" customFormat="false" ht="15" hidden="false" customHeight="false" outlineLevel="0" collapsed="false">
      <c r="A31" s="0" t="s">
        <v>98</v>
      </c>
      <c r="C31" s="3" t="n">
        <v>1.1</v>
      </c>
      <c r="D31" s="3" t="n">
        <v>1.1</v>
      </c>
      <c r="E31" s="3" t="n">
        <v>1.1</v>
      </c>
      <c r="F31" s="3" t="n">
        <v>1.1</v>
      </c>
      <c r="G31" s="3" t="n">
        <v>1.1</v>
      </c>
      <c r="H31" s="3" t="n">
        <v>1.1</v>
      </c>
      <c r="I31" s="3" t="n">
        <v>1.1</v>
      </c>
      <c r="J31" s="3" t="n">
        <v>1.1</v>
      </c>
      <c r="K31" s="3" t="n">
        <v>1.1</v>
      </c>
      <c r="L31" s="3" t="n">
        <v>1.1</v>
      </c>
    </row>
    <row r="32" customFormat="false" ht="15" hidden="false" customHeight="false" outlineLevel="0" collapsed="false">
      <c r="A32" s="0" t="s">
        <v>99</v>
      </c>
      <c r="C32" s="3" t="n">
        <v>1.1</v>
      </c>
      <c r="D32" s="3" t="n">
        <v>1.2</v>
      </c>
      <c r="E32" s="3" t="n">
        <v>1.2</v>
      </c>
      <c r="F32" s="3" t="n">
        <v>1.2</v>
      </c>
      <c r="G32" s="3" t="n">
        <v>1.2</v>
      </c>
      <c r="H32" s="3" t="n">
        <v>1.2</v>
      </c>
      <c r="I32" s="3" t="n">
        <v>1.1</v>
      </c>
      <c r="J32" s="3" t="n">
        <v>1.1</v>
      </c>
      <c r="K32" s="3" t="n">
        <v>1.1</v>
      </c>
      <c r="L32" s="3" t="n">
        <v>1.1</v>
      </c>
    </row>
    <row r="33" customFormat="false" ht="15" hidden="false" customHeight="false" outlineLevel="0" collapsed="false">
      <c r="A33" s="0" t="s">
        <v>100</v>
      </c>
      <c r="C33" s="3" t="n">
        <v>15</v>
      </c>
      <c r="D33" s="3" t="n">
        <v>18</v>
      </c>
      <c r="E33" s="3" t="n">
        <v>20</v>
      </c>
      <c r="F33" s="3" t="n">
        <v>22</v>
      </c>
      <c r="G33" s="3" t="n">
        <v>22</v>
      </c>
      <c r="H33" s="3" t="n">
        <v>22</v>
      </c>
      <c r="I33" s="3" t="n">
        <v>22</v>
      </c>
      <c r="J33" s="3" t="n">
        <v>22</v>
      </c>
      <c r="K33" s="3" t="n">
        <v>22</v>
      </c>
      <c r="L33" s="3" t="n">
        <v>22</v>
      </c>
    </row>
    <row r="34" customFormat="false" ht="15" hidden="false" customHeight="false" outlineLevel="0" collapsed="false">
      <c r="A34" s="0" t="s">
        <v>101</v>
      </c>
      <c r="B34" s="3" t="n">
        <v>10.5</v>
      </c>
    </row>
    <row r="35" customFormat="false" ht="15" hidden="false" customHeight="false" outlineLevel="0" collapsed="false">
      <c r="A35" s="0" t="s">
        <v>102</v>
      </c>
      <c r="B35" s="3" t="n">
        <v>2.5</v>
      </c>
    </row>
    <row r="36" customFormat="false" ht="15" hidden="false" customHeight="false" outlineLevel="0" collapsed="false">
      <c r="A36" s="0" t="s">
        <v>103</v>
      </c>
      <c r="B36" s="3" t="n">
        <v>15</v>
      </c>
    </row>
    <row r="37" customFormat="false" ht="15" hidden="false" customHeight="false" outlineLevel="0" collapsed="false">
      <c r="A37" s="0" t="s">
        <v>104</v>
      </c>
      <c r="B37" s="3" t="n">
        <v>-5</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1</v>
      </c>
      <c r="D41" s="3" t="n">
        <v>9</v>
      </c>
      <c r="E41" s="3" t="n">
        <v>10</v>
      </c>
      <c r="F41" s="3" t="n">
        <v>9</v>
      </c>
      <c r="G41" s="3" t="n">
        <v>8</v>
      </c>
      <c r="H41" s="3" t="n">
        <v>7</v>
      </c>
      <c r="I41" s="3" t="n">
        <v>6</v>
      </c>
      <c r="J41" s="3" t="n">
        <v>5</v>
      </c>
      <c r="K41" s="3" t="n">
        <v>4</v>
      </c>
      <c r="L41" s="3" t="n">
        <v>3</v>
      </c>
    </row>
    <row r="42" customFormat="false" ht="15" hidden="false" customHeight="false" outlineLevel="0" collapsed="false">
      <c r="A42" s="0" t="s">
        <v>95</v>
      </c>
      <c r="C42" s="3" t="n">
        <v>2.8</v>
      </c>
      <c r="D42" s="3" t="n">
        <v>3.8</v>
      </c>
      <c r="E42" s="3" t="n">
        <v>5</v>
      </c>
      <c r="F42" s="3" t="n">
        <v>6.2</v>
      </c>
      <c r="G42" s="3" t="n">
        <v>7.4</v>
      </c>
      <c r="H42" s="3" t="n">
        <v>8.6</v>
      </c>
      <c r="I42" s="3" t="n">
        <v>9.6</v>
      </c>
      <c r="J42" s="3" t="n">
        <v>10.4</v>
      </c>
      <c r="K42" s="3" t="n">
        <v>11</v>
      </c>
      <c r="L42" s="3" t="n">
        <v>11.5</v>
      </c>
    </row>
    <row r="43" customFormat="false" ht="15" hidden="false" customHeight="false" outlineLevel="0" collapsed="false">
      <c r="A43" s="0" t="s">
        <v>96</v>
      </c>
      <c r="C43" s="3" t="n">
        <v>1.2</v>
      </c>
      <c r="D43" s="3" t="n">
        <v>1</v>
      </c>
      <c r="E43" s="3" t="n">
        <v>1</v>
      </c>
      <c r="F43" s="3" t="n">
        <v>1</v>
      </c>
      <c r="G43" s="3" t="n">
        <v>1</v>
      </c>
      <c r="H43" s="3" t="n">
        <v>1</v>
      </c>
      <c r="I43" s="3" t="n">
        <v>1</v>
      </c>
      <c r="J43" s="3" t="n">
        <v>1</v>
      </c>
      <c r="K43" s="3" t="n">
        <v>1</v>
      </c>
      <c r="L43" s="3" t="n">
        <v>1</v>
      </c>
    </row>
    <row r="44" customFormat="false" ht="15" hidden="false" customHeight="false" outlineLevel="0" collapsed="false">
      <c r="A44" s="0" t="s">
        <v>97</v>
      </c>
      <c r="C44" s="3" t="n">
        <v>0.7</v>
      </c>
      <c r="D44" s="3" t="n">
        <v>0.7</v>
      </c>
      <c r="E44" s="3" t="n">
        <v>0.7</v>
      </c>
      <c r="F44" s="3" t="n">
        <v>0.7</v>
      </c>
      <c r="G44" s="3" t="n">
        <v>0.7</v>
      </c>
      <c r="H44" s="3" t="n">
        <v>0.7</v>
      </c>
      <c r="I44" s="3" t="n">
        <v>0.7</v>
      </c>
      <c r="J44" s="3" t="n">
        <v>0.7</v>
      </c>
      <c r="K44" s="3" t="n">
        <v>0.7</v>
      </c>
      <c r="L44" s="3" t="n">
        <v>0.7</v>
      </c>
    </row>
    <row r="45" customFormat="false" ht="15" hidden="false" customHeight="false" outlineLevel="0" collapsed="false">
      <c r="A45" s="0" t="s">
        <v>98</v>
      </c>
      <c r="C45" s="3" t="n">
        <v>1.1</v>
      </c>
      <c r="D45" s="3" t="n">
        <v>1.1</v>
      </c>
      <c r="E45" s="3" t="n">
        <v>1.1</v>
      </c>
      <c r="F45" s="3" t="n">
        <v>1.1</v>
      </c>
      <c r="G45" s="3" t="n">
        <v>1.1</v>
      </c>
      <c r="H45" s="3" t="n">
        <v>1.1</v>
      </c>
      <c r="I45" s="3" t="n">
        <v>1.1</v>
      </c>
      <c r="J45" s="3" t="n">
        <v>1.1</v>
      </c>
      <c r="K45" s="3" t="n">
        <v>1.1</v>
      </c>
      <c r="L45" s="3" t="n">
        <v>1.1</v>
      </c>
    </row>
    <row r="46" customFormat="false" ht="15" hidden="false" customHeight="false" outlineLevel="0" collapsed="false">
      <c r="A46" s="0" t="s">
        <v>99</v>
      </c>
      <c r="C46" s="3" t="n">
        <v>1.2</v>
      </c>
      <c r="D46" s="3" t="n">
        <v>1.3</v>
      </c>
      <c r="E46" s="3" t="n">
        <v>1.3</v>
      </c>
      <c r="F46" s="3" t="n">
        <v>1.3</v>
      </c>
      <c r="G46" s="3" t="n">
        <v>1.2</v>
      </c>
      <c r="H46" s="3" t="n">
        <v>1.2</v>
      </c>
      <c r="I46" s="3" t="n">
        <v>1.1</v>
      </c>
      <c r="J46" s="3" t="n">
        <v>1.1</v>
      </c>
      <c r="K46" s="3" t="n">
        <v>1.1</v>
      </c>
      <c r="L46" s="3" t="n">
        <v>1.1</v>
      </c>
    </row>
    <row r="47" customFormat="false" ht="15" hidden="false" customHeight="false" outlineLevel="0" collapsed="false">
      <c r="A47" s="0" t="s">
        <v>100</v>
      </c>
      <c r="C47" s="3" t="n">
        <v>15</v>
      </c>
      <c r="D47" s="3" t="n">
        <v>18</v>
      </c>
      <c r="E47" s="3" t="n">
        <v>20</v>
      </c>
      <c r="F47" s="3" t="n">
        <v>22</v>
      </c>
      <c r="G47" s="3" t="n">
        <v>22</v>
      </c>
      <c r="H47" s="3" t="n">
        <v>22</v>
      </c>
      <c r="I47" s="3" t="n">
        <v>22</v>
      </c>
      <c r="J47" s="3" t="n">
        <v>22</v>
      </c>
      <c r="K47" s="3" t="n">
        <v>22</v>
      </c>
      <c r="L47" s="3" t="n">
        <v>22</v>
      </c>
    </row>
    <row r="48" customFormat="false" ht="15" hidden="false" customHeight="false" outlineLevel="0" collapsed="false">
      <c r="A48" s="0" t="s">
        <v>101</v>
      </c>
      <c r="B48" s="3" t="n">
        <v>10.5</v>
      </c>
    </row>
    <row r="49" customFormat="false" ht="15" hidden="false" customHeight="false" outlineLevel="0" collapsed="false">
      <c r="A49" s="0" t="s">
        <v>102</v>
      </c>
      <c r="B49" s="3" t="n">
        <v>2.5</v>
      </c>
    </row>
    <row r="50" customFormat="false" ht="15" hidden="false" customHeight="false" outlineLevel="0" collapsed="false">
      <c r="A50" s="0" t="s">
        <v>103</v>
      </c>
      <c r="B50" s="3" t="n">
        <v>15</v>
      </c>
    </row>
    <row r="51" customFormat="false" ht="15" hidden="false" customHeight="false" outlineLevel="0" collapsed="false">
      <c r="A51" s="0" t="s">
        <v>104</v>
      </c>
      <c r="B51" s="3" t="n">
        <v>-5</v>
      </c>
    </row>
    <row r="52" customFormat="false" ht="15" hidden="false" customHeight="false" outlineLevel="0" collapsed="false">
      <c r="A52" s="0" t="s">
        <v>105</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-4</v>
      </c>
      <c r="D5" s="4" t="n">
        <f aca="false">Assumptions!D13</f>
        <v>-1</v>
      </c>
      <c r="E5" s="4" t="n">
        <f aca="false">Assumptions!E13</f>
        <v>0.5</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1659.563</v>
      </c>
      <c r="C6" s="0" t="n">
        <f aca="false">B6*(1+C5/100)</f>
        <v>1593.18048</v>
      </c>
      <c r="D6" s="0" t="n">
        <f aca="false">C6*(1+D5/100)</f>
        <v>1577.2486752</v>
      </c>
      <c r="E6" s="0" t="n">
        <f aca="false">D6*(1+E5/100)</f>
        <v>1585.134918576</v>
      </c>
      <c r="F6" s="0" t="n">
        <f aca="false">E6*(1+F5/100)</f>
        <v>1600.98626776176</v>
      </c>
      <c r="G6" s="0" t="n">
        <f aca="false">F6*(1+G5/100)</f>
        <v>1625.00106177819</v>
      </c>
      <c r="H6" s="0" t="n">
        <f aca="false">G6*(1+H5/100)</f>
        <v>1657.50108301375</v>
      </c>
      <c r="I6" s="0" t="n">
        <f aca="false">H6*(1+I5/100)</f>
        <v>1690.65110467403</v>
      </c>
      <c r="J6" s="0" t="n">
        <f aca="false">I6*(1+J5/100)</f>
        <v>1724.46412676751</v>
      </c>
      <c r="K6" s="0" t="n">
        <f aca="false">J6*(1+K5/100)</f>
        <v>1758.95340930286</v>
      </c>
      <c r="L6" s="0" t="n">
        <f aca="false">K6*(1+L5/100)</f>
        <v>1794.13247748891</v>
      </c>
    </row>
    <row r="7" customFormat="false" ht="15" hidden="false" customHeight="false" outlineLevel="0" collapsed="false">
      <c r="A7" s="0" t="s">
        <v>95</v>
      </c>
      <c r="C7" s="4" t="n">
        <f aca="false">Assumptions!C14</f>
        <v>2.2</v>
      </c>
      <c r="D7" s="4" t="n">
        <f aca="false">Assumptions!D14</f>
        <v>2</v>
      </c>
      <c r="E7" s="4" t="n">
        <f aca="false">Assumptions!E14</f>
        <v>2.2</v>
      </c>
      <c r="F7" s="4" t="n">
        <f aca="false">Assumptions!F14</f>
        <v>2.5</v>
      </c>
      <c r="G7" s="4" t="n">
        <f aca="false">Assumptions!G14</f>
        <v>2.8</v>
      </c>
      <c r="H7" s="4" t="n">
        <f aca="false">Assumptions!H14</f>
        <v>3</v>
      </c>
      <c r="I7" s="4" t="n">
        <f aca="false">Assumptions!I14</f>
        <v>3.2</v>
      </c>
      <c r="J7" s="4" t="n">
        <f aca="false">Assumptions!J14</f>
        <v>3.4</v>
      </c>
      <c r="K7" s="4" t="n">
        <f aca="false">Assumptions!K14</f>
        <v>3.5</v>
      </c>
      <c r="L7" s="4" t="n">
        <f aca="false">Assumptions!L14</f>
        <v>3.5</v>
      </c>
    </row>
    <row r="8" customFormat="false" ht="15" hidden="false" customHeight="false" outlineLevel="0" collapsed="false">
      <c r="A8" s="0" t="s">
        <v>44</v>
      </c>
      <c r="C8" s="0" t="n">
        <f aca="false">C6*C7/100</f>
        <v>35.04997056</v>
      </c>
      <c r="D8" s="0" t="n">
        <f aca="false">D6*D7/100</f>
        <v>31.544973504</v>
      </c>
      <c r="E8" s="0" t="n">
        <f aca="false">E6*E7/100</f>
        <v>34.872968208672</v>
      </c>
      <c r="F8" s="0" t="n">
        <f aca="false">F6*F7/100</f>
        <v>40.024656694044</v>
      </c>
      <c r="G8" s="0" t="n">
        <f aca="false">G6*G7/100</f>
        <v>45.5000297297892</v>
      </c>
      <c r="H8" s="0" t="n">
        <f aca="false">H6*H7/100</f>
        <v>49.7250324904125</v>
      </c>
      <c r="I8" s="0" t="n">
        <f aca="false">I6*I7/100</f>
        <v>54.1008353495688</v>
      </c>
      <c r="J8" s="0" t="n">
        <f aca="false">J6*J7/100</f>
        <v>58.6317803100952</v>
      </c>
      <c r="K8" s="0" t="n">
        <f aca="false">K6*K7/100</f>
        <v>61.5633693256</v>
      </c>
      <c r="L8" s="0" t="n">
        <f aca="false">L6*L7/100</f>
        <v>62.794636712112</v>
      </c>
    </row>
    <row r="9" customFormat="false" ht="15" hidden="false" customHeight="false" outlineLevel="0" collapsed="false">
      <c r="A9" s="0" t="s">
        <v>96</v>
      </c>
      <c r="C9" s="4" t="n">
        <f aca="false">Assumptions!C15</f>
        <v>1.2</v>
      </c>
      <c r="D9" s="4" t="n">
        <f aca="false">Assumptions!D15</f>
        <v>1</v>
      </c>
      <c r="E9" s="4" t="n">
        <f aca="false">Assumptions!E15</f>
        <v>1</v>
      </c>
      <c r="F9" s="4" t="n">
        <f aca="false">Assumptions!F15</f>
        <v>1</v>
      </c>
      <c r="G9" s="4" t="n">
        <f aca="false">Assumptions!G15</f>
        <v>1</v>
      </c>
      <c r="H9" s="4" t="n">
        <f aca="false">Assumptions!H15</f>
        <v>1</v>
      </c>
      <c r="I9" s="4" t="n">
        <f aca="false">Assumptions!I15</f>
        <v>1</v>
      </c>
      <c r="J9" s="4" t="n">
        <f aca="false">Assumptions!J15</f>
        <v>1</v>
      </c>
      <c r="K9" s="4" t="n">
        <f aca="false">Assumptions!K15</f>
        <v>1</v>
      </c>
      <c r="L9" s="4" t="n">
        <f aca="false">Assumptions!L15</f>
        <v>1</v>
      </c>
    </row>
    <row r="10" customFormat="false" ht="15" hidden="false" customHeight="false" outlineLevel="0" collapsed="false">
      <c r="A10" s="0" t="s">
        <v>111</v>
      </c>
      <c r="C10" s="0" t="n">
        <f aca="false">-C6*C9/100</f>
        <v>-19.11816576</v>
      </c>
      <c r="D10" s="0" t="n">
        <f aca="false">-D6*D9/100</f>
        <v>-15.772486752</v>
      </c>
      <c r="E10" s="0" t="n">
        <f aca="false">-E6*E9/100</f>
        <v>-15.85134918576</v>
      </c>
      <c r="F10" s="0" t="n">
        <f aca="false">-F6*F9/100</f>
        <v>-16.0098626776176</v>
      </c>
      <c r="G10" s="0" t="n">
        <f aca="false">-G6*G9/100</f>
        <v>-16.2500106177819</v>
      </c>
      <c r="H10" s="0" t="n">
        <f aca="false">-H6*H9/100</f>
        <v>-16.5750108301375</v>
      </c>
      <c r="I10" s="0" t="n">
        <f aca="false">-I6*I9/100</f>
        <v>-16.9065110467403</v>
      </c>
      <c r="J10" s="0" t="n">
        <f aca="false">-J6*J9/100</f>
        <v>-17.2446412676751</v>
      </c>
      <c r="K10" s="0" t="n">
        <f aca="false">-K6*K9/100</f>
        <v>-17.5895340930286</v>
      </c>
      <c r="L10" s="0" t="n">
        <f aca="false">-L6*L9/100</f>
        <v>-17.9413247748891</v>
      </c>
    </row>
    <row r="11" customFormat="false" ht="15" hidden="false" customHeight="false" outlineLevel="0" collapsed="false">
      <c r="A11" s="0" t="s">
        <v>112</v>
      </c>
      <c r="C11" s="0" t="n">
        <f aca="false">C8+C10+C24</f>
        <v>4.77954144</v>
      </c>
      <c r="D11" s="0" t="n">
        <f aca="false">D8+D10+D24</f>
        <v>4.7317460256</v>
      </c>
      <c r="E11" s="0" t="n">
        <f aca="false">E8+E10+E24</f>
        <v>7.92567459288</v>
      </c>
      <c r="F11" s="0" t="n">
        <f aca="false">F8+F10+F24</f>
        <v>12.8078901420941</v>
      </c>
      <c r="G11" s="0" t="n">
        <f aca="false">G8+G10+G24</f>
        <v>17.87501167956</v>
      </c>
      <c r="H11" s="0" t="n">
        <f aca="false">H8+H10+H24</f>
        <v>21.5475140791788</v>
      </c>
      <c r="I11" s="0" t="n">
        <f aca="false">I8+I10+I24</f>
        <v>25.3597665701104</v>
      </c>
      <c r="J11" s="0" t="n">
        <f aca="false">J8+J10+J24</f>
        <v>29.3158901550476</v>
      </c>
      <c r="K11" s="0" t="n">
        <f aca="false">K8+K10+K24</f>
        <v>31.6611613674514</v>
      </c>
      <c r="L11" s="0" t="n">
        <f aca="false">L8+L10+L24</f>
        <v>32.2943845948004</v>
      </c>
    </row>
    <row r="12" customFormat="false" ht="15" hidden="false" customHeight="false" outlineLevel="0" collapsed="false">
      <c r="A12" s="0" t="s">
        <v>113</v>
      </c>
      <c r="C12" s="4" t="n">
        <f aca="false">-C6*Assumptions!C17/100</f>
        <v>-17.52498528</v>
      </c>
      <c r="D12" s="4" t="n">
        <f aca="false">-D6*Assumptions!D17/100</f>
        <v>-17.3497354272</v>
      </c>
      <c r="E12" s="4" t="n">
        <f aca="false">-E6*Assumptions!E17/100</f>
        <v>-17.436484104336</v>
      </c>
      <c r="F12" s="4" t="n">
        <f aca="false">-F6*Assumptions!F17/100</f>
        <v>-17.6108489453794</v>
      </c>
      <c r="G12" s="4" t="n">
        <f aca="false">-G6*Assumptions!G17/100</f>
        <v>-17.87501167956</v>
      </c>
      <c r="H12" s="4" t="n">
        <f aca="false">-H6*Assumptions!H17/100</f>
        <v>-18.2325119131513</v>
      </c>
      <c r="I12" s="4" t="n">
        <f aca="false">-I6*Assumptions!I17/100</f>
        <v>-18.5971621514143</v>
      </c>
      <c r="J12" s="4" t="n">
        <f aca="false">-J6*Assumptions!J17/100</f>
        <v>-18.9691053944426</v>
      </c>
      <c r="K12" s="4" t="n">
        <f aca="false">-K6*Assumptions!K17/100</f>
        <v>-19.3484875023314</v>
      </c>
      <c r="L12" s="4" t="n">
        <f aca="false">-L6*Assumptions!L17/100</f>
        <v>-19.735457252378</v>
      </c>
    </row>
    <row r="13" customFormat="false" ht="15" hidden="false" customHeight="false" outlineLevel="0" collapsed="false">
      <c r="A13" s="0" t="s">
        <v>114</v>
      </c>
      <c r="C13" s="0" t="n">
        <f aca="false">C11+C12</f>
        <v>-12.74544384</v>
      </c>
      <c r="D13" s="0" t="n">
        <f aca="false">D11+D12</f>
        <v>-12.6179894016</v>
      </c>
      <c r="E13" s="0" t="n">
        <f aca="false">E11+E12</f>
        <v>-9.510809511456</v>
      </c>
      <c r="F13" s="0" t="n">
        <f aca="false">F11+F12</f>
        <v>-4.80295880328528</v>
      </c>
      <c r="G13" s="0" t="n">
        <f aca="false">G11+G12</f>
        <v>0</v>
      </c>
      <c r="H13" s="0" t="n">
        <f aca="false">H11+H12</f>
        <v>3.3150021660275</v>
      </c>
      <c r="I13" s="0" t="n">
        <f aca="false">I11+I12</f>
        <v>6.7626044186961</v>
      </c>
      <c r="J13" s="0" t="n">
        <f aca="false">J11+J12</f>
        <v>10.346784760605</v>
      </c>
      <c r="K13" s="0" t="n">
        <f aca="false">K11+K12</f>
        <v>12.31267386512</v>
      </c>
      <c r="L13" s="0" t="n">
        <f aca="false">L11+L12</f>
        <v>12.5589273424224</v>
      </c>
    </row>
    <row r="14" customFormat="false" ht="15" hidden="false" customHeight="false" outlineLevel="0" collapsed="false">
      <c r="A14" s="0" t="s">
        <v>100</v>
      </c>
      <c r="C14" s="4" t="n">
        <f aca="false">Assumptions!C19</f>
        <v>15</v>
      </c>
      <c r="D14" s="4" t="n">
        <f aca="false">Assumptions!D19</f>
        <v>18</v>
      </c>
      <c r="E14" s="4" t="n">
        <f aca="false">Assumptions!E19</f>
        <v>20</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115</v>
      </c>
      <c r="C15" s="0" t="n">
        <f aca="false">C13-MAX(0,C13)*C14/100</f>
        <v>-12.74544384</v>
      </c>
      <c r="D15" s="0" t="n">
        <f aca="false">D13-MAX(0,D13)*D14/100</f>
        <v>-12.6179894016</v>
      </c>
      <c r="E15" s="0" t="n">
        <f aca="false">E13-MAX(0,E13)*E14/100</f>
        <v>-9.510809511456</v>
      </c>
      <c r="F15" s="0" t="n">
        <f aca="false">F13-MAX(0,F13)*F14/100</f>
        <v>-4.80295880328528</v>
      </c>
      <c r="G15" s="0" t="n">
        <f aca="false">G13-MAX(0,G13)*G14/100</f>
        <v>0</v>
      </c>
      <c r="H15" s="0" t="n">
        <f aca="false">H13-MAX(0,H13)*H14/100</f>
        <v>2.58570168950145</v>
      </c>
      <c r="I15" s="0" t="n">
        <f aca="false">I13-MAX(0,I13)*I14/100</f>
        <v>5.27483144658296</v>
      </c>
      <c r="J15" s="0" t="n">
        <f aca="false">J13-MAX(0,J13)*J14/100</f>
        <v>8.07049211327193</v>
      </c>
      <c r="K15" s="0" t="n">
        <f aca="false">K13-MAX(0,K13)*K14/100</f>
        <v>9.60388561479359</v>
      </c>
      <c r="L15" s="0" t="n">
        <f aca="false">L13-MAX(0,L13)*L14/100</f>
        <v>9.79596332708946</v>
      </c>
    </row>
    <row r="16" customFormat="false" ht="15" hidden="false" customHeight="false" outlineLevel="0" collapsed="false">
      <c r="A16" s="0" t="s">
        <v>116</v>
      </c>
      <c r="C16" s="0" t="n">
        <f aca="false">-C12</f>
        <v>17.52498528</v>
      </c>
      <c r="D16" s="0" t="n">
        <f aca="false">-D12</f>
        <v>17.3497354272</v>
      </c>
      <c r="E16" s="0" t="n">
        <f aca="false">-E12</f>
        <v>17.436484104336</v>
      </c>
      <c r="F16" s="0" t="n">
        <f aca="false">-F12</f>
        <v>17.6108489453794</v>
      </c>
      <c r="G16" s="0" t="n">
        <f aca="false">-G12</f>
        <v>17.87501167956</v>
      </c>
      <c r="H16" s="0" t="n">
        <f aca="false">-H12</f>
        <v>18.2325119131513</v>
      </c>
      <c r="I16" s="0" t="n">
        <f aca="false">-I12</f>
        <v>18.5971621514143</v>
      </c>
      <c r="J16" s="0" t="n">
        <f aca="false">-J12</f>
        <v>18.9691053944426</v>
      </c>
      <c r="K16" s="0" t="n">
        <f aca="false">-K12</f>
        <v>19.3484875023314</v>
      </c>
      <c r="L16" s="0" t="n">
        <f aca="false">-L12</f>
        <v>19.735457252378</v>
      </c>
    </row>
    <row r="17" customFormat="false" ht="15" hidden="false" customHeight="false" outlineLevel="0" collapsed="false">
      <c r="A17" s="0" t="s">
        <v>117</v>
      </c>
      <c r="C17" s="4" t="n">
        <f aca="false">-C6*Assumptions!C18/100</f>
        <v>-17.52498528</v>
      </c>
      <c r="D17" s="4" t="n">
        <f aca="false">-D6*Assumptions!D18/100</f>
        <v>-17.3497354272</v>
      </c>
      <c r="E17" s="4" t="n">
        <f aca="false">-E6*Assumptions!E18/100</f>
        <v>-17.436484104336</v>
      </c>
      <c r="F17" s="4" t="n">
        <f aca="false">-F6*Assumptions!F18/100</f>
        <v>-17.6108489453794</v>
      </c>
      <c r="G17" s="4" t="n">
        <f aca="false">-G6*Assumptions!G18/100</f>
        <v>-17.87501167956</v>
      </c>
      <c r="H17" s="4" t="n">
        <f aca="false">-H6*Assumptions!H18/100</f>
        <v>-18.2325119131513</v>
      </c>
      <c r="I17" s="4" t="n">
        <f aca="false">-I6*Assumptions!I18/100</f>
        <v>-18.5971621514143</v>
      </c>
      <c r="J17" s="4" t="n">
        <f aca="false">-J6*Assumptions!J18/100</f>
        <v>-18.9691053944426</v>
      </c>
      <c r="K17" s="4" t="n">
        <f aca="false">-K6*Assumptions!K18/100</f>
        <v>-19.3484875023314</v>
      </c>
      <c r="L17" s="4" t="n">
        <f aca="false">-L6*Assumptions!L18/100</f>
        <v>-19.735457252378</v>
      </c>
    </row>
    <row r="18" customFormat="false" ht="15" hidden="false" customHeight="false" outlineLevel="0" collapsed="false">
      <c r="A18" s="0" t="s">
        <v>118</v>
      </c>
      <c r="C18" s="4" t="n">
        <f aca="false">(C6-B6)*Assumptions!$B$23/100</f>
        <v>3.31912600000001</v>
      </c>
      <c r="D18" s="4" t="n">
        <f aca="false">(D6-C6)*Assumptions!$B$23/100</f>
        <v>0.79659024</v>
      </c>
      <c r="E18" s="4" t="n">
        <f aca="false">(E6-D6)*Assumptions!$B$23/100</f>
        <v>-0.394312168799991</v>
      </c>
      <c r="F18" s="4" t="n">
        <f aca="false">(F6-E6)*Assumptions!$B$23/100</f>
        <v>-0.792567459288</v>
      </c>
      <c r="G18" s="4" t="n">
        <f aca="false">(G6-F6)*Assumptions!$B$23/100</f>
        <v>-1.20073970082132</v>
      </c>
      <c r="H18" s="4" t="n">
        <f aca="false">(H6-G6)*Assumptions!$B$23/100</f>
        <v>-1.62500106177819</v>
      </c>
      <c r="I18" s="4" t="n">
        <f aca="false">(I6-H6)*Assumptions!$B$23/100</f>
        <v>-1.65750108301376</v>
      </c>
      <c r="J18" s="4" t="n">
        <f aca="false">(J6-I6)*Assumptions!$B$23/100</f>
        <v>-1.69065110467403</v>
      </c>
      <c r="K18" s="4" t="n">
        <f aca="false">(K6-J6)*Assumptions!$B$23/100</f>
        <v>-1.72446412676751</v>
      </c>
      <c r="L18" s="4" t="n">
        <f aca="false">(L6-K6)*Assumptions!$B$23/100</f>
        <v>-1.75895340930285</v>
      </c>
    </row>
    <row r="19" customFormat="false" ht="15" hidden="false" customHeight="false" outlineLevel="0" collapsed="false">
      <c r="A19" s="0" t="s">
        <v>119</v>
      </c>
      <c r="C19" s="0" t="n">
        <f aca="false">C15+C16+C17+C18</f>
        <v>-9.42631783999999</v>
      </c>
      <c r="D19" s="0" t="n">
        <f aca="false">D15+D16+D17+D18</f>
        <v>-11.8213991616</v>
      </c>
      <c r="E19" s="0" t="n">
        <f aca="false">E15+E16+E17+E18</f>
        <v>-9.90512168025599</v>
      </c>
      <c r="F19" s="0" t="n">
        <f aca="false">F15+F16+F17+F18</f>
        <v>-5.59552626257328</v>
      </c>
      <c r="G19" s="0" t="n">
        <f aca="false">G15+G16+G17+G18</f>
        <v>-1.20073970082132</v>
      </c>
      <c r="H19" s="0" t="n">
        <f aca="false">H15+H16+H17+H18</f>
        <v>0.960700627723269</v>
      </c>
      <c r="I19" s="0" t="n">
        <f aca="false">I15+I16+I17+I18</f>
        <v>3.61733036356921</v>
      </c>
      <c r="J19" s="0" t="n">
        <f aca="false">J15+J16+J17+J18</f>
        <v>6.3798410085979</v>
      </c>
      <c r="K19" s="0" t="n">
        <f aca="false">K15+K16+K17+K18</f>
        <v>7.87942148802608</v>
      </c>
      <c r="L19" s="0" t="n">
        <f aca="false">L15+L16+L17+L18</f>
        <v>8.03700991778661</v>
      </c>
    </row>
    <row r="20" customFormat="false" ht="15" hidden="false" customHeight="false" outlineLevel="0" collapsed="false">
      <c r="A20" s="0" t="s">
        <v>120</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121</v>
      </c>
      <c r="C21" s="0" t="n">
        <f aca="false">C19*C20</f>
        <v>-8.53060438009049</v>
      </c>
      <c r="D21" s="0" t="n">
        <f aca="false">D19*D20</f>
        <v>-9.68153736541021</v>
      </c>
      <c r="E21" s="0" t="n">
        <f aca="false">E19*E20</f>
        <v>-7.34130015589861</v>
      </c>
      <c r="F21" s="0" t="n">
        <f aca="false">F19*F20</f>
        <v>-3.75311460617254</v>
      </c>
      <c r="G21" s="0" t="n">
        <f aca="false">G19*G20</f>
        <v>-0.728848862157766</v>
      </c>
      <c r="H21" s="0" t="n">
        <f aca="false">H19*H20</f>
        <v>0.52773318735118</v>
      </c>
      <c r="I21" s="0" t="n">
        <f aca="false">I19*I20</f>
        <v>1.7982589383916</v>
      </c>
      <c r="J21" s="0" t="n">
        <f aca="false">J19*J20</f>
        <v>2.87019650769</v>
      </c>
      <c r="K21" s="0" t="n">
        <f aca="false">K19*K20</f>
        <v>3.2079960901495</v>
      </c>
      <c r="L21" s="0" t="n">
        <f aca="false">L19*L20</f>
        <v>2.961227160138</v>
      </c>
    </row>
    <row r="23" customFormat="false" ht="15" hidden="false" customHeight="false" outlineLevel="0" collapsed="false">
      <c r="A23" s="0" t="s">
        <v>97</v>
      </c>
      <c r="C23" s="4" t="n">
        <f aca="false">Assumptions!C16</f>
        <v>0.7</v>
      </c>
      <c r="D23" s="4" t="n">
        <f aca="false">Assumptions!D16</f>
        <v>0.7</v>
      </c>
      <c r="E23" s="4" t="n">
        <f aca="false">Assumptions!E16</f>
        <v>0.7</v>
      </c>
      <c r="F23" s="4" t="n">
        <f aca="false">Assumptions!F16</f>
        <v>0.7</v>
      </c>
      <c r="G23" s="4" t="n">
        <f aca="false">Assumptions!G16</f>
        <v>0.7</v>
      </c>
      <c r="H23" s="4" t="n">
        <f aca="false">Assumptions!H16</f>
        <v>0.7</v>
      </c>
      <c r="I23" s="4" t="n">
        <f aca="false">Assumptions!I16</f>
        <v>0.7</v>
      </c>
      <c r="J23" s="4" t="n">
        <f aca="false">Assumptions!J16</f>
        <v>0.7</v>
      </c>
      <c r="K23" s="4" t="n">
        <f aca="false">Assumptions!K16</f>
        <v>0.7</v>
      </c>
      <c r="L23" s="4" t="n">
        <f aca="false">Assumptions!L16</f>
        <v>0.7</v>
      </c>
    </row>
    <row r="24" customFormat="false" ht="15" hidden="false" customHeight="false" outlineLevel="0" collapsed="false">
      <c r="A24" s="0" t="s">
        <v>122</v>
      </c>
      <c r="C24" s="0" t="n">
        <f aca="false">-C6*C23/100</f>
        <v>-11.15226336</v>
      </c>
      <c r="D24" s="0" t="n">
        <f aca="false">-D6*D23/100</f>
        <v>-11.0407407264</v>
      </c>
      <c r="E24" s="0" t="n">
        <f aca="false">-E6*E23/100</f>
        <v>-11.095944430032</v>
      </c>
      <c r="F24" s="0" t="n">
        <f aca="false">-F6*F23/100</f>
        <v>-11.2069038743323</v>
      </c>
      <c r="G24" s="0" t="n">
        <f aca="false">-G6*G23/100</f>
        <v>-11.3750074324473</v>
      </c>
      <c r="H24" s="0" t="n">
        <f aca="false">-H6*H23/100</f>
        <v>-11.6025075810962</v>
      </c>
      <c r="I24" s="0" t="n">
        <f aca="false">-I6*I23/100</f>
        <v>-11.8345577327182</v>
      </c>
      <c r="J24" s="0" t="n">
        <f aca="false">-J6*J23/100</f>
        <v>-12.0712488873725</v>
      </c>
      <c r="K24" s="0" t="n">
        <f aca="false">-K6*K23/100</f>
        <v>-12.31267386512</v>
      </c>
      <c r="L24" s="0" t="n">
        <f aca="false">-L6*L23/100</f>
        <v>-12.5589273424224</v>
      </c>
    </row>
    <row r="26" customFormat="false" ht="15" hidden="false" customHeight="false" outlineLevel="0" collapsed="false">
      <c r="A26" s="2" t="s">
        <v>123</v>
      </c>
    </row>
    <row r="27" customFormat="false" ht="15" hidden="false" customHeight="false" outlineLevel="0" collapsed="false">
      <c r="A27" s="0" t="s">
        <v>101</v>
      </c>
      <c r="B27" s="4" t="n">
        <f aca="false">Assumptions!$B$20</f>
        <v>10.5</v>
      </c>
    </row>
    <row r="28" customFormat="false" ht="15" hidden="false" customHeight="false" outlineLevel="0" collapsed="false">
      <c r="A28" s="0" t="s">
        <v>102</v>
      </c>
      <c r="B28" s="4" t="n">
        <f aca="false">Assumptions!$B$21</f>
        <v>2.5</v>
      </c>
    </row>
    <row r="29" customFormat="false" ht="15" hidden="false" customHeight="false" outlineLevel="0" collapsed="false">
      <c r="A29" s="0" t="s">
        <v>103</v>
      </c>
      <c r="B29" s="4" t="n">
        <f aca="false">Assumptions!$B$22</f>
        <v>15</v>
      </c>
    </row>
    <row r="30" customFormat="false" ht="15" hidden="false" customHeight="false" outlineLevel="0" collapsed="false">
      <c r="A30" s="0" t="s">
        <v>124</v>
      </c>
      <c r="B30" s="0" t="n">
        <f aca="false">SUM(C21:L21)</f>
        <v>-18.6699934860093</v>
      </c>
    </row>
    <row r="31" customFormat="false" ht="15" hidden="false" customHeight="false" outlineLevel="0" collapsed="false">
      <c r="A31" s="0" t="s">
        <v>125</v>
      </c>
      <c r="B31" s="0" t="n">
        <f aca="false">L19</f>
        <v>8.03700991778661</v>
      </c>
    </row>
    <row r="32" customFormat="false" ht="15" hidden="false" customHeight="false" outlineLevel="0" collapsed="false">
      <c r="A32" s="0" t="s">
        <v>126</v>
      </c>
      <c r="B32" s="0" t="n">
        <f aca="false">IF(B27&gt;B28,B31*(1+B28/100)/((B27-B28)/100),B31*B29)</f>
        <v>102.974189571641</v>
      </c>
    </row>
    <row r="33" customFormat="false" ht="15" hidden="false" customHeight="false" outlineLevel="0" collapsed="false">
      <c r="A33" s="0" t="s">
        <v>127</v>
      </c>
      <c r="B33" s="0" t="n">
        <f aca="false">B31*B29</f>
        <v>120.555148766799</v>
      </c>
    </row>
    <row r="34" customFormat="false" ht="15" hidden="false" customHeight="false" outlineLevel="0" collapsed="false">
      <c r="A34" s="0" t="s">
        <v>128</v>
      </c>
      <c r="B34" s="0" t="n">
        <f aca="false">MAX(0,MIN(B32,B33))</f>
        <v>102.974189571641</v>
      </c>
    </row>
    <row r="35" customFormat="false" ht="15" hidden="false" customHeight="false" outlineLevel="0" collapsed="false">
      <c r="A35" s="0" t="s">
        <v>129</v>
      </c>
      <c r="B35" s="0" t="n">
        <f aca="false">B34/(1+B27/100)^L4</f>
        <v>37.9407229892681</v>
      </c>
    </row>
    <row r="36" customFormat="false" ht="15" hidden="false" customHeight="false" outlineLevel="0" collapsed="false">
      <c r="A36" s="0" t="s">
        <v>130</v>
      </c>
      <c r="B36" s="0" t="n">
        <f aca="false">B30+B35</f>
        <v>19.2707295032588</v>
      </c>
    </row>
    <row r="37" customFormat="false" ht="15" hidden="false" customHeight="false" outlineLevel="0" collapsed="false">
      <c r="A37" s="0" t="s">
        <v>131</v>
      </c>
      <c r="B37" s="0" t="n">
        <f aca="false">B36+Assumptions!$B$5-Assumptions!$B$4</f>
        <v>320.455729503259</v>
      </c>
    </row>
    <row r="38" customFormat="false" ht="15" hidden="false" customHeight="false" outlineLevel="0" collapsed="false">
      <c r="A38" s="0" t="s">
        <v>132</v>
      </c>
      <c r="B38" s="0" t="n">
        <f aca="false">B37/Assumptions!$B$3*Assumptions!$B$10</f>
        <v>0.726690705495551</v>
      </c>
    </row>
    <row r="39" customFormat="false" ht="15" hidden="false" customHeight="false" outlineLevel="0" collapsed="false">
      <c r="A39" s="0" t="s">
        <v>133</v>
      </c>
      <c r="B39" s="4" t="n">
        <f aca="false">B38/Assumptions!$B$2-1</f>
        <v>-0.594027538829301</v>
      </c>
    </row>
    <row r="41" customFormat="false" ht="15" hidden="false" customHeight="false" outlineLevel="0" collapsed="false">
      <c r="A41" s="0" t="s">
        <v>134</v>
      </c>
      <c r="B41" s="0" t="n">
        <f aca="false">SUMPRODUCT(-C10:L10/(1+$B$27/100)^C4:L4)</f>
        <v>101.608995445081</v>
      </c>
    </row>
    <row r="42" customFormat="false" ht="15" hidden="false" customHeight="false" outlineLevel="0" collapsed="false">
      <c r="A42" s="0" t="s">
        <v>135</v>
      </c>
      <c r="B42" s="0" t="n">
        <f aca="false">IF(B27&gt;B28,-L10*(1+B28/100)/((B27-B28)/100),-L10*20)/(1+B27/100)^L4</f>
        <v>84.6965277270714</v>
      </c>
    </row>
    <row r="43" customFormat="false" ht="15" hidden="false" customHeight="false" outlineLevel="0" collapsed="false">
      <c r="A43" s="0" t="s">
        <v>136</v>
      </c>
      <c r="B43" s="0" t="n">
        <f aca="false">(B37+B41+B42)/Assumptions!$B$3*Assumptions!$B$10</f>
        <v>1.14917181476313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65.9034813258502</v>
      </c>
    </row>
    <row r="47" customFormat="false" ht="15" hidden="false" customHeight="false" outlineLevel="0" collapsed="false">
      <c r="A47" s="0" t="s">
        <v>138</v>
      </c>
      <c r="B47" s="0" t="n">
        <f aca="false">(SUMPRODUCT(C19:L19/(1+B45/100)^C4:L4)+B46/(1+B45/100)^L4+Assumptions!$B$5-Assumptions!$B$4)/Assumptions!$B$3*Assumptions!$B$10</f>
        <v>0.676036125785318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-1.5</v>
      </c>
      <c r="D5" s="4" t="n">
        <f aca="false">Assumptions!D27</f>
        <v>5</v>
      </c>
      <c r="E5" s="4" t="n">
        <f aca="false">Assumptions!E27</f>
        <v>6</v>
      </c>
      <c r="F5" s="4" t="n">
        <f aca="false">Assumptions!F27</f>
        <v>6</v>
      </c>
      <c r="G5" s="4" t="n">
        <f aca="false">Assumptions!G27</f>
        <v>5.5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1659.563</v>
      </c>
      <c r="C6" s="0" t="n">
        <f aca="false">B6*(1+C5/100)</f>
        <v>1634.669555</v>
      </c>
      <c r="D6" s="0" t="n">
        <f aca="false">C6*(1+D5/100)</f>
        <v>1716.40303275</v>
      </c>
      <c r="E6" s="0" t="n">
        <f aca="false">D6*(1+E5/100)</f>
        <v>1819.387214715</v>
      </c>
      <c r="F6" s="0" t="n">
        <f aca="false">E6*(1+F5/100)</f>
        <v>1928.5504475979</v>
      </c>
      <c r="G6" s="0" t="n">
        <f aca="false">F6*(1+G5/100)</f>
        <v>2034.62072221578</v>
      </c>
      <c r="H6" s="0" t="n">
        <f aca="false">G6*(1+H5/100)</f>
        <v>2136.35175832657</v>
      </c>
      <c r="I6" s="0" t="n">
        <f aca="false">H6*(1+I5/100)</f>
        <v>2232.48758745127</v>
      </c>
      <c r="J6" s="0" t="n">
        <f aca="false">I6*(1+J5/100)</f>
        <v>2321.78709094932</v>
      </c>
      <c r="K6" s="0" t="n">
        <f aca="false">J6*(1+K5/100)</f>
        <v>2403.04963913255</v>
      </c>
      <c r="L6" s="0" t="n">
        <f aca="false">K6*(1+L5/100)</f>
        <v>2475.14112830652</v>
      </c>
    </row>
    <row r="7" customFormat="false" ht="15" hidden="false" customHeight="false" outlineLevel="0" collapsed="false">
      <c r="A7" s="0" t="s">
        <v>95</v>
      </c>
      <c r="C7" s="4" t="n">
        <f aca="false">Assumptions!C28</f>
        <v>2.6</v>
      </c>
      <c r="D7" s="4" t="n">
        <f aca="false">Assumptions!D28</f>
        <v>3.2</v>
      </c>
      <c r="E7" s="4" t="n">
        <f aca="false">Assumptions!E28</f>
        <v>3.9</v>
      </c>
      <c r="F7" s="4" t="n">
        <f aca="false">Assumptions!F28</f>
        <v>4.6</v>
      </c>
      <c r="G7" s="4" t="n">
        <f aca="false">Assumptions!G28</f>
        <v>5.3</v>
      </c>
      <c r="H7" s="4" t="n">
        <f aca="false">Assumptions!H28</f>
        <v>6</v>
      </c>
      <c r="I7" s="4" t="n">
        <f aca="false">Assumptions!I28</f>
        <v>6.6</v>
      </c>
      <c r="J7" s="4" t="n">
        <f aca="false">Assumptions!J28</f>
        <v>7.1</v>
      </c>
      <c r="K7" s="4" t="n">
        <f aca="false">Assumptions!K28</f>
        <v>7.5</v>
      </c>
      <c r="L7" s="4" t="n">
        <f aca="false">Assumptions!L28</f>
        <v>7.8</v>
      </c>
    </row>
    <row r="8" customFormat="false" ht="15" hidden="false" customHeight="false" outlineLevel="0" collapsed="false">
      <c r="A8" s="0" t="s">
        <v>44</v>
      </c>
      <c r="C8" s="0" t="n">
        <f aca="false">C6*C7/100</f>
        <v>42.50140843</v>
      </c>
      <c r="D8" s="0" t="n">
        <f aca="false">D6*D7/100</f>
        <v>54.924897048</v>
      </c>
      <c r="E8" s="0" t="n">
        <f aca="false">E6*E7/100</f>
        <v>70.956101373885</v>
      </c>
      <c r="F8" s="0" t="n">
        <f aca="false">F6*F7/100</f>
        <v>88.7133205895034</v>
      </c>
      <c r="G8" s="0" t="n">
        <f aca="false">G6*G7/100</f>
        <v>107.834898277437</v>
      </c>
      <c r="H8" s="0" t="n">
        <f aca="false">H6*H7/100</f>
        <v>128.181105499594</v>
      </c>
      <c r="I8" s="0" t="n">
        <f aca="false">I6*I7/100</f>
        <v>147.344180771784</v>
      </c>
      <c r="J8" s="0" t="n">
        <f aca="false">J6*J7/100</f>
        <v>164.846883457402</v>
      </c>
      <c r="K8" s="0" t="n">
        <f aca="false">K6*K7/100</f>
        <v>180.228722934941</v>
      </c>
      <c r="L8" s="0" t="n">
        <f aca="false">L6*L7/100</f>
        <v>193.061008007909</v>
      </c>
    </row>
    <row r="9" customFormat="false" ht="15" hidden="false" customHeight="false" outlineLevel="0" collapsed="false">
      <c r="A9" s="0" t="s">
        <v>96</v>
      </c>
      <c r="C9" s="4" t="n">
        <f aca="false">Assumptions!C29</f>
        <v>1.2</v>
      </c>
      <c r="D9" s="4" t="n">
        <f aca="false">Assumptions!D29</f>
        <v>1</v>
      </c>
      <c r="E9" s="4" t="n">
        <f aca="false">Assumptions!E29</f>
        <v>1</v>
      </c>
      <c r="F9" s="4" t="n">
        <f aca="false">Assumptions!F29</f>
        <v>1</v>
      </c>
      <c r="G9" s="4" t="n">
        <f aca="false">Assumptions!G29</f>
        <v>1</v>
      </c>
      <c r="H9" s="4" t="n">
        <f aca="false">Assumptions!H29</f>
        <v>1</v>
      </c>
      <c r="I9" s="4" t="n">
        <f aca="false">Assumptions!I29</f>
        <v>1</v>
      </c>
      <c r="J9" s="4" t="n">
        <f aca="false">Assumptions!J29</f>
        <v>1</v>
      </c>
      <c r="K9" s="4" t="n">
        <f aca="false">Assumptions!K29</f>
        <v>1</v>
      </c>
      <c r="L9" s="4" t="n">
        <f aca="false">Assumptions!L29</f>
        <v>1</v>
      </c>
    </row>
    <row r="10" customFormat="false" ht="15" hidden="false" customHeight="false" outlineLevel="0" collapsed="false">
      <c r="A10" s="0" t="s">
        <v>111</v>
      </c>
      <c r="C10" s="0" t="n">
        <f aca="false">-C6*C9/100</f>
        <v>-19.61603466</v>
      </c>
      <c r="D10" s="0" t="n">
        <f aca="false">-D6*D9/100</f>
        <v>-17.1640303275</v>
      </c>
      <c r="E10" s="0" t="n">
        <f aca="false">-E6*E9/100</f>
        <v>-18.19387214715</v>
      </c>
      <c r="F10" s="0" t="n">
        <f aca="false">-F6*F9/100</f>
        <v>-19.285504475979</v>
      </c>
      <c r="G10" s="0" t="n">
        <f aca="false">-G6*G9/100</f>
        <v>-20.3462072221578</v>
      </c>
      <c r="H10" s="0" t="n">
        <f aca="false">-H6*H9/100</f>
        <v>-21.3635175832657</v>
      </c>
      <c r="I10" s="0" t="n">
        <f aca="false">-I6*I9/100</f>
        <v>-22.3248758745127</v>
      </c>
      <c r="J10" s="0" t="n">
        <f aca="false">-J6*J9/100</f>
        <v>-23.2178709094932</v>
      </c>
      <c r="K10" s="0" t="n">
        <f aca="false">-K6*K9/100</f>
        <v>-24.0304963913255</v>
      </c>
      <c r="L10" s="0" t="n">
        <f aca="false">-L6*L9/100</f>
        <v>-24.7514112830652</v>
      </c>
    </row>
    <row r="11" customFormat="false" ht="15" hidden="false" customHeight="false" outlineLevel="0" collapsed="false">
      <c r="A11" s="0" t="s">
        <v>112</v>
      </c>
      <c r="C11" s="0" t="n">
        <f aca="false">C8+C10+C24</f>
        <v>11.442686885</v>
      </c>
      <c r="D11" s="0" t="n">
        <f aca="false">D8+D10+D24</f>
        <v>25.74604549125</v>
      </c>
      <c r="E11" s="0" t="n">
        <f aca="false">E8+E10+E24</f>
        <v>40.02651872373</v>
      </c>
      <c r="F11" s="0" t="n">
        <f aca="false">F8+F10+F24</f>
        <v>55.9279629803391</v>
      </c>
      <c r="G11" s="0" t="n">
        <f aca="false">G8+G10+G24</f>
        <v>73.2463459997683</v>
      </c>
      <c r="H11" s="0" t="n">
        <f aca="false">H8+H10+H24</f>
        <v>91.8631256080427</v>
      </c>
      <c r="I11" s="0" t="n">
        <f aca="false">I8+I10+I24</f>
        <v>109.391891785112</v>
      </c>
      <c r="J11" s="0" t="n">
        <f aca="false">J8+J10+J24</f>
        <v>125.376502911263</v>
      </c>
      <c r="K11" s="0" t="n">
        <f aca="false">K8+K10+K24</f>
        <v>139.376879069688</v>
      </c>
      <c r="L11" s="0" t="n">
        <f aca="false">L8+L10+L24</f>
        <v>150.983608826698</v>
      </c>
    </row>
    <row r="12" customFormat="false" ht="15" hidden="false" customHeight="false" outlineLevel="0" collapsed="false">
      <c r="A12" s="0" t="s">
        <v>113</v>
      </c>
      <c r="C12" s="4" t="n">
        <f aca="false">-C6*Assumptions!C31/100</f>
        <v>-17.981365105</v>
      </c>
      <c r="D12" s="4" t="n">
        <f aca="false">-D6*Assumptions!D31/100</f>
        <v>-18.88043336025</v>
      </c>
      <c r="E12" s="4" t="n">
        <f aca="false">-E6*Assumptions!E31/100</f>
        <v>-20.013259361865</v>
      </c>
      <c r="F12" s="4" t="n">
        <f aca="false">-F6*Assumptions!F31/100</f>
        <v>-21.2140549235769</v>
      </c>
      <c r="G12" s="4" t="n">
        <f aca="false">-G6*Assumptions!G31/100</f>
        <v>-22.3808279443736</v>
      </c>
      <c r="H12" s="4" t="n">
        <f aca="false">-H6*Assumptions!H31/100</f>
        <v>-23.4998693415923</v>
      </c>
      <c r="I12" s="4" t="n">
        <f aca="false">-I6*Assumptions!I31/100</f>
        <v>-24.557363461964</v>
      </c>
      <c r="J12" s="4" t="n">
        <f aca="false">-J6*Assumptions!J31/100</f>
        <v>-25.5396580004425</v>
      </c>
      <c r="K12" s="4" t="n">
        <f aca="false">-K6*Assumptions!K31/100</f>
        <v>-26.433546030458</v>
      </c>
      <c r="L12" s="4" t="n">
        <f aca="false">-L6*Assumptions!L31/100</f>
        <v>-27.2265524113718</v>
      </c>
    </row>
    <row r="13" customFormat="false" ht="15" hidden="false" customHeight="false" outlineLevel="0" collapsed="false">
      <c r="A13" s="0" t="s">
        <v>114</v>
      </c>
      <c r="C13" s="0" t="n">
        <f aca="false">C11+C12</f>
        <v>-6.53867821999999</v>
      </c>
      <c r="D13" s="0" t="n">
        <f aca="false">D11+D12</f>
        <v>6.86561213100001</v>
      </c>
      <c r="E13" s="0" t="n">
        <f aca="false">E11+E12</f>
        <v>20.013259361865</v>
      </c>
      <c r="F13" s="0" t="n">
        <f aca="false">F11+F12</f>
        <v>34.7139080567622</v>
      </c>
      <c r="G13" s="0" t="n">
        <f aca="false">G11+G12</f>
        <v>50.8655180553946</v>
      </c>
      <c r="H13" s="0" t="n">
        <f aca="false">H11+H12</f>
        <v>68.3632562664504</v>
      </c>
      <c r="I13" s="0" t="n">
        <f aca="false">I11+I12</f>
        <v>84.8345283231483</v>
      </c>
      <c r="J13" s="0" t="n">
        <f aca="false">J11+J12</f>
        <v>99.8368449108208</v>
      </c>
      <c r="K13" s="0" t="n">
        <f aca="false">K11+K12</f>
        <v>112.94333303923</v>
      </c>
      <c r="L13" s="0" t="n">
        <f aca="false">L11+L12</f>
        <v>123.757056415326</v>
      </c>
    </row>
    <row r="14" customFormat="false" ht="15" hidden="false" customHeight="false" outlineLevel="0" collapsed="false">
      <c r="A14" s="0" t="s">
        <v>100</v>
      </c>
      <c r="C14" s="4" t="n">
        <f aca="false">Assumptions!C33</f>
        <v>15</v>
      </c>
      <c r="D14" s="4" t="n">
        <f aca="false">Assumptions!D33</f>
        <v>18</v>
      </c>
      <c r="E14" s="4" t="n">
        <f aca="false">Assumptions!E33</f>
        <v>20</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115</v>
      </c>
      <c r="C15" s="0" t="n">
        <f aca="false">C13-MAX(0,C13)*C14/100</f>
        <v>-6.53867821999999</v>
      </c>
      <c r="D15" s="0" t="n">
        <f aca="false">D13-MAX(0,D13)*D14/100</f>
        <v>5.62980194742001</v>
      </c>
      <c r="E15" s="0" t="n">
        <f aca="false">E13-MAX(0,E13)*E14/100</f>
        <v>16.010607489492</v>
      </c>
      <c r="F15" s="0" t="n">
        <f aca="false">F13-MAX(0,F13)*F14/100</f>
        <v>27.0768482842745</v>
      </c>
      <c r="G15" s="0" t="n">
        <f aca="false">G13-MAX(0,G13)*G14/100</f>
        <v>39.6751040832078</v>
      </c>
      <c r="H15" s="0" t="n">
        <f aca="false">H13-MAX(0,H13)*H14/100</f>
        <v>53.3233398878313</v>
      </c>
      <c r="I15" s="0" t="n">
        <f aca="false">I13-MAX(0,I13)*I14/100</f>
        <v>66.1709320920556</v>
      </c>
      <c r="J15" s="0" t="n">
        <f aca="false">J13-MAX(0,J13)*J14/100</f>
        <v>77.8727390304402</v>
      </c>
      <c r="K15" s="0" t="n">
        <f aca="false">K13-MAX(0,K13)*K14/100</f>
        <v>88.0957997705992</v>
      </c>
      <c r="L15" s="0" t="n">
        <f aca="false">L13-MAX(0,L13)*L14/100</f>
        <v>96.5305040039544</v>
      </c>
    </row>
    <row r="16" customFormat="false" ht="15" hidden="false" customHeight="false" outlineLevel="0" collapsed="false">
      <c r="A16" s="0" t="s">
        <v>116</v>
      </c>
      <c r="C16" s="0" t="n">
        <f aca="false">-C12</f>
        <v>17.981365105</v>
      </c>
      <c r="D16" s="0" t="n">
        <f aca="false">-D12</f>
        <v>18.88043336025</v>
      </c>
      <c r="E16" s="0" t="n">
        <f aca="false">-E12</f>
        <v>20.013259361865</v>
      </c>
      <c r="F16" s="0" t="n">
        <f aca="false">-F12</f>
        <v>21.2140549235769</v>
      </c>
      <c r="G16" s="0" t="n">
        <f aca="false">-G12</f>
        <v>22.3808279443736</v>
      </c>
      <c r="H16" s="0" t="n">
        <f aca="false">-H12</f>
        <v>23.4998693415923</v>
      </c>
      <c r="I16" s="0" t="n">
        <f aca="false">-I12</f>
        <v>24.557363461964</v>
      </c>
      <c r="J16" s="0" t="n">
        <f aca="false">-J12</f>
        <v>25.5396580004425</v>
      </c>
      <c r="K16" s="0" t="n">
        <f aca="false">-K12</f>
        <v>26.433546030458</v>
      </c>
      <c r="L16" s="0" t="n">
        <f aca="false">-L12</f>
        <v>27.2265524113718</v>
      </c>
    </row>
    <row r="17" customFormat="false" ht="15" hidden="false" customHeight="false" outlineLevel="0" collapsed="false">
      <c r="A17" s="0" t="s">
        <v>117</v>
      </c>
      <c r="C17" s="4" t="n">
        <f aca="false">-C6*Assumptions!C32/100</f>
        <v>-17.981365105</v>
      </c>
      <c r="D17" s="4" t="n">
        <f aca="false">-D6*Assumptions!D32/100</f>
        <v>-20.596836393</v>
      </c>
      <c r="E17" s="4" t="n">
        <f aca="false">-E6*Assumptions!E32/100</f>
        <v>-21.83264657658</v>
      </c>
      <c r="F17" s="4" t="n">
        <f aca="false">-F6*Assumptions!F32/100</f>
        <v>-23.1426053711748</v>
      </c>
      <c r="G17" s="4" t="n">
        <f aca="false">-G6*Assumptions!G32/100</f>
        <v>-24.4154486665894</v>
      </c>
      <c r="H17" s="4" t="n">
        <f aca="false">-H6*Assumptions!H32/100</f>
        <v>-25.6362210999189</v>
      </c>
      <c r="I17" s="4" t="n">
        <f aca="false">-I6*Assumptions!I32/100</f>
        <v>-24.557363461964</v>
      </c>
      <c r="J17" s="4" t="n">
        <f aca="false">-J6*Assumptions!J32/100</f>
        <v>-25.5396580004425</v>
      </c>
      <c r="K17" s="4" t="n">
        <f aca="false">-K6*Assumptions!K32/100</f>
        <v>-26.433546030458</v>
      </c>
      <c r="L17" s="4" t="n">
        <f aca="false">-L6*Assumptions!L32/100</f>
        <v>-27.2265524113718</v>
      </c>
    </row>
    <row r="18" customFormat="false" ht="15" hidden="false" customHeight="false" outlineLevel="0" collapsed="false">
      <c r="A18" s="0" t="s">
        <v>118</v>
      </c>
      <c r="C18" s="4" t="n">
        <f aca="false">(C6-B6)*Assumptions!$B$37/100</f>
        <v>1.24467225</v>
      </c>
      <c r="D18" s="4" t="n">
        <f aca="false">(D6-C6)*Assumptions!$B$37/100</f>
        <v>-4.0866738875</v>
      </c>
      <c r="E18" s="4" t="n">
        <f aca="false">(E6-D6)*Assumptions!$B$37/100</f>
        <v>-5.14920909825</v>
      </c>
      <c r="F18" s="4" t="n">
        <f aca="false">(F6-E6)*Assumptions!$B$37/100</f>
        <v>-5.458161644145</v>
      </c>
      <c r="G18" s="4" t="n">
        <f aca="false">(G6-F6)*Assumptions!$B$37/100</f>
        <v>-5.30351373089422</v>
      </c>
      <c r="H18" s="4" t="n">
        <f aca="false">(H6-G6)*Assumptions!$B$37/100</f>
        <v>-5.08655180553948</v>
      </c>
      <c r="I18" s="4" t="n">
        <f aca="false">(I6-H6)*Assumptions!$B$37/100</f>
        <v>-4.80679145623478</v>
      </c>
      <c r="J18" s="4" t="n">
        <f aca="false">(J6-I6)*Assumptions!$B$37/100</f>
        <v>-4.46497517490254</v>
      </c>
      <c r="K18" s="4" t="n">
        <f aca="false">(K6-J6)*Assumptions!$B$37/100</f>
        <v>-4.0631274091613</v>
      </c>
      <c r="L18" s="4" t="n">
        <f aca="false">(L6-K6)*Assumptions!$B$37/100</f>
        <v>-3.60457445869884</v>
      </c>
    </row>
    <row r="19" customFormat="false" ht="15" hidden="false" customHeight="false" outlineLevel="0" collapsed="false">
      <c r="A19" s="0" t="s">
        <v>119</v>
      </c>
      <c r="C19" s="0" t="n">
        <f aca="false">C15+C16+C17+C18</f>
        <v>-5.29400597</v>
      </c>
      <c r="D19" s="0" t="n">
        <f aca="false">D15+D16+D17+D18</f>
        <v>-0.173274972829996</v>
      </c>
      <c r="E19" s="0" t="n">
        <f aca="false">E15+E16+E17+E18</f>
        <v>9.04201117652701</v>
      </c>
      <c r="F19" s="0" t="n">
        <f aca="false">F15+F16+F17+F18</f>
        <v>19.6901361925316</v>
      </c>
      <c r="G19" s="0" t="n">
        <f aca="false">G15+G16+G17+G18</f>
        <v>32.3369696300978</v>
      </c>
      <c r="H19" s="0" t="n">
        <f aca="false">H15+H16+H17+H18</f>
        <v>46.1004363239652</v>
      </c>
      <c r="I19" s="0" t="n">
        <f aca="false">I15+I16+I17+I18</f>
        <v>61.3641406358209</v>
      </c>
      <c r="J19" s="0" t="n">
        <f aca="false">J15+J16+J17+J18</f>
        <v>73.4077638555377</v>
      </c>
      <c r="K19" s="0" t="n">
        <f aca="false">K15+K16+K17+K18</f>
        <v>84.0326723614379</v>
      </c>
      <c r="L19" s="0" t="n">
        <f aca="false">L15+L16+L17+L18</f>
        <v>92.9259295452556</v>
      </c>
    </row>
    <row r="20" customFormat="false" ht="15" hidden="false" customHeight="false" outlineLevel="0" collapsed="false">
      <c r="A20" s="0" t="s">
        <v>120</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121</v>
      </c>
      <c r="C21" s="0" t="n">
        <f aca="false">C19*C20</f>
        <v>-4.79095562895927</v>
      </c>
      <c r="D21" s="0" t="n">
        <f aca="false">D19*D20</f>
        <v>-0.141909439061441</v>
      </c>
      <c r="E21" s="0" t="n">
        <f aca="false">E19*E20</f>
        <v>6.70159541726692</v>
      </c>
      <c r="F21" s="0" t="n">
        <f aca="false">F19*F20</f>
        <v>13.2068610303925</v>
      </c>
      <c r="G21" s="0" t="n">
        <f aca="false">G19*G20</f>
        <v>19.6285368963863</v>
      </c>
      <c r="H21" s="0" t="n">
        <f aca="false">H19*H20</f>
        <v>25.3239453555704</v>
      </c>
      <c r="I21" s="0" t="n">
        <f aca="false">I19*I20</f>
        <v>30.5055395289369</v>
      </c>
      <c r="J21" s="0" t="n">
        <f aca="false">J19*J20</f>
        <v>33.0250718115938</v>
      </c>
      <c r="K21" s="0" t="n">
        <f aca="false">K19*K20</f>
        <v>34.2127254887896</v>
      </c>
      <c r="L21" s="0" t="n">
        <f aca="false">L19*L20</f>
        <v>34.2384530149073</v>
      </c>
    </row>
    <row r="23" customFormat="false" ht="15" hidden="false" customHeight="false" outlineLevel="0" collapsed="false">
      <c r="A23" s="0" t="s">
        <v>97</v>
      </c>
      <c r="C23" s="4" t="n">
        <f aca="false">Assumptions!C30</f>
        <v>0.7</v>
      </c>
      <c r="D23" s="4" t="n">
        <f aca="false">Assumptions!D30</f>
        <v>0.7</v>
      </c>
      <c r="E23" s="4" t="n">
        <f aca="false">Assumptions!E30</f>
        <v>0.7</v>
      </c>
      <c r="F23" s="4" t="n">
        <f aca="false">Assumptions!F30</f>
        <v>0.7</v>
      </c>
      <c r="G23" s="4" t="n">
        <f aca="false">Assumptions!G30</f>
        <v>0.7</v>
      </c>
      <c r="H23" s="4" t="n">
        <f aca="false">Assumptions!H30</f>
        <v>0.7</v>
      </c>
      <c r="I23" s="4" t="n">
        <f aca="false">Assumptions!I30</f>
        <v>0.7</v>
      </c>
      <c r="J23" s="4" t="n">
        <f aca="false">Assumptions!J30</f>
        <v>0.7</v>
      </c>
      <c r="K23" s="4" t="n">
        <f aca="false">Assumptions!K30</f>
        <v>0.7</v>
      </c>
      <c r="L23" s="4" t="n">
        <f aca="false">Assumptions!L30</f>
        <v>0.7</v>
      </c>
    </row>
    <row r="24" customFormat="false" ht="15" hidden="false" customHeight="false" outlineLevel="0" collapsed="false">
      <c r="A24" s="0" t="s">
        <v>122</v>
      </c>
      <c r="C24" s="0" t="n">
        <f aca="false">-C6*C23/100</f>
        <v>-11.442686885</v>
      </c>
      <c r="D24" s="0" t="n">
        <f aca="false">-D6*D23/100</f>
        <v>-12.01482122925</v>
      </c>
      <c r="E24" s="0" t="n">
        <f aca="false">-E6*E23/100</f>
        <v>-12.735710503005</v>
      </c>
      <c r="F24" s="0" t="n">
        <f aca="false">-F6*F23/100</f>
        <v>-13.4998531331853</v>
      </c>
      <c r="G24" s="0" t="n">
        <f aca="false">-G6*G23/100</f>
        <v>-14.2423450555105</v>
      </c>
      <c r="H24" s="0" t="n">
        <f aca="false">-H6*H23/100</f>
        <v>-14.954462308286</v>
      </c>
      <c r="I24" s="0" t="n">
        <f aca="false">-I6*I23/100</f>
        <v>-15.6274131121589</v>
      </c>
      <c r="J24" s="0" t="n">
        <f aca="false">-J6*J23/100</f>
        <v>-16.2525096366452</v>
      </c>
      <c r="K24" s="0" t="n">
        <f aca="false">-K6*K23/100</f>
        <v>-16.8213474739278</v>
      </c>
      <c r="L24" s="0" t="n">
        <f aca="false">-L6*L23/100</f>
        <v>-17.3259878981457</v>
      </c>
    </row>
    <row r="26" customFormat="false" ht="15" hidden="false" customHeight="false" outlineLevel="0" collapsed="false">
      <c r="A26" s="2" t="s">
        <v>123</v>
      </c>
    </row>
    <row r="27" customFormat="false" ht="15" hidden="false" customHeight="false" outlineLevel="0" collapsed="false">
      <c r="A27" s="0" t="s">
        <v>101</v>
      </c>
      <c r="B27" s="4" t="n">
        <f aca="false">Assumptions!$B$34</f>
        <v>10.5</v>
      </c>
    </row>
    <row r="28" customFormat="false" ht="15" hidden="false" customHeight="false" outlineLevel="0" collapsed="false">
      <c r="A28" s="0" t="s">
        <v>102</v>
      </c>
      <c r="B28" s="4" t="n">
        <f aca="false">Assumptions!$B$35</f>
        <v>2.5</v>
      </c>
    </row>
    <row r="29" customFormat="false" ht="15" hidden="false" customHeight="false" outlineLevel="0" collapsed="false">
      <c r="A29" s="0" t="s">
        <v>103</v>
      </c>
      <c r="B29" s="4" t="n">
        <f aca="false">Assumptions!$B$36</f>
        <v>15</v>
      </c>
    </row>
    <row r="30" customFormat="false" ht="15" hidden="false" customHeight="false" outlineLevel="0" collapsed="false">
      <c r="A30" s="0" t="s">
        <v>124</v>
      </c>
      <c r="B30" s="0" t="n">
        <f aca="false">SUM(C21:L21)</f>
        <v>191.909863475823</v>
      </c>
    </row>
    <row r="31" customFormat="false" ht="15" hidden="false" customHeight="false" outlineLevel="0" collapsed="false">
      <c r="A31" s="0" t="s">
        <v>125</v>
      </c>
      <c r="B31" s="0" t="n">
        <f aca="false">L19</f>
        <v>92.9259295452556</v>
      </c>
    </row>
    <row r="32" customFormat="false" ht="15" hidden="false" customHeight="false" outlineLevel="0" collapsed="false">
      <c r="A32" s="0" t="s">
        <v>126</v>
      </c>
      <c r="B32" s="0" t="n">
        <f aca="false">IF(B27&gt;B28,B31*(1+B28/100)/((B27-B28)/100),B31*B29)</f>
        <v>1190.61347229859</v>
      </c>
    </row>
    <row r="33" customFormat="false" ht="15" hidden="false" customHeight="false" outlineLevel="0" collapsed="false">
      <c r="A33" s="0" t="s">
        <v>127</v>
      </c>
      <c r="B33" s="0" t="n">
        <f aca="false">B31*B29</f>
        <v>1393.88894317883</v>
      </c>
    </row>
    <row r="34" customFormat="false" ht="15" hidden="false" customHeight="false" outlineLevel="0" collapsed="false">
      <c r="A34" s="0" t="s">
        <v>128</v>
      </c>
      <c r="B34" s="0" t="n">
        <f aca="false">MAX(0,MIN(B32,B33))</f>
        <v>1190.61347229859</v>
      </c>
    </row>
    <row r="35" customFormat="false" ht="15" hidden="false" customHeight="false" outlineLevel="0" collapsed="false">
      <c r="A35" s="0" t="s">
        <v>129</v>
      </c>
      <c r="B35" s="0" t="n">
        <f aca="false">B34/(1+B27/100)^L4</f>
        <v>438.6801792535</v>
      </c>
    </row>
    <row r="36" customFormat="false" ht="15" hidden="false" customHeight="false" outlineLevel="0" collapsed="false">
      <c r="A36" s="0" t="s">
        <v>130</v>
      </c>
      <c r="B36" s="0" t="n">
        <f aca="false">B30+B35</f>
        <v>630.590042729323</v>
      </c>
    </row>
    <row r="37" customFormat="false" ht="15" hidden="false" customHeight="false" outlineLevel="0" collapsed="false">
      <c r="A37" s="0" t="s">
        <v>131</v>
      </c>
      <c r="B37" s="0" t="n">
        <f aca="false">B36+Assumptions!$B$5-Assumptions!$B$4</f>
        <v>931.775042729323</v>
      </c>
    </row>
    <row r="38" customFormat="false" ht="15" hidden="false" customHeight="false" outlineLevel="0" collapsed="false">
      <c r="A38" s="0" t="s">
        <v>132</v>
      </c>
      <c r="B38" s="0" t="n">
        <f aca="false">B37/Assumptions!$B$3*Assumptions!$B$10</f>
        <v>2.11296663103423</v>
      </c>
    </row>
    <row r="39" customFormat="false" ht="15" hidden="false" customHeight="false" outlineLevel="0" collapsed="false">
      <c r="A39" s="0" t="s">
        <v>133</v>
      </c>
      <c r="B39" s="4" t="n">
        <f aca="false">B38/Assumptions!$B$2-1</f>
        <v>0.180428285493986</v>
      </c>
    </row>
    <row r="41" customFormat="false" ht="15" hidden="false" customHeight="false" outlineLevel="0" collapsed="false">
      <c r="A41" s="0" t="s">
        <v>134</v>
      </c>
      <c r="B41" s="0" t="n">
        <f aca="false">SUMPRODUCT(-C10:L10/(1+$B$27/100)^C4:L4)</f>
        <v>122.761682036166</v>
      </c>
    </row>
    <row r="42" customFormat="false" ht="15" hidden="false" customHeight="false" outlineLevel="0" collapsed="false">
      <c r="A42" s="0" t="s">
        <v>135</v>
      </c>
      <c r="B42" s="0" t="n">
        <f aca="false">IF(B27&gt;B28,-L10*(1+B28/100)/((B27-B28)/100),-L10*20)/(1+B27/100)^L4</f>
        <v>116.845250745049</v>
      </c>
    </row>
    <row r="43" customFormat="false" ht="15" hidden="false" customHeight="false" outlineLevel="0" collapsed="false">
      <c r="A43" s="0" t="s">
        <v>136</v>
      </c>
      <c r="B43" s="0" t="n">
        <f aca="false">(B37+B41+B42)/Assumptions!$B$3*Assumptions!$B$10</f>
        <v>2.65631822376223</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761.992622271096</v>
      </c>
    </row>
    <row r="47" customFormat="false" ht="15" hidden="false" customHeight="false" outlineLevel="0" collapsed="false">
      <c r="A47" s="0" t="s">
        <v>138</v>
      </c>
      <c r="B47" s="0" t="n">
        <f aca="false">(SUMPRODUCT(C19:L19/(1+B45/100)^C4:L4)+B46/(1+B45/100)^L4+Assumptions!$B$5-Assumptions!$B$4)/Assumptions!$B$3*Assumptions!$B$10</f>
        <v>1.43303168590702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1</v>
      </c>
      <c r="D5" s="4" t="n">
        <f aca="false">Assumptions!D41</f>
        <v>9</v>
      </c>
      <c r="E5" s="4" t="n">
        <f aca="false">Assumptions!E41</f>
        <v>10</v>
      </c>
      <c r="F5" s="4" t="n">
        <f aca="false">Assumptions!F41</f>
        <v>9</v>
      </c>
      <c r="G5" s="4" t="n">
        <f aca="false">Assumptions!G41</f>
        <v>8</v>
      </c>
      <c r="H5" s="4" t="n">
        <f aca="false">Assumptions!H41</f>
        <v>7</v>
      </c>
      <c r="I5" s="4" t="n">
        <f aca="false">Assumptions!I41</f>
        <v>6</v>
      </c>
      <c r="J5" s="4" t="n">
        <f aca="false">Assumptions!J41</f>
        <v>5</v>
      </c>
      <c r="K5" s="4" t="n">
        <f aca="false">Assumptions!K41</f>
        <v>4</v>
      </c>
      <c r="L5" s="4" t="n">
        <f aca="false">Assumptions!L41</f>
        <v>3</v>
      </c>
    </row>
    <row r="6" customFormat="false" ht="15" hidden="false" customHeight="false" outlineLevel="0" collapsed="false">
      <c r="A6" s="0" t="s">
        <v>38</v>
      </c>
      <c r="B6" s="3" t="n">
        <v>1659.563</v>
      </c>
      <c r="C6" s="0" t="n">
        <f aca="false">B6*(1+C5/100)</f>
        <v>1676.15863</v>
      </c>
      <c r="D6" s="0" t="n">
        <f aca="false">C6*(1+D5/100)</f>
        <v>1827.0129067</v>
      </c>
      <c r="E6" s="0" t="n">
        <f aca="false">D6*(1+E5/100)</f>
        <v>2009.71419737</v>
      </c>
      <c r="F6" s="0" t="n">
        <f aca="false">E6*(1+F5/100)</f>
        <v>2190.5884751333</v>
      </c>
      <c r="G6" s="0" t="n">
        <f aca="false">F6*(1+G5/100)</f>
        <v>2365.83555314396</v>
      </c>
      <c r="H6" s="0" t="n">
        <f aca="false">G6*(1+H5/100)</f>
        <v>2531.44404186404</v>
      </c>
      <c r="I6" s="0" t="n">
        <f aca="false">H6*(1+I5/100)</f>
        <v>2683.33068437589</v>
      </c>
      <c r="J6" s="0" t="n">
        <f aca="false">I6*(1+J5/100)</f>
        <v>2817.49721859468</v>
      </c>
      <c r="K6" s="0" t="n">
        <f aca="false">J6*(1+K5/100)</f>
        <v>2930.19710733847</v>
      </c>
      <c r="L6" s="0" t="n">
        <f aca="false">K6*(1+L5/100)</f>
        <v>3018.10302055862</v>
      </c>
    </row>
    <row r="7" customFormat="false" ht="15" hidden="false" customHeight="false" outlineLevel="0" collapsed="false">
      <c r="A7" s="0" t="s">
        <v>95</v>
      </c>
      <c r="C7" s="4" t="n">
        <f aca="false">Assumptions!C42</f>
        <v>2.8</v>
      </c>
      <c r="D7" s="4" t="n">
        <f aca="false">Assumptions!D42</f>
        <v>3.8</v>
      </c>
      <c r="E7" s="4" t="n">
        <f aca="false">Assumptions!E42</f>
        <v>5</v>
      </c>
      <c r="F7" s="4" t="n">
        <f aca="false">Assumptions!F42</f>
        <v>6.2</v>
      </c>
      <c r="G7" s="4" t="n">
        <f aca="false">Assumptions!G42</f>
        <v>7.4</v>
      </c>
      <c r="H7" s="4" t="n">
        <f aca="false">Assumptions!H42</f>
        <v>8.6</v>
      </c>
      <c r="I7" s="4" t="n">
        <f aca="false">Assumptions!I42</f>
        <v>9.6</v>
      </c>
      <c r="J7" s="4" t="n">
        <f aca="false">Assumptions!J42</f>
        <v>10.4</v>
      </c>
      <c r="K7" s="4" t="n">
        <f aca="false">Assumptions!K42</f>
        <v>11</v>
      </c>
      <c r="L7" s="4" t="n">
        <f aca="false">Assumptions!L42</f>
        <v>11.5</v>
      </c>
    </row>
    <row r="8" customFormat="false" ht="15" hidden="false" customHeight="false" outlineLevel="0" collapsed="false">
      <c r="A8" s="0" t="s">
        <v>44</v>
      </c>
      <c r="C8" s="0" t="n">
        <f aca="false">C6*C7/100</f>
        <v>46.93244164</v>
      </c>
      <c r="D8" s="0" t="n">
        <f aca="false">D6*D7/100</f>
        <v>69.4264904546</v>
      </c>
      <c r="E8" s="0" t="n">
        <f aca="false">E6*E7/100</f>
        <v>100.4857098685</v>
      </c>
      <c r="F8" s="0" t="n">
        <f aca="false">F6*F7/100</f>
        <v>135.816485458265</v>
      </c>
      <c r="G8" s="0" t="n">
        <f aca="false">G6*G7/100</f>
        <v>175.071830932653</v>
      </c>
      <c r="H8" s="0" t="n">
        <f aca="false">H6*H7/100</f>
        <v>217.704187600308</v>
      </c>
      <c r="I8" s="0" t="n">
        <f aca="false">I6*I7/100</f>
        <v>257.599745700085</v>
      </c>
      <c r="J8" s="0" t="n">
        <f aca="false">J6*J7/100</f>
        <v>293.019710733847</v>
      </c>
      <c r="K8" s="0" t="n">
        <f aca="false">K6*K7/100</f>
        <v>322.321681807231</v>
      </c>
      <c r="L8" s="0" t="n">
        <f aca="false">L6*L7/100</f>
        <v>347.081847364241</v>
      </c>
    </row>
    <row r="9" customFormat="false" ht="15" hidden="false" customHeight="false" outlineLevel="0" collapsed="false">
      <c r="A9" s="0" t="s">
        <v>96</v>
      </c>
      <c r="C9" s="4" t="n">
        <f aca="false">Assumptions!C43</f>
        <v>1.2</v>
      </c>
      <c r="D9" s="4" t="n">
        <f aca="false">Assumptions!D43</f>
        <v>1</v>
      </c>
      <c r="E9" s="4" t="n">
        <f aca="false">Assumptions!E43</f>
        <v>1</v>
      </c>
      <c r="F9" s="4" t="n">
        <f aca="false">Assumptions!F43</f>
        <v>1</v>
      </c>
      <c r="G9" s="4" t="n">
        <f aca="false">Assumptions!G43</f>
        <v>1</v>
      </c>
      <c r="H9" s="4" t="n">
        <f aca="false">Assumptions!H43</f>
        <v>1</v>
      </c>
      <c r="I9" s="4" t="n">
        <f aca="false">Assumptions!I43</f>
        <v>1</v>
      </c>
      <c r="J9" s="4" t="n">
        <f aca="false">Assumptions!J43</f>
        <v>1</v>
      </c>
      <c r="K9" s="4" t="n">
        <f aca="false">Assumptions!K43</f>
        <v>1</v>
      </c>
      <c r="L9" s="4" t="n">
        <f aca="false">Assumptions!L43</f>
        <v>1</v>
      </c>
    </row>
    <row r="10" customFormat="false" ht="15" hidden="false" customHeight="false" outlineLevel="0" collapsed="false">
      <c r="A10" s="0" t="s">
        <v>111</v>
      </c>
      <c r="C10" s="0" t="n">
        <f aca="false">-C6*C9/100</f>
        <v>-20.11390356</v>
      </c>
      <c r="D10" s="0" t="n">
        <f aca="false">-D6*D9/100</f>
        <v>-18.270129067</v>
      </c>
      <c r="E10" s="0" t="n">
        <f aca="false">-E6*E9/100</f>
        <v>-20.0971419737</v>
      </c>
      <c r="F10" s="0" t="n">
        <f aca="false">-F6*F9/100</f>
        <v>-21.905884751333</v>
      </c>
      <c r="G10" s="0" t="n">
        <f aca="false">-G6*G9/100</f>
        <v>-23.6583555314396</v>
      </c>
      <c r="H10" s="0" t="n">
        <f aca="false">-H6*H9/100</f>
        <v>-25.3144404186404</v>
      </c>
      <c r="I10" s="0" t="n">
        <f aca="false">-I6*I9/100</f>
        <v>-26.8333068437589</v>
      </c>
      <c r="J10" s="0" t="n">
        <f aca="false">-J6*J9/100</f>
        <v>-28.1749721859468</v>
      </c>
      <c r="K10" s="0" t="n">
        <f aca="false">-K6*K9/100</f>
        <v>-29.3019710733847</v>
      </c>
      <c r="L10" s="0" t="n">
        <f aca="false">-L6*L9/100</f>
        <v>-30.1810302055862</v>
      </c>
    </row>
    <row r="11" customFormat="false" ht="15" hidden="false" customHeight="false" outlineLevel="0" collapsed="false">
      <c r="A11" s="0" t="s">
        <v>112</v>
      </c>
      <c r="C11" s="0" t="n">
        <f aca="false">C8+C10+C24</f>
        <v>15.08542767</v>
      </c>
      <c r="D11" s="0" t="n">
        <f aca="false">D8+D10+D24</f>
        <v>38.3672710407</v>
      </c>
      <c r="E11" s="0" t="n">
        <f aca="false">E8+E10+E24</f>
        <v>66.32056851321</v>
      </c>
      <c r="F11" s="0" t="n">
        <f aca="false">F8+F10+F24</f>
        <v>98.5764813809985</v>
      </c>
      <c r="G11" s="0" t="n">
        <f aca="false">G8+G10+G24</f>
        <v>134.852626529206</v>
      </c>
      <c r="H11" s="0" t="n">
        <f aca="false">H8+H10+H24</f>
        <v>174.669638888619</v>
      </c>
      <c r="I11" s="0" t="n">
        <f aca="false">I8+I10+I24</f>
        <v>211.983124065695</v>
      </c>
      <c r="J11" s="0" t="n">
        <f aca="false">J8+J10+J24</f>
        <v>245.122258017737</v>
      </c>
      <c r="K11" s="0" t="n">
        <f aca="false">K8+K10+K24</f>
        <v>272.508330982477</v>
      </c>
      <c r="L11" s="0" t="n">
        <f aca="false">L8+L10+L24</f>
        <v>295.774096014745</v>
      </c>
    </row>
    <row r="12" customFormat="false" ht="15" hidden="false" customHeight="false" outlineLevel="0" collapsed="false">
      <c r="A12" s="0" t="s">
        <v>113</v>
      </c>
      <c r="C12" s="4" t="n">
        <f aca="false">-C6*Assumptions!C45/100</f>
        <v>-18.43774493</v>
      </c>
      <c r="D12" s="4" t="n">
        <f aca="false">-D6*Assumptions!D45/100</f>
        <v>-20.0971419737</v>
      </c>
      <c r="E12" s="4" t="n">
        <f aca="false">-E6*Assumptions!E45/100</f>
        <v>-22.10685617107</v>
      </c>
      <c r="F12" s="4" t="n">
        <f aca="false">-F6*Assumptions!F45/100</f>
        <v>-24.0964732264663</v>
      </c>
      <c r="G12" s="4" t="n">
        <f aca="false">-G6*Assumptions!G45/100</f>
        <v>-26.0241910845836</v>
      </c>
      <c r="H12" s="4" t="n">
        <f aca="false">-H6*Assumptions!H45/100</f>
        <v>-27.8458844605045</v>
      </c>
      <c r="I12" s="4" t="n">
        <f aca="false">-I6*Assumptions!I45/100</f>
        <v>-29.5166375281347</v>
      </c>
      <c r="J12" s="4" t="n">
        <f aca="false">-J6*Assumptions!J45/100</f>
        <v>-30.9924694045415</v>
      </c>
      <c r="K12" s="4" t="n">
        <f aca="false">-K6*Assumptions!K45/100</f>
        <v>-32.2321681807231</v>
      </c>
      <c r="L12" s="4" t="n">
        <f aca="false">-L6*Assumptions!L45/100</f>
        <v>-33.1991332261448</v>
      </c>
    </row>
    <row r="13" customFormat="false" ht="15" hidden="false" customHeight="false" outlineLevel="0" collapsed="false">
      <c r="A13" s="0" t="s">
        <v>114</v>
      </c>
      <c r="C13" s="0" t="n">
        <f aca="false">C11+C12</f>
        <v>-3.35231726000001</v>
      </c>
      <c r="D13" s="0" t="n">
        <f aca="false">D11+D12</f>
        <v>18.270129067</v>
      </c>
      <c r="E13" s="0" t="n">
        <f aca="false">E11+E12</f>
        <v>44.21371234214</v>
      </c>
      <c r="F13" s="0" t="n">
        <f aca="false">F11+F12</f>
        <v>74.4800081545322</v>
      </c>
      <c r="G13" s="0" t="n">
        <f aca="false">G11+G12</f>
        <v>108.828435444622</v>
      </c>
      <c r="H13" s="0" t="n">
        <f aca="false">H11+H12</f>
        <v>146.823754428114</v>
      </c>
      <c r="I13" s="0" t="n">
        <f aca="false">I11+I12</f>
        <v>182.46648653756</v>
      </c>
      <c r="J13" s="0" t="n">
        <f aca="false">J11+J12</f>
        <v>214.129788613196</v>
      </c>
      <c r="K13" s="0" t="n">
        <f aca="false">K11+K12</f>
        <v>240.276162801754</v>
      </c>
      <c r="L13" s="0" t="n">
        <f aca="false">L11+L12</f>
        <v>262.5749627886</v>
      </c>
    </row>
    <row r="14" customFormat="false" ht="15" hidden="false" customHeight="false" outlineLevel="0" collapsed="false">
      <c r="A14" s="0" t="s">
        <v>100</v>
      </c>
      <c r="C14" s="4" t="n">
        <f aca="false">Assumptions!C47</f>
        <v>15</v>
      </c>
      <c r="D14" s="4" t="n">
        <f aca="false">Assumptions!D47</f>
        <v>18</v>
      </c>
      <c r="E14" s="4" t="n">
        <f aca="false">Assumptions!E47</f>
        <v>20</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115</v>
      </c>
      <c r="C15" s="0" t="n">
        <f aca="false">C13-MAX(0,C13)*C14/100</f>
        <v>-3.35231726000001</v>
      </c>
      <c r="D15" s="0" t="n">
        <f aca="false">D13-MAX(0,D13)*D14/100</f>
        <v>14.98150583494</v>
      </c>
      <c r="E15" s="0" t="n">
        <f aca="false">E13-MAX(0,E13)*E14/100</f>
        <v>35.370969873712</v>
      </c>
      <c r="F15" s="0" t="n">
        <f aca="false">F13-MAX(0,F13)*F14/100</f>
        <v>58.0944063605351</v>
      </c>
      <c r="G15" s="0" t="n">
        <f aca="false">G13-MAX(0,G13)*G14/100</f>
        <v>84.8861796468055</v>
      </c>
      <c r="H15" s="0" t="n">
        <f aca="false">H13-MAX(0,H13)*H14/100</f>
        <v>114.522528453929</v>
      </c>
      <c r="I15" s="0" t="n">
        <f aca="false">I13-MAX(0,I13)*I14/100</f>
        <v>142.323859499297</v>
      </c>
      <c r="J15" s="0" t="n">
        <f aca="false">J13-MAX(0,J13)*J14/100</f>
        <v>167.021235118293</v>
      </c>
      <c r="K15" s="0" t="n">
        <f aca="false">K13-MAX(0,K13)*K14/100</f>
        <v>187.415406985368</v>
      </c>
      <c r="L15" s="0" t="n">
        <f aca="false">L13-MAX(0,L13)*L14/100</f>
        <v>204.808470975108</v>
      </c>
    </row>
    <row r="16" customFormat="false" ht="15" hidden="false" customHeight="false" outlineLevel="0" collapsed="false">
      <c r="A16" s="0" t="s">
        <v>116</v>
      </c>
      <c r="C16" s="0" t="n">
        <f aca="false">-C12</f>
        <v>18.43774493</v>
      </c>
      <c r="D16" s="0" t="n">
        <f aca="false">-D12</f>
        <v>20.0971419737</v>
      </c>
      <c r="E16" s="0" t="n">
        <f aca="false">-E12</f>
        <v>22.10685617107</v>
      </c>
      <c r="F16" s="0" t="n">
        <f aca="false">-F12</f>
        <v>24.0964732264663</v>
      </c>
      <c r="G16" s="0" t="n">
        <f aca="false">-G12</f>
        <v>26.0241910845836</v>
      </c>
      <c r="H16" s="0" t="n">
        <f aca="false">-H12</f>
        <v>27.8458844605045</v>
      </c>
      <c r="I16" s="0" t="n">
        <f aca="false">-I12</f>
        <v>29.5166375281347</v>
      </c>
      <c r="J16" s="0" t="n">
        <f aca="false">-J12</f>
        <v>30.9924694045415</v>
      </c>
      <c r="K16" s="0" t="n">
        <f aca="false">-K12</f>
        <v>32.2321681807231</v>
      </c>
      <c r="L16" s="0" t="n">
        <f aca="false">-L12</f>
        <v>33.1991332261448</v>
      </c>
    </row>
    <row r="17" customFormat="false" ht="15" hidden="false" customHeight="false" outlineLevel="0" collapsed="false">
      <c r="A17" s="0" t="s">
        <v>117</v>
      </c>
      <c r="C17" s="4" t="n">
        <f aca="false">-C6*Assumptions!C46/100</f>
        <v>-20.11390356</v>
      </c>
      <c r="D17" s="4" t="n">
        <f aca="false">-D6*Assumptions!D46/100</f>
        <v>-23.7511677871</v>
      </c>
      <c r="E17" s="4" t="n">
        <f aca="false">-E6*Assumptions!E46/100</f>
        <v>-26.12628456581</v>
      </c>
      <c r="F17" s="4" t="n">
        <f aca="false">-F6*Assumptions!F46/100</f>
        <v>-28.4776501767329</v>
      </c>
      <c r="G17" s="4" t="n">
        <f aca="false">-G6*Assumptions!G46/100</f>
        <v>-28.3900266377276</v>
      </c>
      <c r="H17" s="4" t="n">
        <f aca="false">-H6*Assumptions!H46/100</f>
        <v>-30.3773285023685</v>
      </c>
      <c r="I17" s="4" t="n">
        <f aca="false">-I6*Assumptions!I46/100</f>
        <v>-29.5166375281347</v>
      </c>
      <c r="J17" s="4" t="n">
        <f aca="false">-J6*Assumptions!J46/100</f>
        <v>-30.9924694045415</v>
      </c>
      <c r="K17" s="4" t="n">
        <f aca="false">-K6*Assumptions!K46/100</f>
        <v>-32.2321681807231</v>
      </c>
      <c r="L17" s="4" t="n">
        <f aca="false">-L6*Assumptions!L46/100</f>
        <v>-33.1991332261448</v>
      </c>
    </row>
    <row r="18" customFormat="false" ht="15" hidden="false" customHeight="false" outlineLevel="0" collapsed="false">
      <c r="A18" s="0" t="s">
        <v>118</v>
      </c>
      <c r="C18" s="4" t="n">
        <f aca="false">(C6-B6)*Assumptions!$B$51/100</f>
        <v>-0.829781500000001</v>
      </c>
      <c r="D18" s="4" t="n">
        <f aca="false">(D6-C6)*Assumptions!$B$51/100</f>
        <v>-7.54271383500001</v>
      </c>
      <c r="E18" s="4" t="n">
        <f aca="false">(E6-D6)*Assumptions!$B$51/100</f>
        <v>-9.13506453350001</v>
      </c>
      <c r="F18" s="4" t="n">
        <f aca="false">(F6-E6)*Assumptions!$B$51/100</f>
        <v>-9.04371388816501</v>
      </c>
      <c r="G18" s="4" t="n">
        <f aca="false">(G6-F6)*Assumptions!$B$51/100</f>
        <v>-8.76235390053321</v>
      </c>
      <c r="H18" s="4" t="n">
        <f aca="false">(H6-G6)*Assumptions!$B$51/100</f>
        <v>-8.28042443600389</v>
      </c>
      <c r="I18" s="4" t="n">
        <f aca="false">(I6-H6)*Assumptions!$B$51/100</f>
        <v>-7.59433212559213</v>
      </c>
      <c r="J18" s="4" t="n">
        <f aca="false">(J6-I6)*Assumptions!$B$51/100</f>
        <v>-6.70832671093972</v>
      </c>
      <c r="K18" s="4" t="n">
        <f aca="false">(K6-J6)*Assumptions!$B$51/100</f>
        <v>-5.63499443718936</v>
      </c>
      <c r="L18" s="4" t="n">
        <f aca="false">(L6-K6)*Assumptions!$B$51/100</f>
        <v>-4.39529566100771</v>
      </c>
    </row>
    <row r="19" customFormat="false" ht="15" hidden="false" customHeight="false" outlineLevel="0" collapsed="false">
      <c r="A19" s="0" t="s">
        <v>119</v>
      </c>
      <c r="C19" s="0" t="n">
        <f aca="false">C15+C16+C17+C18</f>
        <v>-5.85825739</v>
      </c>
      <c r="D19" s="0" t="n">
        <f aca="false">D15+D16+D17+D18</f>
        <v>3.78476618654001</v>
      </c>
      <c r="E19" s="0" t="n">
        <f aca="false">E15+E16+E17+E18</f>
        <v>22.216476945472</v>
      </c>
      <c r="F19" s="0" t="n">
        <f aca="false">F15+F16+F17+F18</f>
        <v>44.6695155221035</v>
      </c>
      <c r="G19" s="0" t="n">
        <f aca="false">G15+G16+G17+G18</f>
        <v>73.7579901931283</v>
      </c>
      <c r="H19" s="0" t="n">
        <f aca="false">H15+H16+H17+H18</f>
        <v>103.710659976061</v>
      </c>
      <c r="I19" s="0" t="n">
        <f aca="false">I15+I16+I17+I18</f>
        <v>134.729527373705</v>
      </c>
      <c r="J19" s="0" t="n">
        <f aca="false">J15+J16+J17+J18</f>
        <v>160.312908407353</v>
      </c>
      <c r="K19" s="0" t="n">
        <f aca="false">K15+K16+K17+K18</f>
        <v>181.780412548179</v>
      </c>
      <c r="L19" s="0" t="n">
        <f aca="false">L15+L16+L17+L18</f>
        <v>200.4131753141</v>
      </c>
    </row>
    <row r="20" customFormat="false" ht="15" hidden="false" customHeight="false" outlineLevel="0" collapsed="false">
      <c r="A20" s="0" t="s">
        <v>120</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121</v>
      </c>
      <c r="C21" s="0" t="n">
        <f aca="false">C19*C20</f>
        <v>-5.30159039819005</v>
      </c>
      <c r="D21" s="0" t="n">
        <f aca="false">D19*D20</f>
        <v>3.0996631408366</v>
      </c>
      <c r="E21" s="0" t="n">
        <f aca="false">E19*E20</f>
        <v>16.4660092958188</v>
      </c>
      <c r="F21" s="0" t="n">
        <f aca="false">F19*F20</f>
        <v>29.9614018931543</v>
      </c>
      <c r="G21" s="0" t="n">
        <f aca="false">G19*G20</f>
        <v>44.7710916783496</v>
      </c>
      <c r="H21" s="0" t="n">
        <f aca="false">H19*H20</f>
        <v>56.9704604869133</v>
      </c>
      <c r="I21" s="0" t="n">
        <f aca="false">I19*I20</f>
        <v>66.9771772313285</v>
      </c>
      <c r="J21" s="0" t="n">
        <f aca="false">J19*J20</f>
        <v>72.1224164094858</v>
      </c>
      <c r="K21" s="0" t="n">
        <f aca="false">K19*K20</f>
        <v>74.0093487328356</v>
      </c>
      <c r="L21" s="0" t="n">
        <f aca="false">L19*L20</f>
        <v>73.8420064253266</v>
      </c>
    </row>
    <row r="23" customFormat="false" ht="15" hidden="false" customHeight="false" outlineLevel="0" collapsed="false">
      <c r="A23" s="0" t="s">
        <v>97</v>
      </c>
      <c r="C23" s="4" t="n">
        <f aca="false">Assumptions!C44</f>
        <v>0.7</v>
      </c>
      <c r="D23" s="4" t="n">
        <f aca="false">Assumptions!D44</f>
        <v>0.7</v>
      </c>
      <c r="E23" s="4" t="n">
        <f aca="false">Assumptions!E44</f>
        <v>0.7</v>
      </c>
      <c r="F23" s="4" t="n">
        <f aca="false">Assumptions!F44</f>
        <v>0.7</v>
      </c>
      <c r="G23" s="4" t="n">
        <f aca="false">Assumptions!G44</f>
        <v>0.7</v>
      </c>
      <c r="H23" s="4" t="n">
        <f aca="false">Assumptions!H44</f>
        <v>0.7</v>
      </c>
      <c r="I23" s="4" t="n">
        <f aca="false">Assumptions!I44</f>
        <v>0.7</v>
      </c>
      <c r="J23" s="4" t="n">
        <f aca="false">Assumptions!J44</f>
        <v>0.7</v>
      </c>
      <c r="K23" s="4" t="n">
        <f aca="false">Assumptions!K44</f>
        <v>0.7</v>
      </c>
      <c r="L23" s="4" t="n">
        <f aca="false">Assumptions!L44</f>
        <v>0.7</v>
      </c>
    </row>
    <row r="24" customFormat="false" ht="15" hidden="false" customHeight="false" outlineLevel="0" collapsed="false">
      <c r="A24" s="0" t="s">
        <v>122</v>
      </c>
      <c r="C24" s="0" t="n">
        <f aca="false">-C6*C23/100</f>
        <v>-11.73311041</v>
      </c>
      <c r="D24" s="0" t="n">
        <f aca="false">-D6*D23/100</f>
        <v>-12.7890903469</v>
      </c>
      <c r="E24" s="0" t="n">
        <f aca="false">-E6*E23/100</f>
        <v>-14.06799938159</v>
      </c>
      <c r="F24" s="0" t="n">
        <f aca="false">-F6*F23/100</f>
        <v>-15.3341193259331</v>
      </c>
      <c r="G24" s="0" t="n">
        <f aca="false">-G6*G23/100</f>
        <v>-16.5608488720078</v>
      </c>
      <c r="H24" s="0" t="n">
        <f aca="false">-H6*H23/100</f>
        <v>-17.7201082930483</v>
      </c>
      <c r="I24" s="0" t="n">
        <f aca="false">-I6*I23/100</f>
        <v>-18.7833147906312</v>
      </c>
      <c r="J24" s="0" t="n">
        <f aca="false">-J6*J23/100</f>
        <v>-19.7224805301628</v>
      </c>
      <c r="K24" s="0" t="n">
        <f aca="false">-K6*K23/100</f>
        <v>-20.5113797513693</v>
      </c>
      <c r="L24" s="0" t="n">
        <f aca="false">-L6*L23/100</f>
        <v>-21.1267211439103</v>
      </c>
    </row>
    <row r="26" customFormat="false" ht="15" hidden="false" customHeight="false" outlineLevel="0" collapsed="false">
      <c r="A26" s="2" t="s">
        <v>123</v>
      </c>
    </row>
    <row r="27" customFormat="false" ht="15" hidden="false" customHeight="false" outlineLevel="0" collapsed="false">
      <c r="A27" s="0" t="s">
        <v>101</v>
      </c>
      <c r="B27" s="4" t="n">
        <f aca="false">Assumptions!$B$48</f>
        <v>10.5</v>
      </c>
    </row>
    <row r="28" customFormat="false" ht="15" hidden="false" customHeight="false" outlineLevel="0" collapsed="false">
      <c r="A28" s="0" t="s">
        <v>102</v>
      </c>
      <c r="B28" s="4" t="n">
        <f aca="false">Assumptions!$B$49</f>
        <v>2.5</v>
      </c>
    </row>
    <row r="29" customFormat="false" ht="15" hidden="false" customHeight="false" outlineLevel="0" collapsed="false">
      <c r="A29" s="0" t="s">
        <v>103</v>
      </c>
      <c r="B29" s="4" t="n">
        <f aca="false">Assumptions!$B$50</f>
        <v>15</v>
      </c>
    </row>
    <row r="30" customFormat="false" ht="15" hidden="false" customHeight="false" outlineLevel="0" collapsed="false">
      <c r="A30" s="0" t="s">
        <v>124</v>
      </c>
      <c r="B30" s="0" t="n">
        <f aca="false">SUM(C21:L21)</f>
        <v>432.917984895859</v>
      </c>
    </row>
    <row r="31" customFormat="false" ht="15" hidden="false" customHeight="false" outlineLevel="0" collapsed="false">
      <c r="A31" s="0" t="s">
        <v>125</v>
      </c>
      <c r="B31" s="0" t="n">
        <f aca="false">L19</f>
        <v>200.4131753141</v>
      </c>
    </row>
    <row r="32" customFormat="false" ht="15" hidden="false" customHeight="false" outlineLevel="0" collapsed="false">
      <c r="A32" s="0" t="s">
        <v>126</v>
      </c>
      <c r="B32" s="0" t="n">
        <f aca="false">IF(B27&gt;B28,B31*(1+B28/100)/((B27-B28)/100),B31*B29)</f>
        <v>2567.79380871191</v>
      </c>
    </row>
    <row r="33" customFormat="false" ht="15" hidden="false" customHeight="false" outlineLevel="0" collapsed="false">
      <c r="A33" s="0" t="s">
        <v>127</v>
      </c>
      <c r="B33" s="0" t="n">
        <f aca="false">B31*B29</f>
        <v>3006.1976297115</v>
      </c>
    </row>
    <row r="34" customFormat="false" ht="15" hidden="false" customHeight="false" outlineLevel="0" collapsed="false">
      <c r="A34" s="0" t="s">
        <v>128</v>
      </c>
      <c r="B34" s="0" t="n">
        <f aca="false">MAX(0,MIN(B32,B33))</f>
        <v>2567.79380871191</v>
      </c>
    </row>
    <row r="35" customFormat="false" ht="15" hidden="false" customHeight="false" outlineLevel="0" collapsed="false">
      <c r="A35" s="0" t="s">
        <v>129</v>
      </c>
      <c r="B35" s="0" t="n">
        <f aca="false">B34/(1+B27/100)^L4</f>
        <v>946.100707324497</v>
      </c>
    </row>
    <row r="36" customFormat="false" ht="15" hidden="false" customHeight="false" outlineLevel="0" collapsed="false">
      <c r="A36" s="0" t="s">
        <v>130</v>
      </c>
      <c r="B36" s="0" t="n">
        <f aca="false">B30+B35</f>
        <v>1379.01869222036</v>
      </c>
    </row>
    <row r="37" customFormat="false" ht="15" hidden="false" customHeight="false" outlineLevel="0" collapsed="false">
      <c r="A37" s="0" t="s">
        <v>131</v>
      </c>
      <c r="B37" s="0" t="n">
        <f aca="false">B36+Assumptions!$B$5-Assumptions!$B$4</f>
        <v>1680.20369222036</v>
      </c>
    </row>
    <row r="38" customFormat="false" ht="15" hidden="false" customHeight="false" outlineLevel="0" collapsed="false">
      <c r="A38" s="0" t="s">
        <v>132</v>
      </c>
      <c r="B38" s="0" t="n">
        <f aca="false">B37/Assumptions!$B$3*Assumptions!$B$10</f>
        <v>3.8101625094003</v>
      </c>
    </row>
    <row r="39" customFormat="false" ht="15" hidden="false" customHeight="false" outlineLevel="0" collapsed="false">
      <c r="A39" s="0" t="s">
        <v>133</v>
      </c>
      <c r="B39" s="4" t="n">
        <f aca="false">B38/Assumptions!$B$2-1</f>
        <v>1.1285824074862</v>
      </c>
    </row>
    <row r="41" customFormat="false" ht="15" hidden="false" customHeight="false" outlineLevel="0" collapsed="false">
      <c r="A41" s="0" t="s">
        <v>134</v>
      </c>
      <c r="B41" s="0" t="n">
        <f aca="false">SUMPRODUCT(-C10:L10/(1+$B$27/100)^C4:L4)</f>
        <v>140.08524690295</v>
      </c>
    </row>
    <row r="42" customFormat="false" ht="15" hidden="false" customHeight="false" outlineLevel="0" collapsed="false">
      <c r="A42" s="0" t="s">
        <v>135</v>
      </c>
      <c r="B42" s="0" t="n">
        <f aca="false">IF(B27&gt;B28,-L10*(1+B28/100)/((B27-B28)/100),-L10*20)/(1+B27/100)^L4</f>
        <v>142.477129961815</v>
      </c>
    </row>
    <row r="43" customFormat="false" ht="15" hidden="false" customHeight="false" outlineLevel="0" collapsed="false">
      <c r="A43" s="0" t="s">
        <v>136</v>
      </c>
      <c r="B43" s="0" t="n">
        <f aca="false">(B37+B41+B42)/Assumptions!$B$3*Assumptions!$B$10</f>
        <v>4.45092325756557</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1643.38803757562</v>
      </c>
    </row>
    <row r="47" customFormat="false" ht="15" hidden="false" customHeight="false" outlineLevel="0" collapsed="false">
      <c r="A47" s="0" t="s">
        <v>138</v>
      </c>
      <c r="B47" s="0" t="n">
        <f aca="false">(SUMPRODUCT(C19:L19/(1+B45/100)^C4:L4)+B46/(1+B45/100)^L4+Assumptions!$B$5-Assumptions!$B$4)/Assumptions!$B$3*Assumptions!$B$10</f>
        <v>2.33819751947302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0.726690705495551</v>
      </c>
      <c r="C4" s="0" t="n">
        <f aca="false">B4/Assumptions!$B$2-1</f>
        <v>-0.594027538829301</v>
      </c>
      <c r="D4" s="4" t="n">
        <f aca="false">Assumptions!$B$24</f>
        <v>0.3</v>
      </c>
      <c r="E4" s="4" t="n">
        <f aca="false">DCF_Bear!$B$43</f>
        <v>1.14917181476313</v>
      </c>
      <c r="F4" s="4" t="n">
        <f aca="false">DCF_Bear!$B$47</f>
        <v>0.676036125785318</v>
      </c>
    </row>
    <row r="5" customFormat="false" ht="15" hidden="false" customHeight="false" outlineLevel="0" collapsed="false">
      <c r="A5" s="0" t="s">
        <v>147</v>
      </c>
      <c r="B5" s="4" t="n">
        <f aca="false">DCF_Base!$B$38</f>
        <v>2.11296663103423</v>
      </c>
      <c r="C5" s="0" t="n">
        <f aca="false">B5/Assumptions!$B$2-1</f>
        <v>0.180428285493986</v>
      </c>
      <c r="D5" s="4" t="n">
        <f aca="false">Assumptions!$B$38</f>
        <v>0.5</v>
      </c>
      <c r="E5" s="4" t="n">
        <f aca="false">DCF_Base!$B$43</f>
        <v>2.65631822376223</v>
      </c>
      <c r="F5" s="4" t="n">
        <f aca="false">DCF_Base!$B$47</f>
        <v>1.43303168590702</v>
      </c>
    </row>
    <row r="6" customFormat="false" ht="15" hidden="false" customHeight="false" outlineLevel="0" collapsed="false">
      <c r="A6" s="0" t="s">
        <v>148</v>
      </c>
      <c r="B6" s="4" t="n">
        <f aca="false">DCF_Bull!$B$38</f>
        <v>3.8101625094003</v>
      </c>
      <c r="C6" s="0" t="n">
        <f aca="false">B6/Assumptions!$B$2-1</f>
        <v>1.1285824074862</v>
      </c>
      <c r="D6" s="4" t="n">
        <f aca="false">Assumptions!$B$52</f>
        <v>0.2</v>
      </c>
      <c r="E6" s="4" t="n">
        <f aca="false">DCF_Bull!$B$43</f>
        <v>4.45092325756557</v>
      </c>
      <c r="F6" s="4" t="n">
        <f aca="false">DCF_Bull!$B$47</f>
        <v>2.33819751947302</v>
      </c>
    </row>
    <row r="8" customFormat="false" ht="15" hidden="false" customHeight="false" outlineLevel="0" collapsed="false">
      <c r="A8" s="0" t="s">
        <v>149</v>
      </c>
      <c r="B8" s="0" t="n">
        <f aca="false">SUMPRODUCT(B4:B6,D4:D6)</f>
        <v>2.03652302904584</v>
      </c>
    </row>
    <row r="9" customFormat="false" ht="15" hidden="false" customHeight="false" outlineLevel="0" collapsed="false">
      <c r="A9" s="0" t="s">
        <v>150</v>
      </c>
      <c r="B9" s="0" t="n">
        <f aca="false">SUMPRODUCT(E4:E6,D4:D6)</f>
        <v>2.56309530782317</v>
      </c>
    </row>
    <row r="10" customFormat="false" ht="15" hidden="false" customHeight="false" outlineLevel="0" collapsed="false">
      <c r="A10" s="0" t="s">
        <v>151</v>
      </c>
      <c r="B10" s="0" t="n">
        <f aca="false">1-Assumptions!$B$2/B8</f>
        <v>0.121050941005732</v>
      </c>
    </row>
    <row r="11" customFormat="false" ht="15" hidden="false" customHeight="false" outlineLevel="0" collapsed="false">
      <c r="A11" s="0" t="s">
        <v>152</v>
      </c>
      <c r="B11" s="0" t="n">
        <f aca="false">IF(ABS(B9-B8)&gt;0.01*ABS(B8),(Assumptions!$B$2-B8)/(B9-B8)*100,"n/a")</f>
        <v>-46.8165604194465</v>
      </c>
    </row>
    <row r="12" customFormat="false" ht="15" hidden="false" customHeight="false" outlineLevel="0" collapsed="false">
      <c r="A12" s="0" t="s">
        <v>153</v>
      </c>
      <c r="B12" s="0" t="n">
        <f aca="false">SUMPRODUCT(F4:F6,D4:D6)</f>
        <v>1.38696618458371</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2.50071732204666</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2.2436581550071</v>
      </c>
      <c r="C16" s="3" t="n">
        <v>10</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2.11296663103423</v>
      </c>
      <c r="C17" s="3" t="n">
        <v>10.5</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1.99857832808025</v>
      </c>
      <c r="C18" s="3" t="n">
        <v>11</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1.80829366388908</v>
      </c>
      <c r="C19" s="3" t="n">
        <v>12</v>
      </c>
    </row>
    <row r="20" customFormat="false" ht="15" hidden="false" customHeight="false" outlineLevel="0" collapsed="false">
      <c r="A20" s="0" t="s">
        <v>161</v>
      </c>
      <c r="B20" s="0" t="n">
        <f aca="false">(SUMPRODUCT(DCF_Base!$C$19:$L$19/(1+$C$20/100)^DCF_Base!$C$4:$L$4)+MAX(0,MIN(IF($C$20&gt;DCF_Base!$B$28,DCF_Base!$L$19*(1+DCF_Base!$B$28/100)/(($C$20-DCF_Base!$B$28)/100),DCF_Base!$L$19*DCF_Base!$B$29),DCF_Base!$L$19*DCF_Base!$B$29))/(1+$C$20/100)^DCF_Base!$L$4+Assumptions!$B$5-Assumptions!$B$4)/Assumptions!$B$3*Assumptions!$B$10</f>
        <v>1.43303168590702</v>
      </c>
      <c r="C20" s="3" t="n">
        <v>15</v>
      </c>
    </row>
    <row r="22" customFormat="false" ht="15" hidden="false" customHeight="false" outlineLevel="0" collapsed="false">
      <c r="A22" s="2" t="s">
        <v>162</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2.53405796810129</v>
      </c>
      <c r="C24" s="0" t="n">
        <f aca="false">(SUMPRODUCT(DCF_Base!$C$19:$L$19/(1+$A$24/100)^DCF_Base!$C$4:$L$4)+MAX(0,MIN(IF($A$24&gt;$C$23,DCF_Base!$L$19*(1+$C$23/100)/(($A$24-$C$23)/100),DCF_Base!$L$19*DCF_Base!$B$29),DCF_Base!$L$19*DCF_Base!$B$29))/(1+$A$24/100)^DCF_Base!$L$4+Assumptions!$B$5-Assumptions!$B$4)/Assumptions!$B$3*Assumptions!$B$10</f>
        <v>2.58065852440959</v>
      </c>
      <c r="D24" s="0" t="n">
        <f aca="false">(SUMPRODUCT(DCF_Base!$C$19:$L$19/(1+$A$24/100)^DCF_Base!$C$4:$L$4)+MAX(0,MIN(IF($A$24&gt;$D$23,DCF_Base!$L$19*(1+$D$23/100)/(($A$24-$D$23)/100),DCF_Base!$L$19*DCF_Base!$B$29),DCF_Base!$L$19*DCF_Base!$B$29))/(1+$A$24/100)^DCF_Base!$L$4+Assumptions!$B$5-Assumptions!$B$4)/Assumptions!$B$3*Assumptions!$B$10</f>
        <v>2.58065852440959</v>
      </c>
      <c r="E24" s="0" t="n">
        <f aca="false">(SUMPRODUCT(DCF_Base!$C$19:$L$19/(1+$A$24/100)^DCF_Base!$C$4:$L$4)+MAX(0,MIN(IF($A$24&gt;$E$23,DCF_Base!$L$19*(1+$E$23/100)/(($A$24-$E$23)/100),DCF_Base!$L$19*DCF_Base!$B$29),DCF_Base!$L$19*DCF_Base!$B$29))/(1+$A$24/100)^DCF_Base!$L$4+Assumptions!$B$5-Assumptions!$B$4)/Assumptions!$B$3*Assumptions!$B$10</f>
        <v>2.58065852440959</v>
      </c>
      <c r="F24" s="0" t="n">
        <f aca="false">(SUMPRODUCT(DCF_Base!$C$19:$L$19/(1+$A$24/100)^DCF_Base!$C$4:$L$4)+MAX(0,MIN(IF($A$24&gt;$F$23,DCF_Base!$L$19*(1+$F$23/100)/(($A$24-$F$23)/100),DCF_Base!$L$19*DCF_Base!$B$29),DCF_Base!$L$19*DCF_Base!$B$29))/(1+$A$24/100)^DCF_Base!$L$4+Assumptions!$B$5-Assumptions!$B$4)/Assumptions!$B$3*Assumptions!$B$10</f>
        <v>2.58065852440959</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2.22792382824008</v>
      </c>
      <c r="C25" s="0" t="n">
        <f aca="false">(SUMPRODUCT(DCF_Base!$C$19:$L$19/(1+$A$25/100)^DCF_Base!$C$4:$L$4)+MAX(0,MIN(IF($A$25&gt;$C$23,DCF_Base!$L$19*(1+$C$23/100)/(($A$25-$C$23)/100),DCF_Base!$L$19*DCF_Base!$B$29),DCF_Base!$L$19*DCF_Base!$B$29))/(1+$A$25/100)^DCF_Base!$L$4+Assumptions!$B$5-Assumptions!$B$4)/Assumptions!$B$3*Assumptions!$B$10</f>
        <v>2.30551461581165</v>
      </c>
      <c r="D25" s="0" t="n">
        <f aca="false">(SUMPRODUCT(DCF_Base!$C$19:$L$19/(1+$A$25/100)^DCF_Base!$C$4:$L$4)+MAX(0,MIN(IF($A$25&gt;$D$23,DCF_Base!$L$19*(1+$D$23/100)/(($A$25-$D$23)/100),DCF_Base!$L$19*DCF_Base!$B$29),DCF_Base!$L$19*DCF_Base!$B$29))/(1+$A$25/100)^DCF_Base!$L$4+Assumptions!$B$5-Assumptions!$B$4)/Assumptions!$B$3*Assumptions!$B$10</f>
        <v>2.39418980160774</v>
      </c>
      <c r="E25" s="0" t="n">
        <f aca="false">(SUMPRODUCT(DCF_Base!$C$19:$L$19/(1+$A$25/100)^DCF_Base!$C$4:$L$4)+MAX(0,MIN(IF($A$25&gt;$E$23,DCF_Base!$L$19*(1+$E$23/100)/(($A$25-$E$23)/100),DCF_Base!$L$19*DCF_Base!$B$29),DCF_Base!$L$19*DCF_Base!$B$29))/(1+$A$25/100)^DCF_Base!$L$4+Assumptions!$B$5-Assumptions!$B$4)/Assumptions!$B$3*Assumptions!$B$10</f>
        <v>2.42455801592146</v>
      </c>
      <c r="F25" s="0" t="n">
        <f aca="false">(SUMPRODUCT(DCF_Base!$C$19:$L$19/(1+$A$25/100)^DCF_Base!$C$4:$L$4)+MAX(0,MIN(IF($A$25&gt;$F$23,DCF_Base!$L$19*(1+$F$23/100)/(($A$25-$F$23)/100),DCF_Base!$L$19*DCF_Base!$B$29),DCF_Base!$L$19*DCF_Base!$B$29))/(1+$A$25/100)^DCF_Base!$L$4+Assumptions!$B$5-Assumptions!$B$4)/Assumptions!$B$3*Assumptions!$B$10</f>
        <v>2.42455801592146</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1.99380800686073</v>
      </c>
      <c r="C26" s="0" t="n">
        <f aca="false">(SUMPRODUCT(DCF_Base!$C$19:$L$19/(1+$A$26/100)^DCF_Base!$C$4:$L$4)+MAX(0,MIN(IF($A$26&gt;$C$23,DCF_Base!$L$19*(1+$C$23/100)/(($A$26-$C$23)/100),DCF_Base!$L$19*DCF_Base!$B$29),DCF_Base!$L$19*DCF_Base!$B$29))/(1+$A$26/100)^DCF_Base!$L$4+Assumptions!$B$5-Assumptions!$B$4)/Assumptions!$B$3*Assumptions!$B$10</f>
        <v>2.04988265353062</v>
      </c>
      <c r="D26" s="0" t="n">
        <f aca="false">(SUMPRODUCT(DCF_Base!$C$19:$L$19/(1+$A$26/100)^DCF_Base!$C$4:$L$4)+MAX(0,MIN(IF($A$26&gt;$D$23,DCF_Base!$L$19*(1+$D$23/100)/(($A$26-$D$23)/100),DCF_Base!$L$19*DCF_Base!$B$29),DCF_Base!$L$19*DCF_Base!$B$29))/(1+$A$26/100)^DCF_Base!$L$4+Assumptions!$B$5-Assumptions!$B$4)/Assumptions!$B$3*Assumptions!$B$10</f>
        <v>2.11296663103423</v>
      </c>
      <c r="E26" s="0" t="n">
        <f aca="false">(SUMPRODUCT(DCF_Base!$C$19:$L$19/(1+$A$26/100)^DCF_Base!$C$4:$L$4)+MAX(0,MIN(IF($A$26&gt;$E$23,DCF_Base!$L$19*(1+$E$23/100)/(($A$26-$E$23)/100),DCF_Base!$L$19*DCF_Base!$B$29),DCF_Base!$L$19*DCF_Base!$B$29))/(1+$A$26/100)^DCF_Base!$L$4+Assumptions!$B$5-Assumptions!$B$4)/Assumptions!$B$3*Assumptions!$B$10</f>
        <v>2.18446180553834</v>
      </c>
      <c r="F26" s="0" t="n">
        <f aca="false">(SUMPRODUCT(DCF_Base!$C$19:$L$19/(1+$A$26/100)^DCF_Base!$C$4:$L$4)+MAX(0,MIN(IF($A$26&gt;$F$23,DCF_Base!$L$19*(1+$F$23/100)/(($A$26-$F$23)/100),DCF_Base!$L$19*DCF_Base!$B$29),DCF_Base!$L$19*DCF_Base!$B$29))/(1+$A$26/100)^DCF_Base!$L$4+Assumptions!$B$5-Assumptions!$B$4)/Assumptions!$B$3*Assumptions!$B$10</f>
        <v>2.26617057640017</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1.80984108946947</v>
      </c>
      <c r="C27" s="0" t="n">
        <f aca="false">(SUMPRODUCT(DCF_Base!$C$19:$L$19/(1+$A$27/100)^DCF_Base!$C$4:$L$4)+MAX(0,MIN(IF($A$27&gt;$C$23,DCF_Base!$L$19*(1+$C$23/100)/(($A$27-$C$23)/100),DCF_Base!$L$19*DCF_Base!$B$29),DCF_Base!$L$19*DCF_Base!$B$29))/(1+$A$27/100)^DCF_Base!$L$4+Assumptions!$B$5-Assumptions!$B$4)/Assumptions!$B$3*Assumptions!$B$10</f>
        <v>1.8514792055254</v>
      </c>
      <c r="D27" s="0" t="n">
        <f aca="false">(SUMPRODUCT(DCF_Base!$C$19:$L$19/(1+$A$27/100)^DCF_Base!$C$4:$L$4)+MAX(0,MIN(IF($A$27&gt;$D$23,DCF_Base!$L$19*(1+$D$23/100)/(($A$27-$D$23)/100),DCF_Base!$L$19*DCF_Base!$B$29),DCF_Base!$L$19*DCF_Base!$B$29))/(1+$A$27/100)^DCF_Base!$L$4+Assumptions!$B$5-Assumptions!$B$4)/Assumptions!$B$3*Assumptions!$B$10</f>
        <v>1.89774377892087</v>
      </c>
      <c r="E27" s="0" t="n">
        <f aca="false">(SUMPRODUCT(DCF_Base!$C$19:$L$19/(1+$A$27/100)^DCF_Base!$C$4:$L$4)+MAX(0,MIN(IF($A$27&gt;$E$23,DCF_Base!$L$19*(1+$E$23/100)/(($A$27-$E$23)/100),DCF_Base!$L$19*DCF_Base!$B$29),DCF_Base!$L$19*DCF_Base!$B$29))/(1+$A$27/100)^DCF_Base!$L$4+Assumptions!$B$5-Assumptions!$B$4)/Assumptions!$B$3*Assumptions!$B$10</f>
        <v>1.94945124330405</v>
      </c>
      <c r="F27" s="0" t="n">
        <f aca="false">(SUMPRODUCT(DCF_Base!$C$19:$L$19/(1+$A$27/100)^DCF_Base!$C$4:$L$4)+MAX(0,MIN(IF($A$27&gt;$F$23,DCF_Base!$L$19*(1+$F$23/100)/(($A$27-$F$23)/100),DCF_Base!$L$19*DCF_Base!$B$29),DCF_Base!$L$19*DCF_Base!$B$29))/(1+$A$27/100)^DCF_Base!$L$4+Assumptions!$B$5-Assumptions!$B$4)/Assumptions!$B$3*Assumptions!$B$10</f>
        <v>2.00762214073512</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1.66212657524704</v>
      </c>
      <c r="C28" s="0" t="n">
        <f aca="false">(SUMPRODUCT(DCF_Base!$C$19:$L$19/(1+$A$28/100)^DCF_Base!$C$4:$L$4)+MAX(0,MIN(IF($A$28&gt;$C$23,DCF_Base!$L$19*(1+$C$23/100)/(($A$28-$C$23)/100),DCF_Base!$L$19*DCF_Base!$B$29),DCF_Base!$L$19*DCF_Base!$B$29))/(1+$A$28/100)^DCF_Base!$L$4+Assumptions!$B$5-Assumptions!$B$4)/Assumptions!$B$3*Assumptions!$B$10</f>
        <v>1.69372997443508</v>
      </c>
      <c r="D28" s="0" t="n">
        <f aca="false">(SUMPRODUCT(DCF_Base!$C$19:$L$19/(1+$A$28/100)^DCF_Base!$C$4:$L$4)+MAX(0,MIN(IF($A$28&gt;$D$23,DCF_Base!$L$19*(1+$D$23/100)/(($A$28-$D$23)/100),DCF_Base!$L$19*DCF_Base!$B$29),DCF_Base!$L$19*DCF_Base!$B$29))/(1+$A$28/100)^DCF_Base!$L$4+Assumptions!$B$5-Assumptions!$B$4)/Assumptions!$B$3*Assumptions!$B$10</f>
        <v>1.72849371354193</v>
      </c>
      <c r="E28" s="0" t="n">
        <f aca="false">(SUMPRODUCT(DCF_Base!$C$19:$L$19/(1+$A$28/100)^DCF_Base!$C$4:$L$4)+MAX(0,MIN(IF($A$28&gt;$E$23,DCF_Base!$L$19*(1+$E$23/100)/(($A$28-$E$23)/100),DCF_Base!$L$19*DCF_Base!$B$29),DCF_Base!$L$19*DCF_Base!$B$29))/(1+$A$28/100)^DCF_Base!$L$4+Assumptions!$B$5-Assumptions!$B$4)/Assumptions!$B$3*Assumptions!$B$10</f>
        <v>1.76691679360739</v>
      </c>
      <c r="F28" s="0" t="n">
        <f aca="false">(SUMPRODUCT(DCF_Base!$C$19:$L$19/(1+$A$28/100)^DCF_Base!$C$4:$L$4)+MAX(0,MIN(IF($A$28&gt;$F$23,DCF_Base!$L$19*(1+$F$23/100)/(($A$28-$F$23)/100),DCF_Base!$L$19*DCF_Base!$B$29),DCF_Base!$L$19*DCF_Base!$B$29))/(1+$A$28/100)^DCF_Base!$L$4+Assumptions!$B$5-Assumptions!$B$4)/Assumptions!$B$3*Assumptions!$B$10</f>
        <v>1.80960910479124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2026-10-16T15:23:28Z</dcterms:created>
  <dc:creator>openpyxl</dc:creator>
  <dc:description/>
  <dc:language>en-NZ</dc:language>
  <cp:lastModifiedBy/>
  <dcterms:modified xsi:type="dcterms:W3CDTF">2026-10-16T15:23:28Z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