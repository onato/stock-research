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<sst xmlns="http://schemas.openxmlformats.org/spreadsheetml/2006/main" count="366" uniqueCount="169">
  <si>
    <t xml:space="preserve">Ticker</t>
  </si>
  <si>
    <t xml:space="preserve">NST.AX</t>
  </si>
  <si>
    <t xml:space="preserve">Company</t>
  </si>
  <si>
    <t xml:space="preserve">Northern Star Resources Ltd</t>
  </si>
  <si>
    <t xml:space="preserve">Valuation date</t>
  </si>
  <si>
    <t xml:space="preserve">2026-09-24</t>
  </si>
  <si>
    <t xml:space="preserve">Current price</t>
  </si>
  <si>
    <t xml:space="preserve">Price as of</t>
  </si>
  <si>
    <t xml:space="preserve">2026-09-24T06:13:19Z (Yahoo Finance chart API, regular session)</t>
  </si>
  <si>
    <t xml:space="preserve">Balance sheet date</t>
  </si>
  <si>
    <t xml:space="preserve">2026-06-30</t>
  </si>
  <si>
    <t xml:space="preserve">Model</t>
  </si>
  <si>
    <t xml:space="preserve">owner_fcf_dcf_component</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</si>
  <si>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</si>
  <si>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</si>
  <si>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</si>
  <si>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</si>
  <si>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</si>
  <si>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</si>
  <si>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</si>
  <si>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</si>
  <si>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2026-09-24T09:06:38Z</t>
  </si>
  <si>
    <t xml:space="preserve">Drivers file</t>
  </si>
  <si>
    <t xml:space="preserve">NST.AX_Drivers.json</t>
  </si>
  <si>
    <t xml:space="preserve">Convention</t>
  </si>
  <si>
    <t xml:space="preserve">Percents stored as percents; formulas divide by 100. Blue = input, green = link, black = formula.</t>
  </si>
  <si>
    <t xml:space="preserve">Methodology</t>
  </si>
  <si>
    <t xml:space="preserve">summary: A gold producer is valued here on mid-cycle owner FCF, not on the FY26 peak-price year or on spot: revenue is an explicit ounces x realised AUD price build, EBITDA is revenue less an AISC-derived cash cost per ounce, IFRS-16 fleet leases are charged as an operating cost, SBC is expensed with the share count flat, growth capex for KCGM and Hemi is run through the explicit years and the terminal value is capped at 12x owner FCF. Cyclicality, execution and governance risk are charged once, in the scenario flows and a 30% bear weight, not in the discount rate. The gap between the weighted value and the market price is the price the market is paying for spot gold persisting plus full delivery of the 2.5Moz plan.
key_risks_to_valuation: Mid-cycle gold price: every A$500/oz on the FY30+ realised price is worth roughly A$3-4/share in the base case; the model's A$4,400 is ~35% below the Sep-2026 spot-equivalent; KCGM 27Mtpa ramp (FY27-29) and Hemi FID/first gold (late FY27 / FY30): the ounce path is the second-largest driver and the company missed its previous volume target; Unit cost inflation: FY27 guided AISC A$3,050-3,450/oz is +20% on FY26; the base assumes unit costs improve with scale before inflating, which has not yet been demonstrated; AUD/USD: the realised AUD price embeds the currency multiplier; a stronger AUD cuts revenue with no offset in the AUD cost base; Governance: CEO transition (5-Oct-2026) and the Elliott board campaign could change capital allocation, force asset sales or delay Hemi; Terminal multiple: at a 12x cap the terminal value is ~55% of base EV; a 15x cap adds ~A$2/share</t>
  </si>
  <si>
    <t xml:space="preserve">Data sources</t>
  </si>
  <si>
    <t xml:space="preserve">price: Yahoo Finance chart API at inputs.price_as_of, regular session; 52-week range 17.07-31.96
financials: NST.AX_Metrics.csv / core_metrics (FY2016-FY2026 annual + H1s) from the ASX annual reports; FY2026 Annual Report (NST.AX_Annual_FY2026.txt) for the balance sheet (line ~8190-8208), cash flow (8342-8376), EPS denominators (10768-10777), FY27 guidance table (1805-1827) and Table 2/4 segment and EBITDA reconciliation (1446-1464, 1619-1630)
qualitative: NST.AX_Analysis.json (2026-09-24): business model, KCGM/Hemi growth drivers, AISC positioning vs peers, CEO transition and Elliott campaign, gold-price context</t>
  </si>
  <si>
    <t xml:space="preserve">Scenario narrative: bear</t>
  </si>
  <si>
    <t xml:space="preserve">Gold retraces to A$3,600/oz, KCGM ramps slowly, Hemi is deferred, output plateaus ~2.0Moz and above-peer unit costs leave a 33-35% EBITDA margin; owner FCF is thin through the decade. The bear does not hit the zero floor but is close to a cash-breakeven business in FY27-28 while growth capital is still being spent.</t>
  </si>
  <si>
    <t xml:space="preserve">Scenario narrative: base</t>
  </si>
  <si>
    <t xml:space="preserve">Gold-price mean reversion to A$4,400/oz by FY30 (still ~60% above the FY21-25 average) combined with a haircut version of the growth plan: KCGM to ~900koz on the 27Mtpa mill by FY29-30, Hemi first gold FY30, group ~2.4Moz by FY34. FY27 is a transition year inside guidance (1,560koz at AISC ~A$3,250) with realised prices near the H2 FY26 exit rate. Mid-cycle EBITDA margin 44-45%, capex intensity 18% once KCGM/Hemi are built. Terminal value capped at 12x owner FCF (cyclical).</t>
  </si>
  <si>
    <t xml:space="preserve">Scenario narrative: bull</t>
  </si>
  <si>
    <t xml:space="preserve">Gold plateaus at A$5,200-5,700/oz, the company delivers 2.5Mozpa by FY29-31 with KCGM unit costs falling on scale, margins hold at FY25-26 levels (~55-58%), and the board refresh improves capital allocation. This is roughly what the current price requires.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</si>
  <si>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</si>
  <si>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</si>
  <si>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</si>
  <si>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</si>
  <si>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</si>
  <si>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</si>
  <si>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</si>
  <si>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</si>
  <si>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</si>
  <si>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</si>
  <si>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</si>
  <si>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</si>
  <si>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</si>
  <si>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</si>
  <si>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</si>
  <si>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</si>
  <si>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</si>
  <si>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</si>
  <si>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</si>
  <si>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</si>
  <si>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</si>
  <si>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</si>
  <si>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</si>
  <si>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</si>
  <si>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</si>
  <si>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</si>
  <si>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</si>
  <si>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AISC</t>
  </si>
  <si>
    <t xml:space="preserve">GoldPriceAchieved</t>
  </si>
  <si>
    <t xml:space="preserve">GoldProduction</t>
  </si>
  <si>
    <t xml:space="preserve">LeasePrincipalRepaid</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</si>
  <si>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</si>
  <si>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</si>
  <si>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</si>
  <si>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</si>
  <si>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</si>
  <si>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</si>
  <si>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</si>
  <si>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</si>
  <si>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</si>
  <si>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</si>
  <si>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</si>
  <si>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</si>
  <si>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</si>
  <si>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</si>
  <si>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</si>
  <si>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</si>
  <si>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</si>
  <si>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</si>
  <si>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</si>
  <si>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</si>
  <si>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</si>
  <si>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</si>
  <si>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</si>
  <si>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</si>
  <si>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</si>
  <si>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</si>
  <si>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</si>
  <si>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</si>
  <si>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</si>
  <si>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</si>
  <si>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</si>
  <si>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</si>
  <si>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</si>
  <si>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</si>
  <si>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</si>
  <si>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</si>
  <si>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</si>
  <si>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</si>
  <si>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</si>
  <si>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</si>
  <si>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</si>
  <si>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</si>
  <si>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</si>
  <si>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</si>
  <si>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</si>
  <si>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</si>
  <si>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</si>
  <si>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</si>
  <si>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NST.AX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</si>
  <si>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</si>
  <si>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</si>
  <si>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</si>
  <si>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</si>
  <si>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</si>
  <si>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</si>
  <si>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</si>
  <si>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</si>
  <si>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</si>
  <si>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</si>
  <si>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</si>
  <si>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</si>
  <si>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</si>
  <si>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</si>
  <si>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</si>
  <si>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</si>
  <si>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</si>
  <si>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</si>
  <si>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</si>
  <si>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</si>
  <si>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</si>
  <si>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</si>
  <si>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</si>
  <si>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</si>
  <si>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</si>
  <si>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</si>
  <si>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</si>
  <si>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</si>
  <si>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</si>
  <si>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</si>
  <si>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NST.AX owner-FCF component DCF: base case (millions, AUD)</t>
  </si>
  <si>
    <t xml:space="preserve">NST.AX owner-FCF component DCF: bull case (millions, AUD)</t>
  </si>
  <si>
    <t xml:space="preserve">NST.AX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</si>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</sst>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22.27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row>
    <row r="2" customFormat="false" ht="15" hidden="false" customHeight="false" outlineLevel="0" collapsed="false">
      <c r="A2" s="0" t="s">
        <v>67</v>
      </c>
      <c r="B2" s="0" t="n">
        <v>785.788</v>
      </c>
      <c r="C2" s="0" t="n">
        <v>512.419</v>
      </c>
      <c r="D2" s="0" t="n">
        <v>273.369</v>
      </c>
      <c r="E2" s="0" t="n">
        <v>34.8</v>
      </c>
      <c r="F2" s="0" t="n">
        <v>241.97</v>
      </c>
      <c r="G2" s="0" t="n">
        <v>30.8</v>
      </c>
      <c r="H2" s="0" t="n">
        <v>420.551</v>
      </c>
      <c r="I2" s="0" t="n">
        <v>151.365</v>
      </c>
      <c r="J2" s="0" t="n">
        <v>19.3</v>
      </c>
      <c r="K2" s="0" t="n">
        <v>0.252</v>
      </c>
      <c r="L2" s="0" t="n">
        <v>383.335</v>
      </c>
      <c r="M2" s="0" t="n">
        <v>189.64</v>
      </c>
      <c r="N2" s="0" t="n">
        <v>193.695</v>
      </c>
      <c r="O2" s="0" t="n">
        <v>451.914</v>
      </c>
      <c r="P2" s="0" t="n">
        <v>763.529</v>
      </c>
      <c r="Q2" s="0" t="n">
        <v>311.615</v>
      </c>
      <c r="R2" s="0" t="n">
        <v>14.065</v>
      </c>
      <c r="S2" s="0" t="n">
        <v>315.341</v>
      </c>
      <c r="T2" s="0" t="n">
        <v>603</v>
      </c>
      <c r="U2" s="0" t="n">
        <v>3.101</v>
      </c>
      <c r="X2" s="0" t="n">
        <v>785.788</v>
      </c>
      <c r="AA2" s="0" t="s">
        <v>17</v>
      </c>
      <c r="AB2" s="0" t="s">
        <v>14</v>
      </c>
    </row>
    <row r="3" customFormat="false" ht="15" hidden="false" customHeight="false" outlineLevel="0" collapsed="false">
      <c r="A3" s="0" t="s">
        <v>68</v>
      </c>
      <c r="B3" s="0" t="n">
        <v>849.951</v>
      </c>
      <c r="C3" s="0" t="n">
        <v>537.333</v>
      </c>
      <c r="D3" s="0" t="n">
        <v>312.618</v>
      </c>
      <c r="E3" s="0" t="n">
        <v>36.8</v>
      </c>
      <c r="F3" s="0" t="n">
        <v>271.182</v>
      </c>
      <c r="G3" s="0" t="n">
        <v>31.9</v>
      </c>
      <c r="H3" s="0" t="n">
        <v>454.528</v>
      </c>
      <c r="I3" s="0" t="n">
        <v>215.31</v>
      </c>
      <c r="J3" s="0" t="n">
        <v>25.3</v>
      </c>
      <c r="K3" s="0" t="n">
        <v>0.359</v>
      </c>
      <c r="L3" s="0" t="n">
        <v>358.73</v>
      </c>
      <c r="M3" s="0" t="n">
        <v>231.921</v>
      </c>
      <c r="N3" s="0" t="n">
        <v>126.809</v>
      </c>
      <c r="O3" s="0" t="n">
        <v>615.1</v>
      </c>
      <c r="P3" s="0" t="n">
        <v>924.958</v>
      </c>
      <c r="Q3" s="0" t="n">
        <v>309.858</v>
      </c>
      <c r="R3" s="0" t="n">
        <v>11.218</v>
      </c>
      <c r="S3" s="0" t="n">
        <v>403.06</v>
      </c>
      <c r="T3" s="0" t="n">
        <v>613.4</v>
      </c>
      <c r="U3" s="0" t="n">
        <v>4.195</v>
      </c>
      <c r="X3" s="0" t="n">
        <v>849.951</v>
      </c>
      <c r="AA3" s="0" t="s">
        <v>17</v>
      </c>
      <c r="AB3" s="0" t="s">
        <v>14</v>
      </c>
    </row>
    <row r="4" customFormat="false" ht="15" hidden="false" customHeight="false" outlineLevel="0" collapsed="false">
      <c r="A4" s="0" t="s">
        <v>69</v>
      </c>
      <c r="B4" s="0" t="n">
        <v>964.025</v>
      </c>
      <c r="C4" s="0" t="n">
        <v>624.118</v>
      </c>
      <c r="D4" s="0" t="n">
        <v>339.907</v>
      </c>
      <c r="E4" s="0" t="n">
        <v>35.3</v>
      </c>
      <c r="F4" s="0" t="n">
        <v>280.934</v>
      </c>
      <c r="G4" s="0" t="n">
        <v>29.1</v>
      </c>
      <c r="H4" s="0" t="n">
        <v>492.256</v>
      </c>
      <c r="I4" s="0" t="n">
        <v>194.113</v>
      </c>
      <c r="J4" s="0" t="n">
        <v>20.1</v>
      </c>
      <c r="K4" s="0" t="n">
        <v>0.321</v>
      </c>
      <c r="L4" s="0" t="n">
        <v>353.061</v>
      </c>
      <c r="M4" s="0" t="n">
        <v>196.167</v>
      </c>
      <c r="N4" s="0" t="n">
        <v>156.894</v>
      </c>
      <c r="O4" s="0" t="n">
        <v>821.436</v>
      </c>
      <c r="P4" s="0" t="n">
        <v>1216.87</v>
      </c>
      <c r="Q4" s="0" t="n">
        <v>395.434</v>
      </c>
      <c r="R4" s="0" t="n">
        <v>17.123</v>
      </c>
      <c r="S4" s="0" t="n">
        <v>442.997</v>
      </c>
      <c r="T4" s="0" t="n">
        <v>616.2</v>
      </c>
      <c r="U4" s="0" t="n">
        <v>11.426</v>
      </c>
      <c r="X4" s="0" t="n">
        <v>964.025</v>
      </c>
      <c r="AA4" s="0" t="s">
        <v>17</v>
      </c>
      <c r="AB4" s="0" t="s">
        <v>14</v>
      </c>
    </row>
    <row r="5" customFormat="false" ht="15" hidden="false" customHeight="false" outlineLevel="0" collapsed="false">
      <c r="A5" s="0" t="s">
        <v>70</v>
      </c>
      <c r="B5" s="0" t="n">
        <v>1401.165</v>
      </c>
      <c r="C5" s="0" t="n">
        <v>1101.484</v>
      </c>
      <c r="D5" s="0" t="n">
        <v>299.681</v>
      </c>
      <c r="E5" s="0" t="n">
        <v>21.4</v>
      </c>
      <c r="F5" s="0" t="n">
        <v>226.386</v>
      </c>
      <c r="G5" s="0" t="n">
        <v>16.2</v>
      </c>
      <c r="H5" s="0" t="n">
        <v>535.576</v>
      </c>
      <c r="I5" s="0" t="n">
        <v>154.711</v>
      </c>
      <c r="J5" s="0" t="n">
        <v>11</v>
      </c>
      <c r="K5" s="0" t="n">
        <v>0.244</v>
      </c>
      <c r="L5" s="0" t="n">
        <v>379.197</v>
      </c>
      <c r="M5" s="0" t="n">
        <v>286.842</v>
      </c>
      <c r="N5" s="0" t="n">
        <v>92.355</v>
      </c>
      <c r="O5" s="0" t="n">
        <v>1114.935</v>
      </c>
      <c r="P5" s="0" t="n">
        <v>1643.835</v>
      </c>
      <c r="Q5" s="0" t="n">
        <v>528.9</v>
      </c>
      <c r="R5" s="0" t="n">
        <v>48.404</v>
      </c>
      <c r="S5" s="0" t="n">
        <v>266.179</v>
      </c>
      <c r="T5" s="0" t="n">
        <v>644.6</v>
      </c>
      <c r="U5" s="0" t="n">
        <v>8.396</v>
      </c>
      <c r="X5" s="0" t="n">
        <v>1401.165</v>
      </c>
      <c r="AA5" s="0" t="s">
        <v>17</v>
      </c>
      <c r="AB5" s="0" t="s">
        <v>14</v>
      </c>
    </row>
    <row r="6" customFormat="false" ht="15" hidden="false" customHeight="false" outlineLevel="0" collapsed="false">
      <c r="A6" s="0" t="s">
        <v>71</v>
      </c>
      <c r="B6" s="0" t="n">
        <v>1971.653</v>
      </c>
      <c r="C6" s="0" t="n">
        <v>1447.565</v>
      </c>
      <c r="D6" s="0" t="n">
        <v>524.088</v>
      </c>
      <c r="E6" s="0" t="n">
        <v>26.6</v>
      </c>
      <c r="F6" s="0" t="n">
        <v>366.567</v>
      </c>
      <c r="G6" s="0" t="n">
        <v>18.6</v>
      </c>
      <c r="H6" s="0" t="n">
        <v>850.864</v>
      </c>
      <c r="I6" s="0" t="n">
        <v>258.327</v>
      </c>
      <c r="J6" s="0" t="n">
        <v>13.1</v>
      </c>
      <c r="K6" s="0" t="n">
        <v>0.373</v>
      </c>
      <c r="L6" s="0" t="n">
        <v>710.442</v>
      </c>
      <c r="M6" s="0" t="n">
        <v>362.7</v>
      </c>
      <c r="N6" s="0" t="n">
        <v>347.742</v>
      </c>
      <c r="O6" s="0" t="n">
        <v>2143.758</v>
      </c>
      <c r="P6" s="0" t="n">
        <v>3811.385</v>
      </c>
      <c r="Q6" s="0" t="n">
        <v>1667.627</v>
      </c>
      <c r="R6" s="0" t="n">
        <v>811.062</v>
      </c>
      <c r="S6" s="0" t="n">
        <v>677.26</v>
      </c>
      <c r="T6" s="0" t="n">
        <v>694.4</v>
      </c>
      <c r="U6" s="0" t="n">
        <v>7.852</v>
      </c>
      <c r="X6" s="0" t="n">
        <v>1971.653</v>
      </c>
      <c r="AA6" s="0" t="s">
        <v>17</v>
      </c>
      <c r="AB6" s="0" t="s">
        <v>14</v>
      </c>
      <c r="AF6" s="0" t="n">
        <v>63.2</v>
      </c>
    </row>
    <row r="7" customFormat="false" ht="15" hidden="false" customHeight="false" outlineLevel="0" collapsed="false">
      <c r="A7" s="0" t="s">
        <v>72</v>
      </c>
      <c r="B7" s="0" t="n">
        <v>2760.5</v>
      </c>
      <c r="C7" s="0" t="n">
        <v>2183.7</v>
      </c>
      <c r="D7" s="0" t="n">
        <v>576.8</v>
      </c>
      <c r="E7" s="0" t="n">
        <v>20.9</v>
      </c>
      <c r="F7" s="0" t="n">
        <v>1612.3</v>
      </c>
      <c r="G7" s="0" t="n">
        <v>58.4</v>
      </c>
      <c r="H7" s="0" t="n">
        <v>1153.6</v>
      </c>
      <c r="I7" s="0" t="n">
        <v>1032.5</v>
      </c>
      <c r="J7" s="0" t="n">
        <v>37.4</v>
      </c>
      <c r="K7" s="0" t="n">
        <v>1.147</v>
      </c>
      <c r="L7" s="0" t="n">
        <v>1076.8</v>
      </c>
      <c r="M7" s="0" t="n">
        <v>693.1</v>
      </c>
      <c r="N7" s="0" t="n">
        <v>383.7</v>
      </c>
      <c r="O7" s="0" t="n">
        <v>7978.5</v>
      </c>
      <c r="P7" s="0" t="n">
        <v>11249.3</v>
      </c>
      <c r="Q7" s="0" t="n">
        <v>3270.8</v>
      </c>
      <c r="R7" s="0" t="n">
        <v>746.2</v>
      </c>
      <c r="S7" s="0" t="n">
        <v>771.9</v>
      </c>
      <c r="T7" s="0" t="n">
        <v>903.3</v>
      </c>
      <c r="U7" s="0" t="n">
        <v>13</v>
      </c>
      <c r="X7" s="0" t="n">
        <v>2760.5</v>
      </c>
      <c r="AA7" s="0" t="s">
        <v>17</v>
      </c>
      <c r="AB7" s="0" t="s">
        <v>14</v>
      </c>
      <c r="AF7" s="0" t="n">
        <v>80.9</v>
      </c>
    </row>
    <row r="8" customFormat="false" ht="15" hidden="false" customHeight="false" outlineLevel="0" collapsed="false">
      <c r="A8" s="0" t="s">
        <v>73</v>
      </c>
      <c r="B8" s="0" t="n">
        <v>3735.4</v>
      </c>
      <c r="C8" s="0" t="n">
        <v>3221.8</v>
      </c>
      <c r="D8" s="0" t="n">
        <v>513.6</v>
      </c>
      <c r="E8" s="0" t="n">
        <v>13.7</v>
      </c>
      <c r="F8" s="0" t="n">
        <v>636.5</v>
      </c>
      <c r="G8" s="0" t="n">
        <v>17</v>
      </c>
      <c r="H8" s="0" t="n">
        <v>1602.2</v>
      </c>
      <c r="I8" s="0" t="n">
        <v>429.8</v>
      </c>
      <c r="J8" s="0" t="n">
        <v>11.5</v>
      </c>
      <c r="K8" s="0" t="n">
        <v>0.37</v>
      </c>
      <c r="L8" s="0" t="n">
        <v>1599.2</v>
      </c>
      <c r="M8" s="0" t="n">
        <v>1028.7</v>
      </c>
      <c r="N8" s="0" t="n">
        <v>570.5</v>
      </c>
      <c r="O8" s="0" t="n">
        <v>8214.9</v>
      </c>
      <c r="P8" s="0" t="n">
        <v>11131</v>
      </c>
      <c r="Q8" s="0" t="n">
        <v>2916.1</v>
      </c>
      <c r="R8" s="0" t="n">
        <v>368.2</v>
      </c>
      <c r="S8" s="0" t="n">
        <v>571.1</v>
      </c>
      <c r="T8" s="0" t="n">
        <v>1167.9</v>
      </c>
      <c r="U8" s="0" t="n">
        <v>11.5</v>
      </c>
      <c r="X8" s="0" t="n">
        <v>3735.4</v>
      </c>
      <c r="AA8" s="0" t="s">
        <v>17</v>
      </c>
      <c r="AB8" s="0" t="s">
        <v>14</v>
      </c>
      <c r="AF8" s="0" t="n">
        <v>128.2</v>
      </c>
    </row>
    <row r="9" customFormat="false" ht="15" hidden="false" customHeight="false" outlineLevel="0" collapsed="false">
      <c r="A9" s="0" t="s">
        <v>74</v>
      </c>
      <c r="B9" s="0" t="n">
        <v>4131.1</v>
      </c>
      <c r="C9" s="0" t="n">
        <v>3528.3</v>
      </c>
      <c r="D9" s="0" t="n">
        <v>602.8</v>
      </c>
      <c r="E9" s="0" t="n">
        <v>14.6</v>
      </c>
      <c r="F9" s="0" t="n">
        <v>883.9</v>
      </c>
      <c r="G9" s="0" t="n">
        <v>21.4</v>
      </c>
      <c r="H9" s="0" t="n">
        <v>2090</v>
      </c>
      <c r="I9" s="0" t="n">
        <v>585.2</v>
      </c>
      <c r="J9" s="0" t="n">
        <v>14.2</v>
      </c>
      <c r="K9" s="0" t="n">
        <v>0.508</v>
      </c>
      <c r="L9" s="0" t="n">
        <v>1351.5</v>
      </c>
      <c r="M9" s="0" t="n">
        <v>1059.2</v>
      </c>
      <c r="N9" s="0" t="n">
        <v>292.3</v>
      </c>
      <c r="O9" s="0" t="n">
        <v>8483.5</v>
      </c>
      <c r="P9" s="0" t="n">
        <v>12316.2</v>
      </c>
      <c r="Q9" s="0" t="n">
        <v>3832.7</v>
      </c>
      <c r="R9" s="0" t="n">
        <v>1175.5</v>
      </c>
      <c r="S9" s="0" t="n">
        <v>1133.3</v>
      </c>
      <c r="T9" s="0" t="n">
        <v>1163.4</v>
      </c>
      <c r="U9" s="0" t="n">
        <v>20.1</v>
      </c>
      <c r="X9" s="0" t="n">
        <v>4131.1</v>
      </c>
      <c r="AA9" s="0" t="s">
        <v>17</v>
      </c>
      <c r="AB9" s="0" t="s">
        <v>14</v>
      </c>
      <c r="AF9" s="0" t="n">
        <v>148.1</v>
      </c>
    </row>
    <row r="10" customFormat="false" ht="15" hidden="false" customHeight="false" outlineLevel="0" collapsed="false">
      <c r="A10" s="0" t="s">
        <v>75</v>
      </c>
      <c r="B10" s="0" t="n">
        <v>4921.2</v>
      </c>
      <c r="C10" s="0" t="n">
        <v>3726.3</v>
      </c>
      <c r="D10" s="0" t="n">
        <v>1194.9</v>
      </c>
      <c r="E10" s="0" t="n">
        <v>24.3</v>
      </c>
      <c r="F10" s="0" t="n">
        <v>987.4</v>
      </c>
      <c r="G10" s="0" t="n">
        <v>20.1</v>
      </c>
      <c r="H10" s="0" t="n">
        <v>2317.6</v>
      </c>
      <c r="I10" s="0" t="n">
        <v>638.5</v>
      </c>
      <c r="J10" s="0" t="n">
        <v>13</v>
      </c>
      <c r="K10" s="0" t="n">
        <v>0.556</v>
      </c>
      <c r="L10" s="0" t="n">
        <v>2070.4</v>
      </c>
      <c r="M10" s="0" t="n">
        <v>1440</v>
      </c>
      <c r="N10" s="0" t="n">
        <v>630.4</v>
      </c>
      <c r="O10" s="0" t="n">
        <v>8790.9</v>
      </c>
      <c r="P10" s="0" t="n">
        <v>13080.8</v>
      </c>
      <c r="Q10" s="0" t="n">
        <v>4289.9</v>
      </c>
      <c r="R10" s="0" t="n">
        <v>1184.5</v>
      </c>
      <c r="S10" s="0" t="n">
        <v>1119.6</v>
      </c>
      <c r="T10" s="0" t="n">
        <v>1158.8</v>
      </c>
      <c r="U10" s="0" t="n">
        <v>32.7</v>
      </c>
      <c r="X10" s="0" t="n">
        <v>4921.2</v>
      </c>
      <c r="AA10" s="0" t="s">
        <v>17</v>
      </c>
      <c r="AB10" s="0" t="s">
        <v>14</v>
      </c>
      <c r="AF10" s="0" t="n">
        <v>189.3</v>
      </c>
    </row>
    <row r="11" customFormat="false" ht="15" hidden="false" customHeight="false" outlineLevel="0" collapsed="false">
      <c r="A11" s="0" t="s">
        <v>76</v>
      </c>
      <c r="B11" s="0" t="n">
        <v>6414.9</v>
      </c>
      <c r="C11" s="0" t="n">
        <v>4141</v>
      </c>
      <c r="D11" s="0" t="n">
        <v>2273.9</v>
      </c>
      <c r="E11" s="0" t="n">
        <v>35.4</v>
      </c>
      <c r="F11" s="0" t="n">
        <v>2028</v>
      </c>
      <c r="G11" s="0" t="n">
        <v>31.6</v>
      </c>
      <c r="H11" s="0" t="n">
        <v>3627.7</v>
      </c>
      <c r="I11" s="0" t="n">
        <v>1339.7</v>
      </c>
      <c r="J11" s="0" t="n">
        <v>20.9</v>
      </c>
      <c r="K11" s="0" t="n">
        <v>1.126</v>
      </c>
      <c r="L11" s="0" t="n">
        <v>2953.5</v>
      </c>
      <c r="M11" s="0" t="n">
        <v>2285.3</v>
      </c>
      <c r="N11" s="0" t="n">
        <v>668.2</v>
      </c>
      <c r="O11" s="0" t="n">
        <v>14917.2</v>
      </c>
      <c r="P11" s="0" t="n">
        <v>20432.4</v>
      </c>
      <c r="Q11" s="0" t="n">
        <v>5515.2</v>
      </c>
      <c r="R11" s="0" t="n">
        <v>1261.7</v>
      </c>
      <c r="S11" s="0" t="n">
        <v>1585.1</v>
      </c>
      <c r="T11" s="0" t="n">
        <v>1200.4</v>
      </c>
      <c r="U11" s="0" t="n">
        <v>27.6</v>
      </c>
      <c r="X11" s="0" t="n">
        <v>6414.9</v>
      </c>
      <c r="AA11" s="0" t="s">
        <v>17</v>
      </c>
      <c r="AB11" s="0" t="s">
        <v>14</v>
      </c>
      <c r="AF11" s="0" t="n">
        <v>229.8</v>
      </c>
    </row>
    <row r="12" customFormat="false" ht="15" hidden="false" customHeight="false" outlineLevel="0" collapsed="false">
      <c r="A12" s="0" t="s">
        <v>77</v>
      </c>
      <c r="B12" s="0" t="n">
        <v>7623.1</v>
      </c>
      <c r="C12" s="0" t="n">
        <v>4743.9</v>
      </c>
      <c r="D12" s="0" t="n">
        <v>2879.2</v>
      </c>
      <c r="E12" s="0" t="n">
        <v>37.8</v>
      </c>
      <c r="F12" s="0" t="n">
        <v>2496.1</v>
      </c>
      <c r="G12" s="0" t="n">
        <v>32.7</v>
      </c>
      <c r="H12" s="0" t="n">
        <v>4442.5</v>
      </c>
      <c r="I12" s="0" t="n">
        <v>1664.3</v>
      </c>
      <c r="J12" s="0" t="n">
        <v>21.8</v>
      </c>
      <c r="K12" s="0" t="n">
        <v>1.165</v>
      </c>
      <c r="L12" s="0" t="n">
        <v>3183.3</v>
      </c>
      <c r="M12" s="0" t="n">
        <v>2712.7</v>
      </c>
      <c r="N12" s="0" t="n">
        <v>470.6</v>
      </c>
      <c r="O12" s="0" t="n">
        <v>15681.9</v>
      </c>
      <c r="P12" s="0" t="n">
        <v>21493.8</v>
      </c>
      <c r="Q12" s="0" t="n">
        <v>5811.9</v>
      </c>
      <c r="R12" s="0" t="n">
        <v>1395.3</v>
      </c>
      <c r="S12" s="0" t="n">
        <v>1018.1</v>
      </c>
      <c r="T12" s="0" t="n">
        <v>1438.5</v>
      </c>
      <c r="U12" s="0" t="n">
        <v>38</v>
      </c>
      <c r="X12" s="0" t="n">
        <v>7623.1</v>
      </c>
      <c r="AA12" s="0" t="s">
        <v>17</v>
      </c>
      <c r="AB12" s="0" t="s">
        <v>14</v>
      </c>
      <c r="AF12" s="0" t="n">
        <v>273.2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78</v>
      </c>
      <c r="B1" s="2" t="s">
        <v>79</v>
      </c>
    </row>
    <row r="2" customFormat="false" ht="15" hidden="false" customHeight="false" outlineLevel="0" collapsed="false">
      <c r="A2" s="0" t="s">
        <v>80</v>
      </c>
      <c r="B2" s="3" t="n">
        <v>22.27</v>
      </c>
    </row>
    <row r="3" customFormat="false" ht="15" hidden="false" customHeight="false" outlineLevel="0" collapsed="false">
      <c r="A3" s="0" t="s">
        <v>81</v>
      </c>
      <c r="B3" s="3" t="n">
        <v>1435</v>
      </c>
    </row>
    <row r="4" customFormat="false" ht="15" hidden="false" customHeight="false" outlineLevel="0" collapsed="false">
      <c r="A4" s="0" t="s">
        <v>82</v>
      </c>
      <c r="B4" s="3" t="n">
        <v>377.2</v>
      </c>
    </row>
    <row r="5" customFormat="false" ht="15" hidden="false" customHeight="false" outlineLevel="0" collapsed="false">
      <c r="A5" s="0" t="s">
        <v>83</v>
      </c>
      <c r="B5" s="3" t="n">
        <v>0</v>
      </c>
    </row>
    <row r="6" customFormat="false" ht="15" hidden="false" customHeight="false" outlineLevel="0" collapsed="false">
      <c r="A6" s="0" t="s">
        <v>84</v>
      </c>
      <c r="B6" s="3" t="n">
        <v>15</v>
      </c>
    </row>
    <row r="7" customFormat="false" ht="15" hidden="false" customHeight="false" outlineLevel="0" collapsed="false">
      <c r="A7" s="0" t="s">
        <v>85</v>
      </c>
      <c r="B7" s="3" t="n">
        <v>7623.1</v>
      </c>
    </row>
    <row r="8" customFormat="false" ht="15" hidden="false" customHeight="false" outlineLevel="0" collapsed="false">
      <c r="A8" s="0" t="s">
        <v>86</v>
      </c>
      <c r="B8" s="3" t="s">
        <v>77</v>
      </c>
    </row>
    <row r="9" customFormat="false" ht="15" hidden="false" customHeight="false" outlineLevel="0" collapsed="false">
      <c r="A9" s="0" t="s">
        <v>87</v>
      </c>
      <c r="B9" s="3" t="s">
        <v>88</v>
      </c>
    </row>
    <row r="10" customFormat="false" ht="15" hidden="false" customHeight="false" outlineLevel="0" collapsed="false">
      <c r="A10" s="0" t="s">
        <v>89</v>
      </c>
      <c r="B10" s="3" t="n">
        <v>1</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-5.6</v>
      </c>
      <c r="D13" s="3" t="n">
        <v>-5.5</v>
      </c>
      <c r="E13" s="3" t="n">
        <v>-2.3</v>
      </c>
      <c r="F13" s="3" t="n">
        <v>-2.6</v>
      </c>
      <c r="G13" s="3" t="n">
        <v>4.2</v>
      </c>
      <c r="H13" s="3" t="n">
        <v>4.1</v>
      </c>
      <c r="I13" s="3" t="n">
        <v>4.9</v>
      </c>
      <c r="J13" s="3" t="n">
        <v>4.5</v>
      </c>
      <c r="K13" s="3" t="n">
        <v>2.1</v>
      </c>
      <c r="L13" s="3" t="n">
        <v>1.8</v>
      </c>
    </row>
    <row r="14" customFormat="false" ht="15" hidden="false" customHeight="false" outlineLevel="0" collapsed="false">
      <c r="A14" s="0" t="s">
        <v>102</v>
      </c>
      <c r="C14" s="3" t="n">
        <v>47.9</v>
      </c>
      <c r="D14" s="3" t="n">
        <v>41.7</v>
      </c>
      <c r="E14" s="3" t="n">
        <v>36.8</v>
      </c>
      <c r="F14" s="3" t="n">
        <v>33.3</v>
      </c>
      <c r="G14" s="3" t="n">
        <v>33.4</v>
      </c>
      <c r="H14" s="3" t="n">
        <v>33.5</v>
      </c>
      <c r="I14" s="3" t="n">
        <v>33.9</v>
      </c>
      <c r="J14" s="3" t="n">
        <v>34</v>
      </c>
      <c r="K14" s="3" t="n">
        <v>34.4</v>
      </c>
      <c r="L14" s="3" t="n">
        <v>34.5</v>
      </c>
    </row>
    <row r="15" customFormat="false" ht="15" hidden="false" customHeight="false" outlineLevel="0" collapsed="false">
      <c r="A15" s="0" t="s">
        <v>103</v>
      </c>
      <c r="C15" s="3" t="n">
        <v>0.5</v>
      </c>
      <c r="D15" s="3" t="n">
        <v>0.5</v>
      </c>
      <c r="E15" s="3" t="n">
        <v>0.5</v>
      </c>
      <c r="F15" s="3" t="n">
        <v>0.5</v>
      </c>
      <c r="G15" s="3" t="n">
        <v>0.5</v>
      </c>
      <c r="H15" s="3" t="n">
        <v>0.5</v>
      </c>
      <c r="I15" s="3" t="n">
        <v>0.5</v>
      </c>
      <c r="J15" s="3" t="n">
        <v>0.5</v>
      </c>
      <c r="K15" s="3" t="n">
        <v>0.5</v>
      </c>
      <c r="L15" s="3" t="n">
        <v>0.5</v>
      </c>
    </row>
    <row r="16" customFormat="false" ht="15" hidden="false" customHeight="false" outlineLevel="0" collapsed="false">
      <c r="A16" s="0" t="s">
        <v>104</v>
      </c>
      <c r="C16" s="3" t="n">
        <v>3.5</v>
      </c>
      <c r="D16" s="3" t="n">
        <v>3.5</v>
      </c>
      <c r="E16" s="3" t="n">
        <v>3.5</v>
      </c>
      <c r="F16" s="3" t="n">
        <v>3.5</v>
      </c>
      <c r="G16" s="3" t="n">
        <v>3.5</v>
      </c>
      <c r="H16" s="3" t="n">
        <v>3.5</v>
      </c>
      <c r="I16" s="3" t="n">
        <v>3.5</v>
      </c>
      <c r="J16" s="3" t="n">
        <v>3.5</v>
      </c>
      <c r="K16" s="3" t="n">
        <v>3.5</v>
      </c>
      <c r="L16" s="3" t="n">
        <v>3.5</v>
      </c>
    </row>
    <row r="17" customFormat="false" ht="15" hidden="false" customHeight="false" outlineLevel="0" collapsed="false">
      <c r="A17" s="0" t="s">
        <v>105</v>
      </c>
      <c r="C17" s="3" t="n">
        <v>18</v>
      </c>
      <c r="D17" s="3" t="n">
        <v>18</v>
      </c>
      <c r="E17" s="3" t="n">
        <v>18</v>
      </c>
      <c r="F17" s="3" t="n">
        <v>18</v>
      </c>
      <c r="G17" s="3" t="n">
        <v>18</v>
      </c>
      <c r="H17" s="3" t="n">
        <v>18</v>
      </c>
      <c r="I17" s="3" t="n">
        <v>18</v>
      </c>
      <c r="J17" s="3" t="n">
        <v>18</v>
      </c>
      <c r="K17" s="3" t="n">
        <v>18</v>
      </c>
      <c r="L17" s="3" t="n">
        <v>18</v>
      </c>
    </row>
    <row r="18" customFormat="false" ht="15" hidden="false" customHeight="false" outlineLevel="0" collapsed="false">
      <c r="A18" s="0" t="s">
        <v>106</v>
      </c>
      <c r="C18" s="3" t="n">
        <v>35</v>
      </c>
      <c r="D18" s="3" t="n">
        <v>30</v>
      </c>
      <c r="E18" s="3" t="n">
        <v>24</v>
      </c>
      <c r="F18" s="3" t="n">
        <v>20</v>
      </c>
      <c r="G18" s="3" t="n">
        <v>18</v>
      </c>
      <c r="H18" s="3" t="n">
        <v>17</v>
      </c>
      <c r="I18" s="3" t="n">
        <v>17</v>
      </c>
      <c r="J18" s="3" t="n">
        <v>17</v>
      </c>
      <c r="K18" s="3" t="n">
        <v>17</v>
      </c>
      <c r="L18" s="3" t="n">
        <v>17</v>
      </c>
    </row>
    <row r="19" customFormat="false" ht="15" hidden="false" customHeight="false" outlineLevel="0" collapsed="false">
      <c r="A19" s="0" t="s">
        <v>107</v>
      </c>
      <c r="C19" s="3" t="n">
        <v>29</v>
      </c>
      <c r="D19" s="3" t="n">
        <v>29</v>
      </c>
      <c r="E19" s="3" t="n">
        <v>30</v>
      </c>
      <c r="F19" s="3" t="n">
        <v>30</v>
      </c>
      <c r="G19" s="3" t="n">
        <v>30</v>
      </c>
      <c r="H19" s="3" t="n">
        <v>30</v>
      </c>
      <c r="I19" s="3" t="n">
        <v>30</v>
      </c>
      <c r="J19" s="3" t="n">
        <v>30</v>
      </c>
      <c r="K19" s="3" t="n">
        <v>30</v>
      </c>
      <c r="L19" s="3" t="n">
        <v>30</v>
      </c>
    </row>
    <row r="20" customFormat="false" ht="15" hidden="false" customHeight="false" outlineLevel="0" collapsed="false">
      <c r="A20" s="0" t="s">
        <v>108</v>
      </c>
      <c r="B20" s="3" t="n">
        <v>9</v>
      </c>
    </row>
    <row r="21" customFormat="false" ht="15" hidden="false" customHeight="false" outlineLevel="0" collapsed="false">
      <c r="A21" s="0" t="s">
        <v>109</v>
      </c>
      <c r="B21" s="3" t="n">
        <v>2</v>
      </c>
    </row>
    <row r="22" customFormat="false" ht="15" hidden="false" customHeight="false" outlineLevel="0" collapsed="false">
      <c r="A22" s="0" t="s">
        <v>110</v>
      </c>
      <c r="B22" s="3" t="n">
        <v>12</v>
      </c>
    </row>
    <row r="23" customFormat="false" ht="15" hidden="false" customHeight="false" outlineLevel="0" collapsed="false">
      <c r="A23" s="0" t="s">
        <v>111</v>
      </c>
      <c r="B23" s="3" t="n">
        <v>0</v>
      </c>
    </row>
    <row r="24" customFormat="false" ht="15" hidden="false" customHeight="false" outlineLevel="0" collapsed="false">
      <c r="A24" s="0" t="s">
        <v>112</v>
      </c>
      <c r="B24" s="3" t="n">
        <v>0.3</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12.6</v>
      </c>
      <c r="D27" s="3" t="n">
        <v>0.2</v>
      </c>
      <c r="E27" s="3" t="n">
        <v>0.6</v>
      </c>
      <c r="F27" s="3" t="n">
        <v>0.7</v>
      </c>
      <c r="G27" s="3" t="n">
        <v>6.1</v>
      </c>
      <c r="H27" s="3" t="n">
        <v>7.1</v>
      </c>
      <c r="I27" s="3" t="n">
        <v>5.6</v>
      </c>
      <c r="J27" s="3" t="n">
        <v>3.3</v>
      </c>
      <c r="K27" s="3" t="n">
        <v>2.2</v>
      </c>
      <c r="L27" s="3" t="n">
        <v>2.2</v>
      </c>
    </row>
    <row r="28" customFormat="false" ht="15" hidden="false" customHeight="false" outlineLevel="0" collapsed="false">
      <c r="A28" s="0" t="s">
        <v>102</v>
      </c>
      <c r="C28" s="3" t="n">
        <v>54.5</v>
      </c>
      <c r="D28" s="3" t="n">
        <v>51</v>
      </c>
      <c r="E28" s="3" t="n">
        <v>48.9</v>
      </c>
      <c r="F28" s="3" t="n">
        <v>46.6</v>
      </c>
      <c r="G28" s="3" t="n">
        <v>45.5</v>
      </c>
      <c r="H28" s="3" t="n">
        <v>45</v>
      </c>
      <c r="I28" s="3" t="n">
        <v>44.9</v>
      </c>
      <c r="J28" s="3" t="n">
        <v>44.4</v>
      </c>
      <c r="K28" s="3" t="n">
        <v>44.3</v>
      </c>
      <c r="L28" s="3" t="n">
        <v>44.3</v>
      </c>
    </row>
    <row r="29" customFormat="false" ht="15" hidden="false" customHeight="false" outlineLevel="0" collapsed="false">
      <c r="A29" s="0" t="s">
        <v>103</v>
      </c>
      <c r="C29" s="3" t="n">
        <v>0.5</v>
      </c>
      <c r="D29" s="3" t="n">
        <v>0.5</v>
      </c>
      <c r="E29" s="3" t="n">
        <v>0.5</v>
      </c>
      <c r="F29" s="3" t="n">
        <v>0.5</v>
      </c>
      <c r="G29" s="3" t="n">
        <v>0.5</v>
      </c>
      <c r="H29" s="3" t="n">
        <v>0.5</v>
      </c>
      <c r="I29" s="3" t="n">
        <v>0.5</v>
      </c>
      <c r="J29" s="3" t="n">
        <v>0.5</v>
      </c>
      <c r="K29" s="3" t="n">
        <v>0.5</v>
      </c>
      <c r="L29" s="3" t="n">
        <v>0.5</v>
      </c>
    </row>
    <row r="30" customFormat="false" ht="15" hidden="false" customHeight="false" outlineLevel="0" collapsed="false">
      <c r="A30" s="0" t="s">
        <v>104</v>
      </c>
      <c r="C30" s="3" t="n">
        <v>3.5</v>
      </c>
      <c r="D30" s="3" t="n">
        <v>3.5</v>
      </c>
      <c r="E30" s="3" t="n">
        <v>3.4</v>
      </c>
      <c r="F30" s="3" t="n">
        <v>3.3</v>
      </c>
      <c r="G30" s="3" t="n">
        <v>3.2</v>
      </c>
      <c r="H30" s="3" t="n">
        <v>3.1</v>
      </c>
      <c r="I30" s="3" t="n">
        <v>3</v>
      </c>
      <c r="J30" s="3" t="n">
        <v>3</v>
      </c>
      <c r="K30" s="3" t="n">
        <v>3</v>
      </c>
      <c r="L30" s="3" t="n">
        <v>3</v>
      </c>
    </row>
    <row r="31" customFormat="false" ht="15" hidden="false" customHeight="false" outlineLevel="0" collapsed="false">
      <c r="A31" s="0" t="s">
        <v>105</v>
      </c>
      <c r="C31" s="3" t="n">
        <v>18</v>
      </c>
      <c r="D31" s="3" t="n">
        <v>18</v>
      </c>
      <c r="E31" s="3" t="n">
        <v>18</v>
      </c>
      <c r="F31" s="3" t="n">
        <v>19</v>
      </c>
      <c r="G31" s="3" t="n">
        <v>19</v>
      </c>
      <c r="H31" s="3" t="n">
        <v>19</v>
      </c>
      <c r="I31" s="3" t="n">
        <v>19</v>
      </c>
      <c r="J31" s="3" t="n">
        <v>19</v>
      </c>
      <c r="K31" s="3" t="n">
        <v>19</v>
      </c>
      <c r="L31" s="3" t="n">
        <v>19</v>
      </c>
    </row>
    <row r="32" customFormat="false" ht="15" hidden="false" customHeight="false" outlineLevel="0" collapsed="false">
      <c r="A32" s="0" t="s">
        <v>106</v>
      </c>
      <c r="C32" s="3" t="n">
        <v>35</v>
      </c>
      <c r="D32" s="3" t="n">
        <v>33</v>
      </c>
      <c r="E32" s="3" t="n">
        <v>30</v>
      </c>
      <c r="F32" s="3" t="n">
        <v>24</v>
      </c>
      <c r="G32" s="3" t="n">
        <v>20</v>
      </c>
      <c r="H32" s="3" t="n">
        <v>18</v>
      </c>
      <c r="I32" s="3" t="n">
        <v>18</v>
      </c>
      <c r="J32" s="3" t="n">
        <v>18</v>
      </c>
      <c r="K32" s="3" t="n">
        <v>18</v>
      </c>
      <c r="L32" s="3" t="n">
        <v>18</v>
      </c>
    </row>
    <row r="33" customFormat="false" ht="15" hidden="false" customHeight="false" outlineLevel="0" collapsed="false">
      <c r="A33" s="0" t="s">
        <v>107</v>
      </c>
      <c r="C33" s="3" t="n">
        <v>29</v>
      </c>
      <c r="D33" s="3" t="n">
        <v>29</v>
      </c>
      <c r="E33" s="3" t="n">
        <v>30</v>
      </c>
      <c r="F33" s="3" t="n">
        <v>30</v>
      </c>
      <c r="G33" s="3" t="n">
        <v>30</v>
      </c>
      <c r="H33" s="3" t="n">
        <v>30</v>
      </c>
      <c r="I33" s="3" t="n">
        <v>30</v>
      </c>
      <c r="J33" s="3" t="n">
        <v>30</v>
      </c>
      <c r="K33" s="3" t="n">
        <v>30</v>
      </c>
      <c r="L33" s="3" t="n">
        <v>30</v>
      </c>
    </row>
    <row r="34" customFormat="false" ht="15" hidden="false" customHeight="false" outlineLevel="0" collapsed="false">
      <c r="A34" s="0" t="s">
        <v>108</v>
      </c>
      <c r="B34" s="3" t="n">
        <v>9</v>
      </c>
    </row>
    <row r="35" customFormat="false" ht="15" hidden="false" customHeight="false" outlineLevel="0" collapsed="false">
      <c r="A35" s="0" t="s">
        <v>109</v>
      </c>
      <c r="B35" s="3" t="n">
        <v>2.5</v>
      </c>
    </row>
    <row r="36" customFormat="false" ht="15" hidden="false" customHeight="false" outlineLevel="0" collapsed="false">
      <c r="A36" s="0" t="s">
        <v>110</v>
      </c>
      <c r="B36" s="3" t="n">
        <v>12</v>
      </c>
    </row>
    <row r="37" customFormat="false" ht="15" hidden="false" customHeight="false" outlineLevel="0" collapsed="false">
      <c r="A37" s="0" t="s">
        <v>111</v>
      </c>
      <c r="B37" s="3" t="n">
        <v>0</v>
      </c>
    </row>
    <row r="38" customFormat="false" ht="15" hidden="false" customHeight="false" outlineLevel="0" collapsed="false">
      <c r="A38" s="0" t="s">
        <v>112</v>
      </c>
      <c r="B38" s="3" t="n">
        <v>0.45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21.7</v>
      </c>
      <c r="D41" s="3" t="n">
        <v>8.6</v>
      </c>
      <c r="E41" s="3" t="n">
        <v>7.1</v>
      </c>
      <c r="F41" s="3" t="n">
        <v>3.5</v>
      </c>
      <c r="G41" s="3" t="n">
        <v>9.3</v>
      </c>
      <c r="H41" s="3" t="n">
        <v>8.4</v>
      </c>
      <c r="I41" s="3" t="n">
        <v>3.9</v>
      </c>
      <c r="J41" s="3" t="n">
        <v>1.9</v>
      </c>
      <c r="K41" s="3" t="n">
        <v>1.8</v>
      </c>
      <c r="L41" s="3" t="n">
        <v>1.8</v>
      </c>
    </row>
    <row r="42" customFormat="false" ht="15" hidden="false" customHeight="false" outlineLevel="0" collapsed="false">
      <c r="A42" s="0" t="s">
        <v>102</v>
      </c>
      <c r="C42" s="3" t="n">
        <v>57.8</v>
      </c>
      <c r="D42" s="3" t="n">
        <v>58</v>
      </c>
      <c r="E42" s="3" t="n">
        <v>58.3</v>
      </c>
      <c r="F42" s="3" t="n">
        <v>56.7</v>
      </c>
      <c r="G42" s="3" t="n">
        <v>55.8</v>
      </c>
      <c r="H42" s="3" t="n">
        <v>55.7</v>
      </c>
      <c r="I42" s="3" t="n">
        <v>55.6</v>
      </c>
      <c r="J42" s="3" t="n">
        <v>55.5</v>
      </c>
      <c r="K42" s="3" t="n">
        <v>55.4</v>
      </c>
      <c r="L42" s="3" t="n">
        <v>55.3</v>
      </c>
    </row>
    <row r="43" customFormat="false" ht="15" hidden="false" customHeight="false" outlineLevel="0" collapsed="false">
      <c r="A43" s="0" t="s">
        <v>103</v>
      </c>
      <c r="C43" s="3" t="n">
        <v>0.5</v>
      </c>
      <c r="D43" s="3" t="n">
        <v>0.5</v>
      </c>
      <c r="E43" s="3" t="n">
        <v>0.5</v>
      </c>
      <c r="F43" s="3" t="n">
        <v>0.5</v>
      </c>
      <c r="G43" s="3" t="n">
        <v>0.5</v>
      </c>
      <c r="H43" s="3" t="n">
        <v>0.5</v>
      </c>
      <c r="I43" s="3" t="n">
        <v>0.5</v>
      </c>
      <c r="J43" s="3" t="n">
        <v>0.5</v>
      </c>
      <c r="K43" s="3" t="n">
        <v>0.5</v>
      </c>
      <c r="L43" s="3" t="n">
        <v>0.5</v>
      </c>
    </row>
    <row r="44" customFormat="false" ht="15" hidden="false" customHeight="false" outlineLevel="0" collapsed="false">
      <c r="A44" s="0" t="s">
        <v>104</v>
      </c>
      <c r="C44" s="3" t="n">
        <v>3.5</v>
      </c>
      <c r="D44" s="3" t="n">
        <v>3.4</v>
      </c>
      <c r="E44" s="3" t="n">
        <v>3.3</v>
      </c>
      <c r="F44" s="3" t="n">
        <v>3.2</v>
      </c>
      <c r="G44" s="3" t="n">
        <v>3.1</v>
      </c>
      <c r="H44" s="3" t="n">
        <v>3</v>
      </c>
      <c r="I44" s="3" t="n">
        <v>3</v>
      </c>
      <c r="J44" s="3" t="n">
        <v>3</v>
      </c>
      <c r="K44" s="3" t="n">
        <v>3</v>
      </c>
      <c r="L44" s="3" t="n">
        <v>3</v>
      </c>
    </row>
    <row r="45" customFormat="false" ht="15" hidden="false" customHeight="false" outlineLevel="0" collapsed="false">
      <c r="A45" s="0" t="s">
        <v>105</v>
      </c>
      <c r="C45" s="3" t="n">
        <v>18</v>
      </c>
      <c r="D45" s="3" t="n">
        <v>18</v>
      </c>
      <c r="E45" s="3" t="n">
        <v>18</v>
      </c>
      <c r="F45" s="3" t="n">
        <v>19</v>
      </c>
      <c r="G45" s="3" t="n">
        <v>19</v>
      </c>
      <c r="H45" s="3" t="n">
        <v>19</v>
      </c>
      <c r="I45" s="3" t="n">
        <v>19</v>
      </c>
      <c r="J45" s="3" t="n">
        <v>19</v>
      </c>
      <c r="K45" s="3" t="n">
        <v>19</v>
      </c>
      <c r="L45" s="3" t="n">
        <v>19</v>
      </c>
    </row>
    <row r="46" customFormat="false" ht="15" hidden="false" customHeight="false" outlineLevel="0" collapsed="false">
      <c r="A46" s="0" t="s">
        <v>106</v>
      </c>
      <c r="C46" s="3" t="n">
        <v>34</v>
      </c>
      <c r="D46" s="3" t="n">
        <v>32</v>
      </c>
      <c r="E46" s="3" t="n">
        <v>29</v>
      </c>
      <c r="F46" s="3" t="n">
        <v>23</v>
      </c>
      <c r="G46" s="3" t="n">
        <v>19</v>
      </c>
      <c r="H46" s="3" t="n">
        <v>17</v>
      </c>
      <c r="I46" s="3" t="n">
        <v>17</v>
      </c>
      <c r="J46" s="3" t="n">
        <v>17</v>
      </c>
      <c r="K46" s="3" t="n">
        <v>17</v>
      </c>
      <c r="L46" s="3" t="n">
        <v>17</v>
      </c>
    </row>
    <row r="47" customFormat="false" ht="15" hidden="false" customHeight="false" outlineLevel="0" collapsed="false">
      <c r="A47" s="0" t="s">
        <v>107</v>
      </c>
      <c r="C47" s="3" t="n">
        <v>29</v>
      </c>
      <c r="D47" s="3" t="n">
        <v>29</v>
      </c>
      <c r="E47" s="3" t="n">
        <v>30</v>
      </c>
      <c r="F47" s="3" t="n">
        <v>30</v>
      </c>
      <c r="G47" s="3" t="n">
        <v>30</v>
      </c>
      <c r="H47" s="3" t="n">
        <v>30</v>
      </c>
      <c r="I47" s="3" t="n">
        <v>30</v>
      </c>
      <c r="J47" s="3" t="n">
        <v>30</v>
      </c>
      <c r="K47" s="3" t="n">
        <v>30</v>
      </c>
      <c r="L47" s="3" t="n">
        <v>30</v>
      </c>
    </row>
    <row r="48" customFormat="false" ht="15" hidden="false" customHeight="false" outlineLevel="0" collapsed="false">
      <c r="A48" s="0" t="s">
        <v>108</v>
      </c>
      <c r="B48" s="3" t="n">
        <v>9</v>
      </c>
    </row>
    <row r="49" customFormat="false" ht="15" hidden="false" customHeight="false" outlineLevel="0" collapsed="false">
      <c r="A49" s="0" t="s">
        <v>109</v>
      </c>
      <c r="B49" s="3" t="n">
        <v>3</v>
      </c>
    </row>
    <row r="50" customFormat="false" ht="15" hidden="false" customHeight="false" outlineLevel="0" collapsed="false">
      <c r="A50" s="0" t="s">
        <v>110</v>
      </c>
      <c r="B50" s="3" t="n">
        <v>12</v>
      </c>
    </row>
    <row r="51" customFormat="false" ht="15" hidden="false" customHeight="false" outlineLevel="0" collapsed="false">
      <c r="A51" s="0" t="s">
        <v>111</v>
      </c>
      <c r="B51" s="3" t="n">
        <v>0</v>
      </c>
    </row>
    <row r="52" customFormat="false" ht="15" hidden="false" customHeight="false" outlineLevel="0" collapsed="false">
      <c r="A52" s="0" t="s">
        <v>112</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-5.6</v>
      </c>
      <c r="D5" s="4" t="n">
        <f aca="false">Assumptions!D13</f>
        <v>-5.5</v>
      </c>
      <c r="E5" s="4" t="n">
        <f aca="false">Assumptions!E13</f>
        <v>-2.3</v>
      </c>
      <c r="F5" s="4" t="n">
        <f aca="false">Assumptions!F13</f>
        <v>-2.6</v>
      </c>
      <c r="G5" s="4" t="n">
        <f aca="false">Assumptions!G13</f>
        <v>4.2</v>
      </c>
      <c r="H5" s="4" t="n">
        <f aca="false">Assumptions!H13</f>
        <v>4.1</v>
      </c>
      <c r="I5" s="4" t="n">
        <f aca="false">Assumptions!I13</f>
        <v>4.9</v>
      </c>
      <c r="J5" s="4" t="n">
        <f aca="false">Assumptions!J13</f>
        <v>4.5</v>
      </c>
      <c r="K5" s="4" t="n">
        <f aca="false">Assumptions!K13</f>
        <v>2.1</v>
      </c>
      <c r="L5" s="4" t="n">
        <f aca="false">Assumptions!L13</f>
        <v>1.8</v>
      </c>
    </row>
    <row r="6" customFormat="false" ht="15" hidden="false" customHeight="false" outlineLevel="0" collapsed="false">
      <c r="A6" s="0" t="s">
        <v>37</v>
      </c>
      <c r="B6" s="3" t="n">
        <v>7623.1</v>
      </c>
      <c r="C6" s="0" t="n">
        <f aca="false">B6*(1+C5/100)</f>
        <v>7196.2064</v>
      </c>
      <c r="D6" s="0" t="n">
        <f aca="false">C6*(1+D5/100)</f>
        <v>6800.415048</v>
      </c>
      <c r="E6" s="0" t="n">
        <f aca="false">D6*(1+E5/100)</f>
        <v>6644.005501896</v>
      </c>
      <c r="F6" s="0" t="n">
        <f aca="false">E6*(1+F5/100)</f>
        <v>6471.2613588467</v>
      </c>
      <c r="G6" s="0" t="n">
        <f aca="false">F6*(1+G5/100)</f>
        <v>6743.05433591827</v>
      </c>
      <c r="H6" s="0" t="n">
        <f aca="false">G6*(1+H5/100)</f>
        <v>7019.51956369091</v>
      </c>
      <c r="I6" s="0" t="n">
        <f aca="false">H6*(1+I5/100)</f>
        <v>7363.47602231177</v>
      </c>
      <c r="J6" s="0" t="n">
        <f aca="false">I6*(1+J5/100)</f>
        <v>7694.8324433158</v>
      </c>
      <c r="K6" s="0" t="n">
        <f aca="false">J6*(1+K5/100)</f>
        <v>7856.42392462543</v>
      </c>
      <c r="L6" s="0" t="n">
        <f aca="false">K6*(1+L5/100)</f>
        <v>7997.83955526868</v>
      </c>
    </row>
    <row r="7" customFormat="false" ht="15" hidden="false" customHeight="false" outlineLevel="0" collapsed="false">
      <c r="A7" s="0" t="s">
        <v>102</v>
      </c>
      <c r="C7" s="4" t="n">
        <f aca="false">Assumptions!C14</f>
        <v>47.9</v>
      </c>
      <c r="D7" s="4" t="n">
        <f aca="false">Assumptions!D14</f>
        <v>41.7</v>
      </c>
      <c r="E7" s="4" t="n">
        <f aca="false">Assumptions!E14</f>
        <v>36.8</v>
      </c>
      <c r="F7" s="4" t="n">
        <f aca="false">Assumptions!F14</f>
        <v>33.3</v>
      </c>
      <c r="G7" s="4" t="n">
        <f aca="false">Assumptions!G14</f>
        <v>33.4</v>
      </c>
      <c r="H7" s="4" t="n">
        <f aca="false">Assumptions!H14</f>
        <v>33.5</v>
      </c>
      <c r="I7" s="4" t="n">
        <f aca="false">Assumptions!I14</f>
        <v>33.9</v>
      </c>
      <c r="J7" s="4" t="n">
        <f aca="false">Assumptions!J14</f>
        <v>34</v>
      </c>
      <c r="K7" s="4" t="n">
        <f aca="false">Assumptions!K14</f>
        <v>34.4</v>
      </c>
      <c r="L7" s="4" t="n">
        <f aca="false">Assumptions!L14</f>
        <v>34.5</v>
      </c>
    </row>
    <row r="8" customFormat="false" ht="15" hidden="false" customHeight="false" outlineLevel="0" collapsed="false">
      <c r="A8" s="0" t="s">
        <v>43</v>
      </c>
      <c r="C8" s="0" t="n">
        <f aca="false">C6*C7/100</f>
        <v>3446.9828656</v>
      </c>
      <c r="D8" s="0" t="n">
        <f aca="false">D6*D7/100</f>
        <v>2835.773075016</v>
      </c>
      <c r="E8" s="0" t="n">
        <f aca="false">E6*E7/100</f>
        <v>2444.99402469773</v>
      </c>
      <c r="F8" s="0" t="n">
        <f aca="false">F6*F7/100</f>
        <v>2154.93003249595</v>
      </c>
      <c r="G8" s="0" t="n">
        <f aca="false">G6*G7/100</f>
        <v>2252.1801481967</v>
      </c>
      <c r="H8" s="0" t="n">
        <f aca="false">H6*H7/100</f>
        <v>2351.53905383646</v>
      </c>
      <c r="I8" s="0" t="n">
        <f aca="false">I6*I7/100</f>
        <v>2496.21837156369</v>
      </c>
      <c r="J8" s="0" t="n">
        <f aca="false">J6*J7/100</f>
        <v>2616.24303072737</v>
      </c>
      <c r="K8" s="0" t="n">
        <f aca="false">K6*K7/100</f>
        <v>2702.60983007115</v>
      </c>
      <c r="L8" s="0" t="n">
        <f aca="false">L6*L7/100</f>
        <v>2759.2546465677</v>
      </c>
    </row>
    <row r="9" customFormat="false" ht="15" hidden="false" customHeight="false" outlineLevel="0" collapsed="false">
      <c r="A9" s="0" t="s">
        <v>103</v>
      </c>
      <c r="C9" s="4" t="n">
        <f aca="false">Assumptions!C15</f>
        <v>0.5</v>
      </c>
      <c r="D9" s="4" t="n">
        <f aca="false">Assumptions!D15</f>
        <v>0.5</v>
      </c>
      <c r="E9" s="4" t="n">
        <f aca="false">Assumptions!E15</f>
        <v>0.5</v>
      </c>
      <c r="F9" s="4" t="n">
        <f aca="false">Assumptions!F15</f>
        <v>0.5</v>
      </c>
      <c r="G9" s="4" t="n">
        <f aca="false">Assumptions!G15</f>
        <v>0.5</v>
      </c>
      <c r="H9" s="4" t="n">
        <f aca="false">Assumptions!H15</f>
        <v>0.5</v>
      </c>
      <c r="I9" s="4" t="n">
        <f aca="false">Assumptions!I15</f>
        <v>0.5</v>
      </c>
      <c r="J9" s="4" t="n">
        <f aca="false">Assumptions!J15</f>
        <v>0.5</v>
      </c>
      <c r="K9" s="4" t="n">
        <f aca="false">Assumptions!K15</f>
        <v>0.5</v>
      </c>
      <c r="L9" s="4" t="n">
        <f aca="false">Assumptions!L15</f>
        <v>0.5</v>
      </c>
    </row>
    <row r="10" customFormat="false" ht="15" hidden="false" customHeight="false" outlineLevel="0" collapsed="false">
      <c r="A10" s="0" t="s">
        <v>118</v>
      </c>
      <c r="C10" s="0" t="n">
        <f aca="false">-C6*C9/100</f>
        <v>-35.981032</v>
      </c>
      <c r="D10" s="0" t="n">
        <f aca="false">-D6*D9/100</f>
        <v>-34.00207524</v>
      </c>
      <c r="E10" s="0" t="n">
        <f aca="false">-E6*E9/100</f>
        <v>-33.22002750948</v>
      </c>
      <c r="F10" s="0" t="n">
        <f aca="false">-F6*F9/100</f>
        <v>-32.3563067942335</v>
      </c>
      <c r="G10" s="0" t="n">
        <f aca="false">-G6*G9/100</f>
        <v>-33.7152716795913</v>
      </c>
      <c r="H10" s="0" t="n">
        <f aca="false">-H6*H9/100</f>
        <v>-35.0975978184546</v>
      </c>
      <c r="I10" s="0" t="n">
        <f aca="false">-I6*I9/100</f>
        <v>-36.8173801115588</v>
      </c>
      <c r="J10" s="0" t="n">
        <f aca="false">-J6*J9/100</f>
        <v>-38.474162216579</v>
      </c>
      <c r="K10" s="0" t="n">
        <f aca="false">-K6*K9/100</f>
        <v>-39.2821196231271</v>
      </c>
      <c r="L10" s="0" t="n">
        <f aca="false">-L6*L9/100</f>
        <v>-39.9891977763434</v>
      </c>
    </row>
    <row r="11" customFormat="false" ht="15" hidden="false" customHeight="false" outlineLevel="0" collapsed="false">
      <c r="A11" s="0" t="s">
        <v>119</v>
      </c>
      <c r="C11" s="0" t="n">
        <f aca="false">C8+C10+C24</f>
        <v>3159.1346096</v>
      </c>
      <c r="D11" s="0" t="n">
        <f aca="false">D8+D10+D24</f>
        <v>2563.756473096</v>
      </c>
      <c r="E11" s="0" t="n">
        <f aca="false">E8+E10+E24</f>
        <v>2179.23380462189</v>
      </c>
      <c r="F11" s="0" t="n">
        <f aca="false">F8+F10+F24</f>
        <v>1896.07957814208</v>
      </c>
      <c r="G11" s="0" t="n">
        <f aca="false">G8+G10+G24</f>
        <v>1982.45797475997</v>
      </c>
      <c r="H11" s="0" t="n">
        <f aca="false">H8+H10+H24</f>
        <v>2070.75827128882</v>
      </c>
      <c r="I11" s="0" t="n">
        <f aca="false">I8+I10+I24</f>
        <v>2201.67933067122</v>
      </c>
      <c r="J11" s="0" t="n">
        <f aca="false">J8+J10+J24</f>
        <v>2308.44973299474</v>
      </c>
      <c r="K11" s="0" t="n">
        <f aca="false">K8+K10+K24</f>
        <v>2388.35287308613</v>
      </c>
      <c r="L11" s="0" t="n">
        <f aca="false">L8+L10+L24</f>
        <v>2439.34106435695</v>
      </c>
    </row>
    <row r="12" customFormat="false" ht="15" hidden="false" customHeight="false" outlineLevel="0" collapsed="false">
      <c r="A12" s="0" t="s">
        <v>120</v>
      </c>
      <c r="C12" s="4" t="n">
        <f aca="false">-C6*Assumptions!C17/100</f>
        <v>-1295.317152</v>
      </c>
      <c r="D12" s="4" t="n">
        <f aca="false">-D6*Assumptions!D17/100</f>
        <v>-1224.07470864</v>
      </c>
      <c r="E12" s="4" t="n">
        <f aca="false">-E6*Assumptions!E17/100</f>
        <v>-1195.92099034128</v>
      </c>
      <c r="F12" s="4" t="n">
        <f aca="false">-F6*Assumptions!F17/100</f>
        <v>-1164.82704459241</v>
      </c>
      <c r="G12" s="4" t="n">
        <f aca="false">-G6*Assumptions!G17/100</f>
        <v>-1213.74978046529</v>
      </c>
      <c r="H12" s="4" t="n">
        <f aca="false">-H6*Assumptions!H17/100</f>
        <v>-1263.51352146436</v>
      </c>
      <c r="I12" s="4" t="n">
        <f aca="false">-I6*Assumptions!I17/100</f>
        <v>-1325.42568401612</v>
      </c>
      <c r="J12" s="4" t="n">
        <f aca="false">-J6*Assumptions!J17/100</f>
        <v>-1385.06983979684</v>
      </c>
      <c r="K12" s="4" t="n">
        <f aca="false">-K6*Assumptions!K17/100</f>
        <v>-1414.15630643258</v>
      </c>
      <c r="L12" s="4" t="n">
        <f aca="false">-L6*Assumptions!L17/100</f>
        <v>-1439.61111994836</v>
      </c>
    </row>
    <row r="13" customFormat="false" ht="15" hidden="false" customHeight="false" outlineLevel="0" collapsed="false">
      <c r="A13" s="0" t="s">
        <v>121</v>
      </c>
      <c r="C13" s="0" t="n">
        <f aca="false">C11+C12</f>
        <v>1863.8174576</v>
      </c>
      <c r="D13" s="0" t="n">
        <f aca="false">D11+D12</f>
        <v>1339.681764456</v>
      </c>
      <c r="E13" s="0" t="n">
        <f aca="false">E11+E12</f>
        <v>983.312814280608</v>
      </c>
      <c r="F13" s="0" t="n">
        <f aca="false">F11+F12</f>
        <v>731.252533549677</v>
      </c>
      <c r="G13" s="0" t="n">
        <f aca="false">G11+G12</f>
        <v>768.708194294682</v>
      </c>
      <c r="H13" s="0" t="n">
        <f aca="false">H11+H12</f>
        <v>807.244749824455</v>
      </c>
      <c r="I13" s="0" t="n">
        <f aca="false">I11+I12</f>
        <v>876.2536466551</v>
      </c>
      <c r="J13" s="0" t="n">
        <f aca="false">J11+J12</f>
        <v>923.379893197896</v>
      </c>
      <c r="K13" s="0" t="n">
        <f aca="false">K11+K12</f>
        <v>974.196566653553</v>
      </c>
      <c r="L13" s="0" t="n">
        <f aca="false">L11+L12</f>
        <v>999.729944408586</v>
      </c>
    </row>
    <row r="14" customFormat="false" ht="15" hidden="false" customHeight="false" outlineLevel="0" collapsed="false">
      <c r="A14" s="0" t="s">
        <v>107</v>
      </c>
      <c r="C14" s="4" t="n">
        <f aca="false">Assumptions!C19</f>
        <v>29</v>
      </c>
      <c r="D14" s="4" t="n">
        <f aca="false">Assumptions!D19</f>
        <v>29</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122</v>
      </c>
      <c r="C15" s="0" t="n">
        <f aca="false">C13-MAX(0,C13)*C14/100</f>
        <v>1323.310394896</v>
      </c>
      <c r="D15" s="0" t="n">
        <f aca="false">D13-MAX(0,D13)*D14/100</f>
        <v>951.17405276376</v>
      </c>
      <c r="E15" s="0" t="n">
        <f aca="false">E13-MAX(0,E13)*E14/100</f>
        <v>688.318969996425</v>
      </c>
      <c r="F15" s="0" t="n">
        <f aca="false">F13-MAX(0,F13)*F14/100</f>
        <v>511.876773484774</v>
      </c>
      <c r="G15" s="0" t="n">
        <f aca="false">G13-MAX(0,G13)*G14/100</f>
        <v>538.095736006278</v>
      </c>
      <c r="H15" s="0" t="n">
        <f aca="false">H13-MAX(0,H13)*H14/100</f>
        <v>565.071324877119</v>
      </c>
      <c r="I15" s="0" t="n">
        <f aca="false">I13-MAX(0,I13)*I14/100</f>
        <v>613.37755265857</v>
      </c>
      <c r="J15" s="0" t="n">
        <f aca="false">J13-MAX(0,J13)*J14/100</f>
        <v>646.365925238527</v>
      </c>
      <c r="K15" s="0" t="n">
        <f aca="false">K13-MAX(0,K13)*K14/100</f>
        <v>681.937596657487</v>
      </c>
      <c r="L15" s="0" t="n">
        <f aca="false">L13-MAX(0,L13)*L14/100</f>
        <v>699.81096108601</v>
      </c>
    </row>
    <row r="16" customFormat="false" ht="15" hidden="false" customHeight="false" outlineLevel="0" collapsed="false">
      <c r="A16" s="0" t="s">
        <v>123</v>
      </c>
      <c r="C16" s="0" t="n">
        <f aca="false">-C12</f>
        <v>1295.317152</v>
      </c>
      <c r="D16" s="0" t="n">
        <f aca="false">-D12</f>
        <v>1224.07470864</v>
      </c>
      <c r="E16" s="0" t="n">
        <f aca="false">-E12</f>
        <v>1195.92099034128</v>
      </c>
      <c r="F16" s="0" t="n">
        <f aca="false">-F12</f>
        <v>1164.82704459241</v>
      </c>
      <c r="G16" s="0" t="n">
        <f aca="false">-G12</f>
        <v>1213.74978046529</v>
      </c>
      <c r="H16" s="0" t="n">
        <f aca="false">-H12</f>
        <v>1263.51352146436</v>
      </c>
      <c r="I16" s="0" t="n">
        <f aca="false">-I12</f>
        <v>1325.42568401612</v>
      </c>
      <c r="J16" s="0" t="n">
        <f aca="false">-J12</f>
        <v>1385.06983979684</v>
      </c>
      <c r="K16" s="0" t="n">
        <f aca="false">-K12</f>
        <v>1414.15630643258</v>
      </c>
      <c r="L16" s="0" t="n">
        <f aca="false">-L12</f>
        <v>1439.61111994836</v>
      </c>
    </row>
    <row r="17" customFormat="false" ht="15" hidden="false" customHeight="false" outlineLevel="0" collapsed="false">
      <c r="A17" s="0" t="s">
        <v>124</v>
      </c>
      <c r="C17" s="4" t="n">
        <f aca="false">-C6*Assumptions!C18/100</f>
        <v>-2518.67224</v>
      </c>
      <c r="D17" s="4" t="n">
        <f aca="false">-D6*Assumptions!D18/100</f>
        <v>-2040.1245144</v>
      </c>
      <c r="E17" s="4" t="n">
        <f aca="false">-E6*Assumptions!E18/100</f>
        <v>-1594.56132045504</v>
      </c>
      <c r="F17" s="4" t="n">
        <f aca="false">-F6*Assumptions!F18/100</f>
        <v>-1294.25227176934</v>
      </c>
      <c r="G17" s="4" t="n">
        <f aca="false">-G6*Assumptions!G18/100</f>
        <v>-1213.74978046529</v>
      </c>
      <c r="H17" s="4" t="n">
        <f aca="false">-H6*Assumptions!H18/100</f>
        <v>-1193.31832582746</v>
      </c>
      <c r="I17" s="4" t="n">
        <f aca="false">-I6*Assumptions!I18/100</f>
        <v>-1251.790923793</v>
      </c>
      <c r="J17" s="4" t="n">
        <f aca="false">-J6*Assumptions!J18/100</f>
        <v>-1308.12151536369</v>
      </c>
      <c r="K17" s="4" t="n">
        <f aca="false">-K6*Assumptions!K18/100</f>
        <v>-1335.59206718632</v>
      </c>
      <c r="L17" s="4" t="n">
        <f aca="false">-L6*Assumptions!L18/100</f>
        <v>-1359.63272439568</v>
      </c>
    </row>
    <row r="18" customFormat="false" ht="15" hidden="false" customHeight="false" outlineLevel="0" collapsed="false">
      <c r="A18" s="0" t="s">
        <v>125</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126</v>
      </c>
      <c r="C19" s="0" t="n">
        <f aca="false">C15+C16+C17+C18</f>
        <v>99.9553068959999</v>
      </c>
      <c r="D19" s="0" t="n">
        <f aca="false">D15+D16+D17+D18</f>
        <v>135.12424700376</v>
      </c>
      <c r="E19" s="0" t="n">
        <f aca="false">E15+E16+E17+E18</f>
        <v>289.678639882665</v>
      </c>
      <c r="F19" s="0" t="n">
        <f aca="false">F15+F16+F17+F18</f>
        <v>382.45154630784</v>
      </c>
      <c r="G19" s="0" t="n">
        <f aca="false">G15+G16+G17+G18</f>
        <v>538.095736006278</v>
      </c>
      <c r="H19" s="0" t="n">
        <f aca="false">H15+H16+H17+H18</f>
        <v>635.266520514027</v>
      </c>
      <c r="I19" s="0" t="n">
        <f aca="false">I15+I16+I17+I18</f>
        <v>687.012312881688</v>
      </c>
      <c r="J19" s="0" t="n">
        <f aca="false">J15+J16+J17+J18</f>
        <v>723.314249671685</v>
      </c>
      <c r="K19" s="0" t="n">
        <f aca="false">K15+K16+K17+K18</f>
        <v>760.501835903742</v>
      </c>
      <c r="L19" s="0" t="n">
        <f aca="false">L15+L16+L17+L18</f>
        <v>779.789356638697</v>
      </c>
    </row>
    <row r="20" customFormat="false" ht="15" hidden="false" customHeight="false" outlineLevel="0" collapsed="false">
      <c r="A20" s="0" t="s">
        <v>127</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128</v>
      </c>
      <c r="C21" s="0" t="n">
        <f aca="false">C19*C20</f>
        <v>91.7021164183485</v>
      </c>
      <c r="D21" s="0" t="n">
        <f aca="false">D19*D20</f>
        <v>113.731375308274</v>
      </c>
      <c r="E21" s="0" t="n">
        <f aca="false">E19*E20</f>
        <v>223.685060243952</v>
      </c>
      <c r="F21" s="0" t="n">
        <f aca="false">F19*F20</f>
        <v>270.938317415342</v>
      </c>
      <c r="G21" s="0" t="n">
        <f aca="false">G19*G20</f>
        <v>349.725307663788</v>
      </c>
      <c r="H21" s="0" t="n">
        <f aca="false">H19*H20</f>
        <v>378.78867004276</v>
      </c>
      <c r="I21" s="0" t="n">
        <f aca="false">I19*I20</f>
        <v>375.819261775295</v>
      </c>
      <c r="J21" s="0" t="n">
        <f aca="false">J19*J20</f>
        <v>363.007031517028</v>
      </c>
      <c r="K21" s="0" t="n">
        <f aca="false">K19*K20</f>
        <v>350.15617162323</v>
      </c>
      <c r="L21" s="0" t="n">
        <f aca="false">L19*L20</f>
        <v>329.391451346422</v>
      </c>
    </row>
    <row r="23" customFormat="false" ht="15" hidden="false" customHeight="false" outlineLevel="0" collapsed="false">
      <c r="A23" s="0" t="s">
        <v>104</v>
      </c>
      <c r="C23" s="4" t="n">
        <f aca="false">Assumptions!C16</f>
        <v>3.5</v>
      </c>
      <c r="D23" s="4" t="n">
        <f aca="false">Assumptions!D16</f>
        <v>3.5</v>
      </c>
      <c r="E23" s="4" t="n">
        <f aca="false">Assumptions!E16</f>
        <v>3.5</v>
      </c>
      <c r="F23" s="4" t="n">
        <f aca="false">Assumptions!F16</f>
        <v>3.5</v>
      </c>
      <c r="G23" s="4" t="n">
        <f aca="false">Assumptions!G16</f>
        <v>3.5</v>
      </c>
      <c r="H23" s="4" t="n">
        <f aca="false">Assumptions!H16</f>
        <v>3.5</v>
      </c>
      <c r="I23" s="4" t="n">
        <f aca="false">Assumptions!I16</f>
        <v>3.5</v>
      </c>
      <c r="J23" s="4" t="n">
        <f aca="false">Assumptions!J16</f>
        <v>3.5</v>
      </c>
      <c r="K23" s="4" t="n">
        <f aca="false">Assumptions!K16</f>
        <v>3.5</v>
      </c>
      <c r="L23" s="4" t="n">
        <f aca="false">Assumptions!L16</f>
        <v>3.5</v>
      </c>
    </row>
    <row r="24" customFormat="false" ht="15" hidden="false" customHeight="false" outlineLevel="0" collapsed="false">
      <c r="A24" s="0" t="s">
        <v>129</v>
      </c>
      <c r="C24" s="0" t="n">
        <f aca="false">-C6*C23/100</f>
        <v>-251.867224</v>
      </c>
      <c r="D24" s="0" t="n">
        <f aca="false">-D6*D23/100</f>
        <v>-238.01452668</v>
      </c>
      <c r="E24" s="0" t="n">
        <f aca="false">-E6*E23/100</f>
        <v>-232.54019256636</v>
      </c>
      <c r="F24" s="0" t="n">
        <f aca="false">-F6*F23/100</f>
        <v>-226.494147559635</v>
      </c>
      <c r="G24" s="0" t="n">
        <f aca="false">-G6*G23/100</f>
        <v>-236.006901757139</v>
      </c>
      <c r="H24" s="0" t="n">
        <f aca="false">-H6*H23/100</f>
        <v>-245.683184729182</v>
      </c>
      <c r="I24" s="0" t="n">
        <f aca="false">-I6*I23/100</f>
        <v>-257.721660780912</v>
      </c>
      <c r="J24" s="0" t="n">
        <f aca="false">-J6*J23/100</f>
        <v>-269.319135516053</v>
      </c>
      <c r="K24" s="0" t="n">
        <f aca="false">-K6*K23/100</f>
        <v>-274.97483736189</v>
      </c>
      <c r="L24" s="0" t="n">
        <f aca="false">-L6*L23/100</f>
        <v>-279.924384434404</v>
      </c>
    </row>
    <row r="26" customFormat="false" ht="15" hidden="false" customHeight="false" outlineLevel="0" collapsed="false">
      <c r="A26" s="2" t="s">
        <v>130</v>
      </c>
    </row>
    <row r="27" customFormat="false" ht="15" hidden="false" customHeight="false" outlineLevel="0" collapsed="false">
      <c r="A27" s="0" t="s">
        <v>108</v>
      </c>
      <c r="B27" s="4" t="n">
        <f aca="false">Assumptions!$B$20</f>
        <v>9</v>
      </c>
    </row>
    <row r="28" customFormat="false" ht="15" hidden="false" customHeight="false" outlineLevel="0" collapsed="false">
      <c r="A28" s="0" t="s">
        <v>109</v>
      </c>
      <c r="B28" s="4" t="n">
        <f aca="false">Assumptions!$B$21</f>
        <v>2</v>
      </c>
    </row>
    <row r="29" customFormat="false" ht="15" hidden="false" customHeight="false" outlineLevel="0" collapsed="false">
      <c r="A29" s="0" t="s">
        <v>110</v>
      </c>
      <c r="B29" s="4" t="n">
        <f aca="false">Assumptions!$B$22</f>
        <v>12</v>
      </c>
    </row>
    <row r="30" customFormat="false" ht="15" hidden="false" customHeight="false" outlineLevel="0" collapsed="false">
      <c r="A30" s="0" t="s">
        <v>131</v>
      </c>
      <c r="B30" s="0" t="n">
        <f aca="false">SUM(C21:L21)</f>
        <v>2846.94476335444</v>
      </c>
    </row>
    <row r="31" customFormat="false" ht="15" hidden="false" customHeight="false" outlineLevel="0" collapsed="false">
      <c r="A31" s="0" t="s">
        <v>132</v>
      </c>
      <c r="B31" s="0" t="n">
        <f aca="false">L19</f>
        <v>779.789356638697</v>
      </c>
    </row>
    <row r="32" customFormat="false" ht="15" hidden="false" customHeight="false" outlineLevel="0" collapsed="false">
      <c r="A32" s="0" t="s">
        <v>133</v>
      </c>
      <c r="B32" s="0" t="n">
        <f aca="false">IF(B27&gt;B28,B31*(1+B28/100)/((B27-B28)/100),B31*B29)</f>
        <v>11362.644911021</v>
      </c>
    </row>
    <row r="33" customFormat="false" ht="15" hidden="false" customHeight="false" outlineLevel="0" collapsed="false">
      <c r="A33" s="0" t="s">
        <v>134</v>
      </c>
      <c r="B33" s="0" t="n">
        <f aca="false">B31*B29</f>
        <v>9357.47227966436</v>
      </c>
    </row>
    <row r="34" customFormat="false" ht="15" hidden="false" customHeight="false" outlineLevel="0" collapsed="false">
      <c r="A34" s="0" t="s">
        <v>135</v>
      </c>
      <c r="B34" s="0" t="n">
        <f aca="false">MAX(0,MIN(B32,B33))</f>
        <v>9357.47227966436</v>
      </c>
    </row>
    <row r="35" customFormat="false" ht="15" hidden="false" customHeight="false" outlineLevel="0" collapsed="false">
      <c r="A35" s="0" t="s">
        <v>136</v>
      </c>
      <c r="B35" s="0" t="n">
        <f aca="false">B34/(1+B27/100)^L4</f>
        <v>3952.69741615706</v>
      </c>
    </row>
    <row r="36" customFormat="false" ht="15" hidden="false" customHeight="false" outlineLevel="0" collapsed="false">
      <c r="A36" s="0" t="s">
        <v>137</v>
      </c>
      <c r="B36" s="0" t="n">
        <f aca="false">B30+B35</f>
        <v>6799.6421795115</v>
      </c>
    </row>
    <row r="37" customFormat="false" ht="15" hidden="false" customHeight="false" outlineLevel="0" collapsed="false">
      <c r="A37" s="0" t="s">
        <v>138</v>
      </c>
      <c r="B37" s="0" t="n">
        <f aca="false">B36+Assumptions!$B$5-Assumptions!$B$4</f>
        <v>6422.4421795115</v>
      </c>
    </row>
    <row r="38" customFormat="false" ht="15" hidden="false" customHeight="false" outlineLevel="0" collapsed="false">
      <c r="A38" s="0" t="s">
        <v>139</v>
      </c>
      <c r="B38" s="0" t="n">
        <f aca="false">B37/Assumptions!$B$3*Assumptions!$B$10</f>
        <v>4.47556946307422</v>
      </c>
    </row>
    <row r="39" customFormat="false" ht="15" hidden="false" customHeight="false" outlineLevel="0" collapsed="false">
      <c r="A39" s="0" t="s">
        <v>140</v>
      </c>
      <c r="B39" s="4" t="n">
        <f aca="false">B38/Assumptions!$B$2-1</f>
        <v>-0.79903145653012</v>
      </c>
    </row>
    <row r="41" customFormat="false" ht="15" hidden="false" customHeight="false" outlineLevel="0" collapsed="false">
      <c r="A41" s="0" t="s">
        <v>141</v>
      </c>
      <c r="B41" s="0" t="n">
        <f aca="false">SUMPRODUCT(-C10:L10/(1+$B$27/100)^C4:L4)</f>
        <v>227.470832367377</v>
      </c>
    </row>
    <row r="42" customFormat="false" ht="15" hidden="false" customHeight="false" outlineLevel="0" collapsed="false">
      <c r="A42" s="0" t="s">
        <v>142</v>
      </c>
      <c r="B42" s="0" t="n">
        <f aca="false">IF(B27&gt;B28,-L10*(1+B28/100)/((B27-B28)/100),-L10*20)/(1+B27/100)^L4</f>
        <v>246.138666940183</v>
      </c>
    </row>
    <row r="43" customFormat="false" ht="15" hidden="false" customHeight="false" outlineLevel="0" collapsed="false">
      <c r="A43" s="0" t="s">
        <v>143</v>
      </c>
      <c r="B43" s="0" t="n">
        <f aca="false">(B37+B41+B42)/Assumptions!$B$3*Assumptions!$B$10</f>
        <v>4.80561092600632</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6118.34725978054</v>
      </c>
    </row>
    <row r="47" customFormat="false" ht="15" hidden="false" customHeight="false" outlineLevel="0" collapsed="false">
      <c r="A47" s="0" t="s">
        <v>145</v>
      </c>
      <c r="B47" s="0" t="n">
        <f aca="false">(SUMPRODUCT(C19:L19/(1+B45/100)^C4:L4)+B46/(1+B45/100)^L4+Assumptions!$B$5-Assumptions!$B$4)/Assumptions!$B$3*Assumptions!$B$10</f>
        <v>2.21548522413426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12.6</v>
      </c>
      <c r="D5" s="4" t="n">
        <f aca="false">Assumptions!D27</f>
        <v>0.2</v>
      </c>
      <c r="E5" s="4" t="n">
        <f aca="false">Assumptions!E27</f>
        <v>0.6</v>
      </c>
      <c r="F5" s="4" t="n">
        <f aca="false">Assumptions!F27</f>
        <v>0.7</v>
      </c>
      <c r="G5" s="4" t="n">
        <f aca="false">Assumptions!G27</f>
        <v>6.1</v>
      </c>
      <c r="H5" s="4" t="n">
        <f aca="false">Assumptions!H27</f>
        <v>7.1</v>
      </c>
      <c r="I5" s="4" t="n">
        <f aca="false">Assumptions!I27</f>
        <v>5.6</v>
      </c>
      <c r="J5" s="4" t="n">
        <f aca="false">Assumptions!J27</f>
        <v>3.3</v>
      </c>
      <c r="K5" s="4" t="n">
        <f aca="false">Assumptions!K27</f>
        <v>2.2</v>
      </c>
      <c r="L5" s="4" t="n">
        <f aca="false">Assumptions!L27</f>
        <v>2.2</v>
      </c>
    </row>
    <row r="6" customFormat="false" ht="15" hidden="false" customHeight="false" outlineLevel="0" collapsed="false">
      <c r="A6" s="0" t="s">
        <v>37</v>
      </c>
      <c r="B6" s="3" t="n">
        <v>7623.1</v>
      </c>
      <c r="C6" s="0" t="n">
        <f aca="false">B6*(1+C5/100)</f>
        <v>8583.6106</v>
      </c>
      <c r="D6" s="0" t="n">
        <f aca="false">C6*(1+D5/100)</f>
        <v>8600.7778212</v>
      </c>
      <c r="E6" s="0" t="n">
        <f aca="false">D6*(1+E5/100)</f>
        <v>8652.3824881272</v>
      </c>
      <c r="F6" s="0" t="n">
        <f aca="false">E6*(1+F5/100)</f>
        <v>8712.94916554409</v>
      </c>
      <c r="G6" s="0" t="n">
        <f aca="false">F6*(1+G5/100)</f>
        <v>9244.43906464228</v>
      </c>
      <c r="H6" s="0" t="n">
        <f aca="false">G6*(1+H5/100)</f>
        <v>9900.79423823188</v>
      </c>
      <c r="I6" s="0" t="n">
        <f aca="false">H6*(1+I5/100)</f>
        <v>10455.2387155729</v>
      </c>
      <c r="J6" s="0" t="n">
        <f aca="false">I6*(1+J5/100)</f>
        <v>10800.2615931868</v>
      </c>
      <c r="K6" s="0" t="n">
        <f aca="false">J6*(1+K5/100)</f>
        <v>11037.8673482369</v>
      </c>
      <c r="L6" s="0" t="n">
        <f aca="false">K6*(1+L5/100)</f>
        <v>11280.7004298981</v>
      </c>
    </row>
    <row r="7" customFormat="false" ht="15" hidden="false" customHeight="false" outlineLevel="0" collapsed="false">
      <c r="A7" s="0" t="s">
        <v>102</v>
      </c>
      <c r="C7" s="4" t="n">
        <f aca="false">Assumptions!C28</f>
        <v>54.5</v>
      </c>
      <c r="D7" s="4" t="n">
        <f aca="false">Assumptions!D28</f>
        <v>51</v>
      </c>
      <c r="E7" s="4" t="n">
        <f aca="false">Assumptions!E28</f>
        <v>48.9</v>
      </c>
      <c r="F7" s="4" t="n">
        <f aca="false">Assumptions!F28</f>
        <v>46.6</v>
      </c>
      <c r="G7" s="4" t="n">
        <f aca="false">Assumptions!G28</f>
        <v>45.5</v>
      </c>
      <c r="H7" s="4" t="n">
        <f aca="false">Assumptions!H28</f>
        <v>45</v>
      </c>
      <c r="I7" s="4" t="n">
        <f aca="false">Assumptions!I28</f>
        <v>44.9</v>
      </c>
      <c r="J7" s="4" t="n">
        <f aca="false">Assumptions!J28</f>
        <v>44.4</v>
      </c>
      <c r="K7" s="4" t="n">
        <f aca="false">Assumptions!K28</f>
        <v>44.3</v>
      </c>
      <c r="L7" s="4" t="n">
        <f aca="false">Assumptions!L28</f>
        <v>44.3</v>
      </c>
    </row>
    <row r="8" customFormat="false" ht="15" hidden="false" customHeight="false" outlineLevel="0" collapsed="false">
      <c r="A8" s="0" t="s">
        <v>43</v>
      </c>
      <c r="C8" s="0" t="n">
        <f aca="false">C6*C7/100</f>
        <v>4678.067777</v>
      </c>
      <c r="D8" s="0" t="n">
        <f aca="false">D6*D7/100</f>
        <v>4386.396688812</v>
      </c>
      <c r="E8" s="0" t="n">
        <f aca="false">E6*E7/100</f>
        <v>4231.0150366942</v>
      </c>
      <c r="F8" s="0" t="n">
        <f aca="false">F6*F7/100</f>
        <v>4060.23431114355</v>
      </c>
      <c r="G8" s="0" t="n">
        <f aca="false">G6*G7/100</f>
        <v>4206.21977441224</v>
      </c>
      <c r="H8" s="0" t="n">
        <f aca="false">H6*H7/100</f>
        <v>4455.35740720435</v>
      </c>
      <c r="I8" s="0" t="n">
        <f aca="false">I6*I7/100</f>
        <v>4694.40218329222</v>
      </c>
      <c r="J8" s="0" t="n">
        <f aca="false">J6*J7/100</f>
        <v>4795.31614737492</v>
      </c>
      <c r="K8" s="0" t="n">
        <f aca="false">K6*K7/100</f>
        <v>4889.77523526894</v>
      </c>
      <c r="L8" s="0" t="n">
        <f aca="false">L6*L7/100</f>
        <v>4997.35029044485</v>
      </c>
    </row>
    <row r="9" customFormat="false" ht="15" hidden="false" customHeight="false" outlineLevel="0" collapsed="false">
      <c r="A9" s="0" t="s">
        <v>103</v>
      </c>
      <c r="C9" s="4" t="n">
        <f aca="false">Assumptions!C29</f>
        <v>0.5</v>
      </c>
      <c r="D9" s="4" t="n">
        <f aca="false">Assumptions!D29</f>
        <v>0.5</v>
      </c>
      <c r="E9" s="4" t="n">
        <f aca="false">Assumptions!E29</f>
        <v>0.5</v>
      </c>
      <c r="F9" s="4" t="n">
        <f aca="false">Assumptions!F29</f>
        <v>0.5</v>
      </c>
      <c r="G9" s="4" t="n">
        <f aca="false">Assumptions!G29</f>
        <v>0.5</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118</v>
      </c>
      <c r="C10" s="0" t="n">
        <f aca="false">-C6*C9/100</f>
        <v>-42.918053</v>
      </c>
      <c r="D10" s="0" t="n">
        <f aca="false">-D6*D9/100</f>
        <v>-43.003889106</v>
      </c>
      <c r="E10" s="0" t="n">
        <f aca="false">-E6*E9/100</f>
        <v>-43.261912440636</v>
      </c>
      <c r="F10" s="0" t="n">
        <f aca="false">-F6*F9/100</f>
        <v>-43.5647458277204</v>
      </c>
      <c r="G10" s="0" t="n">
        <f aca="false">-G6*G9/100</f>
        <v>-46.2221953232114</v>
      </c>
      <c r="H10" s="0" t="n">
        <f aca="false">-H6*H9/100</f>
        <v>-49.5039711911594</v>
      </c>
      <c r="I10" s="0" t="n">
        <f aca="false">-I6*I9/100</f>
        <v>-52.2761935778643</v>
      </c>
      <c r="J10" s="0" t="n">
        <f aca="false">-J6*J9/100</f>
        <v>-54.0013079659338</v>
      </c>
      <c r="K10" s="0" t="n">
        <f aca="false">-K6*K9/100</f>
        <v>-55.1893367411844</v>
      </c>
      <c r="L10" s="0" t="n">
        <f aca="false">-L6*L9/100</f>
        <v>-56.4035021494904</v>
      </c>
    </row>
    <row r="11" customFormat="false" ht="15" hidden="false" customHeight="false" outlineLevel="0" collapsed="false">
      <c r="A11" s="0" t="s">
        <v>119</v>
      </c>
      <c r="C11" s="0" t="n">
        <f aca="false">C8+C10+C24</f>
        <v>4334.723353</v>
      </c>
      <c r="D11" s="0" t="n">
        <f aca="false">D8+D10+D24</f>
        <v>4042.365575964</v>
      </c>
      <c r="E11" s="0" t="n">
        <f aca="false">E8+E10+E24</f>
        <v>3893.57211965724</v>
      </c>
      <c r="F11" s="0" t="n">
        <f aca="false">F8+F10+F24</f>
        <v>3729.14224285287</v>
      </c>
      <c r="G11" s="0" t="n">
        <f aca="false">G8+G10+G24</f>
        <v>3864.17552902047</v>
      </c>
      <c r="H11" s="0" t="n">
        <f aca="false">H8+H10+H24</f>
        <v>4098.928814628</v>
      </c>
      <c r="I11" s="0" t="n">
        <f aca="false">I8+I10+I24</f>
        <v>4328.46882824717</v>
      </c>
      <c r="J11" s="0" t="n">
        <f aca="false">J8+J10+J24</f>
        <v>4417.30699161339</v>
      </c>
      <c r="K11" s="0" t="n">
        <f aca="false">K8+K10+K24</f>
        <v>4503.44987808065</v>
      </c>
      <c r="L11" s="0" t="n">
        <f aca="false">L8+L10+L24</f>
        <v>4602.52577539842</v>
      </c>
    </row>
    <row r="12" customFormat="false" ht="15" hidden="false" customHeight="false" outlineLevel="0" collapsed="false">
      <c r="A12" s="0" t="s">
        <v>120</v>
      </c>
      <c r="C12" s="4" t="n">
        <f aca="false">-C6*Assumptions!C31/100</f>
        <v>-1545.049908</v>
      </c>
      <c r="D12" s="4" t="n">
        <f aca="false">-D6*Assumptions!D31/100</f>
        <v>-1548.140007816</v>
      </c>
      <c r="E12" s="4" t="n">
        <f aca="false">-E6*Assumptions!E31/100</f>
        <v>-1557.4288478629</v>
      </c>
      <c r="F12" s="4" t="n">
        <f aca="false">-F6*Assumptions!F31/100</f>
        <v>-1655.46034145338</v>
      </c>
      <c r="G12" s="4" t="n">
        <f aca="false">-G6*Assumptions!G31/100</f>
        <v>-1756.44342228203</v>
      </c>
      <c r="H12" s="4" t="n">
        <f aca="false">-H6*Assumptions!H31/100</f>
        <v>-1881.15090526406</v>
      </c>
      <c r="I12" s="4" t="n">
        <f aca="false">-I6*Assumptions!I31/100</f>
        <v>-1986.49535595884</v>
      </c>
      <c r="J12" s="4" t="n">
        <f aca="false">-J6*Assumptions!J31/100</f>
        <v>-2052.04970270549</v>
      </c>
      <c r="K12" s="4" t="n">
        <f aca="false">-K6*Assumptions!K31/100</f>
        <v>-2097.19479616501</v>
      </c>
      <c r="L12" s="4" t="n">
        <f aca="false">-L6*Assumptions!L31/100</f>
        <v>-2143.33308168064</v>
      </c>
    </row>
    <row r="13" customFormat="false" ht="15" hidden="false" customHeight="false" outlineLevel="0" collapsed="false">
      <c r="A13" s="0" t="s">
        <v>121</v>
      </c>
      <c r="C13" s="0" t="n">
        <f aca="false">C11+C12</f>
        <v>2789.673445</v>
      </c>
      <c r="D13" s="0" t="n">
        <f aca="false">D11+D12</f>
        <v>2494.225568148</v>
      </c>
      <c r="E13" s="0" t="n">
        <f aca="false">E11+E12</f>
        <v>2336.14327179434</v>
      </c>
      <c r="F13" s="0" t="n">
        <f aca="false">F11+F12</f>
        <v>2073.68190139949</v>
      </c>
      <c r="G13" s="0" t="n">
        <f aca="false">G11+G12</f>
        <v>2107.73210673844</v>
      </c>
      <c r="H13" s="0" t="n">
        <f aca="false">H11+H12</f>
        <v>2217.77790936394</v>
      </c>
      <c r="I13" s="0" t="n">
        <f aca="false">I11+I12</f>
        <v>2341.97347228832</v>
      </c>
      <c r="J13" s="0" t="n">
        <f aca="false">J11+J12</f>
        <v>2365.2572889079</v>
      </c>
      <c r="K13" s="0" t="n">
        <f aca="false">K11+K12</f>
        <v>2406.25508191564</v>
      </c>
      <c r="L13" s="0" t="n">
        <f aca="false">L11+L12</f>
        <v>2459.19269371778</v>
      </c>
    </row>
    <row r="14" customFormat="false" ht="15" hidden="false" customHeight="false" outlineLevel="0" collapsed="false">
      <c r="A14" s="0" t="s">
        <v>107</v>
      </c>
      <c r="C14" s="4" t="n">
        <f aca="false">Assumptions!C33</f>
        <v>29</v>
      </c>
      <c r="D14" s="4" t="n">
        <f aca="false">Assumptions!D33</f>
        <v>29</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122</v>
      </c>
      <c r="C15" s="0" t="n">
        <f aca="false">C13-MAX(0,C13)*C14/100</f>
        <v>1980.66814595</v>
      </c>
      <c r="D15" s="0" t="n">
        <f aca="false">D13-MAX(0,D13)*D14/100</f>
        <v>1770.90015338508</v>
      </c>
      <c r="E15" s="0" t="n">
        <f aca="false">E13-MAX(0,E13)*E14/100</f>
        <v>1635.30029025604</v>
      </c>
      <c r="F15" s="0" t="n">
        <f aca="false">F13-MAX(0,F13)*F14/100</f>
        <v>1451.57733097965</v>
      </c>
      <c r="G15" s="0" t="n">
        <f aca="false">G13-MAX(0,G13)*G14/100</f>
        <v>1475.41247471691</v>
      </c>
      <c r="H15" s="0" t="n">
        <f aca="false">H13-MAX(0,H13)*H14/100</f>
        <v>1552.44453655476</v>
      </c>
      <c r="I15" s="0" t="n">
        <f aca="false">I13-MAX(0,I13)*I14/100</f>
        <v>1639.38143060183</v>
      </c>
      <c r="J15" s="0" t="n">
        <f aca="false">J13-MAX(0,J13)*J14/100</f>
        <v>1655.68010223553</v>
      </c>
      <c r="K15" s="0" t="n">
        <f aca="false">K13-MAX(0,K13)*K14/100</f>
        <v>1684.37855734095</v>
      </c>
      <c r="L15" s="0" t="n">
        <f aca="false">L13-MAX(0,L13)*L14/100</f>
        <v>1721.43488560245</v>
      </c>
    </row>
    <row r="16" customFormat="false" ht="15" hidden="false" customHeight="false" outlineLevel="0" collapsed="false">
      <c r="A16" s="0" t="s">
        <v>123</v>
      </c>
      <c r="C16" s="0" t="n">
        <f aca="false">-C12</f>
        <v>1545.049908</v>
      </c>
      <c r="D16" s="0" t="n">
        <f aca="false">-D12</f>
        <v>1548.140007816</v>
      </c>
      <c r="E16" s="0" t="n">
        <f aca="false">-E12</f>
        <v>1557.4288478629</v>
      </c>
      <c r="F16" s="0" t="n">
        <f aca="false">-F12</f>
        <v>1655.46034145338</v>
      </c>
      <c r="G16" s="0" t="n">
        <f aca="false">-G12</f>
        <v>1756.44342228203</v>
      </c>
      <c r="H16" s="0" t="n">
        <f aca="false">-H12</f>
        <v>1881.15090526406</v>
      </c>
      <c r="I16" s="0" t="n">
        <f aca="false">-I12</f>
        <v>1986.49535595884</v>
      </c>
      <c r="J16" s="0" t="n">
        <f aca="false">-J12</f>
        <v>2052.04970270549</v>
      </c>
      <c r="K16" s="0" t="n">
        <f aca="false">-K12</f>
        <v>2097.19479616501</v>
      </c>
      <c r="L16" s="0" t="n">
        <f aca="false">-L12</f>
        <v>2143.33308168064</v>
      </c>
    </row>
    <row r="17" customFormat="false" ht="15" hidden="false" customHeight="false" outlineLevel="0" collapsed="false">
      <c r="A17" s="0" t="s">
        <v>124</v>
      </c>
      <c r="C17" s="4" t="n">
        <f aca="false">-C6*Assumptions!C32/100</f>
        <v>-3004.26371</v>
      </c>
      <c r="D17" s="4" t="n">
        <f aca="false">-D6*Assumptions!D32/100</f>
        <v>-2838.256680996</v>
      </c>
      <c r="E17" s="4" t="n">
        <f aca="false">-E6*Assumptions!E32/100</f>
        <v>-2595.71474643816</v>
      </c>
      <c r="F17" s="4" t="n">
        <f aca="false">-F6*Assumptions!F32/100</f>
        <v>-2091.10779973058</v>
      </c>
      <c r="G17" s="4" t="n">
        <f aca="false">-G6*Assumptions!G32/100</f>
        <v>-1848.88781292846</v>
      </c>
      <c r="H17" s="4" t="n">
        <f aca="false">-H6*Assumptions!H32/100</f>
        <v>-1782.14296288174</v>
      </c>
      <c r="I17" s="4" t="n">
        <f aca="false">-I6*Assumptions!I32/100</f>
        <v>-1881.94296880312</v>
      </c>
      <c r="J17" s="4" t="n">
        <f aca="false">-J6*Assumptions!J32/100</f>
        <v>-1944.04708677362</v>
      </c>
      <c r="K17" s="4" t="n">
        <f aca="false">-K6*Assumptions!K32/100</f>
        <v>-1986.81612268264</v>
      </c>
      <c r="L17" s="4" t="n">
        <f aca="false">-L6*Assumptions!L32/100</f>
        <v>-2030.52607738166</v>
      </c>
    </row>
    <row r="18" customFormat="false" ht="15" hidden="false" customHeight="false" outlineLevel="0" collapsed="false">
      <c r="A18" s="0" t="s">
        <v>125</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126</v>
      </c>
      <c r="C19" s="0" t="n">
        <f aca="false">C15+C16+C17+C18</f>
        <v>521.45434395</v>
      </c>
      <c r="D19" s="0" t="n">
        <f aca="false">D15+D16+D17+D18</f>
        <v>480.783480205079</v>
      </c>
      <c r="E19" s="0" t="n">
        <f aca="false">E15+E16+E17+E18</f>
        <v>597.014391680777</v>
      </c>
      <c r="F19" s="0" t="n">
        <f aca="false">F15+F16+F17+F18</f>
        <v>1015.92987270244</v>
      </c>
      <c r="G19" s="0" t="n">
        <f aca="false">G15+G16+G17+G18</f>
        <v>1382.96808407048</v>
      </c>
      <c r="H19" s="0" t="n">
        <f aca="false">H15+H16+H17+H18</f>
        <v>1651.45247893708</v>
      </c>
      <c r="I19" s="0" t="n">
        <f aca="false">I15+I16+I17+I18</f>
        <v>1743.93381775755</v>
      </c>
      <c r="J19" s="0" t="n">
        <f aca="false">J15+J16+J17+J18</f>
        <v>1763.6827181674</v>
      </c>
      <c r="K19" s="0" t="n">
        <f aca="false">K15+K16+K17+K18</f>
        <v>1794.75723082332</v>
      </c>
      <c r="L19" s="0" t="n">
        <f aca="false">L15+L16+L17+L18</f>
        <v>1834.24188990143</v>
      </c>
    </row>
    <row r="20" customFormat="false" ht="15" hidden="false" customHeight="false" outlineLevel="0" collapsed="false">
      <c r="A20" s="0" t="s">
        <v>127</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128</v>
      </c>
      <c r="C21" s="0" t="n">
        <f aca="false">C19*C20</f>
        <v>478.398480688073</v>
      </c>
      <c r="D21" s="0" t="n">
        <f aca="false">D19*D20</f>
        <v>404.665836381684</v>
      </c>
      <c r="E21" s="0" t="n">
        <f aca="false">E19*E20</f>
        <v>461.004650614602</v>
      </c>
      <c r="F21" s="0" t="n">
        <f aca="false">F19*F20</f>
        <v>719.710334496665</v>
      </c>
      <c r="G21" s="0" t="n">
        <f aca="false">G19*G20</f>
        <v>898.834364086297</v>
      </c>
      <c r="H21" s="0" t="n">
        <f aca="false">H19*H20</f>
        <v>984.707155083866</v>
      </c>
      <c r="I21" s="0" t="n">
        <f aca="false">I19*I20</f>
        <v>953.991519053727</v>
      </c>
      <c r="J21" s="0" t="n">
        <f aca="false">J19*J20</f>
        <v>885.132884289827</v>
      </c>
      <c r="K21" s="0" t="n">
        <f aca="false">K19*K20</f>
        <v>826.356086558805</v>
      </c>
      <c r="L21" s="0" t="n">
        <f aca="false">L19*L20</f>
        <v>774.803596755136</v>
      </c>
    </row>
    <row r="23" customFormat="false" ht="15" hidden="false" customHeight="false" outlineLevel="0" collapsed="false">
      <c r="A23" s="0" t="s">
        <v>104</v>
      </c>
      <c r="C23" s="4" t="n">
        <f aca="false">Assumptions!C30</f>
        <v>3.5</v>
      </c>
      <c r="D23" s="4" t="n">
        <f aca="false">Assumptions!D30</f>
        <v>3.5</v>
      </c>
      <c r="E23" s="4" t="n">
        <f aca="false">Assumptions!E30</f>
        <v>3.4</v>
      </c>
      <c r="F23" s="4" t="n">
        <f aca="false">Assumptions!F30</f>
        <v>3.3</v>
      </c>
      <c r="G23" s="4" t="n">
        <f aca="false">Assumptions!G30</f>
        <v>3.2</v>
      </c>
      <c r="H23" s="4" t="n">
        <f aca="false">Assumptions!H30</f>
        <v>3.1</v>
      </c>
      <c r="I23" s="4" t="n">
        <f aca="false">Assumptions!I30</f>
        <v>3</v>
      </c>
      <c r="J23" s="4" t="n">
        <f aca="false">Assumptions!J30</f>
        <v>3</v>
      </c>
      <c r="K23" s="4" t="n">
        <f aca="false">Assumptions!K30</f>
        <v>3</v>
      </c>
      <c r="L23" s="4" t="n">
        <f aca="false">Assumptions!L30</f>
        <v>3</v>
      </c>
    </row>
    <row r="24" customFormat="false" ht="15" hidden="false" customHeight="false" outlineLevel="0" collapsed="false">
      <c r="A24" s="0" t="s">
        <v>129</v>
      </c>
      <c r="C24" s="0" t="n">
        <f aca="false">-C6*C23/100</f>
        <v>-300.426371</v>
      </c>
      <c r="D24" s="0" t="n">
        <f aca="false">-D6*D23/100</f>
        <v>-301.027223742</v>
      </c>
      <c r="E24" s="0" t="n">
        <f aca="false">-E6*E23/100</f>
        <v>-294.181004596325</v>
      </c>
      <c r="F24" s="0" t="n">
        <f aca="false">-F6*F23/100</f>
        <v>-287.527322462955</v>
      </c>
      <c r="G24" s="0" t="n">
        <f aca="false">-G6*G23/100</f>
        <v>-295.822050068553</v>
      </c>
      <c r="H24" s="0" t="n">
        <f aca="false">-H6*H23/100</f>
        <v>-306.924621385188</v>
      </c>
      <c r="I24" s="0" t="n">
        <f aca="false">-I6*I23/100</f>
        <v>-313.657161467186</v>
      </c>
      <c r="J24" s="0" t="n">
        <f aca="false">-J6*J23/100</f>
        <v>-324.007847795603</v>
      </c>
      <c r="K24" s="0" t="n">
        <f aca="false">-K6*K23/100</f>
        <v>-331.136020447106</v>
      </c>
      <c r="L24" s="0" t="n">
        <f aca="false">-L6*L23/100</f>
        <v>-338.421012896943</v>
      </c>
    </row>
    <row r="26" customFormat="false" ht="15" hidden="false" customHeight="false" outlineLevel="0" collapsed="false">
      <c r="A26" s="2" t="s">
        <v>130</v>
      </c>
    </row>
    <row r="27" customFormat="false" ht="15" hidden="false" customHeight="false" outlineLevel="0" collapsed="false">
      <c r="A27" s="0" t="s">
        <v>108</v>
      </c>
      <c r="B27" s="4" t="n">
        <f aca="false">Assumptions!$B$34</f>
        <v>9</v>
      </c>
    </row>
    <row r="28" customFormat="false" ht="15" hidden="false" customHeight="false" outlineLevel="0" collapsed="false">
      <c r="A28" s="0" t="s">
        <v>109</v>
      </c>
      <c r="B28" s="4" t="n">
        <f aca="false">Assumptions!$B$35</f>
        <v>2.5</v>
      </c>
    </row>
    <row r="29" customFormat="false" ht="15" hidden="false" customHeight="false" outlineLevel="0" collapsed="false">
      <c r="A29" s="0" t="s">
        <v>110</v>
      </c>
      <c r="B29" s="4" t="n">
        <f aca="false">Assumptions!$B$36</f>
        <v>12</v>
      </c>
    </row>
    <row r="30" customFormat="false" ht="15" hidden="false" customHeight="false" outlineLevel="0" collapsed="false">
      <c r="A30" s="0" t="s">
        <v>131</v>
      </c>
      <c r="B30" s="0" t="n">
        <f aca="false">SUM(C21:L21)</f>
        <v>7387.60490800868</v>
      </c>
    </row>
    <row r="31" customFormat="false" ht="15" hidden="false" customHeight="false" outlineLevel="0" collapsed="false">
      <c r="A31" s="0" t="s">
        <v>132</v>
      </c>
      <c r="B31" s="0" t="n">
        <f aca="false">L19</f>
        <v>1834.24188990143</v>
      </c>
    </row>
    <row r="32" customFormat="false" ht="15" hidden="false" customHeight="false" outlineLevel="0" collapsed="false">
      <c r="A32" s="0" t="s">
        <v>133</v>
      </c>
      <c r="B32" s="0" t="n">
        <f aca="false">IF(B27&gt;B28,B31*(1+B28/100)/((B27-B28)/100),B31*B29)</f>
        <v>28924.5836484456</v>
      </c>
    </row>
    <row r="33" customFormat="false" ht="15" hidden="false" customHeight="false" outlineLevel="0" collapsed="false">
      <c r="A33" s="0" t="s">
        <v>134</v>
      </c>
      <c r="B33" s="0" t="n">
        <f aca="false">B31*B29</f>
        <v>22010.9026788171</v>
      </c>
    </row>
    <row r="34" customFormat="false" ht="15" hidden="false" customHeight="false" outlineLevel="0" collapsed="false">
      <c r="A34" s="0" t="s">
        <v>135</v>
      </c>
      <c r="B34" s="0" t="n">
        <f aca="false">MAX(0,MIN(B32,B33))</f>
        <v>22010.9026788171</v>
      </c>
    </row>
    <row r="35" customFormat="false" ht="15" hidden="false" customHeight="false" outlineLevel="0" collapsed="false">
      <c r="A35" s="0" t="s">
        <v>136</v>
      </c>
      <c r="B35" s="0" t="n">
        <f aca="false">B34/(1+B27/100)^L4</f>
        <v>9297.64316106163</v>
      </c>
    </row>
    <row r="36" customFormat="false" ht="15" hidden="false" customHeight="false" outlineLevel="0" collapsed="false">
      <c r="A36" s="0" t="s">
        <v>137</v>
      </c>
      <c r="B36" s="0" t="n">
        <f aca="false">B30+B35</f>
        <v>16685.2480690703</v>
      </c>
    </row>
    <row r="37" customFormat="false" ht="15" hidden="false" customHeight="false" outlineLevel="0" collapsed="false">
      <c r="A37" s="0" t="s">
        <v>138</v>
      </c>
      <c r="B37" s="0" t="n">
        <f aca="false">B36+Assumptions!$B$5-Assumptions!$B$4</f>
        <v>16308.0480690703</v>
      </c>
    </row>
    <row r="38" customFormat="false" ht="15" hidden="false" customHeight="false" outlineLevel="0" collapsed="false">
      <c r="A38" s="0" t="s">
        <v>139</v>
      </c>
      <c r="B38" s="0" t="n">
        <f aca="false">B37/Assumptions!$B$3*Assumptions!$B$10</f>
        <v>11.3644934279236</v>
      </c>
    </row>
    <row r="39" customFormat="false" ht="15" hidden="false" customHeight="false" outlineLevel="0" collapsed="false">
      <c r="A39" s="0" t="s">
        <v>140</v>
      </c>
      <c r="B39" s="4" t="n">
        <f aca="false">B38/Assumptions!$B$2-1</f>
        <v>-0.489694951597505</v>
      </c>
    </row>
    <row r="41" customFormat="false" ht="15" hidden="false" customHeight="false" outlineLevel="0" collapsed="false">
      <c r="A41" s="0" t="s">
        <v>141</v>
      </c>
      <c r="B41" s="0" t="n">
        <f aca="false">SUMPRODUCT(-C10:L10/(1+$B$27/100)^C4:L4)</f>
        <v>304.331684287277</v>
      </c>
    </row>
    <row r="42" customFormat="false" ht="15" hidden="false" customHeight="false" outlineLevel="0" collapsed="false">
      <c r="A42" s="0" t="s">
        <v>142</v>
      </c>
      <c r="B42" s="0" t="n">
        <f aca="false">IF(B27&gt;B28,-L10*(1+B28/100)/((B27-B28)/100),-L10*20)/(1+B27/100)^L4</f>
        <v>375.709001170411</v>
      </c>
    </row>
    <row r="43" customFormat="false" ht="15" hidden="false" customHeight="false" outlineLevel="0" collapsed="false">
      <c r="A43" s="0" t="s">
        <v>143</v>
      </c>
      <c r="B43" s="0" t="n">
        <f aca="false">(B37+B41+B42)/Assumptions!$B$3*Assumptions!$B$10</f>
        <v>11.8383893759777</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15040.7834971917</v>
      </c>
    </row>
    <row r="47" customFormat="false" ht="15" hidden="false" customHeight="false" outlineLevel="0" collapsed="false">
      <c r="A47" s="0" t="s">
        <v>145</v>
      </c>
      <c r="B47" s="0" t="n">
        <f aca="false">(SUMPRODUCT(C19:L19/(1+B45/100)^C4:L4)+B46/(1+B45/100)^L4+Assumptions!$B$5-Assumptions!$B$4)/Assumptions!$B$3*Assumptions!$B$10</f>
        <v>6.0824574030257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21.7</v>
      </c>
      <c r="D5" s="4" t="n">
        <f aca="false">Assumptions!D41</f>
        <v>8.6</v>
      </c>
      <c r="E5" s="4" t="n">
        <f aca="false">Assumptions!E41</f>
        <v>7.1</v>
      </c>
      <c r="F5" s="4" t="n">
        <f aca="false">Assumptions!F41</f>
        <v>3.5</v>
      </c>
      <c r="G5" s="4" t="n">
        <f aca="false">Assumptions!G41</f>
        <v>9.3</v>
      </c>
      <c r="H5" s="4" t="n">
        <f aca="false">Assumptions!H41</f>
        <v>8.4</v>
      </c>
      <c r="I5" s="4" t="n">
        <f aca="false">Assumptions!I41</f>
        <v>3.9</v>
      </c>
      <c r="J5" s="4" t="n">
        <f aca="false">Assumptions!J41</f>
        <v>1.9</v>
      </c>
      <c r="K5" s="4" t="n">
        <f aca="false">Assumptions!K41</f>
        <v>1.8</v>
      </c>
      <c r="L5" s="4" t="n">
        <f aca="false">Assumptions!L41</f>
        <v>1.8</v>
      </c>
    </row>
    <row r="6" customFormat="false" ht="15" hidden="false" customHeight="false" outlineLevel="0" collapsed="false">
      <c r="A6" s="0" t="s">
        <v>37</v>
      </c>
      <c r="B6" s="3" t="n">
        <v>7623.1</v>
      </c>
      <c r="C6" s="0" t="n">
        <f aca="false">B6*(1+C5/100)</f>
        <v>9277.3127</v>
      </c>
      <c r="D6" s="0" t="n">
        <f aca="false">C6*(1+D5/100)</f>
        <v>10075.1615922</v>
      </c>
      <c r="E6" s="0" t="n">
        <f aca="false">D6*(1+E5/100)</f>
        <v>10790.4980652462</v>
      </c>
      <c r="F6" s="0" t="n">
        <f aca="false">E6*(1+F5/100)</f>
        <v>11168.1654975298</v>
      </c>
      <c r="G6" s="0" t="n">
        <f aca="false">F6*(1+G5/100)</f>
        <v>12206.8048888001</v>
      </c>
      <c r="H6" s="0" t="n">
        <f aca="false">G6*(1+H5/100)</f>
        <v>13232.1764994593</v>
      </c>
      <c r="I6" s="0" t="n">
        <f aca="false">H6*(1+I5/100)</f>
        <v>13748.2313829382</v>
      </c>
      <c r="J6" s="0" t="n">
        <f aca="false">I6*(1+J5/100)</f>
        <v>14009.447779214</v>
      </c>
      <c r="K6" s="0" t="n">
        <f aca="false">J6*(1+K5/100)</f>
        <v>14261.6178392399</v>
      </c>
      <c r="L6" s="0" t="n">
        <f aca="false">K6*(1+L5/100)</f>
        <v>14518.3269603462</v>
      </c>
    </row>
    <row r="7" customFormat="false" ht="15" hidden="false" customHeight="false" outlineLevel="0" collapsed="false">
      <c r="A7" s="0" t="s">
        <v>102</v>
      </c>
      <c r="C7" s="4" t="n">
        <f aca="false">Assumptions!C42</f>
        <v>57.8</v>
      </c>
      <c r="D7" s="4" t="n">
        <f aca="false">Assumptions!D42</f>
        <v>58</v>
      </c>
      <c r="E7" s="4" t="n">
        <f aca="false">Assumptions!E42</f>
        <v>58.3</v>
      </c>
      <c r="F7" s="4" t="n">
        <f aca="false">Assumptions!F42</f>
        <v>56.7</v>
      </c>
      <c r="G7" s="4" t="n">
        <f aca="false">Assumptions!G42</f>
        <v>55.8</v>
      </c>
      <c r="H7" s="4" t="n">
        <f aca="false">Assumptions!H42</f>
        <v>55.7</v>
      </c>
      <c r="I7" s="4" t="n">
        <f aca="false">Assumptions!I42</f>
        <v>55.6</v>
      </c>
      <c r="J7" s="4" t="n">
        <f aca="false">Assumptions!J42</f>
        <v>55.5</v>
      </c>
      <c r="K7" s="4" t="n">
        <f aca="false">Assumptions!K42</f>
        <v>55.4</v>
      </c>
      <c r="L7" s="4" t="n">
        <f aca="false">Assumptions!L42</f>
        <v>55.3</v>
      </c>
    </row>
    <row r="8" customFormat="false" ht="15" hidden="false" customHeight="false" outlineLevel="0" collapsed="false">
      <c r="A8" s="0" t="s">
        <v>43</v>
      </c>
      <c r="C8" s="0" t="n">
        <f aca="false">C6*C7/100</f>
        <v>5362.2867406</v>
      </c>
      <c r="D8" s="0" t="n">
        <f aca="false">D6*D7/100</f>
        <v>5843.593723476</v>
      </c>
      <c r="E8" s="0" t="n">
        <f aca="false">E6*E7/100</f>
        <v>6290.86037203853</v>
      </c>
      <c r="F8" s="0" t="n">
        <f aca="false">F6*F7/100</f>
        <v>6332.34983709941</v>
      </c>
      <c r="G8" s="0" t="n">
        <f aca="false">G6*G7/100</f>
        <v>6811.39712795045</v>
      </c>
      <c r="H8" s="0" t="n">
        <f aca="false">H6*H7/100</f>
        <v>7370.32231019883</v>
      </c>
      <c r="I8" s="0" t="n">
        <f aca="false">I6*I7/100</f>
        <v>7644.01664891365</v>
      </c>
      <c r="J8" s="0" t="n">
        <f aca="false">J6*J7/100</f>
        <v>7775.24351746379</v>
      </c>
      <c r="K8" s="0" t="n">
        <f aca="false">K6*K7/100</f>
        <v>7900.9362829389</v>
      </c>
      <c r="L8" s="0" t="n">
        <f aca="false">L6*L7/100</f>
        <v>8028.63480907145</v>
      </c>
    </row>
    <row r="9" customFormat="false" ht="15" hidden="false" customHeight="false" outlineLevel="0" collapsed="false">
      <c r="A9" s="0" t="s">
        <v>103</v>
      </c>
      <c r="C9" s="4" t="n">
        <f aca="false">Assumptions!C43</f>
        <v>0.5</v>
      </c>
      <c r="D9" s="4" t="n">
        <f aca="false">Assumptions!D43</f>
        <v>0.5</v>
      </c>
      <c r="E9" s="4" t="n">
        <f aca="false">Assumptions!E43</f>
        <v>0.5</v>
      </c>
      <c r="F9" s="4" t="n">
        <f aca="false">Assumptions!F43</f>
        <v>0.5</v>
      </c>
      <c r="G9" s="4" t="n">
        <f aca="false">Assumptions!G43</f>
        <v>0.5</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118</v>
      </c>
      <c r="C10" s="0" t="n">
        <f aca="false">-C6*C9/100</f>
        <v>-46.3865635</v>
      </c>
      <c r="D10" s="0" t="n">
        <f aca="false">-D6*D9/100</f>
        <v>-50.375807961</v>
      </c>
      <c r="E10" s="0" t="n">
        <f aca="false">-E6*E9/100</f>
        <v>-53.952490326231</v>
      </c>
      <c r="F10" s="0" t="n">
        <f aca="false">-F6*F9/100</f>
        <v>-55.8408274876491</v>
      </c>
      <c r="G10" s="0" t="n">
        <f aca="false">-G6*G9/100</f>
        <v>-61.0340244440005</v>
      </c>
      <c r="H10" s="0" t="n">
        <f aca="false">-H6*H9/100</f>
        <v>-66.1608824972965</v>
      </c>
      <c r="I10" s="0" t="n">
        <f aca="false">-I6*I9/100</f>
        <v>-68.7411569146911</v>
      </c>
      <c r="J10" s="0" t="n">
        <f aca="false">-J6*J9/100</f>
        <v>-70.0472388960702</v>
      </c>
      <c r="K10" s="0" t="n">
        <f aca="false">-K6*K9/100</f>
        <v>-71.3080891961995</v>
      </c>
      <c r="L10" s="0" t="n">
        <f aca="false">-L6*L9/100</f>
        <v>-72.5916348017311</v>
      </c>
    </row>
    <row r="11" customFormat="false" ht="15" hidden="false" customHeight="false" outlineLevel="0" collapsed="false">
      <c r="A11" s="0" t="s">
        <v>119</v>
      </c>
      <c r="C11" s="0" t="n">
        <f aca="false">C8+C10+C24</f>
        <v>4991.1942326</v>
      </c>
      <c r="D11" s="0" t="n">
        <f aca="false">D8+D10+D24</f>
        <v>5450.6624213802</v>
      </c>
      <c r="E11" s="0" t="n">
        <f aca="false">E8+E10+E24</f>
        <v>5880.82144555918</v>
      </c>
      <c r="F11" s="0" t="n">
        <f aca="false">F8+F10+F24</f>
        <v>5919.12771369081</v>
      </c>
      <c r="G11" s="0" t="n">
        <f aca="false">G8+G10+G24</f>
        <v>6371.95215195365</v>
      </c>
      <c r="H11" s="0" t="n">
        <f aca="false">H8+H10+H24</f>
        <v>6907.19613271776</v>
      </c>
      <c r="I11" s="0" t="n">
        <f aca="false">I8+I10+I24</f>
        <v>7162.82855051081</v>
      </c>
      <c r="J11" s="0" t="n">
        <f aca="false">J8+J10+J24</f>
        <v>7284.9128451913</v>
      </c>
      <c r="K11" s="0" t="n">
        <f aca="false">K8+K10+K24</f>
        <v>7401.7796585655</v>
      </c>
      <c r="L11" s="0" t="n">
        <f aca="false">L8+L10+L24</f>
        <v>7520.49336545934</v>
      </c>
    </row>
    <row r="12" customFormat="false" ht="15" hidden="false" customHeight="false" outlineLevel="0" collapsed="false">
      <c r="A12" s="0" t="s">
        <v>120</v>
      </c>
      <c r="C12" s="4" t="n">
        <f aca="false">-C6*Assumptions!C45/100</f>
        <v>-1669.916286</v>
      </c>
      <c r="D12" s="4" t="n">
        <f aca="false">-D6*Assumptions!D45/100</f>
        <v>-1813.529086596</v>
      </c>
      <c r="E12" s="4" t="n">
        <f aca="false">-E6*Assumptions!E45/100</f>
        <v>-1942.28965174432</v>
      </c>
      <c r="F12" s="4" t="n">
        <f aca="false">-F6*Assumptions!F45/100</f>
        <v>-2121.95144453067</v>
      </c>
      <c r="G12" s="4" t="n">
        <f aca="false">-G6*Assumptions!G45/100</f>
        <v>-2319.29292887202</v>
      </c>
      <c r="H12" s="4" t="n">
        <f aca="false">-H6*Assumptions!H45/100</f>
        <v>-2514.11353489727</v>
      </c>
      <c r="I12" s="4" t="n">
        <f aca="false">-I6*Assumptions!I45/100</f>
        <v>-2612.16396275826</v>
      </c>
      <c r="J12" s="4" t="n">
        <f aca="false">-J6*Assumptions!J45/100</f>
        <v>-2661.79507805067</v>
      </c>
      <c r="K12" s="4" t="n">
        <f aca="false">-K6*Assumptions!K45/100</f>
        <v>-2709.70738945558</v>
      </c>
      <c r="L12" s="4" t="n">
        <f aca="false">-L6*Assumptions!L45/100</f>
        <v>-2758.48212246578</v>
      </c>
    </row>
    <row r="13" customFormat="false" ht="15" hidden="false" customHeight="false" outlineLevel="0" collapsed="false">
      <c r="A13" s="0" t="s">
        <v>121</v>
      </c>
      <c r="C13" s="0" t="n">
        <f aca="false">C11+C12</f>
        <v>3321.2779466</v>
      </c>
      <c r="D13" s="0" t="n">
        <f aca="false">D11+D12</f>
        <v>3637.1333347842</v>
      </c>
      <c r="E13" s="0" t="n">
        <f aca="false">E11+E12</f>
        <v>3938.53179381486</v>
      </c>
      <c r="F13" s="0" t="n">
        <f aca="false">F11+F12</f>
        <v>3797.17626916014</v>
      </c>
      <c r="G13" s="0" t="n">
        <f aca="false">G11+G12</f>
        <v>4052.65922308163</v>
      </c>
      <c r="H13" s="0" t="n">
        <f aca="false">H11+H12</f>
        <v>4393.08259782049</v>
      </c>
      <c r="I13" s="0" t="n">
        <f aca="false">I11+I12</f>
        <v>4550.66458775255</v>
      </c>
      <c r="J13" s="0" t="n">
        <f aca="false">J11+J12</f>
        <v>4623.11776714063</v>
      </c>
      <c r="K13" s="0" t="n">
        <f aca="false">K11+K12</f>
        <v>4692.07226910992</v>
      </c>
      <c r="L13" s="0" t="n">
        <f aca="false">L11+L12</f>
        <v>4762.01124299356</v>
      </c>
    </row>
    <row r="14" customFormat="false" ht="15" hidden="false" customHeight="false" outlineLevel="0" collapsed="false">
      <c r="A14" s="0" t="s">
        <v>107</v>
      </c>
      <c r="C14" s="4" t="n">
        <f aca="false">Assumptions!C47</f>
        <v>29</v>
      </c>
      <c r="D14" s="4" t="n">
        <f aca="false">Assumptions!D47</f>
        <v>29</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122</v>
      </c>
      <c r="C15" s="0" t="n">
        <f aca="false">C13-MAX(0,C13)*C14/100</f>
        <v>2358.107342086</v>
      </c>
      <c r="D15" s="0" t="n">
        <f aca="false">D13-MAX(0,D13)*D14/100</f>
        <v>2582.36466769678</v>
      </c>
      <c r="E15" s="0" t="n">
        <f aca="false">E13-MAX(0,E13)*E14/100</f>
        <v>2756.9722556704</v>
      </c>
      <c r="F15" s="0" t="n">
        <f aca="false">F13-MAX(0,F13)*F14/100</f>
        <v>2658.0233884121</v>
      </c>
      <c r="G15" s="0" t="n">
        <f aca="false">G13-MAX(0,G13)*G14/100</f>
        <v>2836.86145615714</v>
      </c>
      <c r="H15" s="0" t="n">
        <f aca="false">H13-MAX(0,H13)*H14/100</f>
        <v>3075.15781847434</v>
      </c>
      <c r="I15" s="0" t="n">
        <f aca="false">I13-MAX(0,I13)*I14/100</f>
        <v>3185.46521142678</v>
      </c>
      <c r="J15" s="0" t="n">
        <f aca="false">J13-MAX(0,J13)*J14/100</f>
        <v>3236.18243699844</v>
      </c>
      <c r="K15" s="0" t="n">
        <f aca="false">K13-MAX(0,K13)*K14/100</f>
        <v>3284.45058837695</v>
      </c>
      <c r="L15" s="0" t="n">
        <f aca="false">L13-MAX(0,L13)*L14/100</f>
        <v>3333.40787009549</v>
      </c>
    </row>
    <row r="16" customFormat="false" ht="15" hidden="false" customHeight="false" outlineLevel="0" collapsed="false">
      <c r="A16" s="0" t="s">
        <v>123</v>
      </c>
      <c r="C16" s="0" t="n">
        <f aca="false">-C12</f>
        <v>1669.916286</v>
      </c>
      <c r="D16" s="0" t="n">
        <f aca="false">-D12</f>
        <v>1813.529086596</v>
      </c>
      <c r="E16" s="0" t="n">
        <f aca="false">-E12</f>
        <v>1942.28965174432</v>
      </c>
      <c r="F16" s="0" t="n">
        <f aca="false">-F12</f>
        <v>2121.95144453067</v>
      </c>
      <c r="G16" s="0" t="n">
        <f aca="false">-G12</f>
        <v>2319.29292887202</v>
      </c>
      <c r="H16" s="0" t="n">
        <f aca="false">-H12</f>
        <v>2514.11353489727</v>
      </c>
      <c r="I16" s="0" t="n">
        <f aca="false">-I12</f>
        <v>2612.16396275826</v>
      </c>
      <c r="J16" s="0" t="n">
        <f aca="false">-J12</f>
        <v>2661.79507805067</v>
      </c>
      <c r="K16" s="0" t="n">
        <f aca="false">-K12</f>
        <v>2709.70738945558</v>
      </c>
      <c r="L16" s="0" t="n">
        <f aca="false">-L12</f>
        <v>2758.48212246578</v>
      </c>
    </row>
    <row r="17" customFormat="false" ht="15" hidden="false" customHeight="false" outlineLevel="0" collapsed="false">
      <c r="A17" s="0" t="s">
        <v>124</v>
      </c>
      <c r="C17" s="4" t="n">
        <f aca="false">-C6*Assumptions!C46/100</f>
        <v>-3154.286318</v>
      </c>
      <c r="D17" s="4" t="n">
        <f aca="false">-D6*Assumptions!D46/100</f>
        <v>-3224.051709504</v>
      </c>
      <c r="E17" s="4" t="n">
        <f aca="false">-E6*Assumptions!E46/100</f>
        <v>-3129.2444389214</v>
      </c>
      <c r="F17" s="4" t="n">
        <f aca="false">-F6*Assumptions!F46/100</f>
        <v>-2568.67806443186</v>
      </c>
      <c r="G17" s="4" t="n">
        <f aca="false">-G6*Assumptions!G46/100</f>
        <v>-2319.29292887202</v>
      </c>
      <c r="H17" s="4" t="n">
        <f aca="false">-H6*Assumptions!H46/100</f>
        <v>-2249.47000490808</v>
      </c>
      <c r="I17" s="4" t="n">
        <f aca="false">-I6*Assumptions!I46/100</f>
        <v>-2337.1993350995</v>
      </c>
      <c r="J17" s="4" t="n">
        <f aca="false">-J6*Assumptions!J46/100</f>
        <v>-2381.60612246639</v>
      </c>
      <c r="K17" s="4" t="n">
        <f aca="false">-K6*Assumptions!K46/100</f>
        <v>-2424.47503267078</v>
      </c>
      <c r="L17" s="4" t="n">
        <f aca="false">-L6*Assumptions!L46/100</f>
        <v>-2468.11558325886</v>
      </c>
    </row>
    <row r="18" customFormat="false" ht="15" hidden="false" customHeight="false" outlineLevel="0" collapsed="false">
      <c r="A18" s="0" t="s">
        <v>125</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126</v>
      </c>
      <c r="C19" s="0" t="n">
        <f aca="false">C15+C16+C17+C18</f>
        <v>873.737310085999</v>
      </c>
      <c r="D19" s="0" t="n">
        <f aca="false">D15+D16+D17+D18</f>
        <v>1171.84204478878</v>
      </c>
      <c r="E19" s="0" t="n">
        <f aca="false">E15+E16+E17+E18</f>
        <v>1570.01746849332</v>
      </c>
      <c r="F19" s="0" t="n">
        <f aca="false">F15+F16+F17+F18</f>
        <v>2211.2967685109</v>
      </c>
      <c r="G19" s="0" t="n">
        <f aca="false">G15+G16+G17+G18</f>
        <v>2836.86145615714</v>
      </c>
      <c r="H19" s="0" t="n">
        <f aca="false">H15+H16+H17+H18</f>
        <v>3339.80134846353</v>
      </c>
      <c r="I19" s="0" t="n">
        <f aca="false">I15+I16+I17+I18</f>
        <v>3460.42983908555</v>
      </c>
      <c r="J19" s="0" t="n">
        <f aca="false">J15+J16+J17+J18</f>
        <v>3516.37139258272</v>
      </c>
      <c r="K19" s="0" t="n">
        <f aca="false">K15+K16+K17+K18</f>
        <v>3569.68294516174</v>
      </c>
      <c r="L19" s="0" t="n">
        <f aca="false">L15+L16+L17+L18</f>
        <v>3623.77440930241</v>
      </c>
    </row>
    <row r="20" customFormat="false" ht="15" hidden="false" customHeight="false" outlineLevel="0" collapsed="false">
      <c r="A20" s="0" t="s">
        <v>127</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128</v>
      </c>
      <c r="C21" s="0" t="n">
        <f aca="false">C19*C20</f>
        <v>801.593862464219</v>
      </c>
      <c r="D21" s="0" t="n">
        <f aca="false">D19*D20</f>
        <v>986.316004367294</v>
      </c>
      <c r="E21" s="0" t="n">
        <f aca="false">E19*E20</f>
        <v>1212.34155257784</v>
      </c>
      <c r="F21" s="0" t="n">
        <f aca="false">F19*F20</f>
        <v>1566.53837996012</v>
      </c>
      <c r="G21" s="0" t="n">
        <f aca="false">G19*G20</f>
        <v>1843.76529893655</v>
      </c>
      <c r="H21" s="0" t="n">
        <f aca="false">H19*H20</f>
        <v>1991.41442235595</v>
      </c>
      <c r="I21" s="0" t="n">
        <f aca="false">I19*I20</f>
        <v>1892.97362385744</v>
      </c>
      <c r="J21" s="0" t="n">
        <f aca="false">J19*J20</f>
        <v>1764.74822874324</v>
      </c>
      <c r="K21" s="0" t="n">
        <f aca="false">K19*K20</f>
        <v>1643.58119201803</v>
      </c>
      <c r="L21" s="0" t="n">
        <f aca="false">L19*L20</f>
        <v>1530.72147224138</v>
      </c>
    </row>
    <row r="23" customFormat="false" ht="15" hidden="false" customHeight="false" outlineLevel="0" collapsed="false">
      <c r="A23" s="0" t="s">
        <v>104</v>
      </c>
      <c r="C23" s="4" t="n">
        <f aca="false">Assumptions!C44</f>
        <v>3.5</v>
      </c>
      <c r="D23" s="4" t="n">
        <f aca="false">Assumptions!D44</f>
        <v>3.4</v>
      </c>
      <c r="E23" s="4" t="n">
        <f aca="false">Assumptions!E44</f>
        <v>3.3</v>
      </c>
      <c r="F23" s="4" t="n">
        <f aca="false">Assumptions!F44</f>
        <v>3.2</v>
      </c>
      <c r="G23" s="4" t="n">
        <f aca="false">Assumptions!G44</f>
        <v>3.1</v>
      </c>
      <c r="H23" s="4" t="n">
        <f aca="false">Assumptions!H44</f>
        <v>3</v>
      </c>
      <c r="I23" s="4" t="n">
        <f aca="false">Assumptions!I44</f>
        <v>3</v>
      </c>
      <c r="J23" s="4" t="n">
        <f aca="false">Assumptions!J44</f>
        <v>3</v>
      </c>
      <c r="K23" s="4" t="n">
        <f aca="false">Assumptions!K44</f>
        <v>3</v>
      </c>
      <c r="L23" s="4" t="n">
        <f aca="false">Assumptions!L44</f>
        <v>3</v>
      </c>
    </row>
    <row r="24" customFormat="false" ht="15" hidden="false" customHeight="false" outlineLevel="0" collapsed="false">
      <c r="A24" s="0" t="s">
        <v>129</v>
      </c>
      <c r="C24" s="0" t="n">
        <f aca="false">-C6*C23/100</f>
        <v>-324.7059445</v>
      </c>
      <c r="D24" s="0" t="n">
        <f aca="false">-D6*D23/100</f>
        <v>-342.5554941348</v>
      </c>
      <c r="E24" s="0" t="n">
        <f aca="false">-E6*E23/100</f>
        <v>-356.086436153125</v>
      </c>
      <c r="F24" s="0" t="n">
        <f aca="false">-F6*F23/100</f>
        <v>-357.381295920954</v>
      </c>
      <c r="G24" s="0" t="n">
        <f aca="false">-G6*G23/100</f>
        <v>-378.410951552803</v>
      </c>
      <c r="H24" s="0" t="n">
        <f aca="false">-H6*H23/100</f>
        <v>-396.965294983779</v>
      </c>
      <c r="I24" s="0" t="n">
        <f aca="false">-I6*I23/100</f>
        <v>-412.446941488146</v>
      </c>
      <c r="J24" s="0" t="n">
        <f aca="false">-J6*J23/100</f>
        <v>-420.283433376421</v>
      </c>
      <c r="K24" s="0" t="n">
        <f aca="false">-K6*K23/100</f>
        <v>-427.848535177197</v>
      </c>
      <c r="L24" s="0" t="n">
        <f aca="false">-L6*L23/100</f>
        <v>-435.549808810386</v>
      </c>
    </row>
    <row r="26" customFormat="false" ht="15" hidden="false" customHeight="false" outlineLevel="0" collapsed="false">
      <c r="A26" s="2" t="s">
        <v>130</v>
      </c>
    </row>
    <row r="27" customFormat="false" ht="15" hidden="false" customHeight="false" outlineLevel="0" collapsed="false">
      <c r="A27" s="0" t="s">
        <v>108</v>
      </c>
      <c r="B27" s="4" t="n">
        <f aca="false">Assumptions!$B$48</f>
        <v>9</v>
      </c>
    </row>
    <row r="28" customFormat="false" ht="15" hidden="false" customHeight="false" outlineLevel="0" collapsed="false">
      <c r="A28" s="0" t="s">
        <v>109</v>
      </c>
      <c r="B28" s="4" t="n">
        <f aca="false">Assumptions!$B$49</f>
        <v>3</v>
      </c>
    </row>
    <row r="29" customFormat="false" ht="15" hidden="false" customHeight="false" outlineLevel="0" collapsed="false">
      <c r="A29" s="0" t="s">
        <v>110</v>
      </c>
      <c r="B29" s="4" t="n">
        <f aca="false">Assumptions!$B$50</f>
        <v>12</v>
      </c>
    </row>
    <row r="30" customFormat="false" ht="15" hidden="false" customHeight="false" outlineLevel="0" collapsed="false">
      <c r="A30" s="0" t="s">
        <v>131</v>
      </c>
      <c r="B30" s="0" t="n">
        <f aca="false">SUM(C21:L21)</f>
        <v>15233.9940375221</v>
      </c>
    </row>
    <row r="31" customFormat="false" ht="15" hidden="false" customHeight="false" outlineLevel="0" collapsed="false">
      <c r="A31" s="0" t="s">
        <v>132</v>
      </c>
      <c r="B31" s="0" t="n">
        <f aca="false">L19</f>
        <v>3623.77440930241</v>
      </c>
    </row>
    <row r="32" customFormat="false" ht="15" hidden="false" customHeight="false" outlineLevel="0" collapsed="false">
      <c r="A32" s="0" t="s">
        <v>133</v>
      </c>
      <c r="B32" s="0" t="n">
        <f aca="false">IF(B27&gt;B28,B31*(1+B28/100)/((B27-B28)/100),B31*B29)</f>
        <v>62208.1273596914</v>
      </c>
    </row>
    <row r="33" customFormat="false" ht="15" hidden="false" customHeight="false" outlineLevel="0" collapsed="false">
      <c r="A33" s="0" t="s">
        <v>134</v>
      </c>
      <c r="B33" s="0" t="n">
        <f aca="false">B31*B29</f>
        <v>43485.292911629</v>
      </c>
    </row>
    <row r="34" customFormat="false" ht="15" hidden="false" customHeight="false" outlineLevel="0" collapsed="false">
      <c r="A34" s="0" t="s">
        <v>135</v>
      </c>
      <c r="B34" s="0" t="n">
        <f aca="false">MAX(0,MIN(B32,B33))</f>
        <v>43485.292911629</v>
      </c>
    </row>
    <row r="35" customFormat="false" ht="15" hidden="false" customHeight="false" outlineLevel="0" collapsed="false">
      <c r="A35" s="0" t="s">
        <v>136</v>
      </c>
      <c r="B35" s="0" t="n">
        <f aca="false">B34/(1+B27/100)^L4</f>
        <v>18368.6576668966</v>
      </c>
    </row>
    <row r="36" customFormat="false" ht="15" hidden="false" customHeight="false" outlineLevel="0" collapsed="false">
      <c r="A36" s="0" t="s">
        <v>137</v>
      </c>
      <c r="B36" s="0" t="n">
        <f aca="false">B30+B35</f>
        <v>33602.6517044186</v>
      </c>
    </row>
    <row r="37" customFormat="false" ht="15" hidden="false" customHeight="false" outlineLevel="0" collapsed="false">
      <c r="A37" s="0" t="s">
        <v>138</v>
      </c>
      <c r="B37" s="0" t="n">
        <f aca="false">B36+Assumptions!$B$5-Assumptions!$B$4</f>
        <v>33225.4517044186</v>
      </c>
    </row>
    <row r="38" customFormat="false" ht="15" hidden="false" customHeight="false" outlineLevel="0" collapsed="false">
      <c r="A38" s="0" t="s">
        <v>139</v>
      </c>
      <c r="B38" s="0" t="n">
        <f aca="false">B37/Assumptions!$B$3*Assumptions!$B$10</f>
        <v>23.153624881128</v>
      </c>
    </row>
    <row r="39" customFormat="false" ht="15" hidden="false" customHeight="false" outlineLevel="0" collapsed="false">
      <c r="A39" s="0" t="s">
        <v>140</v>
      </c>
      <c r="B39" s="4" t="n">
        <f aca="false">B38/Assumptions!$B$2-1</f>
        <v>0.0396778123541974</v>
      </c>
    </row>
    <row r="41" customFormat="false" ht="15" hidden="false" customHeight="false" outlineLevel="0" collapsed="false">
      <c r="A41" s="0" t="s">
        <v>141</v>
      </c>
      <c r="B41" s="0" t="n">
        <f aca="false">SUMPRODUCT(-C10:L10/(1+$B$27/100)^C4:L4)</f>
        <v>381.548392635831</v>
      </c>
    </row>
    <row r="42" customFormat="false" ht="15" hidden="false" customHeight="false" outlineLevel="0" collapsed="false">
      <c r="A42" s="0" t="s">
        <v>142</v>
      </c>
      <c r="B42" s="0" t="n">
        <f aca="false">IF(B27&gt;B28,-L10*(1+B28/100)/((B27-B28)/100),-L10*20)/(1+B27/100)^L4</f>
        <v>526.389929356511</v>
      </c>
    </row>
    <row r="43" customFormat="false" ht="15" hidden="false" customHeight="false" outlineLevel="0" collapsed="false">
      <c r="A43" s="0" t="s">
        <v>143</v>
      </c>
      <c r="B43" s="0" t="n">
        <f aca="false">(B37+B41+B42)/Assumptions!$B$3*Assumptions!$B$10</f>
        <v>23.7863345131784</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31104.0636798457</v>
      </c>
    </row>
    <row r="47" customFormat="false" ht="15" hidden="false" customHeight="false" outlineLevel="0" collapsed="false">
      <c r="A47" s="0" t="s">
        <v>145</v>
      </c>
      <c r="B47" s="0" t="n">
        <f aca="false">(SUMPRODUCT(C19:L19/(1+B45/100)^C4:L4)+B46/(1+B45/100)^L4+Assumptions!$B$5-Assumptions!$B$4)/Assumptions!$B$3*Assumptions!$B$10</f>
        <v>12.8703270579975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4.47556946307422</v>
      </c>
      <c r="C4" s="0" t="n">
        <f aca="false">B4/Assumptions!$B$2-1</f>
        <v>-0.79903145653012</v>
      </c>
      <c r="D4" s="4" t="n">
        <f aca="false">Assumptions!$B$24</f>
        <v>0.3</v>
      </c>
      <c r="E4" s="4" t="n">
        <f aca="false">DCF_Bear!$B$43</f>
        <v>4.80561092600632</v>
      </c>
      <c r="F4" s="4" t="n">
        <f aca="false">DCF_Bear!$B$47</f>
        <v>2.21548522413426</v>
      </c>
    </row>
    <row r="5" customFormat="false" ht="15" hidden="false" customHeight="false" outlineLevel="0" collapsed="false">
      <c r="A5" s="0" t="s">
        <v>154</v>
      </c>
      <c r="B5" s="4" t="n">
        <f aca="false">DCF_Base!$B$38</f>
        <v>11.3644934279236</v>
      </c>
      <c r="C5" s="0" t="n">
        <f aca="false">B5/Assumptions!$B$2-1</f>
        <v>-0.489694951597505</v>
      </c>
      <c r="D5" s="4" t="n">
        <f aca="false">Assumptions!$B$38</f>
        <v>0.45</v>
      </c>
      <c r="E5" s="4" t="n">
        <f aca="false">DCF_Base!$B$43</f>
        <v>11.8383893759777</v>
      </c>
      <c r="F5" s="4" t="n">
        <f aca="false">DCF_Base!$B$47</f>
        <v>6.0824574030257</v>
      </c>
    </row>
    <row r="6" customFormat="false" ht="15" hidden="false" customHeight="false" outlineLevel="0" collapsed="false">
      <c r="A6" s="0" t="s">
        <v>155</v>
      </c>
      <c r="B6" s="4" t="n">
        <f aca="false">DCF_Bull!$B$38</f>
        <v>23.153624881128</v>
      </c>
      <c r="C6" s="0" t="n">
        <f aca="false">B6/Assumptions!$B$2-1</f>
        <v>0.0396778123541974</v>
      </c>
      <c r="D6" s="4" t="n">
        <f aca="false">Assumptions!$B$52</f>
        <v>0.25</v>
      </c>
      <c r="E6" s="4" t="n">
        <f aca="false">DCF_Bull!$B$43</f>
        <v>23.7863345131784</v>
      </c>
      <c r="F6" s="4" t="n">
        <f aca="false">DCF_Bull!$B$47</f>
        <v>12.8703270579975</v>
      </c>
    </row>
    <row r="8" customFormat="false" ht="15" hidden="false" customHeight="false" outlineLevel="0" collapsed="false">
      <c r="A8" s="0" t="s">
        <v>156</v>
      </c>
      <c r="B8" s="0" t="n">
        <f aca="false">SUMPRODUCT(B4:B6,D4:D6)</f>
        <v>12.2450991017699</v>
      </c>
    </row>
    <row r="9" customFormat="false" ht="15" hidden="false" customHeight="false" outlineLevel="0" collapsed="false">
      <c r="A9" s="0" t="s">
        <v>157</v>
      </c>
      <c r="B9" s="0" t="n">
        <f aca="false">SUMPRODUCT(E4:E6,D4:D6)</f>
        <v>12.7155421252865</v>
      </c>
    </row>
    <row r="10" customFormat="false" ht="15" hidden="false" customHeight="false" outlineLevel="0" collapsed="false">
      <c r="A10" s="0" t="s">
        <v>158</v>
      </c>
      <c r="B10" s="0" t="n">
        <f aca="false">1-Assumptions!$B$2/B8</f>
        <v>-0.818686791745211</v>
      </c>
    </row>
    <row r="11" customFormat="false" ht="15" hidden="false" customHeight="false" outlineLevel="0" collapsed="false">
      <c r="A11" s="0" t="s">
        <v>159</v>
      </c>
      <c r="B11" s="0" t="n">
        <f aca="false">IF(ABS(B9-B8)&gt;0.01*ABS(B8),(Assumptions!$B$2-B8)/(B9-B8)*100,"n/a")</f>
        <v>2130.94899851917</v>
      </c>
    </row>
    <row r="12" customFormat="false" ht="15" hidden="false" customHeight="false" outlineLevel="0" collapsed="false">
      <c r="A12" s="0" t="s">
        <v>160</v>
      </c>
      <c r="B12" s="0" t="n">
        <f aca="false">SUMPRODUCT(F4:F6,D4:D6)</f>
        <v>6.61933316310122</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11.3644934279236</v>
      </c>
      <c r="C15" s="3" t="n">
        <v>9</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10.5224525642183</v>
      </c>
      <c r="C16" s="3" t="n">
        <v>10</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9.75400815630914</v>
      </c>
      <c r="C17" s="3" t="n">
        <v>11</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8.55375834056408</v>
      </c>
      <c r="C18" s="3" t="n">
        <v>12</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6.0824574030257</v>
      </c>
      <c r="C19" s="3" t="n">
        <v>15</v>
      </c>
    </row>
    <row r="21" customFormat="false" ht="15" hidden="false" customHeight="false" outlineLevel="0" collapsed="false">
      <c r="A21" s="2" t="s">
        <v>168</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13.3026758176053</v>
      </c>
      <c r="C23" s="0" t="n">
        <f aca="false">(SUMPRODUCT(DCF_Base!$C$19:$L$19/(1+$A$23/100)^DCF_Base!$C$4:$L$4)+MAX(0,MIN(IF($A$23&gt;$C$22,DCF_Base!$L$19*(1+$C$22/100)/(($A$23-$C$22)/100),DCF_Base!$L$19*DCF_Base!$B$29),DCF_Base!$L$19*DCF_Base!$B$29))/(1+$A$23/100)^DCF_Base!$L$4+Assumptions!$B$5-Assumptions!$B$4)/Assumptions!$B$3*Assumptions!$B$10</f>
        <v>13.3026758176053</v>
      </c>
      <c r="D23" s="0" t="n">
        <f aca="false">(SUMPRODUCT(DCF_Base!$C$19:$L$19/(1+$A$23/100)^DCF_Base!$C$4:$L$4)+MAX(0,MIN(IF($A$23&gt;$D$22,DCF_Base!$L$19*(1+$D$22/100)/(($A$23-$D$22)/100),DCF_Base!$L$19*DCF_Base!$B$29),DCF_Base!$L$19*DCF_Base!$B$29))/(1+$A$23/100)^DCF_Base!$L$4+Assumptions!$B$5-Assumptions!$B$4)/Assumptions!$B$3*Assumptions!$B$10</f>
        <v>13.3026758176053</v>
      </c>
      <c r="E23" s="0" t="n">
        <f aca="false">(SUMPRODUCT(DCF_Base!$C$19:$L$19/(1+$A$23/100)^DCF_Base!$C$4:$L$4)+MAX(0,MIN(IF($A$23&gt;$E$22,DCF_Base!$L$19*(1+$E$22/100)/(($A$23-$E$22)/100),DCF_Base!$L$19*DCF_Base!$B$29),DCF_Base!$L$19*DCF_Base!$B$29))/(1+$A$23/100)^DCF_Base!$L$4+Assumptions!$B$5-Assumptions!$B$4)/Assumptions!$B$3*Assumptions!$B$10</f>
        <v>13.3026758176053</v>
      </c>
      <c r="F23" s="0" t="n">
        <f aca="false">(SUMPRODUCT(DCF_Base!$C$19:$L$19/(1+$A$23/100)^DCF_Base!$C$4:$L$4)+MAX(0,MIN(IF($A$23&gt;$F$22,DCF_Base!$L$19*(1+$F$22/100)/(($A$23-$F$22)/100),DCF_Base!$L$19*DCF_Base!$B$29),DCF_Base!$L$19*DCF_Base!$B$29))/(1+$A$23/100)^DCF_Base!$L$4+Assumptions!$B$5-Assumptions!$B$4)/Assumptions!$B$3*Assumptions!$B$10</f>
        <v>13.3026758176053</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12.2882112841781</v>
      </c>
      <c r="C24" s="0" t="n">
        <f aca="false">(SUMPRODUCT(DCF_Base!$C$19:$L$19/(1+$A$24/100)^DCF_Base!$C$4:$L$4)+MAX(0,MIN(IF($A$24&gt;$C$22,DCF_Base!$L$19*(1+$C$22/100)/(($A$24-$C$22)/100),DCF_Base!$L$19*DCF_Base!$B$29),DCF_Base!$L$19*DCF_Base!$B$29))/(1+$A$24/100)^DCF_Base!$L$4+Assumptions!$B$5-Assumptions!$B$4)/Assumptions!$B$3*Assumptions!$B$10</f>
        <v>12.2882112841781</v>
      </c>
      <c r="D24" s="0" t="n">
        <f aca="false">(SUMPRODUCT(DCF_Base!$C$19:$L$19/(1+$A$24/100)^DCF_Base!$C$4:$L$4)+MAX(0,MIN(IF($A$24&gt;$D$22,DCF_Base!$L$19*(1+$D$22/100)/(($A$24-$D$22)/100),DCF_Base!$L$19*DCF_Base!$B$29),DCF_Base!$L$19*DCF_Base!$B$29))/(1+$A$24/100)^DCF_Base!$L$4+Assumptions!$B$5-Assumptions!$B$4)/Assumptions!$B$3*Assumptions!$B$10</f>
        <v>12.2882112841781</v>
      </c>
      <c r="E24" s="0" t="n">
        <f aca="false">(SUMPRODUCT(DCF_Base!$C$19:$L$19/(1+$A$24/100)^DCF_Base!$C$4:$L$4)+MAX(0,MIN(IF($A$24&gt;$E$22,DCF_Base!$L$19*(1+$E$22/100)/(($A$24-$E$22)/100),DCF_Base!$L$19*DCF_Base!$B$29),DCF_Base!$L$19*DCF_Base!$B$29))/(1+$A$24/100)^DCF_Base!$L$4+Assumptions!$B$5-Assumptions!$B$4)/Assumptions!$B$3*Assumptions!$B$10</f>
        <v>12.2882112841781</v>
      </c>
      <c r="F24" s="0" t="n">
        <f aca="false">(SUMPRODUCT(DCF_Base!$C$19:$L$19/(1+$A$24/100)^DCF_Base!$C$4:$L$4)+MAX(0,MIN(IF($A$24&gt;$F$22,DCF_Base!$L$19*(1+$F$22/100)/(($A$24-$F$22)/100),DCF_Base!$L$19*DCF_Base!$B$29),DCF_Base!$L$19*DCF_Base!$B$29))/(1+$A$24/100)^DCF_Base!$L$4+Assumptions!$B$5-Assumptions!$B$4)/Assumptions!$B$3*Assumptions!$B$10</f>
        <v>12.2882112841781</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11.3644934279236</v>
      </c>
      <c r="C25" s="0" t="n">
        <f aca="false">(SUMPRODUCT(DCF_Base!$C$19:$L$19/(1+$A$25/100)^DCF_Base!$C$4:$L$4)+MAX(0,MIN(IF($A$25&gt;$C$22,DCF_Base!$L$19*(1+$C$22/100)/(($A$25-$C$22)/100),DCF_Base!$L$19*DCF_Base!$B$29),DCF_Base!$L$19*DCF_Base!$B$29))/(1+$A$25/100)^DCF_Base!$L$4+Assumptions!$B$5-Assumptions!$B$4)/Assumptions!$B$3*Assumptions!$B$10</f>
        <v>11.3644934279236</v>
      </c>
      <c r="D25" s="0" t="n">
        <f aca="false">(SUMPRODUCT(DCF_Base!$C$19:$L$19/(1+$A$25/100)^DCF_Base!$C$4:$L$4)+MAX(0,MIN(IF($A$25&gt;$D$22,DCF_Base!$L$19*(1+$D$22/100)/(($A$25-$D$22)/100),DCF_Base!$L$19*DCF_Base!$B$29),DCF_Base!$L$19*DCF_Base!$B$29))/(1+$A$25/100)^DCF_Base!$L$4+Assumptions!$B$5-Assumptions!$B$4)/Assumptions!$B$3*Assumptions!$B$10</f>
        <v>11.3644934279236</v>
      </c>
      <c r="E25" s="0" t="n">
        <f aca="false">(SUMPRODUCT(DCF_Base!$C$19:$L$19/(1+$A$25/100)^DCF_Base!$C$4:$L$4)+MAX(0,MIN(IF($A$25&gt;$E$22,DCF_Base!$L$19*(1+$E$22/100)/(($A$25-$E$22)/100),DCF_Base!$L$19*DCF_Base!$B$29),DCF_Base!$L$19*DCF_Base!$B$29))/(1+$A$25/100)^DCF_Base!$L$4+Assumptions!$B$5-Assumptions!$B$4)/Assumptions!$B$3*Assumptions!$B$10</f>
        <v>11.3644934279236</v>
      </c>
      <c r="F25" s="0" t="n">
        <f aca="false">(SUMPRODUCT(DCF_Base!$C$19:$L$19/(1+$A$25/100)^DCF_Base!$C$4:$L$4)+MAX(0,MIN(IF($A$25&gt;$F$22,DCF_Base!$L$19*(1+$F$22/100)/(($A$25-$F$22)/100),DCF_Base!$L$19*DCF_Base!$B$29),DCF_Base!$L$19*DCF_Base!$B$29))/(1+$A$25/100)^DCF_Base!$L$4+Assumptions!$B$5-Assumptions!$B$4)/Assumptions!$B$3*Assumptions!$B$10</f>
        <v>11.3644934279236</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10.4934638512918</v>
      </c>
      <c r="C26" s="0" t="n">
        <f aca="false">(SUMPRODUCT(DCF_Base!$C$19:$L$19/(1+$A$26/100)^DCF_Base!$C$4:$L$4)+MAX(0,MIN(IF($A$26&gt;$C$22,DCF_Base!$L$19*(1+$C$22/100)/(($A$26-$C$22)/100),DCF_Base!$L$19*DCF_Base!$B$29),DCF_Base!$L$19*DCF_Base!$B$29))/(1+$A$26/100)^DCF_Base!$L$4+Assumptions!$B$5-Assumptions!$B$4)/Assumptions!$B$3*Assumptions!$B$10</f>
        <v>10.5224525642183</v>
      </c>
      <c r="D26" s="0" t="n">
        <f aca="false">(SUMPRODUCT(DCF_Base!$C$19:$L$19/(1+$A$26/100)^DCF_Base!$C$4:$L$4)+MAX(0,MIN(IF($A$26&gt;$D$22,DCF_Base!$L$19*(1+$D$22/100)/(($A$26-$D$22)/100),DCF_Base!$L$19*DCF_Base!$B$29),DCF_Base!$L$19*DCF_Base!$B$29))/(1+$A$26/100)^DCF_Base!$L$4+Assumptions!$B$5-Assumptions!$B$4)/Assumptions!$B$3*Assumptions!$B$10</f>
        <v>10.5224525642183</v>
      </c>
      <c r="E26" s="0" t="n">
        <f aca="false">(SUMPRODUCT(DCF_Base!$C$19:$L$19/(1+$A$26/100)^DCF_Base!$C$4:$L$4)+MAX(0,MIN(IF($A$26&gt;$E$22,DCF_Base!$L$19*(1+$E$22/100)/(($A$26-$E$22)/100),DCF_Base!$L$19*DCF_Base!$B$29),DCF_Base!$L$19*DCF_Base!$B$29))/(1+$A$26/100)^DCF_Base!$L$4+Assumptions!$B$5-Assumptions!$B$4)/Assumptions!$B$3*Assumptions!$B$10</f>
        <v>10.5224525642183</v>
      </c>
      <c r="F26" s="0" t="n">
        <f aca="false">(SUMPRODUCT(DCF_Base!$C$19:$L$19/(1+$A$26/100)^DCF_Base!$C$4:$L$4)+MAX(0,MIN(IF($A$26&gt;$F$22,DCF_Base!$L$19*(1+$F$22/100)/(($A$26-$F$22)/100),DCF_Base!$L$19*DCF_Base!$B$29),DCF_Base!$L$19*DCF_Base!$B$29))/(1+$A$26/100)^DCF_Base!$L$4+Assumptions!$B$5-Assumptions!$B$4)/Assumptions!$B$3*Assumptions!$B$10</f>
        <v>10.5224525642183</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9.1616814334582</v>
      </c>
      <c r="C27" s="0" t="n">
        <f aca="false">(SUMPRODUCT(DCF_Base!$C$19:$L$19/(1+$A$27/100)^DCF_Base!$C$4:$L$4)+MAX(0,MIN(IF($A$27&gt;$C$22,DCF_Base!$L$19*(1+$C$22/100)/(($A$27-$C$22)/100),DCF_Base!$L$19*DCF_Base!$B$29),DCF_Base!$L$19*DCF_Base!$B$29))/(1+$A$27/100)^DCF_Base!$L$4+Assumptions!$B$5-Assumptions!$B$4)/Assumptions!$B$3*Assumptions!$B$10</f>
        <v>9.45389595006466</v>
      </c>
      <c r="D27" s="0" t="n">
        <f aca="false">(SUMPRODUCT(DCF_Base!$C$19:$L$19/(1+$A$27/100)^DCF_Base!$C$4:$L$4)+MAX(0,MIN(IF($A$27&gt;$D$22,DCF_Base!$L$19*(1+$D$22/100)/(($A$27-$D$22)/100),DCF_Base!$L$19*DCF_Base!$B$29),DCF_Base!$L$19*DCF_Base!$B$29))/(1+$A$27/100)^DCF_Base!$L$4+Assumptions!$B$5-Assumptions!$B$4)/Assumptions!$B$3*Assumptions!$B$10</f>
        <v>9.75400815630914</v>
      </c>
      <c r="E27" s="0" t="n">
        <f aca="false">(SUMPRODUCT(DCF_Base!$C$19:$L$19/(1+$A$27/100)^DCF_Base!$C$4:$L$4)+MAX(0,MIN(IF($A$27&gt;$E$22,DCF_Base!$L$19*(1+$E$22/100)/(($A$27-$E$22)/100),DCF_Base!$L$19*DCF_Base!$B$29),DCF_Base!$L$19*DCF_Base!$B$29))/(1+$A$27/100)^DCF_Base!$L$4+Assumptions!$B$5-Assumptions!$B$4)/Assumptions!$B$3*Assumptions!$B$10</f>
        <v>9.75400815630914</v>
      </c>
      <c r="F27" s="0" t="n">
        <f aca="false">(SUMPRODUCT(DCF_Base!$C$19:$L$19/(1+$A$27/100)^DCF_Base!$C$4:$L$4)+MAX(0,MIN(IF($A$27&gt;$F$22,DCF_Base!$L$19*(1+$F$22/100)/(($A$27-$F$22)/100),DCF_Base!$L$19*DCF_Base!$B$29),DCF_Base!$L$19*DCF_Base!$B$29))/(1+$A$27/100)^DCF_Base!$L$4+Assumptions!$B$5-Assumptions!$B$4)/Assumptions!$B$3*Assumptions!$B$10</f>
        <v>9.75400815630914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2026-09-24T09:06:38Z</dcterms:created>
  <dc:creator>openpyxl</dc:creator>
  <dc:description/>
  <dc:language>en-NZ</dc:language>
  <cp:lastModifiedBy/>
  <dcterms:modified xsi:type="dcterms:W3CDTF">2026-09-24T09:06:38Z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