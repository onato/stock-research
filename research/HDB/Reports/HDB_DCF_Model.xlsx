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<sst xmlns="http://schemas.openxmlformats.org/spreadsheetml/2006/main" count="387" uniqueCount="176">
  <si>
    <t xml:space="preserve">Ticker</t>
  </si>
  <si>
    <t xml:space="preserve">HDB</t>
  </si>
  <si>
    <t xml:space="preserve">Company</t>
  </si>
  <si>
    <t xml:space="preserve">HDFC Bank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</si>
  <si>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</si>
  <si>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</si>
  <si>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</si>
  <si>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</si>
  <si>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2026-10-02T20:00:03Z regular close (NYSE)</t>
  </si>
  <si>
    <t xml:space="preserve">Balance sheet date</t>
  </si>
  <si>
    <t xml:space="preserve">2026-03-31</t>
  </si>
  <si>
    <t xml:space="preserve">Model</t>
  </si>
  <si>
    <t xml:space="preserve">Bank FCFE at cost of equity (engine route), net debt zero, retention on tangible common equity</t>
  </si>
  <si>
    <t xml:space="preserve">Currency (model)</t>
  </si>
  <si>
    <t xml:space="preserve">INR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</si>
  <si>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</si>
  <si>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</si>
  <si>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</si>
  <si>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</si>
  <si>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</si>
  <si>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</si>
  <si>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</si>
  <si>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2026-10-03T22:25:09Z</t>
  </si>
  <si>
    <t xml:space="preserve">Drivers file</t>
  </si>
  <si>
    <t xml:space="preserve">HDB_Drivers.json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</si>
  <si>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</si>
  <si>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</si>
  <si>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</si>
  <si>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HDFC Bank is valued as a bank: free cash flow to equity (net income to common less the tangible equity retained to fund balance-sheet growth at today's capital ratio) discounted at a 12.5% INR cost of equity, with deposits and borrowings treated as operating funding (net debt = 0). The judgment that matters is ROTE versus cost of equity versus growth: at ~14% ROTE, 12.5% CoE and ~12% growth, almost all value comes from the long growth runway, so the terminal growth and margin-recovery paths dominate. US GAAP tangible equity strips the Rs 2.98trn of merger goodwill and intangibles; at the current price the bank trades at ~2.1x that tangible book.
key_risks_to_valuation: NIM/CASA recovery: each 1pp of pre-tax-to-common margin is ~2.5% of value; the bear path assumes the HDFC Ltd margin dilution is permanent.; CEO succession: Sashidhar Jagdishan retires 26-Oct-2026; the successor needs RBI approval.; Cost of equity and terminal growth in INR: the valuation is long-duration (growth near CoE for five years); see the sensitivity grid.; INR/USD: values are converted at spot; continued rupee depreciation lowers the USD value of an ADS independent of operations.; Capital: retention holds CET1 near 17.3%; an RBI tightening (expected-credit-loss transition, risk-weight changes on unsecured retail) would raise retention and lower FCFE.; Data: core_metrics/CSV mislabel INR as USD (build_facts_xbrl.py bug); HDB_Analysis.json mis-states the ADS ratio as 1:2 (it is 1:3).</t>
  </si>
  <si>
    <t xml:space="preserve">Data sources</t>
  </si>
  <si>
    <t xml:space="preserve">price: Yahoo Finance chart API for HDB at inputs.price_as_of; 52-week range 21.77-37.45. Local cross-check HDFCBANK.NS (52-week range Rs 681.9-1,020.5) and INR=X from the same API; see inputs.fx_note.
financials: HDFC Bank 20-F for fiscal 2026 (year to 2026-03-31, auditor's report 29-Jul-2026): consolidated balance sheet, income statement, cash flow, shareholders' equity and note 31 (EPS) read directly in INR millions from research/HDB/Extracted/HDB_20F_FY2026.txt. History FY2008-FY2025 from HDB_Metrics.csv / core_metrics, whose currency column wrongly says USD: the values are INR millions (build_facts_xbrl.py hardcodes USD for dual-tagged INR/USD XBRL filers; same bug as BILI). See inputs.currency_caveat.
qualitative: HDB_Analysis.json (2026-10-04): Q1 FY2027 results, CEO succession, NIM/CASA trend, guidance.</t>
  </si>
  <si>
    <t xml:space="preserve">Scenario narrative: bear</t>
  </si>
  <si>
    <t xml:space="preserve">Margin dilution proves structural (wholesale mortgage book, low-30s CASA, deposit war with ICICI/SBI), NIM drifts to ~3.1%, leadership transition stalls execution and credit costs normalise upward; loan growth 7-9% and margin slides to 37%, ROTE ~12%, roughly equal to the cost of equity.</t>
  </si>
  <si>
    <t xml:space="preserve">Scenario narrative: base</t>
  </si>
  <si>
    <t xml:space="preserve">Merger digestion runs to plan but slowly: FY27 revenue +8%, loan growth re-accelerating to ~12% as the credit-deposit ratio normalises; NIM recovers part-way (3.3% -&gt; ~3.5%) as HDFC-era borrowings roll off, lifting the pre-tax-to-common margin from 40.1% to 42% and ROTE to ~14-15%. Growth fades to 7% by year 10 and 6.5% nominal INR thereafter.</t>
  </si>
  <si>
    <t xml:space="preserve">Scenario narrative: bull</t>
  </si>
  <si>
    <t xml:space="preserve">Smooth CEO succession, CASA rebuilt toward the high-30s through cross-sell into legacy HDFC Ltd mortgage customers, NIM back toward ~3.8%; 13-14% loan growth for five years on India's credit-penetration runway, margin to 45% (ROTE ~17%) and CET1 run down modestly from 17.3% toward 16%.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</si>
  <si>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</si>
  <si>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</si>
  <si>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</si>
  <si>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</si>
  <si>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</si>
  <si>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</si>
  <si>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</si>
  <si>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</si>
  <si>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</si>
  <si>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</si>
  <si>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</si>
  <si>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</si>
  <si>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</si>
  <si>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</si>
  <si>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</si>
  <si>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</si>
  <si>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</si>
  <si>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</si>
  <si>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</si>
  <si>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</si>
  <si>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</si>
  <si>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</si>
  <si>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</si>
  <si>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</si>
  <si>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</si>
  <si>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</si>
  <si>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</si>
  <si>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</si>
  <si>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</si>
  <si>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</si>
  <si>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</si>
  <si>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</si>
  <si>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</si>
  <si>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</si>
  <si>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</si>
  <si>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</si>
  <si>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</si>
  <si>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</si>
  <si>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</si>
  <si>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</si>
  <si>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</si>
  <si>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</si>
  <si>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</si>
  <si>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</si>
  <si>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</si>
  <si>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</si>
  <si>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</si>
  <si>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</si>
  <si>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</si>
  <si>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</si>
  <si>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</si>
  <si>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</si>
  <si>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</si>
  <si>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</si>
  <si>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</si>
  <si>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</si>
  <si>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</si>
  <si>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INR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</si>
  <si>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</si>
  <si>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</si>
  <si>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</si>
  <si>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</si>
  <si>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</si>
  <si>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</si>
  <si>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</si>
  <si>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</si>
  <si>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</si>
  <si>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</si>
  <si>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</si>
  <si>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</si>
  <si>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</si>
  <si>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</si>
  <si>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</si>
  <si>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</si>
  <si>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</si>
  <si>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</si>
  <si>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</si>
  <si>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</si>
  <si>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</si>
  <si>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</si>
  <si>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</si>
  <si>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</si>
  <si>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</si>
  <si>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</si>
  <si>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HDB owner-FCF component DCF: bear case (millions, INR)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</si>
  <si>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</si>
  <si>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</si>
  <si>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</si>
  <si>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</si>
  <si>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</si>
  <si>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</si>
  <si>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</si>
  <si>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</si>
  <si>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</si>
  <si>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</si>
  <si>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</si>
  <si>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</si>
  <si>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</si>
  <si>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</si>
  <si>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</si>
  <si>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</si>
  <si>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</si>
  <si>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</si>
  <si>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</si>
  <si>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</si>
  <si>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</si>
  <si>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</si>
  <si>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</si>
  <si>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</si>
  <si>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</si>
  <si>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</si>
  <si>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</si>
  <si>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</si>
  <si>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</si>
  <si>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</si>
  <si>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HDB owner-FCF component DCF: base case (millions, INR)</t>
  </si>
  <si>
    <t xml:space="preserve">HDB owner-FCF component DCF: bull case (millions, INR)</t>
  </si>
  <si>
    <t xml:space="preserve">HDB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</si>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</sst>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65829.7</v>
      </c>
      <c r="S2" s="0" t="n">
        <v>80546.4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61814.6</v>
      </c>
      <c r="I3" s="0" t="n">
        <v>13245.2</v>
      </c>
      <c r="J3" s="0" t="n">
        <v>21.4273003465201</v>
      </c>
      <c r="K3" s="0" t="n">
        <v>38.24</v>
      </c>
      <c r="L3" s="0" t="n">
        <v>-49659.9</v>
      </c>
      <c r="M3" s="0" t="n">
        <v>6470.4</v>
      </c>
      <c r="N3" s="0" t="n">
        <v>-56130.3</v>
      </c>
      <c r="O3" s="0" t="n">
        <v>119707.3</v>
      </c>
      <c r="S3" s="0" t="n">
        <v>147208</v>
      </c>
      <c r="U3" s="0" t="n">
        <v>1667.4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86090</v>
      </c>
      <c r="I4" s="0" t="n">
        <v>15197.7</v>
      </c>
      <c r="J4" s="0" t="n">
        <v>17.6532698338948</v>
      </c>
      <c r="K4" s="0" t="n">
        <v>7.28</v>
      </c>
      <c r="L4" s="0" t="n">
        <v>126176.4</v>
      </c>
      <c r="M4" s="0" t="n">
        <v>6880.5</v>
      </c>
      <c r="N4" s="0" t="n">
        <v>119295.9</v>
      </c>
      <c r="O4" s="0" t="n">
        <v>250053.1</v>
      </c>
      <c r="P4" s="0" t="n">
        <v>2020744.8</v>
      </c>
      <c r="Q4" s="0" t="n">
        <v>1770691.7</v>
      </c>
      <c r="R4" s="0" t="n">
        <v>67598.8</v>
      </c>
      <c r="S4" s="0" t="n">
        <v>171224.4</v>
      </c>
      <c r="T4" s="0" t="n">
        <v>2085.462165</v>
      </c>
      <c r="U4" s="0" t="n">
        <v>1971.9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105637.1</v>
      </c>
      <c r="I5" s="0" t="n">
        <v>24887.8</v>
      </c>
      <c r="J5" s="0" t="n">
        <v>23.5597152894201</v>
      </c>
      <c r="K5" s="0" t="n">
        <v>11.26</v>
      </c>
      <c r="L5" s="0" t="n">
        <v>109064.4</v>
      </c>
      <c r="M5" s="0" t="n">
        <v>5978.6</v>
      </c>
      <c r="N5" s="0" t="n">
        <v>103085.8</v>
      </c>
      <c r="O5" s="0" t="n">
        <v>306454.2</v>
      </c>
      <c r="P5" s="0" t="n">
        <v>2416520.4</v>
      </c>
      <c r="Q5" s="0" t="n">
        <v>2110066.2</v>
      </c>
      <c r="R5" s="0" t="n">
        <v>75854.4</v>
      </c>
      <c r="S5" s="0" t="n">
        <v>297558.5</v>
      </c>
      <c r="T5" s="0" t="n">
        <v>2288.71636</v>
      </c>
      <c r="U5" s="0" t="n">
        <v>3580.6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145595.8</v>
      </c>
      <c r="I6" s="0" t="n">
        <v>41527.3</v>
      </c>
      <c r="J6" s="0" t="n">
        <v>28.5223200119784</v>
      </c>
      <c r="K6" s="0" t="n">
        <v>17.84</v>
      </c>
      <c r="L6" s="0" t="n">
        <v>50116.6</v>
      </c>
      <c r="M6" s="0" t="n">
        <v>5836.1</v>
      </c>
      <c r="N6" s="0" t="n">
        <v>44280.5</v>
      </c>
      <c r="O6" s="0" t="n">
        <v>347829.8</v>
      </c>
      <c r="P6" s="0" t="n">
        <v>2920236.3</v>
      </c>
      <c r="Q6" s="0" t="n">
        <v>2572406.5</v>
      </c>
      <c r="R6" s="0" t="n">
        <v>93287.2</v>
      </c>
      <c r="S6" s="0" t="n">
        <v>288902.1</v>
      </c>
      <c r="T6" s="0" t="n">
        <v>2341.922293</v>
      </c>
      <c r="U6" s="0" t="n">
        <v>3407.7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171150.2</v>
      </c>
      <c r="I7" s="0" t="n">
        <v>50008</v>
      </c>
      <c r="J7" s="0" t="n">
        <v>29.21877976187</v>
      </c>
      <c r="K7" s="0" t="n">
        <v>21.3</v>
      </c>
      <c r="L7" s="0" t="n">
        <v>37492.3</v>
      </c>
      <c r="M7" s="0" t="n">
        <v>7924.5</v>
      </c>
      <c r="N7" s="0" t="n">
        <v>29567.8</v>
      </c>
      <c r="O7" s="0" t="n">
        <v>396592.7</v>
      </c>
      <c r="P7" s="0" t="n">
        <v>3571155.7</v>
      </c>
      <c r="Q7" s="0" t="n">
        <v>3174563</v>
      </c>
      <c r="R7" s="0" t="n">
        <v>178366.6</v>
      </c>
      <c r="S7" s="0" t="n">
        <v>188043</v>
      </c>
      <c r="T7" s="0" t="n">
        <v>2357.347259</v>
      </c>
      <c r="U7" s="0" t="n">
        <v>3887.7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209565.9</v>
      </c>
      <c r="I8" s="0" t="n">
        <v>62134.7</v>
      </c>
      <c r="J8" s="0" t="n">
        <v>29.6492415989433</v>
      </c>
      <c r="K8" s="0" t="n">
        <v>26.18</v>
      </c>
      <c r="L8" s="0" t="n">
        <v>71513.5</v>
      </c>
      <c r="M8" s="0" t="n">
        <v>9994.1</v>
      </c>
      <c r="N8" s="0" t="n">
        <v>61519.4</v>
      </c>
      <c r="O8" s="0" t="n">
        <v>470377.9</v>
      </c>
      <c r="P8" s="0" t="n">
        <v>4370906.1</v>
      </c>
      <c r="Q8" s="0" t="n">
        <v>3900528.2</v>
      </c>
      <c r="R8" s="0" t="n">
        <v>295219.7</v>
      </c>
      <c r="S8" s="0" t="n">
        <v>218740.2</v>
      </c>
      <c r="T8" s="0" t="n">
        <v>2386.107471</v>
      </c>
      <c r="U8" s="0" t="n">
        <v>4533.7</v>
      </c>
      <c r="V8" s="0" t="n">
        <v>5.5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245978.5</v>
      </c>
      <c r="I9" s="0" t="n">
        <v>79446.2</v>
      </c>
      <c r="J9" s="0" t="n">
        <v>32.2980260469919</v>
      </c>
      <c r="K9" s="0" t="n">
        <v>33.18</v>
      </c>
      <c r="M9" s="0" t="n">
        <v>9728.5</v>
      </c>
      <c r="O9" s="0" t="n">
        <v>533000.7</v>
      </c>
      <c r="P9" s="0" t="n">
        <v>5125407.3</v>
      </c>
      <c r="Q9" s="0" t="n">
        <v>4592406.6</v>
      </c>
      <c r="R9" s="0" t="n">
        <v>395208.6</v>
      </c>
      <c r="S9" s="0" t="n">
        <v>370835.2</v>
      </c>
      <c r="T9" s="0" t="n">
        <v>2408.145311</v>
      </c>
      <c r="U9" s="0" t="n">
        <v>5495.5</v>
      </c>
      <c r="V9" s="0" t="n">
        <v>6.85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298997.6</v>
      </c>
      <c r="I10" s="0" t="n">
        <v>99504.7</v>
      </c>
      <c r="J10" s="0" t="n">
        <v>33.2794310054663</v>
      </c>
      <c r="K10" s="0" t="n">
        <v>40.94</v>
      </c>
      <c r="M10" s="0" t="n">
        <v>8913.7</v>
      </c>
      <c r="O10" s="0" t="n">
        <v>751567.6</v>
      </c>
      <c r="P10" s="0" t="n">
        <v>6259015.8</v>
      </c>
      <c r="Q10" s="0" t="n">
        <v>5507448.2</v>
      </c>
      <c r="R10" s="0" t="n">
        <v>457934.4</v>
      </c>
      <c r="S10" s="0" t="n">
        <v>341124.3</v>
      </c>
      <c r="T10" s="0" t="n">
        <v>2506.495317</v>
      </c>
      <c r="U10" s="0" t="n">
        <v>9138.8</v>
      </c>
      <c r="V10" s="0" t="n">
        <v>8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367664.1</v>
      </c>
      <c r="I11" s="0" t="n">
        <v>118049.9</v>
      </c>
      <c r="J11" s="0" t="n">
        <v>32.1080845260661</v>
      </c>
      <c r="K11" s="0" t="n">
        <v>46.84</v>
      </c>
      <c r="L11" s="0" t="n">
        <v>170073.2</v>
      </c>
      <c r="M11" s="0" t="n">
        <v>9983.4</v>
      </c>
      <c r="N11" s="0" t="n">
        <v>160089.8</v>
      </c>
      <c r="O11" s="0" t="n">
        <v>870795.2</v>
      </c>
      <c r="P11" s="0" t="n">
        <v>7736723.3</v>
      </c>
      <c r="Q11" s="0" t="n">
        <v>6865928.1</v>
      </c>
      <c r="R11" s="0" t="n">
        <v>522313.5</v>
      </c>
      <c r="S11" s="0" t="n">
        <v>377671.7</v>
      </c>
      <c r="T11" s="0" t="n">
        <v>2545.367681</v>
      </c>
      <c r="U11" s="0" t="n">
        <v>12593.8</v>
      </c>
      <c r="V11" s="0" t="n">
        <v>9.5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424170.3</v>
      </c>
      <c r="I12" s="0" t="n">
        <v>140740.6</v>
      </c>
      <c r="J12" s="0" t="n">
        <v>33.1802108728499</v>
      </c>
      <c r="K12" s="0" t="n">
        <v>55.23</v>
      </c>
      <c r="L12" s="0" t="n">
        <v>379272.2</v>
      </c>
      <c r="M12" s="0" t="n">
        <v>12628.5</v>
      </c>
      <c r="N12" s="0" t="n">
        <v>366643.7</v>
      </c>
      <c r="O12" s="0" t="n">
        <v>1027901.1</v>
      </c>
      <c r="P12" s="0" t="n">
        <v>9066980.5</v>
      </c>
      <c r="Q12" s="0" t="n">
        <v>8039079.4</v>
      </c>
      <c r="R12" s="0" t="n">
        <v>730920.7</v>
      </c>
      <c r="S12" s="0" t="n">
        <v>430708.6</v>
      </c>
      <c r="T12" s="0" t="n">
        <v>2575.351526</v>
      </c>
      <c r="U12" s="0" t="n">
        <v>8203.2</v>
      </c>
      <c r="V12" s="0" t="n">
        <v>11</v>
      </c>
      <c r="AA12" s="0" t="s">
        <v>18</v>
      </c>
      <c r="AB12" s="0" t="s">
        <v>16</v>
      </c>
    </row>
    <row r="13" customFormat="false" ht="15" hidden="false" customHeight="false" outlineLevel="0" collapsed="false">
      <c r="A13" s="0" t="s">
        <v>75</v>
      </c>
      <c r="B13" s="0" t="n">
        <v>508359.8</v>
      </c>
      <c r="I13" s="0" t="n">
        <v>178833.9</v>
      </c>
      <c r="J13" s="0" t="n">
        <v>35.1786077498654</v>
      </c>
      <c r="K13" s="0" t="n">
        <v>34.59</v>
      </c>
      <c r="L13" s="0" t="n">
        <v>94274.2</v>
      </c>
      <c r="M13" s="0" t="n">
        <v>9181.5</v>
      </c>
      <c r="N13" s="0" t="n">
        <v>85092.7</v>
      </c>
      <c r="O13" s="0" t="n">
        <v>1176493.3</v>
      </c>
      <c r="P13" s="0" t="n">
        <v>11367308.8</v>
      </c>
      <c r="Q13" s="0" t="n">
        <v>10190815.5</v>
      </c>
      <c r="R13" s="0" t="n">
        <v>932906.3</v>
      </c>
      <c r="S13" s="0" t="n">
        <v>574151</v>
      </c>
      <c r="T13" s="0" t="n">
        <v>5227.877252</v>
      </c>
      <c r="U13" s="0" t="n">
        <v>6594.6</v>
      </c>
      <c r="V13" s="0" t="n">
        <v>6.5</v>
      </c>
      <c r="AA13" s="0" t="s">
        <v>18</v>
      </c>
      <c r="AB13" s="0" t="s">
        <v>16</v>
      </c>
    </row>
    <row r="14" customFormat="false" ht="15" hidden="false" customHeight="false" outlineLevel="0" collapsed="false">
      <c r="A14" s="0" t="s">
        <v>76</v>
      </c>
      <c r="B14" s="0" t="n">
        <v>595348.5</v>
      </c>
      <c r="I14" s="0" t="n">
        <v>220565.5</v>
      </c>
      <c r="J14" s="0" t="n">
        <v>37.0481323124187</v>
      </c>
      <c r="K14" s="0" t="n">
        <v>41.07</v>
      </c>
      <c r="L14" s="0" t="n">
        <v>183272.2</v>
      </c>
      <c r="M14" s="0" t="n">
        <v>16355</v>
      </c>
      <c r="N14" s="0" t="n">
        <v>166917.2</v>
      </c>
      <c r="O14" s="0" t="n">
        <v>1635624.6</v>
      </c>
      <c r="P14" s="0" t="n">
        <v>13280073.6</v>
      </c>
      <c r="Q14" s="0" t="n">
        <v>11644449</v>
      </c>
      <c r="R14" s="0" t="n">
        <v>1044553</v>
      </c>
      <c r="T14" s="0" t="n">
        <v>5446.61322</v>
      </c>
      <c r="U14" s="0" t="n">
        <v>5343.3</v>
      </c>
      <c r="V14" s="0" t="n">
        <v>7.5</v>
      </c>
      <c r="AA14" s="0" t="s">
        <v>18</v>
      </c>
      <c r="AB14" s="0" t="s">
        <v>16</v>
      </c>
    </row>
    <row r="15" customFormat="false" ht="15" hidden="false" customHeight="false" outlineLevel="0" collapsed="false">
      <c r="A15" s="0" t="s">
        <v>77</v>
      </c>
      <c r="B15" s="0" t="n">
        <v>674124.5</v>
      </c>
      <c r="I15" s="0" t="n">
        <v>260364</v>
      </c>
      <c r="J15" s="0" t="n">
        <v>38.6225393083918</v>
      </c>
      <c r="K15" s="0" t="n">
        <v>47.59</v>
      </c>
      <c r="L15" s="0" t="n">
        <v>171179.7</v>
      </c>
      <c r="M15" s="0" t="n">
        <v>18294.3</v>
      </c>
      <c r="N15" s="0" t="n">
        <v>152885.4</v>
      </c>
      <c r="O15" s="0" t="n">
        <v>1896493.8</v>
      </c>
      <c r="P15" s="0" t="n">
        <v>15961889.1</v>
      </c>
      <c r="Q15" s="0" t="n">
        <v>14065395.3</v>
      </c>
      <c r="R15" s="0" t="n">
        <v>1026518.3</v>
      </c>
      <c r="T15" s="0" t="n">
        <v>5505.792553</v>
      </c>
      <c r="U15" s="0" t="n">
        <v>7476.1</v>
      </c>
      <c r="V15" s="0" t="n">
        <v>2.5</v>
      </c>
      <c r="AA15" s="0" t="s">
        <v>18</v>
      </c>
      <c r="AB15" s="0" t="s">
        <v>16</v>
      </c>
    </row>
    <row r="16" customFormat="false" ht="15" hidden="false" customHeight="false" outlineLevel="0" collapsed="false">
      <c r="A16" s="0" t="s">
        <v>78</v>
      </c>
      <c r="B16" s="0" t="n">
        <v>782428.8</v>
      </c>
      <c r="I16" s="0" t="n">
        <v>326006.4</v>
      </c>
      <c r="J16" s="0" t="n">
        <v>41.6659509465909</v>
      </c>
      <c r="K16" s="0" t="n">
        <v>59.27</v>
      </c>
      <c r="L16" s="0" t="n">
        <v>921776.2</v>
      </c>
      <c r="M16" s="0" t="n">
        <v>17806.5</v>
      </c>
      <c r="N16" s="0" t="n">
        <v>903969.7</v>
      </c>
      <c r="O16" s="0" t="n">
        <v>2163404.8</v>
      </c>
      <c r="P16" s="0" t="n">
        <v>17979782</v>
      </c>
      <c r="Q16" s="0" t="n">
        <v>15816377.2</v>
      </c>
      <c r="R16" s="0" t="n">
        <v>1174758.2</v>
      </c>
      <c r="T16" s="0" t="n">
        <v>5523.478346</v>
      </c>
      <c r="U16" s="0" t="n">
        <v>10603.5</v>
      </c>
      <c r="V16" s="0" t="n">
        <v>6.5</v>
      </c>
      <c r="AA16" s="0" t="s">
        <v>18</v>
      </c>
      <c r="AB16" s="0" t="s">
        <v>16</v>
      </c>
    </row>
    <row r="17" customFormat="false" ht="15" hidden="false" customHeight="false" outlineLevel="0" collapsed="false">
      <c r="A17" s="0" t="s">
        <v>79</v>
      </c>
      <c r="B17" s="0" t="n">
        <v>892434.2</v>
      </c>
      <c r="I17" s="0" t="n">
        <v>386603</v>
      </c>
      <c r="J17" s="0" t="n">
        <v>43.3200565375016</v>
      </c>
      <c r="K17" s="0" t="n">
        <v>69.76</v>
      </c>
      <c r="L17" s="0" t="n">
        <v>581018.2</v>
      </c>
      <c r="M17" s="0" t="n">
        <v>26324.4</v>
      </c>
      <c r="N17" s="0" t="n">
        <v>554693.8</v>
      </c>
      <c r="O17" s="0" t="n">
        <v>2509453.4</v>
      </c>
      <c r="P17" s="0" t="n">
        <v>21113705.5</v>
      </c>
      <c r="Q17" s="0" t="n">
        <v>18604252.1</v>
      </c>
      <c r="R17" s="0" t="n">
        <v>1554333.4</v>
      </c>
      <c r="T17" s="0" t="n">
        <v>5563.479823</v>
      </c>
      <c r="U17" s="0" t="n">
        <v>13874.5</v>
      </c>
      <c r="V17" s="0" t="n">
        <v>15.5</v>
      </c>
      <c r="AA17" s="0" t="s">
        <v>18</v>
      </c>
      <c r="AB17" s="0" t="s">
        <v>16</v>
      </c>
    </row>
    <row r="18" customFormat="false" ht="15" hidden="false" customHeight="false" outlineLevel="0" collapsed="false">
      <c r="A18" s="0" t="s">
        <v>80</v>
      </c>
      <c r="B18" s="0" t="n">
        <v>1131161.2</v>
      </c>
      <c r="I18" s="0" t="n">
        <v>496264.4</v>
      </c>
      <c r="J18" s="0" t="n">
        <v>43.8721200833268</v>
      </c>
      <c r="K18" s="0" t="n">
        <v>89.02</v>
      </c>
      <c r="L18" s="0" t="n">
        <v>477200.6</v>
      </c>
      <c r="M18" s="0" t="n">
        <v>43620.3</v>
      </c>
      <c r="N18" s="0" t="n">
        <v>433580.3</v>
      </c>
      <c r="O18" s="0" t="n">
        <v>2917837.9</v>
      </c>
      <c r="P18" s="0" t="n">
        <v>25755624</v>
      </c>
      <c r="Q18" s="0" t="n">
        <v>22837786.1</v>
      </c>
      <c r="R18" s="0" t="n">
        <v>2054436.4</v>
      </c>
      <c r="T18" s="0" t="n">
        <v>5587.173328</v>
      </c>
      <c r="U18" s="0" t="n">
        <v>14014.6</v>
      </c>
      <c r="V18" s="0" t="n">
        <v>19</v>
      </c>
      <c r="AA18" s="0" t="s">
        <v>18</v>
      </c>
      <c r="AB18" s="0" t="s">
        <v>16</v>
      </c>
    </row>
    <row r="19" customFormat="false" ht="15" hidden="false" customHeight="false" outlineLevel="0" collapsed="false">
      <c r="A19" s="0" t="s">
        <v>81</v>
      </c>
      <c r="B19" s="0" t="n">
        <v>1853871.2</v>
      </c>
      <c r="I19" s="0" t="n">
        <v>627631.9</v>
      </c>
      <c r="J19" s="0" t="n">
        <v>33.8552052591356</v>
      </c>
      <c r="K19" s="0" t="n">
        <v>88.66</v>
      </c>
      <c r="L19" s="0" t="n">
        <v>1022322.4</v>
      </c>
      <c r="M19" s="0" t="n">
        <v>53838</v>
      </c>
      <c r="N19" s="0" t="n">
        <v>968484.4</v>
      </c>
      <c r="O19" s="0" t="n">
        <v>7886182.8</v>
      </c>
      <c r="P19" s="0" t="n">
        <v>44118573</v>
      </c>
      <c r="Q19" s="0" t="n">
        <v>36232390.2</v>
      </c>
      <c r="R19" s="0" t="n">
        <v>6648772</v>
      </c>
      <c r="T19" s="0" t="n">
        <v>7596.910662</v>
      </c>
      <c r="U19" s="0" t="n">
        <v>20115.8</v>
      </c>
      <c r="V19" s="0" t="n">
        <v>19.5</v>
      </c>
      <c r="AA19" s="0" t="s">
        <v>18</v>
      </c>
      <c r="AB19" s="0" t="s">
        <v>16</v>
      </c>
    </row>
    <row r="20" customFormat="false" ht="15" hidden="false" customHeight="false" outlineLevel="0" collapsed="false">
      <c r="A20" s="0" t="s">
        <v>82</v>
      </c>
      <c r="B20" s="0" t="n">
        <v>2190128.1</v>
      </c>
      <c r="I20" s="0" t="n">
        <v>686531.3</v>
      </c>
      <c r="J20" s="0" t="n">
        <v>31.3466276242015</v>
      </c>
      <c r="K20" s="0" t="n">
        <v>90.01</v>
      </c>
      <c r="L20" s="0" t="n">
        <v>1195617.4</v>
      </c>
      <c r="M20" s="0" t="n">
        <v>66397.3</v>
      </c>
      <c r="N20" s="0" t="n">
        <v>1129220.1</v>
      </c>
      <c r="O20" s="0" t="n">
        <v>8622891</v>
      </c>
      <c r="P20" s="0" t="n">
        <v>48187671.1</v>
      </c>
      <c r="Q20" s="0" t="n">
        <v>39564780.1</v>
      </c>
      <c r="R20" s="0" t="n">
        <v>5866163.2</v>
      </c>
      <c r="T20" s="0" t="n">
        <v>7659.434106</v>
      </c>
      <c r="U20" s="0" t="n">
        <v>24633.9</v>
      </c>
      <c r="V20" s="0" t="n">
        <v>22</v>
      </c>
      <c r="AA20" s="0" t="s">
        <v>18</v>
      </c>
      <c r="AB20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22.34</v>
      </c>
    </row>
    <row r="3" customFormat="false" ht="15" hidden="false" customHeight="false" outlineLevel="0" collapsed="false">
      <c r="A3" s="0" t="s">
        <v>86</v>
      </c>
      <c r="B3" s="3" t="n">
        <v>5147.4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2327345.3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0.0103842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6</v>
      </c>
      <c r="D13" s="3" t="n">
        <v>7</v>
      </c>
      <c r="E13" s="3" t="n">
        <v>8</v>
      </c>
      <c r="F13" s="3" t="n">
        <v>9</v>
      </c>
      <c r="G13" s="3" t="n">
        <v>9</v>
      </c>
      <c r="H13" s="3" t="n">
        <v>8</v>
      </c>
      <c r="I13" s="3" t="n">
        <v>8</v>
      </c>
      <c r="J13" s="3" t="n">
        <v>7</v>
      </c>
      <c r="K13" s="3" t="n">
        <v>6</v>
      </c>
      <c r="L13" s="3" t="n">
        <v>6</v>
      </c>
    </row>
    <row r="14" customFormat="false" ht="15" hidden="false" customHeight="false" outlineLevel="0" collapsed="false">
      <c r="A14" s="0" t="s">
        <v>108</v>
      </c>
      <c r="C14" s="3" t="n">
        <v>39.5</v>
      </c>
      <c r="D14" s="3" t="n">
        <v>39</v>
      </c>
      <c r="E14" s="3" t="n">
        <v>38.5</v>
      </c>
      <c r="F14" s="3" t="n">
        <v>38</v>
      </c>
      <c r="G14" s="3" t="n">
        <v>37.5</v>
      </c>
      <c r="H14" s="3" t="n">
        <v>37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109</v>
      </c>
      <c r="C15" s="3" t="n">
        <v>0.95</v>
      </c>
      <c r="D15" s="3" t="n">
        <v>0.95</v>
      </c>
      <c r="E15" s="3" t="n">
        <v>0.95</v>
      </c>
      <c r="F15" s="3" t="n">
        <v>0.95</v>
      </c>
      <c r="G15" s="3" t="n">
        <v>0.95</v>
      </c>
      <c r="H15" s="3" t="n">
        <v>0.95</v>
      </c>
      <c r="I15" s="3" t="n">
        <v>0.95</v>
      </c>
      <c r="J15" s="3" t="n">
        <v>0.95</v>
      </c>
      <c r="K15" s="3" t="n">
        <v>0.95</v>
      </c>
      <c r="L15" s="3" t="n">
        <v>0.95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12.62</v>
      </c>
      <c r="D18" s="3" t="n">
        <v>14.58</v>
      </c>
      <c r="E18" s="3" t="n">
        <v>16.51</v>
      </c>
      <c r="F18" s="3" t="n">
        <v>18.4</v>
      </c>
      <c r="G18" s="3" t="n">
        <v>18.4</v>
      </c>
      <c r="H18" s="3" t="n">
        <v>16.51</v>
      </c>
      <c r="I18" s="3" t="n">
        <v>16.51</v>
      </c>
      <c r="J18" s="3" t="n">
        <v>14.58</v>
      </c>
      <c r="K18" s="3" t="n">
        <v>12.62</v>
      </c>
      <c r="L18" s="3" t="n">
        <v>12.62</v>
      </c>
    </row>
    <row r="19" customFormat="false" ht="15" hidden="false" customHeight="false" outlineLevel="0" collapsed="false">
      <c r="A19" s="0" t="s">
        <v>113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114</v>
      </c>
      <c r="B20" s="3" t="n">
        <v>12.5</v>
      </c>
    </row>
    <row r="21" customFormat="false" ht="15" hidden="false" customHeight="false" outlineLevel="0" collapsed="false">
      <c r="A21" s="0" t="s">
        <v>115</v>
      </c>
      <c r="B21" s="3" t="n">
        <v>5.5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8</v>
      </c>
      <c r="D27" s="3" t="n">
        <v>10</v>
      </c>
      <c r="E27" s="3" t="n">
        <v>11</v>
      </c>
      <c r="F27" s="3" t="n">
        <v>12</v>
      </c>
      <c r="G27" s="3" t="n">
        <v>12</v>
      </c>
      <c r="H27" s="3" t="n">
        <v>11</v>
      </c>
      <c r="I27" s="3" t="n">
        <v>10</v>
      </c>
      <c r="J27" s="3" t="n">
        <v>9</v>
      </c>
      <c r="K27" s="3" t="n">
        <v>8</v>
      </c>
      <c r="L27" s="3" t="n">
        <v>7</v>
      </c>
    </row>
    <row r="28" customFormat="false" ht="15" hidden="false" customHeight="false" outlineLevel="0" collapsed="false">
      <c r="A28" s="0" t="s">
        <v>108</v>
      </c>
      <c r="C28" s="3" t="n">
        <v>40</v>
      </c>
      <c r="D28" s="3" t="n">
        <v>40.4</v>
      </c>
      <c r="E28" s="3" t="n">
        <v>40.8</v>
      </c>
      <c r="F28" s="3" t="n">
        <v>41.2</v>
      </c>
      <c r="G28" s="3" t="n">
        <v>41.5</v>
      </c>
      <c r="H28" s="3" t="n">
        <v>41.8</v>
      </c>
      <c r="I28" s="3" t="n">
        <v>42</v>
      </c>
      <c r="J28" s="3" t="n">
        <v>42</v>
      </c>
      <c r="K28" s="3" t="n">
        <v>42</v>
      </c>
      <c r="L28" s="3" t="n">
        <v>42</v>
      </c>
    </row>
    <row r="29" customFormat="false" ht="15" hidden="false" customHeight="false" outlineLevel="0" collapsed="false">
      <c r="A29" s="0" t="s">
        <v>109</v>
      </c>
      <c r="C29" s="3" t="n">
        <v>0.95</v>
      </c>
      <c r="D29" s="3" t="n">
        <v>0.95</v>
      </c>
      <c r="E29" s="3" t="n">
        <v>0.93</v>
      </c>
      <c r="F29" s="3" t="n">
        <v>0.92</v>
      </c>
      <c r="G29" s="3" t="n">
        <v>0.9</v>
      </c>
      <c r="H29" s="3" t="n">
        <v>0.9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16.51</v>
      </c>
      <c r="D32" s="3" t="n">
        <v>20.26</v>
      </c>
      <c r="E32" s="3" t="n">
        <v>22.09</v>
      </c>
      <c r="F32" s="3" t="n">
        <v>23.88</v>
      </c>
      <c r="G32" s="3" t="n">
        <v>23.88</v>
      </c>
      <c r="H32" s="3" t="n">
        <v>22.09</v>
      </c>
      <c r="I32" s="3" t="n">
        <v>20.26</v>
      </c>
      <c r="J32" s="3" t="n">
        <v>18.4</v>
      </c>
      <c r="K32" s="3" t="n">
        <v>16.51</v>
      </c>
      <c r="L32" s="3" t="n">
        <v>14.58</v>
      </c>
    </row>
    <row r="33" customFormat="false" ht="15" hidden="false" customHeight="false" outlineLevel="0" collapsed="false">
      <c r="A33" s="0" t="s">
        <v>113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114</v>
      </c>
      <c r="B34" s="3" t="n">
        <v>12.5</v>
      </c>
    </row>
    <row r="35" customFormat="false" ht="15" hidden="false" customHeight="false" outlineLevel="0" collapsed="false">
      <c r="A35" s="0" t="s">
        <v>115</v>
      </c>
      <c r="B35" s="3" t="n">
        <v>6.5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</v>
      </c>
      <c r="D41" s="3" t="n">
        <v>13</v>
      </c>
      <c r="E41" s="3" t="n">
        <v>14</v>
      </c>
      <c r="F41" s="3" t="n">
        <v>14</v>
      </c>
      <c r="G41" s="3" t="n">
        <v>14</v>
      </c>
      <c r="H41" s="3" t="n">
        <v>13</v>
      </c>
      <c r="I41" s="3" t="n">
        <v>12</v>
      </c>
      <c r="J41" s="3" t="n">
        <v>10</v>
      </c>
      <c r="K41" s="3" t="n">
        <v>9</v>
      </c>
      <c r="L41" s="3" t="n">
        <v>8</v>
      </c>
    </row>
    <row r="42" customFormat="false" ht="15" hidden="false" customHeight="false" outlineLevel="0" collapsed="false">
      <c r="A42" s="0" t="s">
        <v>108</v>
      </c>
      <c r="C42" s="3" t="n">
        <v>40.5</v>
      </c>
      <c r="D42" s="3" t="n">
        <v>41.5</v>
      </c>
      <c r="E42" s="3" t="n">
        <v>42.5</v>
      </c>
      <c r="F42" s="3" t="n">
        <v>43.5</v>
      </c>
      <c r="G42" s="3" t="n">
        <v>44.3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109</v>
      </c>
      <c r="C43" s="3" t="n">
        <v>0.95</v>
      </c>
      <c r="D43" s="3" t="n">
        <v>0.95</v>
      </c>
      <c r="E43" s="3" t="n">
        <v>0.93</v>
      </c>
      <c r="F43" s="3" t="n">
        <v>0.92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19.09</v>
      </c>
      <c r="D46" s="3" t="n">
        <v>24.16</v>
      </c>
      <c r="E46" s="3" t="n">
        <v>25.79</v>
      </c>
      <c r="F46" s="3" t="n">
        <v>25.79</v>
      </c>
      <c r="G46" s="3" t="n">
        <v>25.79</v>
      </c>
      <c r="H46" s="3" t="n">
        <v>24.16</v>
      </c>
      <c r="I46" s="3" t="n">
        <v>22.5</v>
      </c>
      <c r="J46" s="3" t="n">
        <v>19.09</v>
      </c>
      <c r="K46" s="3" t="n">
        <v>17.34</v>
      </c>
      <c r="L46" s="3" t="n">
        <v>15.56</v>
      </c>
    </row>
    <row r="47" customFormat="false" ht="15" hidden="false" customHeight="false" outlineLevel="0" collapsed="false">
      <c r="A47" s="0" t="s">
        <v>113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114</v>
      </c>
      <c r="B48" s="3" t="n">
        <v>12.5</v>
      </c>
    </row>
    <row r="49" customFormat="false" ht="15" hidden="false" customHeight="false" outlineLevel="0" collapsed="false">
      <c r="A49" s="0" t="s">
        <v>115</v>
      </c>
      <c r="B49" s="3" t="n">
        <v>7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6</v>
      </c>
      <c r="D5" s="4" t="n">
        <f aca="false">Assumptions!D13</f>
        <v>7</v>
      </c>
      <c r="E5" s="4" t="n">
        <f aca="false">Assumptions!E13</f>
        <v>8</v>
      </c>
      <c r="F5" s="4" t="n">
        <f aca="false">Assumptions!F13</f>
        <v>9</v>
      </c>
      <c r="G5" s="4" t="n">
        <f aca="false">Assumptions!G13</f>
        <v>9</v>
      </c>
      <c r="H5" s="4" t="n">
        <f aca="false">Assumptions!H13</f>
        <v>8</v>
      </c>
      <c r="I5" s="4" t="n">
        <f aca="false">Assumptions!I13</f>
        <v>8</v>
      </c>
      <c r="J5" s="4" t="n">
        <f aca="false">Assumptions!J13</f>
        <v>7</v>
      </c>
      <c r="K5" s="4" t="n">
        <f aca="false">Assumptions!K13</f>
        <v>6</v>
      </c>
      <c r="L5" s="4" t="n">
        <f aca="false">Assumptions!L13</f>
        <v>6</v>
      </c>
    </row>
    <row r="6" customFormat="false" ht="15" hidden="false" customHeight="false" outlineLevel="0" collapsed="false">
      <c r="A6" s="0" t="s">
        <v>38</v>
      </c>
      <c r="B6" s="3" t="n">
        <v>2327345.3</v>
      </c>
      <c r="C6" s="0" t="n">
        <f aca="false">B6*(1+C5/100)</f>
        <v>2466986.018</v>
      </c>
      <c r="D6" s="0" t="n">
        <f aca="false">C6*(1+D5/100)</f>
        <v>2639675.03926</v>
      </c>
      <c r="E6" s="0" t="n">
        <f aca="false">D6*(1+E5/100)</f>
        <v>2850849.0424008</v>
      </c>
      <c r="F6" s="0" t="n">
        <f aca="false">E6*(1+F5/100)</f>
        <v>3107425.45621687</v>
      </c>
      <c r="G6" s="0" t="n">
        <f aca="false">F6*(1+G5/100)</f>
        <v>3387093.74727639</v>
      </c>
      <c r="H6" s="0" t="n">
        <f aca="false">G6*(1+H5/100)</f>
        <v>3658061.2470585</v>
      </c>
      <c r="I6" s="0" t="n">
        <f aca="false">H6*(1+I5/100)</f>
        <v>3950706.14682318</v>
      </c>
      <c r="J6" s="0" t="n">
        <f aca="false">I6*(1+J5/100)</f>
        <v>4227255.57710081</v>
      </c>
      <c r="K6" s="0" t="n">
        <f aca="false">J6*(1+K5/100)</f>
        <v>4480890.91172686</v>
      </c>
      <c r="L6" s="0" t="n">
        <f aca="false">K6*(1+L5/100)</f>
        <v>4749744.36643047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39.5</v>
      </c>
      <c r="D7" s="4" t="n">
        <f aca="false">Assumptions!D14</f>
        <v>39</v>
      </c>
      <c r="E7" s="4" t="n">
        <f aca="false">Assumptions!E14</f>
        <v>38.5</v>
      </c>
      <c r="F7" s="4" t="n">
        <f aca="false">Assumptions!F14</f>
        <v>38</v>
      </c>
      <c r="G7" s="4" t="n">
        <f aca="false">Assumptions!G14</f>
        <v>37.5</v>
      </c>
      <c r="H7" s="4" t="n">
        <f aca="false">Assumptions!H14</f>
        <v>37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974459.47711</v>
      </c>
      <c r="D8" s="0" t="n">
        <f aca="false">D6*D7/100</f>
        <v>1029473.2653114</v>
      </c>
      <c r="E8" s="0" t="n">
        <f aca="false">E6*E7/100</f>
        <v>1097576.88132431</v>
      </c>
      <c r="F8" s="0" t="n">
        <f aca="false">F6*F7/100</f>
        <v>1180821.67336241</v>
      </c>
      <c r="G8" s="0" t="n">
        <f aca="false">G6*G7/100</f>
        <v>1270160.15522865</v>
      </c>
      <c r="H8" s="0" t="n">
        <f aca="false">H6*H7/100</f>
        <v>1353482.66141165</v>
      </c>
      <c r="I8" s="0" t="n">
        <f aca="false">I6*I7/100</f>
        <v>1461761.27432458</v>
      </c>
      <c r="J8" s="0" t="n">
        <f aca="false">J6*J7/100</f>
        <v>1564084.5635273</v>
      </c>
      <c r="K8" s="0" t="n">
        <f aca="false">K6*K7/100</f>
        <v>1657929.63733894</v>
      </c>
      <c r="L8" s="0" t="n">
        <f aca="false">L6*L7/100</f>
        <v>1757405.41557927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0.95</v>
      </c>
      <c r="D9" s="4" t="n">
        <f aca="false">Assumptions!D15</f>
        <v>0.95</v>
      </c>
      <c r="E9" s="4" t="n">
        <f aca="false">Assumptions!E15</f>
        <v>0.95</v>
      </c>
      <c r="F9" s="4" t="n">
        <f aca="false">Assumptions!F15</f>
        <v>0.95</v>
      </c>
      <c r="G9" s="4" t="n">
        <f aca="false">Assumptions!G15</f>
        <v>0.95</v>
      </c>
      <c r="H9" s="4" t="n">
        <f aca="false">Assumptions!H15</f>
        <v>0.95</v>
      </c>
      <c r="I9" s="4" t="n">
        <f aca="false">Assumptions!I15</f>
        <v>0.95</v>
      </c>
      <c r="J9" s="4" t="n">
        <f aca="false">Assumptions!J15</f>
        <v>0.95</v>
      </c>
      <c r="K9" s="4" t="n">
        <f aca="false">Assumptions!K15</f>
        <v>0.95</v>
      </c>
      <c r="L9" s="4" t="n">
        <f aca="false">Assumptions!L15</f>
        <v>0.95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-23436.367171</v>
      </c>
      <c r="D10" s="0" t="n">
        <f aca="false">-D6*D9/100</f>
        <v>-25076.91287297</v>
      </c>
      <c r="E10" s="0" t="n">
        <f aca="false">-E6*E9/100</f>
        <v>-27083.0659028076</v>
      </c>
      <c r="F10" s="0" t="n">
        <f aca="false">-F6*F9/100</f>
        <v>-29520.5418340603</v>
      </c>
      <c r="G10" s="0" t="n">
        <f aca="false">-G6*G9/100</f>
        <v>-32177.3905991257</v>
      </c>
      <c r="H10" s="0" t="n">
        <f aca="false">-H6*H9/100</f>
        <v>-34751.5818470558</v>
      </c>
      <c r="I10" s="0" t="n">
        <f aca="false">-I6*I9/100</f>
        <v>-37531.7083948202</v>
      </c>
      <c r="J10" s="0" t="n">
        <f aca="false">-J6*J9/100</f>
        <v>-40158.9279824577</v>
      </c>
      <c r="K10" s="0" t="n">
        <f aca="false">-K6*K9/100</f>
        <v>-42568.4636614051</v>
      </c>
      <c r="L10" s="0" t="n">
        <f aca="false">-L6*L9/100</f>
        <v>-45122.5714810894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951023.109939</v>
      </c>
      <c r="D11" s="0" t="n">
        <f aca="false">D8+D10+D24</f>
        <v>1004396.35243843</v>
      </c>
      <c r="E11" s="0" t="n">
        <f aca="false">E8+E10+E24</f>
        <v>1070493.8154215</v>
      </c>
      <c r="F11" s="0" t="n">
        <f aca="false">F8+F10+F24</f>
        <v>1151301.13152835</v>
      </c>
      <c r="G11" s="0" t="n">
        <f aca="false">G8+G10+G24</f>
        <v>1237982.76462952</v>
      </c>
      <c r="H11" s="0" t="n">
        <f aca="false">H8+H10+H24</f>
        <v>1318731.07956459</v>
      </c>
      <c r="I11" s="0" t="n">
        <f aca="false">I8+I10+I24</f>
        <v>1424229.56592976</v>
      </c>
      <c r="J11" s="0" t="n">
        <f aca="false">J8+J10+J24</f>
        <v>1523925.63554484</v>
      </c>
      <c r="K11" s="0" t="n">
        <f aca="false">K8+K10+K24</f>
        <v>1615361.17367753</v>
      </c>
      <c r="L11" s="0" t="n">
        <f aca="false">L8+L10+L24</f>
        <v>1712282.84409818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951023.109939</v>
      </c>
      <c r="D13" s="0" t="n">
        <f aca="false">D11+D12</f>
        <v>1004396.35243843</v>
      </c>
      <c r="E13" s="0" t="n">
        <f aca="false">E11+E12</f>
        <v>1070493.8154215</v>
      </c>
      <c r="F13" s="0" t="n">
        <f aca="false">F11+F12</f>
        <v>1151301.13152835</v>
      </c>
      <c r="G13" s="0" t="n">
        <f aca="false">G11+G12</f>
        <v>1237982.76462952</v>
      </c>
      <c r="H13" s="0" t="n">
        <f aca="false">H11+H12</f>
        <v>1318731.07956459</v>
      </c>
      <c r="I13" s="0" t="n">
        <f aca="false">I11+I12</f>
        <v>1424229.56592976</v>
      </c>
      <c r="J13" s="0" t="n">
        <f aca="false">J11+J12</f>
        <v>1523925.63554484</v>
      </c>
      <c r="K13" s="0" t="n">
        <f aca="false">K11+K12</f>
        <v>1615361.17367753</v>
      </c>
      <c r="L13" s="0" t="n">
        <f aca="false">L11+L12</f>
        <v>1712282.84409818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732287.79465303</v>
      </c>
      <c r="D15" s="0" t="n">
        <f aca="false">D13-MAX(0,D13)*D14/100</f>
        <v>773385.191377591</v>
      </c>
      <c r="E15" s="0" t="n">
        <f aca="false">E13-MAX(0,E13)*E14/100</f>
        <v>824280.237874556</v>
      </c>
      <c r="F15" s="0" t="n">
        <f aca="false">F13-MAX(0,F13)*F14/100</f>
        <v>886501.871276831</v>
      </c>
      <c r="G15" s="0" t="n">
        <f aca="false">G13-MAX(0,G13)*G14/100</f>
        <v>953246.728764731</v>
      </c>
      <c r="H15" s="0" t="n">
        <f aca="false">H13-MAX(0,H13)*H14/100</f>
        <v>1015422.93126473</v>
      </c>
      <c r="I15" s="0" t="n">
        <f aca="false">I13-MAX(0,I13)*I14/100</f>
        <v>1096656.76576591</v>
      </c>
      <c r="J15" s="0" t="n">
        <f aca="false">J13-MAX(0,J13)*J14/100</f>
        <v>1173422.73936953</v>
      </c>
      <c r="K15" s="0" t="n">
        <f aca="false">K13-MAX(0,K13)*K14/100</f>
        <v>1243828.1037317</v>
      </c>
      <c r="L15" s="0" t="n">
        <f aca="false">L13-MAX(0,L13)*L14/100</f>
        <v>1318457.7899556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-311333.6354716</v>
      </c>
      <c r="D17" s="4" t="n">
        <f aca="false">-D6*Assumptions!D18/100</f>
        <v>-384864.620724108</v>
      </c>
      <c r="E17" s="4" t="n">
        <f aca="false">-E6*Assumptions!E18/100</f>
        <v>-470675.176900372</v>
      </c>
      <c r="F17" s="4" t="n">
        <f aca="false">-F6*Assumptions!F18/100</f>
        <v>-571766.283943905</v>
      </c>
      <c r="G17" s="4" t="n">
        <f aca="false">-G6*Assumptions!G18/100</f>
        <v>-623225.249498856</v>
      </c>
      <c r="H17" s="4" t="n">
        <f aca="false">-H6*Assumptions!H18/100</f>
        <v>-603945.911889359</v>
      </c>
      <c r="I17" s="4" t="n">
        <f aca="false">-I6*Assumptions!I18/100</f>
        <v>-652261.584840508</v>
      </c>
      <c r="J17" s="4" t="n">
        <f aca="false">-J6*Assumptions!J18/100</f>
        <v>-616333.863141298</v>
      </c>
      <c r="K17" s="4" t="n">
        <f aca="false">-K6*Assumptions!K18/100</f>
        <v>-565488.433059929</v>
      </c>
      <c r="L17" s="4" t="n">
        <f aca="false">-L6*Assumptions!L18/100</f>
        <v>-599417.739043525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420954.15918143</v>
      </c>
      <c r="D19" s="0" t="n">
        <f aca="false">D15+D16+D17+D18</f>
        <v>388520.570653483</v>
      </c>
      <c r="E19" s="0" t="n">
        <f aca="false">E15+E16+E17+E18</f>
        <v>353605.060974183</v>
      </c>
      <c r="F19" s="0" t="n">
        <f aca="false">F15+F16+F17+F18</f>
        <v>314735.587332926</v>
      </c>
      <c r="G19" s="0" t="n">
        <f aca="false">G15+G16+G17+G18</f>
        <v>330021.479265875</v>
      </c>
      <c r="H19" s="0" t="n">
        <f aca="false">H15+H16+H17+H18</f>
        <v>411477.019375376</v>
      </c>
      <c r="I19" s="0" t="n">
        <f aca="false">I15+I16+I17+I18</f>
        <v>444395.180925406</v>
      </c>
      <c r="J19" s="0" t="n">
        <f aca="false">J15+J16+J17+J18</f>
        <v>557088.87622823</v>
      </c>
      <c r="K19" s="0" t="n">
        <f aca="false">K15+K16+K17+K18</f>
        <v>678339.67067177</v>
      </c>
      <c r="L19" s="0" t="n">
        <f aca="false">L15+L16+L17+L18</f>
        <v>719040.050912077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374181.474827938</v>
      </c>
      <c r="D21" s="0" t="n">
        <f aca="false">D19*D20</f>
        <v>306979.216318802</v>
      </c>
      <c r="E21" s="0" t="n">
        <f aca="false">E19*E20</f>
        <v>248348.136102581</v>
      </c>
      <c r="F21" s="0" t="n">
        <f aca="false">F19*F20</f>
        <v>196487.877719199</v>
      </c>
      <c r="G21" s="0" t="n">
        <f aca="false">G19*G20</f>
        <v>183138.475377808</v>
      </c>
      <c r="H21" s="0" t="n">
        <f aca="false">H19*H20</f>
        <v>202969.34517122</v>
      </c>
      <c r="I21" s="0" t="n">
        <f aca="false">I19*I20</f>
        <v>194850.571364371</v>
      </c>
      <c r="J21" s="0" t="n">
        <f aca="false">J19*J20</f>
        <v>217122.238130014</v>
      </c>
      <c r="K21" s="0" t="n">
        <f aca="false">K19*K20</f>
        <v>235003.599434911</v>
      </c>
      <c r="L21" s="0" t="n">
        <f aca="false">L19*L20</f>
        <v>221425.613689783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5.5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2380506.54813663</v>
      </c>
    </row>
    <row r="31" customFormat="false" ht="15" hidden="false" customHeight="false" outlineLevel="0" collapsed="false">
      <c r="A31" s="0" t="s">
        <v>138</v>
      </c>
      <c r="B31" s="0" t="n">
        <f aca="false">L19</f>
        <v>719040.050912077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10836960.7673177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10785600.7636811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10785600.7636811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3321384.20534674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5701890.75348337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5701890.75348337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11.5028118977196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-0.485102421767251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173845.773369673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209422.353904269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12.2760047498854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7985128.98644464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8.28692483788151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8</v>
      </c>
      <c r="D5" s="4" t="n">
        <f aca="false">Assumptions!D27</f>
        <v>10</v>
      </c>
      <c r="E5" s="4" t="n">
        <f aca="false">Assumptions!E27</f>
        <v>11</v>
      </c>
      <c r="F5" s="4" t="n">
        <f aca="false">Assumptions!F27</f>
        <v>12</v>
      </c>
      <c r="G5" s="4" t="n">
        <f aca="false">Assumptions!G27</f>
        <v>12</v>
      </c>
      <c r="H5" s="4" t="n">
        <f aca="false">Assumptions!H27</f>
        <v>11</v>
      </c>
      <c r="I5" s="4" t="n">
        <f aca="false">Assumptions!I27</f>
        <v>10</v>
      </c>
      <c r="J5" s="4" t="n">
        <f aca="false">Assumptions!J27</f>
        <v>9</v>
      </c>
      <c r="K5" s="4" t="n">
        <f aca="false">Assumptions!K27</f>
        <v>8</v>
      </c>
      <c r="L5" s="4" t="n">
        <f aca="false">Assumptions!L27</f>
        <v>7</v>
      </c>
    </row>
    <row r="6" customFormat="false" ht="15" hidden="false" customHeight="false" outlineLevel="0" collapsed="false">
      <c r="A6" s="0" t="s">
        <v>38</v>
      </c>
      <c r="B6" s="3" t="n">
        <v>2327345.3</v>
      </c>
      <c r="C6" s="0" t="n">
        <f aca="false">B6*(1+C5/100)</f>
        <v>2513532.924</v>
      </c>
      <c r="D6" s="0" t="n">
        <f aca="false">C6*(1+D5/100)</f>
        <v>2764886.2164</v>
      </c>
      <c r="E6" s="0" t="n">
        <f aca="false">D6*(1+E5/100)</f>
        <v>3069023.700204</v>
      </c>
      <c r="F6" s="0" t="n">
        <f aca="false">E6*(1+F5/100)</f>
        <v>3437306.54422848</v>
      </c>
      <c r="G6" s="0" t="n">
        <f aca="false">F6*(1+G5/100)</f>
        <v>3849783.3295359</v>
      </c>
      <c r="H6" s="0" t="n">
        <f aca="false">G6*(1+H5/100)</f>
        <v>4273259.49578485</v>
      </c>
      <c r="I6" s="0" t="n">
        <f aca="false">H6*(1+I5/100)</f>
        <v>4700585.44536333</v>
      </c>
      <c r="J6" s="0" t="n">
        <f aca="false">I6*(1+J5/100)</f>
        <v>5123638.13544603</v>
      </c>
      <c r="K6" s="0" t="n">
        <f aca="false">J6*(1+K5/100)</f>
        <v>5533529.18628172</v>
      </c>
      <c r="L6" s="0" t="n">
        <f aca="false">K6*(1+L5/100)</f>
        <v>5920876.22932144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40</v>
      </c>
      <c r="D7" s="4" t="n">
        <f aca="false">Assumptions!D28</f>
        <v>40.4</v>
      </c>
      <c r="E7" s="4" t="n">
        <f aca="false">Assumptions!E28</f>
        <v>40.8</v>
      </c>
      <c r="F7" s="4" t="n">
        <f aca="false">Assumptions!F28</f>
        <v>41.2</v>
      </c>
      <c r="G7" s="4" t="n">
        <f aca="false">Assumptions!G28</f>
        <v>41.5</v>
      </c>
      <c r="H7" s="4" t="n">
        <f aca="false">Assumptions!H28</f>
        <v>41.8</v>
      </c>
      <c r="I7" s="4" t="n">
        <f aca="false">Assumptions!I28</f>
        <v>42</v>
      </c>
      <c r="J7" s="4" t="n">
        <f aca="false">Assumptions!J28</f>
        <v>42</v>
      </c>
      <c r="K7" s="4" t="n">
        <f aca="false">Assumptions!K28</f>
        <v>42</v>
      </c>
      <c r="L7" s="4" t="n">
        <f aca="false">Assumptions!L28</f>
        <v>42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1005413.1696</v>
      </c>
      <c r="D8" s="0" t="n">
        <f aca="false">D6*D7/100</f>
        <v>1117014.0314256</v>
      </c>
      <c r="E8" s="0" t="n">
        <f aca="false">E6*E7/100</f>
        <v>1252161.66968323</v>
      </c>
      <c r="F8" s="0" t="n">
        <f aca="false">F6*F7/100</f>
        <v>1416170.29622213</v>
      </c>
      <c r="G8" s="0" t="n">
        <f aca="false">G6*G7/100</f>
        <v>1597660.0817574</v>
      </c>
      <c r="H8" s="0" t="n">
        <f aca="false">H6*H7/100</f>
        <v>1786222.46923807</v>
      </c>
      <c r="I8" s="0" t="n">
        <f aca="false">I6*I7/100</f>
        <v>1974245.8870526</v>
      </c>
      <c r="J8" s="0" t="n">
        <f aca="false">J6*J7/100</f>
        <v>2151928.01688733</v>
      </c>
      <c r="K8" s="0" t="n">
        <f aca="false">K6*K7/100</f>
        <v>2324082.25823832</v>
      </c>
      <c r="L8" s="0" t="n">
        <f aca="false">L6*L7/100</f>
        <v>2486768.016315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0.95</v>
      </c>
      <c r="D9" s="4" t="n">
        <f aca="false">Assumptions!D29</f>
        <v>0.95</v>
      </c>
      <c r="E9" s="4" t="n">
        <f aca="false">Assumptions!E29</f>
        <v>0.93</v>
      </c>
      <c r="F9" s="4" t="n">
        <f aca="false">Assumptions!F29</f>
        <v>0.92</v>
      </c>
      <c r="G9" s="4" t="n">
        <f aca="false">Assumptions!G29</f>
        <v>0.9</v>
      </c>
      <c r="H9" s="4" t="n">
        <f aca="false">Assumptions!H29</f>
        <v>0.9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-23878.562778</v>
      </c>
      <c r="D10" s="0" t="n">
        <f aca="false">-D6*D9/100</f>
        <v>-26266.4190558</v>
      </c>
      <c r="E10" s="0" t="n">
        <f aca="false">-E6*E9/100</f>
        <v>-28541.9204118972</v>
      </c>
      <c r="F10" s="0" t="n">
        <f aca="false">-F6*F9/100</f>
        <v>-31623.220206902</v>
      </c>
      <c r="G10" s="0" t="n">
        <f aca="false">-G6*G9/100</f>
        <v>-34648.0499658231</v>
      </c>
      <c r="H10" s="0" t="n">
        <f aca="false">-H6*H9/100</f>
        <v>-38459.3354620636</v>
      </c>
      <c r="I10" s="0" t="n">
        <f aca="false">-I6*I9/100</f>
        <v>-42305.26900827</v>
      </c>
      <c r="J10" s="0" t="n">
        <f aca="false">-J6*J9/100</f>
        <v>-46112.7432190143</v>
      </c>
      <c r="K10" s="0" t="n">
        <f aca="false">-K6*K9/100</f>
        <v>-49801.7626765355</v>
      </c>
      <c r="L10" s="0" t="n">
        <f aca="false">-L6*L9/100</f>
        <v>-53287.8860638929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981534.606822</v>
      </c>
      <c r="D11" s="0" t="n">
        <f aca="false">D8+D10+D24</f>
        <v>1090747.6123698</v>
      </c>
      <c r="E11" s="0" t="n">
        <f aca="false">E8+E10+E24</f>
        <v>1223619.74927133</v>
      </c>
      <c r="F11" s="0" t="n">
        <f aca="false">F8+F10+F24</f>
        <v>1384547.07601523</v>
      </c>
      <c r="G11" s="0" t="n">
        <f aca="false">G8+G10+G24</f>
        <v>1563012.03179157</v>
      </c>
      <c r="H11" s="0" t="n">
        <f aca="false">H8+H10+H24</f>
        <v>1747763.133776</v>
      </c>
      <c r="I11" s="0" t="n">
        <f aca="false">I8+I10+I24</f>
        <v>1931940.61804433</v>
      </c>
      <c r="J11" s="0" t="n">
        <f aca="false">J8+J10+J24</f>
        <v>2105815.27366832</v>
      </c>
      <c r="K11" s="0" t="n">
        <f aca="false">K8+K10+K24</f>
        <v>2274280.49556179</v>
      </c>
      <c r="L11" s="0" t="n">
        <f aca="false">L8+L10+L24</f>
        <v>2433480.13025111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981534.606822</v>
      </c>
      <c r="D13" s="0" t="n">
        <f aca="false">D11+D12</f>
        <v>1090747.6123698</v>
      </c>
      <c r="E13" s="0" t="n">
        <f aca="false">E11+E12</f>
        <v>1223619.74927133</v>
      </c>
      <c r="F13" s="0" t="n">
        <f aca="false">F11+F12</f>
        <v>1384547.07601523</v>
      </c>
      <c r="G13" s="0" t="n">
        <f aca="false">G11+G12</f>
        <v>1563012.03179157</v>
      </c>
      <c r="H13" s="0" t="n">
        <f aca="false">H11+H12</f>
        <v>1747763.133776</v>
      </c>
      <c r="I13" s="0" t="n">
        <f aca="false">I11+I12</f>
        <v>1931940.61804433</v>
      </c>
      <c r="J13" s="0" t="n">
        <f aca="false">J11+J12</f>
        <v>2105815.27366832</v>
      </c>
      <c r="K13" s="0" t="n">
        <f aca="false">K11+K12</f>
        <v>2274280.49556179</v>
      </c>
      <c r="L13" s="0" t="n">
        <f aca="false">L11+L12</f>
        <v>2433480.13025111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755781.64725294</v>
      </c>
      <c r="D15" s="0" t="n">
        <f aca="false">D13-MAX(0,D13)*D14/100</f>
        <v>839875.661524746</v>
      </c>
      <c r="E15" s="0" t="n">
        <f aca="false">E13-MAX(0,E13)*E14/100</f>
        <v>942187.206938928</v>
      </c>
      <c r="F15" s="0" t="n">
        <f aca="false">F13-MAX(0,F13)*F14/100</f>
        <v>1066101.24853173</v>
      </c>
      <c r="G15" s="0" t="n">
        <f aca="false">G13-MAX(0,G13)*G14/100</f>
        <v>1203519.26447951</v>
      </c>
      <c r="H15" s="0" t="n">
        <f aca="false">H13-MAX(0,H13)*H14/100</f>
        <v>1345777.61300752</v>
      </c>
      <c r="I15" s="0" t="n">
        <f aca="false">I13-MAX(0,I13)*I14/100</f>
        <v>1487594.27589413</v>
      </c>
      <c r="J15" s="0" t="n">
        <f aca="false">J13-MAX(0,J13)*J14/100</f>
        <v>1621477.76072461</v>
      </c>
      <c r="K15" s="0" t="n">
        <f aca="false">K13-MAX(0,K13)*K14/100</f>
        <v>1751195.98158257</v>
      </c>
      <c r="L15" s="0" t="n">
        <f aca="false">L13-MAX(0,L13)*L14/100</f>
        <v>1873779.70029336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-414984.2857524</v>
      </c>
      <c r="D17" s="4" t="n">
        <f aca="false">-D6*Assumptions!D32/100</f>
        <v>-560165.94744264</v>
      </c>
      <c r="E17" s="4" t="n">
        <f aca="false">-E6*Assumptions!E32/100</f>
        <v>-677947.335375064</v>
      </c>
      <c r="F17" s="4" t="n">
        <f aca="false">-F6*Assumptions!F32/100</f>
        <v>-820828.802761761</v>
      </c>
      <c r="G17" s="4" t="n">
        <f aca="false">-G6*Assumptions!G32/100</f>
        <v>-919328.259093173</v>
      </c>
      <c r="H17" s="4" t="n">
        <f aca="false">-H6*Assumptions!H32/100</f>
        <v>-943963.022618873</v>
      </c>
      <c r="I17" s="4" t="n">
        <f aca="false">-I6*Assumptions!I32/100</f>
        <v>-952338.611230612</v>
      </c>
      <c r="J17" s="4" t="n">
        <f aca="false">-J6*Assumptions!J32/100</f>
        <v>-942749.41692207</v>
      </c>
      <c r="K17" s="4" t="n">
        <f aca="false">-K6*Assumptions!K32/100</f>
        <v>-913585.668655112</v>
      </c>
      <c r="L17" s="4" t="n">
        <f aca="false">-L6*Assumptions!L32/100</f>
        <v>-863263.754235066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340797.36150054</v>
      </c>
      <c r="D19" s="0" t="n">
        <f aca="false">D15+D16+D17+D18</f>
        <v>279709.714082106</v>
      </c>
      <c r="E19" s="0" t="n">
        <f aca="false">E15+E16+E17+E18</f>
        <v>264239.871563864</v>
      </c>
      <c r="F19" s="0" t="n">
        <f aca="false">F15+F16+F17+F18</f>
        <v>245272.445769968</v>
      </c>
      <c r="G19" s="0" t="n">
        <f aca="false">G15+G16+G17+G18</f>
        <v>284191.00538634</v>
      </c>
      <c r="H19" s="0" t="n">
        <f aca="false">H15+H16+H17+H18</f>
        <v>401814.590388649</v>
      </c>
      <c r="I19" s="0" t="n">
        <f aca="false">I15+I16+I17+I18</f>
        <v>535255.664663523</v>
      </c>
      <c r="J19" s="0" t="n">
        <f aca="false">J15+J16+J17+J18</f>
        <v>678728.343802536</v>
      </c>
      <c r="K19" s="0" t="n">
        <f aca="false">K15+K16+K17+K18</f>
        <v>837610.312927463</v>
      </c>
      <c r="L19" s="0" t="n">
        <f aca="false">L15+L16+L17+L18</f>
        <v>1010515.94605829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302930.98800048</v>
      </c>
      <c r="D21" s="0" t="n">
        <f aca="false">D19*D20</f>
        <v>221005.206188331</v>
      </c>
      <c r="E21" s="0" t="n">
        <f aca="false">E19*E20</f>
        <v>185584.107326061</v>
      </c>
      <c r="F21" s="0" t="n">
        <f aca="false">F19*F20</f>
        <v>153122.380410576</v>
      </c>
      <c r="G21" s="0" t="n">
        <f aca="false">G19*G20</f>
        <v>157705.818294968</v>
      </c>
      <c r="H21" s="0" t="n">
        <f aca="false">H19*H20</f>
        <v>198203.157044417</v>
      </c>
      <c r="I21" s="0" t="n">
        <f aca="false">I19*I20</f>
        <v>234689.475859123</v>
      </c>
      <c r="J21" s="0" t="n">
        <f aca="false">J19*J20</f>
        <v>264530.532518317</v>
      </c>
      <c r="K21" s="0" t="n">
        <f aca="false">K19*K20</f>
        <v>290181.227742173</v>
      </c>
      <c r="L21" s="0" t="n">
        <f aca="false">L19*L20</f>
        <v>311184.492735063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6.5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2319137.38611951</v>
      </c>
    </row>
    <row r="31" customFormat="false" ht="15" hidden="false" customHeight="false" outlineLevel="0" collapsed="false">
      <c r="A31" s="0" t="s">
        <v>138</v>
      </c>
      <c r="B31" s="0" t="n">
        <f aca="false">L19</f>
        <v>1010515.94605829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17936658.0425346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18189287.0290492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17936658.0425346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5523524.74604736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7842662.13216687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7842662.13216687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15.821535554425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-0.291784442505596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190149.819151734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291273.936335772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16.7927444291449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12661170.3829656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10.4448523696735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</v>
      </c>
      <c r="D5" s="4" t="n">
        <f aca="false">Assumptions!D41</f>
        <v>13</v>
      </c>
      <c r="E5" s="4" t="n">
        <f aca="false">Assumptions!E41</f>
        <v>14</v>
      </c>
      <c r="F5" s="4" t="n">
        <f aca="false">Assumptions!F41</f>
        <v>14</v>
      </c>
      <c r="G5" s="4" t="n">
        <f aca="false">Assumptions!G41</f>
        <v>14</v>
      </c>
      <c r="H5" s="4" t="n">
        <f aca="false">Assumptions!H41</f>
        <v>13</v>
      </c>
      <c r="I5" s="4" t="n">
        <f aca="false">Assumptions!I41</f>
        <v>12</v>
      </c>
      <c r="J5" s="4" t="n">
        <f aca="false">Assumptions!J41</f>
        <v>10</v>
      </c>
      <c r="K5" s="4" t="n">
        <f aca="false">Assumptions!K41</f>
        <v>9</v>
      </c>
      <c r="L5" s="4" t="n">
        <f aca="false">Assumptions!L41</f>
        <v>8</v>
      </c>
    </row>
    <row r="6" customFormat="false" ht="15" hidden="false" customHeight="false" outlineLevel="0" collapsed="false">
      <c r="A6" s="0" t="s">
        <v>38</v>
      </c>
      <c r="B6" s="3" t="n">
        <v>2327345.3</v>
      </c>
      <c r="C6" s="0" t="n">
        <f aca="false">B6*(1+C5/100)</f>
        <v>2560079.83</v>
      </c>
      <c r="D6" s="0" t="n">
        <f aca="false">C6*(1+D5/100)</f>
        <v>2892890.2079</v>
      </c>
      <c r="E6" s="0" t="n">
        <f aca="false">D6*(1+E5/100)</f>
        <v>3297894.837006</v>
      </c>
      <c r="F6" s="0" t="n">
        <f aca="false">E6*(1+F5/100)</f>
        <v>3759600.11418684</v>
      </c>
      <c r="G6" s="0" t="n">
        <f aca="false">F6*(1+G5/100)</f>
        <v>4285944.130173</v>
      </c>
      <c r="H6" s="0" t="n">
        <f aca="false">G6*(1+H5/100)</f>
        <v>4843116.86709549</v>
      </c>
      <c r="I6" s="0" t="n">
        <f aca="false">H6*(1+I5/100)</f>
        <v>5424290.89114695</v>
      </c>
      <c r="J6" s="0" t="n">
        <f aca="false">I6*(1+J5/100)</f>
        <v>5966719.98026164</v>
      </c>
      <c r="K6" s="0" t="n">
        <f aca="false">J6*(1+K5/100)</f>
        <v>6503724.77848519</v>
      </c>
      <c r="L6" s="0" t="n">
        <f aca="false">K6*(1+L5/100)</f>
        <v>7024022.76076401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40.5</v>
      </c>
      <c r="D7" s="4" t="n">
        <f aca="false">Assumptions!D42</f>
        <v>41.5</v>
      </c>
      <c r="E7" s="4" t="n">
        <f aca="false">Assumptions!E42</f>
        <v>42.5</v>
      </c>
      <c r="F7" s="4" t="n">
        <f aca="false">Assumptions!F42</f>
        <v>43.5</v>
      </c>
      <c r="G7" s="4" t="n">
        <f aca="false">Assumptions!G42</f>
        <v>44.3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1036832.33115</v>
      </c>
      <c r="D8" s="0" t="n">
        <f aca="false">D6*D7/100</f>
        <v>1200549.4362785</v>
      </c>
      <c r="E8" s="0" t="n">
        <f aca="false">E6*E7/100</f>
        <v>1401605.30572755</v>
      </c>
      <c r="F8" s="0" t="n">
        <f aca="false">F6*F7/100</f>
        <v>1635426.04967128</v>
      </c>
      <c r="G8" s="0" t="n">
        <f aca="false">G6*G7/100</f>
        <v>1898673.24966664</v>
      </c>
      <c r="H8" s="0" t="n">
        <f aca="false">H6*H7/100</f>
        <v>2179402.59019297</v>
      </c>
      <c r="I8" s="0" t="n">
        <f aca="false">I6*I7/100</f>
        <v>2440930.90101613</v>
      </c>
      <c r="J8" s="0" t="n">
        <f aca="false">J6*J7/100</f>
        <v>2685023.99111774</v>
      </c>
      <c r="K8" s="0" t="n">
        <f aca="false">K6*K7/100</f>
        <v>2926676.15031834</v>
      </c>
      <c r="L8" s="0" t="n">
        <f aca="false">L6*L7/100</f>
        <v>3160810.2423438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0.95</v>
      </c>
      <c r="D9" s="4" t="n">
        <f aca="false">Assumptions!D43</f>
        <v>0.95</v>
      </c>
      <c r="E9" s="4" t="n">
        <f aca="false">Assumptions!E43</f>
        <v>0.93</v>
      </c>
      <c r="F9" s="4" t="n">
        <f aca="false">Assumptions!F43</f>
        <v>0.92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-24320.758385</v>
      </c>
      <c r="D10" s="0" t="n">
        <f aca="false">-D6*D9/100</f>
        <v>-27482.45697505</v>
      </c>
      <c r="E10" s="0" t="n">
        <f aca="false">-E6*E9/100</f>
        <v>-30670.4219841558</v>
      </c>
      <c r="F10" s="0" t="n">
        <f aca="false">-F6*F9/100</f>
        <v>-34588.3210505189</v>
      </c>
      <c r="G10" s="0" t="n">
        <f aca="false">-G6*G9/100</f>
        <v>-38573.497171557</v>
      </c>
      <c r="H10" s="0" t="n">
        <f aca="false">-H6*H9/100</f>
        <v>-43588.0518038594</v>
      </c>
      <c r="I10" s="0" t="n">
        <f aca="false">-I6*I9/100</f>
        <v>-48818.6180203225</v>
      </c>
      <c r="J10" s="0" t="n">
        <f aca="false">-J6*J9/100</f>
        <v>-53700.4798223548</v>
      </c>
      <c r="K10" s="0" t="n">
        <f aca="false">-K6*K9/100</f>
        <v>-58533.5230063667</v>
      </c>
      <c r="L10" s="0" t="n">
        <f aca="false">-L6*L9/100</f>
        <v>-63216.2048468761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1012511.572765</v>
      </c>
      <c r="D11" s="0" t="n">
        <f aca="false">D8+D10+D24</f>
        <v>1173066.97930345</v>
      </c>
      <c r="E11" s="0" t="n">
        <f aca="false">E8+E10+E24</f>
        <v>1370934.88374339</v>
      </c>
      <c r="F11" s="0" t="n">
        <f aca="false">F8+F10+F24</f>
        <v>1600837.72862076</v>
      </c>
      <c r="G11" s="0" t="n">
        <f aca="false">G8+G10+G24</f>
        <v>1860099.75249508</v>
      </c>
      <c r="H11" s="0" t="n">
        <f aca="false">H8+H10+H24</f>
        <v>2135814.53838911</v>
      </c>
      <c r="I11" s="0" t="n">
        <f aca="false">I8+I10+I24</f>
        <v>2392112.2829958</v>
      </c>
      <c r="J11" s="0" t="n">
        <f aca="false">J8+J10+J24</f>
        <v>2631323.51129538</v>
      </c>
      <c r="K11" s="0" t="n">
        <f aca="false">K8+K10+K24</f>
        <v>2868142.62731197</v>
      </c>
      <c r="L11" s="0" t="n">
        <f aca="false">L8+L10+L24</f>
        <v>3097594.03749693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1012511.572765</v>
      </c>
      <c r="D13" s="0" t="n">
        <f aca="false">D11+D12</f>
        <v>1173066.97930345</v>
      </c>
      <c r="E13" s="0" t="n">
        <f aca="false">E11+E12</f>
        <v>1370934.88374339</v>
      </c>
      <c r="F13" s="0" t="n">
        <f aca="false">F11+F12</f>
        <v>1600837.72862076</v>
      </c>
      <c r="G13" s="0" t="n">
        <f aca="false">G11+G12</f>
        <v>1860099.75249508</v>
      </c>
      <c r="H13" s="0" t="n">
        <f aca="false">H11+H12</f>
        <v>2135814.53838911</v>
      </c>
      <c r="I13" s="0" t="n">
        <f aca="false">I11+I12</f>
        <v>2392112.2829958</v>
      </c>
      <c r="J13" s="0" t="n">
        <f aca="false">J11+J12</f>
        <v>2631323.51129538</v>
      </c>
      <c r="K13" s="0" t="n">
        <f aca="false">K11+K12</f>
        <v>2868142.62731197</v>
      </c>
      <c r="L13" s="0" t="n">
        <f aca="false">L11+L12</f>
        <v>3097594.03749693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779633.91102905</v>
      </c>
      <c r="D15" s="0" t="n">
        <f aca="false">D13-MAX(0,D13)*D14/100</f>
        <v>903261.574063656</v>
      </c>
      <c r="E15" s="0" t="n">
        <f aca="false">E13-MAX(0,E13)*E14/100</f>
        <v>1055619.86048241</v>
      </c>
      <c r="F15" s="0" t="n">
        <f aca="false">F13-MAX(0,F13)*F14/100</f>
        <v>1232645.05103798</v>
      </c>
      <c r="G15" s="0" t="n">
        <f aca="false">G13-MAX(0,G13)*G14/100</f>
        <v>1432276.80942121</v>
      </c>
      <c r="H15" s="0" t="n">
        <f aca="false">H13-MAX(0,H13)*H14/100</f>
        <v>1644577.19455962</v>
      </c>
      <c r="I15" s="0" t="n">
        <f aca="false">I13-MAX(0,I13)*I14/100</f>
        <v>1841926.45790677</v>
      </c>
      <c r="J15" s="0" t="n">
        <f aca="false">J13-MAX(0,J13)*J14/100</f>
        <v>2026119.10369745</v>
      </c>
      <c r="K15" s="0" t="n">
        <f aca="false">K13-MAX(0,K13)*K14/100</f>
        <v>2208469.82303022</v>
      </c>
      <c r="L15" s="0" t="n">
        <f aca="false">L13-MAX(0,L13)*L14/100</f>
        <v>2385147.40887263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-488719.239547</v>
      </c>
      <c r="D17" s="4" t="n">
        <f aca="false">-D6*Assumptions!D46/100</f>
        <v>-698922.27422864</v>
      </c>
      <c r="E17" s="4" t="n">
        <f aca="false">-E6*Assumptions!E46/100</f>
        <v>-850527.078463848</v>
      </c>
      <c r="F17" s="4" t="n">
        <f aca="false">-F6*Assumptions!F46/100</f>
        <v>-969600.869448786</v>
      </c>
      <c r="G17" s="4" t="n">
        <f aca="false">-G6*Assumptions!G46/100</f>
        <v>-1105344.99117162</v>
      </c>
      <c r="H17" s="4" t="n">
        <f aca="false">-H6*Assumptions!H46/100</f>
        <v>-1170097.03509027</v>
      </c>
      <c r="I17" s="4" t="n">
        <f aca="false">-I6*Assumptions!I46/100</f>
        <v>-1220465.45050806</v>
      </c>
      <c r="J17" s="4" t="n">
        <f aca="false">-J6*Assumptions!J46/100</f>
        <v>-1139046.84423195</v>
      </c>
      <c r="K17" s="4" t="n">
        <f aca="false">-K6*Assumptions!K46/100</f>
        <v>-1127745.87658933</v>
      </c>
      <c r="L17" s="4" t="n">
        <f aca="false">-L6*Assumptions!L46/100</f>
        <v>-1092937.94157488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290914.67148205</v>
      </c>
      <c r="D19" s="0" t="n">
        <f aca="false">D15+D16+D17+D18</f>
        <v>204339.299835016</v>
      </c>
      <c r="E19" s="0" t="n">
        <f aca="false">E15+E16+E17+E18</f>
        <v>205092.782018566</v>
      </c>
      <c r="F19" s="0" t="n">
        <f aca="false">F15+F16+F17+F18</f>
        <v>263044.181589196</v>
      </c>
      <c r="G19" s="0" t="n">
        <f aca="false">G15+G16+G17+G18</f>
        <v>326931.818249596</v>
      </c>
      <c r="H19" s="0" t="n">
        <f aca="false">H15+H16+H17+H18</f>
        <v>474480.159469345</v>
      </c>
      <c r="I19" s="0" t="n">
        <f aca="false">I15+I16+I17+I18</f>
        <v>621461.007398706</v>
      </c>
      <c r="J19" s="0" t="n">
        <f aca="false">J15+J16+J17+J18</f>
        <v>887072.259465498</v>
      </c>
      <c r="K19" s="0" t="n">
        <f aca="false">K15+K16+K17+K18</f>
        <v>1080723.94644088</v>
      </c>
      <c r="L19" s="0" t="n">
        <f aca="false">L15+L16+L17+L18</f>
        <v>1292209.46729775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258590.819095156</v>
      </c>
      <c r="D21" s="0" t="n">
        <f aca="false">D19*D20</f>
        <v>161453.273943717</v>
      </c>
      <c r="E21" s="0" t="n">
        <f aca="false">E19*E20</f>
        <v>144043.2159033</v>
      </c>
      <c r="F21" s="0" t="n">
        <f aca="false">F19*F20</f>
        <v>164217.187591731</v>
      </c>
      <c r="G21" s="0" t="n">
        <f aca="false">G19*G20</f>
        <v>181423.933011614</v>
      </c>
      <c r="H21" s="0" t="n">
        <f aca="false">H19*H20</f>
        <v>234046.915695123</v>
      </c>
      <c r="I21" s="0" t="n">
        <f aca="false">I19*I20</f>
        <v>272487.276122469</v>
      </c>
      <c r="J21" s="0" t="n">
        <f aca="false">J19*J20</f>
        <v>345731.39507329</v>
      </c>
      <c r="K21" s="0" t="n">
        <f aca="false">K19*K20</f>
        <v>374405.372986066</v>
      </c>
      <c r="L21" s="0" t="n">
        <f aca="false">L19*L20</f>
        <v>397930.927420814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7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2534330.31684328</v>
      </c>
    </row>
    <row r="31" customFormat="false" ht="15" hidden="false" customHeight="false" outlineLevel="0" collapsed="false">
      <c r="A31" s="0" t="s">
        <v>138</v>
      </c>
      <c r="B31" s="0" t="n">
        <f aca="false">L19</f>
        <v>1292209.46729775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25139347.8183381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25844189.3459551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25139347.8183381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7741565.31527766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10275895.6321209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10275895.6321209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20.7302629333392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-0.0720562697699545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211453.451160946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378725.269541224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21.9208705938116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17283301.6251075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13.0782098766393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11.5028118977196</v>
      </c>
      <c r="C4" s="0" t="n">
        <f aca="false">B4/Assumptions!$B$2-1</f>
        <v>-0.485102421767251</v>
      </c>
      <c r="D4" s="4" t="n">
        <f aca="false">Assumptions!$B$24</f>
        <v>0.25</v>
      </c>
      <c r="E4" s="4" t="n">
        <f aca="false">DCF_Bear!$B$43</f>
        <v>12.2760047498854</v>
      </c>
      <c r="F4" s="4" t="n">
        <f aca="false">DCF_Bear!$B$47</f>
        <v>8.28692483788151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15.821535554425</v>
      </c>
      <c r="C5" s="0" t="n">
        <f aca="false">B5/Assumptions!$B$2-1</f>
        <v>-0.291784442505596</v>
      </c>
      <c r="D5" s="4" t="n">
        <f aca="false">Assumptions!$B$38</f>
        <v>0.5</v>
      </c>
      <c r="E5" s="4" t="n">
        <f aca="false">DCF_Base!$B$43</f>
        <v>16.7927444291449</v>
      </c>
      <c r="F5" s="4" t="n">
        <f aca="false">DCF_Base!$B$47</f>
        <v>10.4448523696735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20.7302629333392</v>
      </c>
      <c r="C6" s="0" t="n">
        <f aca="false">B6/Assumptions!$B$2-1</f>
        <v>-0.0720562697699545</v>
      </c>
      <c r="D6" s="4" t="n">
        <f aca="false">Assumptions!$B$52</f>
        <v>0.25</v>
      </c>
      <c r="E6" s="4" t="n">
        <f aca="false">DCF_Bull!$B$43</f>
        <v>21.9208705938116</v>
      </c>
      <c r="F6" s="4" t="n">
        <f aca="false">DCF_Bull!$B$47</f>
        <v>13.0782098766393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15.9690364849772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16.9455910504967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-0.398957289690975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652.391964563048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10.563709863467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21.1409553846506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19.4861467120174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17.9827086316507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16.615394337064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15.821535554425</v>
      </c>
      <c r="C19" s="3" t="n">
        <v>12.5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10.4448523696735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5.5</v>
      </c>
      <c r="C23" s="3" t="n">
        <v>6</v>
      </c>
      <c r="D23" s="3" t="n">
        <v>6.5</v>
      </c>
      <c r="E23" s="3" t="n">
        <v>7</v>
      </c>
      <c r="F23" s="3" t="n">
        <v>7.5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18.716500687446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18.716500687446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18.716500687446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18.716500687446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18.716500687446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16.9969200590145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17.282921605461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17.282921605461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17.282921605461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17.282921605461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14.1399990317599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14.9160928114515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15.821535554425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15.9784789632071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15.9784789632071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12.0250563859531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12.5685373000249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13.1896583446783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13.9063364731246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14.742460956312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10.4027716952747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10.796673060534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11.2398120964506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11.7420363371561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12.3160068979624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2026-10-03T22:25:09Z</dcterms:created>
  <dc:creator>openpyxl</dc:creator>
  <dc:description/>
  <dc:language>en-NZ</dc:language>
  <cp:lastModifiedBy/>
  <dcterms:modified xsi:type="dcterms:W3CDTF">2026-10-03T22:25:09Z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