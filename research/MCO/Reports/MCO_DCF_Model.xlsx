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<sst xmlns="http://schemas.openxmlformats.org/spreadsheetml/2006/main" count="389" uniqueCount="175">
  <si>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</si>
  <si>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MCO</t>
  </si>
  <si>
    <t xml:space="preserve">Company</t>
  </si>
  <si>
    <t xml:space="preserve">Moody's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</si>
  <si>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</si>
  <si>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</si>
  <si>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</si>
  <si>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</si>
  <si>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2026-10-01T20:04:22Z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</si>
  <si>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</si>
  <si>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</si>
  <si>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</si>
  <si>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</si>
  <si>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</si>
  <si>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</si>
  <si>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</si>
  <si>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</si>
  <si>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</si>
  <si>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</si>
  <si>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</si>
  <si>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</si>
  <si>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2026-10-02T00:48:32Z</t>
  </si>
  <si>
    <t xml:space="preserve">Drivers file</t>
  </si>
  <si>
    <t xml:space="preserve">MCO_Drivers.json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</si>
  <si>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</si>
  <si>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</si>
  <si>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</si>
  <si>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basis: SBC plus the cash withholding taxes on equity awards are expensed (4.4% of revenue, ~358 TTM) and the share count is held flat, so the ~3B/yr of buybacks are value-neutral rather than a source of per-share growth. No interest income is stripped because Moody's is a net-debt company (6,050). Flows are built from components -- pre-SBC EBITDA margin, SBC %, D&amp;A, 23% cash tax on unlevered EBIT, capex incl. bolt-on M&amp;A allowance, zero net working-capital capture -- rather than carrying the H1-26 peak FCF margin forward. The duopoly moat and regulatory barrier justify a 20x terminal cap and 3% terminal growth in base, but a 9% USD WACC is applied uniformly and the cyclicality is charged through a 25% bear weight, not through the discount rate. The street basis (SBC as non-cash) is reported alongside so the reader can see how much of the market price depends on the SBC convention.
key_risks_to_valuation: Issuance cyclicality: MIS transactional revenue can fall 20%+ in a credit-market shutdown (FY2022 consolidated revenue -12%); the bear path models one such year; A meaningful slice of 2025-26 issuance growth is AI-datacenter and hyperscaler financing; if that capex cycle cools, both volumes and ratings-quality reputational risk are exposed together; Private-credit disintermediation of public ratings may outrun Moody's private-credit ratings revenue; Terminal value is the majority of EV in every scenario; a 1pp change in WACC moves the base IV by roughly 15-20%; Net debt 6,050 and debt-funded buybacks: in a downturn capital return slows, and the flat-share-count convention then relies on SBC being expensed, which it is; Cash tax rate: FY25 cash taxes ran at 25% of EBIT; if Sec.174 relief does not lower it, each 1pp of tax costs ~1.3% of IV; FX: roughly half of revenue is non-USD; a stronger dollar reduces reported growth</t>
  </si>
  <si>
    <t xml:space="preserve">Data sources</t>
  </si>
  <si>
    <t xml:space="preserve">price: Yahoo Finance chart API regular-session close at inputs.price_as_of; 52-week range 402.28-546.88
financials: MCO_Metrics.csv (SEC XBRL via build_facts_xbrl.py, 111 periods FY2006-Q2 2026) via metrics_normalized; kpis table for buybacks, equity-award taxes, D&amp;A and cash taxes; FY2025 10-K and Q1/Q2-2026 10-Qs underlying. TTM base = FY2025 + H1-2026 - H1-2025.
qualitative: MCO_Analysis.json (2026-10-02): business model, moat, risks, bull/bear, Q2-2026 results and FY2026 guidance (revenue high-single-digit growth, adj. EPS $16.50-17.00, FCF $2.7-2.9B, buybacks up to $3.0B, issuance mid-single-digit growth).</t>
  </si>
  <si>
    <t xml:space="preserve">Scenario narrative: bear</t>
  </si>
  <si>
    <t xml:space="preserve">Rate cuts slip and a credit event in private credit or AI-datacenter financing shuts the issuance window: consolidated revenue falls 5% in Y2 (FY2022 was -12%), pre-SBC margin drops to 48.5% on fixed analyst cost, and recovery is slower because private credit keeps bypassing public ratings and regulators tighten scrutiny of ratings on novel structures. The business is re-rated as cyclical: 2.5% terminal growth and a 16x terminal cap. No solvency issue (interest cover ~15x) -- this is a multiple and margin reset, not distress.</t>
  </si>
  <si>
    <t xml:space="preserve">Scenario narrative: base</t>
  </si>
  <si>
    <t xml:space="preserve">Moody's compounds revenue at ~7% for four years then decelerates to 3.5% by Y10: MA's &gt;95%-recurring subscription base (45% of revenue) grows 8-9% on KYC, insurance/catastrophe and lending software plus AI-native products, while MIS grows mid-single-digit through the cycle as global issuance tracks nominal debt stock growth and private-credit ratings add a new leg. Pre-SBC EBITDA margin edges from 53.5% to 55%; SBC including withholding taxes stays ~4-4.4% of revenue; capex 4.5% carries bolt-on M&amp;A; cash tax 23%. Discounted at 9% with 3% terminal growth, 20x cap.</t>
  </si>
  <si>
    <t xml:space="preserve">Scenario narrative: bull</t>
  </si>
  <si>
    <t xml:space="preserve">Issuance strength proves structural rather than an AI-capex artefact: leveraged-finance refinancing, hyperscaler and structured-finance volumes keep growing, rate cuts arrive, and private-credit ratings become a material MIS revenue line. The Microsoft Copilot / AWS / Anthropic distribution of Moody's data lifts MA to low-double-digit growth with operating leverage, taking pre-SBC EBITDA margin to 57%. Revenue grows 8.5-9.5% for four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</si>
  <si>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</si>
  <si>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</si>
  <si>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</si>
  <si>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</si>
  <si>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</si>
  <si>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</si>
  <si>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</si>
  <si>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</si>
  <si>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</si>
  <si>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</si>
  <si>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</si>
  <si>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</si>
  <si>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</si>
  <si>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</si>
  <si>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</si>
  <si>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</si>
  <si>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</si>
  <si>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</si>
  <si>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</si>
  <si>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</si>
  <si>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</si>
  <si>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</si>
  <si>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</si>
  <si>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</si>
  <si>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</si>
  <si>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</si>
  <si>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</si>
  <si>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</si>
  <si>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</si>
  <si>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</si>
  <si>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</si>
  <si>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</si>
  <si>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</si>
  <si>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</si>
  <si>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</si>
  <si>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</si>
  <si>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</si>
  <si>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</si>
  <si>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</si>
  <si>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</si>
  <si>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</si>
  <si>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</si>
  <si>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</si>
  <si>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</si>
  <si>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</si>
  <si>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</si>
  <si>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</si>
  <si>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</si>
  <si>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</si>
  <si>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</si>
  <si>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</si>
  <si>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</si>
  <si>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</si>
  <si>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</si>
  <si>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</si>
  <si>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</si>
  <si>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</si>
  <si>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</si>
  <si>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</si>
  <si>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</si>
  <si>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</si>
  <si>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</si>
  <si>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</si>
  <si>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</si>
  <si>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</si>
  <si>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</si>
  <si>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</si>
  <si>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</si>
  <si>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</si>
  <si>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</si>
  <si>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</si>
  <si>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</si>
  <si>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</si>
  <si>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</si>
  <si>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</si>
  <si>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</si>
  <si>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</si>
  <si>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</si>
  <si>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</si>
  <si>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</si>
  <si>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</si>
  <si>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</si>
  <si>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</si>
  <si>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</si>
  <si>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</si>
  <si>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MCO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</si>
  <si>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</si>
  <si>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</si>
  <si>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</si>
  <si>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</si>
  <si>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</si>
  <si>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</si>
  <si>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</si>
  <si>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</si>
  <si>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</si>
  <si>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</si>
  <si>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</si>
  <si>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</si>
  <si>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</si>
  <si>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</si>
  <si>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</si>
  <si>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</si>
  <si>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</si>
  <si>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</si>
  <si>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</si>
  <si>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</si>
  <si>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</si>
  <si>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</si>
  <si>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</si>
  <si>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</si>
  <si>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</si>
  <si>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</si>
  <si>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</si>
  <si>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</si>
  <si>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</si>
  <si>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</si>
  <si>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MCO owner-FCF component DCF: base case (millions, USD)</t>
  </si>
  <si>
    <t xml:space="preserve">MCO owner-FCF component DCF: bull case (millions, USD)</t>
  </si>
  <si>
    <t xml:space="preserve">MCO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</si>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</sst>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447.36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177.9</v>
      </c>
      <c r="S2" s="0" t="n">
        <v>408.1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2259</v>
      </c>
      <c r="F3" s="0" t="n">
        <v>1131</v>
      </c>
      <c r="G3" s="0" t="n">
        <v>50.066401062417</v>
      </c>
      <c r="H3" s="0" t="n">
        <v>1173.9</v>
      </c>
      <c r="I3" s="0" t="n">
        <v>706.8</v>
      </c>
      <c r="J3" s="0" t="n">
        <v>31.2881806108898</v>
      </c>
      <c r="K3" s="0" t="n">
        <v>2.63</v>
      </c>
      <c r="L3" s="0" t="n">
        <v>988.2</v>
      </c>
      <c r="M3" s="0" t="n">
        <v>181.8</v>
      </c>
      <c r="N3" s="0" t="n">
        <v>806.4</v>
      </c>
      <c r="O3" s="0" t="n">
        <v>-771.9</v>
      </c>
      <c r="S3" s="0" t="n">
        <v>426.3</v>
      </c>
      <c r="T3" s="0" t="n">
        <v>272.2</v>
      </c>
      <c r="U3" s="0" t="n">
        <v>90.2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1755.4</v>
      </c>
      <c r="F4" s="0" t="n">
        <v>748.2</v>
      </c>
      <c r="G4" s="0" t="n">
        <v>42.6227640423835</v>
      </c>
      <c r="H4" s="0" t="n">
        <v>823.3</v>
      </c>
      <c r="I4" s="0" t="n">
        <v>461.6</v>
      </c>
      <c r="J4" s="0" t="n">
        <v>26.2960009114732</v>
      </c>
      <c r="K4" s="0" t="n">
        <v>1.89</v>
      </c>
      <c r="L4" s="0" t="n">
        <v>539.7</v>
      </c>
      <c r="M4" s="0" t="n">
        <v>84.4</v>
      </c>
      <c r="N4" s="0" t="n">
        <v>455.3</v>
      </c>
      <c r="O4" s="0" t="n">
        <v>-986.1</v>
      </c>
      <c r="P4" s="0" t="n">
        <v>1773.4</v>
      </c>
      <c r="Q4" s="0" t="n">
        <v>2759.5</v>
      </c>
      <c r="R4" s="0" t="n">
        <v>750</v>
      </c>
      <c r="S4" s="0" t="n">
        <v>245.9</v>
      </c>
      <c r="T4" s="0" t="n">
        <v>245.3</v>
      </c>
      <c r="U4" s="0" t="n">
        <v>63.2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1797.2</v>
      </c>
      <c r="F5" s="0" t="n">
        <v>687.5</v>
      </c>
      <c r="G5" s="0" t="n">
        <v>38.2539505898064</v>
      </c>
      <c r="H5" s="0" t="n">
        <v>751.6</v>
      </c>
      <c r="I5" s="0" t="n">
        <v>407.1</v>
      </c>
      <c r="J5" s="0" t="n">
        <v>22.6519029601603</v>
      </c>
      <c r="K5" s="0" t="n">
        <v>1.7</v>
      </c>
      <c r="L5" s="0" t="n">
        <v>643.8</v>
      </c>
      <c r="M5" s="0" t="n">
        <v>90.7</v>
      </c>
      <c r="N5" s="0" t="n">
        <v>553.1</v>
      </c>
      <c r="O5" s="0" t="n">
        <v>-596.1</v>
      </c>
      <c r="P5" s="0" t="n">
        <v>2003.3</v>
      </c>
      <c r="Q5" s="0" t="n">
        <v>2599.4</v>
      </c>
      <c r="R5" s="0" t="n">
        <v>1193.7</v>
      </c>
      <c r="S5" s="0" t="n">
        <v>473.9</v>
      </c>
      <c r="T5" s="0" t="n">
        <v>237.8</v>
      </c>
      <c r="U5" s="0" t="n">
        <v>57.4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2032</v>
      </c>
      <c r="F6" s="0" t="n">
        <v>772.8</v>
      </c>
      <c r="G6" s="0" t="n">
        <v>38.0314960629921</v>
      </c>
      <c r="H6" s="0" t="n">
        <v>839.1</v>
      </c>
      <c r="I6" s="0" t="n">
        <v>513.4</v>
      </c>
      <c r="J6" s="0" t="n">
        <v>25.2657480314961</v>
      </c>
      <c r="K6" s="0" t="n">
        <v>2.16</v>
      </c>
      <c r="L6" s="0" t="n">
        <v>653.3</v>
      </c>
      <c r="M6" s="0" t="n">
        <v>79</v>
      </c>
      <c r="N6" s="0" t="n">
        <v>574.3</v>
      </c>
      <c r="O6" s="0" t="n">
        <v>-298.4</v>
      </c>
      <c r="P6" s="0" t="n">
        <v>2540.3</v>
      </c>
      <c r="Q6" s="0" t="n">
        <v>2838.7</v>
      </c>
      <c r="R6" s="0" t="n">
        <v>1217</v>
      </c>
      <c r="S6" s="0" t="n">
        <v>659.6</v>
      </c>
      <c r="T6" s="0" t="n">
        <v>236.6</v>
      </c>
      <c r="U6" s="0" t="n">
        <v>56.6</v>
      </c>
      <c r="V6" s="0" t="n">
        <v>0.115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2280.7</v>
      </c>
      <c r="F7" s="0" t="n">
        <v>888.4</v>
      </c>
      <c r="G7" s="0" t="n">
        <v>38.9529530407331</v>
      </c>
      <c r="H7" s="0" t="n">
        <v>967.6</v>
      </c>
      <c r="I7" s="0" t="n">
        <v>578</v>
      </c>
      <c r="J7" s="0" t="n">
        <v>25.3430964177665</v>
      </c>
      <c r="K7" s="0" t="n">
        <v>2.52</v>
      </c>
      <c r="L7" s="0" t="n">
        <v>803.3</v>
      </c>
      <c r="M7" s="0" t="n">
        <v>67.7</v>
      </c>
      <c r="N7" s="0" t="n">
        <v>735.6</v>
      </c>
      <c r="O7" s="0" t="n">
        <v>-158.4</v>
      </c>
      <c r="P7" s="0" t="n">
        <v>2876.1</v>
      </c>
      <c r="Q7" s="0" t="n">
        <v>2974</v>
      </c>
      <c r="R7" s="0" t="n">
        <v>1243.8</v>
      </c>
      <c r="S7" s="0" t="n">
        <v>760</v>
      </c>
      <c r="T7" s="0" t="n">
        <v>229.4</v>
      </c>
      <c r="U7" s="0" t="n">
        <v>56.7</v>
      </c>
      <c r="V7" s="0" t="n">
        <v>0.58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2730.3</v>
      </c>
      <c r="F8" s="0" t="n">
        <v>1077.4</v>
      </c>
      <c r="G8" s="0" t="n">
        <v>39.4608651063986</v>
      </c>
      <c r="H8" s="0" t="n">
        <v>1170.9</v>
      </c>
      <c r="I8" s="0" t="n">
        <v>699.7</v>
      </c>
      <c r="J8" s="0" t="n">
        <v>25.627220451965</v>
      </c>
      <c r="K8" s="0" t="n">
        <v>3.09</v>
      </c>
      <c r="L8" s="0" t="n">
        <v>823.1</v>
      </c>
      <c r="M8" s="0" t="n">
        <v>45</v>
      </c>
      <c r="N8" s="0" t="n">
        <v>778.1</v>
      </c>
      <c r="O8" s="0" t="n">
        <v>396.6</v>
      </c>
      <c r="P8" s="0" t="n">
        <v>3960.9</v>
      </c>
      <c r="Q8" s="0" t="n">
        <v>3492</v>
      </c>
      <c r="R8" s="0" t="n">
        <v>1671.2</v>
      </c>
      <c r="S8" s="0" t="n">
        <v>1755.4</v>
      </c>
      <c r="T8" s="0" t="n">
        <v>226.6</v>
      </c>
      <c r="U8" s="0" t="n">
        <v>64.5</v>
      </c>
      <c r="V8" s="0" t="n">
        <v>0.68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2972.5</v>
      </c>
      <c r="F9" s="0" t="n">
        <v>1234.6</v>
      </c>
      <c r="G9" s="0" t="n">
        <v>41.5340622371741</v>
      </c>
      <c r="H9" s="0" t="n">
        <v>1328</v>
      </c>
      <c r="I9" s="0" t="n">
        <v>815.9</v>
      </c>
      <c r="J9" s="0" t="n">
        <v>27.448275862069</v>
      </c>
      <c r="K9" s="0" t="n">
        <v>3.67</v>
      </c>
      <c r="L9" s="0" t="n">
        <v>926.8</v>
      </c>
      <c r="M9" s="0" t="n">
        <v>42.3</v>
      </c>
      <c r="N9" s="0" t="n">
        <v>884.5</v>
      </c>
      <c r="O9" s="0" t="n">
        <v>347.9</v>
      </c>
      <c r="P9" s="0" t="n">
        <v>4395.1</v>
      </c>
      <c r="Q9" s="0" t="n">
        <v>3967.2</v>
      </c>
      <c r="R9" s="0" t="n">
        <v>2101.8</v>
      </c>
      <c r="S9" s="0" t="n">
        <v>1919.5</v>
      </c>
      <c r="T9" s="0" t="n">
        <v>223.5</v>
      </c>
      <c r="U9" s="0" t="n">
        <v>67.1</v>
      </c>
      <c r="V9" s="0" t="n">
        <v>0.98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3334.3</v>
      </c>
      <c r="F10" s="0" t="n">
        <v>1439.1</v>
      </c>
      <c r="G10" s="0" t="n">
        <v>43.1604834597967</v>
      </c>
      <c r="H10" s="0" t="n">
        <v>1534.7</v>
      </c>
      <c r="I10" s="0" t="n">
        <v>1006</v>
      </c>
      <c r="J10" s="0" t="n">
        <v>30.1712503374022</v>
      </c>
      <c r="K10" s="0" t="n">
        <v>4.69</v>
      </c>
      <c r="L10" s="0" t="n">
        <v>1018.6</v>
      </c>
      <c r="M10" s="0" t="n">
        <v>74.6</v>
      </c>
      <c r="N10" s="0" t="n">
        <v>944</v>
      </c>
      <c r="O10" s="0" t="n">
        <v>42.9</v>
      </c>
      <c r="P10" s="0" t="n">
        <v>4669</v>
      </c>
      <c r="Q10" s="0" t="n">
        <v>4626.1</v>
      </c>
      <c r="R10" s="0" t="n">
        <v>2547.3</v>
      </c>
      <c r="S10" s="0" t="n">
        <v>1219.5</v>
      </c>
      <c r="T10" s="0" t="n">
        <v>214.7</v>
      </c>
      <c r="U10" s="0" t="n">
        <v>80.4</v>
      </c>
      <c r="V10" s="0" t="n">
        <v>1.18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3484.5</v>
      </c>
      <c r="F11" s="0" t="n">
        <v>1473.4</v>
      </c>
      <c r="G11" s="0" t="n">
        <v>42.2844023532788</v>
      </c>
      <c r="H11" s="0" t="n">
        <v>1586.9</v>
      </c>
      <c r="I11" s="0" t="n">
        <v>949.6</v>
      </c>
      <c r="J11" s="0" t="n">
        <v>27.2521165159994</v>
      </c>
      <c r="K11" s="0" t="n">
        <v>4.7</v>
      </c>
      <c r="L11" s="0" t="n">
        <v>1198.1</v>
      </c>
      <c r="M11" s="0" t="n">
        <v>89</v>
      </c>
      <c r="N11" s="0" t="n">
        <v>1109.1</v>
      </c>
      <c r="O11" s="0" t="n">
        <v>-333</v>
      </c>
      <c r="P11" s="0" t="n">
        <v>5103</v>
      </c>
      <c r="Q11" s="0" t="n">
        <v>5436</v>
      </c>
      <c r="R11" s="0" t="n">
        <v>3401</v>
      </c>
      <c r="S11" s="0" t="n">
        <v>1757.4</v>
      </c>
      <c r="T11" s="0" t="n">
        <v>203.4</v>
      </c>
      <c r="U11" s="0" t="n">
        <v>87.2</v>
      </c>
      <c r="V11" s="0" t="n">
        <v>1.39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3604.2</v>
      </c>
      <c r="F12" s="0" t="n">
        <v>650.9</v>
      </c>
      <c r="G12" s="0" t="n">
        <v>18.0594861550413</v>
      </c>
      <c r="H12" s="0" t="n">
        <v>777.6</v>
      </c>
      <c r="I12" s="0" t="n">
        <v>275.8</v>
      </c>
      <c r="J12" s="0" t="n">
        <v>7.65218356362022</v>
      </c>
      <c r="K12" s="0" t="n">
        <v>1.38</v>
      </c>
      <c r="L12" s="0" t="n">
        <v>1259.2</v>
      </c>
      <c r="M12" s="0" t="n">
        <v>115.2</v>
      </c>
      <c r="N12" s="0" t="n">
        <v>1144</v>
      </c>
      <c r="O12" s="0" t="n">
        <v>-1027</v>
      </c>
      <c r="P12" s="0" t="n">
        <v>5327.3</v>
      </c>
      <c r="Q12" s="0" t="n">
        <v>6354.6</v>
      </c>
      <c r="R12" s="0" t="n">
        <v>3663</v>
      </c>
      <c r="S12" s="0" t="n">
        <v>2051.5</v>
      </c>
      <c r="T12" s="0" t="n">
        <v>195.4</v>
      </c>
      <c r="U12" s="0" t="n">
        <v>98.1</v>
      </c>
      <c r="V12" s="0" t="n">
        <v>1.49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4204</v>
      </c>
      <c r="C13" s="0" t="n">
        <v>1216</v>
      </c>
      <c r="F13" s="0" t="n">
        <v>1821</v>
      </c>
      <c r="G13" s="0" t="n">
        <v>43.3158896289248</v>
      </c>
      <c r="H13" s="0" t="n">
        <v>1979</v>
      </c>
      <c r="I13" s="0" t="n">
        <v>1008</v>
      </c>
      <c r="J13" s="0" t="n">
        <v>23.977164605138</v>
      </c>
      <c r="K13" s="0" t="n">
        <v>5.24</v>
      </c>
      <c r="L13" s="0" t="n">
        <v>755</v>
      </c>
      <c r="M13" s="0" t="n">
        <v>91</v>
      </c>
      <c r="N13" s="0" t="n">
        <v>664</v>
      </c>
      <c r="O13" s="0" t="n">
        <v>-115</v>
      </c>
      <c r="P13" s="0" t="n">
        <v>8594.2</v>
      </c>
      <c r="Q13" s="0" t="n">
        <v>8709.1</v>
      </c>
      <c r="R13" s="0" t="n">
        <v>5840</v>
      </c>
      <c r="S13" s="0" t="n">
        <v>1071.5</v>
      </c>
      <c r="T13" s="0" t="n">
        <v>194.2</v>
      </c>
      <c r="U13" s="0" t="n">
        <v>123</v>
      </c>
      <c r="V13" s="0" t="n">
        <v>1.14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4443</v>
      </c>
      <c r="C14" s="0" t="n">
        <v>1246</v>
      </c>
      <c r="F14" s="0" t="n">
        <v>1868</v>
      </c>
      <c r="G14" s="0" t="n">
        <v>42.043664190862</v>
      </c>
      <c r="H14" s="0" t="n">
        <v>2060</v>
      </c>
      <c r="I14" s="0" t="n">
        <v>1320</v>
      </c>
      <c r="J14" s="0" t="n">
        <v>29.7096556380824</v>
      </c>
      <c r="K14" s="0" t="n">
        <v>6.84</v>
      </c>
      <c r="L14" s="0" t="n">
        <v>1461</v>
      </c>
      <c r="M14" s="0" t="n">
        <v>91</v>
      </c>
      <c r="N14" s="0" t="n">
        <v>1370</v>
      </c>
      <c r="O14" s="0" t="n">
        <v>656</v>
      </c>
      <c r="P14" s="0" t="n">
        <v>9526</v>
      </c>
      <c r="Q14" s="0" t="n">
        <v>8870</v>
      </c>
      <c r="R14" s="0" t="n">
        <v>6126</v>
      </c>
      <c r="S14" s="0" t="n">
        <v>1685</v>
      </c>
      <c r="T14" s="0" t="n">
        <v>194.4</v>
      </c>
      <c r="U14" s="0" t="n">
        <v>130</v>
      </c>
      <c r="V14" s="0" t="n">
        <v>1.76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4829</v>
      </c>
      <c r="C15" s="0" t="n">
        <v>1387</v>
      </c>
      <c r="F15" s="0" t="n">
        <v>1998</v>
      </c>
      <c r="G15" s="0" t="n">
        <v>41.3750258852765</v>
      </c>
      <c r="H15" s="0" t="n">
        <v>2198</v>
      </c>
      <c r="I15" s="0" t="n">
        <v>1429</v>
      </c>
      <c r="J15" s="0" t="n">
        <v>29.5920480430731</v>
      </c>
      <c r="K15" s="0" t="n">
        <v>7.51</v>
      </c>
      <c r="L15" s="0" t="n">
        <v>1675</v>
      </c>
      <c r="M15" s="0" t="n">
        <v>69</v>
      </c>
      <c r="N15" s="0" t="n">
        <v>1606</v>
      </c>
      <c r="O15" s="0" t="n">
        <v>831</v>
      </c>
      <c r="P15" s="0" t="n">
        <v>10265</v>
      </c>
      <c r="Q15" s="0" t="n">
        <v>9428</v>
      </c>
      <c r="R15" s="0" t="n">
        <v>5581</v>
      </c>
      <c r="S15" s="0" t="n">
        <v>1832</v>
      </c>
      <c r="T15" s="0" t="n">
        <v>191.6</v>
      </c>
      <c r="U15" s="0" t="n">
        <v>136</v>
      </c>
      <c r="V15" s="0" t="n">
        <v>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5371</v>
      </c>
      <c r="C16" s="0" t="n">
        <v>1475</v>
      </c>
      <c r="F16" s="0" t="n">
        <v>2388</v>
      </c>
      <c r="G16" s="0" t="n">
        <v>44.4609942282629</v>
      </c>
      <c r="H16" s="0" t="n">
        <v>2608</v>
      </c>
      <c r="I16" s="0" t="n">
        <v>1778</v>
      </c>
      <c r="J16" s="0" t="n">
        <v>33.1037050828524</v>
      </c>
      <c r="K16" s="0" t="n">
        <v>9.48</v>
      </c>
      <c r="L16" s="0" t="n">
        <v>2146</v>
      </c>
      <c r="M16" s="0" t="n">
        <v>103</v>
      </c>
      <c r="N16" s="0" t="n">
        <v>2043</v>
      </c>
      <c r="O16" s="0" t="n">
        <v>1763</v>
      </c>
      <c r="P16" s="0" t="n">
        <v>12409</v>
      </c>
      <c r="Q16" s="0" t="n">
        <v>10646</v>
      </c>
      <c r="R16" s="0" t="n">
        <v>6422</v>
      </c>
      <c r="S16" s="0" t="n">
        <v>2597</v>
      </c>
      <c r="T16" s="0" t="n">
        <v>189.3</v>
      </c>
      <c r="U16" s="0" t="n">
        <v>154</v>
      </c>
      <c r="V16" s="0" t="n">
        <v>2.24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6218</v>
      </c>
      <c r="C17" s="0" t="n">
        <v>1637</v>
      </c>
      <c r="F17" s="0" t="n">
        <v>2844</v>
      </c>
      <c r="G17" s="0" t="n">
        <v>45.7381794789321</v>
      </c>
      <c r="H17" s="0" t="n">
        <v>3101</v>
      </c>
      <c r="I17" s="0" t="n">
        <v>2214</v>
      </c>
      <c r="J17" s="0" t="n">
        <v>35.6063042779029</v>
      </c>
      <c r="K17" s="0" t="n">
        <v>11.88</v>
      </c>
      <c r="L17" s="0" t="n">
        <v>2005</v>
      </c>
      <c r="M17" s="0" t="n">
        <v>139</v>
      </c>
      <c r="N17" s="0" t="n">
        <v>1866</v>
      </c>
      <c r="O17" s="0" t="n">
        <v>2916</v>
      </c>
      <c r="P17" s="0" t="n">
        <v>14680</v>
      </c>
      <c r="Q17" s="0" t="n">
        <v>11764</v>
      </c>
      <c r="R17" s="0" t="n">
        <v>7413</v>
      </c>
      <c r="S17" s="0" t="n">
        <v>1811</v>
      </c>
      <c r="T17" s="0" t="n">
        <v>187.9</v>
      </c>
      <c r="U17" s="0" t="n">
        <v>175</v>
      </c>
      <c r="V17" s="0" t="n">
        <v>2.48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5468</v>
      </c>
      <c r="C18" s="0" t="n">
        <v>1613</v>
      </c>
      <c r="F18" s="0" t="n">
        <v>1883</v>
      </c>
      <c r="G18" s="0" t="n">
        <v>34.4367227505487</v>
      </c>
      <c r="H18" s="0" t="n">
        <v>2214</v>
      </c>
      <c r="I18" s="0" t="n">
        <v>1374</v>
      </c>
      <c r="J18" s="0" t="n">
        <v>25.1280175566935</v>
      </c>
      <c r="K18" s="0" t="n">
        <v>7.47</v>
      </c>
      <c r="L18" s="0" t="n">
        <v>1474</v>
      </c>
      <c r="M18" s="0" t="n">
        <v>283</v>
      </c>
      <c r="N18" s="0" t="n">
        <v>1191</v>
      </c>
      <c r="O18" s="0" t="n">
        <v>2689</v>
      </c>
      <c r="P18" s="0" t="n">
        <v>14349</v>
      </c>
      <c r="Q18" s="0" t="n">
        <v>11660</v>
      </c>
      <c r="R18" s="0" t="n">
        <v>7389</v>
      </c>
      <c r="S18" s="0" t="n">
        <v>1769</v>
      </c>
      <c r="T18" s="0" t="n">
        <v>184.7</v>
      </c>
      <c r="U18" s="0" t="n">
        <v>169</v>
      </c>
      <c r="V18" s="0" t="n">
        <v>2.8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5916</v>
      </c>
      <c r="C19" s="0" t="n">
        <v>1687</v>
      </c>
      <c r="F19" s="0" t="n">
        <v>2137</v>
      </c>
      <c r="G19" s="0" t="n">
        <v>36.1223799864774</v>
      </c>
      <c r="H19" s="0" t="n">
        <v>2510</v>
      </c>
      <c r="I19" s="0" t="n">
        <v>1608</v>
      </c>
      <c r="J19" s="0" t="n">
        <v>27.1805273833671</v>
      </c>
      <c r="K19" s="0" t="n">
        <v>8.77</v>
      </c>
      <c r="L19" s="0" t="n">
        <v>2151</v>
      </c>
      <c r="M19" s="0" t="n">
        <v>271</v>
      </c>
      <c r="N19" s="0" t="n">
        <v>1880</v>
      </c>
      <c r="O19" s="0" t="n">
        <v>3476</v>
      </c>
      <c r="P19" s="0" t="n">
        <v>14622</v>
      </c>
      <c r="Q19" s="0" t="n">
        <v>11146</v>
      </c>
      <c r="R19" s="0" t="n">
        <v>7001</v>
      </c>
      <c r="S19" s="0" t="n">
        <v>2130</v>
      </c>
      <c r="T19" s="0" t="n">
        <v>184</v>
      </c>
      <c r="U19" s="0" t="n">
        <v>193</v>
      </c>
      <c r="V19" s="0" t="n">
        <v>3.08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7088</v>
      </c>
      <c r="C20" s="0" t="n">
        <v>1945</v>
      </c>
      <c r="F20" s="0" t="n">
        <v>2875</v>
      </c>
      <c r="G20" s="0" t="n">
        <v>40.5615124153499</v>
      </c>
      <c r="H20" s="0" t="n">
        <v>3306</v>
      </c>
      <c r="I20" s="0" t="n">
        <v>2059</v>
      </c>
      <c r="J20" s="0" t="n">
        <v>29.0490970654628</v>
      </c>
      <c r="K20" s="0" t="n">
        <v>11.32</v>
      </c>
      <c r="L20" s="0" t="n">
        <v>2838</v>
      </c>
      <c r="M20" s="0" t="n">
        <v>317</v>
      </c>
      <c r="N20" s="0" t="n">
        <v>2521</v>
      </c>
      <c r="O20" s="0" t="n">
        <v>3727</v>
      </c>
      <c r="P20" s="0" t="n">
        <v>15505</v>
      </c>
      <c r="Q20" s="0" t="n">
        <v>11778</v>
      </c>
      <c r="R20" s="0" t="n">
        <v>8125</v>
      </c>
      <c r="S20" s="0" t="n">
        <v>2408</v>
      </c>
      <c r="T20" s="0" t="n">
        <v>182.7</v>
      </c>
      <c r="U20" s="0" t="n">
        <v>221</v>
      </c>
      <c r="V20" s="0" t="n">
        <v>3.4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7718</v>
      </c>
      <c r="C21" s="0" t="n">
        <v>1973</v>
      </c>
      <c r="F21" s="0" t="n">
        <v>3351</v>
      </c>
      <c r="G21" s="0" t="n">
        <v>43.4179839336616</v>
      </c>
      <c r="H21" s="0" t="n">
        <v>3831</v>
      </c>
      <c r="I21" s="0" t="n">
        <v>2462</v>
      </c>
      <c r="J21" s="0" t="n">
        <v>31.8994558175693</v>
      </c>
      <c r="K21" s="0" t="n">
        <v>13.73</v>
      </c>
      <c r="L21" s="0" t="n">
        <v>2901</v>
      </c>
      <c r="M21" s="0" t="n">
        <v>326</v>
      </c>
      <c r="N21" s="0" t="n">
        <v>2575</v>
      </c>
      <c r="O21" s="0" t="n">
        <v>4205</v>
      </c>
      <c r="P21" s="0" t="n">
        <v>15830</v>
      </c>
      <c r="Q21" s="0" t="n">
        <v>11625</v>
      </c>
      <c r="R21" s="0" t="n">
        <v>6994</v>
      </c>
      <c r="S21" s="0" t="n">
        <v>2384</v>
      </c>
      <c r="T21" s="0" t="n">
        <v>179.9</v>
      </c>
      <c r="U21" s="0" t="n">
        <v>234</v>
      </c>
      <c r="V21" s="0" t="n">
        <v>3.76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447.36</v>
      </c>
    </row>
    <row r="3" customFormat="false" ht="15" hidden="false" customHeight="false" outlineLevel="0" collapsed="false">
      <c r="A3" s="0" t="s">
        <v>86</v>
      </c>
      <c r="B3" s="3" t="n">
        <v>174.5</v>
      </c>
    </row>
    <row r="4" customFormat="false" ht="15" hidden="false" customHeight="false" outlineLevel="0" collapsed="false">
      <c r="A4" s="0" t="s">
        <v>87</v>
      </c>
      <c r="B4" s="3" t="n">
        <v>6050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8160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-5</v>
      </c>
      <c r="E13" s="3" t="n">
        <v>3</v>
      </c>
      <c r="F13" s="3" t="n">
        <v>5</v>
      </c>
      <c r="G13" s="3" t="n">
        <v>5</v>
      </c>
      <c r="H13" s="3" t="n">
        <v>4.5</v>
      </c>
      <c r="I13" s="3" t="n">
        <v>4</v>
      </c>
      <c r="J13" s="3" t="n">
        <v>3.5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52</v>
      </c>
      <c r="D14" s="3" t="n">
        <v>48.5</v>
      </c>
      <c r="E14" s="3" t="n">
        <v>49.5</v>
      </c>
      <c r="F14" s="3" t="n">
        <v>50.5</v>
      </c>
      <c r="G14" s="3" t="n">
        <v>51</v>
      </c>
      <c r="H14" s="3" t="n">
        <v>51.5</v>
      </c>
      <c r="I14" s="3" t="n">
        <v>52</v>
      </c>
      <c r="J14" s="3" t="n">
        <v>52</v>
      </c>
      <c r="K14" s="3" t="n">
        <v>52</v>
      </c>
      <c r="L14" s="3" t="n">
        <v>52</v>
      </c>
    </row>
    <row r="15" customFormat="false" ht="15" hidden="false" customHeight="false" outlineLevel="0" collapsed="false">
      <c r="A15" s="0" t="s">
        <v>109</v>
      </c>
      <c r="C15" s="3" t="n">
        <v>4.5</v>
      </c>
      <c r="D15" s="3" t="n">
        <v>4.6</v>
      </c>
      <c r="E15" s="3" t="n">
        <v>4.5</v>
      </c>
      <c r="F15" s="3" t="n">
        <v>4.4</v>
      </c>
      <c r="G15" s="3" t="n">
        <v>4.3</v>
      </c>
      <c r="H15" s="3" t="n">
        <v>4.2</v>
      </c>
      <c r="I15" s="3" t="n">
        <v>4.1</v>
      </c>
      <c r="J15" s="3" t="n">
        <v>4.1</v>
      </c>
      <c r="K15" s="3" t="n">
        <v>4</v>
      </c>
      <c r="L15" s="3" t="n">
        <v>4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6.1</v>
      </c>
      <c r="D17" s="3" t="n">
        <v>6.3</v>
      </c>
      <c r="E17" s="3" t="n">
        <v>6.1</v>
      </c>
      <c r="F17" s="3" t="n">
        <v>5.9</v>
      </c>
      <c r="G17" s="3" t="n">
        <v>5.7</v>
      </c>
      <c r="H17" s="3" t="n">
        <v>5.6</v>
      </c>
      <c r="I17" s="3" t="n">
        <v>5.5</v>
      </c>
      <c r="J17" s="3" t="n">
        <v>5.5</v>
      </c>
      <c r="K17" s="3" t="n">
        <v>5.5</v>
      </c>
      <c r="L17" s="3" t="n">
        <v>5.5</v>
      </c>
    </row>
    <row r="18" customFormat="false" ht="15" hidden="false" customHeight="false" outlineLevel="0" collapsed="false">
      <c r="A18" s="0" t="s">
        <v>112</v>
      </c>
      <c r="C18" s="3" t="n">
        <v>4.5</v>
      </c>
      <c r="D18" s="3" t="n">
        <v>4.5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113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16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6.5</v>
      </c>
      <c r="D27" s="3" t="n">
        <v>7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108</v>
      </c>
      <c r="C28" s="3" t="n">
        <v>53.5</v>
      </c>
      <c r="D28" s="3" t="n">
        <v>53.8</v>
      </c>
      <c r="E28" s="3" t="n">
        <v>54</v>
      </c>
      <c r="F28" s="3" t="n">
        <v>54.2</v>
      </c>
      <c r="G28" s="3" t="n">
        <v>54.4</v>
      </c>
      <c r="H28" s="3" t="n">
        <v>54.6</v>
      </c>
      <c r="I28" s="3" t="n">
        <v>54.8</v>
      </c>
      <c r="J28" s="3" t="n">
        <v>55</v>
      </c>
      <c r="K28" s="3" t="n">
        <v>55</v>
      </c>
      <c r="L28" s="3" t="n">
        <v>55</v>
      </c>
    </row>
    <row r="29" customFormat="false" ht="15" hidden="false" customHeight="false" outlineLevel="0" collapsed="false">
      <c r="A29" s="0" t="s">
        <v>109</v>
      </c>
      <c r="C29" s="3" t="n">
        <v>4.4</v>
      </c>
      <c r="D29" s="3" t="n">
        <v>4.35</v>
      </c>
      <c r="E29" s="3" t="n">
        <v>4.3</v>
      </c>
      <c r="F29" s="3" t="n">
        <v>4.25</v>
      </c>
      <c r="G29" s="3" t="n">
        <v>4.2</v>
      </c>
      <c r="H29" s="3" t="n">
        <v>4.15</v>
      </c>
      <c r="I29" s="3" t="n">
        <v>4.1</v>
      </c>
      <c r="J29" s="3" t="n">
        <v>4.05</v>
      </c>
      <c r="K29" s="3" t="n">
        <v>4</v>
      </c>
      <c r="L29" s="3" t="n">
        <v>4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6</v>
      </c>
      <c r="D31" s="3" t="n">
        <v>5.9</v>
      </c>
      <c r="E31" s="3" t="n">
        <v>5.8</v>
      </c>
      <c r="F31" s="3" t="n">
        <v>5.7</v>
      </c>
      <c r="G31" s="3" t="n">
        <v>5.6</v>
      </c>
      <c r="H31" s="3" t="n">
        <v>5.5</v>
      </c>
      <c r="I31" s="3" t="n">
        <v>5.5</v>
      </c>
      <c r="J31" s="3" t="n">
        <v>5.5</v>
      </c>
      <c r="K31" s="3" t="n">
        <v>5.5</v>
      </c>
      <c r="L31" s="3" t="n">
        <v>5.5</v>
      </c>
    </row>
    <row r="32" customFormat="false" ht="15" hidden="false" customHeight="false" outlineLevel="0" collapsed="false">
      <c r="A32" s="0" t="s">
        <v>112</v>
      </c>
      <c r="C32" s="3" t="n">
        <v>4.5</v>
      </c>
      <c r="D32" s="3" t="n">
        <v>4.5</v>
      </c>
      <c r="E32" s="3" t="n">
        <v>4.5</v>
      </c>
      <c r="F32" s="3" t="n">
        <v>4.5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113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8.5</v>
      </c>
      <c r="D41" s="3" t="n">
        <v>9.5</v>
      </c>
      <c r="E41" s="3" t="n">
        <v>9.5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54</v>
      </c>
      <c r="D42" s="3" t="n">
        <v>54.6</v>
      </c>
      <c r="E42" s="3" t="n">
        <v>55.2</v>
      </c>
      <c r="F42" s="3" t="n">
        <v>55.8</v>
      </c>
      <c r="G42" s="3" t="n">
        <v>56.3</v>
      </c>
      <c r="H42" s="3" t="n">
        <v>56.6</v>
      </c>
      <c r="I42" s="3" t="n">
        <v>56.8</v>
      </c>
      <c r="J42" s="3" t="n">
        <v>57</v>
      </c>
      <c r="K42" s="3" t="n">
        <v>57</v>
      </c>
      <c r="L42" s="3" t="n">
        <v>57</v>
      </c>
    </row>
    <row r="43" customFormat="false" ht="15" hidden="false" customHeight="false" outlineLevel="0" collapsed="false">
      <c r="A43" s="0" t="s">
        <v>109</v>
      </c>
      <c r="C43" s="3" t="n">
        <v>4.4</v>
      </c>
      <c r="D43" s="3" t="n">
        <v>4.35</v>
      </c>
      <c r="E43" s="3" t="n">
        <v>4.3</v>
      </c>
      <c r="F43" s="3" t="n">
        <v>4.25</v>
      </c>
      <c r="G43" s="3" t="n">
        <v>4.2</v>
      </c>
      <c r="H43" s="3" t="n">
        <v>4.15</v>
      </c>
      <c r="I43" s="3" t="n">
        <v>4.1</v>
      </c>
      <c r="J43" s="3" t="n">
        <v>4.05</v>
      </c>
      <c r="K43" s="3" t="n">
        <v>4</v>
      </c>
      <c r="L43" s="3" t="n">
        <v>4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6</v>
      </c>
      <c r="D45" s="3" t="n">
        <v>5.9</v>
      </c>
      <c r="E45" s="3" t="n">
        <v>5.8</v>
      </c>
      <c r="F45" s="3" t="n">
        <v>5.7</v>
      </c>
      <c r="G45" s="3" t="n">
        <v>5.6</v>
      </c>
      <c r="H45" s="3" t="n">
        <v>5.5</v>
      </c>
      <c r="I45" s="3" t="n">
        <v>5.5</v>
      </c>
      <c r="J45" s="3" t="n">
        <v>5.5</v>
      </c>
      <c r="K45" s="3" t="n">
        <v>5.5</v>
      </c>
      <c r="L45" s="3" t="n">
        <v>5.5</v>
      </c>
    </row>
    <row r="46" customFormat="false" ht="15" hidden="false" customHeight="false" outlineLevel="0" collapsed="false">
      <c r="A46" s="0" t="s">
        <v>112</v>
      </c>
      <c r="C46" s="3" t="n">
        <v>4.5</v>
      </c>
      <c r="D46" s="3" t="n">
        <v>4.5</v>
      </c>
      <c r="E46" s="3" t="n">
        <v>4.5</v>
      </c>
      <c r="F46" s="3" t="n">
        <v>4.5</v>
      </c>
      <c r="G46" s="3" t="n">
        <v>4.5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113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-5</v>
      </c>
      <c r="E5" s="4" t="n">
        <f aca="false">Assumptions!E13</f>
        <v>3</v>
      </c>
      <c r="F5" s="4" t="n">
        <f aca="false">Assumptions!F13</f>
        <v>5</v>
      </c>
      <c r="G5" s="4" t="n">
        <f aca="false">Assumptions!G13</f>
        <v>5</v>
      </c>
      <c r="H5" s="4" t="n">
        <f aca="false">Assumptions!H13</f>
        <v>4.5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8160</v>
      </c>
      <c r="C6" s="0" t="n">
        <f aca="false">B6*(1+C5/100)</f>
        <v>8323.2</v>
      </c>
      <c r="D6" s="0" t="n">
        <f aca="false">C6*(1+D5/100)</f>
        <v>7907.04</v>
      </c>
      <c r="E6" s="0" t="n">
        <f aca="false">D6*(1+E5/100)</f>
        <v>8144.2512</v>
      </c>
      <c r="F6" s="0" t="n">
        <f aca="false">E6*(1+F5/100)</f>
        <v>8551.46376</v>
      </c>
      <c r="G6" s="0" t="n">
        <f aca="false">F6*(1+G5/100)</f>
        <v>8979.036948</v>
      </c>
      <c r="H6" s="0" t="n">
        <f aca="false">G6*(1+H5/100)</f>
        <v>9383.09361066</v>
      </c>
      <c r="I6" s="0" t="n">
        <f aca="false">H6*(1+I5/100)</f>
        <v>9758.4173550864</v>
      </c>
      <c r="J6" s="0" t="n">
        <f aca="false">I6*(1+J5/100)</f>
        <v>10099.9619625144</v>
      </c>
      <c r="K6" s="0" t="n">
        <f aca="false">J6*(1+K5/100)</f>
        <v>10402.9608213899</v>
      </c>
      <c r="L6" s="0" t="n">
        <f aca="false">K6*(1+L5/100)</f>
        <v>10715.0496460316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52</v>
      </c>
      <c r="D7" s="4" t="n">
        <f aca="false">Assumptions!D14</f>
        <v>48.5</v>
      </c>
      <c r="E7" s="4" t="n">
        <f aca="false">Assumptions!E14</f>
        <v>49.5</v>
      </c>
      <c r="F7" s="4" t="n">
        <f aca="false">Assumptions!F14</f>
        <v>50.5</v>
      </c>
      <c r="G7" s="4" t="n">
        <f aca="false">Assumptions!G14</f>
        <v>51</v>
      </c>
      <c r="H7" s="4" t="n">
        <f aca="false">Assumptions!H14</f>
        <v>51.5</v>
      </c>
      <c r="I7" s="4" t="n">
        <f aca="false">Assumptions!I14</f>
        <v>52</v>
      </c>
      <c r="J7" s="4" t="n">
        <f aca="false">Assumptions!J14</f>
        <v>52</v>
      </c>
      <c r="K7" s="4" t="n">
        <f aca="false">Assumptions!K14</f>
        <v>52</v>
      </c>
      <c r="L7" s="4" t="n">
        <f aca="false">Assumptions!L14</f>
        <v>52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4328.064</v>
      </c>
      <c r="D8" s="0" t="n">
        <f aca="false">D6*D7/100</f>
        <v>3834.9144</v>
      </c>
      <c r="E8" s="0" t="n">
        <f aca="false">E6*E7/100</f>
        <v>4031.404344</v>
      </c>
      <c r="F8" s="0" t="n">
        <f aca="false">F6*F7/100</f>
        <v>4318.4891988</v>
      </c>
      <c r="G8" s="0" t="n">
        <f aca="false">G6*G7/100</f>
        <v>4579.30884348</v>
      </c>
      <c r="H8" s="0" t="n">
        <f aca="false">H6*H7/100</f>
        <v>4832.2932094899</v>
      </c>
      <c r="I8" s="0" t="n">
        <f aca="false">I6*I7/100</f>
        <v>5074.37702464493</v>
      </c>
      <c r="J8" s="0" t="n">
        <f aca="false">J6*J7/100</f>
        <v>5251.9802205075</v>
      </c>
      <c r="K8" s="0" t="n">
        <f aca="false">K6*K7/100</f>
        <v>5409.53962712273</v>
      </c>
      <c r="L8" s="0" t="n">
        <f aca="false">L6*L7/100</f>
        <v>5571.82581593641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4.5</v>
      </c>
      <c r="D9" s="4" t="n">
        <f aca="false">Assumptions!D15</f>
        <v>4.6</v>
      </c>
      <c r="E9" s="4" t="n">
        <f aca="false">Assumptions!E15</f>
        <v>4.5</v>
      </c>
      <c r="F9" s="4" t="n">
        <f aca="false">Assumptions!F15</f>
        <v>4.4</v>
      </c>
      <c r="G9" s="4" t="n">
        <f aca="false">Assumptions!G15</f>
        <v>4.3</v>
      </c>
      <c r="H9" s="4" t="n">
        <f aca="false">Assumptions!H15</f>
        <v>4.2</v>
      </c>
      <c r="I9" s="4" t="n">
        <f aca="false">Assumptions!I15</f>
        <v>4.1</v>
      </c>
      <c r="J9" s="4" t="n">
        <f aca="false">Assumptions!J15</f>
        <v>4.1</v>
      </c>
      <c r="K9" s="4" t="n">
        <f aca="false">Assumptions!K15</f>
        <v>4</v>
      </c>
      <c r="L9" s="4" t="n">
        <f aca="false">Assumptions!L15</f>
        <v>4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-374.544</v>
      </c>
      <c r="D10" s="0" t="n">
        <f aca="false">-D6*D9/100</f>
        <v>-363.72384</v>
      </c>
      <c r="E10" s="0" t="n">
        <f aca="false">-E6*E9/100</f>
        <v>-366.491304</v>
      </c>
      <c r="F10" s="0" t="n">
        <f aca="false">-F6*F9/100</f>
        <v>-376.26440544</v>
      </c>
      <c r="G10" s="0" t="n">
        <f aca="false">-G6*G9/100</f>
        <v>-386.098588764</v>
      </c>
      <c r="H10" s="0" t="n">
        <f aca="false">-H6*H9/100</f>
        <v>-394.08993164772</v>
      </c>
      <c r="I10" s="0" t="n">
        <f aca="false">-I6*I9/100</f>
        <v>-400.095111558542</v>
      </c>
      <c r="J10" s="0" t="n">
        <f aca="false">-J6*J9/100</f>
        <v>-414.098440463091</v>
      </c>
      <c r="K10" s="0" t="n">
        <f aca="false">-K6*K9/100</f>
        <v>-416.118432855594</v>
      </c>
      <c r="L10" s="0" t="n">
        <f aca="false">-L6*L9/100</f>
        <v>-428.601985841262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3953.52</v>
      </c>
      <c r="D11" s="0" t="n">
        <f aca="false">D8+D10+D24</f>
        <v>3471.19056</v>
      </c>
      <c r="E11" s="0" t="n">
        <f aca="false">E8+E10+E24</f>
        <v>3664.91304</v>
      </c>
      <c r="F11" s="0" t="n">
        <f aca="false">F8+F10+F24</f>
        <v>3942.22479336</v>
      </c>
      <c r="G11" s="0" t="n">
        <f aca="false">G8+G10+G24</f>
        <v>4193.210254716</v>
      </c>
      <c r="H11" s="0" t="n">
        <f aca="false">H8+H10+H24</f>
        <v>4438.20327784218</v>
      </c>
      <c r="I11" s="0" t="n">
        <f aca="false">I8+I10+I24</f>
        <v>4674.28191308639</v>
      </c>
      <c r="J11" s="0" t="n">
        <f aca="false">J8+J10+J24</f>
        <v>4837.88178004441</v>
      </c>
      <c r="K11" s="0" t="n">
        <f aca="false">K8+K10+K24</f>
        <v>4993.42119426713</v>
      </c>
      <c r="L11" s="0" t="n">
        <f aca="false">L8+L10+L24</f>
        <v>5143.22383009515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-507.7152</v>
      </c>
      <c r="D12" s="4" t="n">
        <f aca="false">-D6*Assumptions!D17/100</f>
        <v>-498.14352</v>
      </c>
      <c r="E12" s="4" t="n">
        <f aca="false">-E6*Assumptions!E17/100</f>
        <v>-496.7993232</v>
      </c>
      <c r="F12" s="4" t="n">
        <f aca="false">-F6*Assumptions!F17/100</f>
        <v>-504.53636184</v>
      </c>
      <c r="G12" s="4" t="n">
        <f aca="false">-G6*Assumptions!G17/100</f>
        <v>-511.805106036</v>
      </c>
      <c r="H12" s="4" t="n">
        <f aca="false">-H6*Assumptions!H17/100</f>
        <v>-525.45324219696</v>
      </c>
      <c r="I12" s="4" t="n">
        <f aca="false">-I6*Assumptions!I17/100</f>
        <v>-536.712954529752</v>
      </c>
      <c r="J12" s="4" t="n">
        <f aca="false">-J6*Assumptions!J17/100</f>
        <v>-555.497907938293</v>
      </c>
      <c r="K12" s="4" t="n">
        <f aca="false">-K6*Assumptions!K17/100</f>
        <v>-572.162845176442</v>
      </c>
      <c r="L12" s="4" t="n">
        <f aca="false">-L6*Assumptions!L17/100</f>
        <v>-589.327730531735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3445.8048</v>
      </c>
      <c r="D13" s="0" t="n">
        <f aca="false">D11+D12</f>
        <v>2973.04704</v>
      </c>
      <c r="E13" s="0" t="n">
        <f aca="false">E11+E12</f>
        <v>3168.1137168</v>
      </c>
      <c r="F13" s="0" t="n">
        <f aca="false">F11+F12</f>
        <v>3437.68843152</v>
      </c>
      <c r="G13" s="0" t="n">
        <f aca="false">G11+G12</f>
        <v>3681.40514868</v>
      </c>
      <c r="H13" s="0" t="n">
        <f aca="false">H11+H12</f>
        <v>3912.75003564522</v>
      </c>
      <c r="I13" s="0" t="n">
        <f aca="false">I11+I12</f>
        <v>4137.56895855663</v>
      </c>
      <c r="J13" s="0" t="n">
        <f aca="false">J11+J12</f>
        <v>4282.38387210612</v>
      </c>
      <c r="K13" s="0" t="n">
        <f aca="false">K11+K12</f>
        <v>4421.25834909069</v>
      </c>
      <c r="L13" s="0" t="n">
        <f aca="false">L11+L12</f>
        <v>4553.89609956341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2618.811648</v>
      </c>
      <c r="D15" s="0" t="n">
        <f aca="false">D13-MAX(0,D13)*D14/100</f>
        <v>2259.5157504</v>
      </c>
      <c r="E15" s="0" t="n">
        <f aca="false">E13-MAX(0,E13)*E14/100</f>
        <v>2407.766424768</v>
      </c>
      <c r="F15" s="0" t="n">
        <f aca="false">F13-MAX(0,F13)*F14/100</f>
        <v>2612.6432079552</v>
      </c>
      <c r="G15" s="0" t="n">
        <f aca="false">G13-MAX(0,G13)*G14/100</f>
        <v>2797.8679129968</v>
      </c>
      <c r="H15" s="0" t="n">
        <f aca="false">H13-MAX(0,H13)*H14/100</f>
        <v>2973.69002709037</v>
      </c>
      <c r="I15" s="0" t="n">
        <f aca="false">I13-MAX(0,I13)*I14/100</f>
        <v>3144.55240850304</v>
      </c>
      <c r="J15" s="0" t="n">
        <f aca="false">J13-MAX(0,J13)*J14/100</f>
        <v>3254.61174280065</v>
      </c>
      <c r="K15" s="0" t="n">
        <f aca="false">K13-MAX(0,K13)*K14/100</f>
        <v>3360.15634530892</v>
      </c>
      <c r="L15" s="0" t="n">
        <f aca="false">L13-MAX(0,L13)*L14/100</f>
        <v>3460.96103566819</v>
      </c>
    </row>
    <row r="16" customFormat="false" ht="15" hidden="false" customHeight="false" outlineLevel="0" collapsed="false">
      <c r="A16" s="0" t="s">
        <v>129</v>
      </c>
      <c r="C16" s="0" t="n">
        <f aca="false">-C12</f>
        <v>507.7152</v>
      </c>
      <c r="D16" s="0" t="n">
        <f aca="false">-D12</f>
        <v>498.14352</v>
      </c>
      <c r="E16" s="0" t="n">
        <f aca="false">-E12</f>
        <v>496.7993232</v>
      </c>
      <c r="F16" s="0" t="n">
        <f aca="false">-F12</f>
        <v>504.53636184</v>
      </c>
      <c r="G16" s="0" t="n">
        <f aca="false">-G12</f>
        <v>511.805106036</v>
      </c>
      <c r="H16" s="0" t="n">
        <f aca="false">-H12</f>
        <v>525.45324219696</v>
      </c>
      <c r="I16" s="0" t="n">
        <f aca="false">-I12</f>
        <v>536.712954529752</v>
      </c>
      <c r="J16" s="0" t="n">
        <f aca="false">-J12</f>
        <v>555.497907938293</v>
      </c>
      <c r="K16" s="0" t="n">
        <f aca="false">-K12</f>
        <v>572.162845176442</v>
      </c>
      <c r="L16" s="0" t="n">
        <f aca="false">-L12</f>
        <v>589.327730531735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-374.544</v>
      </c>
      <c r="D17" s="4" t="n">
        <f aca="false">-D6*Assumptions!D18/100</f>
        <v>-355.8168</v>
      </c>
      <c r="E17" s="4" t="n">
        <f aca="false">-E6*Assumptions!E18/100</f>
        <v>-366.491304</v>
      </c>
      <c r="F17" s="4" t="n">
        <f aca="false">-F6*Assumptions!F18/100</f>
        <v>-384.8158692</v>
      </c>
      <c r="G17" s="4" t="n">
        <f aca="false">-G6*Assumptions!G18/100</f>
        <v>-404.05666266</v>
      </c>
      <c r="H17" s="4" t="n">
        <f aca="false">-H6*Assumptions!H18/100</f>
        <v>-422.2392124797</v>
      </c>
      <c r="I17" s="4" t="n">
        <f aca="false">-I6*Assumptions!I18/100</f>
        <v>-439.128780978888</v>
      </c>
      <c r="J17" s="4" t="n">
        <f aca="false">-J6*Assumptions!J18/100</f>
        <v>-454.498288313149</v>
      </c>
      <c r="K17" s="4" t="n">
        <f aca="false">-K6*Assumptions!K18/100</f>
        <v>-468.133236962544</v>
      </c>
      <c r="L17" s="4" t="n">
        <f aca="false">-L6*Assumptions!L18/100</f>
        <v>-482.17723407142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2751.982848</v>
      </c>
      <c r="D19" s="0" t="n">
        <f aca="false">D15+D16+D17+D18</f>
        <v>2401.8424704</v>
      </c>
      <c r="E19" s="0" t="n">
        <f aca="false">E15+E16+E17+E18</f>
        <v>2538.074443968</v>
      </c>
      <c r="F19" s="0" t="n">
        <f aca="false">F15+F16+F17+F18</f>
        <v>2732.3637005952</v>
      </c>
      <c r="G19" s="0" t="n">
        <f aca="false">G15+G16+G17+G18</f>
        <v>2905.6163563728</v>
      </c>
      <c r="H19" s="0" t="n">
        <f aca="false">H15+H16+H17+H18</f>
        <v>3076.90405680763</v>
      </c>
      <c r="I19" s="0" t="n">
        <f aca="false">I15+I16+I17+I18</f>
        <v>3242.13658205391</v>
      </c>
      <c r="J19" s="0" t="n">
        <f aca="false">J15+J16+J17+J18</f>
        <v>3355.61136242579</v>
      </c>
      <c r="K19" s="0" t="n">
        <f aca="false">K15+K16+K17+K18</f>
        <v>3464.18595352282</v>
      </c>
      <c r="L19" s="0" t="n">
        <f aca="false">L15+L16+L17+L18</f>
        <v>3568.11153212851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2524.75490642202</v>
      </c>
      <c r="D21" s="0" t="n">
        <f aca="false">D19*D20</f>
        <v>2021.58275431361</v>
      </c>
      <c r="E21" s="0" t="n">
        <f aca="false">E19*E20</f>
        <v>1959.85915679726</v>
      </c>
      <c r="F21" s="0" t="n">
        <f aca="false">F19*F20</f>
        <v>1935.67533130104</v>
      </c>
      <c r="G21" s="0" t="n">
        <f aca="false">G19*G20</f>
        <v>1888.45126654852</v>
      </c>
      <c r="H21" s="0" t="n">
        <f aca="false">H19*H20</f>
        <v>1834.6573570165</v>
      </c>
      <c r="I21" s="0" t="n">
        <f aca="false">I19*I20</f>
        <v>1773.55973684275</v>
      </c>
      <c r="J21" s="0" t="n">
        <f aca="false">J19*J20</f>
        <v>1684.0681904883</v>
      </c>
      <c r="K21" s="0" t="n">
        <f aca="false">K19*K20</f>
        <v>1595.00744641207</v>
      </c>
      <c r="L21" s="0" t="n">
        <f aca="false">L19*L20</f>
        <v>1507.20887138022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18724.8250175223</v>
      </c>
    </row>
    <row r="31" customFormat="false" ht="15" hidden="false" customHeight="false" outlineLevel="0" collapsed="false">
      <c r="A31" s="0" t="s">
        <v>138</v>
      </c>
      <c r="B31" s="0" t="n">
        <f aca="false">L19</f>
        <v>3568.11153212851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56266.374160488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57089.7845140561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56266.374160488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23767.5245102265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42492.3495277488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36442.3495277488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208.838679242113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-0.533175341465233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2484.55805801999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2854.9578991263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239.437624555273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29258.5145634538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89.2827346752674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6.5</v>
      </c>
      <c r="D5" s="4" t="n">
        <f aca="false">Assumptions!D27</f>
        <v>7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8160</v>
      </c>
      <c r="C6" s="0" t="n">
        <f aca="false">B6*(1+C5/100)</f>
        <v>8690.4</v>
      </c>
      <c r="D6" s="0" t="n">
        <f aca="false">C6*(1+D5/100)</f>
        <v>9298.728</v>
      </c>
      <c r="E6" s="0" t="n">
        <f aca="false">D6*(1+E5/100)</f>
        <v>9949.63896</v>
      </c>
      <c r="F6" s="0" t="n">
        <f aca="false">E6*(1+F5/100)</f>
        <v>10596.3654924</v>
      </c>
      <c r="G6" s="0" t="n">
        <f aca="false">F6*(1+G5/100)</f>
        <v>11232.147421944</v>
      </c>
      <c r="H6" s="0" t="n">
        <f aca="false">G6*(1+H5/100)</f>
        <v>11849.9155301509</v>
      </c>
      <c r="I6" s="0" t="n">
        <f aca="false">H6*(1+I5/100)</f>
        <v>12442.4113066585</v>
      </c>
      <c r="J6" s="0" t="n">
        <f aca="false">I6*(1+J5/100)</f>
        <v>13002.3198154581</v>
      </c>
      <c r="K6" s="0" t="n">
        <f aca="false">J6*(1+K5/100)</f>
        <v>13522.4126080764</v>
      </c>
      <c r="L6" s="0" t="n">
        <f aca="false">K6*(1+L5/100)</f>
        <v>13995.6970493591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53.5</v>
      </c>
      <c r="D7" s="4" t="n">
        <f aca="false">Assumptions!D28</f>
        <v>53.8</v>
      </c>
      <c r="E7" s="4" t="n">
        <f aca="false">Assumptions!E28</f>
        <v>54</v>
      </c>
      <c r="F7" s="4" t="n">
        <f aca="false">Assumptions!F28</f>
        <v>54.2</v>
      </c>
      <c r="G7" s="4" t="n">
        <f aca="false">Assumptions!G28</f>
        <v>54.4</v>
      </c>
      <c r="H7" s="4" t="n">
        <f aca="false">Assumptions!H28</f>
        <v>54.6</v>
      </c>
      <c r="I7" s="4" t="n">
        <f aca="false">Assumptions!I28</f>
        <v>54.8</v>
      </c>
      <c r="J7" s="4" t="n">
        <f aca="false">Assumptions!J28</f>
        <v>55</v>
      </c>
      <c r="K7" s="4" t="n">
        <f aca="false">Assumptions!K28</f>
        <v>55</v>
      </c>
      <c r="L7" s="4" t="n">
        <f aca="false">Assumptions!L28</f>
        <v>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4649.364</v>
      </c>
      <c r="D8" s="0" t="n">
        <f aca="false">D6*D7/100</f>
        <v>5002.715664</v>
      </c>
      <c r="E8" s="0" t="n">
        <f aca="false">E6*E7/100</f>
        <v>5372.8050384</v>
      </c>
      <c r="F8" s="0" t="n">
        <f aca="false">F6*F7/100</f>
        <v>5743.2300968808</v>
      </c>
      <c r="G8" s="0" t="n">
        <f aca="false">G6*G7/100</f>
        <v>6110.28819753754</v>
      </c>
      <c r="H8" s="0" t="n">
        <f aca="false">H6*H7/100</f>
        <v>6470.0538794624</v>
      </c>
      <c r="I8" s="0" t="n">
        <f aca="false">I6*I7/100</f>
        <v>6818.44139604884</v>
      </c>
      <c r="J8" s="0" t="n">
        <f aca="false">J6*J7/100</f>
        <v>7151.27589850195</v>
      </c>
      <c r="K8" s="0" t="n">
        <f aca="false">K6*K7/100</f>
        <v>7437.32693444203</v>
      </c>
      <c r="L8" s="0" t="n">
        <f aca="false">L6*L7/100</f>
        <v>7697.63337714751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4.4</v>
      </c>
      <c r="D9" s="4" t="n">
        <f aca="false">Assumptions!D29</f>
        <v>4.35</v>
      </c>
      <c r="E9" s="4" t="n">
        <f aca="false">Assumptions!E29</f>
        <v>4.3</v>
      </c>
      <c r="F9" s="4" t="n">
        <f aca="false">Assumptions!F29</f>
        <v>4.25</v>
      </c>
      <c r="G9" s="4" t="n">
        <f aca="false">Assumptions!G29</f>
        <v>4.2</v>
      </c>
      <c r="H9" s="4" t="n">
        <f aca="false">Assumptions!H29</f>
        <v>4.15</v>
      </c>
      <c r="I9" s="4" t="n">
        <f aca="false">Assumptions!I29</f>
        <v>4.1</v>
      </c>
      <c r="J9" s="4" t="n">
        <f aca="false">Assumptions!J29</f>
        <v>4.05</v>
      </c>
      <c r="K9" s="4" t="n">
        <f aca="false">Assumptions!K29</f>
        <v>4</v>
      </c>
      <c r="L9" s="4" t="n">
        <f aca="false">Assumptions!L29</f>
        <v>4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-382.3776</v>
      </c>
      <c r="D10" s="0" t="n">
        <f aca="false">-D6*D9/100</f>
        <v>-404.494668</v>
      </c>
      <c r="E10" s="0" t="n">
        <f aca="false">-E6*E9/100</f>
        <v>-427.83447528</v>
      </c>
      <c r="F10" s="0" t="n">
        <f aca="false">-F6*F9/100</f>
        <v>-450.345533427</v>
      </c>
      <c r="G10" s="0" t="n">
        <f aca="false">-G6*G9/100</f>
        <v>-471.750191721648</v>
      </c>
      <c r="H10" s="0" t="n">
        <f aca="false">-H6*H9/100</f>
        <v>-491.771494501263</v>
      </c>
      <c r="I10" s="0" t="n">
        <f aca="false">-I6*I9/100</f>
        <v>-510.138863572997</v>
      </c>
      <c r="J10" s="0" t="n">
        <f aca="false">-J6*J9/100</f>
        <v>-526.593952526053</v>
      </c>
      <c r="K10" s="0" t="n">
        <f aca="false">-K6*K9/100</f>
        <v>-540.896504323057</v>
      </c>
      <c r="L10" s="0" t="n">
        <f aca="false">-L6*L9/100</f>
        <v>-559.827881974364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4266.9864</v>
      </c>
      <c r="D11" s="0" t="n">
        <f aca="false">D8+D10+D24</f>
        <v>4598.220996</v>
      </c>
      <c r="E11" s="0" t="n">
        <f aca="false">E8+E10+E24</f>
        <v>4944.97056312</v>
      </c>
      <c r="F11" s="0" t="n">
        <f aca="false">F8+F10+F24</f>
        <v>5292.8845634538</v>
      </c>
      <c r="G11" s="0" t="n">
        <f aca="false">G8+G10+G24</f>
        <v>5638.53800581589</v>
      </c>
      <c r="H11" s="0" t="n">
        <f aca="false">H8+H10+H24</f>
        <v>5978.28238496114</v>
      </c>
      <c r="I11" s="0" t="n">
        <f aca="false">I8+I10+I24</f>
        <v>6308.30253247584</v>
      </c>
      <c r="J11" s="0" t="n">
        <f aca="false">J8+J10+J24</f>
        <v>6624.6819459759</v>
      </c>
      <c r="K11" s="0" t="n">
        <f aca="false">K8+K10+K24</f>
        <v>6896.43043011898</v>
      </c>
      <c r="L11" s="0" t="n">
        <f aca="false">L8+L10+L24</f>
        <v>7137.80549517314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-521.424</v>
      </c>
      <c r="D12" s="4" t="n">
        <f aca="false">-D6*Assumptions!D31/100</f>
        <v>-548.624952</v>
      </c>
      <c r="E12" s="4" t="n">
        <f aca="false">-E6*Assumptions!E31/100</f>
        <v>-577.07905968</v>
      </c>
      <c r="F12" s="4" t="n">
        <f aca="false">-F6*Assumptions!F31/100</f>
        <v>-603.9928330668</v>
      </c>
      <c r="G12" s="4" t="n">
        <f aca="false">-G6*Assumptions!G31/100</f>
        <v>-629.000255628864</v>
      </c>
      <c r="H12" s="4" t="n">
        <f aca="false">-H6*Assumptions!H31/100</f>
        <v>-651.745354158301</v>
      </c>
      <c r="I12" s="4" t="n">
        <f aca="false">-I6*Assumptions!I31/100</f>
        <v>-684.332621866216</v>
      </c>
      <c r="J12" s="4" t="n">
        <f aca="false">-J6*Assumptions!J31/100</f>
        <v>-715.127589850195</v>
      </c>
      <c r="K12" s="4" t="n">
        <f aca="false">-K6*Assumptions!K31/100</f>
        <v>-743.732693444203</v>
      </c>
      <c r="L12" s="4" t="n">
        <f aca="false">-L6*Assumptions!L31/100</f>
        <v>-769.76333771475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3745.5624</v>
      </c>
      <c r="D13" s="0" t="n">
        <f aca="false">D11+D12</f>
        <v>4049.596044</v>
      </c>
      <c r="E13" s="0" t="n">
        <f aca="false">E11+E12</f>
        <v>4367.89150344</v>
      </c>
      <c r="F13" s="0" t="n">
        <f aca="false">F11+F12</f>
        <v>4688.891730387</v>
      </c>
      <c r="G13" s="0" t="n">
        <f aca="false">G11+G12</f>
        <v>5009.53775018703</v>
      </c>
      <c r="H13" s="0" t="n">
        <f aca="false">H11+H12</f>
        <v>5326.53703080284</v>
      </c>
      <c r="I13" s="0" t="n">
        <f aca="false">I11+I12</f>
        <v>5623.96991060963</v>
      </c>
      <c r="J13" s="0" t="n">
        <f aca="false">J11+J12</f>
        <v>5909.55435612571</v>
      </c>
      <c r="K13" s="0" t="n">
        <f aca="false">K11+K12</f>
        <v>6152.69773667477</v>
      </c>
      <c r="L13" s="0" t="n">
        <f aca="false">L11+L12</f>
        <v>6368.04215745839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2884.083048</v>
      </c>
      <c r="D15" s="0" t="n">
        <f aca="false">D13-MAX(0,D13)*D14/100</f>
        <v>3118.18895388</v>
      </c>
      <c r="E15" s="0" t="n">
        <f aca="false">E13-MAX(0,E13)*E14/100</f>
        <v>3363.2764576488</v>
      </c>
      <c r="F15" s="0" t="n">
        <f aca="false">F13-MAX(0,F13)*F14/100</f>
        <v>3610.44663239799</v>
      </c>
      <c r="G15" s="0" t="n">
        <f aca="false">G13-MAX(0,G13)*G14/100</f>
        <v>3857.34406764401</v>
      </c>
      <c r="H15" s="0" t="n">
        <f aca="false">H13-MAX(0,H13)*H14/100</f>
        <v>4101.43351371819</v>
      </c>
      <c r="I15" s="0" t="n">
        <f aca="false">I13-MAX(0,I13)*I14/100</f>
        <v>4330.45683116941</v>
      </c>
      <c r="J15" s="0" t="n">
        <f aca="false">J13-MAX(0,J13)*J14/100</f>
        <v>4550.35685421679</v>
      </c>
      <c r="K15" s="0" t="n">
        <f aca="false">K13-MAX(0,K13)*K14/100</f>
        <v>4737.57725723958</v>
      </c>
      <c r="L15" s="0" t="n">
        <f aca="false">L13-MAX(0,L13)*L14/100</f>
        <v>4903.39246124296</v>
      </c>
    </row>
    <row r="16" customFormat="false" ht="15" hidden="false" customHeight="false" outlineLevel="0" collapsed="false">
      <c r="A16" s="0" t="s">
        <v>129</v>
      </c>
      <c r="C16" s="0" t="n">
        <f aca="false">-C12</f>
        <v>521.424</v>
      </c>
      <c r="D16" s="0" t="n">
        <f aca="false">-D12</f>
        <v>548.624952</v>
      </c>
      <c r="E16" s="0" t="n">
        <f aca="false">-E12</f>
        <v>577.07905968</v>
      </c>
      <c r="F16" s="0" t="n">
        <f aca="false">-F12</f>
        <v>603.9928330668</v>
      </c>
      <c r="G16" s="0" t="n">
        <f aca="false">-G12</f>
        <v>629.000255628864</v>
      </c>
      <c r="H16" s="0" t="n">
        <f aca="false">-H12</f>
        <v>651.745354158301</v>
      </c>
      <c r="I16" s="0" t="n">
        <f aca="false">-I12</f>
        <v>684.332621866216</v>
      </c>
      <c r="J16" s="0" t="n">
        <f aca="false">-J12</f>
        <v>715.127589850195</v>
      </c>
      <c r="K16" s="0" t="n">
        <f aca="false">-K12</f>
        <v>743.732693444203</v>
      </c>
      <c r="L16" s="0" t="n">
        <f aca="false">-L12</f>
        <v>769.76333771475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-391.068</v>
      </c>
      <c r="D17" s="4" t="n">
        <f aca="false">-D6*Assumptions!D32/100</f>
        <v>-418.44276</v>
      </c>
      <c r="E17" s="4" t="n">
        <f aca="false">-E6*Assumptions!E32/100</f>
        <v>-447.7337532</v>
      </c>
      <c r="F17" s="4" t="n">
        <f aca="false">-F6*Assumptions!F32/100</f>
        <v>-476.836447158</v>
      </c>
      <c r="G17" s="4" t="n">
        <f aca="false">-G6*Assumptions!G32/100</f>
        <v>-505.44663398748</v>
      </c>
      <c r="H17" s="4" t="n">
        <f aca="false">-H6*Assumptions!H32/100</f>
        <v>-533.246198856792</v>
      </c>
      <c r="I17" s="4" t="n">
        <f aca="false">-I6*Assumptions!I32/100</f>
        <v>-559.908508799631</v>
      </c>
      <c r="J17" s="4" t="n">
        <f aca="false">-J6*Assumptions!J32/100</f>
        <v>-585.104391695615</v>
      </c>
      <c r="K17" s="4" t="n">
        <f aca="false">-K6*Assumptions!K32/100</f>
        <v>-608.508567363439</v>
      </c>
      <c r="L17" s="4" t="n">
        <f aca="false">-L6*Assumptions!L32/100</f>
        <v>-629.806367221159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3014.439048</v>
      </c>
      <c r="D19" s="0" t="n">
        <f aca="false">D15+D16+D17+D18</f>
        <v>3248.37114588</v>
      </c>
      <c r="E19" s="0" t="n">
        <f aca="false">E15+E16+E17+E18</f>
        <v>3492.6217641288</v>
      </c>
      <c r="F19" s="0" t="n">
        <f aca="false">F15+F16+F17+F18</f>
        <v>3737.60301830679</v>
      </c>
      <c r="G19" s="0" t="n">
        <f aca="false">G15+G16+G17+G18</f>
        <v>3980.8976892854</v>
      </c>
      <c r="H19" s="0" t="n">
        <f aca="false">H15+H16+H17+H18</f>
        <v>4219.9326690197</v>
      </c>
      <c r="I19" s="0" t="n">
        <f aca="false">I15+I16+I17+I18</f>
        <v>4454.880944236</v>
      </c>
      <c r="J19" s="0" t="n">
        <f aca="false">J15+J16+J17+J18</f>
        <v>4680.38005237138</v>
      </c>
      <c r="K19" s="0" t="n">
        <f aca="false">K15+K16+K17+K18</f>
        <v>4872.80138332034</v>
      </c>
      <c r="L19" s="0" t="n">
        <f aca="false">L15+L16+L17+L18</f>
        <v>5043.34943173655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2765.54041100917</v>
      </c>
      <c r="D21" s="0" t="n">
        <f aca="false">D19*D20</f>
        <v>2734.08900419157</v>
      </c>
      <c r="E21" s="0" t="n">
        <f aca="false">E19*E20</f>
        <v>2696.94482836199</v>
      </c>
      <c r="F21" s="0" t="n">
        <f aca="false">F19*F20</f>
        <v>2647.8122071219</v>
      </c>
      <c r="G21" s="0" t="n">
        <f aca="false">G19*G20</f>
        <v>2587.31035390914</v>
      </c>
      <c r="H21" s="0" t="n">
        <f aca="false">H19*H20</f>
        <v>2516.20797216665</v>
      </c>
      <c r="I21" s="0" t="n">
        <f aca="false">I19*I20</f>
        <v>2436.97243319702</v>
      </c>
      <c r="J21" s="0" t="n">
        <f aca="false">J19*J20</f>
        <v>2348.92492433826</v>
      </c>
      <c r="K21" s="0" t="n">
        <f aca="false">K19*K20</f>
        <v>2243.57312094614</v>
      </c>
      <c r="L21" s="0" t="n">
        <f aca="false">L19*L20</f>
        <v>2130.36530291675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25107.7405581586</v>
      </c>
    </row>
    <row r="31" customFormat="false" ht="15" hidden="false" customHeight="false" outlineLevel="0" collapsed="false">
      <c r="A31" s="0" t="s">
        <v>138</v>
      </c>
      <c r="B31" s="0" t="n">
        <f aca="false">L19</f>
        <v>5043.34943173655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86577.4985781442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100866.988634731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86577.4985781442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36571.2710334042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61679.0115915628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55629.0115915628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318.790897372853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-0.287395168605032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2969.35988082261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4059.52779613201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359.071055980043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43288.7492890721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136.397828249638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8.5</v>
      </c>
      <c r="D5" s="4" t="n">
        <f aca="false">Assumptions!D41</f>
        <v>9.5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8160</v>
      </c>
      <c r="C6" s="0" t="n">
        <f aca="false">B6*(1+C5/100)</f>
        <v>8853.6</v>
      </c>
      <c r="D6" s="0" t="n">
        <f aca="false">C6*(1+D5/100)</f>
        <v>9694.692</v>
      </c>
      <c r="E6" s="0" t="n">
        <f aca="false">D6*(1+E5/100)</f>
        <v>10615.68774</v>
      </c>
      <c r="F6" s="0" t="n">
        <f aca="false">E6*(1+F5/100)</f>
        <v>11571.0996366</v>
      </c>
      <c r="G6" s="0" t="n">
        <f aca="false">F6*(1+G5/100)</f>
        <v>12496.787607528</v>
      </c>
      <c r="H6" s="0" t="n">
        <f aca="false">G6*(1+H5/100)</f>
        <v>13371.562740055</v>
      </c>
      <c r="I6" s="0" t="n">
        <f aca="false">H6*(1+I5/100)</f>
        <v>14173.8565044583</v>
      </c>
      <c r="J6" s="0" t="n">
        <f aca="false">I6*(1+J5/100)</f>
        <v>14882.5493296812</v>
      </c>
      <c r="K6" s="0" t="n">
        <f aca="false">J6*(1+K5/100)</f>
        <v>15552.2640495168</v>
      </c>
      <c r="L6" s="0" t="n">
        <f aca="false">K6*(1+L5/100)</f>
        <v>16174.3546114975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54</v>
      </c>
      <c r="D7" s="4" t="n">
        <f aca="false">Assumptions!D42</f>
        <v>54.6</v>
      </c>
      <c r="E7" s="4" t="n">
        <f aca="false">Assumptions!E42</f>
        <v>55.2</v>
      </c>
      <c r="F7" s="4" t="n">
        <f aca="false">Assumptions!F42</f>
        <v>55.8</v>
      </c>
      <c r="G7" s="4" t="n">
        <f aca="false">Assumptions!G42</f>
        <v>56.3</v>
      </c>
      <c r="H7" s="4" t="n">
        <f aca="false">Assumptions!H42</f>
        <v>56.6</v>
      </c>
      <c r="I7" s="4" t="n">
        <f aca="false">Assumptions!I42</f>
        <v>56.8</v>
      </c>
      <c r="J7" s="4" t="n">
        <f aca="false">Assumptions!J42</f>
        <v>57</v>
      </c>
      <c r="K7" s="4" t="n">
        <f aca="false">Assumptions!K42</f>
        <v>57</v>
      </c>
      <c r="L7" s="4" t="n">
        <f aca="false">Assumptions!L42</f>
        <v>57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4780.944</v>
      </c>
      <c r="D8" s="0" t="n">
        <f aca="false">D6*D7/100</f>
        <v>5293.301832</v>
      </c>
      <c r="E8" s="0" t="n">
        <f aca="false">E6*E7/100</f>
        <v>5859.85963248</v>
      </c>
      <c r="F8" s="0" t="n">
        <f aca="false">F6*F7/100</f>
        <v>6456.6735972228</v>
      </c>
      <c r="G8" s="0" t="n">
        <f aca="false">G6*G7/100</f>
        <v>7035.69142303827</v>
      </c>
      <c r="H8" s="0" t="n">
        <f aca="false">H6*H7/100</f>
        <v>7568.30451087111</v>
      </c>
      <c r="I8" s="0" t="n">
        <f aca="false">I6*I7/100</f>
        <v>8050.75049453229</v>
      </c>
      <c r="J8" s="0" t="n">
        <f aca="false">J6*J7/100</f>
        <v>8483.05311791827</v>
      </c>
      <c r="K8" s="0" t="n">
        <f aca="false">K6*K7/100</f>
        <v>8864.79050822459</v>
      </c>
      <c r="L8" s="0" t="n">
        <f aca="false">L6*L7/100</f>
        <v>9219.38212855358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4.4</v>
      </c>
      <c r="D9" s="4" t="n">
        <f aca="false">Assumptions!D43</f>
        <v>4.35</v>
      </c>
      <c r="E9" s="4" t="n">
        <f aca="false">Assumptions!E43</f>
        <v>4.3</v>
      </c>
      <c r="F9" s="4" t="n">
        <f aca="false">Assumptions!F43</f>
        <v>4.25</v>
      </c>
      <c r="G9" s="4" t="n">
        <f aca="false">Assumptions!G43</f>
        <v>4.2</v>
      </c>
      <c r="H9" s="4" t="n">
        <f aca="false">Assumptions!H43</f>
        <v>4.15</v>
      </c>
      <c r="I9" s="4" t="n">
        <f aca="false">Assumptions!I43</f>
        <v>4.1</v>
      </c>
      <c r="J9" s="4" t="n">
        <f aca="false">Assumptions!J43</f>
        <v>4.05</v>
      </c>
      <c r="K9" s="4" t="n">
        <f aca="false">Assumptions!K43</f>
        <v>4</v>
      </c>
      <c r="L9" s="4" t="n">
        <f aca="false">Assumptions!L43</f>
        <v>4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-389.5584</v>
      </c>
      <c r="D10" s="0" t="n">
        <f aca="false">-D6*D9/100</f>
        <v>-421.719102</v>
      </c>
      <c r="E10" s="0" t="n">
        <f aca="false">-E6*E9/100</f>
        <v>-456.47457282</v>
      </c>
      <c r="F10" s="0" t="n">
        <f aca="false">-F6*F9/100</f>
        <v>-491.7717345555</v>
      </c>
      <c r="G10" s="0" t="n">
        <f aca="false">-G6*G9/100</f>
        <v>-524.865079516176</v>
      </c>
      <c r="H10" s="0" t="n">
        <f aca="false">-H6*H9/100</f>
        <v>-554.919853712281</v>
      </c>
      <c r="I10" s="0" t="n">
        <f aca="false">-I6*I9/100</f>
        <v>-581.128116682789</v>
      </c>
      <c r="J10" s="0" t="n">
        <f aca="false">-J6*J9/100</f>
        <v>-602.743247852088</v>
      </c>
      <c r="K10" s="0" t="n">
        <f aca="false">-K6*K9/100</f>
        <v>-622.090561980673</v>
      </c>
      <c r="L10" s="0" t="n">
        <f aca="false">-L6*L9/100</f>
        <v>-646.9741844599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4391.3856</v>
      </c>
      <c r="D11" s="0" t="n">
        <f aca="false">D8+D10+D24</f>
        <v>4871.58273</v>
      </c>
      <c r="E11" s="0" t="n">
        <f aca="false">E8+E10+E24</f>
        <v>5403.38505966</v>
      </c>
      <c r="F11" s="0" t="n">
        <f aca="false">F8+F10+F24</f>
        <v>5964.9018626673</v>
      </c>
      <c r="G11" s="0" t="n">
        <f aca="false">G8+G10+G24</f>
        <v>6510.82634352209</v>
      </c>
      <c r="H11" s="0" t="n">
        <f aca="false">H8+H10+H24</f>
        <v>7013.38465715883</v>
      </c>
      <c r="I11" s="0" t="n">
        <f aca="false">I8+I10+I24</f>
        <v>7469.6223778495</v>
      </c>
      <c r="J11" s="0" t="n">
        <f aca="false">J8+J10+J24</f>
        <v>7880.30987006618</v>
      </c>
      <c r="K11" s="0" t="n">
        <f aca="false">K8+K10+K24</f>
        <v>8242.69994624392</v>
      </c>
      <c r="L11" s="0" t="n">
        <f aca="false">L8+L10+L24</f>
        <v>8572.40794409368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-531.216</v>
      </c>
      <c r="D12" s="4" t="n">
        <f aca="false">-D6*Assumptions!D45/100</f>
        <v>-571.986828</v>
      </c>
      <c r="E12" s="4" t="n">
        <f aca="false">-E6*Assumptions!E45/100</f>
        <v>-615.70988892</v>
      </c>
      <c r="F12" s="4" t="n">
        <f aca="false">-F6*Assumptions!F45/100</f>
        <v>-659.5526792862</v>
      </c>
      <c r="G12" s="4" t="n">
        <f aca="false">-G6*Assumptions!G45/100</f>
        <v>-699.820106021568</v>
      </c>
      <c r="H12" s="4" t="n">
        <f aca="false">-H6*Assumptions!H45/100</f>
        <v>-735.435950703023</v>
      </c>
      <c r="I12" s="4" t="n">
        <f aca="false">-I6*Assumptions!I45/100</f>
        <v>-779.562107745205</v>
      </c>
      <c r="J12" s="4" t="n">
        <f aca="false">-J6*Assumptions!J45/100</f>
        <v>-818.540213132465</v>
      </c>
      <c r="K12" s="4" t="n">
        <f aca="false">-K6*Assumptions!K45/100</f>
        <v>-855.374522723426</v>
      </c>
      <c r="L12" s="4" t="n">
        <f aca="false">-L6*Assumptions!L45/100</f>
        <v>-889.589503632363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3860.1696</v>
      </c>
      <c r="D13" s="0" t="n">
        <f aca="false">D11+D12</f>
        <v>4299.595902</v>
      </c>
      <c r="E13" s="0" t="n">
        <f aca="false">E11+E12</f>
        <v>4787.67517074</v>
      </c>
      <c r="F13" s="0" t="n">
        <f aca="false">F11+F12</f>
        <v>5305.3491833811</v>
      </c>
      <c r="G13" s="0" t="n">
        <f aca="false">G11+G12</f>
        <v>5811.00623750052</v>
      </c>
      <c r="H13" s="0" t="n">
        <f aca="false">H11+H12</f>
        <v>6277.94870645581</v>
      </c>
      <c r="I13" s="0" t="n">
        <f aca="false">I11+I12</f>
        <v>6690.0602701043</v>
      </c>
      <c r="J13" s="0" t="n">
        <f aca="false">J11+J12</f>
        <v>7061.76965693372</v>
      </c>
      <c r="K13" s="0" t="n">
        <f aca="false">K11+K12</f>
        <v>7387.32542352049</v>
      </c>
      <c r="L13" s="0" t="n">
        <f aca="false">L11+L12</f>
        <v>7682.81844046131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3010.932288</v>
      </c>
      <c r="D15" s="0" t="n">
        <f aca="false">D13-MAX(0,D13)*D14/100</f>
        <v>3353.68480356</v>
      </c>
      <c r="E15" s="0" t="n">
        <f aca="false">E13-MAX(0,E13)*E14/100</f>
        <v>3734.3866331772</v>
      </c>
      <c r="F15" s="0" t="n">
        <f aca="false">F13-MAX(0,F13)*F14/100</f>
        <v>4138.17236303726</v>
      </c>
      <c r="G15" s="0" t="n">
        <f aca="false">G13-MAX(0,G13)*G14/100</f>
        <v>4532.58486525041</v>
      </c>
      <c r="H15" s="0" t="n">
        <f aca="false">H13-MAX(0,H13)*H14/100</f>
        <v>4896.79999103553</v>
      </c>
      <c r="I15" s="0" t="n">
        <f aca="false">I13-MAX(0,I13)*I14/100</f>
        <v>5218.24701068135</v>
      </c>
      <c r="J15" s="0" t="n">
        <f aca="false">J13-MAX(0,J13)*J14/100</f>
        <v>5508.1803324083</v>
      </c>
      <c r="K15" s="0" t="n">
        <f aca="false">K13-MAX(0,K13)*K14/100</f>
        <v>5762.11383034599</v>
      </c>
      <c r="L15" s="0" t="n">
        <f aca="false">L13-MAX(0,L13)*L14/100</f>
        <v>5992.59838355982</v>
      </c>
    </row>
    <row r="16" customFormat="false" ht="15" hidden="false" customHeight="false" outlineLevel="0" collapsed="false">
      <c r="A16" s="0" t="s">
        <v>129</v>
      </c>
      <c r="C16" s="0" t="n">
        <f aca="false">-C12</f>
        <v>531.216</v>
      </c>
      <c r="D16" s="0" t="n">
        <f aca="false">-D12</f>
        <v>571.986828</v>
      </c>
      <c r="E16" s="0" t="n">
        <f aca="false">-E12</f>
        <v>615.70988892</v>
      </c>
      <c r="F16" s="0" t="n">
        <f aca="false">-F12</f>
        <v>659.5526792862</v>
      </c>
      <c r="G16" s="0" t="n">
        <f aca="false">-G12</f>
        <v>699.820106021568</v>
      </c>
      <c r="H16" s="0" t="n">
        <f aca="false">-H12</f>
        <v>735.435950703023</v>
      </c>
      <c r="I16" s="0" t="n">
        <f aca="false">-I12</f>
        <v>779.562107745205</v>
      </c>
      <c r="J16" s="0" t="n">
        <f aca="false">-J12</f>
        <v>818.540213132465</v>
      </c>
      <c r="K16" s="0" t="n">
        <f aca="false">-K12</f>
        <v>855.374522723426</v>
      </c>
      <c r="L16" s="0" t="n">
        <f aca="false">-L12</f>
        <v>889.589503632363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-398.412</v>
      </c>
      <c r="D17" s="4" t="n">
        <f aca="false">-D6*Assumptions!D46/100</f>
        <v>-436.26114</v>
      </c>
      <c r="E17" s="4" t="n">
        <f aca="false">-E6*Assumptions!E46/100</f>
        <v>-477.7059483</v>
      </c>
      <c r="F17" s="4" t="n">
        <f aca="false">-F6*Assumptions!F46/100</f>
        <v>-520.699483647</v>
      </c>
      <c r="G17" s="4" t="n">
        <f aca="false">-G6*Assumptions!G46/100</f>
        <v>-562.35544233876</v>
      </c>
      <c r="H17" s="4" t="n">
        <f aca="false">-H6*Assumptions!H46/100</f>
        <v>-601.720323302473</v>
      </c>
      <c r="I17" s="4" t="n">
        <f aca="false">-I6*Assumptions!I46/100</f>
        <v>-637.823542700622</v>
      </c>
      <c r="J17" s="4" t="n">
        <f aca="false">-J6*Assumptions!J46/100</f>
        <v>-669.714719835653</v>
      </c>
      <c r="K17" s="4" t="n">
        <f aca="false">-K6*Assumptions!K46/100</f>
        <v>-699.851882228257</v>
      </c>
      <c r="L17" s="4" t="n">
        <f aca="false">-L6*Assumptions!L46/100</f>
        <v>-727.845957517388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3143.736288</v>
      </c>
      <c r="D19" s="0" t="n">
        <f aca="false">D15+D16+D17+D18</f>
        <v>3489.41049156</v>
      </c>
      <c r="E19" s="0" t="n">
        <f aca="false">E15+E16+E17+E18</f>
        <v>3872.3905737972</v>
      </c>
      <c r="F19" s="0" t="n">
        <f aca="false">F15+F16+F17+F18</f>
        <v>4277.02555867646</v>
      </c>
      <c r="G19" s="0" t="n">
        <f aca="false">G15+G16+G17+G18</f>
        <v>4670.04952893321</v>
      </c>
      <c r="H19" s="0" t="n">
        <f aca="false">H15+H16+H17+H18</f>
        <v>5030.51561843608</v>
      </c>
      <c r="I19" s="0" t="n">
        <f aca="false">I15+I16+I17+I18</f>
        <v>5359.98557572594</v>
      </c>
      <c r="J19" s="0" t="n">
        <f aca="false">J15+J16+J17+J18</f>
        <v>5657.00582570511</v>
      </c>
      <c r="K19" s="0" t="n">
        <f aca="false">K15+K16+K17+K18</f>
        <v>5917.63647084116</v>
      </c>
      <c r="L19" s="0" t="n">
        <f aca="false">L15+L16+L17+L18</f>
        <v>6154.3419296748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2884.16173211009</v>
      </c>
      <c r="D21" s="0" t="n">
        <f aca="false">D19*D20</f>
        <v>2936.96699904049</v>
      </c>
      <c r="E21" s="0" t="n">
        <f aca="false">E19*E20</f>
        <v>2990.19602943038</v>
      </c>
      <c r="F21" s="0" t="n">
        <f aca="false">F19*F20</f>
        <v>3029.95273413661</v>
      </c>
      <c r="G21" s="0" t="n">
        <f aca="false">G19*G20</f>
        <v>3035.2117644215</v>
      </c>
      <c r="H21" s="0" t="n">
        <f aca="false">H19*H20</f>
        <v>2999.53210062903</v>
      </c>
      <c r="I21" s="0" t="n">
        <f aca="false">I19*I20</f>
        <v>2932.09566178831</v>
      </c>
      <c r="J21" s="0" t="n">
        <f aca="false">J19*J20</f>
        <v>2839.0604678338</v>
      </c>
      <c r="K21" s="0" t="n">
        <f aca="false">K19*K20</f>
        <v>2724.64422025407</v>
      </c>
      <c r="L21" s="0" t="n">
        <f aca="false">L19*L20</f>
        <v>2599.6605404259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28971.4822500702</v>
      </c>
    </row>
    <row r="31" customFormat="false" ht="15" hidden="false" customHeight="false" outlineLevel="0" collapsed="false">
      <c r="A31" s="0" t="s">
        <v>138</v>
      </c>
      <c r="B31" s="0" t="n">
        <f aca="false">L19</f>
        <v>6154.3419296748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105649.536459417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123086.838593496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105649.536459417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44627.505943978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73598.9881940482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67548.9881940482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387.100218877067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-0.134700869820577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3265.32819933075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4691.45923195564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432.697854586444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52824.7682297087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165.820120120506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208.838679242113</v>
      </c>
      <c r="C4" s="0" t="n">
        <f aca="false">B4/Assumptions!$B$2-1</f>
        <v>-0.533175341465233</v>
      </c>
      <c r="D4" s="4" t="n">
        <f aca="false">Assumptions!$B$24</f>
        <v>0.25</v>
      </c>
      <c r="E4" s="4" t="n">
        <f aca="false">DCF_Bear!$B$43</f>
        <v>239.437624555273</v>
      </c>
      <c r="F4" s="4" t="n">
        <f aca="false">DCF_Bear!$B$47</f>
        <v>89.2827346752674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318.790897372853</v>
      </c>
      <c r="C5" s="0" t="n">
        <f aca="false">B5/Assumptions!$B$2-1</f>
        <v>-0.287395168605032</v>
      </c>
      <c r="D5" s="4" t="n">
        <f aca="false">Assumptions!$B$38</f>
        <v>0.5</v>
      </c>
      <c r="E5" s="4" t="n">
        <f aca="false">DCF_Base!$B$43</f>
        <v>359.071055980043</v>
      </c>
      <c r="F5" s="4" t="n">
        <f aca="false">DCF_Base!$B$47</f>
        <v>136.397828249638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387.100218877067</v>
      </c>
      <c r="C6" s="0" t="n">
        <f aca="false">B6/Assumptions!$B$2-1</f>
        <v>-0.134700869820577</v>
      </c>
      <c r="D6" s="4" t="n">
        <f aca="false">Assumptions!$B$52</f>
        <v>0.25</v>
      </c>
      <c r="E6" s="4" t="n">
        <f aca="false">DCF_Bull!$B$43</f>
        <v>432.697854586444</v>
      </c>
      <c r="F6" s="4" t="n">
        <f aca="false">DCF_Bull!$B$47</f>
        <v>165.820120120506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308.380173216221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347.569397775451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-0.450676920420343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354.637858612716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131.974627823762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318.790897372853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266.459117501936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227.294139067571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196.902050066469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136.397828249638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418.025075586353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418.025075586353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418.025075586353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418.025075586353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418.025075586353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344.005787183976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365.911928923224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384.167047039264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384.167047039264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384.167047039264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287.107200003781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301.730444943353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318.790897372853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338.95325024408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353.381355968445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244.571351613482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254.785642361427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266.459117501936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279.928511894831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295.642805353208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211.601921430736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218.986494436305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227.294139067571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236.709469649672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247.469847457787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2026-10-02T00:48:32Z</dcterms:created>
  <dc:creator>openpyxl</dc:creator>
  <dc:description/>
  <dc:language>en-NZ</dc:language>
  <cp:lastModifiedBy/>
  <dcterms:modified xsi:type="dcterms:W3CDTF">2026-10-02T00:48:32Z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