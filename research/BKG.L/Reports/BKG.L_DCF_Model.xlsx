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<sst xmlns="http://schemas.openxmlformats.org/spreadsheetml/2006/main" count="361" uniqueCount="167">
  <si>
    <t xml:space="preserve">Ticker</t>
  </si>
  <si>
    <t xml:space="preserve">BKG.L</t>
  </si>
  <si>
    <t xml:space="preserve">Company</t>
  </si>
  <si>
    <t xml:space="preserve">The Berkeley Group Holdings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</si>
  <si>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</si>
  <si>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</si>
  <si>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</si>
  <si>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</si>
  <si>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2026-10-09T15:45:56Z (LSE closing auction, regular session; 52-week range 2,796-4,442p)</t>
  </si>
  <si>
    <t xml:space="preserve">Balance sheet date</t>
  </si>
  <si>
    <t xml:space="preserve">2026-04-30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</si>
  <si>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</si>
  <si>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</si>
  <si>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</si>
  <si>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</si>
  <si>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</si>
  <si>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</si>
  <si>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</si>
  <si>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</si>
  <si>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</si>
  <si>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</si>
  <si>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</si>
  <si>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2026-10-09T22:47:06Z</t>
  </si>
  <si>
    <t xml:space="preserve">Drivers file</t>
  </si>
  <si>
    <t xml:space="preserve">BKG.L_Drivers.json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</si>
  <si>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</si>
  <si>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</si>
  <si>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</si>
  <si>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Berkeley on mid-cycle owner cash flow -- neither the FY2017-19 peak margins nor the FY2026 trough -- discounted at a GBP cost of capital, with cyclicality charged once through the scenario paths and weights rather than a WACC premium. Land and WIP reinvestment is the developer's real capex and is charged explicitly; BTR platform investment is treated as value-neutral; interest on the cash pile is stripped from the flows and the cash is added back in the bridge. The published NAV/share (3,917p at 30 April 2026) is a cross-check: the base DCF should sit modestly above book because the land bank is held at cost with GBP6.4bn of estimated future gross margin embedded.
key_risks_to_valuation: Mid-cycle margin assumption (21%) may be too high if the Building Safety Levy, RPDT and Section 106 costs are permanent and the FY2017-19 margin regime never returns; Reinvestment at 3% of revenue may understate the cash needed to replenish a GBP5.1bn inventory if replanning stalls and new land must be bought at market; London/SE concentration: a single regional market's rates, SDLT and international-buyer dynamics drive the whole forward-sales book; Berkeley Living BTR is assumed value-neutral; if the GBP1.2bn platform earns below the cost of capital it is a value transfer out of the for-sale business; Balance-sheet anchors are at 30 April 2026; GBP60m of buybacks since and the ~GBP250m half-year net-cash guide move both the share count and net cash together; Terminal value is ~half of enterprise value even with a 13x cap; a lower cap (11x) is the bear case</t>
  </si>
  <si>
    <t xml:space="preserve">Data sources</t>
  </si>
  <si>
    <t xml:space="preserve">price: Yahoo Finance chart API at inputs.price_as_of (LSE regular close); 52-week range 2,796-4,442p
financials: BKG.L_Metrics.csv (10 annual periods FY2017-FY2026, GBP millions, from core_metrics) and the FY2026 Annual Report (cash-flow statement, notes 2.7 EPS/share count, 2.9 investment property, 2.11 leases, 2.23 net cash reconciliation, five-year summary)
qualitative: BKG.L_Analysis.json (2026-10-10): FY2026 results 23 June 2026, AGM trading statement 11 September 2026, Berkeley 2035 capital framework</t>
  </si>
  <si>
    <t xml:space="preserve">Scenario narrative: bear</t>
  </si>
  <si>
    <t xml:space="preserve">No policy relief and a prolonged London stagnation: international buyer demand stays weak, rates stay elevated, forward sales keep falling and FY2027-28 revenue drops a further 8% cumulatively with no volume recovery thereafter. The Building Safety Levy and RPDT become permanent, margin settles at 17.5%, and longer planning/Gateway timelines tie up more WIP. The balance sheet (net cash, GBP1.4bn facilities) means this is a value-erosion case, not a solvency case: the bear case still produces positive owner FCF every year.</t>
  </si>
  <si>
    <t xml:space="preserve">Scenario narrative: base</t>
  </si>
  <si>
    <t xml:space="preserve">The downcycle bottoms in FY2027 at the guided ~GBP450m PBT and recovers gradually rather than sharply. Axes: (1) UK mortgage rates and London affordability, which drive the forward-sales book (GBP1.4bn -&gt; GBP1.0bn in FY2026) and hence FY2028-30 completions; (2) the regulatory cost stack -- RPDT 4%, Building Safety Levy from autumn 2026, Section 106 -- which caps margin recovery at ~21% rather than the 27-29% of FY2017-19; (3) land replenishment largely by replanning existing holdings, keeping reinvestment at ~3% of revenue; (4) Berkeley Living BTR treated as value-neutral (built at cost ~ fair value). Terminal value capped at 13x owner FCF because housebuilding is cyclical.</t>
  </si>
  <si>
    <t xml:space="preserve">Scenario narrative: bull</t>
  </si>
  <si>
    <t xml:space="preserve">Policy reform (SDLT cut, Building Safety Levy scrapped or sunset, faster Building Safety Regulator approvals) coincides with lower rates, and the structural London/SE undersupply (London delivering &lt;10% of its target) converts into a multi-year volume recovery; Berkeley's brand (NPS +78) and net-cash balance sheet let it lead the upcycle. Margin returns toward the ten-year 23% average on volume leverage and replanning uplift; reinvestment needs fall to 2.5% because density gains supply land without new capital.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</si>
  <si>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</si>
  <si>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</si>
  <si>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</si>
  <si>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</si>
  <si>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</si>
  <si>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</si>
  <si>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</si>
  <si>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</si>
  <si>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</si>
  <si>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</si>
  <si>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</si>
  <si>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</si>
  <si>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</si>
  <si>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</si>
  <si>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</si>
  <si>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</si>
  <si>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</si>
  <si>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</si>
  <si>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</si>
  <si>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</si>
  <si>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</si>
  <si>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</si>
  <si>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</si>
  <si>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</si>
  <si>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</si>
  <si>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</si>
  <si>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</si>
  <si>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CapitalReturn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</si>
  <si>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</si>
  <si>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</si>
  <si>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</si>
  <si>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</si>
  <si>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</si>
  <si>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</si>
  <si>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</si>
  <si>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</si>
  <si>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</si>
  <si>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</si>
  <si>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</si>
  <si>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</si>
  <si>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</si>
  <si>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</si>
  <si>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</si>
  <si>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</si>
  <si>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</si>
  <si>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</si>
  <si>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</si>
  <si>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</si>
  <si>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</si>
  <si>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</si>
  <si>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</si>
  <si>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</si>
  <si>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</si>
  <si>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</si>
  <si>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</si>
  <si>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</si>
  <si>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</si>
  <si>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</si>
  <si>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</si>
  <si>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</si>
  <si>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</si>
  <si>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</si>
  <si>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</si>
  <si>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</si>
  <si>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</si>
  <si>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</si>
  <si>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</si>
  <si>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</si>
  <si>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</si>
  <si>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</si>
  <si>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</si>
  <si>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</si>
  <si>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</si>
  <si>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</si>
  <si>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</si>
  <si>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BKG.L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</si>
  <si>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</si>
  <si>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</si>
  <si>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</si>
  <si>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</si>
  <si>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</si>
  <si>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</si>
  <si>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</si>
  <si>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</si>
  <si>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</si>
  <si>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</si>
  <si>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</si>
  <si>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</si>
  <si>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</si>
  <si>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</si>
  <si>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</si>
  <si>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</si>
  <si>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</si>
  <si>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</si>
  <si>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</si>
  <si>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</si>
  <si>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</si>
  <si>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</si>
  <si>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</si>
  <si>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</si>
  <si>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</si>
  <si>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</si>
  <si>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</si>
  <si>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</si>
  <si>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</si>
  <si>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</si>
  <si>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BKG.L owner-FCF component DCF: base case (millions, GBP)</t>
  </si>
  <si>
    <t xml:space="preserve">BKG.L owner-FCF component DCF: bull case (millions, GBP)</t>
  </si>
  <si>
    <t xml:space="preserve">BKG.L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</si>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</sst>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3170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2723.5</v>
      </c>
      <c r="C2" s="0" t="n">
        <v>1783.7</v>
      </c>
      <c r="D2" s="0" t="n">
        <v>939.8</v>
      </c>
      <c r="E2" s="0" t="n">
        <v>34.5</v>
      </c>
      <c r="F2" s="0" t="n">
        <v>756.2</v>
      </c>
      <c r="G2" s="0" t="n">
        <v>27.8</v>
      </c>
      <c r="H2" s="0" t="n">
        <v>759</v>
      </c>
      <c r="I2" s="0" t="n">
        <v>645.1</v>
      </c>
      <c r="J2" s="0" t="n">
        <v>23.7</v>
      </c>
      <c r="K2" s="0" t="n">
        <v>4.514</v>
      </c>
      <c r="L2" s="0" t="n">
        <v>420.6</v>
      </c>
      <c r="M2" s="0" t="n">
        <v>2.8</v>
      </c>
      <c r="N2" s="0" t="n">
        <v>417.8</v>
      </c>
      <c r="O2" s="0" t="n">
        <v>2136.9</v>
      </c>
      <c r="P2" s="0" t="n">
        <v>4532.8</v>
      </c>
      <c r="Q2" s="0" t="n">
        <v>2395.9</v>
      </c>
      <c r="R2" s="0" t="n">
        <v>300</v>
      </c>
      <c r="S2" s="0" t="n">
        <v>585.5</v>
      </c>
      <c r="T2" s="0" t="n">
        <v>142.9</v>
      </c>
      <c r="U2" s="0" t="n">
        <v>10.9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2703.7</v>
      </c>
      <c r="C3" s="0" t="n">
        <v>1757.6</v>
      </c>
      <c r="D3" s="0" t="n">
        <v>946.1</v>
      </c>
      <c r="E3" s="0" t="n">
        <v>35</v>
      </c>
      <c r="F3" s="0" t="n">
        <v>779.6</v>
      </c>
      <c r="G3" s="0" t="n">
        <v>28.8</v>
      </c>
      <c r="H3" s="0" t="n">
        <v>782.3</v>
      </c>
      <c r="I3" s="0" t="n">
        <v>762.1</v>
      </c>
      <c r="J3" s="0" t="n">
        <v>28.2</v>
      </c>
      <c r="K3" s="0" t="n">
        <v>5.502</v>
      </c>
      <c r="L3" s="0" t="n">
        <v>716.6</v>
      </c>
      <c r="M3" s="0" t="n">
        <v>6.1</v>
      </c>
      <c r="N3" s="0" t="n">
        <v>710.5</v>
      </c>
      <c r="O3" s="0" t="n">
        <v>2620</v>
      </c>
      <c r="P3" s="0" t="n">
        <v>4776.5</v>
      </c>
      <c r="Q3" s="0" t="n">
        <v>2156.5</v>
      </c>
      <c r="R3" s="0" t="n">
        <v>300</v>
      </c>
      <c r="S3" s="0" t="n">
        <v>987.3</v>
      </c>
      <c r="T3" s="0" t="n">
        <v>138.5</v>
      </c>
      <c r="U3" s="0" t="n">
        <v>8.6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2957.4</v>
      </c>
      <c r="C4" s="0" t="n">
        <v>2031.2</v>
      </c>
      <c r="D4" s="0" t="n">
        <v>926.2</v>
      </c>
      <c r="E4" s="0" t="n">
        <v>31.3</v>
      </c>
      <c r="F4" s="0" t="n">
        <v>768.4</v>
      </c>
      <c r="G4" s="0" t="n">
        <v>26</v>
      </c>
      <c r="H4" s="0" t="n">
        <v>770.8</v>
      </c>
      <c r="I4" s="0" t="n">
        <v>627.4</v>
      </c>
      <c r="J4" s="0" t="n">
        <v>21.2</v>
      </c>
      <c r="K4" s="0" t="n">
        <v>4.699</v>
      </c>
      <c r="L4" s="0" t="n">
        <v>612.3</v>
      </c>
      <c r="M4" s="0" t="n">
        <v>19.5</v>
      </c>
      <c r="N4" s="0" t="n">
        <v>592.8</v>
      </c>
      <c r="O4" s="0" t="n">
        <v>2963.3</v>
      </c>
      <c r="P4" s="0" t="n">
        <v>4937.9</v>
      </c>
      <c r="Q4" s="0" t="n">
        <v>1974.6</v>
      </c>
      <c r="R4" s="0" t="n">
        <v>300</v>
      </c>
      <c r="S4" s="0" t="n">
        <v>1275</v>
      </c>
      <c r="T4" s="0" t="n">
        <v>133.5</v>
      </c>
      <c r="U4" s="0" t="n">
        <v>16.3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1920.4</v>
      </c>
      <c r="C5" s="0" t="n">
        <v>1283</v>
      </c>
      <c r="D5" s="0" t="n">
        <v>637.4</v>
      </c>
      <c r="E5" s="0" t="n">
        <v>33.2</v>
      </c>
      <c r="F5" s="0" t="n">
        <v>469.7</v>
      </c>
      <c r="G5" s="0" t="n">
        <v>24.5</v>
      </c>
      <c r="H5" s="0" t="n">
        <v>474.4</v>
      </c>
      <c r="I5" s="0" t="n">
        <v>410.1</v>
      </c>
      <c r="J5" s="0" t="n">
        <v>21.4</v>
      </c>
      <c r="K5" s="0" t="n">
        <v>3.134</v>
      </c>
      <c r="L5" s="0" t="n">
        <v>308.9</v>
      </c>
      <c r="M5" s="0" t="n">
        <v>9.7</v>
      </c>
      <c r="N5" s="0" t="n">
        <v>299.2</v>
      </c>
      <c r="O5" s="0" t="n">
        <v>3101.6</v>
      </c>
      <c r="P5" s="0" t="n">
        <v>5650.8</v>
      </c>
      <c r="Q5" s="0" t="n">
        <v>2549.2</v>
      </c>
      <c r="R5" s="0" t="n">
        <v>500</v>
      </c>
      <c r="S5" s="0" t="n">
        <v>1638.9</v>
      </c>
      <c r="T5" s="0" t="n">
        <v>130.9</v>
      </c>
      <c r="U5" s="0" t="n">
        <v>14.5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2202.2</v>
      </c>
      <c r="C6" s="0" t="n">
        <v>1566.9</v>
      </c>
      <c r="D6" s="0" t="n">
        <v>635.3</v>
      </c>
      <c r="E6" s="0" t="n">
        <v>28.8</v>
      </c>
      <c r="F6" s="0" t="n">
        <v>502.3</v>
      </c>
      <c r="G6" s="0" t="n">
        <v>22.8</v>
      </c>
      <c r="H6" s="0" t="n">
        <v>508.2</v>
      </c>
      <c r="I6" s="0" t="n">
        <v>422.7</v>
      </c>
      <c r="J6" s="0" t="n">
        <v>19.2</v>
      </c>
      <c r="K6" s="0" t="n">
        <v>3.325</v>
      </c>
      <c r="L6" s="0" t="n">
        <v>324.2</v>
      </c>
      <c r="M6" s="0" t="n">
        <v>2.4</v>
      </c>
      <c r="N6" s="0" t="n">
        <v>321.8</v>
      </c>
      <c r="O6" s="0" t="n">
        <v>3175.4</v>
      </c>
      <c r="P6" s="0" t="n">
        <v>5552.2</v>
      </c>
      <c r="Q6" s="0" t="n">
        <v>2376.8</v>
      </c>
      <c r="R6" s="0" t="n">
        <v>300</v>
      </c>
      <c r="S6" s="0" t="n">
        <v>1428.2</v>
      </c>
      <c r="T6" s="0" t="n">
        <v>127.1</v>
      </c>
      <c r="U6" s="0" t="n">
        <v>1.9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2348</v>
      </c>
      <c r="C7" s="0" t="n">
        <v>1683.2</v>
      </c>
      <c r="D7" s="0" t="n">
        <v>664.8</v>
      </c>
      <c r="E7" s="0" t="n">
        <v>28.3</v>
      </c>
      <c r="F7" s="0" t="n">
        <v>507.9</v>
      </c>
      <c r="G7" s="0" t="n">
        <v>21.6</v>
      </c>
      <c r="H7" s="0" t="n">
        <v>513.5</v>
      </c>
      <c r="I7" s="0" t="n">
        <v>482.4</v>
      </c>
      <c r="J7" s="0" t="n">
        <v>20.5</v>
      </c>
      <c r="K7" s="0" t="n">
        <v>4.114</v>
      </c>
      <c r="L7" s="0" t="n">
        <v>-129.5</v>
      </c>
      <c r="M7" s="0" t="n">
        <v>1.3</v>
      </c>
      <c r="N7" s="0" t="n">
        <v>-130.8</v>
      </c>
      <c r="O7" s="0" t="n">
        <v>3136.1</v>
      </c>
      <c r="P7" s="0" t="n">
        <v>6587.7</v>
      </c>
      <c r="Q7" s="0" t="n">
        <v>3451.6</v>
      </c>
      <c r="R7" s="0" t="n">
        <v>660</v>
      </c>
      <c r="S7" s="0" t="n">
        <v>928.9</v>
      </c>
      <c r="T7" s="0" t="n">
        <v>117.3</v>
      </c>
      <c r="U7" s="0" t="n">
        <v>1.2</v>
      </c>
      <c r="AA7" s="0" t="s">
        <v>18</v>
      </c>
      <c r="AB7" s="0" t="s">
        <v>14</v>
      </c>
      <c r="AC7" s="0" t="n">
        <v>451.5</v>
      </c>
    </row>
    <row r="8" customFormat="false" ht="15" hidden="false" customHeight="false" outlineLevel="0" collapsed="false">
      <c r="A8" s="0" t="s">
        <v>71</v>
      </c>
      <c r="B8" s="0" t="n">
        <v>2550.2</v>
      </c>
      <c r="C8" s="0" t="n">
        <v>1853.4</v>
      </c>
      <c r="D8" s="0" t="n">
        <v>696.8</v>
      </c>
      <c r="E8" s="0" t="n">
        <v>27.3</v>
      </c>
      <c r="F8" s="0" t="n">
        <v>518.3</v>
      </c>
      <c r="G8" s="0" t="n">
        <v>20.3</v>
      </c>
      <c r="H8" s="0" t="n">
        <v>523.4</v>
      </c>
      <c r="I8" s="0" t="n">
        <v>465.7</v>
      </c>
      <c r="J8" s="0" t="n">
        <v>18.3</v>
      </c>
      <c r="K8" s="0" t="n">
        <v>4.224</v>
      </c>
      <c r="L8" s="0" t="n">
        <v>335.6</v>
      </c>
      <c r="M8" s="0" t="n">
        <v>2</v>
      </c>
      <c r="N8" s="0" t="n">
        <v>333.6</v>
      </c>
      <c r="O8" s="0" t="n">
        <v>3332.3</v>
      </c>
      <c r="P8" s="0" t="n">
        <v>6859.7</v>
      </c>
      <c r="Q8" s="0" t="n">
        <v>3527.4</v>
      </c>
      <c r="R8" s="0" t="n">
        <v>660</v>
      </c>
      <c r="S8" s="0" t="n">
        <v>1070.4</v>
      </c>
      <c r="T8" s="0" t="n">
        <v>110.3</v>
      </c>
      <c r="U8" s="0" t="n">
        <v>7.6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72</v>
      </c>
      <c r="B9" s="0" t="n">
        <v>2464.3</v>
      </c>
      <c r="C9" s="0" t="n">
        <v>1819.8</v>
      </c>
      <c r="D9" s="0" t="n">
        <v>644.5</v>
      </c>
      <c r="E9" s="0" t="n">
        <v>26.2</v>
      </c>
      <c r="F9" s="0" t="n">
        <v>479.7</v>
      </c>
      <c r="G9" s="0" t="n">
        <v>19.5</v>
      </c>
      <c r="H9" s="0" t="n">
        <v>484.5</v>
      </c>
      <c r="I9" s="0" t="n">
        <v>397.6</v>
      </c>
      <c r="J9" s="0" t="n">
        <v>16.1</v>
      </c>
      <c r="K9" s="0" t="n">
        <v>3.711</v>
      </c>
      <c r="L9" s="0" t="n">
        <v>233.4</v>
      </c>
      <c r="M9" s="0" t="n">
        <v>1.4</v>
      </c>
      <c r="N9" s="0" t="n">
        <v>232</v>
      </c>
      <c r="O9" s="0" t="n">
        <v>3560.5</v>
      </c>
      <c r="P9" s="0" t="n">
        <v>6996.3</v>
      </c>
      <c r="Q9" s="0" t="n">
        <v>3435.8</v>
      </c>
      <c r="R9" s="0" t="n">
        <v>660</v>
      </c>
      <c r="S9" s="0" t="n">
        <v>1192</v>
      </c>
      <c r="T9" s="0" t="n">
        <v>107.1</v>
      </c>
      <c r="U9" s="0" t="n">
        <v>7.1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73</v>
      </c>
      <c r="B10" s="0" t="n">
        <v>2486.5</v>
      </c>
      <c r="C10" s="0" t="n">
        <v>1826.2</v>
      </c>
      <c r="D10" s="0" t="n">
        <v>660.3</v>
      </c>
      <c r="E10" s="0" t="n">
        <v>26.6</v>
      </c>
      <c r="F10" s="0" t="n">
        <v>500</v>
      </c>
      <c r="G10" s="0" t="n">
        <v>20.1</v>
      </c>
      <c r="H10" s="0" t="n">
        <v>503.8</v>
      </c>
      <c r="I10" s="0" t="n">
        <v>382</v>
      </c>
      <c r="J10" s="0" t="n">
        <v>15.4</v>
      </c>
      <c r="K10" s="0" t="n">
        <v>3.7</v>
      </c>
      <c r="L10" s="0" t="n">
        <v>193.1</v>
      </c>
      <c r="M10" s="0" t="n">
        <v>3</v>
      </c>
      <c r="N10" s="0" t="n">
        <v>190.1</v>
      </c>
      <c r="O10" s="0" t="n">
        <v>3559.8</v>
      </c>
      <c r="P10" s="0" t="n">
        <v>6692.8</v>
      </c>
      <c r="Q10" s="0" t="n">
        <v>3133</v>
      </c>
      <c r="R10" s="0" t="n">
        <v>677.9</v>
      </c>
      <c r="S10" s="0" t="n">
        <v>1015.2</v>
      </c>
      <c r="T10" s="0" t="n">
        <v>103.2</v>
      </c>
      <c r="U10" s="0" t="n">
        <v>4.8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74</v>
      </c>
      <c r="B11" s="0" t="n">
        <v>2383.3</v>
      </c>
      <c r="C11" s="0" t="n">
        <v>1786.1</v>
      </c>
      <c r="D11" s="0" t="n">
        <v>597.2</v>
      </c>
      <c r="E11" s="0" t="n">
        <v>25.1</v>
      </c>
      <c r="F11" s="0" t="n">
        <v>446.8</v>
      </c>
      <c r="G11" s="0" t="n">
        <v>18.7</v>
      </c>
      <c r="H11" s="0" t="n">
        <v>450.1</v>
      </c>
      <c r="I11" s="0" t="n">
        <v>318.3</v>
      </c>
      <c r="J11" s="0" t="n">
        <v>13.4</v>
      </c>
      <c r="K11" s="0" t="n">
        <v>3.311</v>
      </c>
      <c r="L11" s="0" t="n">
        <v>260.3</v>
      </c>
      <c r="M11" s="0" t="n">
        <v>69.2</v>
      </c>
      <c r="N11" s="0" t="n">
        <v>191.1</v>
      </c>
      <c r="O11" s="0" t="n">
        <v>3640.2</v>
      </c>
      <c r="P11" s="0" t="n">
        <v>6482.9</v>
      </c>
      <c r="Q11" s="0" t="n">
        <v>2842.7</v>
      </c>
      <c r="R11" s="0" t="n">
        <v>660</v>
      </c>
      <c r="S11" s="0" t="n">
        <v>1023.3</v>
      </c>
      <c r="T11" s="0" t="n">
        <v>96.2</v>
      </c>
      <c r="U11" s="0" t="n">
        <v>3.2</v>
      </c>
      <c r="AA11" s="0" t="s">
        <v>18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3170</v>
      </c>
    </row>
    <row r="3" customFormat="false" ht="15" hidden="false" customHeight="false" outlineLevel="0" collapsed="false">
      <c r="A3" s="0" t="s">
        <v>78</v>
      </c>
      <c r="B3" s="3" t="n">
        <v>93.1</v>
      </c>
    </row>
    <row r="4" customFormat="false" ht="15" hidden="false" customHeight="false" outlineLevel="0" collapsed="false">
      <c r="A4" s="0" t="s">
        <v>79</v>
      </c>
      <c r="B4" s="3" t="n">
        <v>-363.3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2383.3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100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-5</v>
      </c>
      <c r="D13" s="3" t="n">
        <v>-3</v>
      </c>
      <c r="E13" s="3" t="n">
        <v>0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18</v>
      </c>
      <c r="D14" s="3" t="n">
        <v>17.5</v>
      </c>
      <c r="E14" s="3" t="n">
        <v>17.5</v>
      </c>
      <c r="F14" s="3" t="n">
        <v>17.5</v>
      </c>
      <c r="G14" s="3" t="n">
        <v>17.5</v>
      </c>
      <c r="H14" s="3" t="n">
        <v>17.5</v>
      </c>
      <c r="I14" s="3" t="n">
        <v>17.5</v>
      </c>
      <c r="J14" s="3" t="n">
        <v>17.5</v>
      </c>
      <c r="K14" s="3" t="n">
        <v>17.5</v>
      </c>
      <c r="L14" s="3" t="n">
        <v>17.5</v>
      </c>
    </row>
    <row r="15" customFormat="false" ht="15" hidden="false" customHeight="false" outlineLevel="0" collapsed="false">
      <c r="A15" s="0" t="s">
        <v>100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101</v>
      </c>
      <c r="C16" s="3" t="n">
        <v>0.1</v>
      </c>
      <c r="D16" s="3" t="n">
        <v>0.1</v>
      </c>
      <c r="E16" s="3" t="n">
        <v>0.1</v>
      </c>
      <c r="F16" s="3" t="n">
        <v>0.1</v>
      </c>
      <c r="G16" s="3" t="n">
        <v>0.1</v>
      </c>
      <c r="H16" s="3" t="n">
        <v>0.1</v>
      </c>
      <c r="I16" s="3" t="n">
        <v>0.1</v>
      </c>
      <c r="J16" s="3" t="n">
        <v>0.1</v>
      </c>
      <c r="K16" s="3" t="n">
        <v>0.1</v>
      </c>
      <c r="L16" s="3" t="n">
        <v>0.1</v>
      </c>
    </row>
    <row r="17" customFormat="false" ht="15" hidden="false" customHeight="false" outlineLevel="0" collapsed="false">
      <c r="A17" s="0" t="s">
        <v>102</v>
      </c>
      <c r="C17" s="3" t="n">
        <v>0.2</v>
      </c>
      <c r="D17" s="3" t="n">
        <v>0.2</v>
      </c>
      <c r="E17" s="3" t="n">
        <v>0.2</v>
      </c>
      <c r="F17" s="3" t="n">
        <v>0.2</v>
      </c>
      <c r="G17" s="3" t="n">
        <v>0.2</v>
      </c>
      <c r="H17" s="3" t="n">
        <v>0.2</v>
      </c>
      <c r="I17" s="3" t="n">
        <v>0.2</v>
      </c>
      <c r="J17" s="3" t="n">
        <v>0.2</v>
      </c>
      <c r="K17" s="3" t="n">
        <v>0.2</v>
      </c>
      <c r="L17" s="3" t="n">
        <v>0.2</v>
      </c>
    </row>
    <row r="18" customFormat="false" ht="15" hidden="false" customHeight="false" outlineLevel="0" collapsed="false">
      <c r="A18" s="0" t="s">
        <v>103</v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 customFormat="false" ht="15" hidden="false" customHeight="false" outlineLevel="0" collapsed="false">
      <c r="A19" s="0" t="s">
        <v>104</v>
      </c>
      <c r="C19" s="3" t="n">
        <v>29</v>
      </c>
      <c r="D19" s="3" t="n">
        <v>29</v>
      </c>
      <c r="E19" s="3" t="n">
        <v>29</v>
      </c>
      <c r="F19" s="3" t="n">
        <v>29</v>
      </c>
      <c r="G19" s="3" t="n">
        <v>29</v>
      </c>
      <c r="H19" s="3" t="n">
        <v>29</v>
      </c>
      <c r="I19" s="3" t="n">
        <v>29</v>
      </c>
      <c r="J19" s="3" t="n">
        <v>29</v>
      </c>
      <c r="K19" s="3" t="n">
        <v>29</v>
      </c>
      <c r="L19" s="3" t="n">
        <v>29</v>
      </c>
    </row>
    <row r="20" customFormat="false" ht="15" hidden="false" customHeight="false" outlineLevel="0" collapsed="false">
      <c r="A20" s="0" t="s">
        <v>105</v>
      </c>
      <c r="B20" s="3" t="n">
        <v>9.5</v>
      </c>
    </row>
    <row r="21" customFormat="false" ht="15" hidden="false" customHeight="false" outlineLevel="0" collapsed="false">
      <c r="A21" s="0" t="s">
        <v>106</v>
      </c>
      <c r="B21" s="3" t="n">
        <v>1.5</v>
      </c>
    </row>
    <row r="22" customFormat="false" ht="15" hidden="false" customHeight="false" outlineLevel="0" collapsed="false">
      <c r="A22" s="0" t="s">
        <v>107</v>
      </c>
      <c r="B22" s="3" t="n">
        <v>11</v>
      </c>
    </row>
    <row r="23" customFormat="false" ht="15" hidden="false" customHeight="false" outlineLevel="0" collapsed="false">
      <c r="A23" s="0" t="s">
        <v>108</v>
      </c>
      <c r="B23" s="3" t="n">
        <v>-25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-2</v>
      </c>
      <c r="D27" s="3" t="n">
        <v>3</v>
      </c>
      <c r="E27" s="3" t="n">
        <v>5</v>
      </c>
      <c r="F27" s="3" t="n">
        <v>5</v>
      </c>
      <c r="G27" s="3" t="n">
        <v>4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19</v>
      </c>
      <c r="D28" s="3" t="n">
        <v>19.5</v>
      </c>
      <c r="E28" s="3" t="n">
        <v>20</v>
      </c>
      <c r="F28" s="3" t="n">
        <v>20.5</v>
      </c>
      <c r="G28" s="3" t="n">
        <v>21</v>
      </c>
      <c r="H28" s="3" t="n">
        <v>21</v>
      </c>
      <c r="I28" s="3" t="n">
        <v>21</v>
      </c>
      <c r="J28" s="3" t="n">
        <v>21</v>
      </c>
      <c r="K28" s="3" t="n">
        <v>21</v>
      </c>
      <c r="L28" s="3" t="n">
        <v>21</v>
      </c>
    </row>
    <row r="29" customFormat="false" ht="15" hidden="false" customHeight="false" outlineLevel="0" collapsed="false">
      <c r="A29" s="0" t="s">
        <v>100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101</v>
      </c>
      <c r="C30" s="3" t="n">
        <v>0.1</v>
      </c>
      <c r="D30" s="3" t="n">
        <v>0.1</v>
      </c>
      <c r="E30" s="3" t="n">
        <v>0.1</v>
      </c>
      <c r="F30" s="3" t="n">
        <v>0.1</v>
      </c>
      <c r="G30" s="3" t="n">
        <v>0.1</v>
      </c>
      <c r="H30" s="3" t="n">
        <v>0.1</v>
      </c>
      <c r="I30" s="3" t="n">
        <v>0.1</v>
      </c>
      <c r="J30" s="3" t="n">
        <v>0.1</v>
      </c>
      <c r="K30" s="3" t="n">
        <v>0.1</v>
      </c>
      <c r="L30" s="3" t="n">
        <v>0.1</v>
      </c>
    </row>
    <row r="31" customFormat="false" ht="15" hidden="false" customHeight="false" outlineLevel="0" collapsed="false">
      <c r="A31" s="0" t="s">
        <v>102</v>
      </c>
      <c r="C31" s="3" t="n">
        <v>0.2</v>
      </c>
      <c r="D31" s="3" t="n">
        <v>0.2</v>
      </c>
      <c r="E31" s="3" t="n">
        <v>0.2</v>
      </c>
      <c r="F31" s="3" t="n">
        <v>0.2</v>
      </c>
      <c r="G31" s="3" t="n">
        <v>0.2</v>
      </c>
      <c r="H31" s="3" t="n">
        <v>0.2</v>
      </c>
      <c r="I31" s="3" t="n">
        <v>0.2</v>
      </c>
      <c r="J31" s="3" t="n">
        <v>0.2</v>
      </c>
      <c r="K31" s="3" t="n">
        <v>0.2</v>
      </c>
      <c r="L31" s="3" t="n">
        <v>0.2</v>
      </c>
    </row>
    <row r="32" customFormat="false" ht="15" hidden="false" customHeight="false" outlineLevel="0" collapsed="false">
      <c r="A32" s="0" t="s">
        <v>103</v>
      </c>
      <c r="C32" s="3" t="n">
        <v>3</v>
      </c>
      <c r="D32" s="3" t="n">
        <v>3</v>
      </c>
      <c r="E32" s="3" t="n">
        <v>3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104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105</v>
      </c>
      <c r="B34" s="3" t="n">
        <v>9.5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13</v>
      </c>
    </row>
    <row r="37" customFormat="false" ht="15" hidden="false" customHeight="false" outlineLevel="0" collapsed="false">
      <c r="A37" s="0" t="s">
        <v>108</v>
      </c>
      <c r="B37" s="3" t="n">
        <v>-25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-1</v>
      </c>
      <c r="D41" s="3" t="n">
        <v>5</v>
      </c>
      <c r="E41" s="3" t="n">
        <v>7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19.5</v>
      </c>
      <c r="D42" s="3" t="n">
        <v>20.5</v>
      </c>
      <c r="E42" s="3" t="n">
        <v>21.5</v>
      </c>
      <c r="F42" s="3" t="n">
        <v>22.5</v>
      </c>
      <c r="G42" s="3" t="n">
        <v>23.5</v>
      </c>
      <c r="H42" s="3" t="n">
        <v>23.5</v>
      </c>
      <c r="I42" s="3" t="n">
        <v>23.5</v>
      </c>
      <c r="J42" s="3" t="n">
        <v>23.5</v>
      </c>
      <c r="K42" s="3" t="n">
        <v>23.5</v>
      </c>
      <c r="L42" s="3" t="n">
        <v>23.5</v>
      </c>
    </row>
    <row r="43" customFormat="false" ht="15" hidden="false" customHeight="false" outlineLevel="0" collapsed="false">
      <c r="A43" s="0" t="s">
        <v>100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101</v>
      </c>
      <c r="C44" s="3" t="n">
        <v>0.1</v>
      </c>
      <c r="D44" s="3" t="n">
        <v>0.1</v>
      </c>
      <c r="E44" s="3" t="n">
        <v>0.1</v>
      </c>
      <c r="F44" s="3" t="n">
        <v>0.1</v>
      </c>
      <c r="G44" s="3" t="n">
        <v>0.1</v>
      </c>
      <c r="H44" s="3" t="n">
        <v>0.1</v>
      </c>
      <c r="I44" s="3" t="n">
        <v>0.1</v>
      </c>
      <c r="J44" s="3" t="n">
        <v>0.1</v>
      </c>
      <c r="K44" s="3" t="n">
        <v>0.1</v>
      </c>
      <c r="L44" s="3" t="n">
        <v>0.1</v>
      </c>
    </row>
    <row r="45" customFormat="false" ht="15" hidden="false" customHeight="false" outlineLevel="0" collapsed="false">
      <c r="A45" s="0" t="s">
        <v>102</v>
      </c>
      <c r="C45" s="3" t="n">
        <v>0.2</v>
      </c>
      <c r="D45" s="3" t="n">
        <v>0.2</v>
      </c>
      <c r="E45" s="3" t="n">
        <v>0.2</v>
      </c>
      <c r="F45" s="3" t="n">
        <v>0.2</v>
      </c>
      <c r="G45" s="3" t="n">
        <v>0.2</v>
      </c>
      <c r="H45" s="3" t="n">
        <v>0.2</v>
      </c>
      <c r="I45" s="3" t="n">
        <v>0.2</v>
      </c>
      <c r="J45" s="3" t="n">
        <v>0.2</v>
      </c>
      <c r="K45" s="3" t="n">
        <v>0.2</v>
      </c>
      <c r="L45" s="3" t="n">
        <v>0.2</v>
      </c>
    </row>
    <row r="46" customFormat="false" ht="15" hidden="false" customHeight="false" outlineLevel="0" collapsed="false">
      <c r="A46" s="0" t="s">
        <v>103</v>
      </c>
      <c r="C46" s="3" t="n">
        <v>2.5</v>
      </c>
      <c r="D46" s="3" t="n">
        <v>2.5</v>
      </c>
      <c r="E46" s="3" t="n">
        <v>2.5</v>
      </c>
      <c r="F46" s="3" t="n">
        <v>2.5</v>
      </c>
      <c r="G46" s="3" t="n">
        <v>2.5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104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105</v>
      </c>
      <c r="B48" s="3" t="n">
        <v>9.5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14</v>
      </c>
    </row>
    <row r="51" customFormat="false" ht="15" hidden="false" customHeight="false" outlineLevel="0" collapsed="false">
      <c r="A51" s="0" t="s">
        <v>108</v>
      </c>
      <c r="B51" s="3" t="n">
        <v>-25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-5</v>
      </c>
      <c r="D5" s="4" t="n">
        <f aca="false">Assumptions!D13</f>
        <v>-3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2383.3</v>
      </c>
      <c r="C6" s="0" t="n">
        <f aca="false">B6*(1+C5/100)</f>
        <v>2264.135</v>
      </c>
      <c r="D6" s="0" t="n">
        <f aca="false">C6*(1+D5/100)</f>
        <v>2196.21095</v>
      </c>
      <c r="E6" s="0" t="n">
        <f aca="false">D6*(1+E5/100)</f>
        <v>2196.21095</v>
      </c>
      <c r="F6" s="0" t="n">
        <f aca="false">E6*(1+F5/100)</f>
        <v>2240.135169</v>
      </c>
      <c r="G6" s="0" t="n">
        <f aca="false">F6*(1+G5/100)</f>
        <v>2284.93787238</v>
      </c>
      <c r="H6" s="0" t="n">
        <f aca="false">G6*(1+H5/100)</f>
        <v>2330.6366298276</v>
      </c>
      <c r="I6" s="0" t="n">
        <f aca="false">H6*(1+I5/100)</f>
        <v>2377.24936242415</v>
      </c>
      <c r="J6" s="0" t="n">
        <f aca="false">I6*(1+J5/100)</f>
        <v>2424.79434967264</v>
      </c>
      <c r="K6" s="0" t="n">
        <f aca="false">J6*(1+K5/100)</f>
        <v>2473.29023666609</v>
      </c>
      <c r="L6" s="0" t="n">
        <f aca="false">K6*(1+L5/100)</f>
        <v>2522.75604139941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18</v>
      </c>
      <c r="D7" s="4" t="n">
        <f aca="false">Assumptions!D14</f>
        <v>17.5</v>
      </c>
      <c r="E7" s="4" t="n">
        <f aca="false">Assumptions!E14</f>
        <v>17.5</v>
      </c>
      <c r="F7" s="4" t="n">
        <f aca="false">Assumptions!F14</f>
        <v>17.5</v>
      </c>
      <c r="G7" s="4" t="n">
        <f aca="false">Assumptions!G14</f>
        <v>17.5</v>
      </c>
      <c r="H7" s="4" t="n">
        <f aca="false">Assumptions!H14</f>
        <v>17.5</v>
      </c>
      <c r="I7" s="4" t="n">
        <f aca="false">Assumptions!I14</f>
        <v>17.5</v>
      </c>
      <c r="J7" s="4" t="n">
        <f aca="false">Assumptions!J14</f>
        <v>17.5</v>
      </c>
      <c r="K7" s="4" t="n">
        <f aca="false">Assumptions!K14</f>
        <v>17.5</v>
      </c>
      <c r="L7" s="4" t="n">
        <f aca="false">Assumptions!L14</f>
        <v>17.5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407.5443</v>
      </c>
      <c r="D8" s="0" t="n">
        <f aca="false">D6*D7/100</f>
        <v>384.33691625</v>
      </c>
      <c r="E8" s="0" t="n">
        <f aca="false">E6*E7/100</f>
        <v>384.33691625</v>
      </c>
      <c r="F8" s="0" t="n">
        <f aca="false">F6*F7/100</f>
        <v>392.023654575</v>
      </c>
      <c r="G8" s="0" t="n">
        <f aca="false">G6*G7/100</f>
        <v>399.8641276665</v>
      </c>
      <c r="H8" s="0" t="n">
        <f aca="false">H6*H7/100</f>
        <v>407.86141021983</v>
      </c>
      <c r="I8" s="0" t="n">
        <f aca="false">I6*I7/100</f>
        <v>416.018638424227</v>
      </c>
      <c r="J8" s="0" t="n">
        <f aca="false">J6*J7/100</f>
        <v>424.339011192711</v>
      </c>
      <c r="K8" s="0" t="n">
        <f aca="false">K6*K7/100</f>
        <v>432.825791416566</v>
      </c>
      <c r="L8" s="0" t="n">
        <f aca="false">L6*L7/100</f>
        <v>441.482307244897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-6.792405</v>
      </c>
      <c r="D10" s="0" t="n">
        <f aca="false">-D6*D9/100</f>
        <v>-6.58863285</v>
      </c>
      <c r="E10" s="0" t="n">
        <f aca="false">-E6*E9/100</f>
        <v>-6.58863285</v>
      </c>
      <c r="F10" s="0" t="n">
        <f aca="false">-F6*F9/100</f>
        <v>-6.720405507</v>
      </c>
      <c r="G10" s="0" t="n">
        <f aca="false">-G6*G9/100</f>
        <v>-6.85481361714</v>
      </c>
      <c r="H10" s="0" t="n">
        <f aca="false">-H6*H9/100</f>
        <v>-6.9919098894828</v>
      </c>
      <c r="I10" s="0" t="n">
        <f aca="false">-I6*I9/100</f>
        <v>-7.13174808727246</v>
      </c>
      <c r="J10" s="0" t="n">
        <f aca="false">-J6*J9/100</f>
        <v>-7.27438304901791</v>
      </c>
      <c r="K10" s="0" t="n">
        <f aca="false">-K6*K9/100</f>
        <v>-7.41987070999826</v>
      </c>
      <c r="L10" s="0" t="n">
        <f aca="false">-L6*L9/100</f>
        <v>-7.56826812419823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398.48776</v>
      </c>
      <c r="D11" s="0" t="n">
        <f aca="false">D8+D10+D24</f>
        <v>375.55207245</v>
      </c>
      <c r="E11" s="0" t="n">
        <f aca="false">E8+E10+E24</f>
        <v>375.55207245</v>
      </c>
      <c r="F11" s="0" t="n">
        <f aca="false">F8+F10+F24</f>
        <v>383.063113899</v>
      </c>
      <c r="G11" s="0" t="n">
        <f aca="false">G8+G10+G24</f>
        <v>390.72437617698</v>
      </c>
      <c r="H11" s="0" t="n">
        <f aca="false">H8+H10+H24</f>
        <v>398.53886370052</v>
      </c>
      <c r="I11" s="0" t="n">
        <f aca="false">I8+I10+I24</f>
        <v>406.50964097453</v>
      </c>
      <c r="J11" s="0" t="n">
        <f aca="false">J8+J10+J24</f>
        <v>414.639833794021</v>
      </c>
      <c r="K11" s="0" t="n">
        <f aca="false">K8+K10+K24</f>
        <v>422.932630469901</v>
      </c>
      <c r="L11" s="0" t="n">
        <f aca="false">L8+L10+L24</f>
        <v>431.391283079299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-4.52827</v>
      </c>
      <c r="D12" s="4" t="n">
        <f aca="false">-D6*Assumptions!D17/100</f>
        <v>-4.3924219</v>
      </c>
      <c r="E12" s="4" t="n">
        <f aca="false">-E6*Assumptions!E17/100</f>
        <v>-4.3924219</v>
      </c>
      <c r="F12" s="4" t="n">
        <f aca="false">-F6*Assumptions!F17/100</f>
        <v>-4.480270338</v>
      </c>
      <c r="G12" s="4" t="n">
        <f aca="false">-G6*Assumptions!G17/100</f>
        <v>-4.56987574476</v>
      </c>
      <c r="H12" s="4" t="n">
        <f aca="false">-H6*Assumptions!H17/100</f>
        <v>-4.6612732596552</v>
      </c>
      <c r="I12" s="4" t="n">
        <f aca="false">-I6*Assumptions!I17/100</f>
        <v>-4.75449872484831</v>
      </c>
      <c r="J12" s="4" t="n">
        <f aca="false">-J6*Assumptions!J17/100</f>
        <v>-4.84958869934527</v>
      </c>
      <c r="K12" s="4" t="n">
        <f aca="false">-K6*Assumptions!K17/100</f>
        <v>-4.94658047333218</v>
      </c>
      <c r="L12" s="4" t="n">
        <f aca="false">-L6*Assumptions!L17/100</f>
        <v>-5.04551208279882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393.95949</v>
      </c>
      <c r="D13" s="0" t="n">
        <f aca="false">D11+D12</f>
        <v>371.15965055</v>
      </c>
      <c r="E13" s="0" t="n">
        <f aca="false">E11+E12</f>
        <v>371.15965055</v>
      </c>
      <c r="F13" s="0" t="n">
        <f aca="false">F11+F12</f>
        <v>378.582843561</v>
      </c>
      <c r="G13" s="0" t="n">
        <f aca="false">G11+G12</f>
        <v>386.15450043222</v>
      </c>
      <c r="H13" s="0" t="n">
        <f aca="false">H11+H12</f>
        <v>393.877590440864</v>
      </c>
      <c r="I13" s="0" t="n">
        <f aca="false">I11+I12</f>
        <v>401.755142249682</v>
      </c>
      <c r="J13" s="0" t="n">
        <f aca="false">J11+J12</f>
        <v>409.790245094675</v>
      </c>
      <c r="K13" s="0" t="n">
        <f aca="false">K11+K12</f>
        <v>417.986049996569</v>
      </c>
      <c r="L13" s="0" t="n">
        <f aca="false">L11+L12</f>
        <v>426.3457709965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29</v>
      </c>
      <c r="D14" s="4" t="n">
        <f aca="false">Assumptions!D19</f>
        <v>29</v>
      </c>
      <c r="E14" s="4" t="n">
        <f aca="false">Assumptions!E19</f>
        <v>29</v>
      </c>
      <c r="F14" s="4" t="n">
        <f aca="false">Assumptions!F19</f>
        <v>29</v>
      </c>
      <c r="G14" s="4" t="n">
        <f aca="false">Assumptions!G19</f>
        <v>29</v>
      </c>
      <c r="H14" s="4" t="n">
        <f aca="false">Assumptions!H19</f>
        <v>29</v>
      </c>
      <c r="I14" s="4" t="n">
        <f aca="false">Assumptions!I19</f>
        <v>29</v>
      </c>
      <c r="J14" s="4" t="n">
        <f aca="false">Assumptions!J19</f>
        <v>29</v>
      </c>
      <c r="K14" s="4" t="n">
        <f aca="false">Assumptions!K19</f>
        <v>29</v>
      </c>
      <c r="L14" s="4" t="n">
        <f aca="false">Assumptions!L19</f>
        <v>29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279.7112379</v>
      </c>
      <c r="D15" s="0" t="n">
        <f aca="false">D13-MAX(0,D13)*D14/100</f>
        <v>263.5233518905</v>
      </c>
      <c r="E15" s="0" t="n">
        <f aca="false">E13-MAX(0,E13)*E14/100</f>
        <v>263.5233518905</v>
      </c>
      <c r="F15" s="0" t="n">
        <f aca="false">F13-MAX(0,F13)*F14/100</f>
        <v>268.79381892831</v>
      </c>
      <c r="G15" s="0" t="n">
        <f aca="false">G13-MAX(0,G13)*G14/100</f>
        <v>274.169695306876</v>
      </c>
      <c r="H15" s="0" t="n">
        <f aca="false">H13-MAX(0,H13)*H14/100</f>
        <v>279.653089213014</v>
      </c>
      <c r="I15" s="0" t="n">
        <f aca="false">I13-MAX(0,I13)*I14/100</f>
        <v>285.246150997274</v>
      </c>
      <c r="J15" s="0" t="n">
        <f aca="false">J13-MAX(0,J13)*J14/100</f>
        <v>290.95107401722</v>
      </c>
      <c r="K15" s="0" t="n">
        <f aca="false">K13-MAX(0,K13)*K14/100</f>
        <v>296.770095497564</v>
      </c>
      <c r="L15" s="0" t="n">
        <f aca="false">L13-MAX(0,L13)*L14/100</f>
        <v>302.705497407515</v>
      </c>
    </row>
    <row r="16" customFormat="false" ht="15" hidden="false" customHeight="false" outlineLevel="0" collapsed="false">
      <c r="A16" s="0" t="s">
        <v>120</v>
      </c>
      <c r="C16" s="0" t="n">
        <f aca="false">-C12</f>
        <v>4.52827</v>
      </c>
      <c r="D16" s="0" t="n">
        <f aca="false">-D12</f>
        <v>4.3924219</v>
      </c>
      <c r="E16" s="0" t="n">
        <f aca="false">-E12</f>
        <v>4.3924219</v>
      </c>
      <c r="F16" s="0" t="n">
        <f aca="false">-F12</f>
        <v>4.480270338</v>
      </c>
      <c r="G16" s="0" t="n">
        <f aca="false">-G12</f>
        <v>4.56987574476</v>
      </c>
      <c r="H16" s="0" t="n">
        <f aca="false">-H12</f>
        <v>4.6612732596552</v>
      </c>
      <c r="I16" s="0" t="n">
        <f aca="false">-I12</f>
        <v>4.75449872484831</v>
      </c>
      <c r="J16" s="0" t="n">
        <f aca="false">-J12</f>
        <v>4.84958869934527</v>
      </c>
      <c r="K16" s="0" t="n">
        <f aca="false">-K12</f>
        <v>4.94658047333218</v>
      </c>
      <c r="L16" s="0" t="n">
        <f aca="false">-L12</f>
        <v>5.04551208279882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-90.5654</v>
      </c>
      <c r="D17" s="4" t="n">
        <f aca="false">-D6*Assumptions!D18/100</f>
        <v>-87.848438</v>
      </c>
      <c r="E17" s="4" t="n">
        <f aca="false">-E6*Assumptions!E18/100</f>
        <v>-87.848438</v>
      </c>
      <c r="F17" s="4" t="n">
        <f aca="false">-F6*Assumptions!F18/100</f>
        <v>-89.60540676</v>
      </c>
      <c r="G17" s="4" t="n">
        <f aca="false">-G6*Assumptions!G18/100</f>
        <v>-91.3975148952</v>
      </c>
      <c r="H17" s="4" t="n">
        <f aca="false">-H6*Assumptions!H18/100</f>
        <v>-93.225465193104</v>
      </c>
      <c r="I17" s="4" t="n">
        <f aca="false">-I6*Assumptions!I18/100</f>
        <v>-95.0899744969661</v>
      </c>
      <c r="J17" s="4" t="n">
        <f aca="false">-J6*Assumptions!J18/100</f>
        <v>-96.9917739869054</v>
      </c>
      <c r="K17" s="4" t="n">
        <f aca="false">-K6*Assumptions!K18/100</f>
        <v>-98.9316094666435</v>
      </c>
      <c r="L17" s="4" t="n">
        <f aca="false">-L6*Assumptions!L18/100</f>
        <v>-100.910241655976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29.79125</v>
      </c>
      <c r="D18" s="4" t="n">
        <f aca="false">(D6-C6)*Assumptions!$B$23/100</f>
        <v>16.9810125</v>
      </c>
      <c r="E18" s="4" t="n">
        <f aca="false">(E6-D6)*Assumptions!$B$23/100</f>
        <v>-0</v>
      </c>
      <c r="F18" s="4" t="n">
        <f aca="false">(F6-E6)*Assumptions!$B$23/100</f>
        <v>-10.98105475</v>
      </c>
      <c r="G18" s="4" t="n">
        <f aca="false">(G6-F6)*Assumptions!$B$23/100</f>
        <v>-11.200675845</v>
      </c>
      <c r="H18" s="4" t="n">
        <f aca="false">(H6-G6)*Assumptions!$B$23/100</f>
        <v>-11.4246893619001</v>
      </c>
      <c r="I18" s="4" t="n">
        <f aca="false">(I6-H6)*Assumptions!$B$23/100</f>
        <v>-11.653183149138</v>
      </c>
      <c r="J18" s="4" t="n">
        <f aca="false">(J6-I6)*Assumptions!$B$23/100</f>
        <v>-11.8862468121208</v>
      </c>
      <c r="K18" s="4" t="n">
        <f aca="false">(K6-J6)*Assumptions!$B$23/100</f>
        <v>-12.1239717483631</v>
      </c>
      <c r="L18" s="4" t="n">
        <f aca="false">(L6-K6)*Assumptions!$B$23/100</f>
        <v>-12.3664511833305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223.4653579</v>
      </c>
      <c r="D19" s="0" t="n">
        <f aca="false">D15+D16+D17+D18</f>
        <v>197.0483482905</v>
      </c>
      <c r="E19" s="0" t="n">
        <f aca="false">E15+E16+E17+E18</f>
        <v>180.0673357905</v>
      </c>
      <c r="F19" s="0" t="n">
        <f aca="false">F15+F16+F17+F18</f>
        <v>172.68762775631</v>
      </c>
      <c r="G19" s="0" t="n">
        <f aca="false">G15+G16+G17+G18</f>
        <v>176.141380311436</v>
      </c>
      <c r="H19" s="0" t="n">
        <f aca="false">H15+H16+H17+H18</f>
        <v>179.664207917665</v>
      </c>
      <c r="I19" s="0" t="n">
        <f aca="false">I15+I16+I17+I18</f>
        <v>183.257492076018</v>
      </c>
      <c r="J19" s="0" t="n">
        <f aca="false">J15+J16+J17+J18</f>
        <v>186.922641917539</v>
      </c>
      <c r="K19" s="0" t="n">
        <f aca="false">K15+K16+K17+K18</f>
        <v>190.661094755889</v>
      </c>
      <c r="L19" s="0" t="n">
        <f aca="false">L15+L16+L17+L18</f>
        <v>194.474316651007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204.077952420091</v>
      </c>
      <c r="D21" s="0" t="n">
        <f aca="false">D19*D20</f>
        <v>164.340483551636</v>
      </c>
      <c r="E21" s="0" t="n">
        <f aca="false">E19*E20</f>
        <v>137.148979809794</v>
      </c>
      <c r="F21" s="0" t="n">
        <f aca="false">F19*F20</f>
        <v>120.117074669961</v>
      </c>
      <c r="G21" s="0" t="n">
        <f aca="false">G19*G20</f>
        <v>111.889877774758</v>
      </c>
      <c r="H21" s="0" t="n">
        <f aca="false">H19*H20</f>
        <v>104.226187516213</v>
      </c>
      <c r="I21" s="0" t="n">
        <f aca="false">I19*I20</f>
        <v>97.0874075493491</v>
      </c>
      <c r="J21" s="0" t="n">
        <f aca="false">J19*J20</f>
        <v>90.4375851144622</v>
      </c>
      <c r="K21" s="0" t="n">
        <f aca="false">K19*K20</f>
        <v>84.243229969636</v>
      </c>
      <c r="L21" s="0" t="n">
        <f aca="false">L19*L20</f>
        <v>78.4731457251404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0.1</v>
      </c>
      <c r="D23" s="4" t="n">
        <f aca="false">Assumptions!D16</f>
        <v>0.1</v>
      </c>
      <c r="E23" s="4" t="n">
        <f aca="false">Assumptions!E16</f>
        <v>0.1</v>
      </c>
      <c r="F23" s="4" t="n">
        <f aca="false">Assumptions!F16</f>
        <v>0.1</v>
      </c>
      <c r="G23" s="4" t="n">
        <f aca="false">Assumptions!G16</f>
        <v>0.1</v>
      </c>
      <c r="H23" s="4" t="n">
        <f aca="false">Assumptions!H16</f>
        <v>0.1</v>
      </c>
      <c r="I23" s="4" t="n">
        <f aca="false">Assumptions!I16</f>
        <v>0.1</v>
      </c>
      <c r="J23" s="4" t="n">
        <f aca="false">Assumptions!J16</f>
        <v>0.1</v>
      </c>
      <c r="K23" s="4" t="n">
        <f aca="false">Assumptions!K16</f>
        <v>0.1</v>
      </c>
      <c r="L23" s="4" t="n">
        <f aca="false">Assumptions!L16</f>
        <v>0.1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-2.264135</v>
      </c>
      <c r="D24" s="0" t="n">
        <f aca="false">-D6*D23/100</f>
        <v>-2.19621095</v>
      </c>
      <c r="E24" s="0" t="n">
        <f aca="false">-E6*E23/100</f>
        <v>-2.19621095</v>
      </c>
      <c r="F24" s="0" t="n">
        <f aca="false">-F6*F23/100</f>
        <v>-2.240135169</v>
      </c>
      <c r="G24" s="0" t="n">
        <f aca="false">-G6*G23/100</f>
        <v>-2.28493787238</v>
      </c>
      <c r="H24" s="0" t="n">
        <f aca="false">-H6*H23/100</f>
        <v>-2.3306366298276</v>
      </c>
      <c r="I24" s="0" t="n">
        <f aca="false">-I6*I23/100</f>
        <v>-2.37724936242415</v>
      </c>
      <c r="J24" s="0" t="n">
        <f aca="false">-J6*J23/100</f>
        <v>-2.42479434967264</v>
      </c>
      <c r="K24" s="0" t="n">
        <f aca="false">-K6*K23/100</f>
        <v>-2.47329023666609</v>
      </c>
      <c r="L24" s="0" t="n">
        <f aca="false">-L6*L23/100</f>
        <v>-2.52275604139941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1192.04192410104</v>
      </c>
    </row>
    <row r="31" customFormat="false" ht="15" hidden="false" customHeight="false" outlineLevel="0" collapsed="false">
      <c r="A31" s="0" t="s">
        <v>129</v>
      </c>
      <c r="B31" s="0" t="n">
        <f aca="false">L19</f>
        <v>194.474316651007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2467.39289250965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2139.21748316108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2139.21748316108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863.204602976544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2055.24652707759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2418.54652707759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2597.79433628097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-0.180506518523353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43.4315740149585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38.7464013814917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2686.06283831798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1462.15875111683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1807.39465692702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-2</v>
      </c>
      <c r="D5" s="4" t="n">
        <f aca="false">Assumptions!D27</f>
        <v>3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2383.3</v>
      </c>
      <c r="C6" s="0" t="n">
        <f aca="false">B6*(1+C5/100)</f>
        <v>2335.634</v>
      </c>
      <c r="D6" s="0" t="n">
        <f aca="false">C6*(1+D5/100)</f>
        <v>2405.70302</v>
      </c>
      <c r="E6" s="0" t="n">
        <f aca="false">D6*(1+E5/100)</f>
        <v>2525.988171</v>
      </c>
      <c r="F6" s="0" t="n">
        <f aca="false">E6*(1+F5/100)</f>
        <v>2652.28757955</v>
      </c>
      <c r="G6" s="0" t="n">
        <f aca="false">F6*(1+G5/100)</f>
        <v>2758.379082732</v>
      </c>
      <c r="H6" s="0" t="n">
        <f aca="false">G6*(1+H5/100)</f>
        <v>2841.13045521396</v>
      </c>
      <c r="I6" s="0" t="n">
        <f aca="false">H6*(1+I5/100)</f>
        <v>2926.36436887038</v>
      </c>
      <c r="J6" s="0" t="n">
        <f aca="false">I6*(1+J5/100)</f>
        <v>2999.52347809214</v>
      </c>
      <c r="K6" s="0" t="n">
        <f aca="false">J6*(1+K5/100)</f>
        <v>3074.51156504444</v>
      </c>
      <c r="L6" s="0" t="n">
        <f aca="false">K6*(1+L5/100)</f>
        <v>3151.37435417055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19</v>
      </c>
      <c r="D7" s="4" t="n">
        <f aca="false">Assumptions!D28</f>
        <v>19.5</v>
      </c>
      <c r="E7" s="4" t="n">
        <f aca="false">Assumptions!E28</f>
        <v>20</v>
      </c>
      <c r="F7" s="4" t="n">
        <f aca="false">Assumptions!F28</f>
        <v>20.5</v>
      </c>
      <c r="G7" s="4" t="n">
        <f aca="false">Assumptions!G28</f>
        <v>21</v>
      </c>
      <c r="H7" s="4" t="n">
        <f aca="false">Assumptions!H28</f>
        <v>21</v>
      </c>
      <c r="I7" s="4" t="n">
        <f aca="false">Assumptions!I28</f>
        <v>21</v>
      </c>
      <c r="J7" s="4" t="n">
        <f aca="false">Assumptions!J28</f>
        <v>21</v>
      </c>
      <c r="K7" s="4" t="n">
        <f aca="false">Assumptions!K28</f>
        <v>21</v>
      </c>
      <c r="L7" s="4" t="n">
        <f aca="false">Assumptions!L28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443.77046</v>
      </c>
      <c r="D8" s="0" t="n">
        <f aca="false">D6*D7/100</f>
        <v>469.1120889</v>
      </c>
      <c r="E8" s="0" t="n">
        <f aca="false">E6*E7/100</f>
        <v>505.1976342</v>
      </c>
      <c r="F8" s="0" t="n">
        <f aca="false">F6*F7/100</f>
        <v>543.71895380775</v>
      </c>
      <c r="G8" s="0" t="n">
        <f aca="false">G6*G7/100</f>
        <v>579.25960737372</v>
      </c>
      <c r="H8" s="0" t="n">
        <f aca="false">H6*H7/100</f>
        <v>596.637395594932</v>
      </c>
      <c r="I8" s="0" t="n">
        <f aca="false">I6*I7/100</f>
        <v>614.53651746278</v>
      </c>
      <c r="J8" s="0" t="n">
        <f aca="false">J6*J7/100</f>
        <v>629.899930399349</v>
      </c>
      <c r="K8" s="0" t="n">
        <f aca="false">K6*K7/100</f>
        <v>645.647428659333</v>
      </c>
      <c r="L8" s="0" t="n">
        <f aca="false">L6*L7/100</f>
        <v>661.788614375816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-7.006902</v>
      </c>
      <c r="D10" s="0" t="n">
        <f aca="false">-D6*D9/100</f>
        <v>-7.21710906</v>
      </c>
      <c r="E10" s="0" t="n">
        <f aca="false">-E6*E9/100</f>
        <v>-7.577964513</v>
      </c>
      <c r="F10" s="0" t="n">
        <f aca="false">-F6*F9/100</f>
        <v>-7.95686273865</v>
      </c>
      <c r="G10" s="0" t="n">
        <f aca="false">-G6*G9/100</f>
        <v>-8.275137248196</v>
      </c>
      <c r="H10" s="0" t="n">
        <f aca="false">-H6*H9/100</f>
        <v>-8.52339136564188</v>
      </c>
      <c r="I10" s="0" t="n">
        <f aca="false">-I6*I9/100</f>
        <v>-8.77909310661114</v>
      </c>
      <c r="J10" s="0" t="n">
        <f aca="false">-J6*J9/100</f>
        <v>-8.99857043427641</v>
      </c>
      <c r="K10" s="0" t="n">
        <f aca="false">-K6*K9/100</f>
        <v>-9.22353469513332</v>
      </c>
      <c r="L10" s="0" t="n">
        <f aca="false">-L6*L9/100</f>
        <v>-9.45412306251165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434.427924</v>
      </c>
      <c r="D11" s="0" t="n">
        <f aca="false">D8+D10+D24</f>
        <v>459.48927682</v>
      </c>
      <c r="E11" s="0" t="n">
        <f aca="false">E8+E10+E24</f>
        <v>495.093681516</v>
      </c>
      <c r="F11" s="0" t="n">
        <f aca="false">F8+F10+F24</f>
        <v>533.10980348955</v>
      </c>
      <c r="G11" s="0" t="n">
        <f aca="false">G8+G10+G24</f>
        <v>568.226091042792</v>
      </c>
      <c r="H11" s="0" t="n">
        <f aca="false">H8+H10+H24</f>
        <v>585.272873774076</v>
      </c>
      <c r="I11" s="0" t="n">
        <f aca="false">I8+I10+I24</f>
        <v>602.831059987298</v>
      </c>
      <c r="J11" s="0" t="n">
        <f aca="false">J8+J10+J24</f>
        <v>617.90183648698</v>
      </c>
      <c r="K11" s="0" t="n">
        <f aca="false">K8+K10+K24</f>
        <v>633.349382399155</v>
      </c>
      <c r="L11" s="0" t="n">
        <f aca="false">L8+L10+L24</f>
        <v>649.183116959134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-4.671268</v>
      </c>
      <c r="D12" s="4" t="n">
        <f aca="false">-D6*Assumptions!D31/100</f>
        <v>-4.81140604</v>
      </c>
      <c r="E12" s="4" t="n">
        <f aca="false">-E6*Assumptions!E31/100</f>
        <v>-5.051976342</v>
      </c>
      <c r="F12" s="4" t="n">
        <f aca="false">-F6*Assumptions!F31/100</f>
        <v>-5.3045751591</v>
      </c>
      <c r="G12" s="4" t="n">
        <f aca="false">-G6*Assumptions!G31/100</f>
        <v>-5.516758165464</v>
      </c>
      <c r="H12" s="4" t="n">
        <f aca="false">-H6*Assumptions!H31/100</f>
        <v>-5.68226091042792</v>
      </c>
      <c r="I12" s="4" t="n">
        <f aca="false">-I6*Assumptions!I31/100</f>
        <v>-5.85272873774076</v>
      </c>
      <c r="J12" s="4" t="n">
        <f aca="false">-J6*Assumptions!J31/100</f>
        <v>-5.99904695618428</v>
      </c>
      <c r="K12" s="4" t="n">
        <f aca="false">-K6*Assumptions!K31/100</f>
        <v>-6.14902313008888</v>
      </c>
      <c r="L12" s="4" t="n">
        <f aca="false">-L6*Assumptions!L31/100</f>
        <v>-6.3027487083411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429.756656</v>
      </c>
      <c r="D13" s="0" t="n">
        <f aca="false">D11+D12</f>
        <v>454.67787078</v>
      </c>
      <c r="E13" s="0" t="n">
        <f aca="false">E11+E12</f>
        <v>490.041705174</v>
      </c>
      <c r="F13" s="0" t="n">
        <f aca="false">F11+F12</f>
        <v>527.80522833045</v>
      </c>
      <c r="G13" s="0" t="n">
        <f aca="false">G11+G12</f>
        <v>562.709332877328</v>
      </c>
      <c r="H13" s="0" t="n">
        <f aca="false">H11+H12</f>
        <v>579.590612863648</v>
      </c>
      <c r="I13" s="0" t="n">
        <f aca="false">I11+I12</f>
        <v>596.978331249557</v>
      </c>
      <c r="J13" s="0" t="n">
        <f aca="false">J11+J12</f>
        <v>611.902789530796</v>
      </c>
      <c r="K13" s="0" t="n">
        <f aca="false">K11+K12</f>
        <v>627.200359269066</v>
      </c>
      <c r="L13" s="0" t="n">
        <f aca="false">L11+L12</f>
        <v>642.880368250793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309.42479232</v>
      </c>
      <c r="D15" s="0" t="n">
        <f aca="false">D13-MAX(0,D13)*D14/100</f>
        <v>327.3680669616</v>
      </c>
      <c r="E15" s="0" t="n">
        <f aca="false">E13-MAX(0,E13)*E14/100</f>
        <v>352.83002772528</v>
      </c>
      <c r="F15" s="0" t="n">
        <f aca="false">F13-MAX(0,F13)*F14/100</f>
        <v>380.019764397924</v>
      </c>
      <c r="G15" s="0" t="n">
        <f aca="false">G13-MAX(0,G13)*G14/100</f>
        <v>405.150719671676</v>
      </c>
      <c r="H15" s="0" t="n">
        <f aca="false">H13-MAX(0,H13)*H14/100</f>
        <v>417.305241261827</v>
      </c>
      <c r="I15" s="0" t="n">
        <f aca="false">I13-MAX(0,I13)*I14/100</f>
        <v>429.824398499681</v>
      </c>
      <c r="J15" s="0" t="n">
        <f aca="false">J13-MAX(0,J13)*J14/100</f>
        <v>440.570008462173</v>
      </c>
      <c r="K15" s="0" t="n">
        <f aca="false">K13-MAX(0,K13)*K14/100</f>
        <v>451.584258673728</v>
      </c>
      <c r="L15" s="0" t="n">
        <f aca="false">L13-MAX(0,L13)*L14/100</f>
        <v>462.873865140571</v>
      </c>
    </row>
    <row r="16" customFormat="false" ht="15" hidden="false" customHeight="false" outlineLevel="0" collapsed="false">
      <c r="A16" s="0" t="s">
        <v>120</v>
      </c>
      <c r="C16" s="0" t="n">
        <f aca="false">-C12</f>
        <v>4.671268</v>
      </c>
      <c r="D16" s="0" t="n">
        <f aca="false">-D12</f>
        <v>4.81140604</v>
      </c>
      <c r="E16" s="0" t="n">
        <f aca="false">-E12</f>
        <v>5.051976342</v>
      </c>
      <c r="F16" s="0" t="n">
        <f aca="false">-F12</f>
        <v>5.3045751591</v>
      </c>
      <c r="G16" s="0" t="n">
        <f aca="false">-G12</f>
        <v>5.516758165464</v>
      </c>
      <c r="H16" s="0" t="n">
        <f aca="false">-H12</f>
        <v>5.68226091042792</v>
      </c>
      <c r="I16" s="0" t="n">
        <f aca="false">-I12</f>
        <v>5.85272873774076</v>
      </c>
      <c r="J16" s="0" t="n">
        <f aca="false">-J12</f>
        <v>5.99904695618428</v>
      </c>
      <c r="K16" s="0" t="n">
        <f aca="false">-K12</f>
        <v>6.14902313008888</v>
      </c>
      <c r="L16" s="0" t="n">
        <f aca="false">-L12</f>
        <v>6.3027487083411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-70.06902</v>
      </c>
      <c r="D17" s="4" t="n">
        <f aca="false">-D6*Assumptions!D32/100</f>
        <v>-72.1710906</v>
      </c>
      <c r="E17" s="4" t="n">
        <f aca="false">-E6*Assumptions!E32/100</f>
        <v>-75.77964513</v>
      </c>
      <c r="F17" s="4" t="n">
        <f aca="false">-F6*Assumptions!F32/100</f>
        <v>-79.5686273865</v>
      </c>
      <c r="G17" s="4" t="n">
        <f aca="false">-G6*Assumptions!G32/100</f>
        <v>-82.75137248196</v>
      </c>
      <c r="H17" s="4" t="n">
        <f aca="false">-H6*Assumptions!H32/100</f>
        <v>-85.2339136564188</v>
      </c>
      <c r="I17" s="4" t="n">
        <f aca="false">-I6*Assumptions!I32/100</f>
        <v>-87.7909310661114</v>
      </c>
      <c r="J17" s="4" t="n">
        <f aca="false">-J6*Assumptions!J32/100</f>
        <v>-89.9857043427641</v>
      </c>
      <c r="K17" s="4" t="n">
        <f aca="false">-K6*Assumptions!K32/100</f>
        <v>-92.2353469513332</v>
      </c>
      <c r="L17" s="4" t="n">
        <f aca="false">-L6*Assumptions!L32/100</f>
        <v>-94.5412306251166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11.9165</v>
      </c>
      <c r="D18" s="4" t="n">
        <f aca="false">(D6-C6)*Assumptions!$B$37/100</f>
        <v>-17.517255</v>
      </c>
      <c r="E18" s="4" t="n">
        <f aca="false">(E6-D6)*Assumptions!$B$37/100</f>
        <v>-30.07128775</v>
      </c>
      <c r="F18" s="4" t="n">
        <f aca="false">(F6-E6)*Assumptions!$B$37/100</f>
        <v>-31.5748521375</v>
      </c>
      <c r="G18" s="4" t="n">
        <f aca="false">(G6-F6)*Assumptions!$B$37/100</f>
        <v>-26.5228757955</v>
      </c>
      <c r="H18" s="4" t="n">
        <f aca="false">(H6-G6)*Assumptions!$B$37/100</f>
        <v>-20.68784312049</v>
      </c>
      <c r="I18" s="4" t="n">
        <f aca="false">(I6-H6)*Assumptions!$B$37/100</f>
        <v>-21.3084784141047</v>
      </c>
      <c r="J18" s="4" t="n">
        <f aca="false">(J6-I6)*Assumptions!$B$37/100</f>
        <v>-18.2897773054398</v>
      </c>
      <c r="K18" s="4" t="n">
        <f aca="false">(K6-J6)*Assumptions!$B$37/100</f>
        <v>-18.7470217380758</v>
      </c>
      <c r="L18" s="4" t="n">
        <f aca="false">(L6-K6)*Assumptions!$B$37/100</f>
        <v>-19.2156972815277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255.94354032</v>
      </c>
      <c r="D19" s="0" t="n">
        <f aca="false">D15+D16+D17+D18</f>
        <v>242.4911274016</v>
      </c>
      <c r="E19" s="0" t="n">
        <f aca="false">E15+E16+E17+E18</f>
        <v>252.03107118728</v>
      </c>
      <c r="F19" s="0" t="n">
        <f aca="false">F15+F16+F17+F18</f>
        <v>274.180860033024</v>
      </c>
      <c r="G19" s="0" t="n">
        <f aca="false">G15+G16+G17+G18</f>
        <v>301.39322955968</v>
      </c>
      <c r="H19" s="0" t="n">
        <f aca="false">H15+H16+H17+H18</f>
        <v>317.065745395346</v>
      </c>
      <c r="I19" s="0" t="n">
        <f aca="false">I15+I16+I17+I18</f>
        <v>326.577717757206</v>
      </c>
      <c r="J19" s="0" t="n">
        <f aca="false">J15+J16+J17+J18</f>
        <v>338.293573770154</v>
      </c>
      <c r="K19" s="0" t="n">
        <f aca="false">K15+K16+K17+K18</f>
        <v>346.750913114407</v>
      </c>
      <c r="L19" s="0" t="n">
        <f aca="false">L15+L16+L17+L18</f>
        <v>355.419685942267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233.738392986301</v>
      </c>
      <c r="D21" s="0" t="n">
        <f aca="false">D19*D20</f>
        <v>202.24025971235</v>
      </c>
      <c r="E21" s="0" t="n">
        <f aca="false">E19*E20</f>
        <v>191.960436033333</v>
      </c>
      <c r="F21" s="0" t="n">
        <f aca="false">F19*F20</f>
        <v>190.713158004207</v>
      </c>
      <c r="G21" s="0" t="n">
        <f aca="false">G19*G20</f>
        <v>191.453317544956</v>
      </c>
      <c r="H21" s="0" t="n">
        <f aca="false">H19*H20</f>
        <v>183.935098802136</v>
      </c>
      <c r="I21" s="0" t="n">
        <f aca="false">I19*I20</f>
        <v>173.016576955433</v>
      </c>
      <c r="J21" s="0" t="n">
        <f aca="false">J19*J20</f>
        <v>163.674413958961</v>
      </c>
      <c r="K21" s="0" t="n">
        <f aca="false">K19*K20</f>
        <v>153.211209413639</v>
      </c>
      <c r="L21" s="0" t="n">
        <f aca="false">L19*L20</f>
        <v>143.416885524183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0.1</v>
      </c>
      <c r="D23" s="4" t="n">
        <f aca="false">Assumptions!D30</f>
        <v>0.1</v>
      </c>
      <c r="E23" s="4" t="n">
        <f aca="false">Assumptions!E30</f>
        <v>0.1</v>
      </c>
      <c r="F23" s="4" t="n">
        <f aca="false">Assumptions!F30</f>
        <v>0.1</v>
      </c>
      <c r="G23" s="4" t="n">
        <f aca="false">Assumptions!G30</f>
        <v>0.1</v>
      </c>
      <c r="H23" s="4" t="n">
        <f aca="false">Assumptions!H30</f>
        <v>0.1</v>
      </c>
      <c r="I23" s="4" t="n">
        <f aca="false">Assumptions!I30</f>
        <v>0.1</v>
      </c>
      <c r="J23" s="4" t="n">
        <f aca="false">Assumptions!J30</f>
        <v>0.1</v>
      </c>
      <c r="K23" s="4" t="n">
        <f aca="false">Assumptions!K30</f>
        <v>0.1</v>
      </c>
      <c r="L23" s="4" t="n">
        <f aca="false">Assumptions!L30</f>
        <v>0.1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-2.335634</v>
      </c>
      <c r="D24" s="0" t="n">
        <f aca="false">-D6*D23/100</f>
        <v>-2.40570302</v>
      </c>
      <c r="E24" s="0" t="n">
        <f aca="false">-E6*E23/100</f>
        <v>-2.525988171</v>
      </c>
      <c r="F24" s="0" t="n">
        <f aca="false">-F6*F23/100</f>
        <v>-2.65228757955</v>
      </c>
      <c r="G24" s="0" t="n">
        <f aca="false">-G6*G23/100</f>
        <v>-2.758379082732</v>
      </c>
      <c r="H24" s="0" t="n">
        <f aca="false">-H6*H23/100</f>
        <v>-2.84113045521396</v>
      </c>
      <c r="I24" s="0" t="n">
        <f aca="false">-I6*I23/100</f>
        <v>-2.92636436887038</v>
      </c>
      <c r="J24" s="0" t="n">
        <f aca="false">-J6*J23/100</f>
        <v>-2.99952347809214</v>
      </c>
      <c r="K24" s="0" t="n">
        <f aca="false">-K6*K23/100</f>
        <v>-3.07451156504444</v>
      </c>
      <c r="L24" s="0" t="n">
        <f aca="false">-L6*L23/100</f>
        <v>-3.15137435417055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1827.3597489355</v>
      </c>
    </row>
    <row r="31" customFormat="false" ht="15" hidden="false" customHeight="false" outlineLevel="0" collapsed="false">
      <c r="A31" s="0" t="s">
        <v>129</v>
      </c>
      <c r="B31" s="0" t="n">
        <f aca="false">L19</f>
        <v>355.419685942267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4833.70772881484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4620.45591724948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4620.45591724948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1864.41951181438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3691.77926074988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4055.07926074988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4355.61682142844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0.374011615592567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50.8207194131422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51.8822697930946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4465.93152519454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2788.67753585471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2672.09500492291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-1</v>
      </c>
      <c r="D5" s="4" t="n">
        <f aca="false">Assumptions!D41</f>
        <v>5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2383.3</v>
      </c>
      <c r="C6" s="0" t="n">
        <f aca="false">B6*(1+C5/100)</f>
        <v>2359.467</v>
      </c>
      <c r="D6" s="0" t="n">
        <f aca="false">C6*(1+D5/100)</f>
        <v>2477.44035</v>
      </c>
      <c r="E6" s="0" t="n">
        <f aca="false">D6*(1+E5/100)</f>
        <v>2650.8611745</v>
      </c>
      <c r="F6" s="0" t="n">
        <f aca="false">E6*(1+F5/100)</f>
        <v>2836.421456715</v>
      </c>
      <c r="G6" s="0" t="n">
        <f aca="false">F6*(1+G5/100)</f>
        <v>3006.6067441179</v>
      </c>
      <c r="H6" s="0" t="n">
        <f aca="false">G6*(1+H5/100)</f>
        <v>3156.9370813238</v>
      </c>
      <c r="I6" s="0" t="n">
        <f aca="false">H6*(1+I5/100)</f>
        <v>3283.21456457675</v>
      </c>
      <c r="J6" s="0" t="n">
        <f aca="false">I6*(1+J5/100)</f>
        <v>3381.71100151405</v>
      </c>
      <c r="K6" s="0" t="n">
        <f aca="false">J6*(1+K5/100)</f>
        <v>3483.16233155947</v>
      </c>
      <c r="L6" s="0" t="n">
        <f aca="false">K6*(1+L5/100)</f>
        <v>3587.65720150626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19.5</v>
      </c>
      <c r="D7" s="4" t="n">
        <f aca="false">Assumptions!D42</f>
        <v>20.5</v>
      </c>
      <c r="E7" s="4" t="n">
        <f aca="false">Assumptions!E42</f>
        <v>21.5</v>
      </c>
      <c r="F7" s="4" t="n">
        <f aca="false">Assumptions!F42</f>
        <v>22.5</v>
      </c>
      <c r="G7" s="4" t="n">
        <f aca="false">Assumptions!G42</f>
        <v>23.5</v>
      </c>
      <c r="H7" s="4" t="n">
        <f aca="false">Assumptions!H42</f>
        <v>23.5</v>
      </c>
      <c r="I7" s="4" t="n">
        <f aca="false">Assumptions!I42</f>
        <v>23.5</v>
      </c>
      <c r="J7" s="4" t="n">
        <f aca="false">Assumptions!J42</f>
        <v>23.5</v>
      </c>
      <c r="K7" s="4" t="n">
        <f aca="false">Assumptions!K42</f>
        <v>23.5</v>
      </c>
      <c r="L7" s="4" t="n">
        <f aca="false">Assumptions!L42</f>
        <v>23.5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460.096065</v>
      </c>
      <c r="D8" s="0" t="n">
        <f aca="false">D6*D7/100</f>
        <v>507.87527175</v>
      </c>
      <c r="E8" s="0" t="n">
        <f aca="false">E6*E7/100</f>
        <v>569.9351525175</v>
      </c>
      <c r="F8" s="0" t="n">
        <f aca="false">F6*F7/100</f>
        <v>638.194827760875</v>
      </c>
      <c r="G8" s="0" t="n">
        <f aca="false">G6*G7/100</f>
        <v>706.552584867707</v>
      </c>
      <c r="H8" s="0" t="n">
        <f aca="false">H6*H7/100</f>
        <v>741.880214111092</v>
      </c>
      <c r="I8" s="0" t="n">
        <f aca="false">I6*I7/100</f>
        <v>771.555422675536</v>
      </c>
      <c r="J8" s="0" t="n">
        <f aca="false">J6*J7/100</f>
        <v>794.702085355802</v>
      </c>
      <c r="K8" s="0" t="n">
        <f aca="false">K6*K7/100</f>
        <v>818.543147916476</v>
      </c>
      <c r="L8" s="0" t="n">
        <f aca="false">L6*L7/100</f>
        <v>843.09944235397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-7.078401</v>
      </c>
      <c r="D10" s="0" t="n">
        <f aca="false">-D6*D9/100</f>
        <v>-7.43232105</v>
      </c>
      <c r="E10" s="0" t="n">
        <f aca="false">-E6*E9/100</f>
        <v>-7.9525835235</v>
      </c>
      <c r="F10" s="0" t="n">
        <f aca="false">-F6*F9/100</f>
        <v>-8.509264370145</v>
      </c>
      <c r="G10" s="0" t="n">
        <f aca="false">-G6*G9/100</f>
        <v>-9.0198202323537</v>
      </c>
      <c r="H10" s="0" t="n">
        <f aca="false">-H6*H9/100</f>
        <v>-9.47081124397139</v>
      </c>
      <c r="I10" s="0" t="n">
        <f aca="false">-I6*I9/100</f>
        <v>-9.84964369373024</v>
      </c>
      <c r="J10" s="0" t="n">
        <f aca="false">-J6*J9/100</f>
        <v>-10.1451330045422</v>
      </c>
      <c r="K10" s="0" t="n">
        <f aca="false">-K6*K9/100</f>
        <v>-10.4494869946784</v>
      </c>
      <c r="L10" s="0" t="n">
        <f aca="false">-L6*L9/100</f>
        <v>-10.7629716045188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450.658197</v>
      </c>
      <c r="D11" s="0" t="n">
        <f aca="false">D8+D10+D24</f>
        <v>497.96551035</v>
      </c>
      <c r="E11" s="0" t="n">
        <f aca="false">E8+E10+E24</f>
        <v>559.3317078195</v>
      </c>
      <c r="F11" s="0" t="n">
        <f aca="false">F8+F10+F24</f>
        <v>626.849141934015</v>
      </c>
      <c r="G11" s="0" t="n">
        <f aca="false">G8+G10+G24</f>
        <v>694.526157891235</v>
      </c>
      <c r="H11" s="0" t="n">
        <f aca="false">H8+H10+H24</f>
        <v>729.252465785797</v>
      </c>
      <c r="I11" s="0" t="n">
        <f aca="false">I8+I10+I24</f>
        <v>758.422564417229</v>
      </c>
      <c r="J11" s="0" t="n">
        <f aca="false">J8+J10+J24</f>
        <v>781.175241349746</v>
      </c>
      <c r="K11" s="0" t="n">
        <f aca="false">K8+K10+K24</f>
        <v>804.610498590238</v>
      </c>
      <c r="L11" s="0" t="n">
        <f aca="false">L8+L10+L24</f>
        <v>828.748813547945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-4.718934</v>
      </c>
      <c r="D12" s="4" t="n">
        <f aca="false">-D6*Assumptions!D45/100</f>
        <v>-4.9548807</v>
      </c>
      <c r="E12" s="4" t="n">
        <f aca="false">-E6*Assumptions!E45/100</f>
        <v>-5.301722349</v>
      </c>
      <c r="F12" s="4" t="n">
        <f aca="false">-F6*Assumptions!F45/100</f>
        <v>-5.67284291343</v>
      </c>
      <c r="G12" s="4" t="n">
        <f aca="false">-G6*Assumptions!G45/100</f>
        <v>-6.0132134882358</v>
      </c>
      <c r="H12" s="4" t="n">
        <f aca="false">-H6*Assumptions!H45/100</f>
        <v>-6.31387416264759</v>
      </c>
      <c r="I12" s="4" t="n">
        <f aca="false">-I6*Assumptions!I45/100</f>
        <v>-6.5664291291535</v>
      </c>
      <c r="J12" s="4" t="n">
        <f aca="false">-J6*Assumptions!J45/100</f>
        <v>-6.7634220030281</v>
      </c>
      <c r="K12" s="4" t="n">
        <f aca="false">-K6*Assumptions!K45/100</f>
        <v>-6.96632466311894</v>
      </c>
      <c r="L12" s="4" t="n">
        <f aca="false">-L6*Assumptions!L45/100</f>
        <v>-7.17531440301251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445.939263</v>
      </c>
      <c r="D13" s="0" t="n">
        <f aca="false">D11+D12</f>
        <v>493.01062965</v>
      </c>
      <c r="E13" s="0" t="n">
        <f aca="false">E11+E12</f>
        <v>554.0299854705</v>
      </c>
      <c r="F13" s="0" t="n">
        <f aca="false">F11+F12</f>
        <v>621.176299020585</v>
      </c>
      <c r="G13" s="0" t="n">
        <f aca="false">G11+G12</f>
        <v>688.512944402999</v>
      </c>
      <c r="H13" s="0" t="n">
        <f aca="false">H11+H12</f>
        <v>722.938591623149</v>
      </c>
      <c r="I13" s="0" t="n">
        <f aca="false">I11+I12</f>
        <v>751.856135288075</v>
      </c>
      <c r="J13" s="0" t="n">
        <f aca="false">J11+J12</f>
        <v>774.411819346718</v>
      </c>
      <c r="K13" s="0" t="n">
        <f aca="false">K11+K12</f>
        <v>797.644173927119</v>
      </c>
      <c r="L13" s="0" t="n">
        <f aca="false">L11+L12</f>
        <v>821.573499144933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28</v>
      </c>
      <c r="D14" s="4" t="n">
        <f aca="false">Assumptions!D47</f>
        <v>28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321.07626936</v>
      </c>
      <c r="D15" s="0" t="n">
        <f aca="false">D13-MAX(0,D13)*D14/100</f>
        <v>354.967653348</v>
      </c>
      <c r="E15" s="0" t="n">
        <f aca="false">E13-MAX(0,E13)*E14/100</f>
        <v>398.90158953876</v>
      </c>
      <c r="F15" s="0" t="n">
        <f aca="false">F13-MAX(0,F13)*F14/100</f>
        <v>447.246935294821</v>
      </c>
      <c r="G15" s="0" t="n">
        <f aca="false">G13-MAX(0,G13)*G14/100</f>
        <v>495.729319970159</v>
      </c>
      <c r="H15" s="0" t="n">
        <f aca="false">H13-MAX(0,H13)*H14/100</f>
        <v>520.515785968668</v>
      </c>
      <c r="I15" s="0" t="n">
        <f aca="false">I13-MAX(0,I13)*I14/100</f>
        <v>541.336417407414</v>
      </c>
      <c r="J15" s="0" t="n">
        <f aca="false">J13-MAX(0,J13)*J14/100</f>
        <v>557.576509929637</v>
      </c>
      <c r="K15" s="0" t="n">
        <f aca="false">K13-MAX(0,K13)*K14/100</f>
        <v>574.303805227526</v>
      </c>
      <c r="L15" s="0" t="n">
        <f aca="false">L13-MAX(0,L13)*L14/100</f>
        <v>591.532919384352</v>
      </c>
    </row>
    <row r="16" customFormat="false" ht="15" hidden="false" customHeight="false" outlineLevel="0" collapsed="false">
      <c r="A16" s="0" t="s">
        <v>120</v>
      </c>
      <c r="C16" s="0" t="n">
        <f aca="false">-C12</f>
        <v>4.718934</v>
      </c>
      <c r="D16" s="0" t="n">
        <f aca="false">-D12</f>
        <v>4.9548807</v>
      </c>
      <c r="E16" s="0" t="n">
        <f aca="false">-E12</f>
        <v>5.301722349</v>
      </c>
      <c r="F16" s="0" t="n">
        <f aca="false">-F12</f>
        <v>5.67284291343</v>
      </c>
      <c r="G16" s="0" t="n">
        <f aca="false">-G12</f>
        <v>6.0132134882358</v>
      </c>
      <c r="H16" s="0" t="n">
        <f aca="false">-H12</f>
        <v>6.31387416264759</v>
      </c>
      <c r="I16" s="0" t="n">
        <f aca="false">-I12</f>
        <v>6.5664291291535</v>
      </c>
      <c r="J16" s="0" t="n">
        <f aca="false">-J12</f>
        <v>6.7634220030281</v>
      </c>
      <c r="K16" s="0" t="n">
        <f aca="false">-K12</f>
        <v>6.96632466311894</v>
      </c>
      <c r="L16" s="0" t="n">
        <f aca="false">-L12</f>
        <v>7.17531440301251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-58.986675</v>
      </c>
      <c r="D17" s="4" t="n">
        <f aca="false">-D6*Assumptions!D46/100</f>
        <v>-61.93600875</v>
      </c>
      <c r="E17" s="4" t="n">
        <f aca="false">-E6*Assumptions!E46/100</f>
        <v>-66.2715293625</v>
      </c>
      <c r="F17" s="4" t="n">
        <f aca="false">-F6*Assumptions!F46/100</f>
        <v>-70.910536417875</v>
      </c>
      <c r="G17" s="4" t="n">
        <f aca="false">-G6*Assumptions!G46/100</f>
        <v>-75.1651686029475</v>
      </c>
      <c r="H17" s="4" t="n">
        <f aca="false">-H6*Assumptions!H46/100</f>
        <v>-78.9234270330949</v>
      </c>
      <c r="I17" s="4" t="n">
        <f aca="false">-I6*Assumptions!I46/100</f>
        <v>-82.0803641144187</v>
      </c>
      <c r="J17" s="4" t="n">
        <f aca="false">-J6*Assumptions!J46/100</f>
        <v>-84.5427750378513</v>
      </c>
      <c r="K17" s="4" t="n">
        <f aca="false">-K6*Assumptions!K46/100</f>
        <v>-87.0790582889868</v>
      </c>
      <c r="L17" s="4" t="n">
        <f aca="false">-L6*Assumptions!L46/100</f>
        <v>-89.6914300376564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5.95825000000002</v>
      </c>
      <c r="D18" s="4" t="n">
        <f aca="false">(D6-C6)*Assumptions!$B$51/100</f>
        <v>-29.4933375000001</v>
      </c>
      <c r="E18" s="4" t="n">
        <f aca="false">(E6-D6)*Assumptions!$B$51/100</f>
        <v>-43.355206125</v>
      </c>
      <c r="F18" s="4" t="n">
        <f aca="false">(F6-E6)*Assumptions!$B$51/100</f>
        <v>-46.3900705537501</v>
      </c>
      <c r="G18" s="4" t="n">
        <f aca="false">(G6-F6)*Assumptions!$B$51/100</f>
        <v>-42.546321850725</v>
      </c>
      <c r="H18" s="4" t="n">
        <f aca="false">(H6-G6)*Assumptions!$B$51/100</f>
        <v>-37.5825843014738</v>
      </c>
      <c r="I18" s="4" t="n">
        <f aca="false">(I6-H6)*Assumptions!$B$51/100</f>
        <v>-31.569370813238</v>
      </c>
      <c r="J18" s="4" t="n">
        <f aca="false">(J6-I6)*Assumptions!$B$51/100</f>
        <v>-24.6241092343256</v>
      </c>
      <c r="K18" s="4" t="n">
        <f aca="false">(K6-J6)*Assumptions!$B$51/100</f>
        <v>-25.3628325113554</v>
      </c>
      <c r="L18" s="4" t="n">
        <f aca="false">(L6-K6)*Assumptions!$B$51/100</f>
        <v>-26.123717486696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272.76677836</v>
      </c>
      <c r="D19" s="0" t="n">
        <f aca="false">D15+D16+D17+D18</f>
        <v>268.493187798</v>
      </c>
      <c r="E19" s="0" t="n">
        <f aca="false">E15+E16+E17+E18</f>
        <v>294.57657640026</v>
      </c>
      <c r="F19" s="0" t="n">
        <f aca="false">F15+F16+F17+F18</f>
        <v>335.619171236626</v>
      </c>
      <c r="G19" s="0" t="n">
        <f aca="false">G15+G16+G17+G18</f>
        <v>384.031043004723</v>
      </c>
      <c r="H19" s="0" t="n">
        <f aca="false">H15+H16+H17+H18</f>
        <v>410.323648796746</v>
      </c>
      <c r="I19" s="0" t="n">
        <f aca="false">I15+I16+I17+I18</f>
        <v>434.253111608911</v>
      </c>
      <c r="J19" s="0" t="n">
        <f aca="false">J15+J16+J17+J18</f>
        <v>455.173047660488</v>
      </c>
      <c r="K19" s="0" t="n">
        <f aca="false">K15+K16+K17+K18</f>
        <v>468.828239090303</v>
      </c>
      <c r="L19" s="0" t="n">
        <f aca="false">L15+L16+L17+L18</f>
        <v>482.893086263012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249.102080694064</v>
      </c>
      <c r="D21" s="0" t="n">
        <f aca="false">D19*D20</f>
        <v>223.926263253894</v>
      </c>
      <c r="E21" s="0" t="n">
        <f aca="false">E19*E20</f>
        <v>224.365383937052</v>
      </c>
      <c r="F21" s="0" t="n">
        <f aca="false">F19*F20</f>
        <v>233.44806791248</v>
      </c>
      <c r="G21" s="0" t="n">
        <f aca="false">G19*G20</f>
        <v>243.947142843648</v>
      </c>
      <c r="H21" s="0" t="n">
        <f aca="false">H19*H20</f>
        <v>238.035555648486</v>
      </c>
      <c r="I21" s="0" t="n">
        <f aca="false">I19*I20</f>
        <v>230.06158356057</v>
      </c>
      <c r="J21" s="0" t="n">
        <f aca="false">J19*J20</f>
        <v>220.223461520325</v>
      </c>
      <c r="K21" s="0" t="n">
        <f aca="false">K19*K20</f>
        <v>207.150835950625</v>
      </c>
      <c r="L21" s="0" t="n">
        <f aca="false">L19*L20</f>
        <v>194.85421098552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0.1</v>
      </c>
      <c r="D23" s="4" t="n">
        <f aca="false">Assumptions!D44</f>
        <v>0.1</v>
      </c>
      <c r="E23" s="4" t="n">
        <f aca="false">Assumptions!E44</f>
        <v>0.1</v>
      </c>
      <c r="F23" s="4" t="n">
        <f aca="false">Assumptions!F44</f>
        <v>0.1</v>
      </c>
      <c r="G23" s="4" t="n">
        <f aca="false">Assumptions!G44</f>
        <v>0.1</v>
      </c>
      <c r="H23" s="4" t="n">
        <f aca="false">Assumptions!H44</f>
        <v>0.1</v>
      </c>
      <c r="I23" s="4" t="n">
        <f aca="false">Assumptions!I44</f>
        <v>0.1</v>
      </c>
      <c r="J23" s="4" t="n">
        <f aca="false">Assumptions!J44</f>
        <v>0.1</v>
      </c>
      <c r="K23" s="4" t="n">
        <f aca="false">Assumptions!K44</f>
        <v>0.1</v>
      </c>
      <c r="L23" s="4" t="n">
        <f aca="false">Assumptions!L44</f>
        <v>0.1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-2.359467</v>
      </c>
      <c r="D24" s="0" t="n">
        <f aca="false">-D6*D23/100</f>
        <v>-2.47744035</v>
      </c>
      <c r="E24" s="0" t="n">
        <f aca="false">-E6*E23/100</f>
        <v>-2.6508611745</v>
      </c>
      <c r="F24" s="0" t="n">
        <f aca="false">-F6*F23/100</f>
        <v>-2.836421456715</v>
      </c>
      <c r="G24" s="0" t="n">
        <f aca="false">-G6*G23/100</f>
        <v>-3.0066067441179</v>
      </c>
      <c r="H24" s="0" t="n">
        <f aca="false">-H6*H23/100</f>
        <v>-3.1569370813238</v>
      </c>
      <c r="I24" s="0" t="n">
        <f aca="false">-I6*I23/100</f>
        <v>-3.28321456457675</v>
      </c>
      <c r="J24" s="0" t="n">
        <f aca="false">-J6*J23/100</f>
        <v>-3.38171100151405</v>
      </c>
      <c r="K24" s="0" t="n">
        <f aca="false">-K6*K23/100</f>
        <v>-3.48316233155947</v>
      </c>
      <c r="L24" s="0" t="n">
        <f aca="false">-L6*L23/100</f>
        <v>-3.58765720150626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2265.11458630666</v>
      </c>
    </row>
    <row r="31" customFormat="false" ht="15" hidden="false" customHeight="false" outlineLevel="0" collapsed="false">
      <c r="A31" s="0" t="s">
        <v>129</v>
      </c>
      <c r="B31" s="0" t="n">
        <f aca="false">L19</f>
        <v>482.893086263012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7070.93447742267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6760.50320768216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6760.50320768216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2727.95895379727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4993.07354010394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5356.37354010394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5753.35503770563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0.814938497698935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54.9494492808655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63.5941003892079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5880.68430695382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3959.7233073567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3330.6976093826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2597.79433628097</v>
      </c>
      <c r="C4" s="0" t="n">
        <f aca="false">B4/Assumptions!$B$2-1</f>
        <v>-0.180506518523353</v>
      </c>
      <c r="D4" s="4" t="n">
        <f aca="false">Assumptions!$B$24</f>
        <v>0.25</v>
      </c>
      <c r="E4" s="4" t="n">
        <f aca="false">DCF_Bear!$B$43</f>
        <v>2686.06283831798</v>
      </c>
      <c r="F4" s="4" t="n">
        <f aca="false">DCF_Bear!$B$47</f>
        <v>1807.39465692702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4355.61682142844</v>
      </c>
      <c r="C5" s="0" t="n">
        <f aca="false">B5/Assumptions!$B$2-1</f>
        <v>0.374011615592567</v>
      </c>
      <c r="D5" s="4" t="n">
        <f aca="false">Assumptions!$B$38</f>
        <v>0.5</v>
      </c>
      <c r="E5" s="4" t="n">
        <f aca="false">DCF_Base!$B$43</f>
        <v>4465.93152519454</v>
      </c>
      <c r="F5" s="4" t="n">
        <f aca="false">DCF_Base!$B$47</f>
        <v>2672.09500492291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5753.35503770563</v>
      </c>
      <c r="C6" s="0" t="n">
        <f aca="false">B6/Assumptions!$B$2-1</f>
        <v>0.814938497698935</v>
      </c>
      <c r="D6" s="4" t="n">
        <f aca="false">Assumptions!$B$52</f>
        <v>0.25</v>
      </c>
      <c r="E6" s="4" t="n">
        <f aca="false">DCF_Bull!$B$43</f>
        <v>5880.68430695382</v>
      </c>
      <c r="F6" s="4" t="n">
        <f aca="false">DCF_Bull!$B$47</f>
        <v>3330.6976093826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4265.59575421087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4374.65254891522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0.256844721661524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-1004.61026493673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2620.57056903886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4496.18362965519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4355.61682142844</v>
      </c>
      <c r="C16" s="3" t="n">
        <v>9.5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4184.46753875547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3745.88061239434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3395.81549645292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2672.09500492291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4958.58352185143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4958.58352185143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4958.58352185143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4958.58352185143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4958.58352185143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4643.29596889283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4643.29596889283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4643.29596889283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4643.29596889283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4643.29596889283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4183.44769114731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4307.47742644852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4355.61682142844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4355.61682142844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4355.61682142844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3759.6708622235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3850.56485578743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3952.15226035889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4066.43809050177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4092.81174361167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3417.85049236388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3486.09987018843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3561.53339304714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3645.3484184457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3739.02403506763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2026-10-09T22:47:06Z</dcterms:created>
  <dc:creator>openpyxl</dc:creator>
  <dc:description/>
  <dc:language>en-NZ</dc:language>
  <cp:lastModifiedBy/>
  <dcterms:modified xsi:type="dcterms:W3CDTF">2026-10-09T22:47:06Z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