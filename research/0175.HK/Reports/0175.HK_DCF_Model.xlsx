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<sst xmlns="http://schemas.openxmlformats.org/spreadsheetml/2006/main" count="358" uniqueCount="168">
  <si>
    <t xml:space="preserve">Ticker</t>
  </si>
  <si>
    <t xml:space="preserve">0175.HK</t>
  </si>
  <si>
    <t xml:space="preserve">Company</t>
  </si>
  <si>
    <t xml:space="preserve">Geely Automobile Holdings Limited</t>
  </si>
  <si>
    <t xml:space="preserve">Valuation date</t>
  </si>
  <si>
    <t xml:space="preserve">2026-10-11</t>
  </si>
  <si>
    <t xml:space="preserve">Current price</t>
  </si>
  <si>
    <t xml:space="preserve">Price as of</t>
  </si>
  <si>
    <t xml:space="preserve">2026-10-09T08:08:05Z regular close (HKEX); Yahoo chart API</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</si>
  <si>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</si>
  <si>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</si>
  <si>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</si>
  <si>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</si>
  <si>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</si>
  <si>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</si>
  <si>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</si>
  <si>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</si>
  <si>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</si>
  <si>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</si>
  <si>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</si>
  <si>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</si>
  <si>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</si>
  <si>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2026-10-10T21:31:07Z</t>
  </si>
  <si>
    <t xml:space="preserve">Drivers file</t>
  </si>
  <si>
    <t xml:space="preserve">0175.HK_Drivers.json</t>
  </si>
  <si>
    <t xml:space="preserve">Convention</t>
  </si>
  <si>
    <t xml:space="preserve">Percents stored as percents; formulas divide by 100. Blue = input, green = link, black = formula.</t>
  </si>
  <si>
    <t xml:space="preserve">Methodology</t>
  </si>
  <si>
    <t xml:space="preserve">summary: Value the consolidated auto business on normalised cash EBITDA, deliberately stripping out the FY2024-25 working-capital inflows that make reported FCF look 3x richer than earnings power. Add the large net-cash pile and the equity-accounted JV/associate stakes once, in the bridge. Judge growth on the restated (like-for-like) series so acquired revenue is not projected as organic.
key_risks_to_valuation: Supplier-float unwind: ~RMB79bn of net negative working capital funds much of the RMB56bn net cash; a regulatory forced shortening of payables terms would move cash out of the bridge one-for-one; Domestic price war: each 1pp of cash EBITDA margin is ~RMB3.8bn/yr of pre-tax flow on FY2026 revenue; EU / third-market tariffs on Chinese-built EVs hitting the export growth that offsets domestic decline; JV/associate values taken at 0.8x book (RMB32bn, ~HK$3.4/share): Horse Powertrain, Genius AFC and the Renault stakes are partner-controlled and illiquid; Related-party / common-control transactions with Geely Holding (further asset injections paid in cash or shares) can move the share count and net cash outside this model; FX: CNY/HKD rate is a live input; refresh_price.py does not update fx_rate</t>
  </si>
  <si>
    <t xml:space="preserve">Data sources</t>
  </si>
  <si>
    <t xml:space="preserve">price: Yahoo Finance chart API at inputs.price_as_of; 52-week range HK$14.33-25.62
fx: Yahoo Finance CNYHKD=X, 2026-10-10
financials: 0175.HK Annual Reports FY2018-FY2025 (RMB'000; FY2025 report restated FY2021-24 under merger accounting) and Interim Report H1 FY2026 (balance sheet 30 Jun 2026, cash flow, EPS note 9, share capital note 25); Metrics.csv / KPIs from the financial-parser
qualitative: 0175.HK_Analysis.json (2026-10-11): guidance 3.45m units FY2026, capex ~RMB16bn, H1 FY2026 results</t>
  </si>
  <si>
    <t xml:space="preserve">Scenario narrative: bear</t>
  </si>
  <si>
    <t xml:space="preserve">Bear: the analysis's bear points arrive together. The domestic price war gets worse after the NEV purchase-tax break and trade-in subsidies roll back (domestic volume already -22.6% in H1 FY2026), so blended ASP keeps falling. EU anti-subsidy tariffs and possible new tariffs in other markets stall the exports that were offsetting China. Revenue grows 8% in FY2026 because the first half is already booked, falls 3% in FY2027, and then grows only 2% a year. Cash EBITDA compresses to 8% as BYD's battery cost advantage and new entrants squeeze mid-market pricing. Enforcement of the 60-day supplier-payment rule makes growth consume working capital (capture -5%) rather than release it. The scenario does not model a one-off unwind of the ~RMB79bn negative working-capital position. That tail risk sits on top of the bear and is noted in key risks.</t>
  </si>
  <si>
    <t xml:space="preserve">Scenario narrative: base</t>
  </si>
  <si>
    <t xml:space="preserve">Geely defends its ~11% China share against BYD, Leapmotor, Xiaomi and the Huawei-ecosystem brands while exports carry the growth: FY2026 lands near guidance (revenue +11% on 3.45m units, H2 slower than H1 as domestic volume stays down and the H2 FY2025 base is high), then growth fades to 3% as China passenger-car volume plateaus and export growth normalises off a base already up ~158% in H1 FY2026. The ZEEKR/LYNK &amp; CO integration delivers enough procurement and platform (GEA/SEA) savings to offset continuing discounting, so cash EBITDA holds about 10% -- above FY2025's 9.6%, below H1 FY2026's seasonally strong 10.8%. Capex follows the ~RMB16bn guidance, then sits slightly above D&amp;A as the ADAS/AI race keeps capitalised R&amp;D high. The payables float grows at half its historical ratio to revenue because of the 60-day supplier-payment pledge.</t>
  </si>
  <si>
    <t xml:space="preserve">Scenario narrative: bull</t>
  </si>
  <si>
    <t xml:space="preserve">Bull: the One-Geely consolidation works as the bull case in the Analysis describes. Exports keep compounding into Latin America (Renault Brazil), Southeast Asia, the Middle East and Australia, the EU tariff regime eases through the price-undertaking talks, and MIIT/SAMR enforcement actually stops below-cost selling at home. Revenue grows 12-13% for two years and 3% by year 10. Higher-ASP intelligent models (G-ASD, ZEEKR 9X, LYNK &amp; CO 900) and shared architectures lift cash EBITDA to 11.5%, still below the 13-16% the as-filed business earned in FY2018-20. Working-capital float grows with revenue at 15% capture.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</si>
  <si>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</si>
  <si>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</si>
  <si>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</si>
  <si>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</si>
  <si>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</si>
  <si>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</si>
  <si>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</si>
  <si>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</si>
  <si>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</si>
  <si>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</si>
  <si>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</si>
  <si>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</si>
  <si>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</si>
  <si>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</si>
  <si>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</si>
  <si>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</si>
  <si>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</si>
  <si>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</si>
  <si>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</si>
  <si>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</si>
  <si>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</si>
  <si>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</si>
  <si>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</si>
  <si>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</si>
  <si>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</si>
  <si>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</si>
  <si>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</si>
  <si>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CapexIntangibles</t>
  </si>
  <si>
    <t xml:space="preserve">CapexPPE</t>
  </si>
  <si>
    <t xml:space="preserve">DilutedEPS</t>
  </si>
  <si>
    <t xml:space="preserve">NetIncomeInclNCI</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</si>
  <si>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</si>
  <si>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</si>
  <si>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</si>
  <si>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</si>
  <si>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</si>
  <si>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</si>
  <si>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</si>
  <si>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</si>
  <si>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</si>
  <si>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</si>
  <si>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</si>
  <si>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</si>
  <si>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</si>
  <si>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</si>
  <si>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</si>
  <si>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</si>
  <si>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</si>
  <si>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</si>
  <si>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</si>
  <si>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</si>
  <si>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</si>
  <si>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</si>
  <si>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</si>
  <si>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</si>
  <si>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</si>
  <si>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</si>
  <si>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</si>
  <si>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</si>
  <si>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</si>
  <si>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</si>
  <si>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</si>
  <si>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</si>
  <si>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</si>
  <si>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</si>
  <si>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</si>
  <si>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</si>
  <si>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</si>
  <si>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</si>
  <si>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</si>
  <si>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</si>
  <si>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</si>
  <si>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</si>
  <si>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</si>
  <si>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</si>
  <si>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</si>
  <si>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0175.HK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</si>
  <si>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</si>
  <si>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</si>
  <si>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</si>
  <si>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</si>
  <si>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</si>
  <si>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</si>
  <si>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</si>
  <si>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</si>
  <si>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</si>
  <si>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</si>
  <si>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</si>
  <si>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</si>
  <si>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</si>
  <si>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</si>
  <si>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</si>
  <si>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</si>
  <si>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</si>
  <si>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</si>
  <si>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</si>
  <si>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</si>
  <si>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</si>
  <si>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</si>
  <si>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</si>
  <si>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</si>
  <si>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</si>
  <si>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</si>
  <si>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</si>
  <si>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</si>
  <si>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</si>
  <si>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</si>
  <si>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0175.HK owner-FCF component DCF: base case (millions, CNY)</t>
  </si>
  <si>
    <t xml:space="preserve">0175.HK owner-FCF component DCF: bull case (millions, CNY)</t>
  </si>
  <si>
    <t xml:space="preserve">0175.HK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</si>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</sst>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15.13</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row>
    <row r="2" customFormat="false" ht="15" hidden="false" customHeight="false" outlineLevel="0" collapsed="false">
      <c r="A2" s="0" t="s">
        <v>68</v>
      </c>
      <c r="B2" s="0" t="n">
        <v>106595.133</v>
      </c>
      <c r="C2" s="0" t="n">
        <v>85081.727</v>
      </c>
      <c r="D2" s="0" t="n">
        <v>21513.406</v>
      </c>
      <c r="E2" s="0" t="n">
        <v>20.2</v>
      </c>
      <c r="H2" s="0" t="n">
        <v>17242</v>
      </c>
      <c r="I2" s="0" t="n">
        <v>12553.207</v>
      </c>
      <c r="J2" s="0" t="n">
        <v>11.8</v>
      </c>
      <c r="K2" s="0" t="n">
        <v>1.4</v>
      </c>
      <c r="L2" s="0" t="n">
        <v>13925.122</v>
      </c>
      <c r="M2" s="0" t="n">
        <v>7523.368</v>
      </c>
      <c r="N2" s="0" t="n">
        <v>6401.754</v>
      </c>
      <c r="O2" s="0" t="n">
        <v>44943.977</v>
      </c>
      <c r="P2" s="0" t="n">
        <v>91460.98</v>
      </c>
      <c r="Q2" s="0" t="n">
        <v>46086.262</v>
      </c>
      <c r="R2" s="0" t="n">
        <v>3423.1</v>
      </c>
      <c r="S2" s="0" t="n">
        <v>15737.196</v>
      </c>
      <c r="T2" s="0" t="n">
        <v>8970.51</v>
      </c>
      <c r="U2" s="0" t="n">
        <v>14.594</v>
      </c>
      <c r="AA2" s="0" t="s">
        <v>18</v>
      </c>
      <c r="AB2" s="0" t="s">
        <v>14</v>
      </c>
      <c r="AC2" s="0" t="n">
        <v>5031.452</v>
      </c>
      <c r="AD2" s="0" t="n">
        <v>2312.931</v>
      </c>
      <c r="AE2" s="0" t="n">
        <v>1.37</v>
      </c>
      <c r="AF2" s="0" t="n">
        <v>12674.398</v>
      </c>
    </row>
    <row r="3" customFormat="false" ht="15" hidden="false" customHeight="false" outlineLevel="0" collapsed="false">
      <c r="A3" s="0" t="s">
        <v>69</v>
      </c>
      <c r="B3" s="0" t="n">
        <v>97401.248</v>
      </c>
      <c r="C3" s="0" t="n">
        <v>80484.62</v>
      </c>
      <c r="D3" s="0" t="n">
        <v>16916.628</v>
      </c>
      <c r="E3" s="0" t="n">
        <v>17.4</v>
      </c>
      <c r="H3" s="0" t="n">
        <v>13118</v>
      </c>
      <c r="I3" s="0" t="n">
        <v>8189.638</v>
      </c>
      <c r="J3" s="0" t="n">
        <v>8.4</v>
      </c>
      <c r="K3" s="0" t="n">
        <v>0.9</v>
      </c>
      <c r="L3" s="0" t="n">
        <v>12537.704</v>
      </c>
      <c r="M3" s="0" t="n">
        <v>7574.715</v>
      </c>
      <c r="N3" s="0" t="n">
        <v>4962.989</v>
      </c>
      <c r="O3" s="0" t="n">
        <v>54435.626</v>
      </c>
      <c r="P3" s="0" t="n">
        <v>107927.578</v>
      </c>
      <c r="Q3" s="0" t="n">
        <v>53003.112</v>
      </c>
      <c r="R3" s="0" t="n">
        <v>4149.2</v>
      </c>
      <c r="S3" s="0" t="n">
        <v>19281.216</v>
      </c>
      <c r="T3" s="0" t="n">
        <v>8981.61</v>
      </c>
      <c r="U3" s="0" t="n">
        <v>5.459</v>
      </c>
      <c r="AA3" s="0" t="s">
        <v>18</v>
      </c>
      <c r="AB3" s="0" t="s">
        <v>14</v>
      </c>
      <c r="AC3" s="0" t="n">
        <v>4606.09</v>
      </c>
      <c r="AD3" s="0" t="n">
        <v>2872.645</v>
      </c>
      <c r="AE3" s="0" t="n">
        <v>0.89</v>
      </c>
      <c r="AF3" s="0" t="n">
        <v>8261.358</v>
      </c>
    </row>
    <row r="4" customFormat="false" ht="15" hidden="false" customHeight="false" outlineLevel="0" collapsed="false">
      <c r="A4" s="0" t="s">
        <v>70</v>
      </c>
      <c r="B4" s="0" t="n">
        <v>92113.878</v>
      </c>
      <c r="C4" s="0" t="n">
        <v>77376.859</v>
      </c>
      <c r="D4" s="0" t="n">
        <v>14737.019</v>
      </c>
      <c r="E4" s="0" t="n">
        <v>16</v>
      </c>
      <c r="H4" s="0" t="n">
        <v>11893</v>
      </c>
      <c r="I4" s="0" t="n">
        <v>5533.79</v>
      </c>
      <c r="J4" s="0" t="n">
        <v>6</v>
      </c>
      <c r="K4" s="0" t="n">
        <v>0.56</v>
      </c>
      <c r="L4" s="0" t="n">
        <v>1596.592</v>
      </c>
      <c r="M4" s="0" t="n">
        <v>7042.25</v>
      </c>
      <c r="N4" s="0" t="n">
        <v>-5445.658</v>
      </c>
      <c r="O4" s="0" t="n">
        <v>63631.114</v>
      </c>
      <c r="P4" s="0" t="n">
        <v>110815.729</v>
      </c>
      <c r="Q4" s="0" t="n">
        <v>46602.463</v>
      </c>
      <c r="R4" s="0" t="n">
        <v>3909.48</v>
      </c>
      <c r="S4" s="0" t="n">
        <v>18976.843</v>
      </c>
      <c r="T4" s="0" t="n">
        <v>9167</v>
      </c>
      <c r="U4" s="0" t="n">
        <v>4.095</v>
      </c>
      <c r="AA4" s="0" t="s">
        <v>18</v>
      </c>
      <c r="AB4" s="0" t="s">
        <v>14</v>
      </c>
      <c r="AC4" s="0" t="n">
        <v>4191.189</v>
      </c>
      <c r="AD4" s="0" t="n">
        <v>2806.586</v>
      </c>
      <c r="AE4" s="0" t="n">
        <v>0.56</v>
      </c>
      <c r="AF4" s="0" t="n">
        <v>5574.63</v>
      </c>
    </row>
    <row r="5" customFormat="false" ht="15" hidden="false" customHeight="false" outlineLevel="0" collapsed="false">
      <c r="A5" s="0" t="s">
        <v>71</v>
      </c>
      <c r="B5" s="0" t="n">
        <v>101611.056</v>
      </c>
      <c r="C5" s="0" t="n">
        <v>84198.821</v>
      </c>
      <c r="D5" s="0" t="n">
        <v>17412.235</v>
      </c>
      <c r="E5" s="0" t="n">
        <v>17.1</v>
      </c>
      <c r="H5" s="0" t="n">
        <v>11300</v>
      </c>
      <c r="I5" s="0" t="n">
        <v>4847.448</v>
      </c>
      <c r="J5" s="0" t="n">
        <v>4.8</v>
      </c>
      <c r="K5" s="0" t="n">
        <v>0.48</v>
      </c>
      <c r="L5" s="0" t="n">
        <v>15348.343</v>
      </c>
      <c r="M5" s="0" t="n">
        <v>6100.193</v>
      </c>
      <c r="N5" s="0" t="n">
        <v>9248.15</v>
      </c>
      <c r="O5" s="0" t="n">
        <v>68606.146</v>
      </c>
      <c r="P5" s="0" t="n">
        <v>134341.404</v>
      </c>
      <c r="Q5" s="0" t="n">
        <v>64120.432</v>
      </c>
      <c r="R5" s="0" t="n">
        <v>3807.88</v>
      </c>
      <c r="S5" s="0" t="n">
        <v>28013.995</v>
      </c>
      <c r="T5" s="0" t="n">
        <v>9816.63</v>
      </c>
      <c r="U5" s="0" t="n">
        <v>1212.699</v>
      </c>
      <c r="AA5" s="0" t="s">
        <v>18</v>
      </c>
      <c r="AB5" s="0" t="s">
        <v>14</v>
      </c>
      <c r="AC5" s="0" t="n">
        <v>3266.765</v>
      </c>
      <c r="AD5" s="0" t="n">
        <v>2833.372</v>
      </c>
      <c r="AE5" s="0" t="n">
        <v>0.48</v>
      </c>
      <c r="AF5" s="0" t="n">
        <v>4353.008</v>
      </c>
    </row>
    <row r="6" customFormat="false" ht="15" hidden="false" customHeight="false" outlineLevel="0" collapsed="false">
      <c r="A6" s="0" t="s">
        <v>72</v>
      </c>
      <c r="B6" s="0" t="n">
        <v>147964.647</v>
      </c>
      <c r="C6" s="0" t="n">
        <v>127069.01</v>
      </c>
      <c r="D6" s="0" t="n">
        <v>20895.637</v>
      </c>
      <c r="E6" s="0" t="n">
        <v>14.1</v>
      </c>
      <c r="H6" s="0" t="n">
        <v>12719</v>
      </c>
      <c r="I6" s="0" t="n">
        <v>5260.353</v>
      </c>
      <c r="J6" s="0" t="n">
        <v>3.6</v>
      </c>
      <c r="K6" s="0" t="n">
        <v>0.5106</v>
      </c>
      <c r="L6" s="0" t="n">
        <v>16018.395</v>
      </c>
      <c r="M6" s="0" t="n">
        <v>10336.988</v>
      </c>
      <c r="N6" s="0" t="n">
        <v>5681.407</v>
      </c>
      <c r="O6" s="0" t="n">
        <v>75130.455</v>
      </c>
      <c r="P6" s="0" t="n">
        <v>157826.329</v>
      </c>
      <c r="Q6" s="0" t="n">
        <v>81630.514</v>
      </c>
      <c r="R6" s="0" t="n">
        <v>10820.4</v>
      </c>
      <c r="S6" s="0" t="n">
        <v>33341.339</v>
      </c>
      <c r="T6" s="0" t="n">
        <v>10018.4</v>
      </c>
      <c r="U6" s="0" t="n">
        <v>1488.91</v>
      </c>
      <c r="AA6" s="0" t="s">
        <v>18</v>
      </c>
      <c r="AB6" s="0" t="s">
        <v>14</v>
      </c>
      <c r="AC6" s="0" t="n">
        <v>6768.761</v>
      </c>
      <c r="AD6" s="0" t="n">
        <v>3515.965</v>
      </c>
      <c r="AE6" s="0" t="n">
        <v>0.5</v>
      </c>
      <c r="AF6" s="0" t="n">
        <v>4649.663</v>
      </c>
    </row>
    <row r="7" customFormat="false" ht="15" hidden="false" customHeight="false" outlineLevel="0" collapsed="false">
      <c r="A7" s="0" t="s">
        <v>73</v>
      </c>
      <c r="B7" s="0" t="n">
        <v>179203.592</v>
      </c>
      <c r="C7" s="0" t="n">
        <v>151788.523</v>
      </c>
      <c r="D7" s="0" t="n">
        <v>27415.069</v>
      </c>
      <c r="E7" s="0" t="n">
        <v>15.3</v>
      </c>
      <c r="H7" s="0" t="n">
        <v>13161</v>
      </c>
      <c r="I7" s="0" t="n">
        <v>5308.408</v>
      </c>
      <c r="J7" s="0" t="n">
        <v>3</v>
      </c>
      <c r="K7" s="0" t="n">
        <v>0.5136</v>
      </c>
      <c r="L7" s="0" t="n">
        <v>22342.369</v>
      </c>
      <c r="M7" s="0" t="n">
        <v>15322.494</v>
      </c>
      <c r="N7" s="0" t="n">
        <v>7019.875</v>
      </c>
      <c r="O7" s="0" t="n">
        <v>80508.824</v>
      </c>
      <c r="P7" s="0" t="n">
        <v>192597.681</v>
      </c>
      <c r="Q7" s="0" t="n">
        <v>107446.183</v>
      </c>
      <c r="R7" s="0" t="n">
        <v>6103.053</v>
      </c>
      <c r="S7" s="0" t="n">
        <v>35745.963</v>
      </c>
      <c r="T7" s="0" t="n">
        <v>10063.382</v>
      </c>
      <c r="U7" s="0" t="n">
        <v>646.336</v>
      </c>
      <c r="AA7" s="0" t="s">
        <v>18</v>
      </c>
      <c r="AB7" s="0" t="s">
        <v>14</v>
      </c>
      <c r="AC7" s="0" t="n">
        <v>9439.276</v>
      </c>
      <c r="AD7" s="0" t="n">
        <v>5711.295</v>
      </c>
      <c r="AE7" s="0" t="n">
        <v>0.51</v>
      </c>
      <c r="AF7" s="0" t="n">
        <v>4935.018</v>
      </c>
    </row>
    <row r="8" customFormat="false" ht="15" hidden="false" customHeight="false" outlineLevel="0" collapsed="false">
      <c r="A8" s="0" t="s">
        <v>74</v>
      </c>
      <c r="B8" s="0" t="n">
        <v>240194.27</v>
      </c>
      <c r="C8" s="0" t="n">
        <v>201993.421</v>
      </c>
      <c r="D8" s="0" t="n">
        <v>38200.849</v>
      </c>
      <c r="E8" s="0" t="n">
        <v>15.9</v>
      </c>
      <c r="I8" s="0" t="n">
        <v>16632.398</v>
      </c>
      <c r="J8" s="0" t="n">
        <v>6.9</v>
      </c>
      <c r="K8" s="0" t="n">
        <v>1.638</v>
      </c>
      <c r="L8" s="0" t="n">
        <v>26507.427</v>
      </c>
      <c r="M8" s="0" t="n">
        <v>13314.411</v>
      </c>
      <c r="N8" s="0" t="n">
        <v>13193.016</v>
      </c>
      <c r="O8" s="0" t="n">
        <v>86742.225</v>
      </c>
      <c r="P8" s="0" t="n">
        <v>229391.659</v>
      </c>
      <c r="Q8" s="0" t="n">
        <v>136971.729</v>
      </c>
      <c r="R8" s="0" t="n">
        <v>3944.48</v>
      </c>
      <c r="S8" s="0" t="n">
        <v>40865</v>
      </c>
      <c r="T8" s="0" t="n">
        <v>10075.002</v>
      </c>
      <c r="U8" s="0" t="n">
        <v>1746.925</v>
      </c>
      <c r="AA8" s="0" t="s">
        <v>18</v>
      </c>
      <c r="AB8" s="0" t="s">
        <v>14</v>
      </c>
      <c r="AC8" s="0" t="n">
        <v>9803.847</v>
      </c>
      <c r="AD8" s="0" t="n">
        <v>3032.449</v>
      </c>
      <c r="AE8" s="0" t="n">
        <v>1.6319</v>
      </c>
      <c r="AF8" s="0" t="n">
        <v>16799.095</v>
      </c>
    </row>
    <row r="9" customFormat="false" ht="15" hidden="false" customHeight="false" outlineLevel="0" collapsed="false">
      <c r="A9" s="0" t="s">
        <v>75</v>
      </c>
      <c r="B9" s="0" t="n">
        <v>345232.201</v>
      </c>
      <c r="C9" s="0" t="n">
        <v>287885.471</v>
      </c>
      <c r="D9" s="0" t="n">
        <v>57346.73</v>
      </c>
      <c r="E9" s="0" t="n">
        <v>16.6</v>
      </c>
      <c r="H9" s="0" t="n">
        <v>31791</v>
      </c>
      <c r="I9" s="0" t="n">
        <v>16852.231</v>
      </c>
      <c r="J9" s="0" t="n">
        <v>4.9</v>
      </c>
      <c r="K9" s="0" t="n">
        <v>1.67</v>
      </c>
      <c r="L9" s="0" t="n">
        <v>47274.244</v>
      </c>
      <c r="M9" s="0" t="n">
        <v>17919.527</v>
      </c>
      <c r="N9" s="0" t="n">
        <v>29354.717</v>
      </c>
      <c r="O9" s="0" t="n">
        <v>92398.489</v>
      </c>
      <c r="P9" s="0" t="n">
        <v>290410.094</v>
      </c>
      <c r="Q9" s="0" t="n">
        <v>196794.886</v>
      </c>
      <c r="R9" s="0" t="n">
        <v>18315.822</v>
      </c>
      <c r="S9" s="0" t="n">
        <v>65319.279</v>
      </c>
      <c r="T9" s="0" t="n">
        <v>10897.881</v>
      </c>
      <c r="U9" s="0" t="n">
        <v>1181.265</v>
      </c>
      <c r="AA9" s="0" t="s">
        <v>18</v>
      </c>
      <c r="AB9" s="0" t="s">
        <v>14</v>
      </c>
      <c r="AC9" s="0" t="n">
        <v>13789.725</v>
      </c>
      <c r="AD9" s="0" t="n">
        <v>4127.869</v>
      </c>
      <c r="AE9" s="0" t="n">
        <v>1.63</v>
      </c>
      <c r="AF9" s="0" t="n">
        <v>16628.326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15.13</v>
      </c>
    </row>
    <row r="3" customFormat="false" ht="15" hidden="false" customHeight="false" outlineLevel="0" collapsed="false">
      <c r="A3" s="0" t="s">
        <v>79</v>
      </c>
      <c r="B3" s="3" t="n">
        <v>11030</v>
      </c>
    </row>
    <row r="4" customFormat="false" ht="15" hidden="false" customHeight="false" outlineLevel="0" collapsed="false">
      <c r="A4" s="0" t="s">
        <v>80</v>
      </c>
      <c r="B4" s="3" t="n">
        <v>-56028</v>
      </c>
    </row>
    <row r="5" customFormat="false" ht="15" hidden="false" customHeight="false" outlineLevel="0" collapsed="false">
      <c r="A5" s="0" t="s">
        <v>81</v>
      </c>
      <c r="B5" s="3" t="n">
        <v>25463.7</v>
      </c>
    </row>
    <row r="6" customFormat="false" ht="15" hidden="false" customHeight="false" outlineLevel="0" collapsed="false">
      <c r="A6" s="0" t="s">
        <v>82</v>
      </c>
      <c r="B6" s="3" t="n">
        <v>15</v>
      </c>
    </row>
    <row r="7" customFormat="false" ht="15" hidden="false" customHeight="false" outlineLevel="0" collapsed="false">
      <c r="A7" s="0" t="s">
        <v>83</v>
      </c>
      <c r="B7" s="3" t="n">
        <v>345232.2</v>
      </c>
    </row>
    <row r="8" customFormat="false" ht="15" hidden="false" customHeight="false" outlineLevel="0" collapsed="false">
      <c r="A8" s="0" t="s">
        <v>84</v>
      </c>
      <c r="B8" s="3" t="s">
        <v>75</v>
      </c>
    </row>
    <row r="9" customFormat="false" ht="15" hidden="false" customHeight="false" outlineLevel="0" collapsed="false">
      <c r="A9" s="0" t="s">
        <v>85</v>
      </c>
      <c r="B9" s="3" t="s">
        <v>86</v>
      </c>
    </row>
    <row r="10" customFormat="false" ht="15" hidden="false" customHeight="false" outlineLevel="0" collapsed="false">
      <c r="A10" s="0" t="s">
        <v>87</v>
      </c>
      <c r="B10" s="3" t="n">
        <v>1.1721</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8</v>
      </c>
      <c r="D13" s="3" t="n">
        <v>-3</v>
      </c>
      <c r="E13" s="3" t="n">
        <v>1</v>
      </c>
      <c r="F13" s="3" t="n">
        <v>2</v>
      </c>
      <c r="G13" s="3" t="n">
        <v>2</v>
      </c>
      <c r="H13" s="3" t="n">
        <v>2</v>
      </c>
      <c r="I13" s="3" t="n">
        <v>2</v>
      </c>
      <c r="J13" s="3" t="n">
        <v>2</v>
      </c>
      <c r="K13" s="3" t="n">
        <v>2</v>
      </c>
      <c r="L13" s="3" t="n">
        <v>2</v>
      </c>
    </row>
    <row r="14" customFormat="false" ht="15" hidden="false" customHeight="false" outlineLevel="0" collapsed="false">
      <c r="A14" s="0" t="s">
        <v>100</v>
      </c>
      <c r="C14" s="3" t="n">
        <v>9.4</v>
      </c>
      <c r="D14" s="3" t="n">
        <v>8.6</v>
      </c>
      <c r="E14" s="3" t="n">
        <v>8.2</v>
      </c>
      <c r="F14" s="3" t="n">
        <v>8</v>
      </c>
      <c r="G14" s="3" t="n">
        <v>8</v>
      </c>
      <c r="H14" s="3" t="n">
        <v>8</v>
      </c>
      <c r="I14" s="3" t="n">
        <v>8</v>
      </c>
      <c r="J14" s="3" t="n">
        <v>8</v>
      </c>
      <c r="K14" s="3" t="n">
        <v>8</v>
      </c>
      <c r="L14" s="3" t="n">
        <v>8</v>
      </c>
    </row>
    <row r="15" customFormat="false" ht="15" hidden="false" customHeight="false" outlineLevel="0" collapsed="false">
      <c r="A15" s="0" t="s">
        <v>101</v>
      </c>
      <c r="C15" s="3" t="n">
        <v>0.3</v>
      </c>
      <c r="D15" s="3" t="n">
        <v>0.3</v>
      </c>
      <c r="E15" s="3" t="n">
        <v>0.28</v>
      </c>
      <c r="F15" s="3" t="n">
        <v>0.28</v>
      </c>
      <c r="G15" s="3" t="n">
        <v>0.26</v>
      </c>
      <c r="H15" s="3" t="n">
        <v>0.25</v>
      </c>
      <c r="I15" s="3" t="n">
        <v>0.25</v>
      </c>
      <c r="J15" s="3" t="n">
        <v>0.25</v>
      </c>
      <c r="K15" s="3" t="n">
        <v>0.25</v>
      </c>
      <c r="L15" s="3" t="n">
        <v>0.25</v>
      </c>
    </row>
    <row r="16" customFormat="false" ht="15" hidden="false" customHeight="false" outlineLevel="0" collapsed="false">
      <c r="A16" s="0" t="s">
        <v>102</v>
      </c>
      <c r="C16" s="3" t="n">
        <v>0.5</v>
      </c>
      <c r="D16" s="3" t="n">
        <v>0.5</v>
      </c>
      <c r="E16" s="3" t="n">
        <v>0.5</v>
      </c>
      <c r="F16" s="3" t="n">
        <v>0.5</v>
      </c>
      <c r="G16" s="3" t="n">
        <v>0.5</v>
      </c>
      <c r="H16" s="3" t="n">
        <v>0.5</v>
      </c>
      <c r="I16" s="3" t="n">
        <v>0.5</v>
      </c>
      <c r="J16" s="3" t="n">
        <v>0.5</v>
      </c>
      <c r="K16" s="3" t="n">
        <v>0.5</v>
      </c>
      <c r="L16" s="3" t="n">
        <v>0.5</v>
      </c>
    </row>
    <row r="17" customFormat="false" ht="15" hidden="false" customHeight="false" outlineLevel="0" collapsed="false">
      <c r="A17" s="0" t="s">
        <v>103</v>
      </c>
      <c r="C17" s="3" t="n">
        <v>4.3</v>
      </c>
      <c r="D17" s="3" t="n">
        <v>4.4</v>
      </c>
      <c r="E17" s="3" t="n">
        <v>4.4</v>
      </c>
      <c r="F17" s="3" t="n">
        <v>4.4</v>
      </c>
      <c r="G17" s="3" t="n">
        <v>4.4</v>
      </c>
      <c r="H17" s="3" t="n">
        <v>4.4</v>
      </c>
      <c r="I17" s="3" t="n">
        <v>4.4</v>
      </c>
      <c r="J17" s="3" t="n">
        <v>4.4</v>
      </c>
      <c r="K17" s="3" t="n">
        <v>4.4</v>
      </c>
      <c r="L17" s="3" t="n">
        <v>4.4</v>
      </c>
    </row>
    <row r="18" customFormat="false" ht="15" hidden="false" customHeight="false" outlineLevel="0" collapsed="false">
      <c r="A18" s="0" t="s">
        <v>104</v>
      </c>
      <c r="C18" s="3" t="n">
        <v>4.4</v>
      </c>
      <c r="D18" s="3" t="n">
        <v>4.6</v>
      </c>
      <c r="E18" s="3" t="n">
        <v>4.6</v>
      </c>
      <c r="F18" s="3" t="n">
        <v>4.6</v>
      </c>
      <c r="G18" s="3" t="n">
        <v>4.6</v>
      </c>
      <c r="H18" s="3" t="n">
        <v>4.6</v>
      </c>
      <c r="I18" s="3" t="n">
        <v>4.6</v>
      </c>
      <c r="J18" s="3" t="n">
        <v>4.6</v>
      </c>
      <c r="K18" s="3" t="n">
        <v>4.6</v>
      </c>
      <c r="L18" s="3" t="n">
        <v>4.6</v>
      </c>
    </row>
    <row r="19" customFormat="false" ht="15" hidden="false" customHeight="false" outlineLevel="0" collapsed="false">
      <c r="A19" s="0" t="s">
        <v>105</v>
      </c>
      <c r="C19" s="3" t="n">
        <v>21</v>
      </c>
      <c r="D19" s="3" t="n">
        <v>21</v>
      </c>
      <c r="E19" s="3" t="n">
        <v>21</v>
      </c>
      <c r="F19" s="3" t="n">
        <v>21</v>
      </c>
      <c r="G19" s="3" t="n">
        <v>21</v>
      </c>
      <c r="H19" s="3" t="n">
        <v>21</v>
      </c>
      <c r="I19" s="3" t="n">
        <v>21</v>
      </c>
      <c r="J19" s="3" t="n">
        <v>21</v>
      </c>
      <c r="K19" s="3" t="n">
        <v>21</v>
      </c>
      <c r="L19" s="3" t="n">
        <v>21</v>
      </c>
    </row>
    <row r="20" customFormat="false" ht="15" hidden="false" customHeight="false" outlineLevel="0" collapsed="false">
      <c r="A20" s="0" t="s">
        <v>106</v>
      </c>
      <c r="B20" s="3" t="n">
        <v>9.5</v>
      </c>
    </row>
    <row r="21" customFormat="false" ht="15" hidden="false" customHeight="false" outlineLevel="0" collapsed="false">
      <c r="A21" s="0" t="s">
        <v>107</v>
      </c>
      <c r="B21" s="3" t="n">
        <v>2</v>
      </c>
    </row>
    <row r="22" customFormat="false" ht="15" hidden="false" customHeight="false" outlineLevel="0" collapsed="false">
      <c r="A22" s="0" t="s">
        <v>108</v>
      </c>
      <c r="B22" s="3" t="n">
        <v>10</v>
      </c>
    </row>
    <row r="23" customFormat="false" ht="15" hidden="false" customHeight="false" outlineLevel="0" collapsed="false">
      <c r="A23" s="0" t="s">
        <v>109</v>
      </c>
      <c r="B23" s="3" t="n">
        <v>-5</v>
      </c>
    </row>
    <row r="24" customFormat="false" ht="15" hidden="false" customHeight="false" outlineLevel="0" collapsed="false">
      <c r="A24" s="0" t="s">
        <v>110</v>
      </c>
      <c r="B24" s="3" t="n">
        <v>0.25</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11</v>
      </c>
      <c r="D27" s="3" t="n">
        <v>8</v>
      </c>
      <c r="E27" s="3" t="n">
        <v>6</v>
      </c>
      <c r="F27" s="3" t="n">
        <v>5</v>
      </c>
      <c r="G27" s="3" t="n">
        <v>4.5</v>
      </c>
      <c r="H27" s="3" t="n">
        <v>4</v>
      </c>
      <c r="I27" s="3" t="n">
        <v>3.5</v>
      </c>
      <c r="J27" s="3" t="n">
        <v>3</v>
      </c>
      <c r="K27" s="3" t="n">
        <v>3</v>
      </c>
      <c r="L27" s="3" t="n">
        <v>3</v>
      </c>
    </row>
    <row r="28" customFormat="false" ht="15" hidden="false" customHeight="false" outlineLevel="0" collapsed="false">
      <c r="A28" s="0" t="s">
        <v>100</v>
      </c>
      <c r="C28" s="3" t="n">
        <v>10.2</v>
      </c>
      <c r="D28" s="3" t="n">
        <v>10.3</v>
      </c>
      <c r="E28" s="3" t="n">
        <v>10.3</v>
      </c>
      <c r="F28" s="3" t="n">
        <v>10.3</v>
      </c>
      <c r="G28" s="3" t="n">
        <v>10.2</v>
      </c>
      <c r="H28" s="3" t="n">
        <v>10.1</v>
      </c>
      <c r="I28" s="3" t="n">
        <v>10</v>
      </c>
      <c r="J28" s="3" t="n">
        <v>10</v>
      </c>
      <c r="K28" s="3" t="n">
        <v>10</v>
      </c>
      <c r="L28" s="3" t="n">
        <v>10</v>
      </c>
    </row>
    <row r="29" customFormat="false" ht="15" hidden="false" customHeight="false" outlineLevel="0" collapsed="false">
      <c r="A29" s="0" t="s">
        <v>101</v>
      </c>
      <c r="C29" s="3" t="n">
        <v>0.3</v>
      </c>
      <c r="D29" s="3" t="n">
        <v>0.3</v>
      </c>
      <c r="E29" s="3" t="n">
        <v>0.28</v>
      </c>
      <c r="F29" s="3" t="n">
        <v>0.28</v>
      </c>
      <c r="G29" s="3" t="n">
        <v>0.26</v>
      </c>
      <c r="H29" s="3" t="n">
        <v>0.25</v>
      </c>
      <c r="I29" s="3" t="n">
        <v>0.25</v>
      </c>
      <c r="J29" s="3" t="n">
        <v>0.25</v>
      </c>
      <c r="K29" s="3" t="n">
        <v>0.25</v>
      </c>
      <c r="L29" s="3" t="n">
        <v>0.25</v>
      </c>
    </row>
    <row r="30" customFormat="false" ht="15" hidden="false" customHeight="false" outlineLevel="0" collapsed="false">
      <c r="A30" s="0" t="s">
        <v>102</v>
      </c>
      <c r="C30" s="3" t="n">
        <v>0.5</v>
      </c>
      <c r="D30" s="3" t="n">
        <v>0.5</v>
      </c>
      <c r="E30" s="3" t="n">
        <v>0.5</v>
      </c>
      <c r="F30" s="3" t="n">
        <v>0.5</v>
      </c>
      <c r="G30" s="3" t="n">
        <v>0.5</v>
      </c>
      <c r="H30" s="3" t="n">
        <v>0.5</v>
      </c>
      <c r="I30" s="3" t="n">
        <v>0.5</v>
      </c>
      <c r="J30" s="3" t="n">
        <v>0.5</v>
      </c>
      <c r="K30" s="3" t="n">
        <v>0.5</v>
      </c>
      <c r="L30" s="3" t="n">
        <v>0.5</v>
      </c>
    </row>
    <row r="31" customFormat="false" ht="15" hidden="false" customHeight="false" outlineLevel="0" collapsed="false">
      <c r="A31" s="0" t="s">
        <v>103</v>
      </c>
      <c r="C31" s="3" t="n">
        <v>4.2</v>
      </c>
      <c r="D31" s="3" t="n">
        <v>4.2</v>
      </c>
      <c r="E31" s="3" t="n">
        <v>4.2</v>
      </c>
      <c r="F31" s="3" t="n">
        <v>4.2</v>
      </c>
      <c r="G31" s="3" t="n">
        <v>4.2</v>
      </c>
      <c r="H31" s="3" t="n">
        <v>4.2</v>
      </c>
      <c r="I31" s="3" t="n">
        <v>4.2</v>
      </c>
      <c r="J31" s="3" t="n">
        <v>4.2</v>
      </c>
      <c r="K31" s="3" t="n">
        <v>4.2</v>
      </c>
      <c r="L31" s="3" t="n">
        <v>4.2</v>
      </c>
    </row>
    <row r="32" customFormat="false" ht="15" hidden="false" customHeight="false" outlineLevel="0" collapsed="false">
      <c r="A32" s="0" t="s">
        <v>104</v>
      </c>
      <c r="C32" s="3" t="n">
        <v>4.3</v>
      </c>
      <c r="D32" s="3" t="n">
        <v>4.4</v>
      </c>
      <c r="E32" s="3" t="n">
        <v>4.5</v>
      </c>
      <c r="F32" s="3" t="n">
        <v>4.5</v>
      </c>
      <c r="G32" s="3" t="n">
        <v>4.5</v>
      </c>
      <c r="H32" s="3" t="n">
        <v>4.5</v>
      </c>
      <c r="I32" s="3" t="n">
        <v>4.5</v>
      </c>
      <c r="J32" s="3" t="n">
        <v>4.5</v>
      </c>
      <c r="K32" s="3" t="n">
        <v>4.5</v>
      </c>
      <c r="L32" s="3" t="n">
        <v>4.5</v>
      </c>
    </row>
    <row r="33" customFormat="false" ht="15" hidden="false" customHeight="false" outlineLevel="0" collapsed="false">
      <c r="A33" s="0" t="s">
        <v>105</v>
      </c>
      <c r="C33" s="3" t="n">
        <v>21</v>
      </c>
      <c r="D33" s="3" t="n">
        <v>21</v>
      </c>
      <c r="E33" s="3" t="n">
        <v>21</v>
      </c>
      <c r="F33" s="3" t="n">
        <v>21</v>
      </c>
      <c r="G33" s="3" t="n">
        <v>21</v>
      </c>
      <c r="H33" s="3" t="n">
        <v>21</v>
      </c>
      <c r="I33" s="3" t="n">
        <v>21</v>
      </c>
      <c r="J33" s="3" t="n">
        <v>21</v>
      </c>
      <c r="K33" s="3" t="n">
        <v>21</v>
      </c>
      <c r="L33" s="3" t="n">
        <v>21</v>
      </c>
    </row>
    <row r="34" customFormat="false" ht="15" hidden="false" customHeight="false" outlineLevel="0" collapsed="false">
      <c r="A34" s="0" t="s">
        <v>106</v>
      </c>
      <c r="B34" s="3" t="n">
        <v>9.5</v>
      </c>
    </row>
    <row r="35" customFormat="false" ht="15" hidden="false" customHeight="false" outlineLevel="0" collapsed="false">
      <c r="A35" s="0" t="s">
        <v>107</v>
      </c>
      <c r="B35" s="3" t="n">
        <v>2.5</v>
      </c>
    </row>
    <row r="36" customFormat="false" ht="15" hidden="false" customHeight="false" outlineLevel="0" collapsed="false">
      <c r="A36" s="0" t="s">
        <v>108</v>
      </c>
      <c r="B36" s="3" t="n">
        <v>12</v>
      </c>
    </row>
    <row r="37" customFormat="false" ht="15" hidden="false" customHeight="false" outlineLevel="0" collapsed="false">
      <c r="A37" s="0" t="s">
        <v>109</v>
      </c>
      <c r="B37" s="3" t="n">
        <v>10</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13</v>
      </c>
      <c r="D41" s="3" t="n">
        <v>12</v>
      </c>
      <c r="E41" s="3" t="n">
        <v>10</v>
      </c>
      <c r="F41" s="3" t="n">
        <v>8</v>
      </c>
      <c r="G41" s="3" t="n">
        <v>7</v>
      </c>
      <c r="H41" s="3" t="n">
        <v>6</v>
      </c>
      <c r="I41" s="3" t="n">
        <v>5</v>
      </c>
      <c r="J41" s="3" t="n">
        <v>4</v>
      </c>
      <c r="K41" s="3" t="n">
        <v>3.5</v>
      </c>
      <c r="L41" s="3" t="n">
        <v>3</v>
      </c>
    </row>
    <row r="42" customFormat="false" ht="15" hidden="false" customHeight="false" outlineLevel="0" collapsed="false">
      <c r="A42" s="0" t="s">
        <v>100</v>
      </c>
      <c r="C42" s="3" t="n">
        <v>10.6</v>
      </c>
      <c r="D42" s="3" t="n">
        <v>11</v>
      </c>
      <c r="E42" s="3" t="n">
        <v>11.3</v>
      </c>
      <c r="F42" s="3" t="n">
        <v>11.5</v>
      </c>
      <c r="G42" s="3" t="n">
        <v>11.5</v>
      </c>
      <c r="H42" s="3" t="n">
        <v>11.5</v>
      </c>
      <c r="I42" s="3" t="n">
        <v>11.5</v>
      </c>
      <c r="J42" s="3" t="n">
        <v>11.5</v>
      </c>
      <c r="K42" s="3" t="n">
        <v>11.5</v>
      </c>
      <c r="L42" s="3" t="n">
        <v>11.5</v>
      </c>
    </row>
    <row r="43" customFormat="false" ht="15" hidden="false" customHeight="false" outlineLevel="0" collapsed="false">
      <c r="A43" s="0" t="s">
        <v>101</v>
      </c>
      <c r="C43" s="3" t="n">
        <v>0.3</v>
      </c>
      <c r="D43" s="3" t="n">
        <v>0.3</v>
      </c>
      <c r="E43" s="3" t="n">
        <v>0.28</v>
      </c>
      <c r="F43" s="3" t="n">
        <v>0.28</v>
      </c>
      <c r="G43" s="3" t="n">
        <v>0.26</v>
      </c>
      <c r="H43" s="3" t="n">
        <v>0.25</v>
      </c>
      <c r="I43" s="3" t="n">
        <v>0.25</v>
      </c>
      <c r="J43" s="3" t="n">
        <v>0.25</v>
      </c>
      <c r="K43" s="3" t="n">
        <v>0.25</v>
      </c>
      <c r="L43" s="3" t="n">
        <v>0.25</v>
      </c>
    </row>
    <row r="44" customFormat="false" ht="15" hidden="false" customHeight="false" outlineLevel="0" collapsed="false">
      <c r="A44" s="0" t="s">
        <v>102</v>
      </c>
      <c r="C44" s="3" t="n">
        <v>0.5</v>
      </c>
      <c r="D44" s="3" t="n">
        <v>0.5</v>
      </c>
      <c r="E44" s="3" t="n">
        <v>0.5</v>
      </c>
      <c r="F44" s="3" t="n">
        <v>0.5</v>
      </c>
      <c r="G44" s="3" t="n">
        <v>0.5</v>
      </c>
      <c r="H44" s="3" t="n">
        <v>0.5</v>
      </c>
      <c r="I44" s="3" t="n">
        <v>0.5</v>
      </c>
      <c r="J44" s="3" t="n">
        <v>0.5</v>
      </c>
      <c r="K44" s="3" t="n">
        <v>0.5</v>
      </c>
      <c r="L44" s="3" t="n">
        <v>0.5</v>
      </c>
    </row>
    <row r="45" customFormat="false" ht="15" hidden="false" customHeight="false" outlineLevel="0" collapsed="false">
      <c r="A45" s="0" t="s">
        <v>103</v>
      </c>
      <c r="C45" s="3" t="n">
        <v>4.2</v>
      </c>
      <c r="D45" s="3" t="n">
        <v>4.2</v>
      </c>
      <c r="E45" s="3" t="n">
        <v>4.2</v>
      </c>
      <c r="F45" s="3" t="n">
        <v>4.2</v>
      </c>
      <c r="G45" s="3" t="n">
        <v>4.2</v>
      </c>
      <c r="H45" s="3" t="n">
        <v>4.2</v>
      </c>
      <c r="I45" s="3" t="n">
        <v>4.2</v>
      </c>
      <c r="J45" s="3" t="n">
        <v>4.2</v>
      </c>
      <c r="K45" s="3" t="n">
        <v>4.2</v>
      </c>
      <c r="L45" s="3" t="n">
        <v>4.2</v>
      </c>
    </row>
    <row r="46" customFormat="false" ht="15" hidden="false" customHeight="false" outlineLevel="0" collapsed="false">
      <c r="A46" s="0" t="s">
        <v>104</v>
      </c>
      <c r="C46" s="3" t="n">
        <v>4.2</v>
      </c>
      <c r="D46" s="3" t="n">
        <v>4.3</v>
      </c>
      <c r="E46" s="3" t="n">
        <v>4.4</v>
      </c>
      <c r="F46" s="3" t="n">
        <v>4.4</v>
      </c>
      <c r="G46" s="3" t="n">
        <v>4.4</v>
      </c>
      <c r="H46" s="3" t="n">
        <v>4.4</v>
      </c>
      <c r="I46" s="3" t="n">
        <v>4.4</v>
      </c>
      <c r="J46" s="3" t="n">
        <v>4.4</v>
      </c>
      <c r="K46" s="3" t="n">
        <v>4.4</v>
      </c>
      <c r="L46" s="3" t="n">
        <v>4.4</v>
      </c>
    </row>
    <row r="47" customFormat="false" ht="15" hidden="false" customHeight="false" outlineLevel="0" collapsed="false">
      <c r="A47" s="0" t="s">
        <v>105</v>
      </c>
      <c r="C47" s="3" t="n">
        <v>21</v>
      </c>
      <c r="D47" s="3" t="n">
        <v>21</v>
      </c>
      <c r="E47" s="3" t="n">
        <v>21</v>
      </c>
      <c r="F47" s="3" t="n">
        <v>21</v>
      </c>
      <c r="G47" s="3" t="n">
        <v>21</v>
      </c>
      <c r="H47" s="3" t="n">
        <v>21</v>
      </c>
      <c r="I47" s="3" t="n">
        <v>21</v>
      </c>
      <c r="J47" s="3" t="n">
        <v>21</v>
      </c>
      <c r="K47" s="3" t="n">
        <v>21</v>
      </c>
      <c r="L47" s="3" t="n">
        <v>21</v>
      </c>
    </row>
    <row r="48" customFormat="false" ht="15" hidden="false" customHeight="false" outlineLevel="0" collapsed="false">
      <c r="A48" s="0" t="s">
        <v>106</v>
      </c>
      <c r="B48" s="3" t="n">
        <v>9.5</v>
      </c>
    </row>
    <row r="49" customFormat="false" ht="15" hidden="false" customHeight="false" outlineLevel="0" collapsed="false">
      <c r="A49" s="0" t="s">
        <v>107</v>
      </c>
      <c r="B49" s="3" t="n">
        <v>3</v>
      </c>
    </row>
    <row r="50" customFormat="false" ht="15" hidden="false" customHeight="false" outlineLevel="0" collapsed="false">
      <c r="A50" s="0" t="s">
        <v>108</v>
      </c>
      <c r="B50" s="3" t="n">
        <v>12</v>
      </c>
    </row>
    <row r="51" customFormat="false" ht="15" hidden="false" customHeight="false" outlineLevel="0" collapsed="false">
      <c r="A51" s="0" t="s">
        <v>109</v>
      </c>
      <c r="B51" s="3" t="n">
        <v>15</v>
      </c>
    </row>
    <row r="52" customFormat="false" ht="15" hidden="false" customHeight="false" outlineLevel="0" collapsed="false">
      <c r="A52" s="0" t="s">
        <v>110</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8</v>
      </c>
      <c r="D5" s="4" t="n">
        <f aca="false">Assumptions!D13</f>
        <v>-3</v>
      </c>
      <c r="E5" s="4" t="n">
        <f aca="false">Assumptions!E13</f>
        <v>1</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345232.2</v>
      </c>
      <c r="C6" s="0" t="n">
        <f aca="false">B6*(1+C5/100)</f>
        <v>372850.776</v>
      </c>
      <c r="D6" s="0" t="n">
        <f aca="false">C6*(1+D5/100)</f>
        <v>361665.25272</v>
      </c>
      <c r="E6" s="0" t="n">
        <f aca="false">D6*(1+E5/100)</f>
        <v>365281.9052472</v>
      </c>
      <c r="F6" s="0" t="n">
        <f aca="false">E6*(1+F5/100)</f>
        <v>372587.543352144</v>
      </c>
      <c r="G6" s="0" t="n">
        <f aca="false">F6*(1+G5/100)</f>
        <v>380039.294219187</v>
      </c>
      <c r="H6" s="0" t="n">
        <f aca="false">G6*(1+H5/100)</f>
        <v>387640.080103571</v>
      </c>
      <c r="I6" s="0" t="n">
        <f aca="false">H6*(1+I5/100)</f>
        <v>395392.881705642</v>
      </c>
      <c r="J6" s="0" t="n">
        <f aca="false">I6*(1+J5/100)</f>
        <v>403300.739339755</v>
      </c>
      <c r="K6" s="0" t="n">
        <f aca="false">J6*(1+K5/100)</f>
        <v>411366.75412655</v>
      </c>
      <c r="L6" s="0" t="n">
        <f aca="false">K6*(1+L5/100)</f>
        <v>419594.089209081</v>
      </c>
    </row>
    <row r="7" customFormat="false" ht="15" hidden="false" customHeight="false" outlineLevel="0" collapsed="false">
      <c r="A7" s="0" t="s">
        <v>100</v>
      </c>
      <c r="C7" s="4" t="n">
        <f aca="false">Assumptions!C14</f>
        <v>9.4</v>
      </c>
      <c r="D7" s="4" t="n">
        <f aca="false">Assumptions!D14</f>
        <v>8.6</v>
      </c>
      <c r="E7" s="4" t="n">
        <f aca="false">Assumptions!E14</f>
        <v>8.2</v>
      </c>
      <c r="F7" s="4" t="n">
        <f aca="false">Assumptions!F14</f>
        <v>8</v>
      </c>
      <c r="G7" s="4" t="n">
        <f aca="false">Assumptions!G14</f>
        <v>8</v>
      </c>
      <c r="H7" s="4" t="n">
        <f aca="false">Assumptions!H14</f>
        <v>8</v>
      </c>
      <c r="I7" s="4" t="n">
        <f aca="false">Assumptions!I14</f>
        <v>8</v>
      </c>
      <c r="J7" s="4" t="n">
        <f aca="false">Assumptions!J14</f>
        <v>8</v>
      </c>
      <c r="K7" s="4" t="n">
        <f aca="false">Assumptions!K14</f>
        <v>8</v>
      </c>
      <c r="L7" s="4" t="n">
        <f aca="false">Assumptions!L14</f>
        <v>8</v>
      </c>
    </row>
    <row r="8" customFormat="false" ht="15" hidden="false" customHeight="false" outlineLevel="0" collapsed="false">
      <c r="A8" s="0" t="s">
        <v>44</v>
      </c>
      <c r="C8" s="0" t="n">
        <f aca="false">C6*C7/100</f>
        <v>35047.972944</v>
      </c>
      <c r="D8" s="0" t="n">
        <f aca="false">D6*D7/100</f>
        <v>31103.21173392</v>
      </c>
      <c r="E8" s="0" t="n">
        <f aca="false">E6*E7/100</f>
        <v>29953.1162302704</v>
      </c>
      <c r="F8" s="0" t="n">
        <f aca="false">F6*F7/100</f>
        <v>29807.0034681715</v>
      </c>
      <c r="G8" s="0" t="n">
        <f aca="false">G6*G7/100</f>
        <v>30403.143537535</v>
      </c>
      <c r="H8" s="0" t="n">
        <f aca="false">H6*H7/100</f>
        <v>31011.2064082857</v>
      </c>
      <c r="I8" s="0" t="n">
        <f aca="false">I6*I7/100</f>
        <v>31631.4305364514</v>
      </c>
      <c r="J8" s="0" t="n">
        <f aca="false">J6*J7/100</f>
        <v>32264.0591471804</v>
      </c>
      <c r="K8" s="0" t="n">
        <f aca="false">K6*K7/100</f>
        <v>32909.340330124</v>
      </c>
      <c r="L8" s="0" t="n">
        <f aca="false">L6*L7/100</f>
        <v>33567.5271367265</v>
      </c>
    </row>
    <row r="9" customFormat="false" ht="15" hidden="false" customHeight="false" outlineLevel="0" collapsed="false">
      <c r="A9" s="0" t="s">
        <v>101</v>
      </c>
      <c r="C9" s="4" t="n">
        <f aca="false">Assumptions!C15</f>
        <v>0.3</v>
      </c>
      <c r="D9" s="4" t="n">
        <f aca="false">Assumptions!D15</f>
        <v>0.3</v>
      </c>
      <c r="E9" s="4" t="n">
        <f aca="false">Assumptions!E15</f>
        <v>0.28</v>
      </c>
      <c r="F9" s="4" t="n">
        <f aca="false">Assumptions!F15</f>
        <v>0.28</v>
      </c>
      <c r="G9" s="4" t="n">
        <f aca="false">Assumptions!G15</f>
        <v>0.26</v>
      </c>
      <c r="H9" s="4" t="n">
        <f aca="false">Assumptions!H15</f>
        <v>0.25</v>
      </c>
      <c r="I9" s="4" t="n">
        <f aca="false">Assumptions!I15</f>
        <v>0.25</v>
      </c>
      <c r="J9" s="4" t="n">
        <f aca="false">Assumptions!J15</f>
        <v>0.25</v>
      </c>
      <c r="K9" s="4" t="n">
        <f aca="false">Assumptions!K15</f>
        <v>0.25</v>
      </c>
      <c r="L9" s="4" t="n">
        <f aca="false">Assumptions!L15</f>
        <v>0.25</v>
      </c>
    </row>
    <row r="10" customFormat="false" ht="15" hidden="false" customHeight="false" outlineLevel="0" collapsed="false">
      <c r="A10" s="0" t="s">
        <v>116</v>
      </c>
      <c r="C10" s="0" t="n">
        <f aca="false">-C6*C9/100</f>
        <v>-1118.552328</v>
      </c>
      <c r="D10" s="0" t="n">
        <f aca="false">-D6*D9/100</f>
        <v>-1084.99575816</v>
      </c>
      <c r="E10" s="0" t="n">
        <f aca="false">-E6*E9/100</f>
        <v>-1022.78933469216</v>
      </c>
      <c r="F10" s="0" t="n">
        <f aca="false">-F6*F9/100</f>
        <v>-1043.245121386</v>
      </c>
      <c r="G10" s="0" t="n">
        <f aca="false">-G6*G9/100</f>
        <v>-988.102164969886</v>
      </c>
      <c r="H10" s="0" t="n">
        <f aca="false">-H6*H9/100</f>
        <v>-969.100200258927</v>
      </c>
      <c r="I10" s="0" t="n">
        <f aca="false">-I6*I9/100</f>
        <v>-988.482204264105</v>
      </c>
      <c r="J10" s="0" t="n">
        <f aca="false">-J6*J9/100</f>
        <v>-1008.25184834939</v>
      </c>
      <c r="K10" s="0" t="n">
        <f aca="false">-K6*K9/100</f>
        <v>-1028.41688531637</v>
      </c>
      <c r="L10" s="0" t="n">
        <f aca="false">-L6*L9/100</f>
        <v>-1048.9852230227</v>
      </c>
    </row>
    <row r="11" customFormat="false" ht="15" hidden="false" customHeight="false" outlineLevel="0" collapsed="false">
      <c r="A11" s="0" t="s">
        <v>117</v>
      </c>
      <c r="C11" s="0" t="n">
        <f aca="false">C8+C10+C24</f>
        <v>32065.166736</v>
      </c>
      <c r="D11" s="0" t="n">
        <f aca="false">D8+D10+D24</f>
        <v>28209.88971216</v>
      </c>
      <c r="E11" s="0" t="n">
        <f aca="false">E8+E10+E24</f>
        <v>27103.9173693422</v>
      </c>
      <c r="F11" s="0" t="n">
        <f aca="false">F8+F10+F24</f>
        <v>26900.8206300248</v>
      </c>
      <c r="G11" s="0" t="n">
        <f aca="false">G8+G10+G24</f>
        <v>27514.8449014691</v>
      </c>
      <c r="H11" s="0" t="n">
        <f aca="false">H8+H10+H24</f>
        <v>28103.9058075089</v>
      </c>
      <c r="I11" s="0" t="n">
        <f aca="false">I8+I10+I24</f>
        <v>28665.9839236591</v>
      </c>
      <c r="J11" s="0" t="n">
        <f aca="false">J8+J10+J24</f>
        <v>29239.3036021322</v>
      </c>
      <c r="K11" s="0" t="n">
        <f aca="false">K8+K10+K24</f>
        <v>29824.0896741749</v>
      </c>
      <c r="L11" s="0" t="n">
        <f aca="false">L8+L10+L24</f>
        <v>30420.5714676584</v>
      </c>
    </row>
    <row r="12" customFormat="false" ht="15" hidden="false" customHeight="false" outlineLevel="0" collapsed="false">
      <c r="A12" s="0" t="s">
        <v>118</v>
      </c>
      <c r="C12" s="4" t="n">
        <f aca="false">-C6*Assumptions!C17/100</f>
        <v>-16032.583368</v>
      </c>
      <c r="D12" s="4" t="n">
        <f aca="false">-D6*Assumptions!D17/100</f>
        <v>-15913.27111968</v>
      </c>
      <c r="E12" s="4" t="n">
        <f aca="false">-E6*Assumptions!E17/100</f>
        <v>-16072.4038308768</v>
      </c>
      <c r="F12" s="4" t="n">
        <f aca="false">-F6*Assumptions!F17/100</f>
        <v>-16393.8519074943</v>
      </c>
      <c r="G12" s="4" t="n">
        <f aca="false">-G6*Assumptions!G17/100</f>
        <v>-16721.7289456442</v>
      </c>
      <c r="H12" s="4" t="n">
        <f aca="false">-H6*Assumptions!H17/100</f>
        <v>-17056.1635245571</v>
      </c>
      <c r="I12" s="4" t="n">
        <f aca="false">-I6*Assumptions!I17/100</f>
        <v>-17397.2867950483</v>
      </c>
      <c r="J12" s="4" t="n">
        <f aca="false">-J6*Assumptions!J17/100</f>
        <v>-17745.2325309492</v>
      </c>
      <c r="K12" s="4" t="n">
        <f aca="false">-K6*Assumptions!K17/100</f>
        <v>-18100.1371815682</v>
      </c>
      <c r="L12" s="4" t="n">
        <f aca="false">-L6*Assumptions!L17/100</f>
        <v>-18462.1399251996</v>
      </c>
    </row>
    <row r="13" customFormat="false" ht="15" hidden="false" customHeight="false" outlineLevel="0" collapsed="false">
      <c r="A13" s="0" t="s">
        <v>119</v>
      </c>
      <c r="C13" s="0" t="n">
        <f aca="false">C11+C12</f>
        <v>16032.583368</v>
      </c>
      <c r="D13" s="0" t="n">
        <f aca="false">D11+D12</f>
        <v>12296.61859248</v>
      </c>
      <c r="E13" s="0" t="n">
        <f aca="false">E11+E12</f>
        <v>11031.5135384654</v>
      </c>
      <c r="F13" s="0" t="n">
        <f aca="false">F11+F12</f>
        <v>10506.9687225305</v>
      </c>
      <c r="G13" s="0" t="n">
        <f aca="false">G11+G12</f>
        <v>10793.1159558249</v>
      </c>
      <c r="H13" s="0" t="n">
        <f aca="false">H11+H12</f>
        <v>11047.7422829518</v>
      </c>
      <c r="I13" s="0" t="n">
        <f aca="false">I11+I12</f>
        <v>11268.6971286108</v>
      </c>
      <c r="J13" s="0" t="n">
        <f aca="false">J11+J12</f>
        <v>11494.071071183</v>
      </c>
      <c r="K13" s="0" t="n">
        <f aca="false">K11+K12</f>
        <v>11723.9524926067</v>
      </c>
      <c r="L13" s="0" t="n">
        <f aca="false">L11+L12</f>
        <v>11958.4315424588</v>
      </c>
    </row>
    <row r="14" customFormat="false" ht="15" hidden="false" customHeight="false" outlineLevel="0" collapsed="false">
      <c r="A14" s="0" t="s">
        <v>105</v>
      </c>
      <c r="C14" s="4" t="n">
        <f aca="false">Assumptions!C19</f>
        <v>21</v>
      </c>
      <c r="D14" s="4" t="n">
        <f aca="false">Assumptions!D19</f>
        <v>21</v>
      </c>
      <c r="E14" s="4" t="n">
        <f aca="false">Assumptions!E19</f>
        <v>21</v>
      </c>
      <c r="F14" s="4" t="n">
        <f aca="false">Assumptions!F19</f>
        <v>21</v>
      </c>
      <c r="G14" s="4" t="n">
        <f aca="false">Assumptions!G19</f>
        <v>21</v>
      </c>
      <c r="H14" s="4" t="n">
        <f aca="false">Assumptions!H19</f>
        <v>21</v>
      </c>
      <c r="I14" s="4" t="n">
        <f aca="false">Assumptions!I19</f>
        <v>21</v>
      </c>
      <c r="J14" s="4" t="n">
        <f aca="false">Assumptions!J19</f>
        <v>21</v>
      </c>
      <c r="K14" s="4" t="n">
        <f aca="false">Assumptions!K19</f>
        <v>21</v>
      </c>
      <c r="L14" s="4" t="n">
        <f aca="false">Assumptions!L19</f>
        <v>21</v>
      </c>
    </row>
    <row r="15" customFormat="false" ht="15" hidden="false" customHeight="false" outlineLevel="0" collapsed="false">
      <c r="A15" s="0" t="s">
        <v>120</v>
      </c>
      <c r="C15" s="0" t="n">
        <f aca="false">C13-MAX(0,C13)*C14/100</f>
        <v>12665.74086072</v>
      </c>
      <c r="D15" s="0" t="n">
        <f aca="false">D13-MAX(0,D13)*D14/100</f>
        <v>9714.3286880592</v>
      </c>
      <c r="E15" s="0" t="n">
        <f aca="false">E13-MAX(0,E13)*E14/100</f>
        <v>8714.8956953877</v>
      </c>
      <c r="F15" s="0" t="n">
        <f aca="false">F13-MAX(0,F13)*F14/100</f>
        <v>8300.50529079906</v>
      </c>
      <c r="G15" s="0" t="n">
        <f aca="false">G13-MAX(0,G13)*G14/100</f>
        <v>8526.56160510168</v>
      </c>
      <c r="H15" s="0" t="n">
        <f aca="false">H13-MAX(0,H13)*H14/100</f>
        <v>8727.71640353189</v>
      </c>
      <c r="I15" s="0" t="n">
        <f aca="false">I13-MAX(0,I13)*I14/100</f>
        <v>8902.27073160253</v>
      </c>
      <c r="J15" s="0" t="n">
        <f aca="false">J13-MAX(0,J13)*J14/100</f>
        <v>9080.31614623458</v>
      </c>
      <c r="K15" s="0" t="n">
        <f aca="false">K13-MAX(0,K13)*K14/100</f>
        <v>9261.92246915927</v>
      </c>
      <c r="L15" s="0" t="n">
        <f aca="false">L13-MAX(0,L13)*L14/100</f>
        <v>9447.16091854246</v>
      </c>
    </row>
    <row r="16" customFormat="false" ht="15" hidden="false" customHeight="false" outlineLevel="0" collapsed="false">
      <c r="A16" s="0" t="s">
        <v>121</v>
      </c>
      <c r="C16" s="0" t="n">
        <f aca="false">-C12</f>
        <v>16032.583368</v>
      </c>
      <c r="D16" s="0" t="n">
        <f aca="false">-D12</f>
        <v>15913.27111968</v>
      </c>
      <c r="E16" s="0" t="n">
        <f aca="false">-E12</f>
        <v>16072.4038308768</v>
      </c>
      <c r="F16" s="0" t="n">
        <f aca="false">-F12</f>
        <v>16393.8519074943</v>
      </c>
      <c r="G16" s="0" t="n">
        <f aca="false">-G12</f>
        <v>16721.7289456442</v>
      </c>
      <c r="H16" s="0" t="n">
        <f aca="false">-H12</f>
        <v>17056.1635245571</v>
      </c>
      <c r="I16" s="0" t="n">
        <f aca="false">-I12</f>
        <v>17397.2867950483</v>
      </c>
      <c r="J16" s="0" t="n">
        <f aca="false">-J12</f>
        <v>17745.2325309492</v>
      </c>
      <c r="K16" s="0" t="n">
        <f aca="false">-K12</f>
        <v>18100.1371815682</v>
      </c>
      <c r="L16" s="0" t="n">
        <f aca="false">-L12</f>
        <v>18462.1399251996</v>
      </c>
    </row>
    <row r="17" customFormat="false" ht="15" hidden="false" customHeight="false" outlineLevel="0" collapsed="false">
      <c r="A17" s="0" t="s">
        <v>122</v>
      </c>
      <c r="C17" s="4" t="n">
        <f aca="false">-C6*Assumptions!C18/100</f>
        <v>-16405.434144</v>
      </c>
      <c r="D17" s="4" t="n">
        <f aca="false">-D6*Assumptions!D18/100</f>
        <v>-16636.60162512</v>
      </c>
      <c r="E17" s="4" t="n">
        <f aca="false">-E6*Assumptions!E18/100</f>
        <v>-16802.9676413712</v>
      </c>
      <c r="F17" s="4" t="n">
        <f aca="false">-F6*Assumptions!F18/100</f>
        <v>-17139.0269941986</v>
      </c>
      <c r="G17" s="4" t="n">
        <f aca="false">-G6*Assumptions!G18/100</f>
        <v>-17481.8075340826</v>
      </c>
      <c r="H17" s="4" t="n">
        <f aca="false">-H6*Assumptions!H18/100</f>
        <v>-17831.4436847642</v>
      </c>
      <c r="I17" s="4" t="n">
        <f aca="false">-I6*Assumptions!I18/100</f>
        <v>-18188.0725584595</v>
      </c>
      <c r="J17" s="4" t="n">
        <f aca="false">-J6*Assumptions!J18/100</f>
        <v>-18551.8340096287</v>
      </c>
      <c r="K17" s="4" t="n">
        <f aca="false">-K6*Assumptions!K18/100</f>
        <v>-18922.8706898213</v>
      </c>
      <c r="L17" s="4" t="n">
        <f aca="false">-L6*Assumptions!L18/100</f>
        <v>-19301.3281036177</v>
      </c>
    </row>
    <row r="18" customFormat="false" ht="15" hidden="false" customHeight="false" outlineLevel="0" collapsed="false">
      <c r="A18" s="0" t="s">
        <v>123</v>
      </c>
      <c r="C18" s="4" t="n">
        <f aca="false">(C6-B6)*Assumptions!$B$23/100</f>
        <v>-1380.9288</v>
      </c>
      <c r="D18" s="4" t="n">
        <f aca="false">(D6-C6)*Assumptions!$B$23/100</f>
        <v>559.276164000001</v>
      </c>
      <c r="E18" s="4" t="n">
        <f aca="false">(E6-D6)*Assumptions!$B$23/100</f>
        <v>-180.83262636</v>
      </c>
      <c r="F18" s="4" t="n">
        <f aca="false">(F6-E6)*Assumptions!$B$23/100</f>
        <v>-365.281905247201</v>
      </c>
      <c r="G18" s="4" t="n">
        <f aca="false">(G6-F6)*Assumptions!$B$23/100</f>
        <v>-372.587543352143</v>
      </c>
      <c r="H18" s="4" t="n">
        <f aca="false">(H6-G6)*Assumptions!$B$23/100</f>
        <v>-380.039294219186</v>
      </c>
      <c r="I18" s="4" t="n">
        <f aca="false">(I6-H6)*Assumptions!$B$23/100</f>
        <v>-387.640080103572</v>
      </c>
      <c r="J18" s="4" t="n">
        <f aca="false">(J6-I6)*Assumptions!$B$23/100</f>
        <v>-395.392881705641</v>
      </c>
      <c r="K18" s="4" t="n">
        <f aca="false">(K6-J6)*Assumptions!$B$23/100</f>
        <v>-403.300739339757</v>
      </c>
      <c r="L18" s="4" t="n">
        <f aca="false">(L6-K6)*Assumptions!$B$23/100</f>
        <v>-411.366754126552</v>
      </c>
    </row>
    <row r="19" customFormat="false" ht="15" hidden="false" customHeight="false" outlineLevel="0" collapsed="false">
      <c r="A19" s="0" t="s">
        <v>124</v>
      </c>
      <c r="C19" s="0" t="n">
        <f aca="false">C15+C16+C17+C18</f>
        <v>10911.96128472</v>
      </c>
      <c r="D19" s="0" t="n">
        <f aca="false">D15+D16+D17+D18</f>
        <v>9550.2743466192</v>
      </c>
      <c r="E19" s="0" t="n">
        <f aca="false">E15+E16+E17+E18</f>
        <v>7803.4992585333</v>
      </c>
      <c r="F19" s="0" t="n">
        <f aca="false">F15+F16+F17+F18</f>
        <v>7190.04829884758</v>
      </c>
      <c r="G19" s="0" t="n">
        <f aca="false">G15+G16+G17+G18</f>
        <v>7393.89547331116</v>
      </c>
      <c r="H19" s="0" t="n">
        <f aca="false">H15+H16+H17+H18</f>
        <v>7572.39694910557</v>
      </c>
      <c r="I19" s="0" t="n">
        <f aca="false">I15+I16+I17+I18</f>
        <v>7723.84488808768</v>
      </c>
      <c r="J19" s="0" t="n">
        <f aca="false">J15+J16+J17+J18</f>
        <v>7878.32178584943</v>
      </c>
      <c r="K19" s="0" t="n">
        <f aca="false">K15+K16+K17+K18</f>
        <v>8035.88822156641</v>
      </c>
      <c r="L19" s="0" t="n">
        <f aca="false">L15+L16+L17+L18</f>
        <v>8196.60598599775</v>
      </c>
    </row>
    <row r="20" customFormat="false" ht="15" hidden="false" customHeight="false" outlineLevel="0" collapsed="false">
      <c r="A20" s="0" t="s">
        <v>125</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126</v>
      </c>
      <c r="C21" s="0" t="n">
        <f aca="false">C19*C20</f>
        <v>9965.26144723288</v>
      </c>
      <c r="D21" s="0" t="n">
        <f aca="false">D19*D20</f>
        <v>7965.03354527154</v>
      </c>
      <c r="E21" s="0" t="n">
        <f aca="false">E19*E20</f>
        <v>5943.56526438256</v>
      </c>
      <c r="F21" s="0" t="n">
        <f aca="false">F19*F20</f>
        <v>5001.21276558414</v>
      </c>
      <c r="G21" s="0" t="n">
        <f aca="false">G19*G20</f>
        <v>4696.80695884957</v>
      </c>
      <c r="H21" s="0" t="n">
        <f aca="false">H19*H20</f>
        <v>4392.87309092952</v>
      </c>
      <c r="I21" s="0" t="n">
        <f aca="false">I19*I20</f>
        <v>4091.9913723727</v>
      </c>
      <c r="J21" s="0" t="n">
        <f aca="false">J19*J20</f>
        <v>3811.71799070334</v>
      </c>
      <c r="K21" s="0" t="n">
        <f aca="false">K19*K20</f>
        <v>3550.64141599763</v>
      </c>
      <c r="L21" s="0" t="n">
        <f aca="false">L19*L20</f>
        <v>3307.44679846354</v>
      </c>
    </row>
    <row r="23" customFormat="false" ht="15" hidden="false" customHeight="false" outlineLevel="0" collapsed="false">
      <c r="A23" s="0" t="s">
        <v>102</v>
      </c>
      <c r="C23" s="4" t="n">
        <f aca="false">Assumptions!C16</f>
        <v>0.5</v>
      </c>
      <c r="D23" s="4" t="n">
        <f aca="false">Assumptions!D16</f>
        <v>0.5</v>
      </c>
      <c r="E23" s="4" t="n">
        <f aca="false">Assumptions!E16</f>
        <v>0.5</v>
      </c>
      <c r="F23" s="4" t="n">
        <f aca="false">Assumptions!F16</f>
        <v>0.5</v>
      </c>
      <c r="G23" s="4" t="n">
        <f aca="false">Assumptions!G16</f>
        <v>0.5</v>
      </c>
      <c r="H23" s="4" t="n">
        <f aca="false">Assumptions!H16</f>
        <v>0.5</v>
      </c>
      <c r="I23" s="4" t="n">
        <f aca="false">Assumptions!I16</f>
        <v>0.5</v>
      </c>
      <c r="J23" s="4" t="n">
        <f aca="false">Assumptions!J16</f>
        <v>0.5</v>
      </c>
      <c r="K23" s="4" t="n">
        <f aca="false">Assumptions!K16</f>
        <v>0.5</v>
      </c>
      <c r="L23" s="4" t="n">
        <f aca="false">Assumptions!L16</f>
        <v>0.5</v>
      </c>
    </row>
    <row r="24" customFormat="false" ht="15" hidden="false" customHeight="false" outlineLevel="0" collapsed="false">
      <c r="A24" s="0" t="s">
        <v>127</v>
      </c>
      <c r="C24" s="0" t="n">
        <f aca="false">-C6*C23/100</f>
        <v>-1864.25388</v>
      </c>
      <c r="D24" s="0" t="n">
        <f aca="false">-D6*D23/100</f>
        <v>-1808.3262636</v>
      </c>
      <c r="E24" s="0" t="n">
        <f aca="false">-E6*E23/100</f>
        <v>-1826.409526236</v>
      </c>
      <c r="F24" s="0" t="n">
        <f aca="false">-F6*F23/100</f>
        <v>-1862.93771676072</v>
      </c>
      <c r="G24" s="0" t="n">
        <f aca="false">-G6*G23/100</f>
        <v>-1900.19647109593</v>
      </c>
      <c r="H24" s="0" t="n">
        <f aca="false">-H6*H23/100</f>
        <v>-1938.20040051785</v>
      </c>
      <c r="I24" s="0" t="n">
        <f aca="false">-I6*I23/100</f>
        <v>-1976.96440852821</v>
      </c>
      <c r="J24" s="0" t="n">
        <f aca="false">-J6*J23/100</f>
        <v>-2016.50369669877</v>
      </c>
      <c r="K24" s="0" t="n">
        <f aca="false">-K6*K23/100</f>
        <v>-2056.83377063275</v>
      </c>
      <c r="L24" s="0" t="n">
        <f aca="false">-L6*L23/100</f>
        <v>-2097.97044604541</v>
      </c>
    </row>
    <row r="26" customFormat="false" ht="15" hidden="false" customHeight="false" outlineLevel="0" collapsed="false">
      <c r="A26" s="2" t="s">
        <v>128</v>
      </c>
    </row>
    <row r="27" customFormat="false" ht="15" hidden="false" customHeight="false" outlineLevel="0" collapsed="false">
      <c r="A27" s="0" t="s">
        <v>106</v>
      </c>
      <c r="B27" s="4" t="n">
        <f aca="false">Assumptions!$B$20</f>
        <v>9.5</v>
      </c>
    </row>
    <row r="28" customFormat="false" ht="15" hidden="false" customHeight="false" outlineLevel="0" collapsed="false">
      <c r="A28" s="0" t="s">
        <v>107</v>
      </c>
      <c r="B28" s="4" t="n">
        <f aca="false">Assumptions!$B$21</f>
        <v>2</v>
      </c>
    </row>
    <row r="29" customFormat="false" ht="15" hidden="false" customHeight="false" outlineLevel="0" collapsed="false">
      <c r="A29" s="0" t="s">
        <v>108</v>
      </c>
      <c r="B29" s="4" t="n">
        <f aca="false">Assumptions!$B$22</f>
        <v>10</v>
      </c>
    </row>
    <row r="30" customFormat="false" ht="15" hidden="false" customHeight="false" outlineLevel="0" collapsed="false">
      <c r="A30" s="0" t="s">
        <v>129</v>
      </c>
      <c r="B30" s="0" t="n">
        <f aca="false">SUM(C21:L21)</f>
        <v>52726.5506497874</v>
      </c>
    </row>
    <row r="31" customFormat="false" ht="15" hidden="false" customHeight="false" outlineLevel="0" collapsed="false">
      <c r="A31" s="0" t="s">
        <v>130</v>
      </c>
      <c r="B31" s="0" t="n">
        <f aca="false">L19</f>
        <v>8196.60598599775</v>
      </c>
    </row>
    <row r="32" customFormat="false" ht="15" hidden="false" customHeight="false" outlineLevel="0" collapsed="false">
      <c r="A32" s="0" t="s">
        <v>131</v>
      </c>
      <c r="B32" s="0" t="n">
        <f aca="false">IF(B27&gt;B28,B31*(1+B28/100)/((B27-B28)/100),B31*B29)</f>
        <v>111473.841409569</v>
      </c>
    </row>
    <row r="33" customFormat="false" ht="15" hidden="false" customHeight="false" outlineLevel="0" collapsed="false">
      <c r="A33" s="0" t="s">
        <v>132</v>
      </c>
      <c r="B33" s="0" t="n">
        <f aca="false">B31*B29</f>
        <v>81966.0598599775</v>
      </c>
    </row>
    <row r="34" customFormat="false" ht="15" hidden="false" customHeight="false" outlineLevel="0" collapsed="false">
      <c r="A34" s="0" t="s">
        <v>133</v>
      </c>
      <c r="B34" s="0" t="n">
        <f aca="false">MAX(0,MIN(B32,B33))</f>
        <v>81966.0598599775</v>
      </c>
    </row>
    <row r="35" customFormat="false" ht="15" hidden="false" customHeight="false" outlineLevel="0" collapsed="false">
      <c r="A35" s="0" t="s">
        <v>134</v>
      </c>
      <c r="B35" s="0" t="n">
        <f aca="false">B34/(1+B27/100)^L4</f>
        <v>33074.4679846354</v>
      </c>
    </row>
    <row r="36" customFormat="false" ht="15" hidden="false" customHeight="false" outlineLevel="0" collapsed="false">
      <c r="A36" s="0" t="s">
        <v>135</v>
      </c>
      <c r="B36" s="0" t="n">
        <f aca="false">B30+B35</f>
        <v>85801.0186344228</v>
      </c>
    </row>
    <row r="37" customFormat="false" ht="15" hidden="false" customHeight="false" outlineLevel="0" collapsed="false">
      <c r="A37" s="0" t="s">
        <v>136</v>
      </c>
      <c r="B37" s="0" t="n">
        <f aca="false">B36+Assumptions!$B$5-Assumptions!$B$4</f>
        <v>167292.718634423</v>
      </c>
    </row>
    <row r="38" customFormat="false" ht="15" hidden="false" customHeight="false" outlineLevel="0" collapsed="false">
      <c r="A38" s="0" t="s">
        <v>137</v>
      </c>
      <c r="B38" s="0" t="n">
        <f aca="false">B37/Assumptions!$B$3*Assumptions!$B$10</f>
        <v>17.7773160028474</v>
      </c>
    </row>
    <row r="39" customFormat="false" ht="15" hidden="false" customHeight="false" outlineLevel="0" collapsed="false">
      <c r="A39" s="0" t="s">
        <v>138</v>
      </c>
      <c r="B39" s="4" t="n">
        <f aca="false">B38/Assumptions!$B$2-1</f>
        <v>0.174971315455877</v>
      </c>
    </row>
    <row r="41" customFormat="false" ht="15" hidden="false" customHeight="false" outlineLevel="0" collapsed="false">
      <c r="A41" s="0" t="s">
        <v>139</v>
      </c>
      <c r="B41" s="0" t="n">
        <f aca="false">SUMPRODUCT(-C10:L10/(1+$B$27/100)^C4:L4)</f>
        <v>6510.11949360393</v>
      </c>
    </row>
    <row r="42" customFormat="false" ht="15" hidden="false" customHeight="false" outlineLevel="0" collapsed="false">
      <c r="A42" s="0" t="s">
        <v>140</v>
      </c>
      <c r="B42" s="0" t="n">
        <f aca="false">IF(B27&gt;B28,-L10*(1+B28/100)/((B27-B28)/100),-L10*20)/(1+B27/100)^L4</f>
        <v>5756.61370070793</v>
      </c>
    </row>
    <row r="43" customFormat="false" ht="15" hidden="false" customHeight="false" outlineLevel="0" collapsed="false">
      <c r="A43" s="0" t="s">
        <v>141</v>
      </c>
      <c r="B43" s="0" t="n">
        <f aca="false">(B37+B41+B42)/Assumptions!$B$3*Assumptions!$B$10</f>
        <v>19.0808371249737</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64311.8315824439</v>
      </c>
    </row>
    <row r="47" customFormat="false" ht="15" hidden="false" customHeight="false" outlineLevel="0" collapsed="false">
      <c r="A47" s="0" t="s">
        <v>143</v>
      </c>
      <c r="B47" s="0" t="n">
        <f aca="false">(SUMPRODUCT(C19:L19/(1+B45/100)^C4:L4)+B46/(1+B45/100)^L4+Assumptions!$B$5-Assumptions!$B$4)/Assumptions!$B$3*Assumptions!$B$10</f>
        <v>14.8855452313936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11</v>
      </c>
      <c r="D5" s="4" t="n">
        <f aca="false">Assumptions!D27</f>
        <v>8</v>
      </c>
      <c r="E5" s="4" t="n">
        <f aca="false">Assumptions!E27</f>
        <v>6</v>
      </c>
      <c r="F5" s="4" t="n">
        <f aca="false">Assumptions!F27</f>
        <v>5</v>
      </c>
      <c r="G5" s="4" t="n">
        <f aca="false">Assumptions!G27</f>
        <v>4.5</v>
      </c>
      <c r="H5" s="4" t="n">
        <f aca="false">Assumptions!H27</f>
        <v>4</v>
      </c>
      <c r="I5" s="4" t="n">
        <f aca="false">Assumptions!I27</f>
        <v>3.5</v>
      </c>
      <c r="J5" s="4" t="n">
        <f aca="false">Assumptions!J27</f>
        <v>3</v>
      </c>
      <c r="K5" s="4" t="n">
        <f aca="false">Assumptions!K27</f>
        <v>3</v>
      </c>
      <c r="L5" s="4" t="n">
        <f aca="false">Assumptions!L27</f>
        <v>3</v>
      </c>
    </row>
    <row r="6" customFormat="false" ht="15" hidden="false" customHeight="false" outlineLevel="0" collapsed="false">
      <c r="A6" s="0" t="s">
        <v>38</v>
      </c>
      <c r="B6" s="3" t="n">
        <v>345232.2</v>
      </c>
      <c r="C6" s="0" t="n">
        <f aca="false">B6*(1+C5/100)</f>
        <v>383207.742</v>
      </c>
      <c r="D6" s="0" t="n">
        <f aca="false">C6*(1+D5/100)</f>
        <v>413864.36136</v>
      </c>
      <c r="E6" s="0" t="n">
        <f aca="false">D6*(1+E5/100)</f>
        <v>438696.2230416</v>
      </c>
      <c r="F6" s="0" t="n">
        <f aca="false">E6*(1+F5/100)</f>
        <v>460631.03419368</v>
      </c>
      <c r="G6" s="0" t="n">
        <f aca="false">F6*(1+G5/100)</f>
        <v>481359.430732396</v>
      </c>
      <c r="H6" s="0" t="n">
        <f aca="false">G6*(1+H5/100)</f>
        <v>500613.807961692</v>
      </c>
      <c r="I6" s="0" t="n">
        <f aca="false">H6*(1+I5/100)</f>
        <v>518135.291240351</v>
      </c>
      <c r="J6" s="0" t="n">
        <f aca="false">I6*(1+J5/100)</f>
        <v>533679.349977561</v>
      </c>
      <c r="K6" s="0" t="n">
        <f aca="false">J6*(1+K5/100)</f>
        <v>549689.730476888</v>
      </c>
      <c r="L6" s="0" t="n">
        <f aca="false">K6*(1+L5/100)</f>
        <v>566180.422391195</v>
      </c>
    </row>
    <row r="7" customFormat="false" ht="15" hidden="false" customHeight="false" outlineLevel="0" collapsed="false">
      <c r="A7" s="0" t="s">
        <v>100</v>
      </c>
      <c r="C7" s="4" t="n">
        <f aca="false">Assumptions!C28</f>
        <v>10.2</v>
      </c>
      <c r="D7" s="4" t="n">
        <f aca="false">Assumptions!D28</f>
        <v>10.3</v>
      </c>
      <c r="E7" s="4" t="n">
        <f aca="false">Assumptions!E28</f>
        <v>10.3</v>
      </c>
      <c r="F7" s="4" t="n">
        <f aca="false">Assumptions!F28</f>
        <v>10.3</v>
      </c>
      <c r="G7" s="4" t="n">
        <f aca="false">Assumptions!G28</f>
        <v>10.2</v>
      </c>
      <c r="H7" s="4" t="n">
        <f aca="false">Assumptions!H28</f>
        <v>10.1</v>
      </c>
      <c r="I7" s="4" t="n">
        <f aca="false">Assumptions!I28</f>
        <v>10</v>
      </c>
      <c r="J7" s="4" t="n">
        <f aca="false">Assumptions!J28</f>
        <v>10</v>
      </c>
      <c r="K7" s="4" t="n">
        <f aca="false">Assumptions!K28</f>
        <v>10</v>
      </c>
      <c r="L7" s="4" t="n">
        <f aca="false">Assumptions!L28</f>
        <v>10</v>
      </c>
    </row>
    <row r="8" customFormat="false" ht="15" hidden="false" customHeight="false" outlineLevel="0" collapsed="false">
      <c r="A8" s="0" t="s">
        <v>44</v>
      </c>
      <c r="C8" s="0" t="n">
        <f aca="false">C6*C7/100</f>
        <v>39087.189684</v>
      </c>
      <c r="D8" s="0" t="n">
        <f aca="false">D6*D7/100</f>
        <v>42628.02922008</v>
      </c>
      <c r="E8" s="0" t="n">
        <f aca="false">E6*E7/100</f>
        <v>45185.7109732848</v>
      </c>
      <c r="F8" s="0" t="n">
        <f aca="false">F6*F7/100</f>
        <v>47444.9965219491</v>
      </c>
      <c r="G8" s="0" t="n">
        <f aca="false">G6*G7/100</f>
        <v>49098.6619347044</v>
      </c>
      <c r="H8" s="0" t="n">
        <f aca="false">H6*H7/100</f>
        <v>50561.9946041308</v>
      </c>
      <c r="I8" s="0" t="n">
        <f aca="false">I6*I7/100</f>
        <v>51813.5291240351</v>
      </c>
      <c r="J8" s="0" t="n">
        <f aca="false">J6*J7/100</f>
        <v>53367.9349977561</v>
      </c>
      <c r="K8" s="0" t="n">
        <f aca="false">K6*K7/100</f>
        <v>54968.9730476888</v>
      </c>
      <c r="L8" s="0" t="n">
        <f aca="false">L6*L7/100</f>
        <v>56618.0422391195</v>
      </c>
    </row>
    <row r="9" customFormat="false" ht="15" hidden="false" customHeight="false" outlineLevel="0" collapsed="false">
      <c r="A9" s="0" t="s">
        <v>101</v>
      </c>
      <c r="C9" s="4" t="n">
        <f aca="false">Assumptions!C29</f>
        <v>0.3</v>
      </c>
      <c r="D9" s="4" t="n">
        <f aca="false">Assumptions!D29</f>
        <v>0.3</v>
      </c>
      <c r="E9" s="4" t="n">
        <f aca="false">Assumptions!E29</f>
        <v>0.28</v>
      </c>
      <c r="F9" s="4" t="n">
        <f aca="false">Assumptions!F29</f>
        <v>0.28</v>
      </c>
      <c r="G9" s="4" t="n">
        <f aca="false">Assumptions!G29</f>
        <v>0.26</v>
      </c>
      <c r="H9" s="4" t="n">
        <f aca="false">Assumptions!H29</f>
        <v>0.25</v>
      </c>
      <c r="I9" s="4" t="n">
        <f aca="false">Assumptions!I29</f>
        <v>0.25</v>
      </c>
      <c r="J9" s="4" t="n">
        <f aca="false">Assumptions!J29</f>
        <v>0.25</v>
      </c>
      <c r="K9" s="4" t="n">
        <f aca="false">Assumptions!K29</f>
        <v>0.25</v>
      </c>
      <c r="L9" s="4" t="n">
        <f aca="false">Assumptions!L29</f>
        <v>0.25</v>
      </c>
    </row>
    <row r="10" customFormat="false" ht="15" hidden="false" customHeight="false" outlineLevel="0" collapsed="false">
      <c r="A10" s="0" t="s">
        <v>116</v>
      </c>
      <c r="C10" s="0" t="n">
        <f aca="false">-C6*C9/100</f>
        <v>-1149.623226</v>
      </c>
      <c r="D10" s="0" t="n">
        <f aca="false">-D6*D9/100</f>
        <v>-1241.59308408</v>
      </c>
      <c r="E10" s="0" t="n">
        <f aca="false">-E6*E9/100</f>
        <v>-1228.34942451648</v>
      </c>
      <c r="F10" s="0" t="n">
        <f aca="false">-F6*F9/100</f>
        <v>-1289.7668957423</v>
      </c>
      <c r="G10" s="0" t="n">
        <f aca="false">-G6*G9/100</f>
        <v>-1251.53451990423</v>
      </c>
      <c r="H10" s="0" t="n">
        <f aca="false">-H6*H9/100</f>
        <v>-1251.53451990423</v>
      </c>
      <c r="I10" s="0" t="n">
        <f aca="false">-I6*I9/100</f>
        <v>-1295.33822810088</v>
      </c>
      <c r="J10" s="0" t="n">
        <f aca="false">-J6*J9/100</f>
        <v>-1334.1983749439</v>
      </c>
      <c r="K10" s="0" t="n">
        <f aca="false">-K6*K9/100</f>
        <v>-1374.22432619222</v>
      </c>
      <c r="L10" s="0" t="n">
        <f aca="false">-L6*L9/100</f>
        <v>-1415.45105597799</v>
      </c>
    </row>
    <row r="11" customFormat="false" ht="15" hidden="false" customHeight="false" outlineLevel="0" collapsed="false">
      <c r="A11" s="0" t="s">
        <v>117</v>
      </c>
      <c r="C11" s="0" t="n">
        <f aca="false">C8+C10+C24</f>
        <v>36021.527748</v>
      </c>
      <c r="D11" s="0" t="n">
        <f aca="false">D8+D10+D24</f>
        <v>39317.1143292</v>
      </c>
      <c r="E11" s="0" t="n">
        <f aca="false">E8+E10+E24</f>
        <v>41763.8804335603</v>
      </c>
      <c r="F11" s="0" t="n">
        <f aca="false">F8+F10+F24</f>
        <v>43852.0744552384</v>
      </c>
      <c r="G11" s="0" t="n">
        <f aca="false">G8+G10+G24</f>
        <v>45440.3302611381</v>
      </c>
      <c r="H11" s="0" t="n">
        <f aca="false">H8+H10+H24</f>
        <v>46807.3910444182</v>
      </c>
      <c r="I11" s="0" t="n">
        <f aca="false">I8+I10+I24</f>
        <v>47927.5144397324</v>
      </c>
      <c r="J11" s="0" t="n">
        <f aca="false">J8+J10+J24</f>
        <v>49365.3398729244</v>
      </c>
      <c r="K11" s="0" t="n">
        <f aca="false">K8+K10+K24</f>
        <v>50846.3000691122</v>
      </c>
      <c r="L11" s="0" t="n">
        <f aca="false">L8+L10+L24</f>
        <v>52371.6890711855</v>
      </c>
    </row>
    <row r="12" customFormat="false" ht="15" hidden="false" customHeight="false" outlineLevel="0" collapsed="false">
      <c r="A12" s="0" t="s">
        <v>118</v>
      </c>
      <c r="C12" s="4" t="n">
        <f aca="false">-C6*Assumptions!C31/100</f>
        <v>-16094.725164</v>
      </c>
      <c r="D12" s="4" t="n">
        <f aca="false">-D6*Assumptions!D31/100</f>
        <v>-17382.30317712</v>
      </c>
      <c r="E12" s="4" t="n">
        <f aca="false">-E6*Assumptions!E31/100</f>
        <v>-18425.2413677472</v>
      </c>
      <c r="F12" s="4" t="n">
        <f aca="false">-F6*Assumptions!F31/100</f>
        <v>-19346.5034361346</v>
      </c>
      <c r="G12" s="4" t="n">
        <f aca="false">-G6*Assumptions!G31/100</f>
        <v>-20217.0960907606</v>
      </c>
      <c r="H12" s="4" t="n">
        <f aca="false">-H6*Assumptions!H31/100</f>
        <v>-21025.779934391</v>
      </c>
      <c r="I12" s="4" t="n">
        <f aca="false">-I6*Assumptions!I31/100</f>
        <v>-21761.6822320947</v>
      </c>
      <c r="J12" s="4" t="n">
        <f aca="false">-J6*Assumptions!J31/100</f>
        <v>-22414.5326990576</v>
      </c>
      <c r="K12" s="4" t="n">
        <f aca="false">-K6*Assumptions!K31/100</f>
        <v>-23086.9686800293</v>
      </c>
      <c r="L12" s="4" t="n">
        <f aca="false">-L6*Assumptions!L31/100</f>
        <v>-23779.5777404302</v>
      </c>
    </row>
    <row r="13" customFormat="false" ht="15" hidden="false" customHeight="false" outlineLevel="0" collapsed="false">
      <c r="A13" s="0" t="s">
        <v>119</v>
      </c>
      <c r="C13" s="0" t="n">
        <f aca="false">C11+C12</f>
        <v>19926.802584</v>
      </c>
      <c r="D13" s="0" t="n">
        <f aca="false">D11+D12</f>
        <v>21934.81115208</v>
      </c>
      <c r="E13" s="0" t="n">
        <f aca="false">E11+E12</f>
        <v>23338.6390658131</v>
      </c>
      <c r="F13" s="0" t="n">
        <f aca="false">F11+F12</f>
        <v>24505.5710191038</v>
      </c>
      <c r="G13" s="0" t="n">
        <f aca="false">G11+G12</f>
        <v>25223.2341703775</v>
      </c>
      <c r="H13" s="0" t="n">
        <f aca="false">H11+H12</f>
        <v>25781.6111100271</v>
      </c>
      <c r="I13" s="0" t="n">
        <f aca="false">I11+I12</f>
        <v>26165.8322076377</v>
      </c>
      <c r="J13" s="0" t="n">
        <f aca="false">J11+J12</f>
        <v>26950.8071738668</v>
      </c>
      <c r="K13" s="0" t="n">
        <f aca="false">K11+K12</f>
        <v>27759.3313890828</v>
      </c>
      <c r="L13" s="0" t="n">
        <f aca="false">L11+L12</f>
        <v>28592.1113307553</v>
      </c>
    </row>
    <row r="14" customFormat="false" ht="15" hidden="false" customHeight="false" outlineLevel="0" collapsed="false">
      <c r="A14" s="0" t="s">
        <v>105</v>
      </c>
      <c r="C14" s="4" t="n">
        <f aca="false">Assumptions!C33</f>
        <v>21</v>
      </c>
      <c r="D14" s="4" t="n">
        <f aca="false">Assumptions!D33</f>
        <v>21</v>
      </c>
      <c r="E14" s="4" t="n">
        <f aca="false">Assumptions!E33</f>
        <v>21</v>
      </c>
      <c r="F14" s="4" t="n">
        <f aca="false">Assumptions!F33</f>
        <v>21</v>
      </c>
      <c r="G14" s="4" t="n">
        <f aca="false">Assumptions!G33</f>
        <v>21</v>
      </c>
      <c r="H14" s="4" t="n">
        <f aca="false">Assumptions!H33</f>
        <v>21</v>
      </c>
      <c r="I14" s="4" t="n">
        <f aca="false">Assumptions!I33</f>
        <v>21</v>
      </c>
      <c r="J14" s="4" t="n">
        <f aca="false">Assumptions!J33</f>
        <v>21</v>
      </c>
      <c r="K14" s="4" t="n">
        <f aca="false">Assumptions!K33</f>
        <v>21</v>
      </c>
      <c r="L14" s="4" t="n">
        <f aca="false">Assumptions!L33</f>
        <v>21</v>
      </c>
    </row>
    <row r="15" customFormat="false" ht="15" hidden="false" customHeight="false" outlineLevel="0" collapsed="false">
      <c r="A15" s="0" t="s">
        <v>120</v>
      </c>
      <c r="C15" s="0" t="n">
        <f aca="false">C13-MAX(0,C13)*C14/100</f>
        <v>15742.17404136</v>
      </c>
      <c r="D15" s="0" t="n">
        <f aca="false">D13-MAX(0,D13)*D14/100</f>
        <v>17328.5008101432</v>
      </c>
      <c r="E15" s="0" t="n">
        <f aca="false">E13-MAX(0,E13)*E14/100</f>
        <v>18437.5248619924</v>
      </c>
      <c r="F15" s="0" t="n">
        <f aca="false">F13-MAX(0,F13)*F14/100</f>
        <v>19359.401105092</v>
      </c>
      <c r="G15" s="0" t="n">
        <f aca="false">G13-MAX(0,G13)*G14/100</f>
        <v>19926.3549945982</v>
      </c>
      <c r="H15" s="0" t="n">
        <f aca="false">H13-MAX(0,H13)*H14/100</f>
        <v>20367.4727769214</v>
      </c>
      <c r="I15" s="0" t="n">
        <f aca="false">I13-MAX(0,I13)*I14/100</f>
        <v>20671.0074440338</v>
      </c>
      <c r="J15" s="0" t="n">
        <f aca="false">J13-MAX(0,J13)*J14/100</f>
        <v>21291.1376673548</v>
      </c>
      <c r="K15" s="0" t="n">
        <f aca="false">K13-MAX(0,K13)*K14/100</f>
        <v>21929.8717973755</v>
      </c>
      <c r="L15" s="0" t="n">
        <f aca="false">L13-MAX(0,L13)*L14/100</f>
        <v>22587.7679512967</v>
      </c>
    </row>
    <row r="16" customFormat="false" ht="15" hidden="false" customHeight="false" outlineLevel="0" collapsed="false">
      <c r="A16" s="0" t="s">
        <v>121</v>
      </c>
      <c r="C16" s="0" t="n">
        <f aca="false">-C12</f>
        <v>16094.725164</v>
      </c>
      <c r="D16" s="0" t="n">
        <f aca="false">-D12</f>
        <v>17382.30317712</v>
      </c>
      <c r="E16" s="0" t="n">
        <f aca="false">-E12</f>
        <v>18425.2413677472</v>
      </c>
      <c r="F16" s="0" t="n">
        <f aca="false">-F12</f>
        <v>19346.5034361346</v>
      </c>
      <c r="G16" s="0" t="n">
        <f aca="false">-G12</f>
        <v>20217.0960907606</v>
      </c>
      <c r="H16" s="0" t="n">
        <f aca="false">-H12</f>
        <v>21025.779934391</v>
      </c>
      <c r="I16" s="0" t="n">
        <f aca="false">-I12</f>
        <v>21761.6822320947</v>
      </c>
      <c r="J16" s="0" t="n">
        <f aca="false">-J12</f>
        <v>22414.5326990576</v>
      </c>
      <c r="K16" s="0" t="n">
        <f aca="false">-K12</f>
        <v>23086.9686800293</v>
      </c>
      <c r="L16" s="0" t="n">
        <f aca="false">-L12</f>
        <v>23779.5777404302</v>
      </c>
    </row>
    <row r="17" customFormat="false" ht="15" hidden="false" customHeight="false" outlineLevel="0" collapsed="false">
      <c r="A17" s="0" t="s">
        <v>122</v>
      </c>
      <c r="C17" s="4" t="n">
        <f aca="false">-C6*Assumptions!C32/100</f>
        <v>-16477.932906</v>
      </c>
      <c r="D17" s="4" t="n">
        <f aca="false">-D6*Assumptions!D32/100</f>
        <v>-18210.03189984</v>
      </c>
      <c r="E17" s="4" t="n">
        <f aca="false">-E6*Assumptions!E32/100</f>
        <v>-19741.330036872</v>
      </c>
      <c r="F17" s="4" t="n">
        <f aca="false">-F6*Assumptions!F32/100</f>
        <v>-20728.3965387156</v>
      </c>
      <c r="G17" s="4" t="n">
        <f aca="false">-G6*Assumptions!G32/100</f>
        <v>-21661.1743829578</v>
      </c>
      <c r="H17" s="4" t="n">
        <f aca="false">-H6*Assumptions!H32/100</f>
        <v>-22527.6213582761</v>
      </c>
      <c r="I17" s="4" t="n">
        <f aca="false">-I6*Assumptions!I32/100</f>
        <v>-23316.0881058158</v>
      </c>
      <c r="J17" s="4" t="n">
        <f aca="false">-J6*Assumptions!J32/100</f>
        <v>-24015.5707489903</v>
      </c>
      <c r="K17" s="4" t="n">
        <f aca="false">-K6*Assumptions!K32/100</f>
        <v>-24736.03787146</v>
      </c>
      <c r="L17" s="4" t="n">
        <f aca="false">-L6*Assumptions!L32/100</f>
        <v>-25478.1190076038</v>
      </c>
    </row>
    <row r="18" customFormat="false" ht="15" hidden="false" customHeight="false" outlineLevel="0" collapsed="false">
      <c r="A18" s="0" t="s">
        <v>123</v>
      </c>
      <c r="C18" s="4" t="n">
        <f aca="false">(C6-B6)*Assumptions!$B$37/100</f>
        <v>3797.5542</v>
      </c>
      <c r="D18" s="4" t="n">
        <f aca="false">(D6-C6)*Assumptions!$B$37/100</f>
        <v>3065.661936</v>
      </c>
      <c r="E18" s="4" t="n">
        <f aca="false">(E6-D6)*Assumptions!$B$37/100</f>
        <v>2483.18616816</v>
      </c>
      <c r="F18" s="4" t="n">
        <f aca="false">(F6-E6)*Assumptions!$B$37/100</f>
        <v>2193.481115208</v>
      </c>
      <c r="G18" s="4" t="n">
        <f aca="false">(G6-F6)*Assumptions!$B$37/100</f>
        <v>2072.83965387156</v>
      </c>
      <c r="H18" s="4" t="n">
        <f aca="false">(H6-G6)*Assumptions!$B$37/100</f>
        <v>1925.43772292958</v>
      </c>
      <c r="I18" s="4" t="n">
        <f aca="false">(I6-H6)*Assumptions!$B$37/100</f>
        <v>1752.14832786592</v>
      </c>
      <c r="J18" s="4" t="n">
        <f aca="false">(J6-I6)*Assumptions!$B$37/100</f>
        <v>1554.40587372106</v>
      </c>
      <c r="K18" s="4" t="n">
        <f aca="false">(K6-J6)*Assumptions!$B$37/100</f>
        <v>1601.03804993269</v>
      </c>
      <c r="L18" s="4" t="n">
        <f aca="false">(L6-K6)*Assumptions!$B$37/100</f>
        <v>1649.06919143066</v>
      </c>
    </row>
    <row r="19" customFormat="false" ht="15" hidden="false" customHeight="false" outlineLevel="0" collapsed="false">
      <c r="A19" s="0" t="s">
        <v>124</v>
      </c>
      <c r="C19" s="0" t="n">
        <f aca="false">C15+C16+C17+C18</f>
        <v>19156.52049936</v>
      </c>
      <c r="D19" s="0" t="n">
        <f aca="false">D15+D16+D17+D18</f>
        <v>19566.4340234232</v>
      </c>
      <c r="E19" s="0" t="n">
        <f aca="false">E15+E16+E17+E18</f>
        <v>19604.6223610276</v>
      </c>
      <c r="F19" s="0" t="n">
        <f aca="false">F15+F16+F17+F18</f>
        <v>20170.989117719</v>
      </c>
      <c r="G19" s="0" t="n">
        <f aca="false">G15+G16+G17+G18</f>
        <v>20555.1163562726</v>
      </c>
      <c r="H19" s="0" t="n">
        <f aca="false">H15+H16+H17+H18</f>
        <v>20791.0690759659</v>
      </c>
      <c r="I19" s="0" t="n">
        <f aca="false">I15+I16+I17+I18</f>
        <v>20868.7498981787</v>
      </c>
      <c r="J19" s="0" t="n">
        <f aca="false">J15+J16+J17+J18</f>
        <v>21244.5054911432</v>
      </c>
      <c r="K19" s="0" t="n">
        <f aca="false">K15+K16+K17+K18</f>
        <v>21881.8406558775</v>
      </c>
      <c r="L19" s="0" t="n">
        <f aca="false">L15+L16+L17+L18</f>
        <v>22538.2958755538</v>
      </c>
    </row>
    <row r="20" customFormat="false" ht="15" hidden="false" customHeight="false" outlineLevel="0" collapsed="false">
      <c r="A20" s="0" t="s">
        <v>125</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126</v>
      </c>
      <c r="C21" s="0" t="n">
        <f aca="false">C19*C20</f>
        <v>17494.5392688219</v>
      </c>
      <c r="D21" s="0" t="n">
        <f aca="false">D19*D20</f>
        <v>16318.6205653954</v>
      </c>
      <c r="E21" s="0" t="n">
        <f aca="false">E19*E20</f>
        <v>14931.9361258249</v>
      </c>
      <c r="F21" s="0" t="n">
        <f aca="false">F19*F20</f>
        <v>14030.4215044235</v>
      </c>
      <c r="G21" s="0" t="n">
        <f aca="false">G19*G20</f>
        <v>13057.1785725921</v>
      </c>
      <c r="H21" s="0" t="n">
        <f aca="false">H19*H20</f>
        <v>12061.244080219</v>
      </c>
      <c r="I21" s="0" t="n">
        <f aca="false">I19*I20</f>
        <v>11055.9890537488</v>
      </c>
      <c r="J21" s="0" t="n">
        <f aca="false">J19*J20</f>
        <v>10278.5930792563</v>
      </c>
      <c r="K21" s="0" t="n">
        <f aca="false">K19*K20</f>
        <v>9668.44828459727</v>
      </c>
      <c r="L21" s="0" t="n">
        <f aca="false">L19*L20</f>
        <v>9094.52213071706</v>
      </c>
    </row>
    <row r="23" customFormat="false" ht="15" hidden="false" customHeight="false" outlineLevel="0" collapsed="false">
      <c r="A23" s="0" t="s">
        <v>102</v>
      </c>
      <c r="C23" s="4" t="n">
        <f aca="false">Assumptions!C30</f>
        <v>0.5</v>
      </c>
      <c r="D23" s="4" t="n">
        <f aca="false">Assumptions!D30</f>
        <v>0.5</v>
      </c>
      <c r="E23" s="4" t="n">
        <f aca="false">Assumptions!E30</f>
        <v>0.5</v>
      </c>
      <c r="F23" s="4" t="n">
        <f aca="false">Assumptions!F30</f>
        <v>0.5</v>
      </c>
      <c r="G23" s="4" t="n">
        <f aca="false">Assumptions!G30</f>
        <v>0.5</v>
      </c>
      <c r="H23" s="4" t="n">
        <f aca="false">Assumptions!H30</f>
        <v>0.5</v>
      </c>
      <c r="I23" s="4" t="n">
        <f aca="false">Assumptions!I30</f>
        <v>0.5</v>
      </c>
      <c r="J23" s="4" t="n">
        <f aca="false">Assumptions!J30</f>
        <v>0.5</v>
      </c>
      <c r="K23" s="4" t="n">
        <f aca="false">Assumptions!K30</f>
        <v>0.5</v>
      </c>
      <c r="L23" s="4" t="n">
        <f aca="false">Assumptions!L30</f>
        <v>0.5</v>
      </c>
    </row>
    <row r="24" customFormat="false" ht="15" hidden="false" customHeight="false" outlineLevel="0" collapsed="false">
      <c r="A24" s="0" t="s">
        <v>127</v>
      </c>
      <c r="C24" s="0" t="n">
        <f aca="false">-C6*C23/100</f>
        <v>-1916.03871</v>
      </c>
      <c r="D24" s="0" t="n">
        <f aca="false">-D6*D23/100</f>
        <v>-2069.3218068</v>
      </c>
      <c r="E24" s="0" t="n">
        <f aca="false">-E6*E23/100</f>
        <v>-2193.481115208</v>
      </c>
      <c r="F24" s="0" t="n">
        <f aca="false">-F6*F23/100</f>
        <v>-2303.1551709684</v>
      </c>
      <c r="G24" s="0" t="n">
        <f aca="false">-G6*G23/100</f>
        <v>-2406.79715366198</v>
      </c>
      <c r="H24" s="0" t="n">
        <f aca="false">-H6*H23/100</f>
        <v>-2503.06903980846</v>
      </c>
      <c r="I24" s="0" t="n">
        <f aca="false">-I6*I23/100</f>
        <v>-2590.67645620175</v>
      </c>
      <c r="J24" s="0" t="n">
        <f aca="false">-J6*J23/100</f>
        <v>-2668.39674988781</v>
      </c>
      <c r="K24" s="0" t="n">
        <f aca="false">-K6*K23/100</f>
        <v>-2748.44865238444</v>
      </c>
      <c r="L24" s="0" t="n">
        <f aca="false">-L6*L23/100</f>
        <v>-2830.90211195597</v>
      </c>
    </row>
    <row r="26" customFormat="false" ht="15" hidden="false" customHeight="false" outlineLevel="0" collapsed="false">
      <c r="A26" s="2" t="s">
        <v>128</v>
      </c>
    </row>
    <row r="27" customFormat="false" ht="15" hidden="false" customHeight="false" outlineLevel="0" collapsed="false">
      <c r="A27" s="0" t="s">
        <v>106</v>
      </c>
      <c r="B27" s="4" t="n">
        <f aca="false">Assumptions!$B$34</f>
        <v>9.5</v>
      </c>
    </row>
    <row r="28" customFormat="false" ht="15" hidden="false" customHeight="false" outlineLevel="0" collapsed="false">
      <c r="A28" s="0" t="s">
        <v>107</v>
      </c>
      <c r="B28" s="4" t="n">
        <f aca="false">Assumptions!$B$35</f>
        <v>2.5</v>
      </c>
    </row>
    <row r="29" customFormat="false" ht="15" hidden="false" customHeight="false" outlineLevel="0" collapsed="false">
      <c r="A29" s="0" t="s">
        <v>108</v>
      </c>
      <c r="B29" s="4" t="n">
        <f aca="false">Assumptions!$B$36</f>
        <v>12</v>
      </c>
    </row>
    <row r="30" customFormat="false" ht="15" hidden="false" customHeight="false" outlineLevel="0" collapsed="false">
      <c r="A30" s="0" t="s">
        <v>129</v>
      </c>
      <c r="B30" s="0" t="n">
        <f aca="false">SUM(C21:L21)</f>
        <v>127991.492665596</v>
      </c>
    </row>
    <row r="31" customFormat="false" ht="15" hidden="false" customHeight="false" outlineLevel="0" collapsed="false">
      <c r="A31" s="0" t="s">
        <v>130</v>
      </c>
      <c r="B31" s="0" t="n">
        <f aca="false">L19</f>
        <v>22538.2958755538</v>
      </c>
    </row>
    <row r="32" customFormat="false" ht="15" hidden="false" customHeight="false" outlineLevel="0" collapsed="false">
      <c r="A32" s="0" t="s">
        <v>131</v>
      </c>
      <c r="B32" s="0" t="n">
        <f aca="false">IF(B27&gt;B28,B31*(1+B28/100)/((B27-B28)/100),B31*B29)</f>
        <v>330025.04674918</v>
      </c>
    </row>
    <row r="33" customFormat="false" ht="15" hidden="false" customHeight="false" outlineLevel="0" collapsed="false">
      <c r="A33" s="0" t="s">
        <v>132</v>
      </c>
      <c r="B33" s="0" t="n">
        <f aca="false">B31*B29</f>
        <v>270459.550506645</v>
      </c>
    </row>
    <row r="34" customFormat="false" ht="15" hidden="false" customHeight="false" outlineLevel="0" collapsed="false">
      <c r="A34" s="0" t="s">
        <v>133</v>
      </c>
      <c r="B34" s="0" t="n">
        <f aca="false">MAX(0,MIN(B32,B33))</f>
        <v>270459.550506645</v>
      </c>
    </row>
    <row r="35" customFormat="false" ht="15" hidden="false" customHeight="false" outlineLevel="0" collapsed="false">
      <c r="A35" s="0" t="s">
        <v>134</v>
      </c>
      <c r="B35" s="0" t="n">
        <f aca="false">B34/(1+B27/100)^L4</f>
        <v>109134.265568605</v>
      </c>
    </row>
    <row r="36" customFormat="false" ht="15" hidden="false" customHeight="false" outlineLevel="0" collapsed="false">
      <c r="A36" s="0" t="s">
        <v>135</v>
      </c>
      <c r="B36" s="0" t="n">
        <f aca="false">B30+B35</f>
        <v>237125.758234201</v>
      </c>
    </row>
    <row r="37" customFormat="false" ht="15" hidden="false" customHeight="false" outlineLevel="0" collapsed="false">
      <c r="A37" s="0" t="s">
        <v>136</v>
      </c>
      <c r="B37" s="0" t="n">
        <f aca="false">B36+Assumptions!$B$5-Assumptions!$B$4</f>
        <v>318617.458234201</v>
      </c>
    </row>
    <row r="38" customFormat="false" ht="15" hidden="false" customHeight="false" outlineLevel="0" collapsed="false">
      <c r="A38" s="0" t="s">
        <v>137</v>
      </c>
      <c r="B38" s="0" t="n">
        <f aca="false">B37/Assumptions!$B$3*Assumptions!$B$10</f>
        <v>33.8577989842527</v>
      </c>
    </row>
    <row r="39" customFormat="false" ht="15" hidden="false" customHeight="false" outlineLevel="0" collapsed="false">
      <c r="A39" s="0" t="s">
        <v>138</v>
      </c>
      <c r="B39" s="4" t="n">
        <f aca="false">B38/Assumptions!$B$2-1</f>
        <v>1.23779239816607</v>
      </c>
    </row>
    <row r="41" customFormat="false" ht="15" hidden="false" customHeight="false" outlineLevel="0" collapsed="false">
      <c r="A41" s="0" t="s">
        <v>139</v>
      </c>
      <c r="B41" s="0" t="n">
        <f aca="false">SUMPRODUCT(-C10:L10/(1+$B$27/100)^C4:L4)</f>
        <v>7949.26023215117</v>
      </c>
    </row>
    <row r="42" customFormat="false" ht="15" hidden="false" customHeight="false" outlineLevel="0" collapsed="false">
      <c r="A42" s="0" t="s">
        <v>140</v>
      </c>
      <c r="B42" s="0" t="n">
        <f aca="false">IF(B27&gt;B28,-L10*(1+B28/100)/((B27-B28)/100),-L10*20)/(1+B27/100)^L4</f>
        <v>8363.33494665009</v>
      </c>
    </row>
    <row r="43" customFormat="false" ht="15" hidden="false" customHeight="false" outlineLevel="0" collapsed="false">
      <c r="A43" s="0" t="s">
        <v>141</v>
      </c>
      <c r="B43" s="0" t="n">
        <f aca="false">(B37+B41+B42)/Assumptions!$B$3*Assumptions!$B$10</f>
        <v>35.5912525480852</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184814.026179541</v>
      </c>
    </row>
    <row r="47" customFormat="false" ht="15" hidden="false" customHeight="false" outlineLevel="0" collapsed="false">
      <c r="A47" s="0" t="s">
        <v>143</v>
      </c>
      <c r="B47" s="0" t="n">
        <f aca="false">(SUMPRODUCT(C19:L19/(1+B45/100)^C4:L4)+B46/(1+B45/100)^L4+Assumptions!$B$5-Assumptions!$B$4)/Assumptions!$B$3*Assumptions!$B$10</f>
        <v>24.3176802414899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13</v>
      </c>
      <c r="D5" s="4" t="n">
        <f aca="false">Assumptions!D41</f>
        <v>12</v>
      </c>
      <c r="E5" s="4" t="n">
        <f aca="false">Assumptions!E41</f>
        <v>10</v>
      </c>
      <c r="F5" s="4" t="n">
        <f aca="false">Assumptions!F41</f>
        <v>8</v>
      </c>
      <c r="G5" s="4" t="n">
        <f aca="false">Assumptions!G41</f>
        <v>7</v>
      </c>
      <c r="H5" s="4" t="n">
        <f aca="false">Assumptions!H41</f>
        <v>6</v>
      </c>
      <c r="I5" s="4" t="n">
        <f aca="false">Assumptions!I41</f>
        <v>5</v>
      </c>
      <c r="J5" s="4" t="n">
        <f aca="false">Assumptions!J41</f>
        <v>4</v>
      </c>
      <c r="K5" s="4" t="n">
        <f aca="false">Assumptions!K41</f>
        <v>3.5</v>
      </c>
      <c r="L5" s="4" t="n">
        <f aca="false">Assumptions!L41</f>
        <v>3</v>
      </c>
    </row>
    <row r="6" customFormat="false" ht="15" hidden="false" customHeight="false" outlineLevel="0" collapsed="false">
      <c r="A6" s="0" t="s">
        <v>38</v>
      </c>
      <c r="B6" s="3" t="n">
        <v>345232.2</v>
      </c>
      <c r="C6" s="0" t="n">
        <f aca="false">B6*(1+C5/100)</f>
        <v>390112.386</v>
      </c>
      <c r="D6" s="0" t="n">
        <f aca="false">C6*(1+D5/100)</f>
        <v>436925.87232</v>
      </c>
      <c r="E6" s="0" t="n">
        <f aca="false">D6*(1+E5/100)</f>
        <v>480618.459552</v>
      </c>
      <c r="F6" s="0" t="n">
        <f aca="false">E6*(1+F5/100)</f>
        <v>519067.93631616</v>
      </c>
      <c r="G6" s="0" t="n">
        <f aca="false">F6*(1+G5/100)</f>
        <v>555402.691858291</v>
      </c>
      <c r="H6" s="0" t="n">
        <f aca="false">G6*(1+H5/100)</f>
        <v>588726.853369789</v>
      </c>
      <c r="I6" s="0" t="n">
        <f aca="false">H6*(1+I5/100)</f>
        <v>618163.196038278</v>
      </c>
      <c r="J6" s="0" t="n">
        <f aca="false">I6*(1+J5/100)</f>
        <v>642889.723879809</v>
      </c>
      <c r="K6" s="0" t="n">
        <f aca="false">J6*(1+K5/100)</f>
        <v>665390.864215603</v>
      </c>
      <c r="L6" s="0" t="n">
        <f aca="false">K6*(1+L5/100)</f>
        <v>685352.590142071</v>
      </c>
    </row>
    <row r="7" customFormat="false" ht="15" hidden="false" customHeight="false" outlineLevel="0" collapsed="false">
      <c r="A7" s="0" t="s">
        <v>100</v>
      </c>
      <c r="C7" s="4" t="n">
        <f aca="false">Assumptions!C42</f>
        <v>10.6</v>
      </c>
      <c r="D7" s="4" t="n">
        <f aca="false">Assumptions!D42</f>
        <v>11</v>
      </c>
      <c r="E7" s="4" t="n">
        <f aca="false">Assumptions!E42</f>
        <v>11.3</v>
      </c>
      <c r="F7" s="4" t="n">
        <f aca="false">Assumptions!F42</f>
        <v>11.5</v>
      </c>
      <c r="G7" s="4" t="n">
        <f aca="false">Assumptions!G42</f>
        <v>11.5</v>
      </c>
      <c r="H7" s="4" t="n">
        <f aca="false">Assumptions!H42</f>
        <v>11.5</v>
      </c>
      <c r="I7" s="4" t="n">
        <f aca="false">Assumptions!I42</f>
        <v>11.5</v>
      </c>
      <c r="J7" s="4" t="n">
        <f aca="false">Assumptions!J42</f>
        <v>11.5</v>
      </c>
      <c r="K7" s="4" t="n">
        <f aca="false">Assumptions!K42</f>
        <v>11.5</v>
      </c>
      <c r="L7" s="4" t="n">
        <f aca="false">Assumptions!L42</f>
        <v>11.5</v>
      </c>
    </row>
    <row r="8" customFormat="false" ht="15" hidden="false" customHeight="false" outlineLevel="0" collapsed="false">
      <c r="A8" s="0" t="s">
        <v>44</v>
      </c>
      <c r="C8" s="0" t="n">
        <f aca="false">C6*C7/100</f>
        <v>41351.912916</v>
      </c>
      <c r="D8" s="0" t="n">
        <f aca="false">D6*D7/100</f>
        <v>48061.8459552</v>
      </c>
      <c r="E8" s="0" t="n">
        <f aca="false">E6*E7/100</f>
        <v>54309.885929376</v>
      </c>
      <c r="F8" s="0" t="n">
        <f aca="false">F6*F7/100</f>
        <v>59692.8126763584</v>
      </c>
      <c r="G8" s="0" t="n">
        <f aca="false">G6*G7/100</f>
        <v>63871.3095637035</v>
      </c>
      <c r="H8" s="0" t="n">
        <f aca="false">H6*H7/100</f>
        <v>67703.5881375257</v>
      </c>
      <c r="I8" s="0" t="n">
        <f aca="false">I6*I7/100</f>
        <v>71088.767544402</v>
      </c>
      <c r="J8" s="0" t="n">
        <f aca="false">J6*J7/100</f>
        <v>73932.3182461781</v>
      </c>
      <c r="K8" s="0" t="n">
        <f aca="false">K6*K7/100</f>
        <v>76519.9493847943</v>
      </c>
      <c r="L8" s="0" t="n">
        <f aca="false">L6*L7/100</f>
        <v>78815.5478663381</v>
      </c>
    </row>
    <row r="9" customFormat="false" ht="15" hidden="false" customHeight="false" outlineLevel="0" collapsed="false">
      <c r="A9" s="0" t="s">
        <v>101</v>
      </c>
      <c r="C9" s="4" t="n">
        <f aca="false">Assumptions!C43</f>
        <v>0.3</v>
      </c>
      <c r="D9" s="4" t="n">
        <f aca="false">Assumptions!D43</f>
        <v>0.3</v>
      </c>
      <c r="E9" s="4" t="n">
        <f aca="false">Assumptions!E43</f>
        <v>0.28</v>
      </c>
      <c r="F9" s="4" t="n">
        <f aca="false">Assumptions!F43</f>
        <v>0.28</v>
      </c>
      <c r="G9" s="4" t="n">
        <f aca="false">Assumptions!G43</f>
        <v>0.26</v>
      </c>
      <c r="H9" s="4" t="n">
        <f aca="false">Assumptions!H43</f>
        <v>0.25</v>
      </c>
      <c r="I9" s="4" t="n">
        <f aca="false">Assumptions!I43</f>
        <v>0.25</v>
      </c>
      <c r="J9" s="4" t="n">
        <f aca="false">Assumptions!J43</f>
        <v>0.25</v>
      </c>
      <c r="K9" s="4" t="n">
        <f aca="false">Assumptions!K43</f>
        <v>0.25</v>
      </c>
      <c r="L9" s="4" t="n">
        <f aca="false">Assumptions!L43</f>
        <v>0.25</v>
      </c>
    </row>
    <row r="10" customFormat="false" ht="15" hidden="false" customHeight="false" outlineLevel="0" collapsed="false">
      <c r="A10" s="0" t="s">
        <v>116</v>
      </c>
      <c r="C10" s="0" t="n">
        <f aca="false">-C6*C9/100</f>
        <v>-1170.337158</v>
      </c>
      <c r="D10" s="0" t="n">
        <f aca="false">-D6*D9/100</f>
        <v>-1310.77761696</v>
      </c>
      <c r="E10" s="0" t="n">
        <f aca="false">-E6*E9/100</f>
        <v>-1345.7316867456</v>
      </c>
      <c r="F10" s="0" t="n">
        <f aca="false">-F6*F9/100</f>
        <v>-1453.39022168525</v>
      </c>
      <c r="G10" s="0" t="n">
        <f aca="false">-G6*G9/100</f>
        <v>-1444.04699883156</v>
      </c>
      <c r="H10" s="0" t="n">
        <f aca="false">-H6*H9/100</f>
        <v>-1471.81713342447</v>
      </c>
      <c r="I10" s="0" t="n">
        <f aca="false">-I6*I9/100</f>
        <v>-1545.4079900957</v>
      </c>
      <c r="J10" s="0" t="n">
        <f aca="false">-J6*J9/100</f>
        <v>-1607.22430969952</v>
      </c>
      <c r="K10" s="0" t="n">
        <f aca="false">-K6*K9/100</f>
        <v>-1663.47716053901</v>
      </c>
      <c r="L10" s="0" t="n">
        <f aca="false">-L6*L9/100</f>
        <v>-1713.38147535518</v>
      </c>
    </row>
    <row r="11" customFormat="false" ht="15" hidden="false" customHeight="false" outlineLevel="0" collapsed="false">
      <c r="A11" s="0" t="s">
        <v>117</v>
      </c>
      <c r="C11" s="0" t="n">
        <f aca="false">C8+C10+C24</f>
        <v>38231.013828</v>
      </c>
      <c r="D11" s="0" t="n">
        <f aca="false">D8+D10+D24</f>
        <v>44566.43897664</v>
      </c>
      <c r="E11" s="0" t="n">
        <f aca="false">E8+E10+E24</f>
        <v>50561.0619448704</v>
      </c>
      <c r="F11" s="0" t="n">
        <f aca="false">F8+F10+F24</f>
        <v>55644.0827730924</v>
      </c>
      <c r="G11" s="0" t="n">
        <f aca="false">G8+G10+G24</f>
        <v>59650.2491055805</v>
      </c>
      <c r="H11" s="0" t="n">
        <f aca="false">H8+H10+H24</f>
        <v>63288.1367372523</v>
      </c>
      <c r="I11" s="0" t="n">
        <f aca="false">I8+I10+I24</f>
        <v>66452.5435741149</v>
      </c>
      <c r="J11" s="0" t="n">
        <f aca="false">J8+J10+J24</f>
        <v>69110.6453170795</v>
      </c>
      <c r="K11" s="0" t="n">
        <f aca="false">K8+K10+K24</f>
        <v>71529.5179031773</v>
      </c>
      <c r="L11" s="0" t="n">
        <f aca="false">L8+L10+L24</f>
        <v>73675.4034402726</v>
      </c>
    </row>
    <row r="12" customFormat="false" ht="15" hidden="false" customHeight="false" outlineLevel="0" collapsed="false">
      <c r="A12" s="0" t="s">
        <v>118</v>
      </c>
      <c r="C12" s="4" t="n">
        <f aca="false">-C6*Assumptions!C45/100</f>
        <v>-16384.720212</v>
      </c>
      <c r="D12" s="4" t="n">
        <f aca="false">-D6*Assumptions!D45/100</f>
        <v>-18350.88663744</v>
      </c>
      <c r="E12" s="4" t="n">
        <f aca="false">-E6*Assumptions!E45/100</f>
        <v>-20185.975301184</v>
      </c>
      <c r="F12" s="4" t="n">
        <f aca="false">-F6*Assumptions!F45/100</f>
        <v>-21800.8533252787</v>
      </c>
      <c r="G12" s="4" t="n">
        <f aca="false">-G6*Assumptions!G45/100</f>
        <v>-23326.9130580482</v>
      </c>
      <c r="H12" s="4" t="n">
        <f aca="false">-H6*Assumptions!H45/100</f>
        <v>-24726.5278415311</v>
      </c>
      <c r="I12" s="4" t="n">
        <f aca="false">-I6*Assumptions!I45/100</f>
        <v>-25962.8542336077</v>
      </c>
      <c r="J12" s="4" t="n">
        <f aca="false">-J6*Assumptions!J45/100</f>
        <v>-27001.368402952</v>
      </c>
      <c r="K12" s="4" t="n">
        <f aca="false">-K6*Assumptions!K45/100</f>
        <v>-27946.4162970553</v>
      </c>
      <c r="L12" s="4" t="n">
        <f aca="false">-L6*Assumptions!L45/100</f>
        <v>-28784.808785967</v>
      </c>
    </row>
    <row r="13" customFormat="false" ht="15" hidden="false" customHeight="false" outlineLevel="0" collapsed="false">
      <c r="A13" s="0" t="s">
        <v>119</v>
      </c>
      <c r="C13" s="0" t="n">
        <f aca="false">C11+C12</f>
        <v>21846.293616</v>
      </c>
      <c r="D13" s="0" t="n">
        <f aca="false">D11+D12</f>
        <v>26215.5523392</v>
      </c>
      <c r="E13" s="0" t="n">
        <f aca="false">E11+E12</f>
        <v>30375.0866436864</v>
      </c>
      <c r="F13" s="0" t="n">
        <f aca="false">F11+F12</f>
        <v>33843.2294478136</v>
      </c>
      <c r="G13" s="0" t="n">
        <f aca="false">G11+G12</f>
        <v>36323.3360475323</v>
      </c>
      <c r="H13" s="0" t="n">
        <f aca="false">H11+H12</f>
        <v>38561.6088957212</v>
      </c>
      <c r="I13" s="0" t="n">
        <f aca="false">I11+I12</f>
        <v>40489.6893405072</v>
      </c>
      <c r="J13" s="0" t="n">
        <f aca="false">J11+J12</f>
        <v>42109.2769141275</v>
      </c>
      <c r="K13" s="0" t="n">
        <f aca="false">K11+K12</f>
        <v>43583.101606122</v>
      </c>
      <c r="L13" s="0" t="n">
        <f aca="false">L11+L12</f>
        <v>44890.5946543056</v>
      </c>
    </row>
    <row r="14" customFormat="false" ht="15" hidden="false" customHeight="false" outlineLevel="0" collapsed="false">
      <c r="A14" s="0" t="s">
        <v>105</v>
      </c>
      <c r="C14" s="4" t="n">
        <f aca="false">Assumptions!C47</f>
        <v>21</v>
      </c>
      <c r="D14" s="4" t="n">
        <f aca="false">Assumptions!D47</f>
        <v>21</v>
      </c>
      <c r="E14" s="4" t="n">
        <f aca="false">Assumptions!E47</f>
        <v>21</v>
      </c>
      <c r="F14" s="4" t="n">
        <f aca="false">Assumptions!F47</f>
        <v>21</v>
      </c>
      <c r="G14" s="4" t="n">
        <f aca="false">Assumptions!G47</f>
        <v>21</v>
      </c>
      <c r="H14" s="4" t="n">
        <f aca="false">Assumptions!H47</f>
        <v>21</v>
      </c>
      <c r="I14" s="4" t="n">
        <f aca="false">Assumptions!I47</f>
        <v>21</v>
      </c>
      <c r="J14" s="4" t="n">
        <f aca="false">Assumptions!J47</f>
        <v>21</v>
      </c>
      <c r="K14" s="4" t="n">
        <f aca="false">Assumptions!K47</f>
        <v>21</v>
      </c>
      <c r="L14" s="4" t="n">
        <f aca="false">Assumptions!L47</f>
        <v>21</v>
      </c>
    </row>
    <row r="15" customFormat="false" ht="15" hidden="false" customHeight="false" outlineLevel="0" collapsed="false">
      <c r="A15" s="0" t="s">
        <v>120</v>
      </c>
      <c r="C15" s="0" t="n">
        <f aca="false">C13-MAX(0,C13)*C14/100</f>
        <v>17258.57195664</v>
      </c>
      <c r="D15" s="0" t="n">
        <f aca="false">D13-MAX(0,D13)*D14/100</f>
        <v>20710.286347968</v>
      </c>
      <c r="E15" s="0" t="n">
        <f aca="false">E13-MAX(0,E13)*E14/100</f>
        <v>23996.3184485123</v>
      </c>
      <c r="F15" s="0" t="n">
        <f aca="false">F13-MAX(0,F13)*F14/100</f>
        <v>26736.1512637728</v>
      </c>
      <c r="G15" s="0" t="n">
        <f aca="false">G13-MAX(0,G13)*G14/100</f>
        <v>28695.4354775505</v>
      </c>
      <c r="H15" s="0" t="n">
        <f aca="false">H13-MAX(0,H13)*H14/100</f>
        <v>30463.6710276197</v>
      </c>
      <c r="I15" s="0" t="n">
        <f aca="false">I13-MAX(0,I13)*I14/100</f>
        <v>31986.8545790007</v>
      </c>
      <c r="J15" s="0" t="n">
        <f aca="false">J13-MAX(0,J13)*J14/100</f>
        <v>33266.3287621607</v>
      </c>
      <c r="K15" s="0" t="n">
        <f aca="false">K13-MAX(0,K13)*K14/100</f>
        <v>34430.6502688364</v>
      </c>
      <c r="L15" s="0" t="n">
        <f aca="false">L13-MAX(0,L13)*L14/100</f>
        <v>35463.5697769015</v>
      </c>
    </row>
    <row r="16" customFormat="false" ht="15" hidden="false" customHeight="false" outlineLevel="0" collapsed="false">
      <c r="A16" s="0" t="s">
        <v>121</v>
      </c>
      <c r="C16" s="0" t="n">
        <f aca="false">-C12</f>
        <v>16384.720212</v>
      </c>
      <c r="D16" s="0" t="n">
        <f aca="false">-D12</f>
        <v>18350.88663744</v>
      </c>
      <c r="E16" s="0" t="n">
        <f aca="false">-E12</f>
        <v>20185.975301184</v>
      </c>
      <c r="F16" s="0" t="n">
        <f aca="false">-F12</f>
        <v>21800.8533252787</v>
      </c>
      <c r="G16" s="0" t="n">
        <f aca="false">-G12</f>
        <v>23326.9130580482</v>
      </c>
      <c r="H16" s="0" t="n">
        <f aca="false">-H12</f>
        <v>24726.5278415311</v>
      </c>
      <c r="I16" s="0" t="n">
        <f aca="false">-I12</f>
        <v>25962.8542336077</v>
      </c>
      <c r="J16" s="0" t="n">
        <f aca="false">-J12</f>
        <v>27001.368402952</v>
      </c>
      <c r="K16" s="0" t="n">
        <f aca="false">-K12</f>
        <v>27946.4162970553</v>
      </c>
      <c r="L16" s="0" t="n">
        <f aca="false">-L12</f>
        <v>28784.808785967</v>
      </c>
    </row>
    <row r="17" customFormat="false" ht="15" hidden="false" customHeight="false" outlineLevel="0" collapsed="false">
      <c r="A17" s="0" t="s">
        <v>122</v>
      </c>
      <c r="C17" s="4" t="n">
        <f aca="false">-C6*Assumptions!C46/100</f>
        <v>-16384.720212</v>
      </c>
      <c r="D17" s="4" t="n">
        <f aca="false">-D6*Assumptions!D46/100</f>
        <v>-18787.81250976</v>
      </c>
      <c r="E17" s="4" t="n">
        <f aca="false">-E6*Assumptions!E46/100</f>
        <v>-21147.212220288</v>
      </c>
      <c r="F17" s="4" t="n">
        <f aca="false">-F6*Assumptions!F46/100</f>
        <v>-22838.989197911</v>
      </c>
      <c r="G17" s="4" t="n">
        <f aca="false">-G6*Assumptions!G46/100</f>
        <v>-24437.7184417648</v>
      </c>
      <c r="H17" s="4" t="n">
        <f aca="false">-H6*Assumptions!H46/100</f>
        <v>-25903.9815482707</v>
      </c>
      <c r="I17" s="4" t="n">
        <f aca="false">-I6*Assumptions!I46/100</f>
        <v>-27199.1806256842</v>
      </c>
      <c r="J17" s="4" t="n">
        <f aca="false">-J6*Assumptions!J46/100</f>
        <v>-28287.1478507116</v>
      </c>
      <c r="K17" s="4" t="n">
        <f aca="false">-K6*Assumptions!K46/100</f>
        <v>-29277.1980254865</v>
      </c>
      <c r="L17" s="4" t="n">
        <f aca="false">-L6*Assumptions!L46/100</f>
        <v>-30155.5139662511</v>
      </c>
    </row>
    <row r="18" customFormat="false" ht="15" hidden="false" customHeight="false" outlineLevel="0" collapsed="false">
      <c r="A18" s="0" t="s">
        <v>123</v>
      </c>
      <c r="C18" s="4" t="n">
        <f aca="false">(C6-B6)*Assumptions!$B$51/100</f>
        <v>6732.0279</v>
      </c>
      <c r="D18" s="4" t="n">
        <f aca="false">(D6-C6)*Assumptions!$B$51/100</f>
        <v>7022.022948</v>
      </c>
      <c r="E18" s="4" t="n">
        <f aca="false">(E6-D6)*Assumptions!$B$51/100</f>
        <v>6553.8880848</v>
      </c>
      <c r="F18" s="4" t="n">
        <f aca="false">(F6-E6)*Assumptions!$B$51/100</f>
        <v>5767.42151462401</v>
      </c>
      <c r="G18" s="4" t="n">
        <f aca="false">(G6-F6)*Assumptions!$B$51/100</f>
        <v>5450.21333131968</v>
      </c>
      <c r="H18" s="4" t="n">
        <f aca="false">(H6-G6)*Assumptions!$B$51/100</f>
        <v>4998.62422672462</v>
      </c>
      <c r="I18" s="4" t="n">
        <f aca="false">(I6-H6)*Assumptions!$B$51/100</f>
        <v>4415.45140027342</v>
      </c>
      <c r="J18" s="4" t="n">
        <f aca="false">(J6-I6)*Assumptions!$B$51/100</f>
        <v>3708.97917622968</v>
      </c>
      <c r="K18" s="4" t="n">
        <f aca="false">(K6-J6)*Assumptions!$B$51/100</f>
        <v>3375.17105036899</v>
      </c>
      <c r="L18" s="4" t="n">
        <f aca="false">(L6-K6)*Assumptions!$B$51/100</f>
        <v>2994.25888897022</v>
      </c>
    </row>
    <row r="19" customFormat="false" ht="15" hidden="false" customHeight="false" outlineLevel="0" collapsed="false">
      <c r="A19" s="0" t="s">
        <v>124</v>
      </c>
      <c r="C19" s="0" t="n">
        <f aca="false">C15+C16+C17+C18</f>
        <v>23990.59985664</v>
      </c>
      <c r="D19" s="0" t="n">
        <f aca="false">D15+D16+D17+D18</f>
        <v>27295.383423648</v>
      </c>
      <c r="E19" s="0" t="n">
        <f aca="false">E15+E16+E17+E18</f>
        <v>29588.9696142083</v>
      </c>
      <c r="F19" s="0" t="n">
        <f aca="false">F15+F16+F17+F18</f>
        <v>31465.4369057645</v>
      </c>
      <c r="G19" s="0" t="n">
        <f aca="false">G15+G16+G17+G18</f>
        <v>33034.8434251536</v>
      </c>
      <c r="H19" s="0" t="n">
        <f aca="false">H15+H16+H17+H18</f>
        <v>34284.8415476048</v>
      </c>
      <c r="I19" s="0" t="n">
        <f aca="false">I15+I16+I17+I18</f>
        <v>35165.9795871976</v>
      </c>
      <c r="J19" s="0" t="n">
        <f aca="false">J15+J16+J17+J18</f>
        <v>35689.5284906308</v>
      </c>
      <c r="K19" s="0" t="n">
        <f aca="false">K15+K16+K17+K18</f>
        <v>36475.0395907741</v>
      </c>
      <c r="L19" s="0" t="n">
        <f aca="false">L15+L16+L17+L18</f>
        <v>37087.1234855875</v>
      </c>
    </row>
    <row r="20" customFormat="false" ht="15" hidden="false" customHeight="false" outlineLevel="0" collapsed="false">
      <c r="A20" s="0" t="s">
        <v>125</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126</v>
      </c>
      <c r="C21" s="0" t="n">
        <f aca="false">C19*C20</f>
        <v>21909.2236133699</v>
      </c>
      <c r="D21" s="0" t="n">
        <f aca="false">D19*D20</f>
        <v>22764.6491304585</v>
      </c>
      <c r="E21" s="0" t="n">
        <f aca="false">E19*E20</f>
        <v>22536.5526645714</v>
      </c>
      <c r="F21" s="0" t="n">
        <f aca="false">F19*F20</f>
        <v>21886.5490448811</v>
      </c>
      <c r="G21" s="0" t="n">
        <f aca="false">G19*G20</f>
        <v>20984.6464619122</v>
      </c>
      <c r="H21" s="0" t="n">
        <f aca="false">H19*H20</f>
        <v>19889.2053432361</v>
      </c>
      <c r="I21" s="0" t="n">
        <f aca="false">I19*I20</f>
        <v>18630.4731849003</v>
      </c>
      <c r="J21" s="0" t="n">
        <f aca="false">J19*J20</f>
        <v>17267.4360765259</v>
      </c>
      <c r="K21" s="0" t="n">
        <f aca="false">K19*K20</f>
        <v>16116.4245507525</v>
      </c>
      <c r="L21" s="0" t="n">
        <f aca="false">L19*L20</f>
        <v>14965.1804717922</v>
      </c>
    </row>
    <row r="23" customFormat="false" ht="15" hidden="false" customHeight="false" outlineLevel="0" collapsed="false">
      <c r="A23" s="0" t="s">
        <v>102</v>
      </c>
      <c r="C23" s="4" t="n">
        <f aca="false">Assumptions!C44</f>
        <v>0.5</v>
      </c>
      <c r="D23" s="4" t="n">
        <f aca="false">Assumptions!D44</f>
        <v>0.5</v>
      </c>
      <c r="E23" s="4" t="n">
        <f aca="false">Assumptions!E44</f>
        <v>0.5</v>
      </c>
      <c r="F23" s="4" t="n">
        <f aca="false">Assumptions!F44</f>
        <v>0.5</v>
      </c>
      <c r="G23" s="4" t="n">
        <f aca="false">Assumptions!G44</f>
        <v>0.5</v>
      </c>
      <c r="H23" s="4" t="n">
        <f aca="false">Assumptions!H44</f>
        <v>0.5</v>
      </c>
      <c r="I23" s="4" t="n">
        <f aca="false">Assumptions!I44</f>
        <v>0.5</v>
      </c>
      <c r="J23" s="4" t="n">
        <f aca="false">Assumptions!J44</f>
        <v>0.5</v>
      </c>
      <c r="K23" s="4" t="n">
        <f aca="false">Assumptions!K44</f>
        <v>0.5</v>
      </c>
      <c r="L23" s="4" t="n">
        <f aca="false">Assumptions!L44</f>
        <v>0.5</v>
      </c>
    </row>
    <row r="24" customFormat="false" ht="15" hidden="false" customHeight="false" outlineLevel="0" collapsed="false">
      <c r="A24" s="0" t="s">
        <v>127</v>
      </c>
      <c r="C24" s="0" t="n">
        <f aca="false">-C6*C23/100</f>
        <v>-1950.56193</v>
      </c>
      <c r="D24" s="0" t="n">
        <f aca="false">-D6*D23/100</f>
        <v>-2184.6293616</v>
      </c>
      <c r="E24" s="0" t="n">
        <f aca="false">-E6*E23/100</f>
        <v>-2403.09229776</v>
      </c>
      <c r="F24" s="0" t="n">
        <f aca="false">-F6*F23/100</f>
        <v>-2595.3396815808</v>
      </c>
      <c r="G24" s="0" t="n">
        <f aca="false">-G6*G23/100</f>
        <v>-2777.01345929146</v>
      </c>
      <c r="H24" s="0" t="n">
        <f aca="false">-H6*H23/100</f>
        <v>-2943.63426684894</v>
      </c>
      <c r="I24" s="0" t="n">
        <f aca="false">-I6*I23/100</f>
        <v>-3090.81598019139</v>
      </c>
      <c r="J24" s="0" t="n">
        <f aca="false">-J6*J23/100</f>
        <v>-3214.44861939905</v>
      </c>
      <c r="K24" s="0" t="n">
        <f aca="false">-K6*K23/100</f>
        <v>-3326.95432107801</v>
      </c>
      <c r="L24" s="0" t="n">
        <f aca="false">-L6*L23/100</f>
        <v>-3426.76295071035</v>
      </c>
    </row>
    <row r="26" customFormat="false" ht="15" hidden="false" customHeight="false" outlineLevel="0" collapsed="false">
      <c r="A26" s="2" t="s">
        <v>128</v>
      </c>
    </row>
    <row r="27" customFormat="false" ht="15" hidden="false" customHeight="false" outlineLevel="0" collapsed="false">
      <c r="A27" s="0" t="s">
        <v>106</v>
      </c>
      <c r="B27" s="4" t="n">
        <f aca="false">Assumptions!$B$48</f>
        <v>9.5</v>
      </c>
    </row>
    <row r="28" customFormat="false" ht="15" hidden="false" customHeight="false" outlineLevel="0" collapsed="false">
      <c r="A28" s="0" t="s">
        <v>107</v>
      </c>
      <c r="B28" s="4" t="n">
        <f aca="false">Assumptions!$B$49</f>
        <v>3</v>
      </c>
    </row>
    <row r="29" customFormat="false" ht="15" hidden="false" customHeight="false" outlineLevel="0" collapsed="false">
      <c r="A29" s="0" t="s">
        <v>108</v>
      </c>
      <c r="B29" s="4" t="n">
        <f aca="false">Assumptions!$B$50</f>
        <v>12</v>
      </c>
    </row>
    <row r="30" customFormat="false" ht="15" hidden="false" customHeight="false" outlineLevel="0" collapsed="false">
      <c r="A30" s="0" t="s">
        <v>129</v>
      </c>
      <c r="B30" s="0" t="n">
        <f aca="false">SUM(C21:L21)</f>
        <v>196950.3405424</v>
      </c>
    </row>
    <row r="31" customFormat="false" ht="15" hidden="false" customHeight="false" outlineLevel="0" collapsed="false">
      <c r="A31" s="0" t="s">
        <v>130</v>
      </c>
      <c r="B31" s="0" t="n">
        <f aca="false">L19</f>
        <v>37087.1234855875</v>
      </c>
    </row>
    <row r="32" customFormat="false" ht="15" hidden="false" customHeight="false" outlineLevel="0" collapsed="false">
      <c r="A32" s="0" t="s">
        <v>131</v>
      </c>
      <c r="B32" s="0" t="n">
        <f aca="false">IF(B27&gt;B28,B31*(1+B28/100)/((B27-B28)/100),B31*B29)</f>
        <v>587688.264463926</v>
      </c>
    </row>
    <row r="33" customFormat="false" ht="15" hidden="false" customHeight="false" outlineLevel="0" collapsed="false">
      <c r="A33" s="0" t="s">
        <v>132</v>
      </c>
      <c r="B33" s="0" t="n">
        <f aca="false">B31*B29</f>
        <v>445045.48182705</v>
      </c>
    </row>
    <row r="34" customFormat="false" ht="15" hidden="false" customHeight="false" outlineLevel="0" collapsed="false">
      <c r="A34" s="0" t="s">
        <v>133</v>
      </c>
      <c r="B34" s="0" t="n">
        <f aca="false">MAX(0,MIN(B32,B33))</f>
        <v>445045.48182705</v>
      </c>
    </row>
    <row r="35" customFormat="false" ht="15" hidden="false" customHeight="false" outlineLevel="0" collapsed="false">
      <c r="A35" s="0" t="s">
        <v>134</v>
      </c>
      <c r="B35" s="0" t="n">
        <f aca="false">B34/(1+B27/100)^L4</f>
        <v>179582.165661506</v>
      </c>
    </row>
    <row r="36" customFormat="false" ht="15" hidden="false" customHeight="false" outlineLevel="0" collapsed="false">
      <c r="A36" s="0" t="s">
        <v>135</v>
      </c>
      <c r="B36" s="0" t="n">
        <f aca="false">B30+B35</f>
        <v>376532.506203907</v>
      </c>
    </row>
    <row r="37" customFormat="false" ht="15" hidden="false" customHeight="false" outlineLevel="0" collapsed="false">
      <c r="A37" s="0" t="s">
        <v>136</v>
      </c>
      <c r="B37" s="0" t="n">
        <f aca="false">B36+Assumptions!$B$5-Assumptions!$B$4</f>
        <v>458024.206203907</v>
      </c>
    </row>
    <row r="38" customFormat="false" ht="15" hidden="false" customHeight="false" outlineLevel="0" collapsed="false">
      <c r="A38" s="0" t="s">
        <v>137</v>
      </c>
      <c r="B38" s="0" t="n">
        <f aca="false">B37/Assumptions!$B$3*Assumptions!$B$10</f>
        <v>48.6718197725838</v>
      </c>
    </row>
    <row r="39" customFormat="false" ht="15" hidden="false" customHeight="false" outlineLevel="0" collapsed="false">
      <c r="A39" s="0" t="s">
        <v>138</v>
      </c>
      <c r="B39" s="4" t="n">
        <f aca="false">B38/Assumptions!$B$2-1</f>
        <v>2.21690811451314</v>
      </c>
    </row>
    <row r="41" customFormat="false" ht="15" hidden="false" customHeight="false" outlineLevel="0" collapsed="false">
      <c r="A41" s="0" t="s">
        <v>139</v>
      </c>
      <c r="B41" s="0" t="n">
        <f aca="false">SUMPRODUCT(-C10:L10/(1+$B$27/100)^C4:L4)</f>
        <v>8991.77841273608</v>
      </c>
    </row>
    <row r="42" customFormat="false" ht="15" hidden="false" customHeight="false" outlineLevel="0" collapsed="false">
      <c r="A42" s="0" t="s">
        <v>140</v>
      </c>
      <c r="B42" s="0" t="n">
        <f aca="false">IF(B27&gt;B28,-L10*(1+B28/100)/((B27-B28)/100),-L10*20)/(1+B27/100)^L4</f>
        <v>10955.6145320068</v>
      </c>
    </row>
    <row r="43" customFormat="false" ht="15" hidden="false" customHeight="false" outlineLevel="0" collapsed="false">
      <c r="A43" s="0" t="s">
        <v>141</v>
      </c>
      <c r="B43" s="0" t="n">
        <f aca="false">(B37+B41+B42)/Assumptions!$B$3*Assumptions!$B$10</f>
        <v>50.7915241488787</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318331.143251293</v>
      </c>
    </row>
    <row r="47" customFormat="false" ht="15" hidden="false" customHeight="false" outlineLevel="0" collapsed="false">
      <c r="A47" s="0" t="s">
        <v>143</v>
      </c>
      <c r="B47" s="0" t="n">
        <f aca="false">(SUMPRODUCT(C19:L19/(1+B45/100)^C4:L4)+B46/(1+B45/100)^L4+Assumptions!$B$5-Assumptions!$B$4)/Assumptions!$B$3*Assumptions!$B$10</f>
        <v>33.4515067759417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17.7773160028474</v>
      </c>
      <c r="C4" s="0" t="n">
        <f aca="false">B4/Assumptions!$B$2-1</f>
        <v>0.174971315455877</v>
      </c>
      <c r="D4" s="4" t="n">
        <f aca="false">Assumptions!$B$24</f>
        <v>0.25</v>
      </c>
      <c r="E4" s="4" t="n">
        <f aca="false">DCF_Bear!$B$43</f>
        <v>19.0808371249737</v>
      </c>
      <c r="F4" s="4" t="n">
        <f aca="false">DCF_Bear!$B$47</f>
        <v>14.8855452313936</v>
      </c>
    </row>
    <row r="5" customFormat="false" ht="15" hidden="false" customHeight="false" outlineLevel="0" collapsed="false">
      <c r="A5" s="0" t="s">
        <v>152</v>
      </c>
      <c r="B5" s="4" t="n">
        <f aca="false">DCF_Base!$B$38</f>
        <v>33.8577989842527</v>
      </c>
      <c r="C5" s="0" t="n">
        <f aca="false">B5/Assumptions!$B$2-1</f>
        <v>1.23779239816607</v>
      </c>
      <c r="D5" s="4" t="n">
        <f aca="false">Assumptions!$B$38</f>
        <v>0.5</v>
      </c>
      <c r="E5" s="4" t="n">
        <f aca="false">DCF_Base!$B$43</f>
        <v>35.5912525480852</v>
      </c>
      <c r="F5" s="4" t="n">
        <f aca="false">DCF_Base!$B$47</f>
        <v>24.3176802414899</v>
      </c>
    </row>
    <row r="6" customFormat="false" ht="15" hidden="false" customHeight="false" outlineLevel="0" collapsed="false">
      <c r="A6" s="0" t="s">
        <v>153</v>
      </c>
      <c r="B6" s="4" t="n">
        <f aca="false">DCF_Bull!$B$38</f>
        <v>48.6718197725838</v>
      </c>
      <c r="C6" s="0" t="n">
        <f aca="false">B6/Assumptions!$B$2-1</f>
        <v>2.21690811451314</v>
      </c>
      <c r="D6" s="4" t="n">
        <f aca="false">Assumptions!$B$52</f>
        <v>0.25</v>
      </c>
      <c r="E6" s="4" t="n">
        <f aca="false">DCF_Bull!$B$43</f>
        <v>50.7915241488787</v>
      </c>
      <c r="F6" s="4" t="n">
        <f aca="false">DCF_Bull!$B$47</f>
        <v>33.4515067759417</v>
      </c>
    </row>
    <row r="8" customFormat="false" ht="15" hidden="false" customHeight="false" outlineLevel="0" collapsed="false">
      <c r="A8" s="0" t="s">
        <v>154</v>
      </c>
      <c r="B8" s="0" t="n">
        <f aca="false">SUMPRODUCT(B4:B6,D4:D6)</f>
        <v>33.5411834359841</v>
      </c>
    </row>
    <row r="9" customFormat="false" ht="15" hidden="false" customHeight="false" outlineLevel="0" collapsed="false">
      <c r="A9" s="0" t="s">
        <v>155</v>
      </c>
      <c r="B9" s="0" t="n">
        <f aca="false">SUMPRODUCT(E4:E6,D4:D6)</f>
        <v>35.2637165925057</v>
      </c>
    </row>
    <row r="10" customFormat="false" ht="15" hidden="false" customHeight="false" outlineLevel="0" collapsed="false">
      <c r="A10" s="0" t="s">
        <v>156</v>
      </c>
      <c r="B10" s="0" t="n">
        <f aca="false">1-Assumptions!$B$2/B8</f>
        <v>0.548912755899721</v>
      </c>
    </row>
    <row r="11" customFormat="false" ht="15" hidden="false" customHeight="false" outlineLevel="0" collapsed="false">
      <c r="A11" s="0" t="s">
        <v>157</v>
      </c>
      <c r="B11" s="0" t="n">
        <f aca="false">IF(ABS(B9-B8)&gt;0.01*ABS(B8),(Assumptions!$B$2-B8)/(B9-B8)*100,"n/a")</f>
        <v>-1068.84348590207</v>
      </c>
    </row>
    <row r="12" customFormat="false" ht="15" hidden="false" customHeight="false" outlineLevel="0" collapsed="false">
      <c r="A12" s="0" t="s">
        <v>158</v>
      </c>
      <c r="B12" s="0" t="n">
        <f aca="false">SUMPRODUCT(F4:F6,D4:D6)</f>
        <v>24.2431031225788</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34.7100895603929</v>
      </c>
      <c r="C15" s="3" t="n">
        <v>9</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33.8577989842527</v>
      </c>
      <c r="C16" s="3" t="n">
        <v>9.5</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33.0425753266558</v>
      </c>
      <c r="C17" s="3" t="n">
        <v>10</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31.5160151378705</v>
      </c>
      <c r="C18" s="3" t="n">
        <v>11</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29.1832916145963</v>
      </c>
      <c r="C19" s="3" t="n">
        <v>12</v>
      </c>
    </row>
    <row r="20" customFormat="false" ht="15" hidden="false" customHeight="false" outlineLevel="0" collapsed="false">
      <c r="A20" s="0" t="s">
        <v>166</v>
      </c>
      <c r="B20" s="0" t="n">
        <f aca="false">(SUMPRODUCT(DCF_Base!$C$19:$L$19/(1+$C$20/100)^DCF_Base!$C$4:$L$4)+MAX(0,MIN(IF($C$20&gt;DCF_Base!$B$28,DCF_Base!$L$19*(1+DCF_Base!$B$28/100)/(($C$20-DCF_Base!$B$28)/100),DCF_Base!$L$19*DCF_Base!$B$29),DCF_Base!$L$19*DCF_Base!$B$29))/(1+$C$20/100)^DCF_Base!$L$4+Assumptions!$B$5-Assumptions!$B$4)/Assumptions!$B$3*Assumptions!$B$10</f>
        <v>24.3176802414899</v>
      </c>
      <c r="C20" s="3" t="n">
        <v>15</v>
      </c>
    </row>
    <row r="22" customFormat="false" ht="15" hidden="false" customHeight="false" outlineLevel="0" collapsed="false">
      <c r="A22" s="2" t="s">
        <v>167</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37.5095813655521</v>
      </c>
      <c r="C24" s="0" t="n">
        <f aca="false">(SUMPRODUCT(DCF_Base!$C$19:$L$19/(1+$A$24/100)^DCF_Base!$C$4:$L$4)+MAX(0,MIN(IF($A$24&gt;$C$23,DCF_Base!$L$19*(1+$C$23/100)/(($A$24-$C$23)/100),DCF_Base!$L$19*DCF_Base!$B$29),DCF_Base!$L$19*DCF_Base!$B$29))/(1+$A$24/100)^DCF_Base!$L$4+Assumptions!$B$5-Assumptions!$B$4)/Assumptions!$B$3*Assumptions!$B$10</f>
        <v>37.5095813655521</v>
      </c>
      <c r="D24" s="0" t="n">
        <f aca="false">(SUMPRODUCT(DCF_Base!$C$19:$L$19/(1+$A$24/100)^DCF_Base!$C$4:$L$4)+MAX(0,MIN(IF($A$24&gt;$D$23,DCF_Base!$L$19*(1+$D$23/100)/(($A$24-$D$23)/100),DCF_Base!$L$19*DCF_Base!$B$29),DCF_Base!$L$19*DCF_Base!$B$29))/(1+$A$24/100)^DCF_Base!$L$4+Assumptions!$B$5-Assumptions!$B$4)/Assumptions!$B$3*Assumptions!$B$10</f>
        <v>37.5095813655521</v>
      </c>
      <c r="E24" s="0" t="n">
        <f aca="false">(SUMPRODUCT(DCF_Base!$C$19:$L$19/(1+$A$24/100)^DCF_Base!$C$4:$L$4)+MAX(0,MIN(IF($A$24&gt;$E$23,DCF_Base!$L$19*(1+$E$23/100)/(($A$24-$E$23)/100),DCF_Base!$L$19*DCF_Base!$B$29),DCF_Base!$L$19*DCF_Base!$B$29))/(1+$A$24/100)^DCF_Base!$L$4+Assumptions!$B$5-Assumptions!$B$4)/Assumptions!$B$3*Assumptions!$B$10</f>
        <v>37.5095813655521</v>
      </c>
      <c r="F24" s="0" t="n">
        <f aca="false">(SUMPRODUCT(DCF_Base!$C$19:$L$19/(1+$A$24/100)^DCF_Base!$C$4:$L$4)+MAX(0,MIN(IF($A$24&gt;$F$23,DCF_Base!$L$19*(1+$F$23/100)/(($A$24-$F$23)/100),DCF_Base!$L$19*DCF_Base!$B$29),DCF_Base!$L$19*DCF_Base!$B$29))/(1+$A$24/100)^DCF_Base!$L$4+Assumptions!$B$5-Assumptions!$B$4)/Assumptions!$B$3*Assumptions!$B$10</f>
        <v>37.5095813655521</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35.6014101225149</v>
      </c>
      <c r="C25" s="0" t="n">
        <f aca="false">(SUMPRODUCT(DCF_Base!$C$19:$L$19/(1+$A$25/100)^DCF_Base!$C$4:$L$4)+MAX(0,MIN(IF($A$25&gt;$C$23,DCF_Base!$L$19*(1+$C$23/100)/(($A$25-$C$23)/100),DCF_Base!$L$19*DCF_Base!$B$29),DCF_Base!$L$19*DCF_Base!$B$29))/(1+$A$25/100)^DCF_Base!$L$4+Assumptions!$B$5-Assumptions!$B$4)/Assumptions!$B$3*Assumptions!$B$10</f>
        <v>35.6014101225149</v>
      </c>
      <c r="D25" s="0" t="n">
        <f aca="false">(SUMPRODUCT(DCF_Base!$C$19:$L$19/(1+$A$25/100)^DCF_Base!$C$4:$L$4)+MAX(0,MIN(IF($A$25&gt;$D$23,DCF_Base!$L$19*(1+$D$23/100)/(($A$25-$D$23)/100),DCF_Base!$L$19*DCF_Base!$B$29),DCF_Base!$L$19*DCF_Base!$B$29))/(1+$A$25/100)^DCF_Base!$L$4+Assumptions!$B$5-Assumptions!$B$4)/Assumptions!$B$3*Assumptions!$B$10</f>
        <v>35.6014101225149</v>
      </c>
      <c r="E25" s="0" t="n">
        <f aca="false">(SUMPRODUCT(DCF_Base!$C$19:$L$19/(1+$A$25/100)^DCF_Base!$C$4:$L$4)+MAX(0,MIN(IF($A$25&gt;$E$23,DCF_Base!$L$19*(1+$E$23/100)/(($A$25-$E$23)/100),DCF_Base!$L$19*DCF_Base!$B$29),DCF_Base!$L$19*DCF_Base!$B$29))/(1+$A$25/100)^DCF_Base!$L$4+Assumptions!$B$5-Assumptions!$B$4)/Assumptions!$B$3*Assumptions!$B$10</f>
        <v>35.6014101225149</v>
      </c>
      <c r="F25" s="0" t="n">
        <f aca="false">(SUMPRODUCT(DCF_Base!$C$19:$L$19/(1+$A$25/100)^DCF_Base!$C$4:$L$4)+MAX(0,MIN(IF($A$25&gt;$F$23,DCF_Base!$L$19*(1+$F$23/100)/(($A$25-$F$23)/100),DCF_Base!$L$19*DCF_Base!$B$29),DCF_Base!$L$19*DCF_Base!$B$29))/(1+$A$25/100)^DCF_Base!$L$4+Assumptions!$B$5-Assumptions!$B$4)/Assumptions!$B$3*Assumptions!$B$10</f>
        <v>35.6014101225149</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33.8577989842527</v>
      </c>
      <c r="C26" s="0" t="n">
        <f aca="false">(SUMPRODUCT(DCF_Base!$C$19:$L$19/(1+$A$26/100)^DCF_Base!$C$4:$L$4)+MAX(0,MIN(IF($A$26&gt;$C$23,DCF_Base!$L$19*(1+$C$23/100)/(($A$26-$C$23)/100),DCF_Base!$L$19*DCF_Base!$B$29),DCF_Base!$L$19*DCF_Base!$B$29))/(1+$A$26/100)^DCF_Base!$L$4+Assumptions!$B$5-Assumptions!$B$4)/Assumptions!$B$3*Assumptions!$B$10</f>
        <v>33.8577989842527</v>
      </c>
      <c r="D26" s="0" t="n">
        <f aca="false">(SUMPRODUCT(DCF_Base!$C$19:$L$19/(1+$A$26/100)^DCF_Base!$C$4:$L$4)+MAX(0,MIN(IF($A$26&gt;$D$23,DCF_Base!$L$19*(1+$D$23/100)/(($A$26-$D$23)/100),DCF_Base!$L$19*DCF_Base!$B$29),DCF_Base!$L$19*DCF_Base!$B$29))/(1+$A$26/100)^DCF_Base!$L$4+Assumptions!$B$5-Assumptions!$B$4)/Assumptions!$B$3*Assumptions!$B$10</f>
        <v>33.8577989842527</v>
      </c>
      <c r="E26" s="0" t="n">
        <f aca="false">(SUMPRODUCT(DCF_Base!$C$19:$L$19/(1+$A$26/100)^DCF_Base!$C$4:$L$4)+MAX(0,MIN(IF($A$26&gt;$E$23,DCF_Base!$L$19*(1+$E$23/100)/(($A$26-$E$23)/100),DCF_Base!$L$19*DCF_Base!$B$29),DCF_Base!$L$19*DCF_Base!$B$29))/(1+$A$26/100)^DCF_Base!$L$4+Assumptions!$B$5-Assumptions!$B$4)/Assumptions!$B$3*Assumptions!$B$10</f>
        <v>33.8577989842527</v>
      </c>
      <c r="F26" s="0" t="n">
        <f aca="false">(SUMPRODUCT(DCF_Base!$C$19:$L$19/(1+$A$26/100)^DCF_Base!$C$4:$L$4)+MAX(0,MIN(IF($A$26&gt;$F$23,DCF_Base!$L$19*(1+$F$23/100)/(($A$26-$F$23)/100),DCF_Base!$L$19*DCF_Base!$B$29),DCF_Base!$L$19*DCF_Base!$B$29))/(1+$A$26/100)^DCF_Base!$L$4+Assumptions!$B$5-Assumptions!$B$4)/Assumptions!$B$3*Assumptions!$B$10</f>
        <v>33.8577989842527</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31.6252434639644</v>
      </c>
      <c r="C27" s="0" t="n">
        <f aca="false">(SUMPRODUCT(DCF_Base!$C$19:$L$19/(1+$A$27/100)^DCF_Base!$C$4:$L$4)+MAX(0,MIN(IF($A$27&gt;$C$23,DCF_Base!$L$19*(1+$C$23/100)/(($A$27-$C$23)/100),DCF_Base!$L$19*DCF_Base!$B$29),DCF_Base!$L$19*DCF_Base!$B$29))/(1+$A$27/100)^DCF_Base!$L$4+Assumptions!$B$5-Assumptions!$B$4)/Assumptions!$B$3*Assumptions!$B$10</f>
        <v>32.2625645629642</v>
      </c>
      <c r="D27" s="0" t="n">
        <f aca="false">(SUMPRODUCT(DCF_Base!$C$19:$L$19/(1+$A$27/100)^DCF_Base!$C$4:$L$4)+MAX(0,MIN(IF($A$27&gt;$D$23,DCF_Base!$L$19*(1+$D$23/100)/(($A$27-$D$23)/100),DCF_Base!$L$19*DCF_Base!$B$29),DCF_Base!$L$19*DCF_Base!$B$29))/(1+$A$27/100)^DCF_Base!$L$4+Assumptions!$B$5-Assumptions!$B$4)/Assumptions!$B$3*Assumptions!$B$10</f>
        <v>32.2625645629642</v>
      </c>
      <c r="E27" s="0" t="n">
        <f aca="false">(SUMPRODUCT(DCF_Base!$C$19:$L$19/(1+$A$27/100)^DCF_Base!$C$4:$L$4)+MAX(0,MIN(IF($A$27&gt;$E$23,DCF_Base!$L$19*(1+$E$23/100)/(($A$27-$E$23)/100),DCF_Base!$L$19*DCF_Base!$B$29),DCF_Base!$L$19*DCF_Base!$B$29))/(1+$A$27/100)^DCF_Base!$L$4+Assumptions!$B$5-Assumptions!$B$4)/Assumptions!$B$3*Assumptions!$B$10</f>
        <v>32.2625645629642</v>
      </c>
      <c r="F27" s="0" t="n">
        <f aca="false">(SUMPRODUCT(DCF_Base!$C$19:$L$19/(1+$A$27/100)^DCF_Base!$C$4:$L$4)+MAX(0,MIN(IF($A$27&gt;$F$23,DCF_Base!$L$19*(1+$F$23/100)/(($A$27-$F$23)/100),DCF_Base!$L$19*DCF_Base!$B$29),DCF_Base!$L$19*DCF_Base!$B$29))/(1+$A$27/100)^DCF_Base!$L$4+Assumptions!$B$5-Assumptions!$B$4)/Assumptions!$B$3*Assumptions!$B$10</f>
        <v>32.2625645629642</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29.3093939060136</v>
      </c>
      <c r="C28" s="0" t="n">
        <f aca="false">(SUMPRODUCT(DCF_Base!$C$19:$L$19/(1+$A$28/100)^DCF_Base!$C$4:$L$4)+MAX(0,MIN(IF($A$28&gt;$C$23,DCF_Base!$L$19*(1+$C$23/100)/(($A$28-$C$23)/100),DCF_Base!$L$19*DCF_Base!$B$29),DCF_Base!$L$19*DCF_Base!$B$29))/(1+$A$28/100)^DCF_Base!$L$4+Assumptions!$B$5-Assumptions!$B$4)/Assumptions!$B$3*Assumptions!$B$10</f>
        <v>29.7826354057108</v>
      </c>
      <c r="D28" s="0" t="n">
        <f aca="false">(SUMPRODUCT(DCF_Base!$C$19:$L$19/(1+$A$28/100)^DCF_Base!$C$4:$L$4)+MAX(0,MIN(IF($A$28&gt;$D$23,DCF_Base!$L$19*(1+$D$23/100)/(($A$28-$D$23)/100),DCF_Base!$L$19*DCF_Base!$B$29),DCF_Base!$L$19*DCF_Base!$B$29))/(1+$A$28/100)^DCF_Base!$L$4+Assumptions!$B$5-Assumptions!$B$4)/Assumptions!$B$3*Assumptions!$B$10</f>
        <v>30.3084592942632</v>
      </c>
      <c r="E28" s="0" t="n">
        <f aca="false">(SUMPRODUCT(DCF_Base!$C$19:$L$19/(1+$A$28/100)^DCF_Base!$C$4:$L$4)+MAX(0,MIN(IF($A$28&gt;$E$23,DCF_Base!$L$19*(1+$E$23/100)/(($A$28-$E$23)/100),DCF_Base!$L$19*DCF_Base!$B$29),DCF_Base!$L$19*DCF_Base!$B$29))/(1+$A$28/100)^DCF_Base!$L$4+Assumptions!$B$5-Assumptions!$B$4)/Assumptions!$B$3*Assumptions!$B$10</f>
        <v>30.8012718176151</v>
      </c>
      <c r="F28" s="0" t="n">
        <f aca="false">(SUMPRODUCT(DCF_Base!$C$19:$L$19/(1+$A$28/100)^DCF_Base!$C$4:$L$4)+MAX(0,MIN(IF($A$28&gt;$F$23,DCF_Base!$L$19*(1+$F$23/100)/(($A$28-$F$23)/100),DCF_Base!$L$19*DCF_Base!$B$29),DCF_Base!$L$19*DCF_Base!$B$29))/(1+$A$28/100)^DCF_Base!$L$4+Assumptions!$B$5-Assumptions!$B$4)/Assumptions!$B$3*Assumptions!$B$10</f>
        <v>30.8012718176151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2026-10-10T21:31:07Z</dcterms:created>
  <dc:creator>openpyxl</dc:creator>
  <dc:description/>
  <dc:language>en-NZ</dc:language>
  <cp:lastModifiedBy/>
  <dcterms:modified xsi:type="dcterms:W3CDTF">2026-10-10T21:31:07Z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