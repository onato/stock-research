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<sst xmlns="http://schemas.openxmlformats.org/spreadsheetml/2006/main" count="354" uniqueCount="163">
  <si>
    <t xml:space="preserve">Ticker</t>
  </si>
  <si>
    <t xml:space="preserve">0856.HK</t>
  </si>
  <si>
    <t xml:space="preserve">Company</t>
  </si>
  <si>
    <t xml:space="preserve">VSTECS Holdings Limited</t>
  </si>
  <si>
    <t xml:space="preserve">Valuation date</t>
  </si>
  <si>
    <t xml:space="preserve">2026-10-11</t>
  </si>
  <si>
    <t xml:space="preserve">Current price</t>
  </si>
  <si>
    <t xml:space="preserve">Price as of</t>
  </si>
  <si>
    <t xml:space="preserve">2026-10-09T08:08:06Z (HKEX regular close, Friday; valuation written Saturday 2026-10-11)</t>
  </si>
  <si>
    <t xml:space="preserve">Balance sheet date</t>
  </si>
  <si>
    <t xml:space="preserve">2026-06-30</t>
  </si>
  <si>
    <t xml:space="preserve">Model</t>
  </si>
  <si>
    <t xml:space="preserve">owner_fcf_dcf_component</t>
  </si>
  <si>
    <t xml:space="preserve">Currency (model)</t>
  </si>
  <si>
    <t xml:space="preserve">HKD</t>
  </si>
  <si>
    <t xml:space="preserve">Currency (quote)</t>
  </si>
  <si>
    <t xml:space="preserve">Units</t>
  </si>
  <si>
    <t xml:space="preserve">millions</t>
  </si>
  <si>
    <t xml:space="preserve">Engine</t>
  </si>
  <si>
    <t xml:space="preserve">dcf_engine v1</t>
  </si>
  <si>
    <t xml:space="preserve">Built at</t>
  </si>
  <si>
    <t xml:space="preserve">2026-10-11T09:16:26Z</t>
  </si>
  <si>
    <t xml:space="preserve">Drivers file</t>
  </si>
  <si>
    <t xml:space="preserve">0856.HK_Drivers.json</t>
  </si>
  <si>
    <t xml:space="preserve">Convention</t>
  </si>
  <si>
    <t xml:space="preserve">Percents stored as percents; formulas divide by 100. Blue = input, green = link, black = formula.</t>
  </si>
  <si>
    <t xml:space="preserve">Methodology</t>
  </si>
  <si>
    <t xml:space="preserve">summary: A high-volume, 4.5%-gross-margin ICT distributor is valued on the cash it can distribute after funding the working capital its growth requires, not on reported profit. The build strips non-operating income (associates, fair-value gains) and adds those assets back in the bridge, charges leases as an operating cost, folds minority leakage into the tax line, deducts the latest (seasonally high) net debt and the dividend already declared, and caps the terminal value at 12x FCF. The FY2026 AI/memory upcycle is given partial credit in the margin path, not full credit in perpetuity.
key_risks_to_valuation: Working-capital intensity: a 2pp change in wc_capture_pct (e.g. -8 vs -12) moves terminal FCF conversion by ~10% and is the largest single driver after the margin; Net-debt anchor seasonality: the 30 June 2026 net debt (HK$8.9bn) is ~HK$5bn above the December 2025 figure because of an AI-server inventory build; if year-end FY2026 net debt reverts toward HK$4-5bn the equity value rises ~HK$3/share mechanically; Margin durability: the pre-lease EBITDA margin has ranged 1.7-2.5%; the base path at 2.25% assumes the mix gain persists but the H1 FY2026 peak does not; US export controls / Southeast-Asia transshipment scrutiny on NVIDIA-related distribution; Huawei and other vendor-authorisation concentration; Floating-rate HK$13.2bn bank debt: +100bp costs ~HK$130m/yr pre-tax, ~7% of FY2025 PBT; Level-3 unlisted investments (HK$629m, 50% haircut taken) and receivable provisions (HK$147m in H1 FY2026, rising)</t>
  </si>
  <si>
    <t xml:space="preserve">Data sources</t>
  </si>
  <si>
    <t xml:space="preserve">price: Yahoo Finance chart API (query1.finance.yahoo.com/v8/finance/chart/0856.HK) at inputs.price_as_of; 52-week range 7.25-12.72
financials: research/0856.HK/Reports/0856.HK_Metrics.csv (FY2018-FY2025 annual, H1 FY2023-H1 FY2026 interim); FY2025 Annual Report (segment note 22, operating profit note 24, taxation note 26, EPS note 28, cash-flow note 30, other financial assets note 11, other financial liabilities note 18, pledged assets note 3.4, share options note 15); H1 FY2026 Interim Report (balance sheet, cash-flow statement, segment note 3, EPS note 7, other financial assets note 10, borrowings note 13, MD&amp;A liquidity section)
qualitative: research/0856.HK/Reports/0856.HK_Analysis.json (2026-10-11); FY2025 chairman's statement; H1 FY2026 MD&amp;A 'Prospects'; CITIC Securities initiation (Oct-2025) for the street FY2026 revenue estimate</t>
  </si>
  <si>
    <t xml:space="preserve">Scenario narrative: bear</t>
  </si>
  <si>
    <t xml:space="preserve">The AI order cycle proves to be a stocking cycle. H2 FY2026 slows, then FY2027-28 see a component-price reversal and a US export-control / Southeast-Asia transshipment-compliance shock that cuts the NVIDIA-related business while China enterprise and government IT budgets stall; revenue falls 3% in FY2028 and the pre-lease EBITDA margin drops to 1.85%, below the FY2024 level. The HK$13.2bn of floating-rate bank debt built up to fund the H1 FY2026 inventory/receivable position is refinanced at higher spreads, receivable provisions rise further, and WC intensity sits at 12%. Growth recovers only to 2.5-3%.</t>
  </si>
  <si>
    <t xml:space="preserve">Scenario narrative: base</t>
  </si>
  <si>
    <t xml:space="preserve">VSTECS compounds as the region's largest independent ICT distributor through the current AI computing-power cycle without keeping all of the cycle's margin. FY2026 revenue grows ~14% (H1 +15.6%) and the pre-lease EBITDA margin settles at 2.25-2.35% -- 20-30bp above FY2024-25 as enterprise systems, cloud (+29%) and AI infrastructure gain share of mix, but below the H1 FY2026 2.46% peak. Growth decelerates to 3% HKD nominal by FY2034. Working capital stays the business's defining constraint: every HK$100 of incremental revenue ties up HK$10, so owner FCF runs at ~80% of NOPAT at terminal and the H1 FY2026 HK$8.9bn net-debt position (after the AI-server inventory build) is carried as the anchor. Value is capped at 12x terminal FCF: a thin-margin distributor does not earn a compounder's multiple.</t>
  </si>
  <si>
    <t xml:space="preserve">Scenario narrative: bull</t>
  </si>
  <si>
    <t xml:space="preserve">The dual 'domestic innovation + overseas expansion' strategy delivers: China's domestic-chip substitution (Huawei Ascend, Hygon) and the Southeast Asian hyperscaler/sovereign AI data-centre build-out (NVIDIA regional partner, Starlink, cloud at +30-120%) keep revenue growth in double digits through FY2028 (FY2026 +18%, in line with CITIC's HK$116.5bn). Mix shift and operating leverage hold the EBITDA margin at the H1 FY2026 run-rate and lift it to 2.6%; vendor-financed payables keep incremental WC at 8%. The stock's re-rating (ATH HK$12.22, Aug-2025) resumes as FY2026 attributable profit approaches HK$1.9bn.</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</si>
  <si>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</si>
  <si>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</si>
  <si>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</si>
  <si>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</si>
  <si>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</si>
  <si>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</si>
  <si>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</si>
  <si>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</si>
  <si>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</si>
  <si>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</si>
  <si>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</si>
  <si>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</si>
  <si>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</si>
  <si>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</si>
  <si>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</si>
  <si>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</si>
  <si>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</si>
  <si>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</si>
  <si>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</si>
  <si>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</si>
  <si>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</si>
  <si>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</si>
  <si>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</si>
  <si>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</si>
  <si>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</si>
  <si>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</si>
  <si>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</si>
  <si>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ProfitIncludingNCI</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</si>
  <si>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</si>
  <si>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</si>
  <si>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</si>
  <si>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</si>
  <si>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</si>
  <si>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</si>
  <si>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</si>
  <si>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</si>
  <si>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</si>
  <si>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</si>
  <si>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</si>
  <si>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</si>
  <si>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</si>
  <si>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</si>
  <si>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</si>
  <si>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</si>
  <si>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</si>
  <si>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</si>
  <si>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HKD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</si>
  <si>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</si>
  <si>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</si>
  <si>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</si>
  <si>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</si>
  <si>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</si>
  <si>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</si>
  <si>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</si>
  <si>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</si>
  <si>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</si>
  <si>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</si>
  <si>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</si>
  <si>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</si>
  <si>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</si>
  <si>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</si>
  <si>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</si>
  <si>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</si>
  <si>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</si>
  <si>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</si>
  <si>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</si>
  <si>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</si>
  <si>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</si>
  <si>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</si>
  <si>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</si>
  <si>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</si>
  <si>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</si>
  <si>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</si>
  <si>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0856.HK owner-FCF component DCF: bear case (millions, HKD)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</si>
  <si>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</si>
  <si>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</si>
  <si>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</si>
  <si>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</si>
  <si>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</si>
  <si>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</si>
  <si>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</si>
  <si>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</si>
  <si>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</si>
  <si>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</si>
  <si>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</si>
  <si>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</si>
  <si>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</si>
  <si>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</si>
  <si>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</si>
  <si>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</si>
  <si>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</si>
  <si>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</si>
  <si>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</si>
  <si>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</si>
  <si>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</si>
  <si>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</si>
  <si>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</si>
  <si>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</si>
  <si>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</si>
  <si>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</si>
  <si>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</si>
  <si>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</si>
  <si>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</si>
  <si>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</si>
  <si>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0856.HK owner-FCF component DCF: base case (millions, HKD)</t>
  </si>
  <si>
    <t xml:space="preserve">0856.HK owner-FCF component DCF: bull case (millions, HKD)</t>
  </si>
  <si>
    <t xml:space="preserve">0856.HK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</si>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</sst>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8.775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row>
    <row r="2" customFormat="false" ht="15" hidden="false" customHeight="false" outlineLevel="0" collapsed="false">
      <c r="A2" s="0" t="s">
        <v>64</v>
      </c>
      <c r="B2" s="0" t="n">
        <v>62481.961</v>
      </c>
      <c r="C2" s="0" t="n">
        <v>-59671.694</v>
      </c>
      <c r="D2" s="0" t="n">
        <v>2810.267</v>
      </c>
      <c r="E2" s="0" t="n">
        <v>4.5</v>
      </c>
      <c r="F2" s="0" t="n">
        <v>1143.276</v>
      </c>
      <c r="G2" s="0" t="n">
        <v>1.8</v>
      </c>
      <c r="I2" s="0" t="n">
        <v>740.827</v>
      </c>
      <c r="J2" s="0" t="n">
        <v>1.2</v>
      </c>
      <c r="K2" s="0" t="n">
        <v>0.5153</v>
      </c>
      <c r="L2" s="0" t="n">
        <v>-852.095</v>
      </c>
      <c r="M2" s="0" t="n">
        <v>40.277</v>
      </c>
      <c r="N2" s="0" t="n">
        <v>-892.372</v>
      </c>
      <c r="O2" s="0" t="n">
        <v>5046.722</v>
      </c>
      <c r="P2" s="0" t="n">
        <v>23877.461</v>
      </c>
      <c r="Q2" s="0" t="n">
        <v>18830.739</v>
      </c>
      <c r="R2" s="0" t="n">
        <v>7781.412</v>
      </c>
      <c r="S2" s="0" t="n">
        <v>1508.06</v>
      </c>
      <c r="T2" s="0" t="n">
        <v>1437.66</v>
      </c>
      <c r="AA2" s="0" t="s">
        <v>17</v>
      </c>
      <c r="AB2" s="0" t="s">
        <v>14</v>
      </c>
    </row>
    <row r="3" customFormat="false" ht="15" hidden="false" customHeight="false" outlineLevel="0" collapsed="false">
      <c r="A3" s="0" t="s">
        <v>65</v>
      </c>
      <c r="B3" s="0" t="n">
        <v>66209.921</v>
      </c>
      <c r="C3" s="0" t="n">
        <v>-63242.067</v>
      </c>
      <c r="D3" s="0" t="n">
        <v>2967.854</v>
      </c>
      <c r="E3" s="0" t="n">
        <v>4.5</v>
      </c>
      <c r="F3" s="0" t="n">
        <v>1260.212</v>
      </c>
      <c r="G3" s="0" t="n">
        <v>1.9</v>
      </c>
      <c r="I3" s="0" t="n">
        <v>809.948</v>
      </c>
      <c r="J3" s="0" t="n">
        <v>1.2</v>
      </c>
      <c r="K3" s="0" t="n">
        <v>0.5696</v>
      </c>
      <c r="L3" s="0" t="n">
        <v>1146.904</v>
      </c>
      <c r="M3" s="0" t="n">
        <v>35.605</v>
      </c>
      <c r="N3" s="0" t="n">
        <v>1111.299</v>
      </c>
      <c r="O3" s="0" t="n">
        <v>5654.472</v>
      </c>
      <c r="P3" s="0" t="n">
        <v>24936.069</v>
      </c>
      <c r="Q3" s="0" t="n">
        <v>19281.597</v>
      </c>
      <c r="R3" s="0" t="n">
        <v>8017.112</v>
      </c>
      <c r="S3" s="0" t="n">
        <v>2327.702</v>
      </c>
      <c r="T3" s="0" t="n">
        <v>1421.96</v>
      </c>
      <c r="AA3" s="0" t="s">
        <v>17</v>
      </c>
      <c r="AB3" s="0" t="s">
        <v>14</v>
      </c>
    </row>
    <row r="4" customFormat="false" ht="15" hidden="false" customHeight="false" outlineLevel="0" collapsed="false">
      <c r="A4" s="0" t="s">
        <v>66</v>
      </c>
      <c r="B4" s="0" t="n">
        <v>69961.881</v>
      </c>
      <c r="C4" s="0" t="n">
        <v>-66834.568</v>
      </c>
      <c r="D4" s="0" t="n">
        <v>3127.313</v>
      </c>
      <c r="E4" s="0" t="n">
        <v>4.5</v>
      </c>
      <c r="F4" s="0" t="n">
        <v>1420.354</v>
      </c>
      <c r="G4" s="0" t="n">
        <v>2</v>
      </c>
      <c r="I4" s="0" t="n">
        <v>1067.58</v>
      </c>
      <c r="J4" s="0" t="n">
        <v>1.5</v>
      </c>
      <c r="K4" s="0" t="n">
        <v>0.7545</v>
      </c>
      <c r="L4" s="0" t="n">
        <v>2616.286</v>
      </c>
      <c r="M4" s="0" t="n">
        <v>29.381</v>
      </c>
      <c r="N4" s="0" t="n">
        <v>2586.905</v>
      </c>
      <c r="O4" s="0" t="n">
        <v>6826.286</v>
      </c>
      <c r="P4" s="0" t="n">
        <v>29425.571</v>
      </c>
      <c r="Q4" s="0" t="n">
        <v>22599.285</v>
      </c>
      <c r="R4" s="0" t="n">
        <v>6750.812</v>
      </c>
      <c r="S4" s="0" t="n">
        <v>3559.192</v>
      </c>
      <c r="T4" s="0" t="n">
        <v>1414.95</v>
      </c>
      <c r="AA4" s="0" t="s">
        <v>17</v>
      </c>
      <c r="AB4" s="0" t="s">
        <v>14</v>
      </c>
    </row>
    <row r="5" customFormat="false" ht="15" hidden="false" customHeight="false" outlineLevel="0" collapsed="false">
      <c r="A5" s="0" t="s">
        <v>67</v>
      </c>
      <c r="B5" s="0" t="n">
        <v>78335.446</v>
      </c>
      <c r="C5" s="0" t="n">
        <v>-74696.377</v>
      </c>
      <c r="D5" s="0" t="n">
        <v>3639.069</v>
      </c>
      <c r="E5" s="0" t="n">
        <v>4.6</v>
      </c>
      <c r="F5" s="0" t="n">
        <v>1661.212</v>
      </c>
      <c r="G5" s="0" t="n">
        <v>2.1</v>
      </c>
      <c r="I5" s="0" t="n">
        <v>1314.026</v>
      </c>
      <c r="J5" s="0" t="n">
        <v>1.7</v>
      </c>
      <c r="K5" s="0" t="n">
        <v>0.9274</v>
      </c>
      <c r="L5" s="0" t="n">
        <v>689.632</v>
      </c>
      <c r="M5" s="0" t="n">
        <v>52.502</v>
      </c>
      <c r="N5" s="0" t="n">
        <v>637.13</v>
      </c>
      <c r="O5" s="0" t="n">
        <v>7911.43</v>
      </c>
      <c r="P5" s="0" t="n">
        <v>32176.432</v>
      </c>
      <c r="Q5" s="0" t="n">
        <v>24265.002</v>
      </c>
      <c r="R5" s="0" t="n">
        <v>6278.318</v>
      </c>
      <c r="S5" s="0" t="n">
        <v>3247.498</v>
      </c>
      <c r="T5" s="0" t="n">
        <v>1416.89</v>
      </c>
      <c r="AA5" s="0" t="s">
        <v>17</v>
      </c>
      <c r="AB5" s="0" t="s">
        <v>14</v>
      </c>
    </row>
    <row r="6" customFormat="false" ht="15" hidden="false" customHeight="false" outlineLevel="0" collapsed="false">
      <c r="A6" s="0" t="s">
        <v>68</v>
      </c>
      <c r="B6" s="0" t="n">
        <v>77323.994</v>
      </c>
      <c r="C6" s="0" t="n">
        <v>-73946.07</v>
      </c>
      <c r="D6" s="0" t="n">
        <v>3377.924</v>
      </c>
      <c r="E6" s="0" t="n">
        <v>4.4</v>
      </c>
      <c r="F6" s="0" t="n">
        <v>1328.268</v>
      </c>
      <c r="G6" s="0" t="n">
        <v>1.7</v>
      </c>
      <c r="I6" s="0" t="n">
        <v>823.071</v>
      </c>
      <c r="J6" s="0" t="n">
        <v>1.1</v>
      </c>
      <c r="K6" s="0" t="n">
        <v>0.5815</v>
      </c>
      <c r="L6" s="0" t="n">
        <v>66.956</v>
      </c>
      <c r="M6" s="0" t="n">
        <v>24.036</v>
      </c>
      <c r="N6" s="0" t="n">
        <v>42.92</v>
      </c>
      <c r="O6" s="0" t="n">
        <v>7657.778</v>
      </c>
      <c r="P6" s="0" t="n">
        <v>34766.606</v>
      </c>
      <c r="Q6" s="0" t="n">
        <v>27108.828</v>
      </c>
      <c r="R6" s="0" t="n">
        <v>8422.683</v>
      </c>
      <c r="S6" s="0" t="n">
        <v>3828.93</v>
      </c>
      <c r="T6" s="0" t="n">
        <v>1415.43</v>
      </c>
      <c r="AA6" s="0" t="s">
        <v>17</v>
      </c>
      <c r="AB6" s="0" t="s">
        <v>14</v>
      </c>
    </row>
    <row r="7" customFormat="false" ht="15" hidden="false" customHeight="false" outlineLevel="0" collapsed="false">
      <c r="A7" s="0" t="s">
        <v>69</v>
      </c>
      <c r="B7" s="0" t="n">
        <v>73891.296</v>
      </c>
      <c r="C7" s="0" t="n">
        <v>-70394.78</v>
      </c>
      <c r="D7" s="0" t="n">
        <v>3496.516</v>
      </c>
      <c r="E7" s="0" t="n">
        <v>4.7</v>
      </c>
      <c r="F7" s="0" t="n">
        <v>1435.147</v>
      </c>
      <c r="G7" s="0" t="n">
        <v>1.9</v>
      </c>
      <c r="I7" s="0" t="n">
        <v>922.033</v>
      </c>
      <c r="J7" s="0" t="n">
        <v>1.2</v>
      </c>
      <c r="K7" s="0" t="n">
        <v>0.6562</v>
      </c>
      <c r="L7" s="0" t="n">
        <v>640.23</v>
      </c>
      <c r="M7" s="0" t="n">
        <v>38.822</v>
      </c>
      <c r="N7" s="0" t="n">
        <v>601.408</v>
      </c>
      <c r="O7" s="0" t="n">
        <v>8222.836</v>
      </c>
      <c r="P7" s="0" t="n">
        <v>35020.347</v>
      </c>
      <c r="Q7" s="0" t="n">
        <v>26797.511</v>
      </c>
      <c r="R7" s="0" t="n">
        <v>8103.976</v>
      </c>
      <c r="S7" s="0" t="n">
        <v>3325.14</v>
      </c>
      <c r="T7" s="0" t="n">
        <v>1405.11</v>
      </c>
      <c r="AA7" s="0" t="s">
        <v>17</v>
      </c>
      <c r="AB7" s="0" t="s">
        <v>14</v>
      </c>
    </row>
    <row r="8" customFormat="false" ht="15" hidden="false" customHeight="false" outlineLevel="0" collapsed="false">
      <c r="A8" s="0" t="s">
        <v>70</v>
      </c>
      <c r="B8" s="0" t="n">
        <v>89085.588</v>
      </c>
      <c r="C8" s="0" t="n">
        <v>-85156.532</v>
      </c>
      <c r="D8" s="0" t="n">
        <v>3929.056</v>
      </c>
      <c r="E8" s="0" t="n">
        <v>4.4</v>
      </c>
      <c r="F8" s="0" t="n">
        <v>1699.225</v>
      </c>
      <c r="G8" s="0" t="n">
        <v>1.9</v>
      </c>
      <c r="I8" s="0" t="n">
        <v>1051.979</v>
      </c>
      <c r="J8" s="0" t="n">
        <v>1.2</v>
      </c>
      <c r="K8" s="0" t="n">
        <v>0.7567</v>
      </c>
      <c r="L8" s="0" t="n">
        <v>1822.396</v>
      </c>
      <c r="M8" s="0" t="n">
        <v>134.176</v>
      </c>
      <c r="N8" s="0" t="n">
        <v>1688.22</v>
      </c>
      <c r="O8" s="0" t="n">
        <v>8639.577</v>
      </c>
      <c r="P8" s="0" t="n">
        <v>38387.953</v>
      </c>
      <c r="Q8" s="0" t="n">
        <v>29516.437</v>
      </c>
      <c r="R8" s="0" t="n">
        <v>9244.032</v>
      </c>
      <c r="S8" s="0" t="n">
        <v>3947.768</v>
      </c>
      <c r="T8" s="0" t="n">
        <v>1390.22</v>
      </c>
      <c r="AA8" s="0" t="s">
        <v>17</v>
      </c>
      <c r="AB8" s="0" t="s">
        <v>14</v>
      </c>
      <c r="AC8" s="0" t="n">
        <v>1116.166</v>
      </c>
    </row>
    <row r="9" customFormat="false" ht="15" hidden="false" customHeight="false" outlineLevel="0" collapsed="false">
      <c r="A9" s="0" t="s">
        <v>71</v>
      </c>
      <c r="B9" s="0" t="n">
        <v>97626.188</v>
      </c>
      <c r="C9" s="0" t="n">
        <v>-93272.414</v>
      </c>
      <c r="D9" s="0" t="n">
        <v>4353.774</v>
      </c>
      <c r="E9" s="0" t="n">
        <v>4.5</v>
      </c>
      <c r="F9" s="0" t="n">
        <v>1986.381</v>
      </c>
      <c r="G9" s="0" t="n">
        <v>2</v>
      </c>
      <c r="I9" s="0" t="n">
        <v>1353.492</v>
      </c>
      <c r="J9" s="0" t="n">
        <v>1.4</v>
      </c>
      <c r="K9" s="0" t="n">
        <v>0.9766</v>
      </c>
      <c r="L9" s="0" t="n">
        <v>1954.632</v>
      </c>
      <c r="M9" s="0" t="n">
        <v>40.747</v>
      </c>
      <c r="N9" s="0" t="n">
        <v>1913.885</v>
      </c>
      <c r="O9" s="0" t="n">
        <v>10138.776</v>
      </c>
      <c r="P9" s="0" t="n">
        <v>43019.873</v>
      </c>
      <c r="Q9" s="0" t="n">
        <v>32604.252</v>
      </c>
      <c r="R9" s="0" t="n">
        <v>8795.163</v>
      </c>
      <c r="S9" s="0" t="n">
        <v>4910.098</v>
      </c>
      <c r="T9" s="0" t="n">
        <v>1385.92</v>
      </c>
      <c r="AA9" s="0" t="s">
        <v>17</v>
      </c>
      <c r="AB9" s="0" t="s">
        <v>14</v>
      </c>
      <c r="AC9" s="0" t="n">
        <v>1435.532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72</v>
      </c>
      <c r="B1" s="2" t="s">
        <v>73</v>
      </c>
    </row>
    <row r="2" customFormat="false" ht="15" hidden="false" customHeight="false" outlineLevel="0" collapsed="false">
      <c r="A2" s="0" t="s">
        <v>74</v>
      </c>
      <c r="B2" s="3" t="n">
        <v>8.775</v>
      </c>
    </row>
    <row r="3" customFormat="false" ht="15" hidden="false" customHeight="false" outlineLevel="0" collapsed="false">
      <c r="A3" s="0" t="s">
        <v>75</v>
      </c>
      <c r="B3" s="3" t="n">
        <v>1388.474</v>
      </c>
    </row>
    <row r="4" customFormat="false" ht="15" hidden="false" customHeight="false" outlineLevel="0" collapsed="false">
      <c r="A4" s="0" t="s">
        <v>76</v>
      </c>
      <c r="B4" s="3" t="n">
        <v>8915.9</v>
      </c>
    </row>
    <row r="5" customFormat="false" ht="15" hidden="false" customHeight="false" outlineLevel="0" collapsed="false">
      <c r="A5" s="0" t="s">
        <v>77</v>
      </c>
      <c r="B5" s="3" t="n">
        <v>990.831</v>
      </c>
    </row>
    <row r="6" customFormat="false" ht="15" hidden="false" customHeight="false" outlineLevel="0" collapsed="false">
      <c r="A6" s="0" t="s">
        <v>78</v>
      </c>
      <c r="B6" s="3" t="n">
        <v>15</v>
      </c>
    </row>
    <row r="7" customFormat="false" ht="15" hidden="false" customHeight="false" outlineLevel="0" collapsed="false">
      <c r="A7" s="0" t="s">
        <v>79</v>
      </c>
      <c r="B7" s="3" t="n">
        <v>97626.188</v>
      </c>
    </row>
    <row r="8" customFormat="false" ht="15" hidden="false" customHeight="false" outlineLevel="0" collapsed="false">
      <c r="A8" s="0" t="s">
        <v>80</v>
      </c>
      <c r="B8" s="3" t="s">
        <v>71</v>
      </c>
    </row>
    <row r="9" customFormat="false" ht="15" hidden="false" customHeight="false" outlineLevel="0" collapsed="false">
      <c r="A9" s="0" t="s">
        <v>81</v>
      </c>
      <c r="B9" s="3" t="s">
        <v>82</v>
      </c>
    </row>
    <row r="10" customFormat="false" ht="15" hidden="false" customHeight="false" outlineLevel="0" collapsed="false">
      <c r="A10" s="0" t="s">
        <v>83</v>
      </c>
      <c r="B10" s="3" t="n">
        <v>1</v>
      </c>
    </row>
    <row r="12" customFormat="false" ht="15" hidden="false" customHeight="false" outlineLevel="0" collapsed="false">
      <c r="A12" s="2" t="s">
        <v>84</v>
      </c>
      <c r="C12" s="2" t="s">
        <v>85</v>
      </c>
      <c r="D12" s="2" t="s">
        <v>86</v>
      </c>
      <c r="E12" s="2" t="s">
        <v>87</v>
      </c>
      <c r="F12" s="2" t="s">
        <v>88</v>
      </c>
      <c r="G12" s="2" t="s">
        <v>89</v>
      </c>
      <c r="H12" s="2" t="s">
        <v>90</v>
      </c>
      <c r="I12" s="2" t="s">
        <v>91</v>
      </c>
      <c r="J12" s="2" t="s">
        <v>92</v>
      </c>
      <c r="K12" s="2" t="s">
        <v>93</v>
      </c>
      <c r="L12" s="2" t="s">
        <v>94</v>
      </c>
    </row>
    <row r="13" customFormat="false" ht="15" hidden="false" customHeight="false" outlineLevel="0" collapsed="false">
      <c r="A13" s="0" t="s">
        <v>95</v>
      </c>
      <c r="C13" s="3" t="n">
        <v>9</v>
      </c>
      <c r="D13" s="3" t="n">
        <v>2</v>
      </c>
      <c r="E13" s="3" t="n">
        <v>-3</v>
      </c>
      <c r="F13" s="3" t="n">
        <v>2</v>
      </c>
      <c r="G13" s="3" t="n">
        <v>3</v>
      </c>
      <c r="H13" s="3" t="n">
        <v>3</v>
      </c>
      <c r="I13" s="3" t="n">
        <v>3</v>
      </c>
      <c r="J13" s="3" t="n">
        <v>3</v>
      </c>
      <c r="K13" s="3" t="n">
        <v>2.5</v>
      </c>
      <c r="L13" s="3" t="n">
        <v>2.5</v>
      </c>
    </row>
    <row r="14" customFormat="false" ht="15" hidden="false" customHeight="false" outlineLevel="0" collapsed="false">
      <c r="A14" s="0" t="s">
        <v>96</v>
      </c>
      <c r="C14" s="3" t="n">
        <v>2.15</v>
      </c>
      <c r="D14" s="3" t="n">
        <v>1.95</v>
      </c>
      <c r="E14" s="3" t="n">
        <v>1.85</v>
      </c>
      <c r="F14" s="3" t="n">
        <v>1.9</v>
      </c>
      <c r="G14" s="3" t="n">
        <v>1.95</v>
      </c>
      <c r="H14" s="3" t="n">
        <v>2</v>
      </c>
      <c r="I14" s="3" t="n">
        <v>2</v>
      </c>
      <c r="J14" s="3" t="n">
        <v>2</v>
      </c>
      <c r="K14" s="3" t="n">
        <v>2</v>
      </c>
      <c r="L14" s="3" t="n">
        <v>2</v>
      </c>
    </row>
    <row r="15" customFormat="false" ht="15" hidden="false" customHeight="false" outlineLevel="0" collapsed="false">
      <c r="A15" s="0" t="s">
        <v>97</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98</v>
      </c>
      <c r="C16" s="3" t="n">
        <v>0.21</v>
      </c>
      <c r="D16" s="3" t="n">
        <v>0.21</v>
      </c>
      <c r="E16" s="3" t="n">
        <v>0.21</v>
      </c>
      <c r="F16" s="3" t="n">
        <v>0.21</v>
      </c>
      <c r="G16" s="3" t="n">
        <v>0.21</v>
      </c>
      <c r="H16" s="3" t="n">
        <v>0.21</v>
      </c>
      <c r="I16" s="3" t="n">
        <v>0.21</v>
      </c>
      <c r="J16" s="3" t="n">
        <v>0.21</v>
      </c>
      <c r="K16" s="3" t="n">
        <v>0.21</v>
      </c>
      <c r="L16" s="3" t="n">
        <v>0.21</v>
      </c>
    </row>
    <row r="17" customFormat="false" ht="15" hidden="false" customHeight="false" outlineLevel="0" collapsed="false">
      <c r="A17" s="0" t="s">
        <v>99</v>
      </c>
      <c r="C17" s="3" t="n">
        <v>0.065</v>
      </c>
      <c r="D17" s="3" t="n">
        <v>0.065</v>
      </c>
      <c r="E17" s="3" t="n">
        <v>0.065</v>
      </c>
      <c r="F17" s="3" t="n">
        <v>0.065</v>
      </c>
      <c r="G17" s="3" t="n">
        <v>0.065</v>
      </c>
      <c r="H17" s="3" t="n">
        <v>0.065</v>
      </c>
      <c r="I17" s="3" t="n">
        <v>0.065</v>
      </c>
      <c r="J17" s="3" t="n">
        <v>0.065</v>
      </c>
      <c r="K17" s="3" t="n">
        <v>0.065</v>
      </c>
      <c r="L17" s="3" t="n">
        <v>0.065</v>
      </c>
    </row>
    <row r="18" customFormat="false" ht="15" hidden="false" customHeight="false" outlineLevel="0" collapsed="false">
      <c r="A18" s="0" t="s">
        <v>100</v>
      </c>
      <c r="C18" s="3" t="n">
        <v>0.06</v>
      </c>
      <c r="D18" s="3" t="n">
        <v>0.06</v>
      </c>
      <c r="E18" s="3" t="n">
        <v>0.06</v>
      </c>
      <c r="F18" s="3" t="n">
        <v>0.06</v>
      </c>
      <c r="G18" s="3" t="n">
        <v>0.06</v>
      </c>
      <c r="H18" s="3" t="n">
        <v>0.06</v>
      </c>
      <c r="I18" s="3" t="n">
        <v>0.06</v>
      </c>
      <c r="J18" s="3" t="n">
        <v>0.06</v>
      </c>
      <c r="K18" s="3" t="n">
        <v>0.06</v>
      </c>
      <c r="L18" s="3" t="n">
        <v>0.06</v>
      </c>
    </row>
    <row r="19" customFormat="false" ht="15" hidden="false" customHeight="false" outlineLevel="0" collapsed="false">
      <c r="A19" s="0" t="s">
        <v>101</v>
      </c>
      <c r="C19" s="3" t="n">
        <v>23</v>
      </c>
      <c r="D19" s="3" t="n">
        <v>23</v>
      </c>
      <c r="E19" s="3" t="n">
        <v>23</v>
      </c>
      <c r="F19" s="3" t="n">
        <v>23</v>
      </c>
      <c r="G19" s="3" t="n">
        <v>23</v>
      </c>
      <c r="H19" s="3" t="n">
        <v>23</v>
      </c>
      <c r="I19" s="3" t="n">
        <v>23</v>
      </c>
      <c r="J19" s="3" t="n">
        <v>23</v>
      </c>
      <c r="K19" s="3" t="n">
        <v>23</v>
      </c>
      <c r="L19" s="3" t="n">
        <v>23</v>
      </c>
    </row>
    <row r="20" customFormat="false" ht="15" hidden="false" customHeight="false" outlineLevel="0" collapsed="false">
      <c r="A20" s="0" t="s">
        <v>102</v>
      </c>
      <c r="B20" s="3" t="n">
        <v>9</v>
      </c>
    </row>
    <row r="21" customFormat="false" ht="15" hidden="false" customHeight="false" outlineLevel="0" collapsed="false">
      <c r="A21" s="0" t="s">
        <v>103</v>
      </c>
      <c r="B21" s="3" t="n">
        <v>2.5</v>
      </c>
    </row>
    <row r="22" customFormat="false" ht="15" hidden="false" customHeight="false" outlineLevel="0" collapsed="false">
      <c r="A22" s="0" t="s">
        <v>104</v>
      </c>
      <c r="B22" s="3" t="n">
        <v>12</v>
      </c>
    </row>
    <row r="23" customFormat="false" ht="15" hidden="false" customHeight="false" outlineLevel="0" collapsed="false">
      <c r="A23" s="0" t="s">
        <v>105</v>
      </c>
      <c r="B23" s="3" t="n">
        <v>-12</v>
      </c>
    </row>
    <row r="24" customFormat="false" ht="15" hidden="false" customHeight="false" outlineLevel="0" collapsed="false">
      <c r="A24" s="0" t="s">
        <v>106</v>
      </c>
      <c r="B24" s="3" t="n">
        <v>0.25</v>
      </c>
    </row>
    <row r="26" customFormat="false" ht="15" hidden="false" customHeight="false" outlineLevel="0" collapsed="false">
      <c r="A26" s="2" t="s">
        <v>107</v>
      </c>
      <c r="C26" s="2" t="s">
        <v>85</v>
      </c>
      <c r="D26" s="2" t="s">
        <v>86</v>
      </c>
      <c r="E26" s="2" t="s">
        <v>87</v>
      </c>
      <c r="F26" s="2" t="s">
        <v>88</v>
      </c>
      <c r="G26" s="2" t="s">
        <v>89</v>
      </c>
      <c r="H26" s="2" t="s">
        <v>90</v>
      </c>
      <c r="I26" s="2" t="s">
        <v>91</v>
      </c>
      <c r="J26" s="2" t="s">
        <v>92</v>
      </c>
      <c r="K26" s="2" t="s">
        <v>93</v>
      </c>
      <c r="L26" s="2" t="s">
        <v>94</v>
      </c>
    </row>
    <row r="27" customFormat="false" ht="15" hidden="false" customHeight="false" outlineLevel="0" collapsed="false">
      <c r="A27" s="0" t="s">
        <v>95</v>
      </c>
      <c r="C27" s="3" t="n">
        <v>14</v>
      </c>
      <c r="D27" s="3" t="n">
        <v>9</v>
      </c>
      <c r="E27" s="3" t="n">
        <v>7</v>
      </c>
      <c r="F27" s="3" t="n">
        <v>6</v>
      </c>
      <c r="G27" s="3" t="n">
        <v>5</v>
      </c>
      <c r="H27" s="3" t="n">
        <v>4.5</v>
      </c>
      <c r="I27" s="3" t="n">
        <v>4</v>
      </c>
      <c r="J27" s="3" t="n">
        <v>3.5</v>
      </c>
      <c r="K27" s="3" t="n">
        <v>3</v>
      </c>
      <c r="L27" s="3" t="n">
        <v>3</v>
      </c>
    </row>
    <row r="28" customFormat="false" ht="15" hidden="false" customHeight="false" outlineLevel="0" collapsed="false">
      <c r="A28" s="0" t="s">
        <v>96</v>
      </c>
      <c r="C28" s="3" t="n">
        <v>2.35</v>
      </c>
      <c r="D28" s="3" t="n">
        <v>2.3</v>
      </c>
      <c r="E28" s="3" t="n">
        <v>2.25</v>
      </c>
      <c r="F28" s="3" t="n">
        <v>2.25</v>
      </c>
      <c r="G28" s="3" t="n">
        <v>2.25</v>
      </c>
      <c r="H28" s="3" t="n">
        <v>2.25</v>
      </c>
      <c r="I28" s="3" t="n">
        <v>2.25</v>
      </c>
      <c r="J28" s="3" t="n">
        <v>2.25</v>
      </c>
      <c r="K28" s="3" t="n">
        <v>2.25</v>
      </c>
      <c r="L28" s="3" t="n">
        <v>2.25</v>
      </c>
    </row>
    <row r="29" customFormat="false" ht="15" hidden="false" customHeight="false" outlineLevel="0" collapsed="false">
      <c r="A29" s="0" t="s">
        <v>97</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98</v>
      </c>
      <c r="C30" s="3" t="n">
        <v>0.21</v>
      </c>
      <c r="D30" s="3" t="n">
        <v>0.21</v>
      </c>
      <c r="E30" s="3" t="n">
        <v>0.21</v>
      </c>
      <c r="F30" s="3" t="n">
        <v>0.21</v>
      </c>
      <c r="G30" s="3" t="n">
        <v>0.21</v>
      </c>
      <c r="H30" s="3" t="n">
        <v>0.21</v>
      </c>
      <c r="I30" s="3" t="n">
        <v>0.21</v>
      </c>
      <c r="J30" s="3" t="n">
        <v>0.21</v>
      </c>
      <c r="K30" s="3" t="n">
        <v>0.21</v>
      </c>
      <c r="L30" s="3" t="n">
        <v>0.21</v>
      </c>
    </row>
    <row r="31" customFormat="false" ht="15" hidden="false" customHeight="false" outlineLevel="0" collapsed="false">
      <c r="A31" s="0" t="s">
        <v>99</v>
      </c>
      <c r="C31" s="3" t="n">
        <v>0.065</v>
      </c>
      <c r="D31" s="3" t="n">
        <v>0.065</v>
      </c>
      <c r="E31" s="3" t="n">
        <v>0.065</v>
      </c>
      <c r="F31" s="3" t="n">
        <v>0.065</v>
      </c>
      <c r="G31" s="3" t="n">
        <v>0.065</v>
      </c>
      <c r="H31" s="3" t="n">
        <v>0.065</v>
      </c>
      <c r="I31" s="3" t="n">
        <v>0.065</v>
      </c>
      <c r="J31" s="3" t="n">
        <v>0.065</v>
      </c>
      <c r="K31" s="3" t="n">
        <v>0.065</v>
      </c>
      <c r="L31" s="3" t="n">
        <v>0.065</v>
      </c>
    </row>
    <row r="32" customFormat="false" ht="15" hidden="false" customHeight="false" outlineLevel="0" collapsed="false">
      <c r="A32" s="0" t="s">
        <v>100</v>
      </c>
      <c r="C32" s="3" t="n">
        <v>0.06</v>
      </c>
      <c r="D32" s="3" t="n">
        <v>0.06</v>
      </c>
      <c r="E32" s="3" t="n">
        <v>0.06</v>
      </c>
      <c r="F32" s="3" t="n">
        <v>0.06</v>
      </c>
      <c r="G32" s="3" t="n">
        <v>0.06</v>
      </c>
      <c r="H32" s="3" t="n">
        <v>0.06</v>
      </c>
      <c r="I32" s="3" t="n">
        <v>0.06</v>
      </c>
      <c r="J32" s="3" t="n">
        <v>0.06</v>
      </c>
      <c r="K32" s="3" t="n">
        <v>0.06</v>
      </c>
      <c r="L32" s="3" t="n">
        <v>0.06</v>
      </c>
    </row>
    <row r="33" customFormat="false" ht="15" hidden="false" customHeight="false" outlineLevel="0" collapsed="false">
      <c r="A33" s="0" t="s">
        <v>101</v>
      </c>
      <c r="C33" s="3" t="n">
        <v>22</v>
      </c>
      <c r="D33" s="3" t="n">
        <v>22</v>
      </c>
      <c r="E33" s="3" t="n">
        <v>22</v>
      </c>
      <c r="F33" s="3" t="n">
        <v>22</v>
      </c>
      <c r="G33" s="3" t="n">
        <v>22</v>
      </c>
      <c r="H33" s="3" t="n">
        <v>22</v>
      </c>
      <c r="I33" s="3" t="n">
        <v>22</v>
      </c>
      <c r="J33" s="3" t="n">
        <v>22</v>
      </c>
      <c r="K33" s="3" t="n">
        <v>22</v>
      </c>
      <c r="L33" s="3" t="n">
        <v>22</v>
      </c>
    </row>
    <row r="34" customFormat="false" ht="15" hidden="false" customHeight="false" outlineLevel="0" collapsed="false">
      <c r="A34" s="0" t="s">
        <v>102</v>
      </c>
      <c r="B34" s="3" t="n">
        <v>9</v>
      </c>
    </row>
    <row r="35" customFormat="false" ht="15" hidden="false" customHeight="false" outlineLevel="0" collapsed="false">
      <c r="A35" s="0" t="s">
        <v>103</v>
      </c>
      <c r="B35" s="3" t="n">
        <v>2.5</v>
      </c>
    </row>
    <row r="36" customFormat="false" ht="15" hidden="false" customHeight="false" outlineLevel="0" collapsed="false">
      <c r="A36" s="0" t="s">
        <v>104</v>
      </c>
      <c r="B36" s="3" t="n">
        <v>12</v>
      </c>
    </row>
    <row r="37" customFormat="false" ht="15" hidden="false" customHeight="false" outlineLevel="0" collapsed="false">
      <c r="A37" s="0" t="s">
        <v>105</v>
      </c>
      <c r="B37" s="3" t="n">
        <v>-10</v>
      </c>
    </row>
    <row r="38" customFormat="false" ht="15" hidden="false" customHeight="false" outlineLevel="0" collapsed="false">
      <c r="A38" s="0" t="s">
        <v>106</v>
      </c>
      <c r="B38" s="3" t="n">
        <v>0.5</v>
      </c>
    </row>
    <row r="40" customFormat="false" ht="15" hidden="false" customHeight="false" outlineLevel="0" collapsed="false">
      <c r="A40" s="2" t="s">
        <v>108</v>
      </c>
      <c r="C40" s="2" t="s">
        <v>85</v>
      </c>
      <c r="D40" s="2" t="s">
        <v>86</v>
      </c>
      <c r="E40" s="2" t="s">
        <v>87</v>
      </c>
      <c r="F40" s="2" t="s">
        <v>88</v>
      </c>
      <c r="G40" s="2" t="s">
        <v>89</v>
      </c>
      <c r="H40" s="2" t="s">
        <v>90</v>
      </c>
      <c r="I40" s="2" t="s">
        <v>91</v>
      </c>
      <c r="J40" s="2" t="s">
        <v>92</v>
      </c>
      <c r="K40" s="2" t="s">
        <v>93</v>
      </c>
      <c r="L40" s="2" t="s">
        <v>94</v>
      </c>
    </row>
    <row r="41" customFormat="false" ht="15" hidden="false" customHeight="false" outlineLevel="0" collapsed="false">
      <c r="A41" s="0" t="s">
        <v>95</v>
      </c>
      <c r="C41" s="3" t="n">
        <v>18</v>
      </c>
      <c r="D41" s="3" t="n">
        <v>13</v>
      </c>
      <c r="E41" s="3" t="n">
        <v>10</v>
      </c>
      <c r="F41" s="3" t="n">
        <v>8</v>
      </c>
      <c r="G41" s="3" t="n">
        <v>6</v>
      </c>
      <c r="H41" s="3" t="n">
        <v>5</v>
      </c>
      <c r="I41" s="3" t="n">
        <v>4.5</v>
      </c>
      <c r="J41" s="3" t="n">
        <v>4</v>
      </c>
      <c r="K41" s="3" t="n">
        <v>3.5</v>
      </c>
      <c r="L41" s="3" t="n">
        <v>3</v>
      </c>
    </row>
    <row r="42" customFormat="false" ht="15" hidden="false" customHeight="false" outlineLevel="0" collapsed="false">
      <c r="A42" s="0" t="s">
        <v>96</v>
      </c>
      <c r="C42" s="3" t="n">
        <v>2.45</v>
      </c>
      <c r="D42" s="3" t="n">
        <v>2.5</v>
      </c>
      <c r="E42" s="3" t="n">
        <v>2.55</v>
      </c>
      <c r="F42" s="3" t="n">
        <v>2.6</v>
      </c>
      <c r="G42" s="3" t="n">
        <v>2.6</v>
      </c>
      <c r="H42" s="3" t="n">
        <v>2.6</v>
      </c>
      <c r="I42" s="3" t="n">
        <v>2.6</v>
      </c>
      <c r="J42" s="3" t="n">
        <v>2.6</v>
      </c>
      <c r="K42" s="3" t="n">
        <v>2.6</v>
      </c>
      <c r="L42" s="3" t="n">
        <v>2.6</v>
      </c>
    </row>
    <row r="43" customFormat="false" ht="15" hidden="false" customHeight="false" outlineLevel="0" collapsed="false">
      <c r="A43" s="0" t="s">
        <v>97</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98</v>
      </c>
      <c r="C44" s="3" t="n">
        <v>0.21</v>
      </c>
      <c r="D44" s="3" t="n">
        <v>0.21</v>
      </c>
      <c r="E44" s="3" t="n">
        <v>0.21</v>
      </c>
      <c r="F44" s="3" t="n">
        <v>0.21</v>
      </c>
      <c r="G44" s="3" t="n">
        <v>0.21</v>
      </c>
      <c r="H44" s="3" t="n">
        <v>0.21</v>
      </c>
      <c r="I44" s="3" t="n">
        <v>0.21</v>
      </c>
      <c r="J44" s="3" t="n">
        <v>0.21</v>
      </c>
      <c r="K44" s="3" t="n">
        <v>0.21</v>
      </c>
      <c r="L44" s="3" t="n">
        <v>0.21</v>
      </c>
    </row>
    <row r="45" customFormat="false" ht="15" hidden="false" customHeight="false" outlineLevel="0" collapsed="false">
      <c r="A45" s="0" t="s">
        <v>99</v>
      </c>
      <c r="C45" s="3" t="n">
        <v>0.065</v>
      </c>
      <c r="D45" s="3" t="n">
        <v>0.065</v>
      </c>
      <c r="E45" s="3" t="n">
        <v>0.065</v>
      </c>
      <c r="F45" s="3" t="n">
        <v>0.065</v>
      </c>
      <c r="G45" s="3" t="n">
        <v>0.065</v>
      </c>
      <c r="H45" s="3" t="n">
        <v>0.065</v>
      </c>
      <c r="I45" s="3" t="n">
        <v>0.065</v>
      </c>
      <c r="J45" s="3" t="n">
        <v>0.065</v>
      </c>
      <c r="K45" s="3" t="n">
        <v>0.065</v>
      </c>
      <c r="L45" s="3" t="n">
        <v>0.065</v>
      </c>
    </row>
    <row r="46" customFormat="false" ht="15" hidden="false" customHeight="false" outlineLevel="0" collapsed="false">
      <c r="A46" s="0" t="s">
        <v>100</v>
      </c>
      <c r="C46" s="3" t="n">
        <v>0.06</v>
      </c>
      <c r="D46" s="3" t="n">
        <v>0.06</v>
      </c>
      <c r="E46" s="3" t="n">
        <v>0.06</v>
      </c>
      <c r="F46" s="3" t="n">
        <v>0.06</v>
      </c>
      <c r="G46" s="3" t="n">
        <v>0.06</v>
      </c>
      <c r="H46" s="3" t="n">
        <v>0.06</v>
      </c>
      <c r="I46" s="3" t="n">
        <v>0.06</v>
      </c>
      <c r="J46" s="3" t="n">
        <v>0.06</v>
      </c>
      <c r="K46" s="3" t="n">
        <v>0.06</v>
      </c>
      <c r="L46" s="3" t="n">
        <v>0.06</v>
      </c>
    </row>
    <row r="47" customFormat="false" ht="15" hidden="false" customHeight="false" outlineLevel="0" collapsed="false">
      <c r="A47" s="0" t="s">
        <v>101</v>
      </c>
      <c r="C47" s="3" t="n">
        <v>22</v>
      </c>
      <c r="D47" s="3" t="n">
        <v>22</v>
      </c>
      <c r="E47" s="3" t="n">
        <v>22</v>
      </c>
      <c r="F47" s="3" t="n">
        <v>22</v>
      </c>
      <c r="G47" s="3" t="n">
        <v>22</v>
      </c>
      <c r="H47" s="3" t="n">
        <v>22</v>
      </c>
      <c r="I47" s="3" t="n">
        <v>22</v>
      </c>
      <c r="J47" s="3" t="n">
        <v>22</v>
      </c>
      <c r="K47" s="3" t="n">
        <v>22</v>
      </c>
      <c r="L47" s="3" t="n">
        <v>22</v>
      </c>
    </row>
    <row r="48" customFormat="false" ht="15" hidden="false" customHeight="false" outlineLevel="0" collapsed="false">
      <c r="A48" s="0" t="s">
        <v>102</v>
      </c>
      <c r="B48" s="3" t="n">
        <v>9</v>
      </c>
    </row>
    <row r="49" customFormat="false" ht="15" hidden="false" customHeight="false" outlineLevel="0" collapsed="false">
      <c r="A49" s="0" t="s">
        <v>103</v>
      </c>
      <c r="B49" s="3" t="n">
        <v>2.5</v>
      </c>
    </row>
    <row r="50" customFormat="false" ht="15" hidden="false" customHeight="false" outlineLevel="0" collapsed="false">
      <c r="A50" s="0" t="s">
        <v>104</v>
      </c>
      <c r="B50" s="3" t="n">
        <v>12</v>
      </c>
    </row>
    <row r="51" customFormat="false" ht="15" hidden="false" customHeight="false" outlineLevel="0" collapsed="false">
      <c r="A51" s="0" t="s">
        <v>105</v>
      </c>
      <c r="B51" s="3" t="n">
        <v>-8</v>
      </c>
    </row>
    <row r="52" customFormat="false" ht="15" hidden="false" customHeight="false" outlineLevel="0" collapsed="false">
      <c r="A52" s="0" t="s">
        <v>106</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109</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Assumptions!C13</f>
        <v>9</v>
      </c>
      <c r="D5" s="4" t="n">
        <f aca="false">Assumptions!D13</f>
        <v>2</v>
      </c>
      <c r="E5" s="4" t="n">
        <f aca="false">Assumptions!E13</f>
        <v>-3</v>
      </c>
      <c r="F5" s="4" t="n">
        <f aca="false">Assumptions!F13</f>
        <v>2</v>
      </c>
      <c r="G5" s="4" t="n">
        <f aca="false">Assumptions!G13</f>
        <v>3</v>
      </c>
      <c r="H5" s="4" t="n">
        <f aca="false">Assumptions!H13</f>
        <v>3</v>
      </c>
      <c r="I5" s="4" t="n">
        <f aca="false">Assumptions!I13</f>
        <v>3</v>
      </c>
      <c r="J5" s="4" t="n">
        <f aca="false">Assumptions!J13</f>
        <v>3</v>
      </c>
      <c r="K5" s="4" t="n">
        <f aca="false">Assumptions!K13</f>
        <v>2.5</v>
      </c>
      <c r="L5" s="4" t="n">
        <f aca="false">Assumptions!L13</f>
        <v>2.5</v>
      </c>
    </row>
    <row r="6" customFormat="false" ht="15" hidden="false" customHeight="false" outlineLevel="0" collapsed="false">
      <c r="A6" s="0" t="s">
        <v>37</v>
      </c>
      <c r="B6" s="3" t="n">
        <v>97626.188</v>
      </c>
      <c r="C6" s="0" t="n">
        <f aca="false">B6*(1+C5/100)</f>
        <v>106412.54492</v>
      </c>
      <c r="D6" s="0" t="n">
        <f aca="false">C6*(1+D5/100)</f>
        <v>108540.7958184</v>
      </c>
      <c r="E6" s="0" t="n">
        <f aca="false">D6*(1+E5/100)</f>
        <v>105284.571943848</v>
      </c>
      <c r="F6" s="0" t="n">
        <f aca="false">E6*(1+F5/100)</f>
        <v>107390.263382725</v>
      </c>
      <c r="G6" s="0" t="n">
        <f aca="false">F6*(1+G5/100)</f>
        <v>110611.971284207</v>
      </c>
      <c r="H6" s="0" t="n">
        <f aca="false">G6*(1+H5/100)</f>
        <v>113930.330422733</v>
      </c>
      <c r="I6" s="0" t="n">
        <f aca="false">H6*(1+I5/100)</f>
        <v>117348.240335415</v>
      </c>
      <c r="J6" s="0" t="n">
        <f aca="false">I6*(1+J5/100)</f>
        <v>120868.687545477</v>
      </c>
      <c r="K6" s="0" t="n">
        <f aca="false">J6*(1+K5/100)</f>
        <v>123890.404734114</v>
      </c>
      <c r="L6" s="0" t="n">
        <f aca="false">K6*(1+L5/100)</f>
        <v>126987.664852467</v>
      </c>
    </row>
    <row r="7" customFormat="false" ht="15" hidden="false" customHeight="false" outlineLevel="0" collapsed="false">
      <c r="A7" s="0" t="s">
        <v>96</v>
      </c>
      <c r="C7" s="4" t="n">
        <f aca="false">Assumptions!C14</f>
        <v>2.15</v>
      </c>
      <c r="D7" s="4" t="n">
        <f aca="false">Assumptions!D14</f>
        <v>1.95</v>
      </c>
      <c r="E7" s="4" t="n">
        <f aca="false">Assumptions!E14</f>
        <v>1.85</v>
      </c>
      <c r="F7" s="4" t="n">
        <f aca="false">Assumptions!F14</f>
        <v>1.9</v>
      </c>
      <c r="G7" s="4" t="n">
        <f aca="false">Assumptions!G14</f>
        <v>1.95</v>
      </c>
      <c r="H7" s="4" t="n">
        <f aca="false">Assumptions!H14</f>
        <v>2</v>
      </c>
      <c r="I7" s="4" t="n">
        <f aca="false">Assumptions!I14</f>
        <v>2</v>
      </c>
      <c r="J7" s="4" t="n">
        <f aca="false">Assumptions!J14</f>
        <v>2</v>
      </c>
      <c r="K7" s="4" t="n">
        <f aca="false">Assumptions!K14</f>
        <v>2</v>
      </c>
      <c r="L7" s="4" t="n">
        <f aca="false">Assumptions!L14</f>
        <v>2</v>
      </c>
    </row>
    <row r="8" customFormat="false" ht="15" hidden="false" customHeight="false" outlineLevel="0" collapsed="false">
      <c r="A8" s="0" t="s">
        <v>43</v>
      </c>
      <c r="C8" s="0" t="n">
        <f aca="false">C6*C7/100</f>
        <v>2287.86971578</v>
      </c>
      <c r="D8" s="0" t="n">
        <f aca="false">D6*D7/100</f>
        <v>2116.5455184588</v>
      </c>
      <c r="E8" s="0" t="n">
        <f aca="false">E6*E7/100</f>
        <v>1947.76458096119</v>
      </c>
      <c r="F8" s="0" t="n">
        <f aca="false">F6*F7/100</f>
        <v>2040.41500427177</v>
      </c>
      <c r="G8" s="0" t="n">
        <f aca="false">G6*G7/100</f>
        <v>2156.93344004203</v>
      </c>
      <c r="H8" s="0" t="n">
        <f aca="false">H6*H7/100</f>
        <v>2278.60660845466</v>
      </c>
      <c r="I8" s="0" t="n">
        <f aca="false">I6*I7/100</f>
        <v>2346.9648067083</v>
      </c>
      <c r="J8" s="0" t="n">
        <f aca="false">J6*J7/100</f>
        <v>2417.37375090955</v>
      </c>
      <c r="K8" s="0" t="n">
        <f aca="false">K6*K7/100</f>
        <v>2477.80809468229</v>
      </c>
      <c r="L8" s="0" t="n">
        <f aca="false">L6*L7/100</f>
        <v>2539.75329704934</v>
      </c>
    </row>
    <row r="9" customFormat="false" ht="15" hidden="false" customHeight="false" outlineLevel="0" collapsed="false">
      <c r="A9" s="0" t="s">
        <v>97</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113</v>
      </c>
      <c r="C11" s="0" t="n">
        <f aca="false">C8+C10+C24</f>
        <v>2064.403371448</v>
      </c>
      <c r="D11" s="0" t="n">
        <f aca="false">D8+D10+D24</f>
        <v>1888.60984724016</v>
      </c>
      <c r="E11" s="0" t="n">
        <f aca="false">E8+E10+E24</f>
        <v>1726.66697987911</v>
      </c>
      <c r="F11" s="0" t="n">
        <f aca="false">F8+F10+F24</f>
        <v>1814.89545116805</v>
      </c>
      <c r="G11" s="0" t="n">
        <f aca="false">G8+G10+G24</f>
        <v>1924.6483003452</v>
      </c>
      <c r="H11" s="0" t="n">
        <f aca="false">H8+H10+H24</f>
        <v>2039.35291456692</v>
      </c>
      <c r="I11" s="0" t="n">
        <f aca="false">I8+I10+I24</f>
        <v>2100.53350200393</v>
      </c>
      <c r="J11" s="0" t="n">
        <f aca="false">J8+J10+J24</f>
        <v>2163.54950706405</v>
      </c>
      <c r="K11" s="0" t="n">
        <f aca="false">K8+K10+K24</f>
        <v>2217.63824474065</v>
      </c>
      <c r="L11" s="0" t="n">
        <f aca="false">L8+L10+L24</f>
        <v>2273.07920085916</v>
      </c>
    </row>
    <row r="12" customFormat="false" ht="15" hidden="false" customHeight="false" outlineLevel="0" collapsed="false">
      <c r="A12" s="0" t="s">
        <v>114</v>
      </c>
      <c r="C12" s="4" t="n">
        <f aca="false">-C6*Assumptions!C17/100</f>
        <v>-69.168154198</v>
      </c>
      <c r="D12" s="4" t="n">
        <f aca="false">-D6*Assumptions!D17/100</f>
        <v>-70.55151728196</v>
      </c>
      <c r="E12" s="4" t="n">
        <f aca="false">-E6*Assumptions!E17/100</f>
        <v>-68.4349717635012</v>
      </c>
      <c r="F12" s="4" t="n">
        <f aca="false">-F6*Assumptions!F17/100</f>
        <v>-69.8036711987712</v>
      </c>
      <c r="G12" s="4" t="n">
        <f aca="false">-G6*Assumptions!G17/100</f>
        <v>-71.8977813347344</v>
      </c>
      <c r="H12" s="4" t="n">
        <f aca="false">-H6*Assumptions!H17/100</f>
        <v>-74.0547147747764</v>
      </c>
      <c r="I12" s="4" t="n">
        <f aca="false">-I6*Assumptions!I17/100</f>
        <v>-76.2763562180197</v>
      </c>
      <c r="J12" s="4" t="n">
        <f aca="false">-J6*Assumptions!J17/100</f>
        <v>-78.5646469045603</v>
      </c>
      <c r="K12" s="4" t="n">
        <f aca="false">-K6*Assumptions!K17/100</f>
        <v>-80.5287630771743</v>
      </c>
      <c r="L12" s="4" t="n">
        <f aca="false">-L6*Assumptions!L17/100</f>
        <v>-82.5419821541037</v>
      </c>
    </row>
    <row r="13" customFormat="false" ht="15" hidden="false" customHeight="false" outlineLevel="0" collapsed="false">
      <c r="A13" s="0" t="s">
        <v>115</v>
      </c>
      <c r="C13" s="0" t="n">
        <f aca="false">C11+C12</f>
        <v>1995.23521725</v>
      </c>
      <c r="D13" s="0" t="n">
        <f aca="false">D11+D12</f>
        <v>1818.0583299582</v>
      </c>
      <c r="E13" s="0" t="n">
        <f aca="false">E11+E12</f>
        <v>1658.23200811561</v>
      </c>
      <c r="F13" s="0" t="n">
        <f aca="false">F11+F12</f>
        <v>1745.09177996928</v>
      </c>
      <c r="G13" s="0" t="n">
        <f aca="false">G11+G12</f>
        <v>1852.75051901046</v>
      </c>
      <c r="H13" s="0" t="n">
        <f aca="false">H11+H12</f>
        <v>1965.29819979214</v>
      </c>
      <c r="I13" s="0" t="n">
        <f aca="false">I11+I12</f>
        <v>2024.25714578591</v>
      </c>
      <c r="J13" s="0" t="n">
        <f aca="false">J11+J12</f>
        <v>2084.98486015948</v>
      </c>
      <c r="K13" s="0" t="n">
        <f aca="false">K11+K12</f>
        <v>2137.10948166347</v>
      </c>
      <c r="L13" s="0" t="n">
        <f aca="false">L11+L12</f>
        <v>2190.53721870506</v>
      </c>
    </row>
    <row r="14" customFormat="false" ht="15" hidden="false" customHeight="false" outlineLevel="0" collapsed="false">
      <c r="A14" s="0" t="s">
        <v>101</v>
      </c>
      <c r="C14" s="4" t="n">
        <f aca="false">Assumptions!C19</f>
        <v>23</v>
      </c>
      <c r="D14" s="4" t="n">
        <f aca="false">Assumptions!D19</f>
        <v>23</v>
      </c>
      <c r="E14" s="4" t="n">
        <f aca="false">Assumptions!E19</f>
        <v>23</v>
      </c>
      <c r="F14" s="4" t="n">
        <f aca="false">Assumptions!F19</f>
        <v>23</v>
      </c>
      <c r="G14" s="4" t="n">
        <f aca="false">Assumptions!G19</f>
        <v>23</v>
      </c>
      <c r="H14" s="4" t="n">
        <f aca="false">Assumptions!H19</f>
        <v>23</v>
      </c>
      <c r="I14" s="4" t="n">
        <f aca="false">Assumptions!I19</f>
        <v>23</v>
      </c>
      <c r="J14" s="4" t="n">
        <f aca="false">Assumptions!J19</f>
        <v>23</v>
      </c>
      <c r="K14" s="4" t="n">
        <f aca="false">Assumptions!K19</f>
        <v>23</v>
      </c>
      <c r="L14" s="4" t="n">
        <f aca="false">Assumptions!L19</f>
        <v>23</v>
      </c>
    </row>
    <row r="15" customFormat="false" ht="15" hidden="false" customHeight="false" outlineLevel="0" collapsed="false">
      <c r="A15" s="0" t="s">
        <v>116</v>
      </c>
      <c r="C15" s="0" t="n">
        <f aca="false">C13-MAX(0,C13)*C14/100</f>
        <v>1536.3311172825</v>
      </c>
      <c r="D15" s="0" t="n">
        <f aca="false">D13-MAX(0,D13)*D14/100</f>
        <v>1399.90491406781</v>
      </c>
      <c r="E15" s="0" t="n">
        <f aca="false">E13-MAX(0,E13)*E14/100</f>
        <v>1276.83864624902</v>
      </c>
      <c r="F15" s="0" t="n">
        <f aca="false">F13-MAX(0,F13)*F14/100</f>
        <v>1343.72067057635</v>
      </c>
      <c r="G15" s="0" t="n">
        <f aca="false">G13-MAX(0,G13)*G14/100</f>
        <v>1426.61789963806</v>
      </c>
      <c r="H15" s="0" t="n">
        <f aca="false">H13-MAX(0,H13)*H14/100</f>
        <v>1513.27961383995</v>
      </c>
      <c r="I15" s="0" t="n">
        <f aca="false">I13-MAX(0,I13)*I14/100</f>
        <v>1558.67800225515</v>
      </c>
      <c r="J15" s="0" t="n">
        <f aca="false">J13-MAX(0,J13)*J14/100</f>
        <v>1605.4383423228</v>
      </c>
      <c r="K15" s="0" t="n">
        <f aca="false">K13-MAX(0,K13)*K14/100</f>
        <v>1645.57430088087</v>
      </c>
      <c r="L15" s="0" t="n">
        <f aca="false">L13-MAX(0,L13)*L14/100</f>
        <v>1686.7136584029</v>
      </c>
    </row>
    <row r="16" customFormat="false" ht="15" hidden="false" customHeight="false" outlineLevel="0" collapsed="false">
      <c r="A16" s="0" t="s">
        <v>117</v>
      </c>
      <c r="C16" s="0" t="n">
        <f aca="false">-C12</f>
        <v>69.168154198</v>
      </c>
      <c r="D16" s="0" t="n">
        <f aca="false">-D12</f>
        <v>70.55151728196</v>
      </c>
      <c r="E16" s="0" t="n">
        <f aca="false">-E12</f>
        <v>68.4349717635012</v>
      </c>
      <c r="F16" s="0" t="n">
        <f aca="false">-F12</f>
        <v>69.8036711987712</v>
      </c>
      <c r="G16" s="0" t="n">
        <f aca="false">-G12</f>
        <v>71.8977813347344</v>
      </c>
      <c r="H16" s="0" t="n">
        <f aca="false">-H12</f>
        <v>74.0547147747764</v>
      </c>
      <c r="I16" s="0" t="n">
        <f aca="false">-I12</f>
        <v>76.2763562180197</v>
      </c>
      <c r="J16" s="0" t="n">
        <f aca="false">-J12</f>
        <v>78.5646469045603</v>
      </c>
      <c r="K16" s="0" t="n">
        <f aca="false">-K12</f>
        <v>80.5287630771743</v>
      </c>
      <c r="L16" s="0" t="n">
        <f aca="false">-L12</f>
        <v>82.5419821541037</v>
      </c>
    </row>
    <row r="17" customFormat="false" ht="15" hidden="false" customHeight="false" outlineLevel="0" collapsed="false">
      <c r="A17" s="0" t="s">
        <v>118</v>
      </c>
      <c r="C17" s="4" t="n">
        <f aca="false">-C6*Assumptions!C18/100</f>
        <v>-63.847526952</v>
      </c>
      <c r="D17" s="4" t="n">
        <f aca="false">-D6*Assumptions!D18/100</f>
        <v>-65.12447749104</v>
      </c>
      <c r="E17" s="4" t="n">
        <f aca="false">-E6*Assumptions!E18/100</f>
        <v>-63.1707431663088</v>
      </c>
      <c r="F17" s="4" t="n">
        <f aca="false">-F6*Assumptions!F18/100</f>
        <v>-64.434158029635</v>
      </c>
      <c r="G17" s="4" t="n">
        <f aca="false">-G6*Assumptions!G18/100</f>
        <v>-66.367182770524</v>
      </c>
      <c r="H17" s="4" t="n">
        <f aca="false">-H6*Assumptions!H18/100</f>
        <v>-68.3581982536398</v>
      </c>
      <c r="I17" s="4" t="n">
        <f aca="false">-I6*Assumptions!I18/100</f>
        <v>-70.408944201249</v>
      </c>
      <c r="J17" s="4" t="n">
        <f aca="false">-J6*Assumptions!J18/100</f>
        <v>-72.5212125272864</v>
      </c>
      <c r="K17" s="4" t="n">
        <f aca="false">-K6*Assumptions!K18/100</f>
        <v>-74.3342428404686</v>
      </c>
      <c r="L17" s="4" t="n">
        <f aca="false">-L6*Assumptions!L18/100</f>
        <v>-76.1925989114803</v>
      </c>
    </row>
    <row r="18" customFormat="false" ht="15" hidden="false" customHeight="false" outlineLevel="0" collapsed="false">
      <c r="A18" s="0" t="s">
        <v>119</v>
      </c>
      <c r="C18" s="4" t="n">
        <f aca="false">(C6-B6)*Assumptions!$B$23/100</f>
        <v>-1054.3628304</v>
      </c>
      <c r="D18" s="4" t="n">
        <f aca="false">(D6-C6)*Assumptions!$B$23/100</f>
        <v>-255.390107808</v>
      </c>
      <c r="E18" s="4" t="n">
        <f aca="false">(E6-D6)*Assumptions!$B$23/100</f>
        <v>390.74686494624</v>
      </c>
      <c r="F18" s="4" t="n">
        <f aca="false">(F6-E6)*Assumptions!$B$23/100</f>
        <v>-252.682972665236</v>
      </c>
      <c r="G18" s="4" t="n">
        <f aca="false">(G6-F6)*Assumptions!$B$23/100</f>
        <v>-386.604948177811</v>
      </c>
      <c r="H18" s="4" t="n">
        <f aca="false">(H6-G6)*Assumptions!$B$23/100</f>
        <v>-398.203096623145</v>
      </c>
      <c r="I18" s="4" t="n">
        <f aca="false">(I6-H6)*Assumptions!$B$23/100</f>
        <v>-410.149189521839</v>
      </c>
      <c r="J18" s="4" t="n">
        <f aca="false">(J6-I6)*Assumptions!$B$23/100</f>
        <v>-422.453665207495</v>
      </c>
      <c r="K18" s="4" t="n">
        <f aca="false">(K6-J6)*Assumptions!$B$23/100</f>
        <v>-362.60606263643</v>
      </c>
      <c r="L18" s="4" t="n">
        <f aca="false">(L6-K6)*Assumptions!$B$23/100</f>
        <v>-371.671214202342</v>
      </c>
    </row>
    <row r="19" customFormat="false" ht="15" hidden="false" customHeight="false" outlineLevel="0" collapsed="false">
      <c r="A19" s="0" t="s">
        <v>120</v>
      </c>
      <c r="C19" s="0" t="n">
        <f aca="false">C15+C16+C17+C18</f>
        <v>487.288914128499</v>
      </c>
      <c r="D19" s="0" t="n">
        <f aca="false">D15+D16+D17+D18</f>
        <v>1149.94184605073</v>
      </c>
      <c r="E19" s="0" t="n">
        <f aca="false">E15+E16+E17+E18</f>
        <v>1672.84973979245</v>
      </c>
      <c r="F19" s="0" t="n">
        <f aca="false">F15+F16+F17+F18</f>
        <v>1096.40721108025</v>
      </c>
      <c r="G19" s="0" t="n">
        <f aca="false">G15+G16+G17+G18</f>
        <v>1045.54355002446</v>
      </c>
      <c r="H19" s="0" t="n">
        <f aca="false">H15+H16+H17+H18</f>
        <v>1120.77303373794</v>
      </c>
      <c r="I19" s="0" t="n">
        <f aca="false">I15+I16+I17+I18</f>
        <v>1154.39622475008</v>
      </c>
      <c r="J19" s="0" t="n">
        <f aca="false">J15+J16+J17+J18</f>
        <v>1189.02811149258</v>
      </c>
      <c r="K19" s="0" t="n">
        <f aca="false">K15+K16+K17+K18</f>
        <v>1289.16275848115</v>
      </c>
      <c r="L19" s="0" t="n">
        <f aca="false">L15+L16+L17+L18</f>
        <v>1321.39182744318</v>
      </c>
    </row>
    <row r="20" customFormat="false" ht="15" hidden="false" customHeight="false" outlineLevel="0" collapsed="false">
      <c r="A20" s="0" t="s">
        <v>121</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122</v>
      </c>
      <c r="C21" s="0" t="n">
        <f aca="false">C19*C20</f>
        <v>447.054049659174</v>
      </c>
      <c r="D21" s="0" t="n">
        <f aca="false">D19*D20</f>
        <v>967.883045240917</v>
      </c>
      <c r="E21" s="0" t="n">
        <f aca="false">E19*E20</f>
        <v>1291.74693369218</v>
      </c>
      <c r="F21" s="0" t="n">
        <f aca="false">F19*F20</f>
        <v>776.722509922927</v>
      </c>
      <c r="G21" s="0" t="n">
        <f aca="false">G19*G20</f>
        <v>679.531568902688</v>
      </c>
      <c r="H21" s="0" t="n">
        <f aca="false">H19*H20</f>
        <v>668.280340865231</v>
      </c>
      <c r="I21" s="0" t="n">
        <f aca="false">I19*I20</f>
        <v>631.494267056137</v>
      </c>
      <c r="J21" s="0" t="n">
        <f aca="false">J19*J20</f>
        <v>596.733114741119</v>
      </c>
      <c r="K21" s="0" t="n">
        <f aca="false">K19*K20</f>
        <v>593.566346322585</v>
      </c>
      <c r="L21" s="0" t="n">
        <f aca="false">L19*L20</f>
        <v>558.170188055641</v>
      </c>
    </row>
    <row r="23" customFormat="false" ht="15" hidden="false" customHeight="false" outlineLevel="0" collapsed="false">
      <c r="A23" s="0" t="s">
        <v>98</v>
      </c>
      <c r="C23" s="4" t="n">
        <f aca="false">Assumptions!C16</f>
        <v>0.21</v>
      </c>
      <c r="D23" s="4" t="n">
        <f aca="false">Assumptions!D16</f>
        <v>0.21</v>
      </c>
      <c r="E23" s="4" t="n">
        <f aca="false">Assumptions!E16</f>
        <v>0.21</v>
      </c>
      <c r="F23" s="4" t="n">
        <f aca="false">Assumptions!F16</f>
        <v>0.21</v>
      </c>
      <c r="G23" s="4" t="n">
        <f aca="false">Assumptions!G16</f>
        <v>0.21</v>
      </c>
      <c r="H23" s="4" t="n">
        <f aca="false">Assumptions!H16</f>
        <v>0.21</v>
      </c>
      <c r="I23" s="4" t="n">
        <f aca="false">Assumptions!I16</f>
        <v>0.21</v>
      </c>
      <c r="J23" s="4" t="n">
        <f aca="false">Assumptions!J16</f>
        <v>0.21</v>
      </c>
      <c r="K23" s="4" t="n">
        <f aca="false">Assumptions!K16</f>
        <v>0.21</v>
      </c>
      <c r="L23" s="4" t="n">
        <f aca="false">Assumptions!L16</f>
        <v>0.21</v>
      </c>
    </row>
    <row r="24" customFormat="false" ht="15" hidden="false" customHeight="false" outlineLevel="0" collapsed="false">
      <c r="A24" s="0" t="s">
        <v>123</v>
      </c>
      <c r="C24" s="0" t="n">
        <f aca="false">-C6*C23/100</f>
        <v>-223.466344332</v>
      </c>
      <c r="D24" s="0" t="n">
        <f aca="false">-D6*D23/100</f>
        <v>-227.93567121864</v>
      </c>
      <c r="E24" s="0" t="n">
        <f aca="false">-E6*E23/100</f>
        <v>-221.097601082081</v>
      </c>
      <c r="F24" s="0" t="n">
        <f aca="false">-F6*F23/100</f>
        <v>-225.519553103722</v>
      </c>
      <c r="G24" s="0" t="n">
        <f aca="false">-G6*G23/100</f>
        <v>-232.285139696834</v>
      </c>
      <c r="H24" s="0" t="n">
        <f aca="false">-H6*H23/100</f>
        <v>-239.253693887739</v>
      </c>
      <c r="I24" s="0" t="n">
        <f aca="false">-I6*I23/100</f>
        <v>-246.431304704371</v>
      </c>
      <c r="J24" s="0" t="n">
        <f aca="false">-J6*J23/100</f>
        <v>-253.824243845503</v>
      </c>
      <c r="K24" s="0" t="n">
        <f aca="false">-K6*K23/100</f>
        <v>-260.16984994164</v>
      </c>
      <c r="L24" s="0" t="n">
        <f aca="false">-L6*L23/100</f>
        <v>-266.674096190181</v>
      </c>
    </row>
    <row r="26" customFormat="false" ht="15" hidden="false" customHeight="false" outlineLevel="0" collapsed="false">
      <c r="A26" s="2" t="s">
        <v>124</v>
      </c>
    </row>
    <row r="27" customFormat="false" ht="15" hidden="false" customHeight="false" outlineLevel="0" collapsed="false">
      <c r="A27" s="0" t="s">
        <v>102</v>
      </c>
      <c r="B27" s="4" t="n">
        <f aca="false">Assumptions!$B$20</f>
        <v>9</v>
      </c>
    </row>
    <row r="28" customFormat="false" ht="15" hidden="false" customHeight="false" outlineLevel="0" collapsed="false">
      <c r="A28" s="0" t="s">
        <v>103</v>
      </c>
      <c r="B28" s="4" t="n">
        <f aca="false">Assumptions!$B$21</f>
        <v>2.5</v>
      </c>
    </row>
    <row r="29" customFormat="false" ht="15" hidden="false" customHeight="false" outlineLevel="0" collapsed="false">
      <c r="A29" s="0" t="s">
        <v>104</v>
      </c>
      <c r="B29" s="4" t="n">
        <f aca="false">Assumptions!$B$22</f>
        <v>12</v>
      </c>
    </row>
    <row r="30" customFormat="false" ht="15" hidden="false" customHeight="false" outlineLevel="0" collapsed="false">
      <c r="A30" s="0" t="s">
        <v>125</v>
      </c>
      <c r="B30" s="0" t="n">
        <f aca="false">SUM(C21:L21)</f>
        <v>7211.1823644586</v>
      </c>
    </row>
    <row r="31" customFormat="false" ht="15" hidden="false" customHeight="false" outlineLevel="0" collapsed="false">
      <c r="A31" s="0" t="s">
        <v>126</v>
      </c>
      <c r="B31" s="0" t="n">
        <f aca="false">L19</f>
        <v>1321.39182744318</v>
      </c>
    </row>
    <row r="32" customFormat="false" ht="15" hidden="false" customHeight="false" outlineLevel="0" collapsed="false">
      <c r="A32" s="0" t="s">
        <v>127</v>
      </c>
      <c r="B32" s="0" t="n">
        <f aca="false">IF(B27&gt;B28,B31*(1+B28/100)/((B27-B28)/100),B31*B29)</f>
        <v>20837.332663527</v>
      </c>
    </row>
    <row r="33" customFormat="false" ht="15" hidden="false" customHeight="false" outlineLevel="0" collapsed="false">
      <c r="A33" s="0" t="s">
        <v>128</v>
      </c>
      <c r="B33" s="0" t="n">
        <f aca="false">B31*B29</f>
        <v>15856.7019293181</v>
      </c>
    </row>
    <row r="34" customFormat="false" ht="15" hidden="false" customHeight="false" outlineLevel="0" collapsed="false">
      <c r="A34" s="0" t="s">
        <v>129</v>
      </c>
      <c r="B34" s="0" t="n">
        <f aca="false">MAX(0,MIN(B32,B33))</f>
        <v>15856.7019293181</v>
      </c>
    </row>
    <row r="35" customFormat="false" ht="15" hidden="false" customHeight="false" outlineLevel="0" collapsed="false">
      <c r="A35" s="0" t="s">
        <v>130</v>
      </c>
      <c r="B35" s="0" t="n">
        <f aca="false">B34/(1+B27/100)^L4</f>
        <v>6698.04225666769</v>
      </c>
    </row>
    <row r="36" customFormat="false" ht="15" hidden="false" customHeight="false" outlineLevel="0" collapsed="false">
      <c r="A36" s="0" t="s">
        <v>131</v>
      </c>
      <c r="B36" s="0" t="n">
        <f aca="false">B30+B35</f>
        <v>13909.2246211263</v>
      </c>
    </row>
    <row r="37" customFormat="false" ht="15" hidden="false" customHeight="false" outlineLevel="0" collapsed="false">
      <c r="A37" s="0" t="s">
        <v>132</v>
      </c>
      <c r="B37" s="0" t="n">
        <f aca="false">B36+Assumptions!$B$5-Assumptions!$B$4</f>
        <v>5984.15562112629</v>
      </c>
    </row>
    <row r="38" customFormat="false" ht="15" hidden="false" customHeight="false" outlineLevel="0" collapsed="false">
      <c r="A38" s="0" t="s">
        <v>133</v>
      </c>
      <c r="B38" s="0" t="n">
        <f aca="false">B37/Assumptions!$B$3*Assumptions!$B$10</f>
        <v>4.3098794944135</v>
      </c>
    </row>
    <row r="39" customFormat="false" ht="15" hidden="false" customHeight="false" outlineLevel="0" collapsed="false">
      <c r="A39" s="0" t="s">
        <v>134</v>
      </c>
      <c r="B39" s="4" t="n">
        <f aca="false">B38/Assumptions!$B$2-1</f>
        <v>-0.508845641662279</v>
      </c>
    </row>
    <row r="41" customFormat="false" ht="15" hidden="false" customHeight="false" outlineLevel="0" collapsed="false">
      <c r="A41" s="0" t="s">
        <v>135</v>
      </c>
      <c r="B41" s="0" t="n">
        <f aca="false">SUMPRODUCT(-C10:L10/(1+$B$27/100)^C4:L4)</f>
        <v>0</v>
      </c>
    </row>
    <row r="42" customFormat="false" ht="15" hidden="false" customHeight="false" outlineLevel="0" collapsed="false">
      <c r="A42" s="0" t="s">
        <v>136</v>
      </c>
      <c r="B42" s="0" t="n">
        <f aca="false">IF(B27&gt;B28,-L10*(1+B28/100)/((B27-B28)/100),-L10*20)/(1+B27/100)^L4</f>
        <v>0</v>
      </c>
    </row>
    <row r="43" customFormat="false" ht="15" hidden="false" customHeight="false" outlineLevel="0" collapsed="false">
      <c r="A43" s="0" t="s">
        <v>137</v>
      </c>
      <c r="B43" s="0" t="n">
        <f aca="false">(B37+B41+B42)/Assumptions!$B$3*Assumptions!$B$10</f>
        <v>4.3098794944135</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10835.412985034</v>
      </c>
    </row>
    <row r="47" customFormat="false" ht="15" hidden="false" customHeight="false" outlineLevel="0" collapsed="false">
      <c r="A47" s="0" t="s">
        <v>139</v>
      </c>
      <c r="B47" s="0" t="n">
        <f aca="false">(SUMPRODUCT(C19:L19/(1+B45/100)^C4:L4)+B46/(1+B45/100)^L4+Assumptions!$B$5-Assumptions!$B$4)/Assumptions!$B$3*Assumptions!$B$10</f>
        <v>0.211351061403452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140</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Assumptions!C27</f>
        <v>14</v>
      </c>
      <c r="D5" s="4" t="n">
        <f aca="false">Assumptions!D27</f>
        <v>9</v>
      </c>
      <c r="E5" s="4" t="n">
        <f aca="false">Assumptions!E27</f>
        <v>7</v>
      </c>
      <c r="F5" s="4" t="n">
        <f aca="false">Assumptions!F27</f>
        <v>6</v>
      </c>
      <c r="G5" s="4" t="n">
        <f aca="false">Assumptions!G27</f>
        <v>5</v>
      </c>
      <c r="H5" s="4" t="n">
        <f aca="false">Assumptions!H27</f>
        <v>4.5</v>
      </c>
      <c r="I5" s="4" t="n">
        <f aca="false">Assumptions!I27</f>
        <v>4</v>
      </c>
      <c r="J5" s="4" t="n">
        <f aca="false">Assumptions!J27</f>
        <v>3.5</v>
      </c>
      <c r="K5" s="4" t="n">
        <f aca="false">Assumptions!K27</f>
        <v>3</v>
      </c>
      <c r="L5" s="4" t="n">
        <f aca="false">Assumptions!L27</f>
        <v>3</v>
      </c>
    </row>
    <row r="6" customFormat="false" ht="15" hidden="false" customHeight="false" outlineLevel="0" collapsed="false">
      <c r="A6" s="0" t="s">
        <v>37</v>
      </c>
      <c r="B6" s="3" t="n">
        <v>97626.188</v>
      </c>
      <c r="C6" s="0" t="n">
        <f aca="false">B6*(1+C5/100)</f>
        <v>111293.85432</v>
      </c>
      <c r="D6" s="0" t="n">
        <f aca="false">C6*(1+D5/100)</f>
        <v>121310.3012088</v>
      </c>
      <c r="E6" s="0" t="n">
        <f aca="false">D6*(1+E5/100)</f>
        <v>129802.022293416</v>
      </c>
      <c r="F6" s="0" t="n">
        <f aca="false">E6*(1+F5/100)</f>
        <v>137590.143631021</v>
      </c>
      <c r="G6" s="0" t="n">
        <f aca="false">F6*(1+G5/100)</f>
        <v>144469.650812572</v>
      </c>
      <c r="H6" s="0" t="n">
        <f aca="false">G6*(1+H5/100)</f>
        <v>150970.785099138</v>
      </c>
      <c r="I6" s="0" t="n">
        <f aca="false">H6*(1+I5/100)</f>
        <v>157009.616503103</v>
      </c>
      <c r="J6" s="0" t="n">
        <f aca="false">I6*(1+J5/100)</f>
        <v>162504.953080712</v>
      </c>
      <c r="K6" s="0" t="n">
        <f aca="false">J6*(1+K5/100)</f>
        <v>167380.101673133</v>
      </c>
      <c r="L6" s="0" t="n">
        <f aca="false">K6*(1+L5/100)</f>
        <v>172401.504723327</v>
      </c>
    </row>
    <row r="7" customFormat="false" ht="15" hidden="false" customHeight="false" outlineLevel="0" collapsed="false">
      <c r="A7" s="0" t="s">
        <v>96</v>
      </c>
      <c r="C7" s="4" t="n">
        <f aca="false">Assumptions!C28</f>
        <v>2.35</v>
      </c>
      <c r="D7" s="4" t="n">
        <f aca="false">Assumptions!D28</f>
        <v>2.3</v>
      </c>
      <c r="E7" s="4" t="n">
        <f aca="false">Assumptions!E28</f>
        <v>2.25</v>
      </c>
      <c r="F7" s="4" t="n">
        <f aca="false">Assumptions!F28</f>
        <v>2.25</v>
      </c>
      <c r="G7" s="4" t="n">
        <f aca="false">Assumptions!G28</f>
        <v>2.25</v>
      </c>
      <c r="H7" s="4" t="n">
        <f aca="false">Assumptions!H28</f>
        <v>2.25</v>
      </c>
      <c r="I7" s="4" t="n">
        <f aca="false">Assumptions!I28</f>
        <v>2.25</v>
      </c>
      <c r="J7" s="4" t="n">
        <f aca="false">Assumptions!J28</f>
        <v>2.25</v>
      </c>
      <c r="K7" s="4" t="n">
        <f aca="false">Assumptions!K28</f>
        <v>2.25</v>
      </c>
      <c r="L7" s="4" t="n">
        <f aca="false">Assumptions!L28</f>
        <v>2.25</v>
      </c>
    </row>
    <row r="8" customFormat="false" ht="15" hidden="false" customHeight="false" outlineLevel="0" collapsed="false">
      <c r="A8" s="0" t="s">
        <v>43</v>
      </c>
      <c r="C8" s="0" t="n">
        <f aca="false">C6*C7/100</f>
        <v>2615.40557652</v>
      </c>
      <c r="D8" s="0" t="n">
        <f aca="false">D6*D7/100</f>
        <v>2790.1369278024</v>
      </c>
      <c r="E8" s="0" t="n">
        <f aca="false">E6*E7/100</f>
        <v>2920.54550160186</v>
      </c>
      <c r="F8" s="0" t="n">
        <f aca="false">F6*F7/100</f>
        <v>3095.77823169797</v>
      </c>
      <c r="G8" s="0" t="n">
        <f aca="false">G6*G7/100</f>
        <v>3250.56714328287</v>
      </c>
      <c r="H8" s="0" t="n">
        <f aca="false">H6*H7/100</f>
        <v>3396.8426647306</v>
      </c>
      <c r="I8" s="0" t="n">
        <f aca="false">I6*I7/100</f>
        <v>3532.71637131982</v>
      </c>
      <c r="J8" s="0" t="n">
        <f aca="false">J6*J7/100</f>
        <v>3656.36144431602</v>
      </c>
      <c r="K8" s="0" t="n">
        <f aca="false">K6*K7/100</f>
        <v>3766.0522876455</v>
      </c>
      <c r="L8" s="0" t="n">
        <f aca="false">L6*L7/100</f>
        <v>3879.03385627486</v>
      </c>
    </row>
    <row r="9" customFormat="false" ht="15" hidden="false" customHeight="false" outlineLevel="0" collapsed="false">
      <c r="A9" s="0" t="s">
        <v>97</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113</v>
      </c>
      <c r="C11" s="0" t="n">
        <f aca="false">C8+C10+C24</f>
        <v>2381.688482448</v>
      </c>
      <c r="D11" s="0" t="n">
        <f aca="false">D8+D10+D24</f>
        <v>2535.38529526392</v>
      </c>
      <c r="E11" s="0" t="n">
        <f aca="false">E8+E10+E24</f>
        <v>2647.96125478569</v>
      </c>
      <c r="F11" s="0" t="n">
        <f aca="false">F8+F10+F24</f>
        <v>2806.83893007283</v>
      </c>
      <c r="G11" s="0" t="n">
        <f aca="false">G8+G10+G24</f>
        <v>2947.18087657647</v>
      </c>
      <c r="H11" s="0" t="n">
        <f aca="false">H8+H10+H24</f>
        <v>3079.80401602241</v>
      </c>
      <c r="I11" s="0" t="n">
        <f aca="false">I8+I10+I24</f>
        <v>3202.99617666331</v>
      </c>
      <c r="J11" s="0" t="n">
        <f aca="false">J8+J10+J24</f>
        <v>3315.10104284652</v>
      </c>
      <c r="K11" s="0" t="n">
        <f aca="false">K8+K10+K24</f>
        <v>3414.55407413192</v>
      </c>
      <c r="L11" s="0" t="n">
        <f aca="false">L8+L10+L24</f>
        <v>3516.99069635588</v>
      </c>
    </row>
    <row r="12" customFormat="false" ht="15" hidden="false" customHeight="false" outlineLevel="0" collapsed="false">
      <c r="A12" s="0" t="s">
        <v>114</v>
      </c>
      <c r="C12" s="4" t="n">
        <f aca="false">-C6*Assumptions!C31/100</f>
        <v>-72.341005308</v>
      </c>
      <c r="D12" s="4" t="n">
        <f aca="false">-D6*Assumptions!D31/100</f>
        <v>-78.85169578572</v>
      </c>
      <c r="E12" s="4" t="n">
        <f aca="false">-E6*Assumptions!E31/100</f>
        <v>-84.3713144907204</v>
      </c>
      <c r="F12" s="4" t="n">
        <f aca="false">-F6*Assumptions!F31/100</f>
        <v>-89.4335933601637</v>
      </c>
      <c r="G12" s="4" t="n">
        <f aca="false">-G6*Assumptions!G31/100</f>
        <v>-93.9052730281718</v>
      </c>
      <c r="H12" s="4" t="n">
        <f aca="false">-H6*Assumptions!H31/100</f>
        <v>-98.1310103144396</v>
      </c>
      <c r="I12" s="4" t="n">
        <f aca="false">-I6*Assumptions!I31/100</f>
        <v>-102.056250727017</v>
      </c>
      <c r="J12" s="4" t="n">
        <f aca="false">-J6*Assumptions!J31/100</f>
        <v>-105.628219502463</v>
      </c>
      <c r="K12" s="4" t="n">
        <f aca="false">-K6*Assumptions!K31/100</f>
        <v>-108.797066087537</v>
      </c>
      <c r="L12" s="4" t="n">
        <f aca="false">-L6*Assumptions!L31/100</f>
        <v>-112.060978070163</v>
      </c>
    </row>
    <row r="13" customFormat="false" ht="15" hidden="false" customHeight="false" outlineLevel="0" collapsed="false">
      <c r="A13" s="0" t="s">
        <v>115</v>
      </c>
      <c r="C13" s="0" t="n">
        <f aca="false">C11+C12</f>
        <v>2309.34747714</v>
      </c>
      <c r="D13" s="0" t="n">
        <f aca="false">D11+D12</f>
        <v>2456.5335994782</v>
      </c>
      <c r="E13" s="0" t="n">
        <f aca="false">E11+E12</f>
        <v>2563.58994029497</v>
      </c>
      <c r="F13" s="0" t="n">
        <f aca="false">F11+F12</f>
        <v>2717.40533671266</v>
      </c>
      <c r="G13" s="0" t="n">
        <f aca="false">G11+G12</f>
        <v>2853.2756035483</v>
      </c>
      <c r="H13" s="0" t="n">
        <f aca="false">H11+H12</f>
        <v>2981.67300570797</v>
      </c>
      <c r="I13" s="0" t="n">
        <f aca="false">I11+I12</f>
        <v>3100.93992593629</v>
      </c>
      <c r="J13" s="0" t="n">
        <f aca="false">J11+J12</f>
        <v>3209.47282334406</v>
      </c>
      <c r="K13" s="0" t="n">
        <f aca="false">K11+K12</f>
        <v>3305.75700804438</v>
      </c>
      <c r="L13" s="0" t="n">
        <f aca="false">L11+L12</f>
        <v>3404.92971828571</v>
      </c>
    </row>
    <row r="14" customFormat="false" ht="15" hidden="false" customHeight="false" outlineLevel="0" collapsed="false">
      <c r="A14" s="0" t="s">
        <v>101</v>
      </c>
      <c r="C14" s="4" t="n">
        <f aca="false">Assumptions!C33</f>
        <v>22</v>
      </c>
      <c r="D14" s="4" t="n">
        <f aca="false">Assumptions!D33</f>
        <v>22</v>
      </c>
      <c r="E14" s="4" t="n">
        <f aca="false">Assumptions!E33</f>
        <v>22</v>
      </c>
      <c r="F14" s="4" t="n">
        <f aca="false">Assumptions!F33</f>
        <v>22</v>
      </c>
      <c r="G14" s="4" t="n">
        <f aca="false">Assumptions!G33</f>
        <v>22</v>
      </c>
      <c r="H14" s="4" t="n">
        <f aca="false">Assumptions!H33</f>
        <v>22</v>
      </c>
      <c r="I14" s="4" t="n">
        <f aca="false">Assumptions!I33</f>
        <v>22</v>
      </c>
      <c r="J14" s="4" t="n">
        <f aca="false">Assumptions!J33</f>
        <v>22</v>
      </c>
      <c r="K14" s="4" t="n">
        <f aca="false">Assumptions!K33</f>
        <v>22</v>
      </c>
      <c r="L14" s="4" t="n">
        <f aca="false">Assumptions!L33</f>
        <v>22</v>
      </c>
    </row>
    <row r="15" customFormat="false" ht="15" hidden="false" customHeight="false" outlineLevel="0" collapsed="false">
      <c r="A15" s="0" t="s">
        <v>116</v>
      </c>
      <c r="C15" s="0" t="n">
        <f aca="false">C13-MAX(0,C13)*C14/100</f>
        <v>1801.2910321692</v>
      </c>
      <c r="D15" s="0" t="n">
        <f aca="false">D13-MAX(0,D13)*D14/100</f>
        <v>1916.096207593</v>
      </c>
      <c r="E15" s="0" t="n">
        <f aca="false">E13-MAX(0,E13)*E14/100</f>
        <v>1999.60015343007</v>
      </c>
      <c r="F15" s="0" t="n">
        <f aca="false">F13-MAX(0,F13)*F14/100</f>
        <v>2119.57616263588</v>
      </c>
      <c r="G15" s="0" t="n">
        <f aca="false">G13-MAX(0,G13)*G14/100</f>
        <v>2225.55497076767</v>
      </c>
      <c r="H15" s="0" t="n">
        <f aca="false">H13-MAX(0,H13)*H14/100</f>
        <v>2325.70494445222</v>
      </c>
      <c r="I15" s="0" t="n">
        <f aca="false">I13-MAX(0,I13)*I14/100</f>
        <v>2418.73314223031</v>
      </c>
      <c r="J15" s="0" t="n">
        <f aca="false">J13-MAX(0,J13)*J14/100</f>
        <v>2503.38880220837</v>
      </c>
      <c r="K15" s="0" t="n">
        <f aca="false">K13-MAX(0,K13)*K14/100</f>
        <v>2578.49046627462</v>
      </c>
      <c r="L15" s="0" t="n">
        <f aca="false">L13-MAX(0,L13)*L14/100</f>
        <v>2655.84518026286</v>
      </c>
    </row>
    <row r="16" customFormat="false" ht="15" hidden="false" customHeight="false" outlineLevel="0" collapsed="false">
      <c r="A16" s="0" t="s">
        <v>117</v>
      </c>
      <c r="C16" s="0" t="n">
        <f aca="false">-C12</f>
        <v>72.341005308</v>
      </c>
      <c r="D16" s="0" t="n">
        <f aca="false">-D12</f>
        <v>78.85169578572</v>
      </c>
      <c r="E16" s="0" t="n">
        <f aca="false">-E12</f>
        <v>84.3713144907204</v>
      </c>
      <c r="F16" s="0" t="n">
        <f aca="false">-F12</f>
        <v>89.4335933601637</v>
      </c>
      <c r="G16" s="0" t="n">
        <f aca="false">-G12</f>
        <v>93.9052730281718</v>
      </c>
      <c r="H16" s="0" t="n">
        <f aca="false">-H12</f>
        <v>98.1310103144396</v>
      </c>
      <c r="I16" s="0" t="n">
        <f aca="false">-I12</f>
        <v>102.056250727017</v>
      </c>
      <c r="J16" s="0" t="n">
        <f aca="false">-J12</f>
        <v>105.628219502463</v>
      </c>
      <c r="K16" s="0" t="n">
        <f aca="false">-K12</f>
        <v>108.797066087537</v>
      </c>
      <c r="L16" s="0" t="n">
        <f aca="false">-L12</f>
        <v>112.060978070163</v>
      </c>
    </row>
    <row r="17" customFormat="false" ht="15" hidden="false" customHeight="false" outlineLevel="0" collapsed="false">
      <c r="A17" s="0" t="s">
        <v>118</v>
      </c>
      <c r="C17" s="4" t="n">
        <f aca="false">-C6*Assumptions!C32/100</f>
        <v>-66.776312592</v>
      </c>
      <c r="D17" s="4" t="n">
        <f aca="false">-D6*Assumptions!D32/100</f>
        <v>-72.78618072528</v>
      </c>
      <c r="E17" s="4" t="n">
        <f aca="false">-E6*Assumptions!E32/100</f>
        <v>-77.8812133760496</v>
      </c>
      <c r="F17" s="4" t="n">
        <f aca="false">-F6*Assumptions!F32/100</f>
        <v>-82.5540861786126</v>
      </c>
      <c r="G17" s="4" t="n">
        <f aca="false">-G6*Assumptions!G32/100</f>
        <v>-86.6817904875432</v>
      </c>
      <c r="H17" s="4" t="n">
        <f aca="false">-H6*Assumptions!H32/100</f>
        <v>-90.5824710594827</v>
      </c>
      <c r="I17" s="4" t="n">
        <f aca="false">-I6*Assumptions!I32/100</f>
        <v>-94.205769901862</v>
      </c>
      <c r="J17" s="4" t="n">
        <f aca="false">-J6*Assumptions!J32/100</f>
        <v>-97.5029718484271</v>
      </c>
      <c r="K17" s="4" t="n">
        <f aca="false">-K6*Assumptions!K32/100</f>
        <v>-100.42806100388</v>
      </c>
      <c r="L17" s="4" t="n">
        <f aca="false">-L6*Assumptions!L32/100</f>
        <v>-103.440902833996</v>
      </c>
    </row>
    <row r="18" customFormat="false" ht="15" hidden="false" customHeight="false" outlineLevel="0" collapsed="false">
      <c r="A18" s="0" t="s">
        <v>119</v>
      </c>
      <c r="C18" s="4" t="n">
        <f aca="false">(C6-B6)*Assumptions!$B$37/100</f>
        <v>-1366.766632</v>
      </c>
      <c r="D18" s="4" t="n">
        <f aca="false">(D6-C6)*Assumptions!$B$37/100</f>
        <v>-1001.64468888</v>
      </c>
      <c r="E18" s="4" t="n">
        <f aca="false">(E6-D6)*Assumptions!$B$37/100</f>
        <v>-849.172108461602</v>
      </c>
      <c r="F18" s="4" t="n">
        <f aca="false">(F6-E6)*Assumptions!$B$37/100</f>
        <v>-778.812133760496</v>
      </c>
      <c r="G18" s="4" t="n">
        <f aca="false">(G6-F6)*Assumptions!$B$37/100</f>
        <v>-687.950718155105</v>
      </c>
      <c r="H18" s="4" t="n">
        <f aca="false">(H6-G6)*Assumptions!$B$37/100</f>
        <v>-650.113428656574</v>
      </c>
      <c r="I18" s="4" t="n">
        <f aca="false">(I6-H6)*Assumptions!$B$37/100</f>
        <v>-603.883140396551</v>
      </c>
      <c r="J18" s="4" t="n">
        <f aca="false">(J6-I6)*Assumptions!$B$37/100</f>
        <v>-549.53365776086</v>
      </c>
      <c r="K18" s="4" t="n">
        <f aca="false">(K6-J6)*Assumptions!$B$37/100</f>
        <v>-487.514859242135</v>
      </c>
      <c r="L18" s="4" t="n">
        <f aca="false">(L6-K6)*Assumptions!$B$37/100</f>
        <v>-502.1403050194</v>
      </c>
    </row>
    <row r="19" customFormat="false" ht="15" hidden="false" customHeight="false" outlineLevel="0" collapsed="false">
      <c r="A19" s="0" t="s">
        <v>120</v>
      </c>
      <c r="C19" s="0" t="n">
        <f aca="false">C15+C16+C17+C18</f>
        <v>440.089092885198</v>
      </c>
      <c r="D19" s="0" t="n">
        <f aca="false">D15+D16+D17+D18</f>
        <v>920.517033773435</v>
      </c>
      <c r="E19" s="0" t="n">
        <f aca="false">E15+E16+E17+E18</f>
        <v>1156.91814608314</v>
      </c>
      <c r="F19" s="0" t="n">
        <f aca="false">F15+F16+F17+F18</f>
        <v>1347.64353605693</v>
      </c>
      <c r="G19" s="0" t="n">
        <f aca="false">G15+G16+G17+G18</f>
        <v>1544.8277351532</v>
      </c>
      <c r="H19" s="0" t="n">
        <f aca="false">H15+H16+H17+H18</f>
        <v>1683.1400550506</v>
      </c>
      <c r="I19" s="0" t="n">
        <f aca="false">I15+I16+I17+I18</f>
        <v>1822.70048265891</v>
      </c>
      <c r="J19" s="0" t="n">
        <f aca="false">J15+J16+J17+J18</f>
        <v>1961.98039210154</v>
      </c>
      <c r="K19" s="0" t="n">
        <f aca="false">K15+K16+K17+K18</f>
        <v>2099.34461211614</v>
      </c>
      <c r="L19" s="0" t="n">
        <f aca="false">L15+L16+L17+L18</f>
        <v>2162.32495047962</v>
      </c>
    </row>
    <row r="20" customFormat="false" ht="15" hidden="false" customHeight="false" outlineLevel="0" collapsed="false">
      <c r="A20" s="0" t="s">
        <v>121</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122</v>
      </c>
      <c r="C21" s="0" t="n">
        <f aca="false">C19*C20</f>
        <v>403.751461362567</v>
      </c>
      <c r="D21" s="0" t="n">
        <f aca="false">D19*D20</f>
        <v>774.780770788179</v>
      </c>
      <c r="E21" s="0" t="n">
        <f aca="false">E19*E20</f>
        <v>893.353080188276</v>
      </c>
      <c r="F21" s="0" t="n">
        <f aca="false">F19*F20</f>
        <v>954.704656471781</v>
      </c>
      <c r="G21" s="0" t="n">
        <f aca="false">G19*G20</f>
        <v>1004.03203150025</v>
      </c>
      <c r="H21" s="0" t="n">
        <f aca="false">H19*H20</f>
        <v>1003.60142138836</v>
      </c>
      <c r="I21" s="0" t="n">
        <f aca="false">I19*I20</f>
        <v>997.079582106867</v>
      </c>
      <c r="J21" s="0" t="n">
        <f aca="false">J19*J20</f>
        <v>984.65180017492</v>
      </c>
      <c r="K21" s="0" t="n">
        <f aca="false">K19*K20</f>
        <v>966.596578196144</v>
      </c>
      <c r="L21" s="0" t="n">
        <f aca="false">L19*L20</f>
        <v>913.389427102778</v>
      </c>
    </row>
    <row r="23" customFormat="false" ht="15" hidden="false" customHeight="false" outlineLevel="0" collapsed="false">
      <c r="A23" s="0" t="s">
        <v>98</v>
      </c>
      <c r="C23" s="4" t="n">
        <f aca="false">Assumptions!C30</f>
        <v>0.21</v>
      </c>
      <c r="D23" s="4" t="n">
        <f aca="false">Assumptions!D30</f>
        <v>0.21</v>
      </c>
      <c r="E23" s="4" t="n">
        <f aca="false">Assumptions!E30</f>
        <v>0.21</v>
      </c>
      <c r="F23" s="4" t="n">
        <f aca="false">Assumptions!F30</f>
        <v>0.21</v>
      </c>
      <c r="G23" s="4" t="n">
        <f aca="false">Assumptions!G30</f>
        <v>0.21</v>
      </c>
      <c r="H23" s="4" t="n">
        <f aca="false">Assumptions!H30</f>
        <v>0.21</v>
      </c>
      <c r="I23" s="4" t="n">
        <f aca="false">Assumptions!I30</f>
        <v>0.21</v>
      </c>
      <c r="J23" s="4" t="n">
        <f aca="false">Assumptions!J30</f>
        <v>0.21</v>
      </c>
      <c r="K23" s="4" t="n">
        <f aca="false">Assumptions!K30</f>
        <v>0.21</v>
      </c>
      <c r="L23" s="4" t="n">
        <f aca="false">Assumptions!L30</f>
        <v>0.21</v>
      </c>
    </row>
    <row r="24" customFormat="false" ht="15" hidden="false" customHeight="false" outlineLevel="0" collapsed="false">
      <c r="A24" s="0" t="s">
        <v>123</v>
      </c>
      <c r="C24" s="0" t="n">
        <f aca="false">-C6*C23/100</f>
        <v>-233.717094072</v>
      </c>
      <c r="D24" s="0" t="n">
        <f aca="false">-D6*D23/100</f>
        <v>-254.75163253848</v>
      </c>
      <c r="E24" s="0" t="n">
        <f aca="false">-E6*E23/100</f>
        <v>-272.584246816174</v>
      </c>
      <c r="F24" s="0" t="n">
        <f aca="false">-F6*F23/100</f>
        <v>-288.939301625144</v>
      </c>
      <c r="G24" s="0" t="n">
        <f aca="false">-G6*G23/100</f>
        <v>-303.386266706401</v>
      </c>
      <c r="H24" s="0" t="n">
        <f aca="false">-H6*H23/100</f>
        <v>-317.038648708189</v>
      </c>
      <c r="I24" s="0" t="n">
        <f aca="false">-I6*I23/100</f>
        <v>-329.720194656517</v>
      </c>
      <c r="J24" s="0" t="n">
        <f aca="false">-J6*J23/100</f>
        <v>-341.260401469495</v>
      </c>
      <c r="K24" s="0" t="n">
        <f aca="false">-K6*K23/100</f>
        <v>-351.49821351358</v>
      </c>
      <c r="L24" s="0" t="n">
        <f aca="false">-L6*L23/100</f>
        <v>-362.043159918987</v>
      </c>
    </row>
    <row r="26" customFormat="false" ht="15" hidden="false" customHeight="false" outlineLevel="0" collapsed="false">
      <c r="A26" s="2" t="s">
        <v>124</v>
      </c>
    </row>
    <row r="27" customFormat="false" ht="15" hidden="false" customHeight="false" outlineLevel="0" collapsed="false">
      <c r="A27" s="0" t="s">
        <v>102</v>
      </c>
      <c r="B27" s="4" t="n">
        <f aca="false">Assumptions!$B$34</f>
        <v>9</v>
      </c>
    </row>
    <row r="28" customFormat="false" ht="15" hidden="false" customHeight="false" outlineLevel="0" collapsed="false">
      <c r="A28" s="0" t="s">
        <v>103</v>
      </c>
      <c r="B28" s="4" t="n">
        <f aca="false">Assumptions!$B$35</f>
        <v>2.5</v>
      </c>
    </row>
    <row r="29" customFormat="false" ht="15" hidden="false" customHeight="false" outlineLevel="0" collapsed="false">
      <c r="A29" s="0" t="s">
        <v>104</v>
      </c>
      <c r="B29" s="4" t="n">
        <f aca="false">Assumptions!$B$36</f>
        <v>12</v>
      </c>
    </row>
    <row r="30" customFormat="false" ht="15" hidden="false" customHeight="false" outlineLevel="0" collapsed="false">
      <c r="A30" s="0" t="s">
        <v>125</v>
      </c>
      <c r="B30" s="0" t="n">
        <f aca="false">SUM(C21:L21)</f>
        <v>8895.94080928012</v>
      </c>
    </row>
    <row r="31" customFormat="false" ht="15" hidden="false" customHeight="false" outlineLevel="0" collapsed="false">
      <c r="A31" s="0" t="s">
        <v>126</v>
      </c>
      <c r="B31" s="0" t="n">
        <f aca="false">L19</f>
        <v>2162.32495047962</v>
      </c>
    </row>
    <row r="32" customFormat="false" ht="15" hidden="false" customHeight="false" outlineLevel="0" collapsed="false">
      <c r="A32" s="0" t="s">
        <v>127</v>
      </c>
      <c r="B32" s="0" t="n">
        <f aca="false">IF(B27&gt;B28,B31*(1+B28/100)/((B27-B28)/100),B31*B29)</f>
        <v>34098.2011421787</v>
      </c>
    </row>
    <row r="33" customFormat="false" ht="15" hidden="false" customHeight="false" outlineLevel="0" collapsed="false">
      <c r="A33" s="0" t="s">
        <v>128</v>
      </c>
      <c r="B33" s="0" t="n">
        <f aca="false">B31*B29</f>
        <v>25947.8994057555</v>
      </c>
    </row>
    <row r="34" customFormat="false" ht="15" hidden="false" customHeight="false" outlineLevel="0" collapsed="false">
      <c r="A34" s="0" t="s">
        <v>129</v>
      </c>
      <c r="B34" s="0" t="n">
        <f aca="false">MAX(0,MIN(B32,B33))</f>
        <v>25947.8994057555</v>
      </c>
    </row>
    <row r="35" customFormat="false" ht="15" hidden="false" customHeight="false" outlineLevel="0" collapsed="false">
      <c r="A35" s="0" t="s">
        <v>130</v>
      </c>
      <c r="B35" s="0" t="n">
        <f aca="false">B34/(1+B27/100)^L4</f>
        <v>10960.6731252333</v>
      </c>
    </row>
    <row r="36" customFormat="false" ht="15" hidden="false" customHeight="false" outlineLevel="0" collapsed="false">
      <c r="A36" s="0" t="s">
        <v>131</v>
      </c>
      <c r="B36" s="0" t="n">
        <f aca="false">B30+B35</f>
        <v>19856.6139345135</v>
      </c>
    </row>
    <row r="37" customFormat="false" ht="15" hidden="false" customHeight="false" outlineLevel="0" collapsed="false">
      <c r="A37" s="0" t="s">
        <v>132</v>
      </c>
      <c r="B37" s="0" t="n">
        <f aca="false">B36+Assumptions!$B$5-Assumptions!$B$4</f>
        <v>11931.5449345135</v>
      </c>
    </row>
    <row r="38" customFormat="false" ht="15" hidden="false" customHeight="false" outlineLevel="0" collapsed="false">
      <c r="A38" s="0" t="s">
        <v>133</v>
      </c>
      <c r="B38" s="0" t="n">
        <f aca="false">B37/Assumptions!$B$3*Assumptions!$B$10</f>
        <v>8.59327933725331</v>
      </c>
    </row>
    <row r="39" customFormat="false" ht="15" hidden="false" customHeight="false" outlineLevel="0" collapsed="false">
      <c r="A39" s="0" t="s">
        <v>134</v>
      </c>
      <c r="B39" s="4" t="n">
        <f aca="false">B38/Assumptions!$B$2-1</f>
        <v>-0.0207089074355205</v>
      </c>
    </row>
    <row r="41" customFormat="false" ht="15" hidden="false" customHeight="false" outlineLevel="0" collapsed="false">
      <c r="A41" s="0" t="s">
        <v>135</v>
      </c>
      <c r="B41" s="0" t="n">
        <f aca="false">SUMPRODUCT(-C10:L10/(1+$B$27/100)^C4:L4)</f>
        <v>0</v>
      </c>
    </row>
    <row r="42" customFormat="false" ht="15" hidden="false" customHeight="false" outlineLevel="0" collapsed="false">
      <c r="A42" s="0" t="s">
        <v>136</v>
      </c>
      <c r="B42" s="0" t="n">
        <f aca="false">IF(B27&gt;B28,-L10*(1+B28/100)/((B27-B28)/100),-L10*20)/(1+B27/100)^L4</f>
        <v>0</v>
      </c>
    </row>
    <row r="43" customFormat="false" ht="15" hidden="false" customHeight="false" outlineLevel="0" collapsed="false">
      <c r="A43" s="0" t="s">
        <v>137</v>
      </c>
      <c r="B43" s="0" t="n">
        <f aca="false">(B37+B41+B42)/Assumptions!$B$3*Assumptions!$B$10</f>
        <v>8.59327933725331</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17731.0645939329</v>
      </c>
    </row>
    <row r="47" customFormat="false" ht="15" hidden="false" customHeight="false" outlineLevel="0" collapsed="false">
      <c r="A47" s="0" t="s">
        <v>139</v>
      </c>
      <c r="B47" s="0" t="n">
        <f aca="false">(SUMPRODUCT(C19:L19/(1+B45/100)^C4:L4)+B46/(1+B45/100)^L4+Assumptions!$B$5-Assumptions!$B$4)/Assumptions!$B$3*Assumptions!$B$10</f>
        <v>2.17598207044458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Assumptions!C41</f>
        <v>18</v>
      </c>
      <c r="D5" s="4" t="n">
        <f aca="false">Assumptions!D41</f>
        <v>13</v>
      </c>
      <c r="E5" s="4" t="n">
        <f aca="false">Assumptions!E41</f>
        <v>10</v>
      </c>
      <c r="F5" s="4" t="n">
        <f aca="false">Assumptions!F41</f>
        <v>8</v>
      </c>
      <c r="G5" s="4" t="n">
        <f aca="false">Assumptions!G41</f>
        <v>6</v>
      </c>
      <c r="H5" s="4" t="n">
        <f aca="false">Assumptions!H41</f>
        <v>5</v>
      </c>
      <c r="I5" s="4" t="n">
        <f aca="false">Assumptions!I41</f>
        <v>4.5</v>
      </c>
      <c r="J5" s="4" t="n">
        <f aca="false">Assumptions!J41</f>
        <v>4</v>
      </c>
      <c r="K5" s="4" t="n">
        <f aca="false">Assumptions!K41</f>
        <v>3.5</v>
      </c>
      <c r="L5" s="4" t="n">
        <f aca="false">Assumptions!L41</f>
        <v>3</v>
      </c>
    </row>
    <row r="6" customFormat="false" ht="15" hidden="false" customHeight="false" outlineLevel="0" collapsed="false">
      <c r="A6" s="0" t="s">
        <v>37</v>
      </c>
      <c r="B6" s="3" t="n">
        <v>97626.188</v>
      </c>
      <c r="C6" s="0" t="n">
        <f aca="false">B6*(1+C5/100)</f>
        <v>115198.90184</v>
      </c>
      <c r="D6" s="0" t="n">
        <f aca="false">C6*(1+D5/100)</f>
        <v>130174.7590792</v>
      </c>
      <c r="E6" s="0" t="n">
        <f aca="false">D6*(1+E5/100)</f>
        <v>143192.23498712</v>
      </c>
      <c r="F6" s="0" t="n">
        <f aca="false">E6*(1+F5/100)</f>
        <v>154647.61378609</v>
      </c>
      <c r="G6" s="0" t="n">
        <f aca="false">F6*(1+G5/100)</f>
        <v>163926.470613255</v>
      </c>
      <c r="H6" s="0" t="n">
        <f aca="false">G6*(1+H5/100)</f>
        <v>172122.794143918</v>
      </c>
      <c r="I6" s="0" t="n">
        <f aca="false">H6*(1+I5/100)</f>
        <v>179868.319880394</v>
      </c>
      <c r="J6" s="0" t="n">
        <f aca="false">I6*(1+J5/100)</f>
        <v>187063.05267561</v>
      </c>
      <c r="K6" s="0" t="n">
        <f aca="false">J6*(1+K5/100)</f>
        <v>193610.259519256</v>
      </c>
      <c r="L6" s="0" t="n">
        <f aca="false">K6*(1+L5/100)</f>
        <v>199418.567304834</v>
      </c>
    </row>
    <row r="7" customFormat="false" ht="15" hidden="false" customHeight="false" outlineLevel="0" collapsed="false">
      <c r="A7" s="0" t="s">
        <v>96</v>
      </c>
      <c r="C7" s="4" t="n">
        <f aca="false">Assumptions!C42</f>
        <v>2.45</v>
      </c>
      <c r="D7" s="4" t="n">
        <f aca="false">Assumptions!D42</f>
        <v>2.5</v>
      </c>
      <c r="E7" s="4" t="n">
        <f aca="false">Assumptions!E42</f>
        <v>2.55</v>
      </c>
      <c r="F7" s="4" t="n">
        <f aca="false">Assumptions!F42</f>
        <v>2.6</v>
      </c>
      <c r="G7" s="4" t="n">
        <f aca="false">Assumptions!G42</f>
        <v>2.6</v>
      </c>
      <c r="H7" s="4" t="n">
        <f aca="false">Assumptions!H42</f>
        <v>2.6</v>
      </c>
      <c r="I7" s="4" t="n">
        <f aca="false">Assumptions!I42</f>
        <v>2.6</v>
      </c>
      <c r="J7" s="4" t="n">
        <f aca="false">Assumptions!J42</f>
        <v>2.6</v>
      </c>
      <c r="K7" s="4" t="n">
        <f aca="false">Assumptions!K42</f>
        <v>2.6</v>
      </c>
      <c r="L7" s="4" t="n">
        <f aca="false">Assumptions!L42</f>
        <v>2.6</v>
      </c>
    </row>
    <row r="8" customFormat="false" ht="15" hidden="false" customHeight="false" outlineLevel="0" collapsed="false">
      <c r="A8" s="0" t="s">
        <v>43</v>
      </c>
      <c r="C8" s="0" t="n">
        <f aca="false">C6*C7/100</f>
        <v>2822.37309508</v>
      </c>
      <c r="D8" s="0" t="n">
        <f aca="false">D6*D7/100</f>
        <v>3254.36897698</v>
      </c>
      <c r="E8" s="0" t="n">
        <f aca="false">E6*E7/100</f>
        <v>3651.40199217156</v>
      </c>
      <c r="F8" s="0" t="n">
        <f aca="false">F6*F7/100</f>
        <v>4020.83795843833</v>
      </c>
      <c r="G8" s="0" t="n">
        <f aca="false">G6*G7/100</f>
        <v>4262.08823594463</v>
      </c>
      <c r="H8" s="0" t="n">
        <f aca="false">H6*H7/100</f>
        <v>4475.19264774186</v>
      </c>
      <c r="I8" s="0" t="n">
        <f aca="false">I6*I7/100</f>
        <v>4676.57631689025</v>
      </c>
      <c r="J8" s="0" t="n">
        <f aca="false">J6*J7/100</f>
        <v>4863.63936956586</v>
      </c>
      <c r="K8" s="0" t="n">
        <f aca="false">K6*K7/100</f>
        <v>5033.86674750066</v>
      </c>
      <c r="L8" s="0" t="n">
        <f aca="false">L6*L7/100</f>
        <v>5184.88274992568</v>
      </c>
    </row>
    <row r="9" customFormat="false" ht="15" hidden="false" customHeight="false" outlineLevel="0" collapsed="false">
      <c r="A9" s="0" t="s">
        <v>97</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113</v>
      </c>
      <c r="C11" s="0" t="n">
        <f aca="false">C8+C10+C24</f>
        <v>2580.455401216</v>
      </c>
      <c r="D11" s="0" t="n">
        <f aca="false">D8+D10+D24</f>
        <v>2981.00198291368</v>
      </c>
      <c r="E11" s="0" t="n">
        <f aca="false">E8+E10+E24</f>
        <v>3350.69829869861</v>
      </c>
      <c r="F11" s="0" t="n">
        <f aca="false">F8+F10+F24</f>
        <v>3696.07796948754</v>
      </c>
      <c r="G11" s="0" t="n">
        <f aca="false">G8+G10+G24</f>
        <v>3917.84264765679</v>
      </c>
      <c r="H11" s="0" t="n">
        <f aca="false">H8+H10+H24</f>
        <v>4113.73478003963</v>
      </c>
      <c r="I11" s="0" t="n">
        <f aca="false">I8+I10+I24</f>
        <v>4298.85284514142</v>
      </c>
      <c r="J11" s="0" t="n">
        <f aca="false">J8+J10+J24</f>
        <v>4470.80695894708</v>
      </c>
      <c r="K11" s="0" t="n">
        <f aca="false">K8+K10+K24</f>
        <v>4627.28520251022</v>
      </c>
      <c r="L11" s="0" t="n">
        <f aca="false">L8+L10+L24</f>
        <v>4766.10375858553</v>
      </c>
    </row>
    <row r="12" customFormat="false" ht="15" hidden="false" customHeight="false" outlineLevel="0" collapsed="false">
      <c r="A12" s="0" t="s">
        <v>114</v>
      </c>
      <c r="C12" s="4" t="n">
        <f aca="false">-C6*Assumptions!C45/100</f>
        <v>-74.879286196</v>
      </c>
      <c r="D12" s="4" t="n">
        <f aca="false">-D6*Assumptions!D45/100</f>
        <v>-84.61359340148</v>
      </c>
      <c r="E12" s="4" t="n">
        <f aca="false">-E6*Assumptions!E45/100</f>
        <v>-93.074952741628</v>
      </c>
      <c r="F12" s="4" t="n">
        <f aca="false">-F6*Assumptions!F45/100</f>
        <v>-100.520948960958</v>
      </c>
      <c r="G12" s="4" t="n">
        <f aca="false">-G6*Assumptions!G45/100</f>
        <v>-106.552205898616</v>
      </c>
      <c r="H12" s="4" t="n">
        <f aca="false">-H6*Assumptions!H45/100</f>
        <v>-111.879816193547</v>
      </c>
      <c r="I12" s="4" t="n">
        <f aca="false">-I6*Assumptions!I45/100</f>
        <v>-116.914407922256</v>
      </c>
      <c r="J12" s="4" t="n">
        <f aca="false">-J6*Assumptions!J45/100</f>
        <v>-121.590984239146</v>
      </c>
      <c r="K12" s="4" t="n">
        <f aca="false">-K6*Assumptions!K45/100</f>
        <v>-125.846668687516</v>
      </c>
      <c r="L12" s="4" t="n">
        <f aca="false">-L6*Assumptions!L45/100</f>
        <v>-129.622068748142</v>
      </c>
    </row>
    <row r="13" customFormat="false" ht="15" hidden="false" customHeight="false" outlineLevel="0" collapsed="false">
      <c r="A13" s="0" t="s">
        <v>115</v>
      </c>
      <c r="C13" s="0" t="n">
        <f aca="false">C11+C12</f>
        <v>2505.57611502</v>
      </c>
      <c r="D13" s="0" t="n">
        <f aca="false">D11+D12</f>
        <v>2896.3883895122</v>
      </c>
      <c r="E13" s="0" t="n">
        <f aca="false">E11+E12</f>
        <v>3257.62334595698</v>
      </c>
      <c r="F13" s="0" t="n">
        <f aca="false">F11+F12</f>
        <v>3595.55702052658</v>
      </c>
      <c r="G13" s="0" t="n">
        <f aca="false">G11+G12</f>
        <v>3811.29044175818</v>
      </c>
      <c r="H13" s="0" t="n">
        <f aca="false">H11+H12</f>
        <v>4001.85496384609</v>
      </c>
      <c r="I13" s="0" t="n">
        <f aca="false">I11+I12</f>
        <v>4181.93843721916</v>
      </c>
      <c r="J13" s="0" t="n">
        <f aca="false">J11+J12</f>
        <v>4349.21597470793</v>
      </c>
      <c r="K13" s="0" t="n">
        <f aca="false">K11+K12</f>
        <v>4501.43853382271</v>
      </c>
      <c r="L13" s="0" t="n">
        <f aca="false">L11+L12</f>
        <v>4636.48168983739</v>
      </c>
    </row>
    <row r="14" customFormat="false" ht="15" hidden="false" customHeight="false" outlineLevel="0" collapsed="false">
      <c r="A14" s="0" t="s">
        <v>101</v>
      </c>
      <c r="C14" s="4" t="n">
        <f aca="false">Assumptions!C47</f>
        <v>22</v>
      </c>
      <c r="D14" s="4" t="n">
        <f aca="false">Assumptions!D47</f>
        <v>22</v>
      </c>
      <c r="E14" s="4" t="n">
        <f aca="false">Assumptions!E47</f>
        <v>22</v>
      </c>
      <c r="F14" s="4" t="n">
        <f aca="false">Assumptions!F47</f>
        <v>22</v>
      </c>
      <c r="G14" s="4" t="n">
        <f aca="false">Assumptions!G47</f>
        <v>22</v>
      </c>
      <c r="H14" s="4" t="n">
        <f aca="false">Assumptions!H47</f>
        <v>22</v>
      </c>
      <c r="I14" s="4" t="n">
        <f aca="false">Assumptions!I47</f>
        <v>22</v>
      </c>
      <c r="J14" s="4" t="n">
        <f aca="false">Assumptions!J47</f>
        <v>22</v>
      </c>
      <c r="K14" s="4" t="n">
        <f aca="false">Assumptions!K47</f>
        <v>22</v>
      </c>
      <c r="L14" s="4" t="n">
        <f aca="false">Assumptions!L47</f>
        <v>22</v>
      </c>
    </row>
    <row r="15" customFormat="false" ht="15" hidden="false" customHeight="false" outlineLevel="0" collapsed="false">
      <c r="A15" s="0" t="s">
        <v>116</v>
      </c>
      <c r="C15" s="0" t="n">
        <f aca="false">C13-MAX(0,C13)*C14/100</f>
        <v>1954.3493697156</v>
      </c>
      <c r="D15" s="0" t="n">
        <f aca="false">D13-MAX(0,D13)*D14/100</f>
        <v>2259.18294381952</v>
      </c>
      <c r="E15" s="0" t="n">
        <f aca="false">E13-MAX(0,E13)*E14/100</f>
        <v>2540.94620984644</v>
      </c>
      <c r="F15" s="0" t="n">
        <f aca="false">F13-MAX(0,F13)*F14/100</f>
        <v>2804.53447601074</v>
      </c>
      <c r="G15" s="0" t="n">
        <f aca="false">G13-MAX(0,G13)*G14/100</f>
        <v>2972.80654457138</v>
      </c>
      <c r="H15" s="0" t="n">
        <f aca="false">H13-MAX(0,H13)*H14/100</f>
        <v>3121.44687179995</v>
      </c>
      <c r="I15" s="0" t="n">
        <f aca="false">I13-MAX(0,I13)*I14/100</f>
        <v>3261.91198103095</v>
      </c>
      <c r="J15" s="0" t="n">
        <f aca="false">J13-MAX(0,J13)*J14/100</f>
        <v>3392.38846027218</v>
      </c>
      <c r="K15" s="0" t="n">
        <f aca="false">K13-MAX(0,K13)*K14/100</f>
        <v>3511.12205638171</v>
      </c>
      <c r="L15" s="0" t="n">
        <f aca="false">L13-MAX(0,L13)*L14/100</f>
        <v>3616.45571807316</v>
      </c>
    </row>
    <row r="16" customFormat="false" ht="15" hidden="false" customHeight="false" outlineLevel="0" collapsed="false">
      <c r="A16" s="0" t="s">
        <v>117</v>
      </c>
      <c r="C16" s="0" t="n">
        <f aca="false">-C12</f>
        <v>74.879286196</v>
      </c>
      <c r="D16" s="0" t="n">
        <f aca="false">-D12</f>
        <v>84.61359340148</v>
      </c>
      <c r="E16" s="0" t="n">
        <f aca="false">-E12</f>
        <v>93.074952741628</v>
      </c>
      <c r="F16" s="0" t="n">
        <f aca="false">-F12</f>
        <v>100.520948960958</v>
      </c>
      <c r="G16" s="0" t="n">
        <f aca="false">-G12</f>
        <v>106.552205898616</v>
      </c>
      <c r="H16" s="0" t="n">
        <f aca="false">-H12</f>
        <v>111.879816193547</v>
      </c>
      <c r="I16" s="0" t="n">
        <f aca="false">-I12</f>
        <v>116.914407922256</v>
      </c>
      <c r="J16" s="0" t="n">
        <f aca="false">-J12</f>
        <v>121.590984239146</v>
      </c>
      <c r="K16" s="0" t="n">
        <f aca="false">-K12</f>
        <v>125.846668687516</v>
      </c>
      <c r="L16" s="0" t="n">
        <f aca="false">-L12</f>
        <v>129.622068748142</v>
      </c>
    </row>
    <row r="17" customFormat="false" ht="15" hidden="false" customHeight="false" outlineLevel="0" collapsed="false">
      <c r="A17" s="0" t="s">
        <v>118</v>
      </c>
      <c r="C17" s="4" t="n">
        <f aca="false">-C6*Assumptions!C46/100</f>
        <v>-69.119341104</v>
      </c>
      <c r="D17" s="4" t="n">
        <f aca="false">-D6*Assumptions!D46/100</f>
        <v>-78.10485544752</v>
      </c>
      <c r="E17" s="4" t="n">
        <f aca="false">-E6*Assumptions!E46/100</f>
        <v>-85.915340992272</v>
      </c>
      <c r="F17" s="4" t="n">
        <f aca="false">-F6*Assumptions!F46/100</f>
        <v>-92.7885682716538</v>
      </c>
      <c r="G17" s="4" t="n">
        <f aca="false">-G6*Assumptions!G46/100</f>
        <v>-98.355882367953</v>
      </c>
      <c r="H17" s="4" t="n">
        <f aca="false">-H6*Assumptions!H46/100</f>
        <v>-103.273676486351</v>
      </c>
      <c r="I17" s="4" t="n">
        <f aca="false">-I6*Assumptions!I46/100</f>
        <v>-107.920991928236</v>
      </c>
      <c r="J17" s="4" t="n">
        <f aca="false">-J6*Assumptions!J46/100</f>
        <v>-112.237831605366</v>
      </c>
      <c r="K17" s="4" t="n">
        <f aca="false">-K6*Assumptions!K46/100</f>
        <v>-116.166155711554</v>
      </c>
      <c r="L17" s="4" t="n">
        <f aca="false">-L6*Assumptions!L46/100</f>
        <v>-119.6511403829</v>
      </c>
    </row>
    <row r="18" customFormat="false" ht="15" hidden="false" customHeight="false" outlineLevel="0" collapsed="false">
      <c r="A18" s="0" t="s">
        <v>119</v>
      </c>
      <c r="C18" s="4" t="n">
        <f aca="false">(C6-B6)*Assumptions!$B$51/100</f>
        <v>-1405.8171072</v>
      </c>
      <c r="D18" s="4" t="n">
        <f aca="false">(D6-C6)*Assumptions!$B$51/100</f>
        <v>-1198.068579136</v>
      </c>
      <c r="E18" s="4" t="n">
        <f aca="false">(E6-D6)*Assumptions!$B$51/100</f>
        <v>-1041.3980726336</v>
      </c>
      <c r="F18" s="4" t="n">
        <f aca="false">(F6-E6)*Assumptions!$B$51/100</f>
        <v>-916.430303917569</v>
      </c>
      <c r="G18" s="4" t="n">
        <f aca="false">(G6-F6)*Assumptions!$B$51/100</f>
        <v>-742.30854617323</v>
      </c>
      <c r="H18" s="4" t="n">
        <f aca="false">(H6-G6)*Assumptions!$B$51/100</f>
        <v>-655.70588245302</v>
      </c>
      <c r="I18" s="4" t="n">
        <f aca="false">(I6-H6)*Assumptions!$B$51/100</f>
        <v>-619.642058918104</v>
      </c>
      <c r="J18" s="4" t="n">
        <f aca="false">(J6-I6)*Assumptions!$B$51/100</f>
        <v>-575.578623617261</v>
      </c>
      <c r="K18" s="4" t="n">
        <f aca="false">(K6-J6)*Assumptions!$B$51/100</f>
        <v>-523.776547491706</v>
      </c>
      <c r="L18" s="4" t="n">
        <f aca="false">(L6-K6)*Assumptions!$B$51/100</f>
        <v>-464.664622846216</v>
      </c>
    </row>
    <row r="19" customFormat="false" ht="15" hidden="false" customHeight="false" outlineLevel="0" collapsed="false">
      <c r="A19" s="0" t="s">
        <v>120</v>
      </c>
      <c r="C19" s="0" t="n">
        <f aca="false">C15+C16+C17+C18</f>
        <v>554.2922076076</v>
      </c>
      <c r="D19" s="0" t="n">
        <f aca="false">D15+D16+D17+D18</f>
        <v>1067.62310263748</v>
      </c>
      <c r="E19" s="0" t="n">
        <f aca="false">E15+E16+E17+E18</f>
        <v>1506.7077489622</v>
      </c>
      <c r="F19" s="0" t="n">
        <f aca="false">F15+F16+F17+F18</f>
        <v>1895.83655278247</v>
      </c>
      <c r="G19" s="0" t="n">
        <f aca="false">G15+G16+G17+G18</f>
        <v>2238.69432192881</v>
      </c>
      <c r="H19" s="0" t="n">
        <f aca="false">H15+H16+H17+H18</f>
        <v>2474.34712905412</v>
      </c>
      <c r="I19" s="0" t="n">
        <f aca="false">I15+I16+I17+I18</f>
        <v>2651.26333810686</v>
      </c>
      <c r="J19" s="0" t="n">
        <f aca="false">J15+J16+J17+J18</f>
        <v>2826.1629892887</v>
      </c>
      <c r="K19" s="0" t="n">
        <f aca="false">K15+K16+K17+K18</f>
        <v>2997.02602186597</v>
      </c>
      <c r="L19" s="0" t="n">
        <f aca="false">L15+L16+L17+L18</f>
        <v>3161.76202359219</v>
      </c>
    </row>
    <row r="20" customFormat="false" ht="15" hidden="false" customHeight="false" outlineLevel="0" collapsed="false">
      <c r="A20" s="0" t="s">
        <v>121</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122</v>
      </c>
      <c r="C21" s="0" t="n">
        <f aca="false">C19*C20</f>
        <v>508.52496110789</v>
      </c>
      <c r="D21" s="0" t="n">
        <f aca="false">D19*D20</f>
        <v>898.597005839135</v>
      </c>
      <c r="E21" s="0" t="n">
        <f aca="false">E19*E20</f>
        <v>1163.4548330286</v>
      </c>
      <c r="F21" s="0" t="n">
        <f aca="false">F19*F20</f>
        <v>1343.05841005004</v>
      </c>
      <c r="G21" s="0" t="n">
        <f aca="false">G19*G20</f>
        <v>1454.99770414943</v>
      </c>
      <c r="H21" s="0" t="n">
        <f aca="false">H19*H20</f>
        <v>1475.37234841236</v>
      </c>
      <c r="I21" s="0" t="n">
        <f aca="false">I19*I20</f>
        <v>1450.33183804206</v>
      </c>
      <c r="J21" s="0" t="n">
        <f aca="false">J19*J20</f>
        <v>1418.35590518319</v>
      </c>
      <c r="K21" s="0" t="n">
        <f aca="false">K19*K20</f>
        <v>1379.91403640032</v>
      </c>
      <c r="L21" s="0" t="n">
        <f aca="false">L19*L20</f>
        <v>1335.56244759772</v>
      </c>
    </row>
    <row r="23" customFormat="false" ht="15" hidden="false" customHeight="false" outlineLevel="0" collapsed="false">
      <c r="A23" s="0" t="s">
        <v>98</v>
      </c>
      <c r="C23" s="4" t="n">
        <f aca="false">Assumptions!C44</f>
        <v>0.21</v>
      </c>
      <c r="D23" s="4" t="n">
        <f aca="false">Assumptions!D44</f>
        <v>0.21</v>
      </c>
      <c r="E23" s="4" t="n">
        <f aca="false">Assumptions!E44</f>
        <v>0.21</v>
      </c>
      <c r="F23" s="4" t="n">
        <f aca="false">Assumptions!F44</f>
        <v>0.21</v>
      </c>
      <c r="G23" s="4" t="n">
        <f aca="false">Assumptions!G44</f>
        <v>0.21</v>
      </c>
      <c r="H23" s="4" t="n">
        <f aca="false">Assumptions!H44</f>
        <v>0.21</v>
      </c>
      <c r="I23" s="4" t="n">
        <f aca="false">Assumptions!I44</f>
        <v>0.21</v>
      </c>
      <c r="J23" s="4" t="n">
        <f aca="false">Assumptions!J44</f>
        <v>0.21</v>
      </c>
      <c r="K23" s="4" t="n">
        <f aca="false">Assumptions!K44</f>
        <v>0.21</v>
      </c>
      <c r="L23" s="4" t="n">
        <f aca="false">Assumptions!L44</f>
        <v>0.21</v>
      </c>
    </row>
    <row r="24" customFormat="false" ht="15" hidden="false" customHeight="false" outlineLevel="0" collapsed="false">
      <c r="A24" s="0" t="s">
        <v>123</v>
      </c>
      <c r="C24" s="0" t="n">
        <f aca="false">-C6*C23/100</f>
        <v>-241.917693864</v>
      </c>
      <c r="D24" s="0" t="n">
        <f aca="false">-D6*D23/100</f>
        <v>-273.36699406632</v>
      </c>
      <c r="E24" s="0" t="n">
        <f aca="false">-E6*E23/100</f>
        <v>-300.703693472952</v>
      </c>
      <c r="F24" s="0" t="n">
        <f aca="false">-F6*F23/100</f>
        <v>-324.759988950788</v>
      </c>
      <c r="G24" s="0" t="n">
        <f aca="false">-G6*G23/100</f>
        <v>-344.245588287836</v>
      </c>
      <c r="H24" s="0" t="n">
        <f aca="false">-H6*H23/100</f>
        <v>-361.457867702227</v>
      </c>
      <c r="I24" s="0" t="n">
        <f aca="false">-I6*I23/100</f>
        <v>-377.723471748827</v>
      </c>
      <c r="J24" s="0" t="n">
        <f aca="false">-J6*J23/100</f>
        <v>-392.832410618781</v>
      </c>
      <c r="K24" s="0" t="n">
        <f aca="false">-K6*K23/100</f>
        <v>-406.581544990438</v>
      </c>
      <c r="L24" s="0" t="n">
        <f aca="false">-L6*L23/100</f>
        <v>-418.778991340151</v>
      </c>
    </row>
    <row r="26" customFormat="false" ht="15" hidden="false" customHeight="false" outlineLevel="0" collapsed="false">
      <c r="A26" s="2" t="s">
        <v>124</v>
      </c>
    </row>
    <row r="27" customFormat="false" ht="15" hidden="false" customHeight="false" outlineLevel="0" collapsed="false">
      <c r="A27" s="0" t="s">
        <v>102</v>
      </c>
      <c r="B27" s="4" t="n">
        <f aca="false">Assumptions!$B$48</f>
        <v>9</v>
      </c>
    </row>
    <row r="28" customFormat="false" ht="15" hidden="false" customHeight="false" outlineLevel="0" collapsed="false">
      <c r="A28" s="0" t="s">
        <v>103</v>
      </c>
      <c r="B28" s="4" t="n">
        <f aca="false">Assumptions!$B$49</f>
        <v>2.5</v>
      </c>
    </row>
    <row r="29" customFormat="false" ht="15" hidden="false" customHeight="false" outlineLevel="0" collapsed="false">
      <c r="A29" s="0" t="s">
        <v>104</v>
      </c>
      <c r="B29" s="4" t="n">
        <f aca="false">Assumptions!$B$50</f>
        <v>12</v>
      </c>
    </row>
    <row r="30" customFormat="false" ht="15" hidden="false" customHeight="false" outlineLevel="0" collapsed="false">
      <c r="A30" s="0" t="s">
        <v>125</v>
      </c>
      <c r="B30" s="0" t="n">
        <f aca="false">SUM(C21:L21)</f>
        <v>12428.1694898107</v>
      </c>
    </row>
    <row r="31" customFormat="false" ht="15" hidden="false" customHeight="false" outlineLevel="0" collapsed="false">
      <c r="A31" s="0" t="s">
        <v>126</v>
      </c>
      <c r="B31" s="0" t="n">
        <f aca="false">L19</f>
        <v>3161.76202359219</v>
      </c>
    </row>
    <row r="32" customFormat="false" ht="15" hidden="false" customHeight="false" outlineLevel="0" collapsed="false">
      <c r="A32" s="0" t="s">
        <v>127</v>
      </c>
      <c r="B32" s="0" t="n">
        <f aca="false">IF(B27&gt;B28,B31*(1+B28/100)/((B27-B28)/100),B31*B29)</f>
        <v>49858.5549874153</v>
      </c>
    </row>
    <row r="33" customFormat="false" ht="15" hidden="false" customHeight="false" outlineLevel="0" collapsed="false">
      <c r="A33" s="0" t="s">
        <v>128</v>
      </c>
      <c r="B33" s="0" t="n">
        <f aca="false">B31*B29</f>
        <v>37941.1442831062</v>
      </c>
    </row>
    <row r="34" customFormat="false" ht="15" hidden="false" customHeight="false" outlineLevel="0" collapsed="false">
      <c r="A34" s="0" t="s">
        <v>129</v>
      </c>
      <c r="B34" s="0" t="n">
        <f aca="false">MAX(0,MIN(B32,B33))</f>
        <v>37941.1442831062</v>
      </c>
    </row>
    <row r="35" customFormat="false" ht="15" hidden="false" customHeight="false" outlineLevel="0" collapsed="false">
      <c r="A35" s="0" t="s">
        <v>130</v>
      </c>
      <c r="B35" s="0" t="n">
        <f aca="false">B34/(1+B27/100)^L4</f>
        <v>16026.7493711727</v>
      </c>
    </row>
    <row r="36" customFormat="false" ht="15" hidden="false" customHeight="false" outlineLevel="0" collapsed="false">
      <c r="A36" s="0" t="s">
        <v>131</v>
      </c>
      <c r="B36" s="0" t="n">
        <f aca="false">B30+B35</f>
        <v>28454.9188609834</v>
      </c>
    </row>
    <row r="37" customFormat="false" ht="15" hidden="false" customHeight="false" outlineLevel="0" collapsed="false">
      <c r="A37" s="0" t="s">
        <v>132</v>
      </c>
      <c r="B37" s="0" t="n">
        <f aca="false">B36+Assumptions!$B$5-Assumptions!$B$4</f>
        <v>20529.8498609834</v>
      </c>
    </row>
    <row r="38" customFormat="false" ht="15" hidden="false" customHeight="false" outlineLevel="0" collapsed="false">
      <c r="A38" s="0" t="s">
        <v>133</v>
      </c>
      <c r="B38" s="0" t="n">
        <f aca="false">B37/Assumptions!$B$3*Assumptions!$B$10</f>
        <v>14.7859087465688</v>
      </c>
    </row>
    <row r="39" customFormat="false" ht="15" hidden="false" customHeight="false" outlineLevel="0" collapsed="false">
      <c r="A39" s="0" t="s">
        <v>134</v>
      </c>
      <c r="B39" s="4" t="n">
        <f aca="false">B38/Assumptions!$B$2-1</f>
        <v>0.685003845762829</v>
      </c>
    </row>
    <row r="41" customFormat="false" ht="15" hidden="false" customHeight="false" outlineLevel="0" collapsed="false">
      <c r="A41" s="0" t="s">
        <v>135</v>
      </c>
      <c r="B41" s="0" t="n">
        <f aca="false">SUMPRODUCT(-C10:L10/(1+$B$27/100)^C4:L4)</f>
        <v>0</v>
      </c>
    </row>
    <row r="42" customFormat="false" ht="15" hidden="false" customHeight="false" outlineLevel="0" collapsed="false">
      <c r="A42" s="0" t="s">
        <v>136</v>
      </c>
      <c r="B42" s="0" t="n">
        <f aca="false">IF(B27&gt;B28,-L10*(1+B28/100)/((B27-B28)/100),-L10*20)/(1+B27/100)^L4</f>
        <v>0</v>
      </c>
    </row>
    <row r="43" customFormat="false" ht="15" hidden="false" customHeight="false" outlineLevel="0" collapsed="false">
      <c r="A43" s="0" t="s">
        <v>137</v>
      </c>
      <c r="B43" s="0" t="n">
        <f aca="false">(B37+B41+B42)/Assumptions!$B$3*Assumptions!$B$10</f>
        <v>14.7859087465688</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25926.4485934559</v>
      </c>
    </row>
    <row r="47" customFormat="false" ht="15" hidden="false" customHeight="false" outlineLevel="0" collapsed="false">
      <c r="A47" s="0" t="s">
        <v>139</v>
      </c>
      <c r="B47" s="0" t="n">
        <f aca="false">(SUMPRODUCT(C19:L19/(1+B45/100)^C4:L4)+B46/(1+B45/100)^L4+Assumptions!$B$5-Assumptions!$B$4)/Assumptions!$B$3*Assumptions!$B$10</f>
        <v>5.46231321688325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142</v>
      </c>
    </row>
    <row r="3" customFormat="false" ht="15" hidden="false" customHeight="false" outlineLevel="0" collapsed="false">
      <c r="A3" s="2" t="s">
        <v>143</v>
      </c>
      <c r="B3" s="2" t="s">
        <v>144</v>
      </c>
      <c r="C3" s="2" t="s">
        <v>134</v>
      </c>
      <c r="D3" s="2" t="s">
        <v>145</v>
      </c>
      <c r="E3" s="2" t="s">
        <v>137</v>
      </c>
      <c r="F3" s="2" t="s">
        <v>146</v>
      </c>
    </row>
    <row r="4" customFormat="false" ht="15" hidden="false" customHeight="false" outlineLevel="0" collapsed="false">
      <c r="A4" s="0" t="s">
        <v>147</v>
      </c>
      <c r="B4" s="4" t="n">
        <f aca="false">DCF_Bear!$B$38</f>
        <v>4.3098794944135</v>
      </c>
      <c r="C4" s="0" t="n">
        <f aca="false">B4/Assumptions!$B$2-1</f>
        <v>-0.508845641662279</v>
      </c>
      <c r="D4" s="4" t="n">
        <f aca="false">Assumptions!$B$24</f>
        <v>0.25</v>
      </c>
      <c r="E4" s="4" t="n">
        <f aca="false">DCF_Bear!$B$43</f>
        <v>4.3098794944135</v>
      </c>
      <c r="F4" s="4" t="n">
        <f aca="false">DCF_Bear!$B$47</f>
        <v>0.211351061403452</v>
      </c>
    </row>
    <row r="5" customFormat="false" ht="15" hidden="false" customHeight="false" outlineLevel="0" collapsed="false">
      <c r="A5" s="0" t="s">
        <v>148</v>
      </c>
      <c r="B5" s="4" t="n">
        <f aca="false">DCF_Base!$B$38</f>
        <v>8.59327933725331</v>
      </c>
      <c r="C5" s="0" t="n">
        <f aca="false">B5/Assumptions!$B$2-1</f>
        <v>-0.0207089074355205</v>
      </c>
      <c r="D5" s="4" t="n">
        <f aca="false">Assumptions!$B$38</f>
        <v>0.5</v>
      </c>
      <c r="E5" s="4" t="n">
        <f aca="false">DCF_Base!$B$43</f>
        <v>8.59327933725331</v>
      </c>
      <c r="F5" s="4" t="n">
        <f aca="false">DCF_Base!$B$47</f>
        <v>2.17598207044458</v>
      </c>
    </row>
    <row r="6" customFormat="false" ht="15" hidden="false" customHeight="false" outlineLevel="0" collapsed="false">
      <c r="A6" s="0" t="s">
        <v>149</v>
      </c>
      <c r="B6" s="4" t="n">
        <f aca="false">DCF_Bull!$B$38</f>
        <v>14.7859087465688</v>
      </c>
      <c r="C6" s="0" t="n">
        <f aca="false">B6/Assumptions!$B$2-1</f>
        <v>0.685003845762829</v>
      </c>
      <c r="D6" s="4" t="n">
        <f aca="false">Assumptions!$B$52</f>
        <v>0.25</v>
      </c>
      <c r="E6" s="4" t="n">
        <f aca="false">DCF_Bull!$B$43</f>
        <v>14.7859087465688</v>
      </c>
      <c r="F6" s="4" t="n">
        <f aca="false">DCF_Bull!$B$47</f>
        <v>5.46231321688325</v>
      </c>
    </row>
    <row r="8" customFormat="false" ht="15" hidden="false" customHeight="false" outlineLevel="0" collapsed="false">
      <c r="A8" s="0" t="s">
        <v>150</v>
      </c>
      <c r="B8" s="0" t="n">
        <f aca="false">SUMPRODUCT(B4:B6,D4:D6)</f>
        <v>9.07058672887224</v>
      </c>
    </row>
    <row r="9" customFormat="false" ht="15" hidden="false" customHeight="false" outlineLevel="0" collapsed="false">
      <c r="A9" s="0" t="s">
        <v>151</v>
      </c>
      <c r="B9" s="0" t="n">
        <f aca="false">SUMPRODUCT(E4:E6,D4:D6)</f>
        <v>9.07058672887224</v>
      </c>
    </row>
    <row r="10" customFormat="false" ht="15" hidden="false" customHeight="false" outlineLevel="0" collapsed="false">
      <c r="A10" s="0" t="s">
        <v>152</v>
      </c>
      <c r="B10" s="0" t="n">
        <f aca="false">1-Assumptions!$B$2/B8</f>
        <v>0.0325873879725294</v>
      </c>
    </row>
    <row r="11" customFormat="false" ht="15" hidden="false" customHeight="false" outlineLevel="0" collapsed="false">
      <c r="A11" s="0" t="s">
        <v>153</v>
      </c>
      <c r="B11" s="0" t="str">
        <f aca="false">IF(ABS(B9-B8)&gt;0.01*ABS(B8),(Assumptions!$B$2-B8)/(B9-B8)*100,"n/a")</f>
        <v>n/a</v>
      </c>
    </row>
    <row r="12" customFormat="false" ht="15" hidden="false" customHeight="false" outlineLevel="0" collapsed="false">
      <c r="A12" s="0" t="s">
        <v>154</v>
      </c>
      <c r="B12" s="0" t="n">
        <f aca="false">SUMPRODUCT(F4:F6,D4:D6)</f>
        <v>2.50640710479397</v>
      </c>
    </row>
    <row r="14" customFormat="false" ht="15" hidden="false" customHeight="false" outlineLevel="0" collapsed="false">
      <c r="A14" s="2" t="s">
        <v>155</v>
      </c>
      <c r="C14" s="0" t="s">
        <v>156</v>
      </c>
    </row>
    <row r="15" customFormat="false" ht="15" hidden="false" customHeight="false" outlineLevel="0" collapsed="false">
      <c r="A15" s="0" t="s">
        <v>157</v>
      </c>
      <c r="B15" s="0" t="n">
        <f aca="false">(SUMPRODUCT(DCF_Base!$C$19:$L$19/(1+$C$15/100)^DCF_Base!$C$4:$L$4)+MAX(0,MIN(IF($C$15&gt;DCF_Base!$B$28,DCF_Base!$L$19*(1+DCF_Base!$B$28/100)/(($C$15-DCF_Base!$B$28)/100),DCF_Base!$L$19*DCF_Base!$B$29),DCF_Base!$L$19*DCF_Base!$B$29))/(1+$C$15/100)^DCF_Base!$L$4+Assumptions!$B$5-Assumptions!$B$4)/Assumptions!$B$3*Assumptions!$B$10</f>
        <v>8.59327933725331</v>
      </c>
      <c r="C15" s="3" t="n">
        <v>9</v>
      </c>
    </row>
    <row r="16" customFormat="false" ht="15" hidden="false" customHeight="false" outlineLevel="0" collapsed="false">
      <c r="A16" s="0" t="s">
        <v>158</v>
      </c>
      <c r="B16" s="0" t="n">
        <f aca="false">(SUMPRODUCT(DCF_Base!$C$19:$L$19/(1+$C$16/100)^DCF_Base!$C$4:$L$4)+MAX(0,MIN(IF($C$16&gt;DCF_Base!$B$28,DCF_Base!$L$19*(1+DCF_Base!$B$28/100)/(($C$16-DCF_Base!$B$28)/100),DCF_Base!$L$19*DCF_Base!$B$29),DCF_Base!$L$19*DCF_Base!$B$29))/(1+$C$16/100)^DCF_Base!$L$4+Assumptions!$B$5-Assumptions!$B$4)/Assumptions!$B$3*Assumptions!$B$10</f>
        <v>7.57190320302249</v>
      </c>
      <c r="C16" s="3" t="n">
        <v>10</v>
      </c>
    </row>
    <row r="17" customFormat="false" ht="15" hidden="false" customHeight="false" outlineLevel="0" collapsed="false">
      <c r="A17" s="0" t="s">
        <v>159</v>
      </c>
      <c r="B17" s="0" t="n">
        <f aca="false">(SUMPRODUCT(DCF_Base!$C$19:$L$19/(1+$C$17/100)^DCF_Base!$C$4:$L$4)+MAX(0,MIN(IF($C$17&gt;DCF_Base!$B$28,DCF_Base!$L$19*(1+DCF_Base!$B$28/100)/(($C$17-DCF_Base!$B$28)/100),DCF_Base!$L$19*DCF_Base!$B$29),DCF_Base!$L$19*DCF_Base!$B$29))/(1+$C$17/100)^DCF_Base!$L$4+Assumptions!$B$5-Assumptions!$B$4)/Assumptions!$B$3*Assumptions!$B$10</f>
        <v>6.63950736573788</v>
      </c>
      <c r="C17" s="3" t="n">
        <v>11</v>
      </c>
    </row>
    <row r="18" customFormat="false" ht="15" hidden="false" customHeight="false" outlineLevel="0" collapsed="false">
      <c r="A18" s="0" t="s">
        <v>160</v>
      </c>
      <c r="B18" s="0" t="n">
        <f aca="false">(SUMPRODUCT(DCF_Base!$C$19:$L$19/(1+$C$18/100)^DCF_Base!$C$4:$L$4)+MAX(0,MIN(IF($C$18&gt;DCF_Base!$B$28,DCF_Base!$L$19*(1+DCF_Base!$B$28/100)/(($C$18-DCF_Base!$B$28)/100),DCF_Base!$L$19*DCF_Base!$B$29),DCF_Base!$L$19*DCF_Base!$B$29))/(1+$C$18/100)^DCF_Base!$L$4+Assumptions!$B$5-Assumptions!$B$4)/Assumptions!$B$3*Assumptions!$B$10</f>
        <v>5.18039280094883</v>
      </c>
      <c r="C18" s="3" t="n">
        <v>12</v>
      </c>
    </row>
    <row r="19" customFormat="false" ht="15" hidden="false" customHeight="false" outlineLevel="0" collapsed="false">
      <c r="A19" s="0" t="s">
        <v>161</v>
      </c>
      <c r="B19" s="0" t="n">
        <f aca="false">(SUMPRODUCT(DCF_Base!$C$19:$L$19/(1+$C$19/100)^DCF_Base!$C$4:$L$4)+MAX(0,MIN(IF($C$19&gt;DCF_Base!$B$28,DCF_Base!$L$19*(1+DCF_Base!$B$28/100)/(($C$19-DCF_Base!$B$28)/100),DCF_Base!$L$19*DCF_Base!$B$29),DCF_Base!$L$19*DCF_Base!$B$29))/(1+$C$19/100)^DCF_Base!$L$4+Assumptions!$B$5-Assumptions!$B$4)/Assumptions!$B$3*Assumptions!$B$10</f>
        <v>2.17598207044458</v>
      </c>
      <c r="C19" s="3" t="n">
        <v>15</v>
      </c>
    </row>
    <row r="21" customFormat="false" ht="15" hidden="false" customHeight="false" outlineLevel="0" collapsed="false">
      <c r="A21" s="2" t="s">
        <v>162</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10.9432563491056</v>
      </c>
      <c r="C23" s="0" t="n">
        <f aca="false">(SUMPRODUCT(DCF_Base!$C$19:$L$19/(1+$A$23/100)^DCF_Base!$C$4:$L$4)+MAX(0,MIN(IF($A$23&gt;$C$22,DCF_Base!$L$19*(1+$C$22/100)/(($A$23-$C$22)/100),DCF_Base!$L$19*DCF_Base!$B$29),DCF_Base!$L$19*DCF_Base!$B$29))/(1+$A$23/100)^DCF_Base!$L$4+Assumptions!$B$5-Assumptions!$B$4)/Assumptions!$B$3*Assumptions!$B$10</f>
        <v>10.9432563491056</v>
      </c>
      <c r="D23" s="0" t="n">
        <f aca="false">(SUMPRODUCT(DCF_Base!$C$19:$L$19/(1+$A$23/100)^DCF_Base!$C$4:$L$4)+MAX(0,MIN(IF($A$23&gt;$D$22,DCF_Base!$L$19*(1+$D$22/100)/(($A$23-$D$22)/100),DCF_Base!$L$19*DCF_Base!$B$29),DCF_Base!$L$19*DCF_Base!$B$29))/(1+$A$23/100)^DCF_Base!$L$4+Assumptions!$B$5-Assumptions!$B$4)/Assumptions!$B$3*Assumptions!$B$10</f>
        <v>10.9432563491056</v>
      </c>
      <c r="E23" s="0" t="n">
        <f aca="false">(SUMPRODUCT(DCF_Base!$C$19:$L$19/(1+$A$23/100)^DCF_Base!$C$4:$L$4)+MAX(0,MIN(IF($A$23&gt;$E$22,DCF_Base!$L$19*(1+$E$22/100)/(($A$23-$E$22)/100),DCF_Base!$L$19*DCF_Base!$B$29),DCF_Base!$L$19*DCF_Base!$B$29))/(1+$A$23/100)^DCF_Base!$L$4+Assumptions!$B$5-Assumptions!$B$4)/Assumptions!$B$3*Assumptions!$B$10</f>
        <v>10.9432563491056</v>
      </c>
      <c r="F23" s="0" t="n">
        <f aca="false">(SUMPRODUCT(DCF_Base!$C$19:$L$19/(1+$A$23/100)^DCF_Base!$C$4:$L$4)+MAX(0,MIN(IF($A$23&gt;$F$22,DCF_Base!$L$19*(1+$F$22/100)/(($A$23-$F$22)/100),DCF_Base!$L$19*DCF_Base!$B$29),DCF_Base!$L$19*DCF_Base!$B$29))/(1+$A$23/100)^DCF_Base!$L$4+Assumptions!$B$5-Assumptions!$B$4)/Assumptions!$B$3*Assumptions!$B$10</f>
        <v>10.9432563491056</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9.71340738801966</v>
      </c>
      <c r="C24" s="0" t="n">
        <f aca="false">(SUMPRODUCT(DCF_Base!$C$19:$L$19/(1+$A$24/100)^DCF_Base!$C$4:$L$4)+MAX(0,MIN(IF($A$24&gt;$C$22,DCF_Base!$L$19*(1+$C$22/100)/(($A$24-$C$22)/100),DCF_Base!$L$19*DCF_Base!$B$29),DCF_Base!$L$19*DCF_Base!$B$29))/(1+$A$24/100)^DCF_Base!$L$4+Assumptions!$B$5-Assumptions!$B$4)/Assumptions!$B$3*Assumptions!$B$10</f>
        <v>9.71340738801966</v>
      </c>
      <c r="D24" s="0" t="n">
        <f aca="false">(SUMPRODUCT(DCF_Base!$C$19:$L$19/(1+$A$24/100)^DCF_Base!$C$4:$L$4)+MAX(0,MIN(IF($A$24&gt;$D$22,DCF_Base!$L$19*(1+$D$22/100)/(($A$24-$D$22)/100),DCF_Base!$L$19*DCF_Base!$B$29),DCF_Base!$L$19*DCF_Base!$B$29))/(1+$A$24/100)^DCF_Base!$L$4+Assumptions!$B$5-Assumptions!$B$4)/Assumptions!$B$3*Assumptions!$B$10</f>
        <v>9.71340738801966</v>
      </c>
      <c r="E24" s="0" t="n">
        <f aca="false">(SUMPRODUCT(DCF_Base!$C$19:$L$19/(1+$A$24/100)^DCF_Base!$C$4:$L$4)+MAX(0,MIN(IF($A$24&gt;$E$22,DCF_Base!$L$19*(1+$E$22/100)/(($A$24-$E$22)/100),DCF_Base!$L$19*DCF_Base!$B$29),DCF_Base!$L$19*DCF_Base!$B$29))/(1+$A$24/100)^DCF_Base!$L$4+Assumptions!$B$5-Assumptions!$B$4)/Assumptions!$B$3*Assumptions!$B$10</f>
        <v>9.71340738801966</v>
      </c>
      <c r="F24" s="0" t="n">
        <f aca="false">(SUMPRODUCT(DCF_Base!$C$19:$L$19/(1+$A$24/100)^DCF_Base!$C$4:$L$4)+MAX(0,MIN(IF($A$24&gt;$F$22,DCF_Base!$L$19*(1+$F$22/100)/(($A$24-$F$22)/100),DCF_Base!$L$19*DCF_Base!$B$29),DCF_Base!$L$19*DCF_Base!$B$29))/(1+$A$24/100)^DCF_Base!$L$4+Assumptions!$B$5-Assumptions!$B$4)/Assumptions!$B$3*Assumptions!$B$10</f>
        <v>9.71340738801966</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8.59327933725331</v>
      </c>
      <c r="C25" s="0" t="n">
        <f aca="false">(SUMPRODUCT(DCF_Base!$C$19:$L$19/(1+$A$25/100)^DCF_Base!$C$4:$L$4)+MAX(0,MIN(IF($A$25&gt;$C$22,DCF_Base!$L$19*(1+$C$22/100)/(($A$25-$C$22)/100),DCF_Base!$L$19*DCF_Base!$B$29),DCF_Base!$L$19*DCF_Base!$B$29))/(1+$A$25/100)^DCF_Base!$L$4+Assumptions!$B$5-Assumptions!$B$4)/Assumptions!$B$3*Assumptions!$B$10</f>
        <v>8.59327933725331</v>
      </c>
      <c r="D25" s="0" t="n">
        <f aca="false">(SUMPRODUCT(DCF_Base!$C$19:$L$19/(1+$A$25/100)^DCF_Base!$C$4:$L$4)+MAX(0,MIN(IF($A$25&gt;$D$22,DCF_Base!$L$19*(1+$D$22/100)/(($A$25-$D$22)/100),DCF_Base!$L$19*DCF_Base!$B$29),DCF_Base!$L$19*DCF_Base!$B$29))/(1+$A$25/100)^DCF_Base!$L$4+Assumptions!$B$5-Assumptions!$B$4)/Assumptions!$B$3*Assumptions!$B$10</f>
        <v>8.59327933725331</v>
      </c>
      <c r="E25" s="0" t="n">
        <f aca="false">(SUMPRODUCT(DCF_Base!$C$19:$L$19/(1+$A$25/100)^DCF_Base!$C$4:$L$4)+MAX(0,MIN(IF($A$25&gt;$E$22,DCF_Base!$L$19*(1+$E$22/100)/(($A$25-$E$22)/100),DCF_Base!$L$19*DCF_Base!$B$29),DCF_Base!$L$19*DCF_Base!$B$29))/(1+$A$25/100)^DCF_Base!$L$4+Assumptions!$B$5-Assumptions!$B$4)/Assumptions!$B$3*Assumptions!$B$10</f>
        <v>8.59327933725331</v>
      </c>
      <c r="F25" s="0" t="n">
        <f aca="false">(SUMPRODUCT(DCF_Base!$C$19:$L$19/(1+$A$25/100)^DCF_Base!$C$4:$L$4)+MAX(0,MIN(IF($A$25&gt;$F$22,DCF_Base!$L$19*(1+$F$22/100)/(($A$25-$F$22)/100),DCF_Base!$L$19*DCF_Base!$B$29),DCF_Base!$L$19*DCF_Base!$B$29))/(1+$A$25/100)^DCF_Base!$L$4+Assumptions!$B$5-Assumptions!$B$4)/Assumptions!$B$3*Assumptions!$B$10</f>
        <v>8.59327933725331</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7.53658428141064</v>
      </c>
      <c r="C26" s="0" t="n">
        <f aca="false">(SUMPRODUCT(DCF_Base!$C$19:$L$19/(1+$A$26/100)^DCF_Base!$C$4:$L$4)+MAX(0,MIN(IF($A$26&gt;$C$22,DCF_Base!$L$19*(1+$C$22/100)/(($A$26-$C$22)/100),DCF_Base!$L$19*DCF_Base!$B$29),DCF_Base!$L$19*DCF_Base!$B$29))/(1+$A$26/100)^DCF_Base!$L$4+Assumptions!$B$5-Assumptions!$B$4)/Assumptions!$B$3*Assumptions!$B$10</f>
        <v>7.57190320302249</v>
      </c>
      <c r="D26" s="0" t="n">
        <f aca="false">(SUMPRODUCT(DCF_Base!$C$19:$L$19/(1+$A$26/100)^DCF_Base!$C$4:$L$4)+MAX(0,MIN(IF($A$26&gt;$D$22,DCF_Base!$L$19*(1+$D$22/100)/(($A$26-$D$22)/100),DCF_Base!$L$19*DCF_Base!$B$29),DCF_Base!$L$19*DCF_Base!$B$29))/(1+$A$26/100)^DCF_Base!$L$4+Assumptions!$B$5-Assumptions!$B$4)/Assumptions!$B$3*Assumptions!$B$10</f>
        <v>7.57190320302249</v>
      </c>
      <c r="E26" s="0" t="n">
        <f aca="false">(SUMPRODUCT(DCF_Base!$C$19:$L$19/(1+$A$26/100)^DCF_Base!$C$4:$L$4)+MAX(0,MIN(IF($A$26&gt;$E$22,DCF_Base!$L$19*(1+$E$22/100)/(($A$26-$E$22)/100),DCF_Base!$L$19*DCF_Base!$B$29),DCF_Base!$L$19*DCF_Base!$B$29))/(1+$A$26/100)^DCF_Base!$L$4+Assumptions!$B$5-Assumptions!$B$4)/Assumptions!$B$3*Assumptions!$B$10</f>
        <v>7.57190320302249</v>
      </c>
      <c r="F26" s="0" t="n">
        <f aca="false">(SUMPRODUCT(DCF_Base!$C$19:$L$19/(1+$A$26/100)^DCF_Base!$C$4:$L$4)+MAX(0,MIN(IF($A$26&gt;$F$22,DCF_Base!$L$19*(1+$F$22/100)/(($A$26-$F$22)/100),DCF_Base!$L$19*DCF_Base!$B$29),DCF_Base!$L$19*DCF_Base!$B$29))/(1+$A$26/100)^DCF_Base!$L$4+Assumptions!$B$5-Assumptions!$B$4)/Assumptions!$B$3*Assumptions!$B$10</f>
        <v>7.57190320302249</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5.91783541203595</v>
      </c>
      <c r="C27" s="0" t="n">
        <f aca="false">(SUMPRODUCT(DCF_Base!$C$19:$L$19/(1+$A$27/100)^DCF_Base!$C$4:$L$4)+MAX(0,MIN(IF($A$27&gt;$C$22,DCF_Base!$L$19*(1+$C$22/100)/(($A$27-$C$22)/100),DCF_Base!$L$19*DCF_Base!$B$29),DCF_Base!$L$19*DCF_Base!$B$29))/(1+$A$27/100)^DCF_Base!$L$4+Assumptions!$B$5-Assumptions!$B$4)/Assumptions!$B$3*Assumptions!$B$10</f>
        <v>6.2738602425289</v>
      </c>
      <c r="D27" s="0" t="n">
        <f aca="false">(SUMPRODUCT(DCF_Base!$C$19:$L$19/(1+$A$27/100)^DCF_Base!$C$4:$L$4)+MAX(0,MIN(IF($A$27&gt;$D$22,DCF_Base!$L$19*(1+$D$22/100)/(($A$27-$D$22)/100),DCF_Base!$L$19*DCF_Base!$B$29),DCF_Base!$L$19*DCF_Base!$B$29))/(1+$A$27/100)^DCF_Base!$L$4+Assumptions!$B$5-Assumptions!$B$4)/Assumptions!$B$3*Assumptions!$B$10</f>
        <v>6.63950736573788</v>
      </c>
      <c r="E27" s="0" t="n">
        <f aca="false">(SUMPRODUCT(DCF_Base!$C$19:$L$19/(1+$A$27/100)^DCF_Base!$C$4:$L$4)+MAX(0,MIN(IF($A$27&gt;$E$22,DCF_Base!$L$19*(1+$E$22/100)/(($A$27-$E$22)/100),DCF_Base!$L$19*DCF_Base!$B$29),DCF_Base!$L$19*DCF_Base!$B$29))/(1+$A$27/100)^DCF_Base!$L$4+Assumptions!$B$5-Assumptions!$B$4)/Assumptions!$B$3*Assumptions!$B$10</f>
        <v>6.63950736573788</v>
      </c>
      <c r="F27" s="0" t="n">
        <f aca="false">(SUMPRODUCT(DCF_Base!$C$19:$L$19/(1+$A$27/100)^DCF_Base!$C$4:$L$4)+MAX(0,MIN(IF($A$27&gt;$F$22,DCF_Base!$L$19*(1+$F$22/100)/(($A$27-$F$22)/100),DCF_Base!$L$19*DCF_Base!$B$29),DCF_Base!$L$19*DCF_Base!$B$29))/(1+$A$27/100)^DCF_Base!$L$4+Assumptions!$B$5-Assumptions!$B$4)/Assumptions!$B$3*Assumptions!$B$10</f>
        <v>6.63950736573788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2026-10-11T09:16:26Z</dcterms:created>
  <dc:creator>openpyxl</dc:creator>
  <dc:description/>
  <dc:language>en-NZ</dc:language>
  <cp:lastModifiedBy/>
  <dcterms:modified xsi:type="dcterms:W3CDTF">2026-10-11T09:16:26Z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