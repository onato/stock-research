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<sst xmlns="http://schemas.openxmlformats.org/spreadsheetml/2006/main" count="355" uniqueCount="167">
  <si>
    <t xml:space="preserve">Ticker</t>
  </si>
  <si>
    <t xml:space="preserve">6969.HK</t>
  </si>
  <si>
    <t xml:space="preserve">Company</t>
  </si>
  <si>
    <t xml:space="preserve">Smoore International Holdings Limited</t>
  </si>
  <si>
    <t xml:space="preserve">Valuation date</t>
  </si>
  <si>
    <t xml:space="preserve">2026-10-24</t>
  </si>
  <si>
    <t xml:space="preserve">Current price</t>
  </si>
  <si>
    <t xml:space="preserve">Price as of</t>
  </si>
  <si>
    <t xml:space="preserve">2026-10-23T08:08:08Z HKEX regular close (Yahoo chart API); 52-week range 6.90-14.44</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</si>
  <si>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</si>
  <si>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</si>
  <si>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</si>
  <si>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</si>
  <si>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</si>
  <si>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</si>
  <si>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</si>
  <si>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</si>
  <si>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</si>
  <si>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</si>
  <si>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</si>
  <si>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</si>
  <si>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</si>
  <si>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2026-10-23T17:49:07Z</t>
  </si>
  <si>
    <t xml:space="preserve">Drivers file</t>
  </si>
  <si>
    <t xml:space="preserve">6969.HK_Drivers.json</t>
  </si>
  <si>
    <t xml:space="preserve">Convention</t>
  </si>
  <si>
    <t xml:space="preserve">Percents stored as percents; formulas divide by 100. Blue = input, green = link, black = formula.</t>
  </si>
  <si>
    <t xml:space="preserve">Methodology</t>
  </si>
  <si>
    <t xml:space="preserve">summary: Smoore is valued as an operating company on strict owner FCF: SBC expensed (RMB468m in FY2025, 3.3% of revenue) with the share count held flat, and all RMB633m of interest income stripped from the flows with the RMB15.5bn of bank deposits, investment notes and FVTPL products that earn it credited at face in the bridge. That split matters more here than for most tickers: interest income is 43% of profit before tax, so the operating business earns far less than the headline RMB1.06bn net profit suggests, and the market's HK$51bn capitalisation (EV ~RMB28.5bn after net cash) is paying ~35-40x operating NOPAT for the HNB ramp. Margins are built from components (operating EBITDA ex-interest, SBC, lease cost, D&amp;A ex-ROU, cash tax, capex, working capital on the revenue change) over a 10-year horizon because they are still moving; the terminal value is capped at 15x owner FCF for a regulatory-exposed, Shenzhen-based manufacturer; one 9.5% CNY WACC across scenarios with risk carried in the flows and in a 25/50/25 weighting.
key_risks_to_valuation: Customer concentration: HNB growth is a single BAT platform (glo Hilo) and BAT keeps multiple ODM relationships; a dual-sourcing decision or a weak glo share trajectory against IQOS would push the outcome toward the bear path.; Regulatory whiplash: US FDA PMTA/enforcement posture, EU/UK flavour and disposable bans and China's December-2025 crackdown can each move revenue by double digits in a year, in either direction.; Margin mix: gross margin 53.6% (FY2021) to 32.2% (H1 2026); the base case assumes operating EBITDA margin recovers 3.5pp to 19%, which has not yet started.; Financial-asset pile: RMB6.8bn of the RMB15.5bn is investment notes at amortised cost and FVTPL wealth-management products rather than bank deposits; they are credited at carrying value, and a credit or liquidity event in those instruments would hit the bridge directly.; Cash tax and SBC: effective tax on operating EBIT ran ~38% in FY2025 and H1 2026 tax provisions rose 45% on 'international expansion'; SBC doubled in FY2025. Both are modelled to ease, which is a judgment.; Working capital: FY2025 absorbed RMB1.0bn (41% of the revenue increase) in receivables and inventory; the model assumes 15% going forward, so a second ramp year at FY2025's intensity would wipe out the next two years of owner FCF.; FX: revenue is largely USD/EUR against RMB costs and reporting (RMB164m H1 2026 FX loss, hedged by RMB200m of forward gains); and the HKD quote is bridged at a single CNY/HKD rate that refresh_price.py does not update.</t>
  </si>
  <si>
    <t xml:space="preserve">Data sources</t>
  </si>
  <si>
    <t xml:space="preserve">price: Yahoo Finance chart API at inputs.price_as_of (HKEX regular close); 52-week range 6.90-14.44 HKD. FX: Yahoo CNYHKD=X, USDCNY=X, USDHKD=X, HKDCNY=X at 2026-10-23.
financials: 6969.HK_Metrics.csv / core_metrics (CNY millions, FY2019-FY2025 plus H1 FY2023-H1 FY2026) via make dcf-context; FY2025 annual report (income statement 4595-4611, cash flow 4890-4964, tax note 6502-6529, expense-by-nature D&amp;A 6568-6570, lease note 6926-6938); H1 2026 interim report (income statement 2966-3008, balance sheet 3026-3109, cash flow 3208-3271, EPS note 3680-3713, other income 1428-1479).
qualitative: 6969.HK_Analysis.json (2026-10-24): business model, HNB/BAT growth driver, regulatory risk set, FY2026 qualitative guidance, bull/bear cases.</t>
  </si>
  <si>
    <t xml:space="preserve">Scenario narrative: bear</t>
  </si>
  <si>
    <t xml:space="preserve">HNB plateaus as BAT dual-sources and glo stalls against IQOS; US enforcement swings back, illicit disposables retake share, EU/UK flavour rules and China's crackdown shrink the compliant market. Revenue +12% in FY2026 then 1-2%; operating EBITDA margin slides to 12.5% on mix; SBC stays ~3%; Transpire's losses persist. Value is mostly the net cash; the operating business is worth little on this path.</t>
  </si>
  <si>
    <t xml:space="preserve">Scenario narrative: base</t>
  </si>
  <si>
    <t xml:space="preserve">HNB compounds off the BAT glo Hilo rollout (RMB1.3bn FY2025, +322% YoY in H1 2026) while the legacy vaping ODM book grows mid-single digits on compliant-market share gains; revenue +17% FY2026 decaying to 3% by year 10. Operating EBITDA margin (pre-SBC, ex-interest, post-IFRS-16) recovers from 15.5% to 19% as HNB scales, the FY2025 litigation charge drops out and Transpire is externally financed, but the gross margin never returns to the 40%+ of FY2021-22. Owner FCF is thin for the first years because working capital absorbs 15% of growth and cash tax runs ~30% of EBIT; most value is terminal plus the RMB15.2bn net financial-asset pile (HK$2.90/share).</t>
  </si>
  <si>
    <t xml:space="preserve">Scenario narrative: bull</t>
  </si>
  <si>
    <t xml:space="preserve">HNB becomes a second core business with a second tobacco-major customer and multi-market glo Hilo rollout; the FDA's May-2026 flavoured-product authorisations and illicit-market enforcement restore compliant US volumes; EU disposable bans consolidate pod volume with Smoore. Revenue +22%/18%/15% then decays; operating EBITDA margin rebuilds to 23%; SBC drifts to 1.5% of revenue.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</si>
  <si>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</si>
  <si>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</si>
  <si>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</si>
  <si>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</si>
  <si>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</si>
  <si>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</si>
  <si>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</si>
  <si>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</si>
  <si>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</si>
  <si>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</si>
  <si>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</si>
  <si>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</si>
  <si>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</si>
  <si>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</si>
  <si>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</si>
  <si>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</si>
  <si>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</si>
  <si>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</si>
  <si>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</si>
  <si>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</si>
  <si>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</si>
  <si>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</si>
  <si>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</si>
  <si>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</si>
  <si>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</si>
  <si>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</si>
  <si>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</si>
  <si>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AdjustedProfit</t>
  </si>
  <si>
    <t xml:space="preserve">EPSDiluted</t>
  </si>
  <si>
    <t xml:space="preserve">LongTermBankDeposits</t>
  </si>
  <si>
    <t xml:space="preserve">ShortTermInvestmentsFVTPL</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</si>
  <si>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</si>
  <si>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</si>
  <si>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</si>
  <si>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</si>
  <si>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</si>
  <si>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</si>
  <si>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</si>
  <si>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</si>
  <si>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</si>
  <si>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</si>
  <si>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</si>
  <si>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</si>
  <si>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</si>
  <si>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</si>
  <si>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</si>
  <si>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</si>
  <si>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</si>
  <si>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</si>
  <si>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</si>
  <si>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</si>
  <si>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</si>
  <si>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</si>
  <si>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</si>
  <si>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</si>
  <si>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</si>
  <si>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</si>
  <si>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</si>
  <si>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</si>
  <si>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</si>
  <si>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</si>
  <si>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</si>
  <si>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</si>
  <si>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</si>
  <si>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</si>
  <si>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</si>
  <si>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</si>
  <si>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</si>
  <si>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</si>
  <si>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</si>
  <si>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</si>
  <si>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</si>
  <si>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</si>
  <si>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</si>
  <si>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</si>
  <si>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6969.HK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</si>
  <si>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</si>
  <si>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</si>
  <si>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</si>
  <si>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</si>
  <si>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</si>
  <si>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</si>
  <si>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</si>
  <si>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</si>
  <si>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</si>
  <si>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</si>
  <si>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</si>
  <si>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</si>
  <si>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</si>
  <si>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</si>
  <si>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</si>
  <si>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</si>
  <si>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</si>
  <si>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</si>
  <si>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</si>
  <si>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</si>
  <si>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</si>
  <si>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</si>
  <si>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</si>
  <si>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</si>
  <si>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</si>
  <si>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</si>
  <si>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</si>
  <si>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</si>
  <si>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</si>
  <si>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</si>
  <si>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6969.HK owner-FCF component DCF: base case (millions, CNY)</t>
  </si>
  <si>
    <t xml:space="preserve">6969.HK owner-FCF component DCF: bull case (millions, CNY)</t>
  </si>
  <si>
    <t xml:space="preserve">6969.HK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</si>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</sst>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8.37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7610.601</v>
      </c>
      <c r="C2" s="0" t="n">
        <v>4258.249</v>
      </c>
      <c r="D2" s="0" t="n">
        <v>3352.352</v>
      </c>
      <c r="E2" s="0" t="n">
        <v>44</v>
      </c>
      <c r="F2" s="0" t="n">
        <v>2585.101</v>
      </c>
      <c r="G2" s="0" t="n">
        <v>34</v>
      </c>
      <c r="I2" s="0" t="n">
        <v>2173.789</v>
      </c>
      <c r="J2" s="0" t="n">
        <v>28.6</v>
      </c>
      <c r="K2" s="0" t="n">
        <v>0.4303</v>
      </c>
      <c r="L2" s="0" t="n">
        <v>2184.351</v>
      </c>
      <c r="M2" s="0" t="n">
        <v>560.332</v>
      </c>
      <c r="N2" s="0" t="n">
        <v>1624.019</v>
      </c>
      <c r="O2" s="0" t="n">
        <v>734.673</v>
      </c>
      <c r="P2" s="0" t="n">
        <v>3301.903</v>
      </c>
      <c r="Q2" s="0" t="n">
        <v>2567.23</v>
      </c>
      <c r="R2" s="0" t="n">
        <v>679.806</v>
      </c>
      <c r="S2" s="0" t="n">
        <v>731.394</v>
      </c>
      <c r="U2" s="0" t="n">
        <v>61.268</v>
      </c>
      <c r="AA2" s="0" t="s">
        <v>18</v>
      </c>
      <c r="AB2" s="0" t="s">
        <v>14</v>
      </c>
      <c r="AD2" s="0" t="n">
        <v>0.4275</v>
      </c>
    </row>
    <row r="3" customFormat="false" ht="15" hidden="false" customHeight="false" outlineLevel="0" collapsed="false">
      <c r="A3" s="0" t="s">
        <v>69</v>
      </c>
      <c r="B3" s="0" t="n">
        <v>10009.937</v>
      </c>
      <c r="C3" s="0" t="n">
        <v>4714.124</v>
      </c>
      <c r="D3" s="0" t="n">
        <v>5295.813</v>
      </c>
      <c r="E3" s="0" t="n">
        <v>52.9</v>
      </c>
      <c r="F3" s="0" t="n">
        <v>4105.385</v>
      </c>
      <c r="G3" s="0" t="n">
        <v>41</v>
      </c>
      <c r="H3" s="0" t="n">
        <v>4336.984</v>
      </c>
      <c r="I3" s="0" t="n">
        <v>2399.921</v>
      </c>
      <c r="J3" s="0" t="n">
        <v>24</v>
      </c>
      <c r="K3" s="0" t="n">
        <v>0.4449</v>
      </c>
      <c r="L3" s="0" t="n">
        <v>3035.357</v>
      </c>
      <c r="M3" s="0" t="n">
        <v>387.041</v>
      </c>
      <c r="N3" s="0" t="n">
        <v>2648.316</v>
      </c>
      <c r="O3" s="0" t="n">
        <v>12399.721</v>
      </c>
      <c r="P3" s="0" t="n">
        <v>14773.809</v>
      </c>
      <c r="Q3" s="0" t="n">
        <v>2374.088</v>
      </c>
      <c r="R3" s="0" t="n">
        <v>0</v>
      </c>
      <c r="S3" s="0" t="n">
        <v>9557.802</v>
      </c>
      <c r="T3" s="0" t="n">
        <v>5691</v>
      </c>
      <c r="U3" s="0" t="n">
        <v>362.923</v>
      </c>
      <c r="AA3" s="0" t="s">
        <v>18</v>
      </c>
      <c r="AB3" s="0" t="s">
        <v>14</v>
      </c>
      <c r="AD3" s="0" t="n">
        <v>0.4217</v>
      </c>
      <c r="AE3" s="0" t="n">
        <v>1006.044</v>
      </c>
    </row>
    <row r="4" customFormat="false" ht="15" hidden="false" customHeight="false" outlineLevel="0" collapsed="false">
      <c r="A4" s="0" t="s">
        <v>70</v>
      </c>
      <c r="B4" s="0" t="n">
        <v>13755.242</v>
      </c>
      <c r="C4" s="0" t="n">
        <v>6378.203</v>
      </c>
      <c r="D4" s="0" t="n">
        <v>7377.039</v>
      </c>
      <c r="E4" s="0" t="n">
        <v>53.6</v>
      </c>
      <c r="F4" s="0" t="n">
        <v>5810.156</v>
      </c>
      <c r="G4" s="0" t="n">
        <v>42.2</v>
      </c>
      <c r="H4" s="0" t="n">
        <v>6142.162</v>
      </c>
      <c r="I4" s="0" t="n">
        <v>5286.967</v>
      </c>
      <c r="J4" s="0" t="n">
        <v>38.4</v>
      </c>
      <c r="K4" s="0" t="n">
        <v>0.8854</v>
      </c>
      <c r="L4" s="0" t="n">
        <v>3588.332</v>
      </c>
      <c r="M4" s="0" t="n">
        <v>1978.082</v>
      </c>
      <c r="N4" s="0" t="n">
        <v>1610.25</v>
      </c>
      <c r="O4" s="0" t="n">
        <v>19246.359</v>
      </c>
      <c r="P4" s="0" t="n">
        <v>22871.306</v>
      </c>
      <c r="Q4" s="0" t="n">
        <v>3624.947</v>
      </c>
      <c r="R4" s="0" t="n">
        <v>437.505</v>
      </c>
      <c r="S4" s="0" t="n">
        <v>14662.406</v>
      </c>
      <c r="T4" s="0" t="n">
        <v>6190.8</v>
      </c>
      <c r="U4" s="0" t="n">
        <v>273.805</v>
      </c>
      <c r="AA4" s="0" t="s">
        <v>18</v>
      </c>
      <c r="AB4" s="0" t="s">
        <v>14</v>
      </c>
      <c r="AD4" s="0" t="n">
        <v>0.854</v>
      </c>
      <c r="AE4" s="0" t="n">
        <v>1516.03</v>
      </c>
    </row>
    <row r="5" customFormat="false" ht="15" hidden="false" customHeight="false" outlineLevel="0" collapsed="false">
      <c r="A5" s="0" t="s">
        <v>71</v>
      </c>
      <c r="B5" s="0" t="n">
        <v>12144.98</v>
      </c>
      <c r="C5" s="0" t="n">
        <v>6885.348</v>
      </c>
      <c r="D5" s="0" t="n">
        <v>5259.632</v>
      </c>
      <c r="E5" s="0" t="n">
        <v>43.3</v>
      </c>
      <c r="F5" s="0" t="n">
        <v>2565.889</v>
      </c>
      <c r="G5" s="0" t="n">
        <v>21.1</v>
      </c>
      <c r="H5" s="0" t="n">
        <v>3132.422</v>
      </c>
      <c r="I5" s="0" t="n">
        <v>2510.316</v>
      </c>
      <c r="J5" s="0" t="n">
        <v>20.7</v>
      </c>
      <c r="K5" s="0" t="n">
        <v>0.4166</v>
      </c>
      <c r="L5" s="0" t="n">
        <v>469.864</v>
      </c>
      <c r="M5" s="0" t="n">
        <v>1694.807</v>
      </c>
      <c r="N5" s="0" t="n">
        <v>-1224.943</v>
      </c>
      <c r="O5" s="0" t="n">
        <v>20377.208</v>
      </c>
      <c r="P5" s="0" t="n">
        <v>24359.317</v>
      </c>
      <c r="Q5" s="0" t="n">
        <v>3982.109</v>
      </c>
      <c r="R5" s="0" t="n">
        <v>101.744</v>
      </c>
      <c r="S5" s="0" t="n">
        <v>15194.549</v>
      </c>
      <c r="T5" s="0" t="n">
        <v>6180</v>
      </c>
      <c r="U5" s="0" t="n">
        <v>379.332</v>
      </c>
      <c r="AA5" s="0" t="s">
        <v>18</v>
      </c>
      <c r="AB5" s="0" t="s">
        <v>14</v>
      </c>
      <c r="AD5" s="0" t="n">
        <v>0.4062</v>
      </c>
      <c r="AE5" s="0" t="n">
        <v>544.69</v>
      </c>
    </row>
    <row r="6" customFormat="false" ht="15" hidden="false" customHeight="false" outlineLevel="0" collapsed="false">
      <c r="A6" s="0" t="s">
        <v>72</v>
      </c>
      <c r="B6" s="0" t="n">
        <v>11203.25</v>
      </c>
      <c r="C6" s="0" t="n">
        <v>6862.339</v>
      </c>
      <c r="D6" s="0" t="n">
        <v>4340.911</v>
      </c>
      <c r="E6" s="0" t="n">
        <v>38.7</v>
      </c>
      <c r="F6" s="0" t="n">
        <v>1447.031</v>
      </c>
      <c r="G6" s="0" t="n">
        <v>12.9</v>
      </c>
      <c r="H6" s="0" t="n">
        <v>2125.769</v>
      </c>
      <c r="I6" s="0" t="n">
        <v>1645.09</v>
      </c>
      <c r="J6" s="0" t="n">
        <v>14.7</v>
      </c>
      <c r="K6" s="0" t="n">
        <v>0.2701</v>
      </c>
      <c r="L6" s="0" t="n">
        <v>3192.893</v>
      </c>
      <c r="M6" s="0" t="n">
        <v>1231.39</v>
      </c>
      <c r="N6" s="0" t="n">
        <v>1961.503</v>
      </c>
      <c r="O6" s="0" t="n">
        <v>21409.609</v>
      </c>
      <c r="P6" s="0" t="n">
        <v>25508.284</v>
      </c>
      <c r="Q6" s="0" t="n">
        <v>4098.675</v>
      </c>
      <c r="R6" s="0" t="n">
        <v>393.023</v>
      </c>
      <c r="S6" s="0" t="n">
        <v>16167.953</v>
      </c>
      <c r="T6" s="0" t="n">
        <v>6168.3</v>
      </c>
      <c r="U6" s="0" t="n">
        <v>296.459</v>
      </c>
      <c r="AA6" s="0" t="s">
        <v>18</v>
      </c>
      <c r="AB6" s="0" t="s">
        <v>14</v>
      </c>
      <c r="AD6" s="0" t="n">
        <v>0.2667</v>
      </c>
      <c r="AE6" s="0" t="n">
        <v>1017.889</v>
      </c>
    </row>
    <row r="7" customFormat="false" ht="15" hidden="false" customHeight="false" outlineLevel="0" collapsed="false">
      <c r="A7" s="0" t="s">
        <v>73</v>
      </c>
      <c r="B7" s="0" t="n">
        <v>11798.662</v>
      </c>
      <c r="C7" s="0" t="n">
        <v>7386.693</v>
      </c>
      <c r="D7" s="0" t="n">
        <v>4411.969</v>
      </c>
      <c r="E7" s="0" t="n">
        <v>37.4</v>
      </c>
      <c r="F7" s="0" t="n">
        <v>1045.344</v>
      </c>
      <c r="G7" s="0" t="n">
        <v>8.9</v>
      </c>
      <c r="H7" s="0" t="n">
        <v>1755.247</v>
      </c>
      <c r="I7" s="0" t="n">
        <v>1303.255</v>
      </c>
      <c r="J7" s="0" t="n">
        <v>11</v>
      </c>
      <c r="K7" s="0" t="n">
        <v>0.2142</v>
      </c>
      <c r="L7" s="0" t="n">
        <v>1753.336</v>
      </c>
      <c r="M7" s="0" t="n">
        <v>1035.765</v>
      </c>
      <c r="N7" s="0" t="n">
        <v>717.571</v>
      </c>
      <c r="O7" s="0" t="n">
        <v>21897.088</v>
      </c>
      <c r="P7" s="0" t="n">
        <v>27654.378</v>
      </c>
      <c r="Q7" s="0" t="n">
        <v>5749.667</v>
      </c>
      <c r="R7" s="0" t="n">
        <v>1574.5</v>
      </c>
      <c r="S7" s="0" t="n">
        <v>12490.31</v>
      </c>
      <c r="T7" s="0" t="n">
        <v>6141.6</v>
      </c>
      <c r="U7" s="0" t="n">
        <v>205.975</v>
      </c>
      <c r="AA7" s="0" t="s">
        <v>18</v>
      </c>
      <c r="AB7" s="0" t="s">
        <v>14</v>
      </c>
      <c r="AD7" s="0" t="n">
        <v>0.2122</v>
      </c>
      <c r="AE7" s="0" t="n">
        <v>3106.699</v>
      </c>
      <c r="AF7" s="0" t="n">
        <v>0.857</v>
      </c>
    </row>
    <row r="8" customFormat="false" ht="15" hidden="false" customHeight="false" outlineLevel="0" collapsed="false">
      <c r="A8" s="0" t="s">
        <v>74</v>
      </c>
      <c r="B8" s="0" t="n">
        <v>14256.171</v>
      </c>
      <c r="C8" s="0" t="n">
        <v>9399.292</v>
      </c>
      <c r="D8" s="0" t="n">
        <v>4856.879</v>
      </c>
      <c r="E8" s="0" t="n">
        <v>34.1</v>
      </c>
      <c r="F8" s="0" t="n">
        <v>869.115</v>
      </c>
      <c r="G8" s="0" t="n">
        <v>6.1</v>
      </c>
      <c r="H8" s="0" t="n">
        <v>1552.54</v>
      </c>
      <c r="I8" s="0" t="n">
        <v>1063.796</v>
      </c>
      <c r="J8" s="0" t="n">
        <v>7.5</v>
      </c>
      <c r="K8" s="0" t="n">
        <v>0.1744</v>
      </c>
      <c r="L8" s="0" t="n">
        <v>486.882</v>
      </c>
      <c r="M8" s="0" t="n">
        <v>850.279</v>
      </c>
      <c r="N8" s="0" t="n">
        <v>-363.397</v>
      </c>
      <c r="O8" s="0" t="n">
        <v>21847.529</v>
      </c>
      <c r="P8" s="0" t="n">
        <v>28537.778</v>
      </c>
      <c r="Q8" s="0" t="n">
        <v>6661.998</v>
      </c>
      <c r="R8" s="0" t="n">
        <v>1875</v>
      </c>
      <c r="S8" s="0" t="n">
        <v>10776.607</v>
      </c>
      <c r="T8" s="0" t="n">
        <v>6217.4</v>
      </c>
      <c r="U8" s="0" t="n">
        <v>467.991</v>
      </c>
      <c r="AA8" s="0" t="s">
        <v>18</v>
      </c>
      <c r="AB8" s="0" t="s">
        <v>14</v>
      </c>
      <c r="AD8" s="0" t="n">
        <v>0.1711</v>
      </c>
      <c r="AE8" s="0" t="n">
        <v>2118.31</v>
      </c>
      <c r="AF8"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8.37</v>
      </c>
    </row>
    <row r="3" customFormat="false" ht="15" hidden="false" customHeight="false" outlineLevel="0" collapsed="false">
      <c r="A3" s="0" t="s">
        <v>78</v>
      </c>
      <c r="B3" s="3" t="n">
        <v>6136</v>
      </c>
    </row>
    <row r="4" customFormat="false" ht="15" hidden="false" customHeight="false" outlineLevel="0" collapsed="false">
      <c r="A4" s="0" t="s">
        <v>79</v>
      </c>
      <c r="B4" s="3" t="n">
        <v>-15168.1</v>
      </c>
    </row>
    <row r="5" customFormat="false" ht="15" hidden="false" customHeight="false" outlineLevel="0" collapsed="false">
      <c r="A5" s="0" t="s">
        <v>80</v>
      </c>
      <c r="B5" s="3" t="n">
        <v>0</v>
      </c>
    </row>
    <row r="6" customFormat="false" ht="15" hidden="false" customHeight="false" outlineLevel="0" collapsed="false">
      <c r="A6" s="0" t="s">
        <v>81</v>
      </c>
      <c r="B6" s="3" t="n">
        <v>15</v>
      </c>
    </row>
    <row r="7" customFormat="false" ht="15" hidden="false" customHeight="false" outlineLevel="0" collapsed="false">
      <c r="A7" s="0" t="s">
        <v>82</v>
      </c>
      <c r="B7" s="3" t="n">
        <v>14256.171</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1.1748</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12</v>
      </c>
      <c r="D13" s="3" t="n">
        <v>4</v>
      </c>
      <c r="E13" s="3" t="n">
        <v>1</v>
      </c>
      <c r="F13" s="3" t="n">
        <v>1</v>
      </c>
      <c r="G13" s="3" t="n">
        <v>1.5</v>
      </c>
      <c r="H13" s="3" t="n">
        <v>2</v>
      </c>
      <c r="I13" s="3" t="n">
        <v>2</v>
      </c>
      <c r="J13" s="3" t="n">
        <v>2</v>
      </c>
      <c r="K13" s="3" t="n">
        <v>2</v>
      </c>
      <c r="L13" s="3" t="n">
        <v>2</v>
      </c>
    </row>
    <row r="14" customFormat="false" ht="15" hidden="false" customHeight="false" outlineLevel="0" collapsed="false">
      <c r="A14" s="0" t="s">
        <v>99</v>
      </c>
      <c r="C14" s="3" t="n">
        <v>15</v>
      </c>
      <c r="D14" s="3" t="n">
        <v>14</v>
      </c>
      <c r="E14" s="3" t="n">
        <v>13</v>
      </c>
      <c r="F14" s="3" t="n">
        <v>12.5</v>
      </c>
      <c r="G14" s="3" t="n">
        <v>12.5</v>
      </c>
      <c r="H14" s="3" t="n">
        <v>12.5</v>
      </c>
      <c r="I14" s="3" t="n">
        <v>12.5</v>
      </c>
      <c r="J14" s="3" t="n">
        <v>12.5</v>
      </c>
      <c r="K14" s="3" t="n">
        <v>12.5</v>
      </c>
      <c r="L14" s="3" t="n">
        <v>12.5</v>
      </c>
    </row>
    <row r="15" customFormat="false" ht="15" hidden="false" customHeight="false" outlineLevel="0" collapsed="false">
      <c r="A15" s="0" t="s">
        <v>100</v>
      </c>
      <c r="C15" s="3" t="n">
        <v>3.3</v>
      </c>
      <c r="D15" s="3" t="n">
        <v>3.2</v>
      </c>
      <c r="E15" s="3" t="n">
        <v>3.1</v>
      </c>
      <c r="F15" s="3" t="n">
        <v>3</v>
      </c>
      <c r="G15" s="3" t="n">
        <v>2.9</v>
      </c>
      <c r="H15" s="3" t="n">
        <v>2.8</v>
      </c>
      <c r="I15" s="3" t="n">
        <v>2.7</v>
      </c>
      <c r="J15" s="3" t="n">
        <v>2.6</v>
      </c>
      <c r="K15" s="3" t="n">
        <v>2.5</v>
      </c>
      <c r="L15" s="3" t="n">
        <v>2.5</v>
      </c>
    </row>
    <row r="16" customFormat="false" ht="15" hidden="false" customHeight="false" outlineLevel="0" collapsed="false">
      <c r="A16" s="0" t="s">
        <v>101</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102</v>
      </c>
      <c r="C17" s="3" t="n">
        <v>3.7</v>
      </c>
      <c r="D17" s="3" t="n">
        <v>3.7</v>
      </c>
      <c r="E17" s="3" t="n">
        <v>3.7</v>
      </c>
      <c r="F17" s="3" t="n">
        <v>3.7</v>
      </c>
      <c r="G17" s="3" t="n">
        <v>3.7</v>
      </c>
      <c r="H17" s="3" t="n">
        <v>3.7</v>
      </c>
      <c r="I17" s="3" t="n">
        <v>3.7</v>
      </c>
      <c r="J17" s="3" t="n">
        <v>3.7</v>
      </c>
      <c r="K17" s="3" t="n">
        <v>3.7</v>
      </c>
      <c r="L17" s="3" t="n">
        <v>3.7</v>
      </c>
    </row>
    <row r="18" customFormat="false" ht="15" hidden="false" customHeight="false" outlineLevel="0" collapsed="false">
      <c r="A18" s="0" t="s">
        <v>103</v>
      </c>
      <c r="C18" s="3" t="n">
        <v>6</v>
      </c>
      <c r="D18" s="3" t="n">
        <v>5.5</v>
      </c>
      <c r="E18" s="3" t="n">
        <v>5</v>
      </c>
      <c r="F18" s="3" t="n">
        <v>4.5</v>
      </c>
      <c r="G18" s="3" t="n">
        <v>4.5</v>
      </c>
      <c r="H18" s="3" t="n">
        <v>4.5</v>
      </c>
      <c r="I18" s="3" t="n">
        <v>4.5</v>
      </c>
      <c r="J18" s="3" t="n">
        <v>4.5</v>
      </c>
      <c r="K18" s="3" t="n">
        <v>4.5</v>
      </c>
      <c r="L18" s="3" t="n">
        <v>4.5</v>
      </c>
    </row>
    <row r="19" customFormat="false" ht="15" hidden="false" customHeight="false" outlineLevel="0" collapsed="false">
      <c r="A19" s="0" t="s">
        <v>104</v>
      </c>
      <c r="C19" s="3" t="n">
        <v>32</v>
      </c>
      <c r="D19" s="3" t="n">
        <v>32</v>
      </c>
      <c r="E19" s="3" t="n">
        <v>32</v>
      </c>
      <c r="F19" s="3" t="n">
        <v>32</v>
      </c>
      <c r="G19" s="3" t="n">
        <v>32</v>
      </c>
      <c r="H19" s="3" t="n">
        <v>32</v>
      </c>
      <c r="I19" s="3" t="n">
        <v>32</v>
      </c>
      <c r="J19" s="3" t="n">
        <v>32</v>
      </c>
      <c r="K19" s="3" t="n">
        <v>32</v>
      </c>
      <c r="L19" s="3" t="n">
        <v>32</v>
      </c>
    </row>
    <row r="20" customFormat="false" ht="15" hidden="false" customHeight="false" outlineLevel="0" collapsed="false">
      <c r="A20" s="0" t="s">
        <v>105</v>
      </c>
      <c r="B20" s="3" t="n">
        <v>9.5</v>
      </c>
    </row>
    <row r="21" customFormat="false" ht="15" hidden="false" customHeight="false" outlineLevel="0" collapsed="false">
      <c r="A21" s="0" t="s">
        <v>106</v>
      </c>
      <c r="B21" s="3" t="n">
        <v>2</v>
      </c>
    </row>
    <row r="22" customFormat="false" ht="15" hidden="false" customHeight="false" outlineLevel="0" collapsed="false">
      <c r="A22" s="0" t="s">
        <v>107</v>
      </c>
      <c r="B22" s="3" t="n">
        <v>15</v>
      </c>
    </row>
    <row r="23" customFormat="false" ht="15" hidden="false" customHeight="false" outlineLevel="0" collapsed="false">
      <c r="A23" s="0" t="s">
        <v>108</v>
      </c>
      <c r="B23" s="3" t="n">
        <v>-15</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17</v>
      </c>
      <c r="D27" s="3" t="n">
        <v>13</v>
      </c>
      <c r="E27" s="3" t="n">
        <v>10</v>
      </c>
      <c r="F27" s="3" t="n">
        <v>8</v>
      </c>
      <c r="G27" s="3" t="n">
        <v>7</v>
      </c>
      <c r="H27" s="3" t="n">
        <v>6</v>
      </c>
      <c r="I27" s="3" t="n">
        <v>5</v>
      </c>
      <c r="J27" s="3" t="n">
        <v>4</v>
      </c>
      <c r="K27" s="3" t="n">
        <v>3.5</v>
      </c>
      <c r="L27" s="3" t="n">
        <v>3</v>
      </c>
    </row>
    <row r="28" customFormat="false" ht="15" hidden="false" customHeight="false" outlineLevel="0" collapsed="false">
      <c r="A28" s="0" t="s">
        <v>99</v>
      </c>
      <c r="C28" s="3" t="n">
        <v>15.5</v>
      </c>
      <c r="D28" s="3" t="n">
        <v>16</v>
      </c>
      <c r="E28" s="3" t="n">
        <v>16.5</v>
      </c>
      <c r="F28" s="3" t="n">
        <v>17</v>
      </c>
      <c r="G28" s="3" t="n">
        <v>17.5</v>
      </c>
      <c r="H28" s="3" t="n">
        <v>18</v>
      </c>
      <c r="I28" s="3" t="n">
        <v>18.5</v>
      </c>
      <c r="J28" s="3" t="n">
        <v>19</v>
      </c>
      <c r="K28" s="3" t="n">
        <v>19</v>
      </c>
      <c r="L28" s="3" t="n">
        <v>19</v>
      </c>
    </row>
    <row r="29" customFormat="false" ht="15" hidden="false" customHeight="false" outlineLevel="0" collapsed="false">
      <c r="A29" s="0" t="s">
        <v>100</v>
      </c>
      <c r="C29" s="3" t="n">
        <v>2.8</v>
      </c>
      <c r="D29" s="3" t="n">
        <v>2.7</v>
      </c>
      <c r="E29" s="3" t="n">
        <v>2.6</v>
      </c>
      <c r="F29" s="3" t="n">
        <v>2.5</v>
      </c>
      <c r="G29" s="3" t="n">
        <v>2.4</v>
      </c>
      <c r="H29" s="3" t="n">
        <v>2.3</v>
      </c>
      <c r="I29" s="3" t="n">
        <v>2.2</v>
      </c>
      <c r="J29" s="3" t="n">
        <v>2.1</v>
      </c>
      <c r="K29" s="3" t="n">
        <v>2</v>
      </c>
      <c r="L29" s="3" t="n">
        <v>2</v>
      </c>
    </row>
    <row r="30" customFormat="false" ht="15" hidden="false" customHeight="false" outlineLevel="0" collapsed="false">
      <c r="A30" s="0" t="s">
        <v>101</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102</v>
      </c>
      <c r="C31" s="3" t="n">
        <v>3.7</v>
      </c>
      <c r="D31" s="3" t="n">
        <v>3.7</v>
      </c>
      <c r="E31" s="3" t="n">
        <v>3.7</v>
      </c>
      <c r="F31" s="3" t="n">
        <v>3.7</v>
      </c>
      <c r="G31" s="3" t="n">
        <v>3.7</v>
      </c>
      <c r="H31" s="3" t="n">
        <v>3.7</v>
      </c>
      <c r="I31" s="3" t="n">
        <v>3.7</v>
      </c>
      <c r="J31" s="3" t="n">
        <v>3.7</v>
      </c>
      <c r="K31" s="3" t="n">
        <v>3.7</v>
      </c>
      <c r="L31" s="3" t="n">
        <v>3.7</v>
      </c>
    </row>
    <row r="32" customFormat="false" ht="15" hidden="false" customHeight="false" outlineLevel="0" collapsed="false">
      <c r="A32" s="0" t="s">
        <v>103</v>
      </c>
      <c r="C32" s="3" t="n">
        <v>6</v>
      </c>
      <c r="D32" s="3" t="n">
        <v>6</v>
      </c>
      <c r="E32" s="3" t="n">
        <v>5.8</v>
      </c>
      <c r="F32" s="3" t="n">
        <v>5.6</v>
      </c>
      <c r="G32" s="3" t="n">
        <v>5.4</v>
      </c>
      <c r="H32" s="3" t="n">
        <v>5.2</v>
      </c>
      <c r="I32" s="3" t="n">
        <v>5</v>
      </c>
      <c r="J32" s="3" t="n">
        <v>5</v>
      </c>
      <c r="K32" s="3" t="n">
        <v>5</v>
      </c>
      <c r="L32" s="3" t="n">
        <v>5</v>
      </c>
    </row>
    <row r="33" customFormat="false" ht="15" hidden="false" customHeight="false" outlineLevel="0" collapsed="false">
      <c r="A33" s="0" t="s">
        <v>104</v>
      </c>
      <c r="C33" s="3" t="n">
        <v>30</v>
      </c>
      <c r="D33" s="3" t="n">
        <v>29</v>
      </c>
      <c r="E33" s="3" t="n">
        <v>28</v>
      </c>
      <c r="F33" s="3" t="n">
        <v>27</v>
      </c>
      <c r="G33" s="3" t="n">
        <v>26</v>
      </c>
      <c r="H33" s="3" t="n">
        <v>26</v>
      </c>
      <c r="I33" s="3" t="n">
        <v>26</v>
      </c>
      <c r="J33" s="3" t="n">
        <v>26</v>
      </c>
      <c r="K33" s="3" t="n">
        <v>26</v>
      </c>
      <c r="L33" s="3" t="n">
        <v>26</v>
      </c>
    </row>
    <row r="34" customFormat="false" ht="15" hidden="false" customHeight="false" outlineLevel="0" collapsed="false">
      <c r="A34" s="0" t="s">
        <v>105</v>
      </c>
      <c r="B34" s="3" t="n">
        <v>9.5</v>
      </c>
    </row>
    <row r="35" customFormat="false" ht="15" hidden="false" customHeight="false" outlineLevel="0" collapsed="false">
      <c r="A35" s="0" t="s">
        <v>106</v>
      </c>
      <c r="B35" s="3" t="n">
        <v>3</v>
      </c>
    </row>
    <row r="36" customFormat="false" ht="15" hidden="false" customHeight="false" outlineLevel="0" collapsed="false">
      <c r="A36" s="0" t="s">
        <v>107</v>
      </c>
      <c r="B36" s="3" t="n">
        <v>15</v>
      </c>
    </row>
    <row r="37" customFormat="false" ht="15" hidden="false" customHeight="false" outlineLevel="0" collapsed="false">
      <c r="A37" s="0" t="s">
        <v>108</v>
      </c>
      <c r="B37" s="3" t="n">
        <v>-15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22</v>
      </c>
      <c r="D41" s="3" t="n">
        <v>18</v>
      </c>
      <c r="E41" s="3" t="n">
        <v>15</v>
      </c>
      <c r="F41" s="3" t="n">
        <v>12</v>
      </c>
      <c r="G41" s="3" t="n">
        <v>10</v>
      </c>
      <c r="H41" s="3" t="n">
        <v>8</v>
      </c>
      <c r="I41" s="3" t="n">
        <v>6</v>
      </c>
      <c r="J41" s="3" t="n">
        <v>5</v>
      </c>
      <c r="K41" s="3" t="n">
        <v>4</v>
      </c>
      <c r="L41" s="3" t="n">
        <v>3.5</v>
      </c>
    </row>
    <row r="42" customFormat="false" ht="15" hidden="false" customHeight="false" outlineLevel="0" collapsed="false">
      <c r="A42" s="0" t="s">
        <v>99</v>
      </c>
      <c r="C42" s="3" t="n">
        <v>16</v>
      </c>
      <c r="D42" s="3" t="n">
        <v>17.5</v>
      </c>
      <c r="E42" s="3" t="n">
        <v>19</v>
      </c>
      <c r="F42" s="3" t="n">
        <v>20</v>
      </c>
      <c r="G42" s="3" t="n">
        <v>21</v>
      </c>
      <c r="H42" s="3" t="n">
        <v>22</v>
      </c>
      <c r="I42" s="3" t="n">
        <v>22.5</v>
      </c>
      <c r="J42" s="3" t="n">
        <v>23</v>
      </c>
      <c r="K42" s="3" t="n">
        <v>23</v>
      </c>
      <c r="L42" s="3" t="n">
        <v>23</v>
      </c>
    </row>
    <row r="43" customFormat="false" ht="15" hidden="false" customHeight="false" outlineLevel="0" collapsed="false">
      <c r="A43" s="0" t="s">
        <v>100</v>
      </c>
      <c r="C43" s="3" t="n">
        <v>2.6</v>
      </c>
      <c r="D43" s="3" t="n">
        <v>2.5</v>
      </c>
      <c r="E43" s="3" t="n">
        <v>2.3</v>
      </c>
      <c r="F43" s="3" t="n">
        <v>2.1</v>
      </c>
      <c r="G43" s="3" t="n">
        <v>2</v>
      </c>
      <c r="H43" s="3" t="n">
        <v>1.9</v>
      </c>
      <c r="I43" s="3" t="n">
        <v>1.8</v>
      </c>
      <c r="J43" s="3" t="n">
        <v>1.7</v>
      </c>
      <c r="K43" s="3" t="n">
        <v>1.6</v>
      </c>
      <c r="L43" s="3" t="n">
        <v>1.5</v>
      </c>
    </row>
    <row r="44" customFormat="false" ht="15" hidden="false" customHeight="false" outlineLevel="0" collapsed="false">
      <c r="A44" s="0" t="s">
        <v>101</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102</v>
      </c>
      <c r="C45" s="3" t="n">
        <v>3.7</v>
      </c>
      <c r="D45" s="3" t="n">
        <v>3.7</v>
      </c>
      <c r="E45" s="3" t="n">
        <v>3.7</v>
      </c>
      <c r="F45" s="3" t="n">
        <v>3.7</v>
      </c>
      <c r="G45" s="3" t="n">
        <v>3.7</v>
      </c>
      <c r="H45" s="3" t="n">
        <v>3.7</v>
      </c>
      <c r="I45" s="3" t="n">
        <v>3.7</v>
      </c>
      <c r="J45" s="3" t="n">
        <v>3.7</v>
      </c>
      <c r="K45" s="3" t="n">
        <v>3.7</v>
      </c>
      <c r="L45" s="3" t="n">
        <v>3.7</v>
      </c>
    </row>
    <row r="46" customFormat="false" ht="15" hidden="false" customHeight="false" outlineLevel="0" collapsed="false">
      <c r="A46" s="0" t="s">
        <v>103</v>
      </c>
      <c r="C46" s="3" t="n">
        <v>6</v>
      </c>
      <c r="D46" s="3" t="n">
        <v>5.8</v>
      </c>
      <c r="E46" s="3" t="n">
        <v>5.6</v>
      </c>
      <c r="F46" s="3" t="n">
        <v>5.4</v>
      </c>
      <c r="G46" s="3" t="n">
        <v>5.2</v>
      </c>
      <c r="H46" s="3" t="n">
        <v>5</v>
      </c>
      <c r="I46" s="3" t="n">
        <v>5</v>
      </c>
      <c r="J46" s="3" t="n">
        <v>5</v>
      </c>
      <c r="K46" s="3" t="n">
        <v>5</v>
      </c>
      <c r="L46" s="3" t="n">
        <v>5</v>
      </c>
    </row>
    <row r="47" customFormat="false" ht="15" hidden="false" customHeight="false" outlineLevel="0" collapsed="false">
      <c r="A47" s="0" t="s">
        <v>104</v>
      </c>
      <c r="C47" s="3" t="n">
        <v>29</v>
      </c>
      <c r="D47" s="3" t="n">
        <v>28</v>
      </c>
      <c r="E47" s="3" t="n">
        <v>27</v>
      </c>
      <c r="F47" s="3" t="n">
        <v>26</v>
      </c>
      <c r="G47" s="3" t="n">
        <v>25</v>
      </c>
      <c r="H47" s="3" t="n">
        <v>25</v>
      </c>
      <c r="I47" s="3" t="n">
        <v>25</v>
      </c>
      <c r="J47" s="3" t="n">
        <v>25</v>
      </c>
      <c r="K47" s="3" t="n">
        <v>25</v>
      </c>
      <c r="L47" s="3" t="n">
        <v>25</v>
      </c>
    </row>
    <row r="48" customFormat="false" ht="15" hidden="false" customHeight="false" outlineLevel="0" collapsed="false">
      <c r="A48" s="0" t="s">
        <v>105</v>
      </c>
      <c r="B48" s="3" t="n">
        <v>9.5</v>
      </c>
    </row>
    <row r="49" customFormat="false" ht="15" hidden="false" customHeight="false" outlineLevel="0" collapsed="false">
      <c r="A49" s="0" t="s">
        <v>106</v>
      </c>
      <c r="B49" s="3" t="n">
        <v>3</v>
      </c>
    </row>
    <row r="50" customFormat="false" ht="15" hidden="false" customHeight="false" outlineLevel="0" collapsed="false">
      <c r="A50" s="0" t="s">
        <v>107</v>
      </c>
      <c r="B50" s="3" t="n">
        <v>15</v>
      </c>
    </row>
    <row r="51" customFormat="false" ht="15" hidden="false" customHeight="false" outlineLevel="0" collapsed="false">
      <c r="A51" s="0" t="s">
        <v>108</v>
      </c>
      <c r="B51" s="3" t="n">
        <v>-12</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12</v>
      </c>
      <c r="D5" s="4" t="n">
        <f aca="false">Assumptions!D13</f>
        <v>4</v>
      </c>
      <c r="E5" s="4" t="n">
        <f aca="false">Assumptions!E13</f>
        <v>1</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14256.171</v>
      </c>
      <c r="C6" s="0" t="n">
        <f aca="false">B6*(1+C5/100)</f>
        <v>15966.91152</v>
      </c>
      <c r="D6" s="0" t="n">
        <f aca="false">C6*(1+D5/100)</f>
        <v>16605.5879808</v>
      </c>
      <c r="E6" s="0" t="n">
        <f aca="false">D6*(1+E5/100)</f>
        <v>16771.643860608</v>
      </c>
      <c r="F6" s="0" t="n">
        <f aca="false">E6*(1+F5/100)</f>
        <v>16939.3602992141</v>
      </c>
      <c r="G6" s="0" t="n">
        <f aca="false">F6*(1+G5/100)</f>
        <v>17193.4507037023</v>
      </c>
      <c r="H6" s="0" t="n">
        <f aca="false">G6*(1+H5/100)</f>
        <v>17537.3197177763</v>
      </c>
      <c r="I6" s="0" t="n">
        <f aca="false">H6*(1+I5/100)</f>
        <v>17888.0661121319</v>
      </c>
      <c r="J6" s="0" t="n">
        <f aca="false">I6*(1+J5/100)</f>
        <v>18245.8274343745</v>
      </c>
      <c r="K6" s="0" t="n">
        <f aca="false">J6*(1+K5/100)</f>
        <v>18610.743983062</v>
      </c>
      <c r="L6" s="0" t="n">
        <f aca="false">K6*(1+L5/100)</f>
        <v>18982.9588627232</v>
      </c>
    </row>
    <row r="7" customFormat="false" ht="15" hidden="false" customHeight="false" outlineLevel="0" collapsed="false">
      <c r="A7" s="0" t="s">
        <v>99</v>
      </c>
      <c r="C7" s="4" t="n">
        <f aca="false">Assumptions!C14</f>
        <v>15</v>
      </c>
      <c r="D7" s="4" t="n">
        <f aca="false">Assumptions!D14</f>
        <v>14</v>
      </c>
      <c r="E7" s="4" t="n">
        <f aca="false">Assumptions!E14</f>
        <v>13</v>
      </c>
      <c r="F7" s="4" t="n">
        <f aca="false">Assumptions!F14</f>
        <v>12.5</v>
      </c>
      <c r="G7" s="4" t="n">
        <f aca="false">Assumptions!G14</f>
        <v>12.5</v>
      </c>
      <c r="H7" s="4" t="n">
        <f aca="false">Assumptions!H14</f>
        <v>12.5</v>
      </c>
      <c r="I7" s="4" t="n">
        <f aca="false">Assumptions!I14</f>
        <v>12.5</v>
      </c>
      <c r="J7" s="4" t="n">
        <f aca="false">Assumptions!J14</f>
        <v>12.5</v>
      </c>
      <c r="K7" s="4" t="n">
        <f aca="false">Assumptions!K14</f>
        <v>12.5</v>
      </c>
      <c r="L7" s="4" t="n">
        <f aca="false">Assumptions!L14</f>
        <v>12.5</v>
      </c>
    </row>
    <row r="8" customFormat="false" ht="15" hidden="false" customHeight="false" outlineLevel="0" collapsed="false">
      <c r="A8" s="0" t="s">
        <v>44</v>
      </c>
      <c r="C8" s="0" t="n">
        <f aca="false">C6*C7/100</f>
        <v>2395.036728</v>
      </c>
      <c r="D8" s="0" t="n">
        <f aca="false">D6*D7/100</f>
        <v>2324.782317312</v>
      </c>
      <c r="E8" s="0" t="n">
        <f aca="false">E6*E7/100</f>
        <v>2180.31370187904</v>
      </c>
      <c r="F8" s="0" t="n">
        <f aca="false">F6*F7/100</f>
        <v>2117.42003740176</v>
      </c>
      <c r="G8" s="0" t="n">
        <f aca="false">G6*G7/100</f>
        <v>2149.18133796279</v>
      </c>
      <c r="H8" s="0" t="n">
        <f aca="false">H6*H7/100</f>
        <v>2192.16496472204</v>
      </c>
      <c r="I8" s="0" t="n">
        <f aca="false">I6*I7/100</f>
        <v>2236.00826401648</v>
      </c>
      <c r="J8" s="0" t="n">
        <f aca="false">J6*J7/100</f>
        <v>2280.72842929681</v>
      </c>
      <c r="K8" s="0" t="n">
        <f aca="false">K6*K7/100</f>
        <v>2326.34299788275</v>
      </c>
      <c r="L8" s="0" t="n">
        <f aca="false">L6*L7/100</f>
        <v>2372.8698578404</v>
      </c>
    </row>
    <row r="9" customFormat="false" ht="15" hidden="false" customHeight="false" outlineLevel="0" collapsed="false">
      <c r="A9" s="0" t="s">
        <v>100</v>
      </c>
      <c r="C9" s="4" t="n">
        <f aca="false">Assumptions!C15</f>
        <v>3.3</v>
      </c>
      <c r="D9" s="4" t="n">
        <f aca="false">Assumptions!D15</f>
        <v>3.2</v>
      </c>
      <c r="E9" s="4" t="n">
        <f aca="false">Assumptions!E15</f>
        <v>3.1</v>
      </c>
      <c r="F9" s="4" t="n">
        <f aca="false">Assumptions!F15</f>
        <v>3</v>
      </c>
      <c r="G9" s="4" t="n">
        <f aca="false">Assumptions!G15</f>
        <v>2.9</v>
      </c>
      <c r="H9" s="4" t="n">
        <f aca="false">Assumptions!H15</f>
        <v>2.8</v>
      </c>
      <c r="I9" s="4" t="n">
        <f aca="false">Assumptions!I15</f>
        <v>2.7</v>
      </c>
      <c r="J9" s="4" t="n">
        <f aca="false">Assumptions!J15</f>
        <v>2.6</v>
      </c>
      <c r="K9" s="4" t="n">
        <f aca="false">Assumptions!K15</f>
        <v>2.5</v>
      </c>
      <c r="L9" s="4" t="n">
        <f aca="false">Assumptions!L15</f>
        <v>2.5</v>
      </c>
    </row>
    <row r="10" customFormat="false" ht="15" hidden="false" customHeight="false" outlineLevel="0" collapsed="false">
      <c r="A10" s="0" t="s">
        <v>115</v>
      </c>
      <c r="C10" s="0" t="n">
        <f aca="false">-C6*C9/100</f>
        <v>-526.90808016</v>
      </c>
      <c r="D10" s="0" t="n">
        <f aca="false">-D6*D9/100</f>
        <v>-531.3788153856</v>
      </c>
      <c r="E10" s="0" t="n">
        <f aca="false">-E6*E9/100</f>
        <v>-519.920959678848</v>
      </c>
      <c r="F10" s="0" t="n">
        <f aca="false">-F6*F9/100</f>
        <v>-508.180808976423</v>
      </c>
      <c r="G10" s="0" t="n">
        <f aca="false">-G6*G9/100</f>
        <v>-498.610070407366</v>
      </c>
      <c r="H10" s="0" t="n">
        <f aca="false">-H6*H9/100</f>
        <v>-491.044952097737</v>
      </c>
      <c r="I10" s="0" t="n">
        <f aca="false">-I6*I9/100</f>
        <v>-482.97778502756</v>
      </c>
      <c r="J10" s="0" t="n">
        <f aca="false">-J6*J9/100</f>
        <v>-474.391513293737</v>
      </c>
      <c r="K10" s="0" t="n">
        <f aca="false">-K6*K9/100</f>
        <v>-465.26859957655</v>
      </c>
      <c r="L10" s="0" t="n">
        <f aca="false">-L6*L9/100</f>
        <v>-474.573971568081</v>
      </c>
    </row>
    <row r="11" customFormat="false" ht="15" hidden="false" customHeight="false" outlineLevel="0" collapsed="false">
      <c r="A11" s="0" t="s">
        <v>116</v>
      </c>
      <c r="C11" s="0" t="n">
        <f aca="false">C8+C10+C24</f>
        <v>1708.45953264</v>
      </c>
      <c r="D11" s="0" t="n">
        <f aca="false">D8+D10+D24</f>
        <v>1627.3476221184</v>
      </c>
      <c r="E11" s="0" t="n">
        <f aca="false">E8+E10+E24</f>
        <v>1492.67630359411</v>
      </c>
      <c r="F11" s="0" t="n">
        <f aca="false">F8+F10+F24</f>
        <v>1439.8456254332</v>
      </c>
      <c r="G11" s="0" t="n">
        <f aca="false">G8+G10+G24</f>
        <v>1478.6367605184</v>
      </c>
      <c r="H11" s="0" t="n">
        <f aca="false">H8+H10+H24</f>
        <v>1525.74681544654</v>
      </c>
      <c r="I11" s="0" t="n">
        <f aca="false">I8+I10+I24</f>
        <v>1574.1498178676</v>
      </c>
      <c r="J11" s="0" t="n">
        <f aca="false">J8+J10+J24</f>
        <v>1623.87864165933</v>
      </c>
      <c r="K11" s="0" t="n">
        <f aca="false">K8+K10+K24</f>
        <v>1674.96695847558</v>
      </c>
      <c r="L11" s="0" t="n">
        <f aca="false">L8+L10+L24</f>
        <v>1708.46629764509</v>
      </c>
    </row>
    <row r="12" customFormat="false" ht="15" hidden="false" customHeight="false" outlineLevel="0" collapsed="false">
      <c r="A12" s="0" t="s">
        <v>117</v>
      </c>
      <c r="C12" s="4" t="n">
        <f aca="false">-C6*Assumptions!C17/100</f>
        <v>-590.77572624</v>
      </c>
      <c r="D12" s="4" t="n">
        <f aca="false">-D6*Assumptions!D17/100</f>
        <v>-614.4067552896</v>
      </c>
      <c r="E12" s="4" t="n">
        <f aca="false">-E6*Assumptions!E17/100</f>
        <v>-620.550822842496</v>
      </c>
      <c r="F12" s="4" t="n">
        <f aca="false">-F6*Assumptions!F17/100</f>
        <v>-626.756331070921</v>
      </c>
      <c r="G12" s="4" t="n">
        <f aca="false">-G6*Assumptions!G17/100</f>
        <v>-636.157676036985</v>
      </c>
      <c r="H12" s="4" t="n">
        <f aca="false">-H6*Assumptions!H17/100</f>
        <v>-648.880829557725</v>
      </c>
      <c r="I12" s="4" t="n">
        <f aca="false">-I6*Assumptions!I17/100</f>
        <v>-661.858446148879</v>
      </c>
      <c r="J12" s="4" t="n">
        <f aca="false">-J6*Assumptions!J17/100</f>
        <v>-675.095615071857</v>
      </c>
      <c r="K12" s="4" t="n">
        <f aca="false">-K6*Assumptions!K17/100</f>
        <v>-688.597527373294</v>
      </c>
      <c r="L12" s="4" t="n">
        <f aca="false">-L6*Assumptions!L17/100</f>
        <v>-702.36947792076</v>
      </c>
    </row>
    <row r="13" customFormat="false" ht="15" hidden="false" customHeight="false" outlineLevel="0" collapsed="false">
      <c r="A13" s="0" t="s">
        <v>118</v>
      </c>
      <c r="C13" s="0" t="n">
        <f aca="false">C11+C12</f>
        <v>1117.6838064</v>
      </c>
      <c r="D13" s="0" t="n">
        <f aca="false">D11+D12</f>
        <v>1012.9408668288</v>
      </c>
      <c r="E13" s="0" t="n">
        <f aca="false">E11+E12</f>
        <v>872.125480751616</v>
      </c>
      <c r="F13" s="0" t="n">
        <f aca="false">F11+F12</f>
        <v>813.089294362276</v>
      </c>
      <c r="G13" s="0" t="n">
        <f aca="false">G11+G12</f>
        <v>842.479084481412</v>
      </c>
      <c r="H13" s="0" t="n">
        <f aca="false">H11+H12</f>
        <v>876.865985888817</v>
      </c>
      <c r="I13" s="0" t="n">
        <f aca="false">I11+I12</f>
        <v>912.291371718725</v>
      </c>
      <c r="J13" s="0" t="n">
        <f aca="false">J11+J12</f>
        <v>948.783026587474</v>
      </c>
      <c r="K13" s="0" t="n">
        <f aca="false">K11+K12</f>
        <v>986.369431102286</v>
      </c>
      <c r="L13" s="0" t="n">
        <f aca="false">L11+L12</f>
        <v>1006.09681972433</v>
      </c>
    </row>
    <row r="14" customFormat="false" ht="15" hidden="false" customHeight="false" outlineLevel="0" collapsed="false">
      <c r="A14" s="0" t="s">
        <v>104</v>
      </c>
      <c r="C14" s="4" t="n">
        <f aca="false">Assumptions!C19</f>
        <v>32</v>
      </c>
      <c r="D14" s="4" t="n">
        <f aca="false">Assumptions!D19</f>
        <v>32</v>
      </c>
      <c r="E14" s="4" t="n">
        <f aca="false">Assumptions!E19</f>
        <v>32</v>
      </c>
      <c r="F14" s="4" t="n">
        <f aca="false">Assumptions!F19</f>
        <v>32</v>
      </c>
      <c r="G14" s="4" t="n">
        <f aca="false">Assumptions!G19</f>
        <v>32</v>
      </c>
      <c r="H14" s="4" t="n">
        <f aca="false">Assumptions!H19</f>
        <v>32</v>
      </c>
      <c r="I14" s="4" t="n">
        <f aca="false">Assumptions!I19</f>
        <v>32</v>
      </c>
      <c r="J14" s="4" t="n">
        <f aca="false">Assumptions!J19</f>
        <v>32</v>
      </c>
      <c r="K14" s="4" t="n">
        <f aca="false">Assumptions!K19</f>
        <v>32</v>
      </c>
      <c r="L14" s="4" t="n">
        <f aca="false">Assumptions!L19</f>
        <v>32</v>
      </c>
    </row>
    <row r="15" customFormat="false" ht="15" hidden="false" customHeight="false" outlineLevel="0" collapsed="false">
      <c r="A15" s="0" t="s">
        <v>119</v>
      </c>
      <c r="C15" s="0" t="n">
        <f aca="false">C13-MAX(0,C13)*C14/100</f>
        <v>760.024988352</v>
      </c>
      <c r="D15" s="0" t="n">
        <f aca="false">D13-MAX(0,D13)*D14/100</f>
        <v>688.799789443584</v>
      </c>
      <c r="E15" s="0" t="n">
        <f aca="false">E13-MAX(0,E13)*E14/100</f>
        <v>593.045326911099</v>
      </c>
      <c r="F15" s="0" t="n">
        <f aca="false">F13-MAX(0,F13)*F14/100</f>
        <v>552.900720166348</v>
      </c>
      <c r="G15" s="0" t="n">
        <f aca="false">G13-MAX(0,G13)*G14/100</f>
        <v>572.88577744736</v>
      </c>
      <c r="H15" s="0" t="n">
        <f aca="false">H13-MAX(0,H13)*H14/100</f>
        <v>596.268870404396</v>
      </c>
      <c r="I15" s="0" t="n">
        <f aca="false">I13-MAX(0,I13)*I14/100</f>
        <v>620.358132768733</v>
      </c>
      <c r="J15" s="0" t="n">
        <f aca="false">J13-MAX(0,J13)*J14/100</f>
        <v>645.172458079483</v>
      </c>
      <c r="K15" s="0" t="n">
        <f aca="false">K13-MAX(0,K13)*K14/100</f>
        <v>670.731213149554</v>
      </c>
      <c r="L15" s="0" t="n">
        <f aca="false">L13-MAX(0,L13)*L14/100</f>
        <v>684.145837412546</v>
      </c>
    </row>
    <row r="16" customFormat="false" ht="15" hidden="false" customHeight="false" outlineLevel="0" collapsed="false">
      <c r="A16" s="0" t="s">
        <v>120</v>
      </c>
      <c r="C16" s="0" t="n">
        <f aca="false">-C12</f>
        <v>590.77572624</v>
      </c>
      <c r="D16" s="0" t="n">
        <f aca="false">-D12</f>
        <v>614.4067552896</v>
      </c>
      <c r="E16" s="0" t="n">
        <f aca="false">-E12</f>
        <v>620.550822842496</v>
      </c>
      <c r="F16" s="0" t="n">
        <f aca="false">-F12</f>
        <v>626.756331070921</v>
      </c>
      <c r="G16" s="0" t="n">
        <f aca="false">-G12</f>
        <v>636.157676036985</v>
      </c>
      <c r="H16" s="0" t="n">
        <f aca="false">-H12</f>
        <v>648.880829557725</v>
      </c>
      <c r="I16" s="0" t="n">
        <f aca="false">-I12</f>
        <v>661.858446148879</v>
      </c>
      <c r="J16" s="0" t="n">
        <f aca="false">-J12</f>
        <v>675.095615071857</v>
      </c>
      <c r="K16" s="0" t="n">
        <f aca="false">-K12</f>
        <v>688.597527373294</v>
      </c>
      <c r="L16" s="0" t="n">
        <f aca="false">-L12</f>
        <v>702.36947792076</v>
      </c>
    </row>
    <row r="17" customFormat="false" ht="15" hidden="false" customHeight="false" outlineLevel="0" collapsed="false">
      <c r="A17" s="0" t="s">
        <v>121</v>
      </c>
      <c r="C17" s="4" t="n">
        <f aca="false">-C6*Assumptions!C18/100</f>
        <v>-958.0146912</v>
      </c>
      <c r="D17" s="4" t="n">
        <f aca="false">-D6*Assumptions!D18/100</f>
        <v>-913.307338944</v>
      </c>
      <c r="E17" s="4" t="n">
        <f aca="false">-E6*Assumptions!E18/100</f>
        <v>-838.5821930304</v>
      </c>
      <c r="F17" s="4" t="n">
        <f aca="false">-F6*Assumptions!F18/100</f>
        <v>-762.271213464634</v>
      </c>
      <c r="G17" s="4" t="n">
        <f aca="false">-G6*Assumptions!G18/100</f>
        <v>-773.705281666603</v>
      </c>
      <c r="H17" s="4" t="n">
        <f aca="false">-H6*Assumptions!H18/100</f>
        <v>-789.179387299935</v>
      </c>
      <c r="I17" s="4" t="n">
        <f aca="false">-I6*Assumptions!I18/100</f>
        <v>-804.962975045934</v>
      </c>
      <c r="J17" s="4" t="n">
        <f aca="false">-J6*Assumptions!J18/100</f>
        <v>-821.062234546853</v>
      </c>
      <c r="K17" s="4" t="n">
        <f aca="false">-K6*Assumptions!K18/100</f>
        <v>-837.48347923779</v>
      </c>
      <c r="L17" s="4" t="n">
        <f aca="false">-L6*Assumptions!L18/100</f>
        <v>-854.233148822546</v>
      </c>
    </row>
    <row r="18" customFormat="false" ht="15" hidden="false" customHeight="false" outlineLevel="0" collapsed="false">
      <c r="A18" s="0" t="s">
        <v>122</v>
      </c>
      <c r="C18" s="4" t="n">
        <f aca="false">(C6-B6)*Assumptions!$B$23/100</f>
        <v>-256.611078</v>
      </c>
      <c r="D18" s="4" t="n">
        <f aca="false">(D6-C6)*Assumptions!$B$23/100</f>
        <v>-95.8014691200002</v>
      </c>
      <c r="E18" s="4" t="n">
        <f aca="false">(E6-D6)*Assumptions!$B$23/100</f>
        <v>-24.9083819712003</v>
      </c>
      <c r="F18" s="4" t="n">
        <f aca="false">(F6-E6)*Assumptions!$B$23/100</f>
        <v>-25.1574657909119</v>
      </c>
      <c r="G18" s="4" t="n">
        <f aca="false">(G6-F6)*Assumptions!$B$23/100</f>
        <v>-38.1135606732312</v>
      </c>
      <c r="H18" s="4" t="n">
        <f aca="false">(H6-G6)*Assumptions!$B$23/100</f>
        <v>-51.5803521111071</v>
      </c>
      <c r="I18" s="4" t="n">
        <f aca="false">(I6-H6)*Assumptions!$B$23/100</f>
        <v>-52.611959153329</v>
      </c>
      <c r="J18" s="4" t="n">
        <f aca="false">(J6-I6)*Assumptions!$B$23/100</f>
        <v>-53.6641983363956</v>
      </c>
      <c r="K18" s="4" t="n">
        <f aca="false">(K6-J6)*Assumptions!$B$23/100</f>
        <v>-54.7374823031238</v>
      </c>
      <c r="L18" s="4" t="n">
        <f aca="false">(L6-K6)*Assumptions!$B$23/100</f>
        <v>-55.8322319491863</v>
      </c>
    </row>
    <row r="19" customFormat="false" ht="15" hidden="false" customHeight="false" outlineLevel="0" collapsed="false">
      <c r="A19" s="0" t="s">
        <v>123</v>
      </c>
      <c r="C19" s="0" t="n">
        <f aca="false">C15+C16+C17+C18</f>
        <v>136.174945392</v>
      </c>
      <c r="D19" s="0" t="n">
        <f aca="false">D15+D16+D17+D18</f>
        <v>294.097736669184</v>
      </c>
      <c r="E19" s="0" t="n">
        <f aca="false">E15+E16+E17+E18</f>
        <v>350.105574751994</v>
      </c>
      <c r="F19" s="0" t="n">
        <f aca="false">F15+F16+F17+F18</f>
        <v>392.228371981723</v>
      </c>
      <c r="G19" s="0" t="n">
        <f aca="false">G15+G16+G17+G18</f>
        <v>397.224611144511</v>
      </c>
      <c r="H19" s="0" t="n">
        <f aca="false">H15+H16+H17+H18</f>
        <v>404.389960551078</v>
      </c>
      <c r="I19" s="0" t="n">
        <f aca="false">I15+I16+I17+I18</f>
        <v>424.641644718349</v>
      </c>
      <c r="J19" s="0" t="n">
        <f aca="false">J15+J16+J17+J18</f>
        <v>445.541640268091</v>
      </c>
      <c r="K19" s="0" t="n">
        <f aca="false">K15+K16+K17+K18</f>
        <v>467.107778981934</v>
      </c>
      <c r="L19" s="0" t="n">
        <f aca="false">L15+L16+L17+L18</f>
        <v>476.449934561573</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124.360680723288</v>
      </c>
      <c r="D21" s="0" t="n">
        <f aca="false">D19*D20</f>
        <v>245.280737823802</v>
      </c>
      <c r="E21" s="0" t="n">
        <f aca="false">E19*E20</f>
        <v>266.659259394068</v>
      </c>
      <c r="F21" s="0" t="n">
        <f aca="false">F19*F20</f>
        <v>272.823972725425</v>
      </c>
      <c r="G21" s="0" t="n">
        <f aca="false">G19*G20</f>
        <v>252.328062329823</v>
      </c>
      <c r="H21" s="0" t="n">
        <f aca="false">H19*H20</f>
        <v>234.593324661448</v>
      </c>
      <c r="I21" s="0" t="n">
        <f aca="false">I19*I20</f>
        <v>224.969554893256</v>
      </c>
      <c r="J21" s="0" t="n">
        <f aca="false">J19*J20</f>
        <v>215.563559344289</v>
      </c>
      <c r="K21" s="0" t="n">
        <f aca="false">K19*K20</f>
        <v>206.390654033342</v>
      </c>
      <c r="L21" s="0" t="n">
        <f aca="false">L19*L20</f>
        <v>192.254307866675</v>
      </c>
    </row>
    <row r="23" customFormat="false" ht="15" hidden="false" customHeight="false" outlineLevel="0" collapsed="false">
      <c r="A23" s="0" t="s">
        <v>101</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126</v>
      </c>
      <c r="C24" s="0" t="n">
        <f aca="false">-C6*C23/100</f>
        <v>-159.6691152</v>
      </c>
      <c r="D24" s="0" t="n">
        <f aca="false">-D6*D23/100</f>
        <v>-166.055879808</v>
      </c>
      <c r="E24" s="0" t="n">
        <f aca="false">-E6*E23/100</f>
        <v>-167.71643860608</v>
      </c>
      <c r="F24" s="0" t="n">
        <f aca="false">-F6*F23/100</f>
        <v>-169.393602992141</v>
      </c>
      <c r="G24" s="0" t="n">
        <f aca="false">-G6*G23/100</f>
        <v>-171.934507037023</v>
      </c>
      <c r="H24" s="0" t="n">
        <f aca="false">-H6*H23/100</f>
        <v>-175.373197177763</v>
      </c>
      <c r="I24" s="0" t="n">
        <f aca="false">-I6*I23/100</f>
        <v>-178.880661121319</v>
      </c>
      <c r="J24" s="0" t="n">
        <f aca="false">-J6*J23/100</f>
        <v>-182.458274343745</v>
      </c>
      <c r="K24" s="0" t="n">
        <f aca="false">-K6*K23/100</f>
        <v>-186.10743983062</v>
      </c>
      <c r="L24" s="0" t="n">
        <f aca="false">-L6*L23/100</f>
        <v>-189.829588627232</v>
      </c>
    </row>
    <row r="26" customFormat="false" ht="15" hidden="false" customHeight="false" outlineLevel="0" collapsed="false">
      <c r="A26" s="2" t="s">
        <v>127</v>
      </c>
    </row>
    <row r="27" customFormat="false" ht="15" hidden="false" customHeight="false" outlineLevel="0" collapsed="false">
      <c r="A27" s="0" t="s">
        <v>105</v>
      </c>
      <c r="B27" s="4" t="n">
        <f aca="false">Assumptions!$B$20</f>
        <v>9.5</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15</v>
      </c>
    </row>
    <row r="30" customFormat="false" ht="15" hidden="false" customHeight="false" outlineLevel="0" collapsed="false">
      <c r="A30" s="0" t="s">
        <v>128</v>
      </c>
      <c r="B30" s="0" t="n">
        <f aca="false">SUM(C21:L21)</f>
        <v>2235.22411379541</v>
      </c>
    </row>
    <row r="31" customFormat="false" ht="15" hidden="false" customHeight="false" outlineLevel="0" collapsed="false">
      <c r="A31" s="0" t="s">
        <v>129</v>
      </c>
      <c r="B31" s="0" t="n">
        <f aca="false">L19</f>
        <v>476.449934561573</v>
      </c>
    </row>
    <row r="32" customFormat="false" ht="15" hidden="false" customHeight="false" outlineLevel="0" collapsed="false">
      <c r="A32" s="0" t="s">
        <v>130</v>
      </c>
      <c r="B32" s="0" t="n">
        <f aca="false">IF(B27&gt;B28,B31*(1+B28/100)/((B27-B28)/100),B31*B29)</f>
        <v>6479.7191100374</v>
      </c>
    </row>
    <row r="33" customFormat="false" ht="15" hidden="false" customHeight="false" outlineLevel="0" collapsed="false">
      <c r="A33" s="0" t="s">
        <v>131</v>
      </c>
      <c r="B33" s="0" t="n">
        <f aca="false">B31*B29</f>
        <v>7146.7490184236</v>
      </c>
    </row>
    <row r="34" customFormat="false" ht="15" hidden="false" customHeight="false" outlineLevel="0" collapsed="false">
      <c r="A34" s="0" t="s">
        <v>132</v>
      </c>
      <c r="B34" s="0" t="n">
        <f aca="false">MAX(0,MIN(B32,B33))</f>
        <v>6479.7191100374</v>
      </c>
    </row>
    <row r="35" customFormat="false" ht="15" hidden="false" customHeight="false" outlineLevel="0" collapsed="false">
      <c r="A35" s="0" t="s">
        <v>133</v>
      </c>
      <c r="B35" s="0" t="n">
        <f aca="false">B34/(1+B27/100)^L4</f>
        <v>2614.65858698678</v>
      </c>
    </row>
    <row r="36" customFormat="false" ht="15" hidden="false" customHeight="false" outlineLevel="0" collapsed="false">
      <c r="A36" s="0" t="s">
        <v>134</v>
      </c>
      <c r="B36" s="0" t="n">
        <f aca="false">B30+B35</f>
        <v>4849.88270078219</v>
      </c>
    </row>
    <row r="37" customFormat="false" ht="15" hidden="false" customHeight="false" outlineLevel="0" collapsed="false">
      <c r="A37" s="0" t="s">
        <v>135</v>
      </c>
      <c r="B37" s="0" t="n">
        <f aca="false">B36+Assumptions!$B$5-Assumptions!$B$4</f>
        <v>20017.9827007822</v>
      </c>
    </row>
    <row r="38" customFormat="false" ht="15" hidden="false" customHeight="false" outlineLevel="0" collapsed="false">
      <c r="A38" s="0" t="s">
        <v>136</v>
      </c>
      <c r="B38" s="0" t="n">
        <f aca="false">B37/Assumptions!$B$3*Assumptions!$B$10</f>
        <v>3.83264766572342</v>
      </c>
    </row>
    <row r="39" customFormat="false" ht="15" hidden="false" customHeight="false" outlineLevel="0" collapsed="false">
      <c r="A39" s="0" t="s">
        <v>137</v>
      </c>
      <c r="B39" s="4" t="n">
        <f aca="false">B38/Assumptions!$B$2-1</f>
        <v>-0.542097053079639</v>
      </c>
    </row>
    <row r="41" customFormat="false" ht="15" hidden="false" customHeight="false" outlineLevel="0" collapsed="false">
      <c r="A41" s="0" t="s">
        <v>138</v>
      </c>
      <c r="B41" s="0" t="n">
        <f aca="false">SUMPRODUCT(-C10:L10/(1+$B$27/100)^C4:L4)</f>
        <v>3157.91432518874</v>
      </c>
    </row>
    <row r="42" customFormat="false" ht="15" hidden="false" customHeight="false" outlineLevel="0" collapsed="false">
      <c r="A42" s="0" t="s">
        <v>139</v>
      </c>
      <c r="B42" s="0" t="n">
        <f aca="false">IF(B27&gt;B28,-L10*(1+B28/100)/((B27-B28)/100),-L10*20)/(1+B27/100)^L4</f>
        <v>2604.36369051603</v>
      </c>
    </row>
    <row r="43" customFormat="false" ht="15" hidden="false" customHeight="false" outlineLevel="0" collapsed="false">
      <c r="A43" s="0" t="s">
        <v>140</v>
      </c>
      <c r="B43" s="0" t="n">
        <f aca="false">(B37+B41+B42)/Assumptions!$B$3*Assumptions!$B$10</f>
        <v>4.93589476690497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3738.29948656004</v>
      </c>
    </row>
    <row r="47" customFormat="false" ht="15" hidden="false" customHeight="false" outlineLevel="0" collapsed="false">
      <c r="A47" s="0" t="s">
        <v>142</v>
      </c>
      <c r="B47" s="0" t="n">
        <f aca="false">(SUMPRODUCT(C19:L19/(1+B45/100)^C4:L4)+B46/(1+B45/100)^L4+Assumptions!$B$5-Assumptions!$B$4)/Assumptions!$B$3*Assumptions!$B$10</f>
        <v>3.41097139650693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17</v>
      </c>
      <c r="D5" s="4" t="n">
        <f aca="false">Assumptions!D27</f>
        <v>13</v>
      </c>
      <c r="E5" s="4" t="n">
        <f aca="false">Assumptions!E27</f>
        <v>10</v>
      </c>
      <c r="F5" s="4" t="n">
        <f aca="false">Assumptions!F27</f>
        <v>8</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14256.171</v>
      </c>
      <c r="C6" s="0" t="n">
        <f aca="false">B6*(1+C5/100)</f>
        <v>16679.72007</v>
      </c>
      <c r="D6" s="0" t="n">
        <f aca="false">C6*(1+D5/100)</f>
        <v>18848.0836791</v>
      </c>
      <c r="E6" s="0" t="n">
        <f aca="false">D6*(1+E5/100)</f>
        <v>20732.89204701</v>
      </c>
      <c r="F6" s="0" t="n">
        <f aca="false">E6*(1+F5/100)</f>
        <v>22391.5234107708</v>
      </c>
      <c r="G6" s="0" t="n">
        <f aca="false">F6*(1+G5/100)</f>
        <v>23958.9300495248</v>
      </c>
      <c r="H6" s="0" t="n">
        <f aca="false">G6*(1+H5/100)</f>
        <v>25396.4658524962</v>
      </c>
      <c r="I6" s="0" t="n">
        <f aca="false">H6*(1+I5/100)</f>
        <v>26666.2891451211</v>
      </c>
      <c r="J6" s="0" t="n">
        <f aca="false">I6*(1+J5/100)</f>
        <v>27732.9407109259</v>
      </c>
      <c r="K6" s="0" t="n">
        <f aca="false">J6*(1+K5/100)</f>
        <v>28703.5936358083</v>
      </c>
      <c r="L6" s="0" t="n">
        <f aca="false">K6*(1+L5/100)</f>
        <v>29564.7014448826</v>
      </c>
    </row>
    <row r="7" customFormat="false" ht="15" hidden="false" customHeight="false" outlineLevel="0" collapsed="false">
      <c r="A7" s="0" t="s">
        <v>99</v>
      </c>
      <c r="C7" s="4" t="n">
        <f aca="false">Assumptions!C28</f>
        <v>15.5</v>
      </c>
      <c r="D7" s="4" t="n">
        <f aca="false">Assumptions!D28</f>
        <v>16</v>
      </c>
      <c r="E7" s="4" t="n">
        <f aca="false">Assumptions!E28</f>
        <v>16.5</v>
      </c>
      <c r="F7" s="4" t="n">
        <f aca="false">Assumptions!F28</f>
        <v>17</v>
      </c>
      <c r="G7" s="4" t="n">
        <f aca="false">Assumptions!G28</f>
        <v>17.5</v>
      </c>
      <c r="H7" s="4" t="n">
        <f aca="false">Assumptions!H28</f>
        <v>18</v>
      </c>
      <c r="I7" s="4" t="n">
        <f aca="false">Assumptions!I28</f>
        <v>18.5</v>
      </c>
      <c r="J7" s="4" t="n">
        <f aca="false">Assumptions!J28</f>
        <v>19</v>
      </c>
      <c r="K7" s="4" t="n">
        <f aca="false">Assumptions!K28</f>
        <v>19</v>
      </c>
      <c r="L7" s="4" t="n">
        <f aca="false">Assumptions!L28</f>
        <v>19</v>
      </c>
    </row>
    <row r="8" customFormat="false" ht="15" hidden="false" customHeight="false" outlineLevel="0" collapsed="false">
      <c r="A8" s="0" t="s">
        <v>44</v>
      </c>
      <c r="C8" s="0" t="n">
        <f aca="false">C6*C7/100</f>
        <v>2585.35661085</v>
      </c>
      <c r="D8" s="0" t="n">
        <f aca="false">D6*D7/100</f>
        <v>3015.693388656</v>
      </c>
      <c r="E8" s="0" t="n">
        <f aca="false">E6*E7/100</f>
        <v>3420.92718775665</v>
      </c>
      <c r="F8" s="0" t="n">
        <f aca="false">F6*F7/100</f>
        <v>3806.55897983104</v>
      </c>
      <c r="G8" s="0" t="n">
        <f aca="false">G6*G7/100</f>
        <v>4192.81275866683</v>
      </c>
      <c r="H8" s="0" t="n">
        <f aca="false">H6*H7/100</f>
        <v>4571.36385344932</v>
      </c>
      <c r="I8" s="0" t="n">
        <f aca="false">I6*I7/100</f>
        <v>4933.2634918474</v>
      </c>
      <c r="J8" s="0" t="n">
        <f aca="false">J6*J7/100</f>
        <v>5269.25873507592</v>
      </c>
      <c r="K8" s="0" t="n">
        <f aca="false">K6*K7/100</f>
        <v>5453.68279080358</v>
      </c>
      <c r="L8" s="0" t="n">
        <f aca="false">L6*L7/100</f>
        <v>5617.29327452769</v>
      </c>
    </row>
    <row r="9" customFormat="false" ht="15" hidden="false" customHeight="false" outlineLevel="0" collapsed="false">
      <c r="A9" s="0" t="s">
        <v>100</v>
      </c>
      <c r="C9" s="4" t="n">
        <f aca="false">Assumptions!C29</f>
        <v>2.8</v>
      </c>
      <c r="D9" s="4" t="n">
        <f aca="false">Assumptions!D29</f>
        <v>2.7</v>
      </c>
      <c r="E9" s="4" t="n">
        <f aca="false">Assumptions!E29</f>
        <v>2.6</v>
      </c>
      <c r="F9" s="4" t="n">
        <f aca="false">Assumptions!F29</f>
        <v>2.5</v>
      </c>
      <c r="G9" s="4" t="n">
        <f aca="false">Assumptions!G29</f>
        <v>2.4</v>
      </c>
      <c r="H9" s="4" t="n">
        <f aca="false">Assumptions!H29</f>
        <v>2.3</v>
      </c>
      <c r="I9" s="4" t="n">
        <f aca="false">Assumptions!I29</f>
        <v>2.2</v>
      </c>
      <c r="J9" s="4" t="n">
        <f aca="false">Assumptions!J29</f>
        <v>2.1</v>
      </c>
      <c r="K9" s="4" t="n">
        <f aca="false">Assumptions!K29</f>
        <v>2</v>
      </c>
      <c r="L9" s="4" t="n">
        <f aca="false">Assumptions!L29</f>
        <v>2</v>
      </c>
    </row>
    <row r="10" customFormat="false" ht="15" hidden="false" customHeight="false" outlineLevel="0" collapsed="false">
      <c r="A10" s="0" t="s">
        <v>115</v>
      </c>
      <c r="C10" s="0" t="n">
        <f aca="false">-C6*C9/100</f>
        <v>-467.03216196</v>
      </c>
      <c r="D10" s="0" t="n">
        <f aca="false">-D6*D9/100</f>
        <v>-508.8982593357</v>
      </c>
      <c r="E10" s="0" t="n">
        <f aca="false">-E6*E9/100</f>
        <v>-539.05519322226</v>
      </c>
      <c r="F10" s="0" t="n">
        <f aca="false">-F6*F9/100</f>
        <v>-559.78808526927</v>
      </c>
      <c r="G10" s="0" t="n">
        <f aca="false">-G6*G9/100</f>
        <v>-575.014321188594</v>
      </c>
      <c r="H10" s="0" t="n">
        <f aca="false">-H6*H9/100</f>
        <v>-584.118714607414</v>
      </c>
      <c r="I10" s="0" t="n">
        <f aca="false">-I6*I9/100</f>
        <v>-586.658361192663</v>
      </c>
      <c r="J10" s="0" t="n">
        <f aca="false">-J6*J9/100</f>
        <v>-582.391754929444</v>
      </c>
      <c r="K10" s="0" t="n">
        <f aca="false">-K6*K9/100</f>
        <v>-574.071872716166</v>
      </c>
      <c r="L10" s="0" t="n">
        <f aca="false">-L6*L9/100</f>
        <v>-591.294028897651</v>
      </c>
    </row>
    <row r="11" customFormat="false" ht="15" hidden="false" customHeight="false" outlineLevel="0" collapsed="false">
      <c r="A11" s="0" t="s">
        <v>116</v>
      </c>
      <c r="C11" s="0" t="n">
        <f aca="false">C8+C10+C24</f>
        <v>1951.52724819</v>
      </c>
      <c r="D11" s="0" t="n">
        <f aca="false">D8+D10+D24</f>
        <v>2318.3142925293</v>
      </c>
      <c r="E11" s="0" t="n">
        <f aca="false">E8+E10+E24</f>
        <v>2674.54307406429</v>
      </c>
      <c r="F11" s="0" t="n">
        <f aca="false">F8+F10+F24</f>
        <v>3022.85566045406</v>
      </c>
      <c r="G11" s="0" t="n">
        <f aca="false">G8+G10+G24</f>
        <v>3378.20913698299</v>
      </c>
      <c r="H11" s="0" t="n">
        <f aca="false">H8+H10+H24</f>
        <v>3733.28048031695</v>
      </c>
      <c r="I11" s="0" t="n">
        <f aca="false">I8+I10+I24</f>
        <v>4079.94223920352</v>
      </c>
      <c r="J11" s="0" t="n">
        <f aca="false">J8+J10+J24</f>
        <v>4409.53757303722</v>
      </c>
      <c r="K11" s="0" t="n">
        <f aca="false">K8+K10+K24</f>
        <v>4592.57498172933</v>
      </c>
      <c r="L11" s="0" t="n">
        <f aca="false">L8+L10+L24</f>
        <v>4730.35223118121</v>
      </c>
    </row>
    <row r="12" customFormat="false" ht="15" hidden="false" customHeight="false" outlineLevel="0" collapsed="false">
      <c r="A12" s="0" t="s">
        <v>117</v>
      </c>
      <c r="C12" s="4" t="n">
        <f aca="false">-C6*Assumptions!C31/100</f>
        <v>-617.14964259</v>
      </c>
      <c r="D12" s="4" t="n">
        <f aca="false">-D6*Assumptions!D31/100</f>
        <v>-697.3790961267</v>
      </c>
      <c r="E12" s="4" t="n">
        <f aca="false">-E6*Assumptions!E31/100</f>
        <v>-767.11700573937</v>
      </c>
      <c r="F12" s="4" t="n">
        <f aca="false">-F6*Assumptions!F31/100</f>
        <v>-828.48636619852</v>
      </c>
      <c r="G12" s="4" t="n">
        <f aca="false">-G6*Assumptions!G31/100</f>
        <v>-886.480411832416</v>
      </c>
      <c r="H12" s="4" t="n">
        <f aca="false">-H6*Assumptions!H31/100</f>
        <v>-939.669236542361</v>
      </c>
      <c r="I12" s="4" t="n">
        <f aca="false">-I6*Assumptions!I31/100</f>
        <v>-986.652698369479</v>
      </c>
      <c r="J12" s="4" t="n">
        <f aca="false">-J6*Assumptions!J31/100</f>
        <v>-1026.11880630426</v>
      </c>
      <c r="K12" s="4" t="n">
        <f aca="false">-K6*Assumptions!K31/100</f>
        <v>-1062.03296452491</v>
      </c>
      <c r="L12" s="4" t="n">
        <f aca="false">-L6*Assumptions!L31/100</f>
        <v>-1093.89395346065</v>
      </c>
    </row>
    <row r="13" customFormat="false" ht="15" hidden="false" customHeight="false" outlineLevel="0" collapsed="false">
      <c r="A13" s="0" t="s">
        <v>118</v>
      </c>
      <c r="C13" s="0" t="n">
        <f aca="false">C11+C12</f>
        <v>1334.3776056</v>
      </c>
      <c r="D13" s="0" t="n">
        <f aca="false">D11+D12</f>
        <v>1620.9351964026</v>
      </c>
      <c r="E13" s="0" t="n">
        <f aca="false">E11+E12</f>
        <v>1907.42606832492</v>
      </c>
      <c r="F13" s="0" t="n">
        <f aca="false">F11+F12</f>
        <v>2194.36929425554</v>
      </c>
      <c r="G13" s="0" t="n">
        <f aca="false">G11+G12</f>
        <v>2491.72872515057</v>
      </c>
      <c r="H13" s="0" t="n">
        <f aca="false">H11+H12</f>
        <v>2793.61124377459</v>
      </c>
      <c r="I13" s="0" t="n">
        <f aca="false">I11+I12</f>
        <v>3093.28954083404</v>
      </c>
      <c r="J13" s="0" t="n">
        <f aca="false">J11+J12</f>
        <v>3383.41876673296</v>
      </c>
      <c r="K13" s="0" t="n">
        <f aca="false">K11+K12</f>
        <v>3530.54201720442</v>
      </c>
      <c r="L13" s="0" t="n">
        <f aca="false">L11+L12</f>
        <v>3636.45827772056</v>
      </c>
    </row>
    <row r="14" customFormat="false" ht="15" hidden="false" customHeight="false" outlineLevel="0" collapsed="false">
      <c r="A14" s="0" t="s">
        <v>104</v>
      </c>
      <c r="C14" s="4" t="n">
        <f aca="false">Assumptions!C33</f>
        <v>30</v>
      </c>
      <c r="D14" s="4" t="n">
        <f aca="false">Assumptions!D33</f>
        <v>29</v>
      </c>
      <c r="E14" s="4" t="n">
        <f aca="false">Assumptions!E33</f>
        <v>28</v>
      </c>
      <c r="F14" s="4" t="n">
        <f aca="false">Assumptions!F33</f>
        <v>27</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119</v>
      </c>
      <c r="C15" s="0" t="n">
        <f aca="false">C13-MAX(0,C13)*C14/100</f>
        <v>934.06432392</v>
      </c>
      <c r="D15" s="0" t="n">
        <f aca="false">D13-MAX(0,D13)*D14/100</f>
        <v>1150.86398944585</v>
      </c>
      <c r="E15" s="0" t="n">
        <f aca="false">E13-MAX(0,E13)*E14/100</f>
        <v>1373.34676919394</v>
      </c>
      <c r="F15" s="0" t="n">
        <f aca="false">F13-MAX(0,F13)*F14/100</f>
        <v>1601.88958480654</v>
      </c>
      <c r="G15" s="0" t="n">
        <f aca="false">G13-MAX(0,G13)*G14/100</f>
        <v>1843.87925661143</v>
      </c>
      <c r="H15" s="0" t="n">
        <f aca="false">H13-MAX(0,H13)*H14/100</f>
        <v>2067.27232039319</v>
      </c>
      <c r="I15" s="0" t="n">
        <f aca="false">I13-MAX(0,I13)*I14/100</f>
        <v>2289.03426021719</v>
      </c>
      <c r="J15" s="0" t="n">
        <f aca="false">J13-MAX(0,J13)*J14/100</f>
        <v>2503.72988738239</v>
      </c>
      <c r="K15" s="0" t="n">
        <f aca="false">K13-MAX(0,K13)*K14/100</f>
        <v>2612.60109273127</v>
      </c>
      <c r="L15" s="0" t="n">
        <f aca="false">L13-MAX(0,L13)*L14/100</f>
        <v>2690.97912551321</v>
      </c>
    </row>
    <row r="16" customFormat="false" ht="15" hidden="false" customHeight="false" outlineLevel="0" collapsed="false">
      <c r="A16" s="0" t="s">
        <v>120</v>
      </c>
      <c r="C16" s="0" t="n">
        <f aca="false">-C12</f>
        <v>617.14964259</v>
      </c>
      <c r="D16" s="0" t="n">
        <f aca="false">-D12</f>
        <v>697.3790961267</v>
      </c>
      <c r="E16" s="0" t="n">
        <f aca="false">-E12</f>
        <v>767.11700573937</v>
      </c>
      <c r="F16" s="0" t="n">
        <f aca="false">-F12</f>
        <v>828.48636619852</v>
      </c>
      <c r="G16" s="0" t="n">
        <f aca="false">-G12</f>
        <v>886.480411832416</v>
      </c>
      <c r="H16" s="0" t="n">
        <f aca="false">-H12</f>
        <v>939.669236542361</v>
      </c>
      <c r="I16" s="0" t="n">
        <f aca="false">-I12</f>
        <v>986.652698369479</v>
      </c>
      <c r="J16" s="0" t="n">
        <f aca="false">-J12</f>
        <v>1026.11880630426</v>
      </c>
      <c r="K16" s="0" t="n">
        <f aca="false">-K12</f>
        <v>1062.03296452491</v>
      </c>
      <c r="L16" s="0" t="n">
        <f aca="false">-L12</f>
        <v>1093.89395346065</v>
      </c>
    </row>
    <row r="17" customFormat="false" ht="15" hidden="false" customHeight="false" outlineLevel="0" collapsed="false">
      <c r="A17" s="0" t="s">
        <v>121</v>
      </c>
      <c r="C17" s="4" t="n">
        <f aca="false">-C6*Assumptions!C32/100</f>
        <v>-1000.7832042</v>
      </c>
      <c r="D17" s="4" t="n">
        <f aca="false">-D6*Assumptions!D32/100</f>
        <v>-1130.885020746</v>
      </c>
      <c r="E17" s="4" t="n">
        <f aca="false">-E6*Assumptions!E32/100</f>
        <v>-1202.50773872658</v>
      </c>
      <c r="F17" s="4" t="n">
        <f aca="false">-F6*Assumptions!F32/100</f>
        <v>-1253.92531100316</v>
      </c>
      <c r="G17" s="4" t="n">
        <f aca="false">-G6*Assumptions!G32/100</f>
        <v>-1293.78222267434</v>
      </c>
      <c r="H17" s="4" t="n">
        <f aca="false">-H6*Assumptions!H32/100</f>
        <v>-1320.61622432981</v>
      </c>
      <c r="I17" s="4" t="n">
        <f aca="false">-I6*Assumptions!I32/100</f>
        <v>-1333.31445725605</v>
      </c>
      <c r="J17" s="4" t="n">
        <f aca="false">-J6*Assumptions!J32/100</f>
        <v>-1386.6470355463</v>
      </c>
      <c r="K17" s="4" t="n">
        <f aca="false">-K6*Assumptions!K32/100</f>
        <v>-1435.17968179042</v>
      </c>
      <c r="L17" s="4" t="n">
        <f aca="false">-L6*Assumptions!L32/100</f>
        <v>-1478.23507224413</v>
      </c>
    </row>
    <row r="18" customFormat="false" ht="15" hidden="false" customHeight="false" outlineLevel="0" collapsed="false">
      <c r="A18" s="0" t="s">
        <v>122</v>
      </c>
      <c r="C18" s="4" t="n">
        <f aca="false">(C6-B6)*Assumptions!$B$37/100</f>
        <v>-363.5323605</v>
      </c>
      <c r="D18" s="4" t="n">
        <f aca="false">(D6-C6)*Assumptions!$B$37/100</f>
        <v>-325.254541365</v>
      </c>
      <c r="E18" s="4" t="n">
        <f aca="false">(E6-D6)*Assumptions!$B$37/100</f>
        <v>-282.7212551865</v>
      </c>
      <c r="F18" s="4" t="n">
        <f aca="false">(F6-E6)*Assumptions!$B$37/100</f>
        <v>-248.79470456412</v>
      </c>
      <c r="G18" s="4" t="n">
        <f aca="false">(G6-F6)*Assumptions!$B$37/100</f>
        <v>-235.110995813094</v>
      </c>
      <c r="H18" s="4" t="n">
        <f aca="false">(H6-G6)*Assumptions!$B$37/100</f>
        <v>-215.630370445723</v>
      </c>
      <c r="I18" s="4" t="n">
        <f aca="false">(I6-H6)*Assumptions!$B$37/100</f>
        <v>-190.473493893722</v>
      </c>
      <c r="J18" s="4" t="n">
        <f aca="false">(J6-I6)*Assumptions!$B$37/100</f>
        <v>-159.997734870727</v>
      </c>
      <c r="K18" s="4" t="n">
        <f aca="false">(K6-J6)*Assumptions!$B$37/100</f>
        <v>-145.597938732361</v>
      </c>
      <c r="L18" s="4" t="n">
        <f aca="false">(L6-K6)*Assumptions!$B$37/100</f>
        <v>-129.166171361137</v>
      </c>
    </row>
    <row r="19" customFormat="false" ht="15" hidden="false" customHeight="false" outlineLevel="0" collapsed="false">
      <c r="A19" s="0" t="s">
        <v>123</v>
      </c>
      <c r="C19" s="0" t="n">
        <f aca="false">C15+C16+C17+C18</f>
        <v>186.89840181</v>
      </c>
      <c r="D19" s="0" t="n">
        <f aca="false">D15+D16+D17+D18</f>
        <v>392.103523461546</v>
      </c>
      <c r="E19" s="0" t="n">
        <f aca="false">E15+E16+E17+E18</f>
        <v>655.234781020232</v>
      </c>
      <c r="F19" s="0" t="n">
        <f aca="false">F15+F16+F17+F18</f>
        <v>927.655935437778</v>
      </c>
      <c r="G19" s="0" t="n">
        <f aca="false">G15+G16+G17+G18</f>
        <v>1201.46644995641</v>
      </c>
      <c r="H19" s="0" t="n">
        <f aca="false">H15+H16+H17+H18</f>
        <v>1470.69496216003</v>
      </c>
      <c r="I19" s="0" t="n">
        <f aca="false">I15+I16+I17+I18</f>
        <v>1751.8990074369</v>
      </c>
      <c r="J19" s="0" t="n">
        <f aca="false">J15+J16+J17+J18</f>
        <v>1983.20392326963</v>
      </c>
      <c r="K19" s="0" t="n">
        <f aca="false">K15+K16+K17+K18</f>
        <v>2093.8564367334</v>
      </c>
      <c r="L19" s="0" t="n">
        <f aca="false">L15+L16+L17+L18</f>
        <v>2177.4718353686</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170.683471972603</v>
      </c>
      <c r="D21" s="0" t="n">
        <f aca="false">D19*D20</f>
        <v>327.018638862031</v>
      </c>
      <c r="E21" s="0" t="n">
        <f aca="false">E19*E20</f>
        <v>499.06209451209</v>
      </c>
      <c r="F21" s="0" t="n">
        <f aca="false">F19*F20</f>
        <v>645.253621888036</v>
      </c>
      <c r="G21" s="0" t="n">
        <f aca="false">G19*G20</f>
        <v>763.204727920297</v>
      </c>
      <c r="H21" s="0" t="n">
        <f aca="false">H19*H20</f>
        <v>853.174545346767</v>
      </c>
      <c r="I21" s="0" t="n">
        <f aca="false">I19*I20</f>
        <v>928.133038346781</v>
      </c>
      <c r="J21" s="0" t="n">
        <f aca="false">J19*J20</f>
        <v>959.520857238663</v>
      </c>
      <c r="K21" s="0" t="n">
        <f aca="false">K19*K20</f>
        <v>925.166351053306</v>
      </c>
      <c r="L21" s="0" t="n">
        <f aca="false">L19*L20</f>
        <v>878.640776796806</v>
      </c>
    </row>
    <row r="23" customFormat="false" ht="15" hidden="false" customHeight="false" outlineLevel="0" collapsed="false">
      <c r="A23" s="0" t="s">
        <v>101</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126</v>
      </c>
      <c r="C24" s="0" t="n">
        <f aca="false">-C6*C23/100</f>
        <v>-166.7972007</v>
      </c>
      <c r="D24" s="0" t="n">
        <f aca="false">-D6*D23/100</f>
        <v>-188.480836791</v>
      </c>
      <c r="E24" s="0" t="n">
        <f aca="false">-E6*E23/100</f>
        <v>-207.3289204701</v>
      </c>
      <c r="F24" s="0" t="n">
        <f aca="false">-F6*F23/100</f>
        <v>-223.915234107708</v>
      </c>
      <c r="G24" s="0" t="n">
        <f aca="false">-G6*G23/100</f>
        <v>-239.589300495248</v>
      </c>
      <c r="H24" s="0" t="n">
        <f aca="false">-H6*H23/100</f>
        <v>-253.964658524962</v>
      </c>
      <c r="I24" s="0" t="n">
        <f aca="false">-I6*I23/100</f>
        <v>-266.662891451211</v>
      </c>
      <c r="J24" s="0" t="n">
        <f aca="false">-J6*J23/100</f>
        <v>-277.329407109259</v>
      </c>
      <c r="K24" s="0" t="n">
        <f aca="false">-K6*K23/100</f>
        <v>-287.035936358083</v>
      </c>
      <c r="L24" s="0" t="n">
        <f aca="false">-L6*L23/100</f>
        <v>-295.647014448826</v>
      </c>
    </row>
    <row r="26" customFormat="false" ht="15" hidden="false" customHeight="false" outlineLevel="0" collapsed="false">
      <c r="A26" s="2" t="s">
        <v>127</v>
      </c>
    </row>
    <row r="27" customFormat="false" ht="15" hidden="false" customHeight="false" outlineLevel="0" collapsed="false">
      <c r="A27" s="0" t="s">
        <v>105</v>
      </c>
      <c r="B27" s="4" t="n">
        <f aca="false">Assumptions!$B$34</f>
        <v>9.5</v>
      </c>
    </row>
    <row r="28" customFormat="false" ht="15" hidden="false" customHeight="false" outlineLevel="0" collapsed="false">
      <c r="A28" s="0" t="s">
        <v>106</v>
      </c>
      <c r="B28" s="4" t="n">
        <f aca="false">Assumptions!$B$35</f>
        <v>3</v>
      </c>
    </row>
    <row r="29" customFormat="false" ht="15" hidden="false" customHeight="false" outlineLevel="0" collapsed="false">
      <c r="A29" s="0" t="s">
        <v>107</v>
      </c>
      <c r="B29" s="4" t="n">
        <f aca="false">Assumptions!$B$36</f>
        <v>15</v>
      </c>
    </row>
    <row r="30" customFormat="false" ht="15" hidden="false" customHeight="false" outlineLevel="0" collapsed="false">
      <c r="A30" s="0" t="s">
        <v>128</v>
      </c>
      <c r="B30" s="0" t="n">
        <f aca="false">SUM(C21:L21)</f>
        <v>6949.85812393738</v>
      </c>
    </row>
    <row r="31" customFormat="false" ht="15" hidden="false" customHeight="false" outlineLevel="0" collapsed="false">
      <c r="A31" s="0" t="s">
        <v>129</v>
      </c>
      <c r="B31" s="0" t="n">
        <f aca="false">L19</f>
        <v>2177.4718353686</v>
      </c>
    </row>
    <row r="32" customFormat="false" ht="15" hidden="false" customHeight="false" outlineLevel="0" collapsed="false">
      <c r="A32" s="0" t="s">
        <v>130</v>
      </c>
      <c r="B32" s="0" t="n">
        <f aca="false">IF(B27&gt;B28,B31*(1+B28/100)/((B27-B28)/100),B31*B29)</f>
        <v>34504.5536989178</v>
      </c>
    </row>
    <row r="33" customFormat="false" ht="15" hidden="false" customHeight="false" outlineLevel="0" collapsed="false">
      <c r="A33" s="0" t="s">
        <v>131</v>
      </c>
      <c r="B33" s="0" t="n">
        <f aca="false">B31*B29</f>
        <v>32662.077530529</v>
      </c>
    </row>
    <row r="34" customFormat="false" ht="15" hidden="false" customHeight="false" outlineLevel="0" collapsed="false">
      <c r="A34" s="0" t="s">
        <v>132</v>
      </c>
      <c r="B34" s="0" t="n">
        <f aca="false">MAX(0,MIN(B32,B33))</f>
        <v>32662.077530529</v>
      </c>
    </row>
    <row r="35" customFormat="false" ht="15" hidden="false" customHeight="false" outlineLevel="0" collapsed="false">
      <c r="A35" s="0" t="s">
        <v>133</v>
      </c>
      <c r="B35" s="0" t="n">
        <f aca="false">B34/(1+B27/100)^L4</f>
        <v>13179.6116519521</v>
      </c>
    </row>
    <row r="36" customFormat="false" ht="15" hidden="false" customHeight="false" outlineLevel="0" collapsed="false">
      <c r="A36" s="0" t="s">
        <v>134</v>
      </c>
      <c r="B36" s="0" t="n">
        <f aca="false">B30+B35</f>
        <v>20129.4697758895</v>
      </c>
    </row>
    <row r="37" customFormat="false" ht="15" hidden="false" customHeight="false" outlineLevel="0" collapsed="false">
      <c r="A37" s="0" t="s">
        <v>135</v>
      </c>
      <c r="B37" s="0" t="n">
        <f aca="false">B36+Assumptions!$B$5-Assumptions!$B$4</f>
        <v>35297.5697758895</v>
      </c>
    </row>
    <row r="38" customFormat="false" ht="15" hidden="false" customHeight="false" outlineLevel="0" collapsed="false">
      <c r="A38" s="0" t="s">
        <v>136</v>
      </c>
      <c r="B38" s="0" t="n">
        <f aca="false">B37/Assumptions!$B$3*Assumptions!$B$10</f>
        <v>6.75808099294572</v>
      </c>
    </row>
    <row r="39" customFormat="false" ht="15" hidden="false" customHeight="false" outlineLevel="0" collapsed="false">
      <c r="A39" s="0" t="s">
        <v>137</v>
      </c>
      <c r="B39" s="4" t="n">
        <f aca="false">B38/Assumptions!$B$2-1</f>
        <v>-0.192582916016043</v>
      </c>
    </row>
    <row r="41" customFormat="false" ht="15" hidden="false" customHeight="false" outlineLevel="0" collapsed="false">
      <c r="A41" s="0" t="s">
        <v>138</v>
      </c>
      <c r="B41" s="0" t="n">
        <f aca="false">SUMPRODUCT(-C10:L10/(1+$B$27/100)^C4:L4)</f>
        <v>3439.83655760293</v>
      </c>
    </row>
    <row r="42" customFormat="false" ht="15" hidden="false" customHeight="false" outlineLevel="0" collapsed="false">
      <c r="A42" s="0" t="s">
        <v>139</v>
      </c>
      <c r="B42" s="0" t="n">
        <f aca="false">IF(B27&gt;B28,-L10*(1+B28/100)/((B27-B28)/100),-L10*20)/(1+B27/100)^L4</f>
        <v>3780.82146262094</v>
      </c>
    </row>
    <row r="43" customFormat="false" ht="15" hidden="false" customHeight="false" outlineLevel="0" collapsed="false">
      <c r="A43" s="0" t="s">
        <v>140</v>
      </c>
      <c r="B43" s="0" t="n">
        <f aca="false">(B37+B41+B42)/Assumptions!$B$3*Assumptions!$B$10</f>
        <v>8.14054987204595</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18689.9665869138</v>
      </c>
    </row>
    <row r="47" customFormat="false" ht="15" hidden="false" customHeight="false" outlineLevel="0" collapsed="false">
      <c r="A47" s="0" t="s">
        <v>142</v>
      </c>
      <c r="B47" s="0" t="n">
        <f aca="false">(SUMPRODUCT(C19:L19/(1+B45/100)^C4:L4)+B46/(1+B45/100)^L4+Assumptions!$B$5-Assumptions!$B$4)/Assumptions!$B$3*Assumptions!$B$10</f>
        <v>4.76386011303096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22</v>
      </c>
      <c r="D5" s="4" t="n">
        <f aca="false">Assumptions!D41</f>
        <v>18</v>
      </c>
      <c r="E5" s="4" t="n">
        <f aca="false">Assumptions!E41</f>
        <v>15</v>
      </c>
      <c r="F5" s="4" t="n">
        <f aca="false">Assumptions!F41</f>
        <v>12</v>
      </c>
      <c r="G5" s="4" t="n">
        <f aca="false">Assumptions!G41</f>
        <v>10</v>
      </c>
      <c r="H5" s="4" t="n">
        <f aca="false">Assumptions!H41</f>
        <v>8</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14256.171</v>
      </c>
      <c r="C6" s="0" t="n">
        <f aca="false">B6*(1+C5/100)</f>
        <v>17392.52862</v>
      </c>
      <c r="D6" s="0" t="n">
        <f aca="false">C6*(1+D5/100)</f>
        <v>20523.1837716</v>
      </c>
      <c r="E6" s="0" t="n">
        <f aca="false">D6*(1+E5/100)</f>
        <v>23601.66133734</v>
      </c>
      <c r="F6" s="0" t="n">
        <f aca="false">E6*(1+F5/100)</f>
        <v>26433.8606978208</v>
      </c>
      <c r="G6" s="0" t="n">
        <f aca="false">F6*(1+G5/100)</f>
        <v>29077.2467676029</v>
      </c>
      <c r="H6" s="0" t="n">
        <f aca="false">G6*(1+H5/100)</f>
        <v>31403.4265090111</v>
      </c>
      <c r="I6" s="0" t="n">
        <f aca="false">H6*(1+I5/100)</f>
        <v>33287.6320995518</v>
      </c>
      <c r="J6" s="0" t="n">
        <f aca="false">I6*(1+J5/100)</f>
        <v>34952.0137045294</v>
      </c>
      <c r="K6" s="0" t="n">
        <f aca="false">J6*(1+K5/100)</f>
        <v>36350.0942527106</v>
      </c>
      <c r="L6" s="0" t="n">
        <f aca="false">K6*(1+L5/100)</f>
        <v>37622.3475515554</v>
      </c>
    </row>
    <row r="7" customFormat="false" ht="15" hidden="false" customHeight="false" outlineLevel="0" collapsed="false">
      <c r="A7" s="0" t="s">
        <v>99</v>
      </c>
      <c r="C7" s="4" t="n">
        <f aca="false">Assumptions!C42</f>
        <v>16</v>
      </c>
      <c r="D7" s="4" t="n">
        <f aca="false">Assumptions!D42</f>
        <v>17.5</v>
      </c>
      <c r="E7" s="4" t="n">
        <f aca="false">Assumptions!E42</f>
        <v>19</v>
      </c>
      <c r="F7" s="4" t="n">
        <f aca="false">Assumptions!F42</f>
        <v>20</v>
      </c>
      <c r="G7" s="4" t="n">
        <f aca="false">Assumptions!G42</f>
        <v>21</v>
      </c>
      <c r="H7" s="4" t="n">
        <f aca="false">Assumptions!H42</f>
        <v>22</v>
      </c>
      <c r="I7" s="4" t="n">
        <f aca="false">Assumptions!I42</f>
        <v>22.5</v>
      </c>
      <c r="J7" s="4" t="n">
        <f aca="false">Assumptions!J42</f>
        <v>23</v>
      </c>
      <c r="K7" s="4" t="n">
        <f aca="false">Assumptions!K42</f>
        <v>23</v>
      </c>
      <c r="L7" s="4" t="n">
        <f aca="false">Assumptions!L42</f>
        <v>23</v>
      </c>
    </row>
    <row r="8" customFormat="false" ht="15" hidden="false" customHeight="false" outlineLevel="0" collapsed="false">
      <c r="A8" s="0" t="s">
        <v>44</v>
      </c>
      <c r="C8" s="0" t="n">
        <f aca="false">C6*C7/100</f>
        <v>2782.8045792</v>
      </c>
      <c r="D8" s="0" t="n">
        <f aca="false">D6*D7/100</f>
        <v>3591.55716003</v>
      </c>
      <c r="E8" s="0" t="n">
        <f aca="false">E6*E7/100</f>
        <v>4484.3156540946</v>
      </c>
      <c r="F8" s="0" t="n">
        <f aca="false">F6*F7/100</f>
        <v>5286.77213956416</v>
      </c>
      <c r="G8" s="0" t="n">
        <f aca="false">G6*G7/100</f>
        <v>6106.22182119661</v>
      </c>
      <c r="H8" s="0" t="n">
        <f aca="false">H6*H7/100</f>
        <v>6908.75383198245</v>
      </c>
      <c r="I8" s="0" t="n">
        <f aca="false">I6*I7/100</f>
        <v>7489.71722239915</v>
      </c>
      <c r="J8" s="0" t="n">
        <f aca="false">J6*J7/100</f>
        <v>8038.96315204176</v>
      </c>
      <c r="K8" s="0" t="n">
        <f aca="false">K6*K7/100</f>
        <v>8360.52167812343</v>
      </c>
      <c r="L8" s="0" t="n">
        <f aca="false">L6*L7/100</f>
        <v>8653.13993685775</v>
      </c>
    </row>
    <row r="9" customFormat="false" ht="15" hidden="false" customHeight="false" outlineLevel="0" collapsed="false">
      <c r="A9" s="0" t="s">
        <v>100</v>
      </c>
      <c r="C9" s="4" t="n">
        <f aca="false">Assumptions!C43</f>
        <v>2.6</v>
      </c>
      <c r="D9" s="4" t="n">
        <f aca="false">Assumptions!D43</f>
        <v>2.5</v>
      </c>
      <c r="E9" s="4" t="n">
        <f aca="false">Assumptions!E43</f>
        <v>2.3</v>
      </c>
      <c r="F9" s="4" t="n">
        <f aca="false">Assumptions!F43</f>
        <v>2.1</v>
      </c>
      <c r="G9" s="4" t="n">
        <f aca="false">Assumptions!G43</f>
        <v>2</v>
      </c>
      <c r="H9" s="4" t="n">
        <f aca="false">Assumptions!H43</f>
        <v>1.9</v>
      </c>
      <c r="I9" s="4" t="n">
        <f aca="false">Assumptions!I43</f>
        <v>1.8</v>
      </c>
      <c r="J9" s="4" t="n">
        <f aca="false">Assumptions!J43</f>
        <v>1.7</v>
      </c>
      <c r="K9" s="4" t="n">
        <f aca="false">Assumptions!K43</f>
        <v>1.6</v>
      </c>
      <c r="L9" s="4" t="n">
        <f aca="false">Assumptions!L43</f>
        <v>1.5</v>
      </c>
    </row>
    <row r="10" customFormat="false" ht="15" hidden="false" customHeight="false" outlineLevel="0" collapsed="false">
      <c r="A10" s="0" t="s">
        <v>115</v>
      </c>
      <c r="C10" s="0" t="n">
        <f aca="false">-C6*C9/100</f>
        <v>-452.20574412</v>
      </c>
      <c r="D10" s="0" t="n">
        <f aca="false">-D6*D9/100</f>
        <v>-513.07959429</v>
      </c>
      <c r="E10" s="0" t="n">
        <f aca="false">-E6*E9/100</f>
        <v>-542.83821075882</v>
      </c>
      <c r="F10" s="0" t="n">
        <f aca="false">-F6*F9/100</f>
        <v>-555.111074654237</v>
      </c>
      <c r="G10" s="0" t="n">
        <f aca="false">-G6*G9/100</f>
        <v>-581.544935352058</v>
      </c>
      <c r="H10" s="0" t="n">
        <f aca="false">-H6*H9/100</f>
        <v>-596.665103671211</v>
      </c>
      <c r="I10" s="0" t="n">
        <f aca="false">-I6*I9/100</f>
        <v>-599.177377791932</v>
      </c>
      <c r="J10" s="0" t="n">
        <f aca="false">-J6*J9/100</f>
        <v>-594.184232976999</v>
      </c>
      <c r="K10" s="0" t="n">
        <f aca="false">-K6*K9/100</f>
        <v>-581.601508043369</v>
      </c>
      <c r="L10" s="0" t="n">
        <f aca="false">-L6*L9/100</f>
        <v>-564.335213273331</v>
      </c>
    </row>
    <row r="11" customFormat="false" ht="15" hidden="false" customHeight="false" outlineLevel="0" collapsed="false">
      <c r="A11" s="0" t="s">
        <v>116</v>
      </c>
      <c r="C11" s="0" t="n">
        <f aca="false">C8+C10+C24</f>
        <v>2156.67354888</v>
      </c>
      <c r="D11" s="0" t="n">
        <f aca="false">D8+D10+D24</f>
        <v>2873.245728024</v>
      </c>
      <c r="E11" s="0" t="n">
        <f aca="false">E8+E10+E24</f>
        <v>3705.46082996238</v>
      </c>
      <c r="F11" s="0" t="n">
        <f aca="false">F8+F10+F24</f>
        <v>4467.32245793172</v>
      </c>
      <c r="G11" s="0" t="n">
        <f aca="false">G8+G10+G24</f>
        <v>5233.90441816852</v>
      </c>
      <c r="H11" s="0" t="n">
        <f aca="false">H8+H10+H24</f>
        <v>5998.05446322112</v>
      </c>
      <c r="I11" s="0" t="n">
        <f aca="false">I8+I10+I24</f>
        <v>6557.6635236117</v>
      </c>
      <c r="J11" s="0" t="n">
        <f aca="false">J8+J10+J24</f>
        <v>7095.25878201946</v>
      </c>
      <c r="K11" s="0" t="n">
        <f aca="false">K8+K10+K24</f>
        <v>7415.41922755295</v>
      </c>
      <c r="L11" s="0" t="n">
        <f aca="false">L8+L10+L24</f>
        <v>7712.58124806886</v>
      </c>
    </row>
    <row r="12" customFormat="false" ht="15" hidden="false" customHeight="false" outlineLevel="0" collapsed="false">
      <c r="A12" s="0" t="s">
        <v>117</v>
      </c>
      <c r="C12" s="4" t="n">
        <f aca="false">-C6*Assumptions!C45/100</f>
        <v>-643.52355894</v>
      </c>
      <c r="D12" s="4" t="n">
        <f aca="false">-D6*Assumptions!D45/100</f>
        <v>-759.3577995492</v>
      </c>
      <c r="E12" s="4" t="n">
        <f aca="false">-E6*Assumptions!E45/100</f>
        <v>-873.26146948158</v>
      </c>
      <c r="F12" s="4" t="n">
        <f aca="false">-F6*Assumptions!F45/100</f>
        <v>-978.05284581937</v>
      </c>
      <c r="G12" s="4" t="n">
        <f aca="false">-G6*Assumptions!G45/100</f>
        <v>-1075.85813040131</v>
      </c>
      <c r="H12" s="4" t="n">
        <f aca="false">-H6*Assumptions!H45/100</f>
        <v>-1161.92678083341</v>
      </c>
      <c r="I12" s="4" t="n">
        <f aca="false">-I6*Assumptions!I45/100</f>
        <v>-1231.64238768342</v>
      </c>
      <c r="J12" s="4" t="n">
        <f aca="false">-J6*Assumptions!J45/100</f>
        <v>-1293.22450706759</v>
      </c>
      <c r="K12" s="4" t="n">
        <f aca="false">-K6*Assumptions!K45/100</f>
        <v>-1344.95348735029</v>
      </c>
      <c r="L12" s="4" t="n">
        <f aca="false">-L6*Assumptions!L45/100</f>
        <v>-1392.02685940755</v>
      </c>
    </row>
    <row r="13" customFormat="false" ht="15" hidden="false" customHeight="false" outlineLevel="0" collapsed="false">
      <c r="A13" s="0" t="s">
        <v>118</v>
      </c>
      <c r="C13" s="0" t="n">
        <f aca="false">C11+C12</f>
        <v>1513.14998994</v>
      </c>
      <c r="D13" s="0" t="n">
        <f aca="false">D11+D12</f>
        <v>2113.8879284748</v>
      </c>
      <c r="E13" s="0" t="n">
        <f aca="false">E11+E12</f>
        <v>2832.1993604808</v>
      </c>
      <c r="F13" s="0" t="n">
        <f aca="false">F11+F12</f>
        <v>3489.26961211235</v>
      </c>
      <c r="G13" s="0" t="n">
        <f aca="false">G11+G12</f>
        <v>4158.04628776721</v>
      </c>
      <c r="H13" s="0" t="n">
        <f aca="false">H11+H12</f>
        <v>4836.12768238771</v>
      </c>
      <c r="I13" s="0" t="n">
        <f aca="false">I11+I12</f>
        <v>5326.02113592828</v>
      </c>
      <c r="J13" s="0" t="n">
        <f aca="false">J11+J12</f>
        <v>5802.03427495188</v>
      </c>
      <c r="K13" s="0" t="n">
        <f aca="false">K11+K12</f>
        <v>6070.46574020266</v>
      </c>
      <c r="L13" s="0" t="n">
        <f aca="false">L11+L12</f>
        <v>6320.55438866131</v>
      </c>
    </row>
    <row r="14" customFormat="false" ht="15" hidden="false" customHeight="false" outlineLevel="0" collapsed="false">
      <c r="A14" s="0" t="s">
        <v>104</v>
      </c>
      <c r="C14" s="4" t="n">
        <f aca="false">Assumptions!C47</f>
        <v>29</v>
      </c>
      <c r="D14" s="4" t="n">
        <f aca="false">Assumptions!D47</f>
        <v>28</v>
      </c>
      <c r="E14" s="4" t="n">
        <f aca="false">Assumptions!E47</f>
        <v>27</v>
      </c>
      <c r="F14" s="4" t="n">
        <f aca="false">Assumptions!F47</f>
        <v>26</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119</v>
      </c>
      <c r="C15" s="0" t="n">
        <f aca="false">C13-MAX(0,C13)*C14/100</f>
        <v>1074.3364928574</v>
      </c>
      <c r="D15" s="0" t="n">
        <f aca="false">D13-MAX(0,D13)*D14/100</f>
        <v>1521.99930850186</v>
      </c>
      <c r="E15" s="0" t="n">
        <f aca="false">E13-MAX(0,E13)*E14/100</f>
        <v>2067.50553315098</v>
      </c>
      <c r="F15" s="0" t="n">
        <f aca="false">F13-MAX(0,F13)*F14/100</f>
        <v>2582.05951296314</v>
      </c>
      <c r="G15" s="0" t="n">
        <f aca="false">G13-MAX(0,G13)*G14/100</f>
        <v>3118.53471582541</v>
      </c>
      <c r="H15" s="0" t="n">
        <f aca="false">H13-MAX(0,H13)*H14/100</f>
        <v>3627.09576179078</v>
      </c>
      <c r="I15" s="0" t="n">
        <f aca="false">I13-MAX(0,I13)*I14/100</f>
        <v>3994.51585194621</v>
      </c>
      <c r="J15" s="0" t="n">
        <f aca="false">J13-MAX(0,J13)*J14/100</f>
        <v>4351.52570621391</v>
      </c>
      <c r="K15" s="0" t="n">
        <f aca="false">K13-MAX(0,K13)*K14/100</f>
        <v>4552.849305152</v>
      </c>
      <c r="L15" s="0" t="n">
        <f aca="false">L13-MAX(0,L13)*L14/100</f>
        <v>4740.41579149598</v>
      </c>
    </row>
    <row r="16" customFormat="false" ht="15" hidden="false" customHeight="false" outlineLevel="0" collapsed="false">
      <c r="A16" s="0" t="s">
        <v>120</v>
      </c>
      <c r="C16" s="0" t="n">
        <f aca="false">-C12</f>
        <v>643.52355894</v>
      </c>
      <c r="D16" s="0" t="n">
        <f aca="false">-D12</f>
        <v>759.3577995492</v>
      </c>
      <c r="E16" s="0" t="n">
        <f aca="false">-E12</f>
        <v>873.26146948158</v>
      </c>
      <c r="F16" s="0" t="n">
        <f aca="false">-F12</f>
        <v>978.05284581937</v>
      </c>
      <c r="G16" s="0" t="n">
        <f aca="false">-G12</f>
        <v>1075.85813040131</v>
      </c>
      <c r="H16" s="0" t="n">
        <f aca="false">-H12</f>
        <v>1161.92678083341</v>
      </c>
      <c r="I16" s="0" t="n">
        <f aca="false">-I12</f>
        <v>1231.64238768342</v>
      </c>
      <c r="J16" s="0" t="n">
        <f aca="false">-J12</f>
        <v>1293.22450706759</v>
      </c>
      <c r="K16" s="0" t="n">
        <f aca="false">-K12</f>
        <v>1344.95348735029</v>
      </c>
      <c r="L16" s="0" t="n">
        <f aca="false">-L12</f>
        <v>1392.02685940755</v>
      </c>
    </row>
    <row r="17" customFormat="false" ht="15" hidden="false" customHeight="false" outlineLevel="0" collapsed="false">
      <c r="A17" s="0" t="s">
        <v>121</v>
      </c>
      <c r="C17" s="4" t="n">
        <f aca="false">-C6*Assumptions!C46/100</f>
        <v>-1043.5517172</v>
      </c>
      <c r="D17" s="4" t="n">
        <f aca="false">-D6*Assumptions!D46/100</f>
        <v>-1190.3446587528</v>
      </c>
      <c r="E17" s="4" t="n">
        <f aca="false">-E6*Assumptions!E46/100</f>
        <v>-1321.69303489104</v>
      </c>
      <c r="F17" s="4" t="n">
        <f aca="false">-F6*Assumptions!F46/100</f>
        <v>-1427.42847768232</v>
      </c>
      <c r="G17" s="4" t="n">
        <f aca="false">-G6*Assumptions!G46/100</f>
        <v>-1512.01683191535</v>
      </c>
      <c r="H17" s="4" t="n">
        <f aca="false">-H6*Assumptions!H46/100</f>
        <v>-1570.17132545056</v>
      </c>
      <c r="I17" s="4" t="n">
        <f aca="false">-I6*Assumptions!I46/100</f>
        <v>-1664.38160497759</v>
      </c>
      <c r="J17" s="4" t="n">
        <f aca="false">-J6*Assumptions!J46/100</f>
        <v>-1747.60068522647</v>
      </c>
      <c r="K17" s="4" t="n">
        <f aca="false">-K6*Assumptions!K46/100</f>
        <v>-1817.50471263553</v>
      </c>
      <c r="L17" s="4" t="n">
        <f aca="false">-L6*Assumptions!L46/100</f>
        <v>-1881.11737757777</v>
      </c>
    </row>
    <row r="18" customFormat="false" ht="15" hidden="false" customHeight="false" outlineLevel="0" collapsed="false">
      <c r="A18" s="0" t="s">
        <v>122</v>
      </c>
      <c r="C18" s="4" t="n">
        <f aca="false">(C6-B6)*Assumptions!$B$51/100</f>
        <v>-376.3629144</v>
      </c>
      <c r="D18" s="4" t="n">
        <f aca="false">(D6-C6)*Assumptions!$B$51/100</f>
        <v>-375.678618192</v>
      </c>
      <c r="E18" s="4" t="n">
        <f aca="false">(E6-D6)*Assumptions!$B$51/100</f>
        <v>-369.4173078888</v>
      </c>
      <c r="F18" s="4" t="n">
        <f aca="false">(F6-E6)*Assumptions!$B$51/100</f>
        <v>-339.863923257696</v>
      </c>
      <c r="G18" s="4" t="n">
        <f aca="false">(G6-F6)*Assumptions!$B$51/100</f>
        <v>-317.20632837385</v>
      </c>
      <c r="H18" s="4" t="n">
        <f aca="false">(H6-G6)*Assumptions!$B$51/100</f>
        <v>-279.141568968988</v>
      </c>
      <c r="I18" s="4" t="n">
        <f aca="false">(I6-H6)*Assumptions!$B$51/100</f>
        <v>-226.10467086488</v>
      </c>
      <c r="J18" s="4" t="n">
        <f aca="false">(J6-I6)*Assumptions!$B$51/100</f>
        <v>-199.725792597311</v>
      </c>
      <c r="K18" s="4" t="n">
        <f aca="false">(K6-J6)*Assumptions!$B$51/100</f>
        <v>-167.769665781741</v>
      </c>
      <c r="L18" s="4" t="n">
        <f aca="false">(L6-K6)*Assumptions!$B$51/100</f>
        <v>-152.670395861384</v>
      </c>
    </row>
    <row r="19" customFormat="false" ht="15" hidden="false" customHeight="false" outlineLevel="0" collapsed="false">
      <c r="A19" s="0" t="s">
        <v>123</v>
      </c>
      <c r="C19" s="0" t="n">
        <f aca="false">C15+C16+C17+C18</f>
        <v>297.9454201974</v>
      </c>
      <c r="D19" s="0" t="n">
        <f aca="false">D15+D16+D17+D18</f>
        <v>715.333831106256</v>
      </c>
      <c r="E19" s="0" t="n">
        <f aca="false">E15+E16+E17+E18</f>
        <v>1249.65665985272</v>
      </c>
      <c r="F19" s="0" t="n">
        <f aca="false">F15+F16+F17+F18</f>
        <v>1792.81995784249</v>
      </c>
      <c r="G19" s="0" t="n">
        <f aca="false">G15+G16+G17+G18</f>
        <v>2365.16968593752</v>
      </c>
      <c r="H19" s="0" t="n">
        <f aca="false">H15+H16+H17+H18</f>
        <v>2939.70964820465</v>
      </c>
      <c r="I19" s="0" t="n">
        <f aca="false">I15+I16+I17+I18</f>
        <v>3335.67196378716</v>
      </c>
      <c r="J19" s="0" t="n">
        <f aca="false">J15+J16+J17+J18</f>
        <v>3697.42373545771</v>
      </c>
      <c r="K19" s="0" t="n">
        <f aca="false">K15+K16+K17+K18</f>
        <v>3912.52841408502</v>
      </c>
      <c r="L19" s="0" t="n">
        <f aca="false">L15+L16+L17+L18</f>
        <v>4098.65487746438</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272.096274152877</v>
      </c>
      <c r="D21" s="0" t="n">
        <f aca="false">D19*D20</f>
        <v>596.596260383442</v>
      </c>
      <c r="E21" s="0" t="n">
        <f aca="false">E19*E20</f>
        <v>951.805807860229</v>
      </c>
      <c r="F21" s="0" t="n">
        <f aca="false">F19*F20</f>
        <v>1247.03947551965</v>
      </c>
      <c r="G21" s="0" t="n">
        <f aca="false">G19*G20</f>
        <v>1502.42121759352</v>
      </c>
      <c r="H21" s="0" t="n">
        <f aca="false">H19*H20</f>
        <v>1705.37433464439</v>
      </c>
      <c r="I21" s="0" t="n">
        <f aca="false">I19*I20</f>
        <v>1767.1951074437</v>
      </c>
      <c r="J21" s="0" t="n">
        <f aca="false">J19*J20</f>
        <v>1788.90085411485</v>
      </c>
      <c r="K21" s="0" t="n">
        <f aca="false">K19*K20</f>
        <v>1728.74298960941</v>
      </c>
      <c r="L21" s="0" t="n">
        <f aca="false">L19*L20</f>
        <v>1653.8653896057</v>
      </c>
    </row>
    <row r="23" customFormat="false" ht="15" hidden="false" customHeight="false" outlineLevel="0" collapsed="false">
      <c r="A23" s="0" t="s">
        <v>101</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126</v>
      </c>
      <c r="C24" s="0" t="n">
        <f aca="false">-C6*C23/100</f>
        <v>-173.9252862</v>
      </c>
      <c r="D24" s="0" t="n">
        <f aca="false">-D6*D23/100</f>
        <v>-205.231837716</v>
      </c>
      <c r="E24" s="0" t="n">
        <f aca="false">-E6*E23/100</f>
        <v>-236.0166133734</v>
      </c>
      <c r="F24" s="0" t="n">
        <f aca="false">-F6*F23/100</f>
        <v>-264.338606978208</v>
      </c>
      <c r="G24" s="0" t="n">
        <f aca="false">-G6*G23/100</f>
        <v>-290.772467676029</v>
      </c>
      <c r="H24" s="0" t="n">
        <f aca="false">-H6*H23/100</f>
        <v>-314.034265090111</v>
      </c>
      <c r="I24" s="0" t="n">
        <f aca="false">-I6*I23/100</f>
        <v>-332.876320995518</v>
      </c>
      <c r="J24" s="0" t="n">
        <f aca="false">-J6*J23/100</f>
        <v>-349.520137045294</v>
      </c>
      <c r="K24" s="0" t="n">
        <f aca="false">-K6*K23/100</f>
        <v>-363.500942527106</v>
      </c>
      <c r="L24" s="0" t="n">
        <f aca="false">-L6*L23/100</f>
        <v>-376.223475515554</v>
      </c>
    </row>
    <row r="26" customFormat="false" ht="15" hidden="false" customHeight="false" outlineLevel="0" collapsed="false">
      <c r="A26" s="2" t="s">
        <v>127</v>
      </c>
    </row>
    <row r="27" customFormat="false" ht="15" hidden="false" customHeight="false" outlineLevel="0" collapsed="false">
      <c r="A27" s="0" t="s">
        <v>105</v>
      </c>
      <c r="B27" s="4" t="n">
        <f aca="false">Assumptions!$B$48</f>
        <v>9.5</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15</v>
      </c>
    </row>
    <row r="30" customFormat="false" ht="15" hidden="false" customHeight="false" outlineLevel="0" collapsed="false">
      <c r="A30" s="0" t="s">
        <v>128</v>
      </c>
      <c r="B30" s="0" t="n">
        <f aca="false">SUM(C21:L21)</f>
        <v>13214.0377109278</v>
      </c>
    </row>
    <row r="31" customFormat="false" ht="15" hidden="false" customHeight="false" outlineLevel="0" collapsed="false">
      <c r="A31" s="0" t="s">
        <v>129</v>
      </c>
      <c r="B31" s="0" t="n">
        <f aca="false">L19</f>
        <v>4098.65487746438</v>
      </c>
    </row>
    <row r="32" customFormat="false" ht="15" hidden="false" customHeight="false" outlineLevel="0" collapsed="false">
      <c r="A32" s="0" t="s">
        <v>130</v>
      </c>
      <c r="B32" s="0" t="n">
        <f aca="false">IF(B27&gt;B28,B31*(1+B28/100)/((B27-B28)/100),B31*B29)</f>
        <v>64947.9157505894</v>
      </c>
    </row>
    <row r="33" customFormat="false" ht="15" hidden="false" customHeight="false" outlineLevel="0" collapsed="false">
      <c r="A33" s="0" t="s">
        <v>131</v>
      </c>
      <c r="B33" s="0" t="n">
        <f aca="false">B31*B29</f>
        <v>61479.8231619657</v>
      </c>
    </row>
    <row r="34" customFormat="false" ht="15" hidden="false" customHeight="false" outlineLevel="0" collapsed="false">
      <c r="A34" s="0" t="s">
        <v>132</v>
      </c>
      <c r="B34" s="0" t="n">
        <f aca="false">MAX(0,MIN(B32,B33))</f>
        <v>61479.8231619657</v>
      </c>
    </row>
    <row r="35" customFormat="false" ht="15" hidden="false" customHeight="false" outlineLevel="0" collapsed="false">
      <c r="A35" s="0" t="s">
        <v>133</v>
      </c>
      <c r="B35" s="0" t="n">
        <f aca="false">B34/(1+B27/100)^L4</f>
        <v>24807.9808440855</v>
      </c>
    </row>
    <row r="36" customFormat="false" ht="15" hidden="false" customHeight="false" outlineLevel="0" collapsed="false">
      <c r="A36" s="0" t="s">
        <v>134</v>
      </c>
      <c r="B36" s="0" t="n">
        <f aca="false">B30+B35</f>
        <v>38022.0185550132</v>
      </c>
    </row>
    <row r="37" customFormat="false" ht="15" hidden="false" customHeight="false" outlineLevel="0" collapsed="false">
      <c r="A37" s="0" t="s">
        <v>135</v>
      </c>
      <c r="B37" s="0" t="n">
        <f aca="false">B36+Assumptions!$B$5-Assumptions!$B$4</f>
        <v>53190.1185550132</v>
      </c>
    </row>
    <row r="38" customFormat="false" ht="15" hidden="false" customHeight="false" outlineLevel="0" collapsed="false">
      <c r="A38" s="0" t="s">
        <v>136</v>
      </c>
      <c r="B38" s="0" t="n">
        <f aca="false">B37/Assumptions!$B$3*Assumptions!$B$10</f>
        <v>10.1837925812304</v>
      </c>
    </row>
    <row r="39" customFormat="false" ht="15" hidden="false" customHeight="false" outlineLevel="0" collapsed="false">
      <c r="A39" s="0" t="s">
        <v>137</v>
      </c>
      <c r="B39" s="4" t="n">
        <f aca="false">B38/Assumptions!$B$2-1</f>
        <v>0.216701622608168</v>
      </c>
    </row>
    <row r="41" customFormat="false" ht="15" hidden="false" customHeight="false" outlineLevel="0" collapsed="false">
      <c r="A41" s="0" t="s">
        <v>138</v>
      </c>
      <c r="B41" s="0" t="n">
        <f aca="false">SUMPRODUCT(-C10:L10/(1+$B$27/100)^C4:L4)</f>
        <v>3445.62524533933</v>
      </c>
    </row>
    <row r="42" customFormat="false" ht="15" hidden="false" customHeight="false" outlineLevel="0" collapsed="false">
      <c r="A42" s="0" t="s">
        <v>139</v>
      </c>
      <c r="B42" s="0" t="n">
        <f aca="false">IF(B27&gt;B28,-L10*(1+B28/100)/((B27-B28)/100),-L10*20)/(1+B27/100)^L4</f>
        <v>3608.44280879064</v>
      </c>
    </row>
    <row r="43" customFormat="false" ht="15" hidden="false" customHeight="false" outlineLevel="0" collapsed="false">
      <c r="A43" s="0" t="s">
        <v>140</v>
      </c>
      <c r="B43" s="0" t="n">
        <f aca="false">(B37+B41+B42)/Assumptions!$B$3*Assumptions!$B$10</f>
        <v>11.5343661063268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35180.1210315693</v>
      </c>
    </row>
    <row r="47" customFormat="false" ht="15" hidden="false" customHeight="false" outlineLevel="0" collapsed="false">
      <c r="A47" s="0" t="s">
        <v>142</v>
      </c>
      <c r="B47" s="0" t="n">
        <f aca="false">(SUMPRODUCT(C19:L19/(1+B45/100)^C4:L4)+B46/(1+B45/100)^L4+Assumptions!$B$5-Assumptions!$B$4)/Assumptions!$B$3*Assumptions!$B$10</f>
        <v>6.42265183788166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3.83264766572342</v>
      </c>
      <c r="C4" s="0" t="n">
        <f aca="false">B4/Assumptions!$B$2-1</f>
        <v>-0.542097053079639</v>
      </c>
      <c r="D4" s="4" t="n">
        <f aca="false">Assumptions!$B$24</f>
        <v>0.25</v>
      </c>
      <c r="E4" s="4" t="n">
        <f aca="false">DCF_Bear!$B$43</f>
        <v>4.93589476690497</v>
      </c>
      <c r="F4" s="4" t="n">
        <f aca="false">DCF_Bear!$B$47</f>
        <v>3.41097139650693</v>
      </c>
    </row>
    <row r="5" customFormat="false" ht="15" hidden="false" customHeight="false" outlineLevel="0" collapsed="false">
      <c r="A5" s="0" t="s">
        <v>151</v>
      </c>
      <c r="B5" s="4" t="n">
        <f aca="false">DCF_Base!$B$38</f>
        <v>6.75808099294572</v>
      </c>
      <c r="C5" s="0" t="n">
        <f aca="false">B5/Assumptions!$B$2-1</f>
        <v>-0.192582916016043</v>
      </c>
      <c r="D5" s="4" t="n">
        <f aca="false">Assumptions!$B$38</f>
        <v>0.5</v>
      </c>
      <c r="E5" s="4" t="n">
        <f aca="false">DCF_Base!$B$43</f>
        <v>8.14054987204595</v>
      </c>
      <c r="F5" s="4" t="n">
        <f aca="false">DCF_Base!$B$47</f>
        <v>4.76386011303096</v>
      </c>
    </row>
    <row r="6" customFormat="false" ht="15" hidden="false" customHeight="false" outlineLevel="0" collapsed="false">
      <c r="A6" s="0" t="s">
        <v>152</v>
      </c>
      <c r="B6" s="4" t="n">
        <f aca="false">DCF_Bull!$B$38</f>
        <v>10.1837925812304</v>
      </c>
      <c r="C6" s="0" t="n">
        <f aca="false">B6/Assumptions!$B$2-1</f>
        <v>0.216701622608168</v>
      </c>
      <c r="D6" s="4" t="n">
        <f aca="false">Assumptions!$B$52</f>
        <v>0.25</v>
      </c>
      <c r="E6" s="4" t="n">
        <f aca="false">DCF_Bull!$B$43</f>
        <v>11.5343661063268</v>
      </c>
      <c r="F6" s="4" t="n">
        <f aca="false">DCF_Bull!$B$47</f>
        <v>6.42265183788166</v>
      </c>
    </row>
    <row r="8" customFormat="false" ht="15" hidden="false" customHeight="false" outlineLevel="0" collapsed="false">
      <c r="A8" s="0" t="s">
        <v>153</v>
      </c>
      <c r="B8" s="0" t="n">
        <f aca="false">SUMPRODUCT(B4:B6,D4:D6)</f>
        <v>6.88315055821131</v>
      </c>
    </row>
    <row r="9" customFormat="false" ht="15" hidden="false" customHeight="false" outlineLevel="0" collapsed="false">
      <c r="A9" s="0" t="s">
        <v>154</v>
      </c>
      <c r="B9" s="0" t="n">
        <f aca="false">SUMPRODUCT(E4:E6,D4:D6)</f>
        <v>8.18784015433092</v>
      </c>
    </row>
    <row r="10" customFormat="false" ht="15" hidden="false" customHeight="false" outlineLevel="0" collapsed="false">
      <c r="A10" s="0" t="s">
        <v>155</v>
      </c>
      <c r="B10" s="0" t="n">
        <f aca="false">1-Assumptions!$B$2/B8</f>
        <v>-0.21601291867936</v>
      </c>
    </row>
    <row r="11" customFormat="false" ht="15" hidden="false" customHeight="false" outlineLevel="0" collapsed="false">
      <c r="A11" s="0" t="s">
        <v>156</v>
      </c>
      <c r="B11" s="0" t="n">
        <f aca="false">IF(ABS(B9-B8)&gt;0.01*ABS(B8),(Assumptions!$B$2-B8)/(B9-B8)*100,"n/a")</f>
        <v>113.96192981157</v>
      </c>
    </row>
    <row r="12" customFormat="false" ht="15" hidden="false" customHeight="false" outlineLevel="0" collapsed="false">
      <c r="A12" s="0" t="s">
        <v>157</v>
      </c>
      <c r="B12" s="0" t="n">
        <f aca="false">SUMPRODUCT(F4:F6,D4:D6)</f>
        <v>4.84033586511263</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6.91647231697443</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6.75808099294572</v>
      </c>
      <c r="C16" s="3" t="n">
        <v>9.5</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6.56107589659072</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6.01328121062189</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5.59130714325625</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4.76386011303096</v>
      </c>
      <c r="C20" s="3" t="n">
        <v>15</v>
      </c>
    </row>
    <row r="22" customFormat="false" ht="15" hidden="false" customHeight="false" outlineLevel="0" collapsed="false">
      <c r="A22" s="2" t="s">
        <v>166</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7.43960542253033</v>
      </c>
      <c r="C24" s="0" t="n">
        <f aca="false">(SUMPRODUCT(DCF_Base!$C$19:$L$19/(1+$A$24/100)^DCF_Base!$C$4:$L$4)+MAX(0,MIN(IF($A$24&gt;$C$23,DCF_Base!$L$19*(1+$C$23/100)/(($A$24-$C$23)/100),DCF_Base!$L$19*DCF_Base!$B$29),DCF_Base!$L$19*DCF_Base!$B$29))/(1+$A$24/100)^DCF_Base!$L$4+Assumptions!$B$5-Assumptions!$B$4)/Assumptions!$B$3*Assumptions!$B$10</f>
        <v>7.43960542253033</v>
      </c>
      <c r="D24" s="0" t="n">
        <f aca="false">(SUMPRODUCT(DCF_Base!$C$19:$L$19/(1+$A$24/100)^DCF_Base!$C$4:$L$4)+MAX(0,MIN(IF($A$24&gt;$D$23,DCF_Base!$L$19*(1+$D$23/100)/(($A$24-$D$23)/100),DCF_Base!$L$19*DCF_Base!$B$29),DCF_Base!$L$19*DCF_Base!$B$29))/(1+$A$24/100)^DCF_Base!$L$4+Assumptions!$B$5-Assumptions!$B$4)/Assumptions!$B$3*Assumptions!$B$10</f>
        <v>7.43960542253033</v>
      </c>
      <c r="E24" s="0" t="n">
        <f aca="false">(SUMPRODUCT(DCF_Base!$C$19:$L$19/(1+$A$24/100)^DCF_Base!$C$4:$L$4)+MAX(0,MIN(IF($A$24&gt;$E$23,DCF_Base!$L$19*(1+$E$23/100)/(($A$24-$E$23)/100),DCF_Base!$L$19*DCF_Base!$B$29),DCF_Base!$L$19*DCF_Base!$B$29))/(1+$A$24/100)^DCF_Base!$L$4+Assumptions!$B$5-Assumptions!$B$4)/Assumptions!$B$3*Assumptions!$B$10</f>
        <v>7.43960542253033</v>
      </c>
      <c r="F24" s="0" t="n">
        <f aca="false">(SUMPRODUCT(DCF_Base!$C$19:$L$19/(1+$A$24/100)^DCF_Base!$C$4:$L$4)+MAX(0,MIN(IF($A$24&gt;$F$23,DCF_Base!$L$19*(1+$F$23/100)/(($A$24-$F$23)/100),DCF_Base!$L$19*DCF_Base!$B$29),DCF_Base!$L$19*DCF_Base!$B$29))/(1+$A$24/100)^DCF_Base!$L$4+Assumptions!$B$5-Assumptions!$B$4)/Assumptions!$B$3*Assumptions!$B$10</f>
        <v>7.43960542253033</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7.08257140463318</v>
      </c>
      <c r="C25" s="0" t="n">
        <f aca="false">(SUMPRODUCT(DCF_Base!$C$19:$L$19/(1+$A$25/100)^DCF_Base!$C$4:$L$4)+MAX(0,MIN(IF($A$25&gt;$C$23,DCF_Base!$L$19*(1+$C$23/100)/(($A$25-$C$23)/100),DCF_Base!$L$19*DCF_Base!$B$29),DCF_Base!$L$19*DCF_Base!$B$29))/(1+$A$25/100)^DCF_Base!$L$4+Assumptions!$B$5-Assumptions!$B$4)/Assumptions!$B$3*Assumptions!$B$10</f>
        <v>7.08257140463318</v>
      </c>
      <c r="D25" s="0" t="n">
        <f aca="false">(SUMPRODUCT(DCF_Base!$C$19:$L$19/(1+$A$25/100)^DCF_Base!$C$4:$L$4)+MAX(0,MIN(IF($A$25&gt;$D$23,DCF_Base!$L$19*(1+$D$23/100)/(($A$25-$D$23)/100),DCF_Base!$L$19*DCF_Base!$B$29),DCF_Base!$L$19*DCF_Base!$B$29))/(1+$A$25/100)^DCF_Base!$L$4+Assumptions!$B$5-Assumptions!$B$4)/Assumptions!$B$3*Assumptions!$B$10</f>
        <v>7.08257140463318</v>
      </c>
      <c r="E25" s="0" t="n">
        <f aca="false">(SUMPRODUCT(DCF_Base!$C$19:$L$19/(1+$A$25/100)^DCF_Base!$C$4:$L$4)+MAX(0,MIN(IF($A$25&gt;$E$23,DCF_Base!$L$19*(1+$E$23/100)/(($A$25-$E$23)/100),DCF_Base!$L$19*DCF_Base!$B$29),DCF_Base!$L$19*DCF_Base!$B$29))/(1+$A$25/100)^DCF_Base!$L$4+Assumptions!$B$5-Assumptions!$B$4)/Assumptions!$B$3*Assumptions!$B$10</f>
        <v>7.08257140463318</v>
      </c>
      <c r="F25" s="0" t="n">
        <f aca="false">(SUMPRODUCT(DCF_Base!$C$19:$L$19/(1+$A$25/100)^DCF_Base!$C$4:$L$4)+MAX(0,MIN(IF($A$25&gt;$F$23,DCF_Base!$L$19*(1+$F$23/100)/(($A$25-$F$23)/100),DCF_Base!$L$19*DCF_Base!$B$29),DCF_Base!$L$19*DCF_Base!$B$29))/(1+$A$25/100)^DCF_Base!$L$4+Assumptions!$B$5-Assumptions!$B$4)/Assumptions!$B$3*Assumptions!$B$10</f>
        <v>7.08257140463318</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6.52256631589011</v>
      </c>
      <c r="C26" s="0" t="n">
        <f aca="false">(SUMPRODUCT(DCF_Base!$C$19:$L$19/(1+$A$26/100)^DCF_Base!$C$4:$L$4)+MAX(0,MIN(IF($A$26&gt;$C$23,DCF_Base!$L$19*(1+$C$23/100)/(($A$26-$C$23)/100),DCF_Base!$L$19*DCF_Base!$B$29),DCF_Base!$L$19*DCF_Base!$B$29))/(1+$A$26/100)^DCF_Base!$L$4+Assumptions!$B$5-Assumptions!$B$4)/Assumptions!$B$3*Assumptions!$B$10</f>
        <v>6.69800071818664</v>
      </c>
      <c r="D26" s="0" t="n">
        <f aca="false">(SUMPRODUCT(DCF_Base!$C$19:$L$19/(1+$A$26/100)^DCF_Base!$C$4:$L$4)+MAX(0,MIN(IF($A$26&gt;$D$23,DCF_Base!$L$19*(1+$D$23/100)/(($A$26-$D$23)/100),DCF_Base!$L$19*DCF_Base!$B$29),DCF_Base!$L$19*DCF_Base!$B$29))/(1+$A$26/100)^DCF_Base!$L$4+Assumptions!$B$5-Assumptions!$B$4)/Assumptions!$B$3*Assumptions!$B$10</f>
        <v>6.75808099294572</v>
      </c>
      <c r="E26" s="0" t="n">
        <f aca="false">(SUMPRODUCT(DCF_Base!$C$19:$L$19/(1+$A$26/100)^DCF_Base!$C$4:$L$4)+MAX(0,MIN(IF($A$26&gt;$E$23,DCF_Base!$L$19*(1+$E$23/100)/(($A$26-$E$23)/100),DCF_Base!$L$19*DCF_Base!$B$29),DCF_Base!$L$19*DCF_Base!$B$29))/(1+$A$26/100)^DCF_Base!$L$4+Assumptions!$B$5-Assumptions!$B$4)/Assumptions!$B$3*Assumptions!$B$10</f>
        <v>6.75808099294572</v>
      </c>
      <c r="F26" s="0" t="n">
        <f aca="false">(SUMPRODUCT(DCF_Base!$C$19:$L$19/(1+$A$26/100)^DCF_Base!$C$4:$L$4)+MAX(0,MIN(IF($A$26&gt;$F$23,DCF_Base!$L$19*(1+$F$23/100)/(($A$26-$F$23)/100),DCF_Base!$L$19*DCF_Base!$B$29),DCF_Base!$L$19*DCF_Base!$B$29))/(1+$A$26/100)^DCF_Base!$L$4+Assumptions!$B$5-Assumptions!$B$4)/Assumptions!$B$3*Assumptions!$B$10</f>
        <v>6.75808099294572</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6.00203425737554</v>
      </c>
      <c r="C27" s="0" t="n">
        <f aca="false">(SUMPRODUCT(DCF_Base!$C$19:$L$19/(1+$A$27/100)^DCF_Base!$C$4:$L$4)+MAX(0,MIN(IF($A$27&gt;$C$23,DCF_Base!$L$19*(1+$C$23/100)/(($A$27-$C$23)/100),DCF_Base!$L$19*DCF_Base!$B$29),DCF_Base!$L$19*DCF_Base!$B$29))/(1+$A$27/100)^DCF_Base!$L$4+Assumptions!$B$5-Assumptions!$B$4)/Assumptions!$B$3*Assumptions!$B$10</f>
        <v>6.1268391820958</v>
      </c>
      <c r="D27" s="0" t="n">
        <f aca="false">(SUMPRODUCT(DCF_Base!$C$19:$L$19/(1+$A$27/100)^DCF_Base!$C$4:$L$4)+MAX(0,MIN(IF($A$27&gt;$D$23,DCF_Base!$L$19*(1+$D$23/100)/(($A$27-$D$23)/100),DCF_Base!$L$19*DCF_Base!$B$29),DCF_Base!$L$19*DCF_Base!$B$29))/(1+$A$27/100)^DCF_Base!$L$4+Assumptions!$B$5-Assumptions!$B$4)/Assumptions!$B$3*Assumptions!$B$10</f>
        <v>6.26828476344542</v>
      </c>
      <c r="E27" s="0" t="n">
        <f aca="false">(SUMPRODUCT(DCF_Base!$C$19:$L$19/(1+$A$27/100)^DCF_Base!$C$4:$L$4)+MAX(0,MIN(IF($A$27&gt;$E$23,DCF_Base!$L$19*(1+$E$23/100)/(($A$27-$E$23)/100),DCF_Base!$L$19*DCF_Base!$B$29),DCF_Base!$L$19*DCF_Base!$B$29))/(1+$A$27/100)^DCF_Base!$L$4+Assumptions!$B$5-Assumptions!$B$4)/Assumptions!$B$3*Assumptions!$B$10</f>
        <v>6.42993685641642</v>
      </c>
      <c r="F27" s="0" t="n">
        <f aca="false">(SUMPRODUCT(DCF_Base!$C$19:$L$19/(1+$A$27/100)^DCF_Base!$C$4:$L$4)+MAX(0,MIN(IF($A$27&gt;$F$23,DCF_Base!$L$19*(1+$F$23/100)/(($A$27-$F$23)/100),DCF_Base!$L$19*DCF_Base!$B$29),DCF_Base!$L$19*DCF_Base!$B$29))/(1+$A$27/100)^DCF_Base!$L$4+Assumptions!$B$5-Assumptions!$B$4)/Assumptions!$B$3*Assumptions!$B$10</f>
        <v>6.46285244095803</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5.59553272360663</v>
      </c>
      <c r="C28" s="0" t="n">
        <f aca="false">(SUMPRODUCT(DCF_Base!$C$19:$L$19/(1+$A$28/100)^DCF_Base!$C$4:$L$4)+MAX(0,MIN(IF($A$28&gt;$C$23,DCF_Base!$L$19*(1+$C$23/100)/(($A$28-$C$23)/100),DCF_Base!$L$19*DCF_Base!$B$29),DCF_Base!$L$19*DCF_Base!$B$29))/(1+$A$28/100)^DCF_Base!$L$4+Assumptions!$B$5-Assumptions!$B$4)/Assumptions!$B$3*Assumptions!$B$10</f>
        <v>5.68706225025237</v>
      </c>
      <c r="D28" s="0" t="n">
        <f aca="false">(SUMPRODUCT(DCF_Base!$C$19:$L$19/(1+$A$28/100)^DCF_Base!$C$4:$L$4)+MAX(0,MIN(IF($A$28&gt;$D$23,DCF_Base!$L$19*(1+$D$23/100)/(($A$28-$D$23)/100),DCF_Base!$L$19*DCF_Base!$B$29),DCF_Base!$L$19*DCF_Base!$B$29))/(1+$A$28/100)^DCF_Base!$L$4+Assumptions!$B$5-Assumptions!$B$4)/Assumptions!$B$3*Assumptions!$B$10</f>
        <v>5.7893599565035</v>
      </c>
      <c r="E28" s="0" t="n">
        <f aca="false">(SUMPRODUCT(DCF_Base!$C$19:$L$19/(1+$A$28/100)^DCF_Base!$C$4:$L$4)+MAX(0,MIN(IF($A$28&gt;$E$23,DCF_Base!$L$19*(1+$E$23/100)/(($A$28-$E$23)/100),DCF_Base!$L$19*DCF_Base!$B$29),DCF_Base!$L$19*DCF_Base!$B$29))/(1+$A$28/100)^DCF_Base!$L$4+Assumptions!$B$5-Assumptions!$B$4)/Assumptions!$B$3*Assumptions!$B$10</f>
        <v>5.90444487603602</v>
      </c>
      <c r="F28" s="0" t="n">
        <f aca="false">(SUMPRODUCT(DCF_Base!$C$19:$L$19/(1+$A$28/100)^DCF_Base!$C$4:$L$4)+MAX(0,MIN(IF($A$28&gt;$F$23,DCF_Base!$L$19*(1+$F$23/100)/(($A$28-$F$23)/100),DCF_Base!$L$19*DCF_Base!$B$29),DCF_Base!$L$19*DCF_Base!$B$29))/(1+$A$28/100)^DCF_Base!$L$4+Assumptions!$B$5-Assumptions!$B$4)/Assumptions!$B$3*Assumptions!$B$10</f>
        <v>6.0348744515062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2026-10-23T17:49:07Z</dcterms:created>
  <dc:creator>openpyxl</dc:creator>
  <dc:description/>
  <dc:language>en-NZ</dc:language>
  <cp:lastModifiedBy/>
  <dcterms:modified xsi:type="dcterms:W3CDTF">2026-10-23T17:49:07Z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