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<sst xmlns="http://schemas.openxmlformats.org/spreadsheetml/2006/main" count="367" uniqueCount="170">
  <si>
    <t xml:space="preserve">Ticker</t>
  </si>
  <si>
    <t xml:space="preserve">JBH.AX</t>
  </si>
  <si>
    <t xml:space="preserve">Company</t>
  </si>
  <si>
    <t xml:space="preserve">JB Hi-Fi Limited</t>
  </si>
  <si>
    <t xml:space="preserve">Valuation date</t>
  </si>
  <si>
    <t xml:space="preserve">2026-09-23</t>
  </si>
  <si>
    <t xml:space="preserve">Current price</t>
  </si>
  <si>
    <t xml:space="preserve">Price as of</t>
  </si>
  <si>
    <t xml:space="preserve">2026-09-23T06:10:04Z (16:10 AEST, ASX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</si>
  <si>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</si>
  <si>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</si>
  <si>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</si>
  <si>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</si>
  <si>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</si>
  <si>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</si>
  <si>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</si>
  <si>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</si>
  <si>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</si>
  <si>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</si>
  <si>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</si>
  <si>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</si>
  <si>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2026-09-23T08:52:21Z</t>
  </si>
  <si>
    <t xml:space="preserve">Drivers file</t>
  </si>
  <si>
    <t xml:space="preserve">JBH.AX_Drivers.json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</si>
  <si>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</si>
  <si>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</si>
  <si>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</si>
  <si>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JB Hi-Fi as a mature cash-generative retailer on fully lease-burdened, SBC-expensed owner FCF (~4.2% of sales normalised), not on post-AASB16 EBITDA. The FY2026 owner FCF of $381m is depressed by a ~$107m inventory/payables outflow; the component build normalises that to ~$460m and grows it with the store network. Leases are an operating cost (treatment B) so the $705m of lease liabilities never appears in net debt; SBC is charged in the flows and the 109.7m share count is held flat. Cyclicality is carried in the bear scenario and a 25% bear weight, with one 9.5% AUD WACC across all scenarios.
key_risks_to_valuation: Discretionary demand: July 2026 comps were negative in JB Australia (-1.4%) and The Good Guys (-1.7%); a second consecutive soft year pushes FY2027 toward the bear path.; Channel shift: Amazon Australia and vendor DTC in technology categories; supplier price rises and stock allocation are already cited by management as constraints.; Margin structure: adj EBITDA of 9.25% is ~75bps above the pre-COVID equivalent; the base case assumes it holds rather than reverting.; Lease burden: $249m/yr of lease cash (2.25% of sales) is largely fixed, so operating deleverage on a sales decline is sharp -- the bear case takes lease cost to 2.4% of sales.; Working capital: two consecutive years of inventory build (FY2025 -$44m, FY2026 -$107m); the base case assumes only 5% of incremental revenue is consumed.; Terminal multiple: with margins mature, ~50% of value sits in the terminal; the 14x cap (not Gordon) is what binds in the base case.</t>
  </si>
  <si>
    <t xml:space="preserve">Data sources</t>
  </si>
  <si>
    <t xml:space="preserve">price: Yahoo Finance chart API at inputs.price_as_of (ASX regular close); 52-week range 64.18-120.0.
financials: JBH.AX_Metrics.csv (core_metrics, FY2016-FY2026 annual + H1 halves) and the FY2026 annual report (JBH.AX_Annual_FY2026.txt): cash-flow statement lines 5834-5853 (interest received, lease interest, tax paid, capex, lease principal), note 16 leases (lines 6716-6821, ROU depreciation 208.1), note 25 cash-flow reconciliation (lines 6910-6921), EPS note (lines 6067-6086, diluted denominator), balance sheet (lines 5748-5764).
qualitative: FY2026 annual report segment review (lines 1313-1420), strategic priorities (lines 1817-1820: 4 AU + 2 NZ new stores FY2027), and the 'Sales update and trading outlook as at 17 August 2026' (lines 1991-2011). JBH.AX_Analysis.json was not yet available at build time.</t>
  </si>
  <si>
    <t xml:space="preserve">Scenario narrative: bear</t>
  </si>
  <si>
    <t xml:space="preserve">The consumer weakness visible in July 2026 is structural rather than cyclical: online pure-plays (Amazon AU, Temu) and vendor direct-to-consumer channels erode JB's technology share, promotional intensity compresses gross margin, and the appliance banners (TGG, e&amp;s) stay in a housing-linked slump. Sales fall 1.5% in FY2027 and grow only 2% thereafter; adj EBITDA reverts to the pre-COVID structure (~8.5%) while rents keep rising against a flat sales base. No solvency question -- zero bank debt and $200m+ cash -- but a 12x exit multiple on shrinking real earnings.</t>
  </si>
  <si>
    <t xml:space="preserve">Scenario narrative: base</t>
  </si>
  <si>
    <t xml:space="preserve">JB Hi-Fi remains the scale leader in Australian consumer electronics with a low-cost, high-turnover model (inventory turns 6.5x, CODB ~15%). FY2027 is a soft year -- the 17 Aug 2026 update showed July comparable sales of -1.4% in JB Australia and -1.7% in The Good Guys, with customers 'increasingly looking for value and migrating their spend to key promotional events' and technology categories held back by supplier price rises and stock availability -- so revenue grows only 1.5% and adj EBITDA slips 15bps. From FY2028 growth reverts to ~3.5% (population + CPI + modest share gain from 4 AU and 2 NZ new stores a year) and margins hold at the FY2026 level. No margin expansion, no re-rating: value is the ~$460-500m/yr of owner FCF the network already produces, capitalised at 14x.</t>
  </si>
  <si>
    <t xml:space="preserve">Scenario narrative: bull</t>
  </si>
  <si>
    <t xml:space="preserve">A device-replacement cycle (AI PCs, next-gen consoles and handsets) coincides with Australian rate cuts, lifting discretionary spend from FY2028; JB Hi-Fi NZ keeps compounding at 15%+ comps and reaches sustainable mid-single-digit EBIT margins; e&amp;s' premium appliance format scales beyond Victoria; The Good Guys recovers toward its FY2022-23 ~$240m EBIT. Operating leverage on a largely fixed lease and labour base takes adj EBITDA to 9.75% -- still short of the COVID peak -- and the market pays 16x owner FCF for a compounder.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</si>
  <si>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</si>
  <si>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</si>
  <si>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</si>
  <si>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</si>
  <si>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</si>
  <si>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</si>
  <si>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</si>
  <si>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</si>
  <si>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</si>
  <si>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</si>
  <si>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</si>
  <si>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</si>
  <si>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</si>
  <si>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</si>
  <si>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</si>
  <si>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</si>
  <si>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</si>
  <si>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</si>
  <si>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</si>
  <si>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</si>
  <si>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</si>
  <si>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</si>
  <si>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</si>
  <si>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</si>
  <si>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</si>
  <si>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</si>
  <si>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</si>
  <si>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BasicEPS</t>
  </si>
  <si>
    <t xml:space="preserve">LeasePrincipalPaid</t>
  </si>
  <si>
    <t xml:space="preserve">OnMarketBuyback</t>
  </si>
  <si>
    <t xml:space="preserve">TreasurySharesPurchased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</si>
  <si>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</si>
  <si>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</si>
  <si>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</si>
  <si>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</si>
  <si>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</si>
  <si>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</si>
  <si>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</si>
  <si>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</si>
  <si>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</si>
  <si>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</si>
  <si>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</si>
  <si>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</si>
  <si>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</si>
  <si>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</si>
  <si>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</si>
  <si>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</si>
  <si>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</si>
  <si>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</si>
  <si>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</si>
  <si>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</si>
  <si>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</si>
  <si>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</si>
  <si>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</si>
  <si>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</si>
  <si>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</si>
  <si>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</si>
  <si>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</si>
  <si>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</si>
  <si>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</si>
  <si>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</si>
  <si>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</si>
  <si>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</si>
  <si>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</si>
  <si>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</si>
  <si>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</si>
  <si>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</si>
  <si>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</si>
  <si>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</si>
  <si>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</si>
  <si>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</si>
  <si>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</si>
  <si>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</si>
  <si>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</si>
  <si>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</si>
  <si>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</si>
  <si>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</si>
  <si>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</si>
  <si>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</si>
  <si>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JBH.AX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</si>
  <si>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</si>
  <si>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</si>
  <si>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</si>
  <si>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</si>
  <si>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</si>
  <si>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</si>
  <si>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</si>
  <si>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</si>
  <si>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</si>
  <si>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</si>
  <si>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</si>
  <si>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</si>
  <si>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</si>
  <si>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</si>
  <si>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</si>
  <si>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</si>
  <si>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</si>
  <si>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</si>
  <si>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</si>
  <si>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</si>
  <si>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</si>
  <si>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</si>
  <si>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</si>
  <si>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</si>
  <si>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</si>
  <si>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</si>
  <si>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</si>
  <si>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</si>
  <si>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</si>
  <si>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</si>
  <si>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JBH.AX owner-FCF component DCF: base case (millions, AUD)</t>
  </si>
  <si>
    <t xml:space="preserve">JBH.AX owner-FCF component DCF: bull case (millions, AUD)</t>
  </si>
  <si>
    <t xml:space="preserve">JBH.AX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</si>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</sst>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67.73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3954.467</v>
      </c>
      <c r="C2" s="0" t="n">
        <v>3089.059</v>
      </c>
      <c r="D2" s="0" t="n">
        <v>865.408</v>
      </c>
      <c r="E2" s="0" t="n">
        <v>21.9</v>
      </c>
      <c r="F2" s="0" t="n">
        <v>220.547</v>
      </c>
      <c r="G2" s="0" t="n">
        <v>5.6</v>
      </c>
      <c r="H2" s="0" t="n">
        <v>262.076</v>
      </c>
      <c r="I2" s="0" t="n">
        <v>152.181</v>
      </c>
      <c r="J2" s="0" t="n">
        <v>3.8</v>
      </c>
      <c r="K2" s="0" t="n">
        <v>1.5213</v>
      </c>
      <c r="L2" s="0" t="n">
        <v>185.14</v>
      </c>
      <c r="M2" s="0" t="n">
        <v>52.343</v>
      </c>
      <c r="N2" s="0" t="n">
        <v>132.8</v>
      </c>
      <c r="O2" s="0" t="n">
        <v>404.702</v>
      </c>
      <c r="P2" s="0" t="n">
        <v>992.381</v>
      </c>
      <c r="Q2" s="0" t="n">
        <v>587.679</v>
      </c>
      <c r="R2" s="0" t="n">
        <v>109.736</v>
      </c>
      <c r="S2" s="0" t="n">
        <v>51.884</v>
      </c>
      <c r="T2" s="0" t="n">
        <v>100.03</v>
      </c>
      <c r="U2" s="0" t="n">
        <v>4.307</v>
      </c>
      <c r="AA2" s="0" t="s">
        <v>17</v>
      </c>
      <c r="AB2" s="0" t="s">
        <v>14</v>
      </c>
      <c r="AC2" s="0" t="n">
        <v>1.5376</v>
      </c>
      <c r="AE2" s="0" t="n">
        <v>13.181</v>
      </c>
    </row>
    <row r="3" customFormat="false" ht="15" hidden="false" customHeight="false" outlineLevel="0" collapsed="false">
      <c r="A3" s="0" t="s">
        <v>68</v>
      </c>
      <c r="B3" s="0" t="n">
        <v>5628</v>
      </c>
      <c r="C3" s="0" t="n">
        <v>4397.5</v>
      </c>
      <c r="D3" s="0" t="n">
        <v>1230.5</v>
      </c>
      <c r="E3" s="0" t="n">
        <v>21.9</v>
      </c>
      <c r="F3" s="0" t="n">
        <v>268.2</v>
      </c>
      <c r="G3" s="0" t="n">
        <v>4.8</v>
      </c>
      <c r="H3" s="0" t="n">
        <v>337.9</v>
      </c>
      <c r="I3" s="0" t="n">
        <v>172.4</v>
      </c>
      <c r="J3" s="0" t="n">
        <v>3.1</v>
      </c>
      <c r="K3" s="0" t="n">
        <v>1.5294</v>
      </c>
      <c r="L3" s="0" t="n">
        <v>190.6</v>
      </c>
      <c r="M3" s="0" t="n">
        <v>49.1</v>
      </c>
      <c r="N3" s="0" t="n">
        <v>141.5</v>
      </c>
      <c r="O3" s="0" t="n">
        <v>853.5</v>
      </c>
      <c r="P3" s="0" t="n">
        <v>2452.3</v>
      </c>
      <c r="Q3" s="0" t="n">
        <v>1598.8</v>
      </c>
      <c r="R3" s="0" t="n">
        <v>558.8</v>
      </c>
      <c r="S3" s="0" t="n">
        <v>72.8</v>
      </c>
      <c r="T3" s="0" t="n">
        <v>112.72</v>
      </c>
      <c r="U3" s="0" t="n">
        <v>5.3</v>
      </c>
      <c r="W3" s="0" t="n">
        <v>360.3</v>
      </c>
      <c r="AA3" s="0" t="s">
        <v>17</v>
      </c>
      <c r="AB3" s="0" t="s">
        <v>14</v>
      </c>
      <c r="AC3" s="0" t="n">
        <v>1.543</v>
      </c>
    </row>
    <row r="4" customFormat="false" ht="15" hidden="false" customHeight="false" outlineLevel="0" collapsed="false">
      <c r="A4" s="0" t="s">
        <v>69</v>
      </c>
      <c r="B4" s="0" t="n">
        <v>6854.3</v>
      </c>
      <c r="C4" s="0" t="n">
        <v>5384.1</v>
      </c>
      <c r="D4" s="0" t="n">
        <v>1470.2</v>
      </c>
      <c r="E4" s="0" t="n">
        <v>21.4</v>
      </c>
      <c r="F4" s="0" t="n">
        <v>350.6</v>
      </c>
      <c r="G4" s="0" t="n">
        <v>5.1</v>
      </c>
      <c r="H4" s="0" t="n">
        <v>411.7</v>
      </c>
      <c r="I4" s="0" t="n">
        <v>233.2</v>
      </c>
      <c r="J4" s="0" t="n">
        <v>3.4</v>
      </c>
      <c r="K4" s="0" t="n">
        <v>2.0111</v>
      </c>
      <c r="L4" s="0" t="n">
        <v>292.1</v>
      </c>
      <c r="M4" s="0" t="n">
        <v>54.4</v>
      </c>
      <c r="N4" s="0" t="n">
        <v>237.7</v>
      </c>
      <c r="O4" s="0" t="n">
        <v>947.6</v>
      </c>
      <c r="P4" s="0" t="n">
        <v>2491.7</v>
      </c>
      <c r="Q4" s="0" t="n">
        <v>1544.1</v>
      </c>
      <c r="R4" s="0" t="n">
        <v>469.4</v>
      </c>
      <c r="S4" s="0" t="n">
        <v>72</v>
      </c>
      <c r="T4" s="0" t="n">
        <v>115.96</v>
      </c>
      <c r="U4" s="0" t="n">
        <v>7.8</v>
      </c>
      <c r="AA4" s="0" t="s">
        <v>17</v>
      </c>
      <c r="AB4" s="0" t="s">
        <v>14</v>
      </c>
      <c r="AC4" s="0" t="n">
        <v>2.0309</v>
      </c>
    </row>
    <row r="5" customFormat="false" ht="15" hidden="false" customHeight="false" outlineLevel="0" collapsed="false">
      <c r="A5" s="0" t="s">
        <v>70</v>
      </c>
      <c r="B5" s="0" t="n">
        <v>7095.3</v>
      </c>
      <c r="C5" s="0" t="n">
        <v>5568.2</v>
      </c>
      <c r="D5" s="0" t="n">
        <v>1527.1</v>
      </c>
      <c r="E5" s="0" t="n">
        <v>21.5</v>
      </c>
      <c r="F5" s="0" t="n">
        <v>372.9</v>
      </c>
      <c r="G5" s="0" t="n">
        <v>5.3</v>
      </c>
      <c r="H5" s="0" t="n">
        <v>429.1</v>
      </c>
      <c r="I5" s="0" t="n">
        <v>249.8</v>
      </c>
      <c r="J5" s="0" t="n">
        <v>3.5</v>
      </c>
      <c r="K5" s="0" t="n">
        <v>2.1527</v>
      </c>
      <c r="L5" s="0" t="n">
        <v>301.6</v>
      </c>
      <c r="M5" s="0" t="n">
        <v>59.3</v>
      </c>
      <c r="N5" s="0" t="n">
        <v>242.3</v>
      </c>
      <c r="O5" s="0" t="n">
        <v>1044.1</v>
      </c>
      <c r="P5" s="0" t="n">
        <v>2548.8</v>
      </c>
      <c r="Q5" s="0" t="n">
        <v>1504.7</v>
      </c>
      <c r="R5" s="0" t="n">
        <v>439.1</v>
      </c>
      <c r="S5" s="0" t="n">
        <v>119.2</v>
      </c>
      <c r="T5" s="0" t="n">
        <v>116.04</v>
      </c>
      <c r="U5" s="0" t="n">
        <v>10.2</v>
      </c>
      <c r="AA5" s="0" t="s">
        <v>17</v>
      </c>
      <c r="AB5" s="0" t="s">
        <v>14</v>
      </c>
      <c r="AC5" s="0" t="n">
        <v>2.1744</v>
      </c>
      <c r="AF5" s="0" t="n">
        <v>8.8</v>
      </c>
    </row>
    <row r="6" customFormat="false" ht="15" hidden="false" customHeight="false" outlineLevel="0" collapsed="false">
      <c r="A6" s="0" t="s">
        <v>71</v>
      </c>
      <c r="B6" s="0" t="n">
        <v>7918.9</v>
      </c>
      <c r="C6" s="0" t="n">
        <v>6224.8</v>
      </c>
      <c r="D6" s="0" t="n">
        <v>1694.1</v>
      </c>
      <c r="E6" s="0" t="n">
        <v>21.4</v>
      </c>
      <c r="F6" s="0" t="n">
        <v>483.3</v>
      </c>
      <c r="G6" s="0" t="n">
        <v>6.1</v>
      </c>
      <c r="H6" s="0" t="n">
        <v>718</v>
      </c>
      <c r="I6" s="0" t="n">
        <v>302.3</v>
      </c>
      <c r="J6" s="0" t="n">
        <v>3.8</v>
      </c>
      <c r="K6" s="0" t="n">
        <v>2.6069</v>
      </c>
      <c r="L6" s="0" t="n">
        <v>981.3</v>
      </c>
      <c r="M6" s="0" t="n">
        <v>43.1</v>
      </c>
      <c r="N6" s="0" t="n">
        <v>938.2</v>
      </c>
      <c r="O6" s="0" t="n">
        <v>1105.7</v>
      </c>
      <c r="P6" s="0" t="n">
        <v>3152.3</v>
      </c>
      <c r="Q6" s="0" t="n">
        <v>2046.6</v>
      </c>
      <c r="R6" s="0" t="n">
        <v>0</v>
      </c>
      <c r="S6" s="0" t="n">
        <v>251.5</v>
      </c>
      <c r="T6" s="0" t="n">
        <v>115.96</v>
      </c>
      <c r="U6" s="0" t="n">
        <v>12.1</v>
      </c>
      <c r="AA6" s="0" t="s">
        <v>17</v>
      </c>
      <c r="AB6" s="0" t="s">
        <v>14</v>
      </c>
      <c r="AC6" s="0" t="n">
        <v>2.6311</v>
      </c>
      <c r="AD6" s="0" t="n">
        <v>161.8</v>
      </c>
      <c r="AF6" s="0" t="n">
        <v>32.9</v>
      </c>
    </row>
    <row r="7" customFormat="false" ht="15" hidden="false" customHeight="false" outlineLevel="0" collapsed="false">
      <c r="A7" s="0" t="s">
        <v>72</v>
      </c>
      <c r="B7" s="0" t="n">
        <v>8916.1</v>
      </c>
      <c r="C7" s="0" t="n">
        <v>6938.9</v>
      </c>
      <c r="D7" s="0" t="n">
        <v>1977.2</v>
      </c>
      <c r="E7" s="0" t="n">
        <v>22.2</v>
      </c>
      <c r="F7" s="0" t="n">
        <v>743.1</v>
      </c>
      <c r="G7" s="0" t="n">
        <v>8.3</v>
      </c>
      <c r="H7" s="0" t="n">
        <v>961.6</v>
      </c>
      <c r="I7" s="0" t="n">
        <v>506.1</v>
      </c>
      <c r="J7" s="0" t="n">
        <v>5.7</v>
      </c>
      <c r="K7" s="0" t="n">
        <v>4.3783</v>
      </c>
      <c r="L7" s="0" t="n">
        <v>558.7</v>
      </c>
      <c r="M7" s="0" t="n">
        <v>57.7</v>
      </c>
      <c r="N7" s="0" t="n">
        <v>501</v>
      </c>
      <c r="O7" s="0" t="n">
        <v>1308.4</v>
      </c>
      <c r="P7" s="0" t="n">
        <v>3255.3</v>
      </c>
      <c r="Q7" s="0" t="n">
        <v>1946.9</v>
      </c>
      <c r="R7" s="0" t="n">
        <v>0</v>
      </c>
      <c r="S7" s="0" t="n">
        <v>263.2</v>
      </c>
      <c r="T7" s="0" t="n">
        <v>115.59</v>
      </c>
      <c r="U7" s="0" t="n">
        <v>13.5</v>
      </c>
      <c r="AA7" s="0" t="s">
        <v>17</v>
      </c>
      <c r="AB7" s="0" t="s">
        <v>14</v>
      </c>
      <c r="AC7" s="0" t="n">
        <v>4.4075</v>
      </c>
      <c r="AD7" s="0" t="n">
        <v>168.9</v>
      </c>
      <c r="AF7" s="0" t="n">
        <v>10.2</v>
      </c>
    </row>
    <row r="8" customFormat="false" ht="15" hidden="false" customHeight="false" outlineLevel="0" collapsed="false">
      <c r="A8" s="0" t="s">
        <v>73</v>
      </c>
      <c r="B8" s="0" t="n">
        <v>9232</v>
      </c>
      <c r="C8" s="0" t="n">
        <v>7151.6</v>
      </c>
      <c r="D8" s="0" t="n">
        <v>2080.4</v>
      </c>
      <c r="E8" s="0" t="n">
        <v>22.5</v>
      </c>
      <c r="F8" s="0" t="n">
        <v>794.6</v>
      </c>
      <c r="G8" s="0" t="n">
        <v>8.6</v>
      </c>
      <c r="H8" s="0" t="n">
        <v>1013.9</v>
      </c>
      <c r="I8" s="0" t="n">
        <v>544.9</v>
      </c>
      <c r="J8" s="0" t="n">
        <v>5.9</v>
      </c>
      <c r="K8" s="0" t="n">
        <v>4.7745</v>
      </c>
      <c r="L8" s="0" t="n">
        <v>627.4</v>
      </c>
      <c r="M8" s="0" t="n">
        <v>57.6</v>
      </c>
      <c r="N8" s="0" t="n">
        <v>569.8</v>
      </c>
      <c r="O8" s="0" t="n">
        <v>1280.3</v>
      </c>
      <c r="P8" s="0" t="n">
        <v>3161.4</v>
      </c>
      <c r="Q8" s="0" t="n">
        <v>1881.1</v>
      </c>
      <c r="R8" s="0" t="n">
        <v>59.4</v>
      </c>
      <c r="S8" s="0" t="n">
        <v>125.6</v>
      </c>
      <c r="T8" s="0" t="n">
        <v>114.13</v>
      </c>
      <c r="U8" s="0" t="n">
        <v>12.8</v>
      </c>
      <c r="AA8" s="0" t="s">
        <v>17</v>
      </c>
      <c r="AB8" s="0" t="s">
        <v>14</v>
      </c>
      <c r="AC8" s="0" t="n">
        <v>4.7946</v>
      </c>
      <c r="AD8" s="0" t="n">
        <v>177.6</v>
      </c>
      <c r="AF8" s="0" t="n">
        <v>28.2</v>
      </c>
    </row>
    <row r="9" customFormat="false" ht="15" hidden="false" customHeight="false" outlineLevel="0" collapsed="false">
      <c r="A9" s="0" t="s">
        <v>74</v>
      </c>
      <c r="B9" s="0" t="n">
        <v>9626.4</v>
      </c>
      <c r="C9" s="0" t="n">
        <v>7443.9</v>
      </c>
      <c r="D9" s="0" t="n">
        <v>2182.5</v>
      </c>
      <c r="E9" s="0" t="n">
        <v>22.7</v>
      </c>
      <c r="F9" s="0" t="n">
        <v>769</v>
      </c>
      <c r="G9" s="0" t="n">
        <v>8</v>
      </c>
      <c r="H9" s="0" t="n">
        <v>993.2</v>
      </c>
      <c r="I9" s="0" t="n">
        <v>524.6</v>
      </c>
      <c r="J9" s="0" t="n">
        <v>5.4</v>
      </c>
      <c r="K9" s="0" t="n">
        <v>4.7791</v>
      </c>
      <c r="L9" s="0" t="n">
        <v>716.4</v>
      </c>
      <c r="M9" s="0" t="n">
        <v>72</v>
      </c>
      <c r="N9" s="0" t="n">
        <v>644.4</v>
      </c>
      <c r="O9" s="0" t="n">
        <v>1419.6</v>
      </c>
      <c r="P9" s="0" t="n">
        <v>3234.9</v>
      </c>
      <c r="Q9" s="0" t="n">
        <v>1815.3</v>
      </c>
      <c r="R9" s="0" t="n">
        <v>49.8</v>
      </c>
      <c r="S9" s="0" t="n">
        <v>177.3</v>
      </c>
      <c r="T9" s="0" t="n">
        <v>109.77</v>
      </c>
      <c r="U9" s="0" t="n">
        <v>13.8</v>
      </c>
      <c r="AA9" s="0" t="s">
        <v>17</v>
      </c>
      <c r="AB9" s="0" t="s">
        <v>14</v>
      </c>
      <c r="AC9" s="0" t="n">
        <v>4.799</v>
      </c>
      <c r="AD9" s="0" t="n">
        <v>182.8</v>
      </c>
      <c r="AF9" s="0" t="n">
        <v>17.3</v>
      </c>
    </row>
    <row r="10" customFormat="false" ht="15" hidden="false" customHeight="false" outlineLevel="0" collapsed="false">
      <c r="A10" s="0" t="s">
        <v>75</v>
      </c>
      <c r="B10" s="0" t="n">
        <v>9592.4</v>
      </c>
      <c r="C10" s="0" t="n">
        <v>7452</v>
      </c>
      <c r="D10" s="0" t="n">
        <v>2140.4</v>
      </c>
      <c r="E10" s="0" t="n">
        <v>22.3</v>
      </c>
      <c r="F10" s="0" t="n">
        <v>647.2</v>
      </c>
      <c r="G10" s="0" t="n">
        <v>6.7</v>
      </c>
      <c r="H10" s="0" t="n">
        <v>884.3</v>
      </c>
      <c r="I10" s="0" t="n">
        <v>438.8</v>
      </c>
      <c r="J10" s="0" t="n">
        <v>4.6</v>
      </c>
      <c r="K10" s="0" t="n">
        <v>3.9967</v>
      </c>
      <c r="L10" s="0" t="n">
        <v>752.6</v>
      </c>
      <c r="M10" s="0" t="n">
        <v>74.5</v>
      </c>
      <c r="N10" s="0" t="n">
        <v>678.1</v>
      </c>
      <c r="O10" s="0" t="n">
        <v>1559.1</v>
      </c>
      <c r="P10" s="0" t="n">
        <v>3486.6</v>
      </c>
      <c r="Q10" s="0" t="n">
        <v>1927.5</v>
      </c>
      <c r="R10" s="0" t="n">
        <v>15</v>
      </c>
      <c r="S10" s="0" t="n">
        <v>317.7</v>
      </c>
      <c r="T10" s="0" t="n">
        <v>109.79</v>
      </c>
      <c r="U10" s="0" t="n">
        <v>15.7</v>
      </c>
      <c r="AA10" s="0" t="s">
        <v>17</v>
      </c>
      <c r="AB10" s="0" t="s">
        <v>14</v>
      </c>
      <c r="AC10" s="0" t="n">
        <v>4.0136</v>
      </c>
      <c r="AD10" s="0" t="n">
        <v>187.6</v>
      </c>
      <c r="AF10" s="0" t="n">
        <v>17</v>
      </c>
    </row>
    <row r="11" customFormat="false" ht="15" hidden="false" customHeight="false" outlineLevel="0" collapsed="false">
      <c r="A11" s="0" t="s">
        <v>76</v>
      </c>
      <c r="B11" s="0" t="n">
        <v>10554.8</v>
      </c>
      <c r="C11" s="0" t="n">
        <v>8194.4</v>
      </c>
      <c r="D11" s="0" t="n">
        <v>2360.4</v>
      </c>
      <c r="E11" s="0" t="n">
        <v>22.4</v>
      </c>
      <c r="F11" s="0" t="n">
        <v>694.1</v>
      </c>
      <c r="G11" s="0" t="n">
        <v>6.6</v>
      </c>
      <c r="H11" s="0" t="n">
        <v>952.9</v>
      </c>
      <c r="I11" s="0" t="n">
        <v>462.4</v>
      </c>
      <c r="J11" s="0" t="n">
        <v>4.4</v>
      </c>
      <c r="K11" s="0" t="n">
        <v>4.2137</v>
      </c>
      <c r="L11" s="0" t="n">
        <v>711.6</v>
      </c>
      <c r="M11" s="0" t="n">
        <v>82.3</v>
      </c>
      <c r="N11" s="0" t="n">
        <v>629.3</v>
      </c>
      <c r="O11" s="0" t="n">
        <v>1621.8</v>
      </c>
      <c r="P11" s="0" t="n">
        <v>3882.7</v>
      </c>
      <c r="Q11" s="0" t="n">
        <v>2260.9</v>
      </c>
      <c r="R11" s="0" t="n">
        <v>0</v>
      </c>
      <c r="S11" s="0" t="n">
        <v>284.1</v>
      </c>
      <c r="T11" s="0" t="n">
        <v>109.74</v>
      </c>
      <c r="U11" s="0" t="n">
        <v>16.6</v>
      </c>
      <c r="AA11" s="0" t="s">
        <v>17</v>
      </c>
      <c r="AB11" s="0" t="s">
        <v>14</v>
      </c>
      <c r="AC11" s="0" t="n">
        <v>4.2298</v>
      </c>
      <c r="AD11" s="0" t="n">
        <v>199.2</v>
      </c>
      <c r="AF11" s="0" t="n">
        <v>20.9</v>
      </c>
    </row>
    <row r="12" customFormat="false" ht="15" hidden="false" customHeight="false" outlineLevel="0" collapsed="false">
      <c r="A12" s="0" t="s">
        <v>77</v>
      </c>
      <c r="B12" s="0" t="n">
        <v>11064</v>
      </c>
      <c r="C12" s="0" t="n">
        <v>8581.6</v>
      </c>
      <c r="D12" s="0" t="n">
        <v>2482.4</v>
      </c>
      <c r="E12" s="0" t="n">
        <v>22.4</v>
      </c>
      <c r="F12" s="0" t="n">
        <v>734.4</v>
      </c>
      <c r="G12" s="0" t="n">
        <v>6.6</v>
      </c>
      <c r="H12" s="0" t="n">
        <v>1008.4</v>
      </c>
      <c r="I12" s="0" t="n">
        <v>489.9</v>
      </c>
      <c r="J12" s="0" t="n">
        <v>4.4</v>
      </c>
      <c r="K12" s="0" t="n">
        <v>4.4671</v>
      </c>
      <c r="L12" s="0" t="n">
        <v>701.2</v>
      </c>
      <c r="M12" s="0" t="n">
        <v>87.5</v>
      </c>
      <c r="N12" s="0" t="n">
        <v>613.7</v>
      </c>
      <c r="O12" s="0" t="n">
        <v>1643.3</v>
      </c>
      <c r="P12" s="0" t="n">
        <v>3871.7</v>
      </c>
      <c r="Q12" s="0" t="n">
        <v>2228.4</v>
      </c>
      <c r="R12" s="0" t="n">
        <v>0</v>
      </c>
      <c r="S12" s="0" t="n">
        <v>206.5</v>
      </c>
      <c r="T12" s="0" t="n">
        <v>109.67</v>
      </c>
      <c r="U12" s="0" t="n">
        <v>15</v>
      </c>
      <c r="AA12" s="0" t="s">
        <v>17</v>
      </c>
      <c r="AB12" s="0" t="s">
        <v>14</v>
      </c>
      <c r="AC12" s="0" t="n">
        <v>4.4814</v>
      </c>
      <c r="AD12" s="0" t="n">
        <v>210.4</v>
      </c>
      <c r="AF12" s="0" t="n">
        <v>26.9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67.73</v>
      </c>
    </row>
    <row r="3" customFormat="false" ht="15" hidden="false" customHeight="false" outlineLevel="0" collapsed="false">
      <c r="A3" s="0" t="s">
        <v>81</v>
      </c>
      <c r="B3" s="3" t="n">
        <v>109.7</v>
      </c>
    </row>
    <row r="4" customFormat="false" ht="15" hidden="false" customHeight="false" outlineLevel="0" collapsed="false">
      <c r="A4" s="0" t="s">
        <v>82</v>
      </c>
      <c r="B4" s="3" t="n">
        <v>-206.5</v>
      </c>
    </row>
    <row r="5" customFormat="false" ht="15" hidden="false" customHeight="false" outlineLevel="0" collapsed="false">
      <c r="A5" s="0" t="s">
        <v>83</v>
      </c>
      <c r="B5" s="3" t="n">
        <v>-4.8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11064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-1.5</v>
      </c>
      <c r="D13" s="3" t="n">
        <v>0.5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8.7</v>
      </c>
      <c r="D14" s="3" t="n">
        <v>8.4</v>
      </c>
      <c r="E14" s="3" t="n">
        <v>8.3</v>
      </c>
      <c r="F14" s="3" t="n">
        <v>8.3</v>
      </c>
      <c r="G14" s="3" t="n">
        <v>8.4</v>
      </c>
      <c r="H14" s="3" t="n">
        <v>8.5</v>
      </c>
      <c r="I14" s="3" t="n">
        <v>8.5</v>
      </c>
      <c r="J14" s="3" t="n">
        <v>8.5</v>
      </c>
      <c r="K14" s="3" t="n">
        <v>8.5</v>
      </c>
      <c r="L14" s="3" t="n">
        <v>8.5</v>
      </c>
    </row>
    <row r="15" customFormat="false" ht="15" hidden="false" customHeight="false" outlineLevel="0" collapsed="false">
      <c r="A15" s="0" t="s">
        <v>103</v>
      </c>
      <c r="C15" s="3" t="n">
        <v>0.15</v>
      </c>
      <c r="D15" s="3" t="n">
        <v>0.15</v>
      </c>
      <c r="E15" s="3" t="n">
        <v>0.15</v>
      </c>
      <c r="F15" s="3" t="n">
        <v>0.15</v>
      </c>
      <c r="G15" s="3" t="n">
        <v>0.15</v>
      </c>
      <c r="H15" s="3" t="n">
        <v>0.15</v>
      </c>
      <c r="I15" s="3" t="n">
        <v>0.15</v>
      </c>
      <c r="J15" s="3" t="n">
        <v>0.15</v>
      </c>
      <c r="K15" s="3" t="n">
        <v>0.15</v>
      </c>
      <c r="L15" s="3" t="n">
        <v>0.15</v>
      </c>
    </row>
    <row r="16" customFormat="false" ht="15" hidden="false" customHeight="false" outlineLevel="0" collapsed="false">
      <c r="A16" s="0" t="s">
        <v>104</v>
      </c>
      <c r="C16" s="3" t="n">
        <v>2.35</v>
      </c>
      <c r="D16" s="3" t="n">
        <v>2.4</v>
      </c>
      <c r="E16" s="3" t="n">
        <v>2.4</v>
      </c>
      <c r="F16" s="3" t="n">
        <v>2.38</v>
      </c>
      <c r="G16" s="3" t="n">
        <v>2.35</v>
      </c>
      <c r="H16" s="3" t="n">
        <v>2.35</v>
      </c>
      <c r="I16" s="3" t="n">
        <v>2.35</v>
      </c>
      <c r="J16" s="3" t="n">
        <v>2.35</v>
      </c>
      <c r="K16" s="3" t="n">
        <v>2.35</v>
      </c>
      <c r="L16" s="3" t="n">
        <v>2.35</v>
      </c>
    </row>
    <row r="17" customFormat="false" ht="15" hidden="false" customHeight="false" outlineLevel="0" collapsed="false">
      <c r="A17" s="0" t="s">
        <v>105</v>
      </c>
      <c r="C17" s="3" t="n">
        <v>0.6</v>
      </c>
      <c r="D17" s="3" t="n">
        <v>0.62</v>
      </c>
      <c r="E17" s="3" t="n">
        <v>0.64</v>
      </c>
      <c r="F17" s="3" t="n">
        <v>0.65</v>
      </c>
      <c r="G17" s="3" t="n">
        <v>0.65</v>
      </c>
      <c r="H17" s="3" t="n">
        <v>0.65</v>
      </c>
      <c r="I17" s="3" t="n">
        <v>0.65</v>
      </c>
      <c r="J17" s="3" t="n">
        <v>0.65</v>
      </c>
      <c r="K17" s="3" t="n">
        <v>0.65</v>
      </c>
      <c r="L17" s="3" t="n">
        <v>0.65</v>
      </c>
    </row>
    <row r="18" customFormat="false" ht="15" hidden="false" customHeight="false" outlineLevel="0" collapsed="false">
      <c r="A18" s="0" t="s">
        <v>106</v>
      </c>
      <c r="C18" s="3" t="n">
        <v>0.8</v>
      </c>
      <c r="D18" s="3" t="n">
        <v>0.75</v>
      </c>
      <c r="E18" s="3" t="n">
        <v>0.75</v>
      </c>
      <c r="F18" s="3" t="n">
        <v>0.75</v>
      </c>
      <c r="G18" s="3" t="n">
        <v>0.75</v>
      </c>
      <c r="H18" s="3" t="n">
        <v>0.75</v>
      </c>
      <c r="I18" s="3" t="n">
        <v>0.75</v>
      </c>
      <c r="J18" s="3" t="n">
        <v>0.75</v>
      </c>
      <c r="K18" s="3" t="n">
        <v>0.75</v>
      </c>
      <c r="L18" s="3" t="n">
        <v>0.75</v>
      </c>
    </row>
    <row r="19" customFormat="false" ht="15" hidden="false" customHeight="false" outlineLevel="0" collapsed="false">
      <c r="A19" s="0" t="s">
        <v>107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108</v>
      </c>
      <c r="B20" s="3" t="n">
        <v>9.5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12</v>
      </c>
    </row>
    <row r="23" customFormat="false" ht="15" hidden="false" customHeight="false" outlineLevel="0" collapsed="false">
      <c r="A23" s="0" t="s">
        <v>111</v>
      </c>
      <c r="B23" s="3" t="n">
        <v>-10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1.5</v>
      </c>
      <c r="D27" s="3" t="n">
        <v>3.5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9.1</v>
      </c>
      <c r="D28" s="3" t="n">
        <v>9.15</v>
      </c>
      <c r="E28" s="3" t="n">
        <v>9.2</v>
      </c>
      <c r="F28" s="3" t="n">
        <v>9.25</v>
      </c>
      <c r="G28" s="3" t="n">
        <v>9.25</v>
      </c>
      <c r="H28" s="3" t="n">
        <v>9.25</v>
      </c>
      <c r="I28" s="3" t="n">
        <v>9.25</v>
      </c>
      <c r="J28" s="3" t="n">
        <v>9.25</v>
      </c>
      <c r="K28" s="3" t="n">
        <v>9.25</v>
      </c>
      <c r="L28" s="3" t="n">
        <v>9.25</v>
      </c>
    </row>
    <row r="29" customFormat="false" ht="15" hidden="false" customHeight="false" outlineLevel="0" collapsed="false">
      <c r="A29" s="0" t="s">
        <v>103</v>
      </c>
      <c r="C29" s="3" t="n">
        <v>0.14</v>
      </c>
      <c r="D29" s="3" t="n">
        <v>0.14</v>
      </c>
      <c r="E29" s="3" t="n">
        <v>0.14</v>
      </c>
      <c r="F29" s="3" t="n">
        <v>0.14</v>
      </c>
      <c r="G29" s="3" t="n">
        <v>0.14</v>
      </c>
      <c r="H29" s="3" t="n">
        <v>0.14</v>
      </c>
      <c r="I29" s="3" t="n">
        <v>0.14</v>
      </c>
      <c r="J29" s="3" t="n">
        <v>0.14</v>
      </c>
      <c r="K29" s="3" t="n">
        <v>0.14</v>
      </c>
      <c r="L29" s="3" t="n">
        <v>0.14</v>
      </c>
    </row>
    <row r="30" customFormat="false" ht="15" hidden="false" customHeight="false" outlineLevel="0" collapsed="false">
      <c r="A30" s="0" t="s">
        <v>104</v>
      </c>
      <c r="C30" s="3" t="n">
        <v>2.27</v>
      </c>
      <c r="D30" s="3" t="n">
        <v>2.27</v>
      </c>
      <c r="E30" s="3" t="n">
        <v>2.26</v>
      </c>
      <c r="F30" s="3" t="n">
        <v>2.25</v>
      </c>
      <c r="G30" s="3" t="n">
        <v>2.25</v>
      </c>
      <c r="H30" s="3" t="n">
        <v>2.25</v>
      </c>
      <c r="I30" s="3" t="n">
        <v>2.25</v>
      </c>
      <c r="J30" s="3" t="n">
        <v>2.25</v>
      </c>
      <c r="K30" s="3" t="n">
        <v>2.25</v>
      </c>
      <c r="L30" s="3" t="n">
        <v>2.25</v>
      </c>
    </row>
    <row r="31" customFormat="false" ht="15" hidden="false" customHeight="false" outlineLevel="0" collapsed="false">
      <c r="A31" s="0" t="s">
        <v>105</v>
      </c>
      <c r="C31" s="3" t="n">
        <v>0.6</v>
      </c>
      <c r="D31" s="3" t="n">
        <v>0.62</v>
      </c>
      <c r="E31" s="3" t="n">
        <v>0.64</v>
      </c>
      <c r="F31" s="3" t="n">
        <v>0.65</v>
      </c>
      <c r="G31" s="3" t="n">
        <v>0.65</v>
      </c>
      <c r="H31" s="3" t="n">
        <v>0.65</v>
      </c>
      <c r="I31" s="3" t="n">
        <v>0.65</v>
      </c>
      <c r="J31" s="3" t="n">
        <v>0.65</v>
      </c>
      <c r="K31" s="3" t="n">
        <v>0.65</v>
      </c>
      <c r="L31" s="3" t="n">
        <v>0.65</v>
      </c>
    </row>
    <row r="32" customFormat="false" ht="15" hidden="false" customHeight="false" outlineLevel="0" collapsed="false">
      <c r="A32" s="0" t="s">
        <v>106</v>
      </c>
      <c r="C32" s="3" t="n">
        <v>0.8</v>
      </c>
      <c r="D32" s="3" t="n">
        <v>0.8</v>
      </c>
      <c r="E32" s="3" t="n">
        <v>0.8</v>
      </c>
      <c r="F32" s="3" t="n">
        <v>0.8</v>
      </c>
      <c r="G32" s="3" t="n">
        <v>0.8</v>
      </c>
      <c r="H32" s="3" t="n">
        <v>0.8</v>
      </c>
      <c r="I32" s="3" t="n">
        <v>0.8</v>
      </c>
      <c r="J32" s="3" t="n">
        <v>0.8</v>
      </c>
      <c r="K32" s="3" t="n">
        <v>0.8</v>
      </c>
      <c r="L32" s="3" t="n">
        <v>0.8</v>
      </c>
    </row>
    <row r="33" customFormat="false" ht="15" hidden="false" customHeight="false" outlineLevel="0" collapsed="false">
      <c r="A33" s="0" t="s">
        <v>107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108</v>
      </c>
      <c r="B34" s="3" t="n">
        <v>9.5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14</v>
      </c>
    </row>
    <row r="37" customFormat="false" ht="15" hidden="false" customHeight="false" outlineLevel="0" collapsed="false">
      <c r="A37" s="0" t="s">
        <v>111</v>
      </c>
      <c r="B37" s="3" t="n">
        <v>-5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3.5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9.3</v>
      </c>
      <c r="D42" s="3" t="n">
        <v>9.45</v>
      </c>
      <c r="E42" s="3" t="n">
        <v>9.6</v>
      </c>
      <c r="F42" s="3" t="n">
        <v>9.7</v>
      </c>
      <c r="G42" s="3" t="n">
        <v>9.75</v>
      </c>
      <c r="H42" s="3" t="n">
        <v>9.75</v>
      </c>
      <c r="I42" s="3" t="n">
        <v>9.75</v>
      </c>
      <c r="J42" s="3" t="n">
        <v>9.75</v>
      </c>
      <c r="K42" s="3" t="n">
        <v>9.75</v>
      </c>
      <c r="L42" s="3" t="n">
        <v>9.75</v>
      </c>
    </row>
    <row r="43" customFormat="false" ht="15" hidden="false" customHeight="false" outlineLevel="0" collapsed="false">
      <c r="A43" s="0" t="s">
        <v>103</v>
      </c>
      <c r="C43" s="3" t="n">
        <v>0.14</v>
      </c>
      <c r="D43" s="3" t="n">
        <v>0.14</v>
      </c>
      <c r="E43" s="3" t="n">
        <v>0.14</v>
      </c>
      <c r="F43" s="3" t="n">
        <v>0.14</v>
      </c>
      <c r="G43" s="3" t="n">
        <v>0.14</v>
      </c>
      <c r="H43" s="3" t="n">
        <v>0.14</v>
      </c>
      <c r="I43" s="3" t="n">
        <v>0.14</v>
      </c>
      <c r="J43" s="3" t="n">
        <v>0.14</v>
      </c>
      <c r="K43" s="3" t="n">
        <v>0.14</v>
      </c>
      <c r="L43" s="3" t="n">
        <v>0.14</v>
      </c>
    </row>
    <row r="44" customFormat="false" ht="15" hidden="false" customHeight="false" outlineLevel="0" collapsed="false">
      <c r="A44" s="0" t="s">
        <v>104</v>
      </c>
      <c r="C44" s="3" t="n">
        <v>2.22</v>
      </c>
      <c r="D44" s="3" t="n">
        <v>2.2</v>
      </c>
      <c r="E44" s="3" t="n">
        <v>2.18</v>
      </c>
      <c r="F44" s="3" t="n">
        <v>2.16</v>
      </c>
      <c r="G44" s="3" t="n">
        <v>2.15</v>
      </c>
      <c r="H44" s="3" t="n">
        <v>2.15</v>
      </c>
      <c r="I44" s="3" t="n">
        <v>2.15</v>
      </c>
      <c r="J44" s="3" t="n">
        <v>2.15</v>
      </c>
      <c r="K44" s="3" t="n">
        <v>2.15</v>
      </c>
      <c r="L44" s="3" t="n">
        <v>2.15</v>
      </c>
    </row>
    <row r="45" customFormat="false" ht="15" hidden="false" customHeight="false" outlineLevel="0" collapsed="false">
      <c r="A45" s="0" t="s">
        <v>105</v>
      </c>
      <c r="C45" s="3" t="n">
        <v>0.6</v>
      </c>
      <c r="D45" s="3" t="n">
        <v>0.62</v>
      </c>
      <c r="E45" s="3" t="n">
        <v>0.64</v>
      </c>
      <c r="F45" s="3" t="n">
        <v>0.65</v>
      </c>
      <c r="G45" s="3" t="n">
        <v>0.65</v>
      </c>
      <c r="H45" s="3" t="n">
        <v>0.65</v>
      </c>
      <c r="I45" s="3" t="n">
        <v>0.65</v>
      </c>
      <c r="J45" s="3" t="n">
        <v>0.65</v>
      </c>
      <c r="K45" s="3" t="n">
        <v>0.65</v>
      </c>
      <c r="L45" s="3" t="n">
        <v>0.65</v>
      </c>
    </row>
    <row r="46" customFormat="false" ht="15" hidden="false" customHeight="false" outlineLevel="0" collapsed="false">
      <c r="A46" s="0" t="s">
        <v>106</v>
      </c>
      <c r="C46" s="3" t="n">
        <v>0.85</v>
      </c>
      <c r="D46" s="3" t="n">
        <v>0.85</v>
      </c>
      <c r="E46" s="3" t="n">
        <v>0.85</v>
      </c>
      <c r="F46" s="3" t="n">
        <v>0.85</v>
      </c>
      <c r="G46" s="3" t="n">
        <v>0.8</v>
      </c>
      <c r="H46" s="3" t="n">
        <v>0.8</v>
      </c>
      <c r="I46" s="3" t="n">
        <v>0.8</v>
      </c>
      <c r="J46" s="3" t="n">
        <v>0.8</v>
      </c>
      <c r="K46" s="3" t="n">
        <v>0.8</v>
      </c>
      <c r="L46" s="3" t="n">
        <v>0.8</v>
      </c>
    </row>
    <row r="47" customFormat="false" ht="15" hidden="false" customHeight="false" outlineLevel="0" collapsed="false">
      <c r="A47" s="0" t="s">
        <v>107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108</v>
      </c>
      <c r="B48" s="3" t="n">
        <v>9.5</v>
      </c>
    </row>
    <row r="49" customFormat="false" ht="15" hidden="false" customHeight="false" outlineLevel="0" collapsed="false">
      <c r="A49" s="0" t="s">
        <v>109</v>
      </c>
      <c r="B49" s="3" t="n">
        <v>2.75</v>
      </c>
    </row>
    <row r="50" customFormat="false" ht="15" hidden="false" customHeight="false" outlineLevel="0" collapsed="false">
      <c r="A50" s="0" t="s">
        <v>110</v>
      </c>
      <c r="B50" s="3" t="n">
        <v>16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-1.5</v>
      </c>
      <c r="D5" s="4" t="n">
        <f aca="false">Assumptions!D13</f>
        <v>0.5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11064</v>
      </c>
      <c r="C6" s="0" t="n">
        <f aca="false">B6*(1+C5/100)</f>
        <v>10898.04</v>
      </c>
      <c r="D6" s="0" t="n">
        <f aca="false">C6*(1+D5/100)</f>
        <v>10952.5302</v>
      </c>
      <c r="E6" s="0" t="n">
        <f aca="false">D6*(1+E5/100)</f>
        <v>11116.818153</v>
      </c>
      <c r="F6" s="0" t="n">
        <f aca="false">E6*(1+F5/100)</f>
        <v>11339.15451606</v>
      </c>
      <c r="G6" s="0" t="n">
        <f aca="false">F6*(1+G5/100)</f>
        <v>11565.9376063812</v>
      </c>
      <c r="H6" s="0" t="n">
        <f aca="false">G6*(1+H5/100)</f>
        <v>11797.2563585088</v>
      </c>
      <c r="I6" s="0" t="n">
        <f aca="false">H6*(1+I5/100)</f>
        <v>12033.201485679</v>
      </c>
      <c r="J6" s="0" t="n">
        <f aca="false">I6*(1+J5/100)</f>
        <v>12273.8655153926</v>
      </c>
      <c r="K6" s="0" t="n">
        <f aca="false">J6*(1+K5/100)</f>
        <v>12519.3428257004</v>
      </c>
      <c r="L6" s="0" t="n">
        <f aca="false">K6*(1+L5/100)</f>
        <v>12769.7296822144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8.7</v>
      </c>
      <c r="D7" s="4" t="n">
        <f aca="false">Assumptions!D14</f>
        <v>8.4</v>
      </c>
      <c r="E7" s="4" t="n">
        <f aca="false">Assumptions!E14</f>
        <v>8.3</v>
      </c>
      <c r="F7" s="4" t="n">
        <f aca="false">Assumptions!F14</f>
        <v>8.3</v>
      </c>
      <c r="G7" s="4" t="n">
        <f aca="false">Assumptions!G14</f>
        <v>8.4</v>
      </c>
      <c r="H7" s="4" t="n">
        <f aca="false">Assumptions!H14</f>
        <v>8.5</v>
      </c>
      <c r="I7" s="4" t="n">
        <f aca="false">Assumptions!I14</f>
        <v>8.5</v>
      </c>
      <c r="J7" s="4" t="n">
        <f aca="false">Assumptions!J14</f>
        <v>8.5</v>
      </c>
      <c r="K7" s="4" t="n">
        <f aca="false">Assumptions!K14</f>
        <v>8.5</v>
      </c>
      <c r="L7" s="4" t="n">
        <f aca="false">Assumptions!L14</f>
        <v>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948.12948</v>
      </c>
      <c r="D8" s="0" t="n">
        <f aca="false">D6*D7/100</f>
        <v>920.0125368</v>
      </c>
      <c r="E8" s="0" t="n">
        <f aca="false">E6*E7/100</f>
        <v>922.695906699</v>
      </c>
      <c r="F8" s="0" t="n">
        <f aca="false">F6*F7/100</f>
        <v>941.14982483298</v>
      </c>
      <c r="G8" s="0" t="n">
        <f aca="false">G6*G7/100</f>
        <v>971.538758936021</v>
      </c>
      <c r="H8" s="0" t="n">
        <f aca="false">H6*H7/100</f>
        <v>1002.76679047325</v>
      </c>
      <c r="I8" s="0" t="n">
        <f aca="false">I6*I7/100</f>
        <v>1022.82212628271</v>
      </c>
      <c r="J8" s="0" t="n">
        <f aca="false">J6*J7/100</f>
        <v>1043.27856880837</v>
      </c>
      <c r="K8" s="0" t="n">
        <f aca="false">K6*K7/100</f>
        <v>1064.14414018454</v>
      </c>
      <c r="L8" s="0" t="n">
        <f aca="false">L6*L7/100</f>
        <v>1085.42702298823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0.15</v>
      </c>
      <c r="D9" s="4" t="n">
        <f aca="false">Assumptions!D15</f>
        <v>0.15</v>
      </c>
      <c r="E9" s="4" t="n">
        <f aca="false">Assumptions!E15</f>
        <v>0.15</v>
      </c>
      <c r="F9" s="4" t="n">
        <f aca="false">Assumptions!F15</f>
        <v>0.15</v>
      </c>
      <c r="G9" s="4" t="n">
        <f aca="false">Assumptions!G15</f>
        <v>0.15</v>
      </c>
      <c r="H9" s="4" t="n">
        <f aca="false">Assumptions!H15</f>
        <v>0.15</v>
      </c>
      <c r="I9" s="4" t="n">
        <f aca="false">Assumptions!I15</f>
        <v>0.15</v>
      </c>
      <c r="J9" s="4" t="n">
        <f aca="false">Assumptions!J15</f>
        <v>0.15</v>
      </c>
      <c r="K9" s="4" t="n">
        <f aca="false">Assumptions!K15</f>
        <v>0.15</v>
      </c>
      <c r="L9" s="4" t="n">
        <f aca="false">Assumptions!L15</f>
        <v>0.15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-16.34706</v>
      </c>
      <c r="D10" s="0" t="n">
        <f aca="false">-D6*D9/100</f>
        <v>-16.4287953</v>
      </c>
      <c r="E10" s="0" t="n">
        <f aca="false">-E6*E9/100</f>
        <v>-16.6752272295</v>
      </c>
      <c r="F10" s="0" t="n">
        <f aca="false">-F6*F9/100</f>
        <v>-17.00873177409</v>
      </c>
      <c r="G10" s="0" t="n">
        <f aca="false">-G6*G9/100</f>
        <v>-17.3489064095718</v>
      </c>
      <c r="H10" s="0" t="n">
        <f aca="false">-H6*H9/100</f>
        <v>-17.6958845377632</v>
      </c>
      <c r="I10" s="0" t="n">
        <f aca="false">-I6*I9/100</f>
        <v>-18.0498022285185</v>
      </c>
      <c r="J10" s="0" t="n">
        <f aca="false">-J6*J9/100</f>
        <v>-18.4107982730889</v>
      </c>
      <c r="K10" s="0" t="n">
        <f aca="false">-K6*K9/100</f>
        <v>-18.7790142385506</v>
      </c>
      <c r="L10" s="0" t="n">
        <f aca="false">-L6*L9/100</f>
        <v>-19.1545945233217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675.67848</v>
      </c>
      <c r="D11" s="0" t="n">
        <f aca="false">D8+D10+D24</f>
        <v>640.7230167</v>
      </c>
      <c r="E11" s="0" t="n">
        <f aca="false">E8+E10+E24</f>
        <v>639.2170437975</v>
      </c>
      <c r="F11" s="0" t="n">
        <f aca="false">F8+F10+F24</f>
        <v>654.269215576662</v>
      </c>
      <c r="G11" s="0" t="n">
        <f aca="false">G8+G10+G24</f>
        <v>682.390318776491</v>
      </c>
      <c r="H11" s="0" t="n">
        <f aca="false">H8+H10+H24</f>
        <v>707.835381510529</v>
      </c>
      <c r="I11" s="0" t="n">
        <f aca="false">I8+I10+I24</f>
        <v>721.99208914074</v>
      </c>
      <c r="J11" s="0" t="n">
        <f aca="false">J8+J10+J24</f>
        <v>736.431930923555</v>
      </c>
      <c r="K11" s="0" t="n">
        <f aca="false">K8+K10+K24</f>
        <v>751.160569542026</v>
      </c>
      <c r="L11" s="0" t="n">
        <f aca="false">L8+L10+L24</f>
        <v>766.183780932866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-65.38824</v>
      </c>
      <c r="D12" s="4" t="n">
        <f aca="false">-D6*Assumptions!D17/100</f>
        <v>-67.90568724</v>
      </c>
      <c r="E12" s="4" t="n">
        <f aca="false">-E6*Assumptions!E17/100</f>
        <v>-71.1476361792</v>
      </c>
      <c r="F12" s="4" t="n">
        <f aca="false">-F6*Assumptions!F17/100</f>
        <v>-73.70450435439</v>
      </c>
      <c r="G12" s="4" t="n">
        <f aca="false">-G6*Assumptions!G17/100</f>
        <v>-75.1785944414778</v>
      </c>
      <c r="H12" s="4" t="n">
        <f aca="false">-H6*Assumptions!H17/100</f>
        <v>-76.6821663303073</v>
      </c>
      <c r="I12" s="4" t="n">
        <f aca="false">-I6*Assumptions!I17/100</f>
        <v>-78.2158096569135</v>
      </c>
      <c r="J12" s="4" t="n">
        <f aca="false">-J6*Assumptions!J17/100</f>
        <v>-79.7801258500518</v>
      </c>
      <c r="K12" s="4" t="n">
        <f aca="false">-K6*Assumptions!K17/100</f>
        <v>-81.3757283670528</v>
      </c>
      <c r="L12" s="4" t="n">
        <f aca="false">-L6*Assumptions!L17/100</f>
        <v>-83.0032429343939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610.29024</v>
      </c>
      <c r="D13" s="0" t="n">
        <f aca="false">D11+D12</f>
        <v>572.81732946</v>
      </c>
      <c r="E13" s="0" t="n">
        <f aca="false">E11+E12</f>
        <v>568.0694076183</v>
      </c>
      <c r="F13" s="0" t="n">
        <f aca="false">F11+F12</f>
        <v>580.564711222272</v>
      </c>
      <c r="G13" s="0" t="n">
        <f aca="false">G11+G12</f>
        <v>607.211724335013</v>
      </c>
      <c r="H13" s="0" t="n">
        <f aca="false">H11+H12</f>
        <v>631.153215180222</v>
      </c>
      <c r="I13" s="0" t="n">
        <f aca="false">I11+I12</f>
        <v>643.776279483826</v>
      </c>
      <c r="J13" s="0" t="n">
        <f aca="false">J11+J12</f>
        <v>656.651805073503</v>
      </c>
      <c r="K13" s="0" t="n">
        <f aca="false">K11+K12</f>
        <v>669.784841174973</v>
      </c>
      <c r="L13" s="0" t="n">
        <f aca="false">L11+L12</f>
        <v>683.180537998472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427.203168</v>
      </c>
      <c r="D15" s="0" t="n">
        <f aca="false">D13-MAX(0,D13)*D14/100</f>
        <v>400.972130622</v>
      </c>
      <c r="E15" s="0" t="n">
        <f aca="false">E13-MAX(0,E13)*E14/100</f>
        <v>397.64858533281</v>
      </c>
      <c r="F15" s="0" t="n">
        <f aca="false">F13-MAX(0,F13)*F14/100</f>
        <v>406.39529785559</v>
      </c>
      <c r="G15" s="0" t="n">
        <f aca="false">G13-MAX(0,G13)*G14/100</f>
        <v>425.048207034509</v>
      </c>
      <c r="H15" s="0" t="n">
        <f aca="false">H13-MAX(0,H13)*H14/100</f>
        <v>441.807250626155</v>
      </c>
      <c r="I15" s="0" t="n">
        <f aca="false">I13-MAX(0,I13)*I14/100</f>
        <v>450.643395638678</v>
      </c>
      <c r="J15" s="0" t="n">
        <f aca="false">J13-MAX(0,J13)*J14/100</f>
        <v>459.656263551452</v>
      </c>
      <c r="K15" s="0" t="n">
        <f aca="false">K13-MAX(0,K13)*K14/100</f>
        <v>468.849388822481</v>
      </c>
      <c r="L15" s="0" t="n">
        <f aca="false">L13-MAX(0,L13)*L14/100</f>
        <v>478.226376598931</v>
      </c>
    </row>
    <row r="16" customFormat="false" ht="15" hidden="false" customHeight="false" outlineLevel="0" collapsed="false">
      <c r="A16" s="0" t="s">
        <v>123</v>
      </c>
      <c r="C16" s="0" t="n">
        <f aca="false">-C12</f>
        <v>65.38824</v>
      </c>
      <c r="D16" s="0" t="n">
        <f aca="false">-D12</f>
        <v>67.90568724</v>
      </c>
      <c r="E16" s="0" t="n">
        <f aca="false">-E12</f>
        <v>71.1476361792</v>
      </c>
      <c r="F16" s="0" t="n">
        <f aca="false">-F12</f>
        <v>73.70450435439</v>
      </c>
      <c r="G16" s="0" t="n">
        <f aca="false">-G12</f>
        <v>75.1785944414778</v>
      </c>
      <c r="H16" s="0" t="n">
        <f aca="false">-H12</f>
        <v>76.6821663303073</v>
      </c>
      <c r="I16" s="0" t="n">
        <f aca="false">-I12</f>
        <v>78.2158096569135</v>
      </c>
      <c r="J16" s="0" t="n">
        <f aca="false">-J12</f>
        <v>79.7801258500518</v>
      </c>
      <c r="K16" s="0" t="n">
        <f aca="false">-K12</f>
        <v>81.3757283670528</v>
      </c>
      <c r="L16" s="0" t="n">
        <f aca="false">-L12</f>
        <v>83.0032429343939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-87.18432</v>
      </c>
      <c r="D17" s="4" t="n">
        <f aca="false">-D6*Assumptions!D18/100</f>
        <v>-82.1439765</v>
      </c>
      <c r="E17" s="4" t="n">
        <f aca="false">-E6*Assumptions!E18/100</f>
        <v>-83.3761361475</v>
      </c>
      <c r="F17" s="4" t="n">
        <f aca="false">-F6*Assumptions!F18/100</f>
        <v>-85.04365887045</v>
      </c>
      <c r="G17" s="4" t="n">
        <f aca="false">-G6*Assumptions!G18/100</f>
        <v>-86.744532047859</v>
      </c>
      <c r="H17" s="4" t="n">
        <f aca="false">-H6*Assumptions!H18/100</f>
        <v>-88.4794226888162</v>
      </c>
      <c r="I17" s="4" t="n">
        <f aca="false">-I6*Assumptions!I18/100</f>
        <v>-90.2490111425925</v>
      </c>
      <c r="J17" s="4" t="n">
        <f aca="false">-J6*Assumptions!J18/100</f>
        <v>-92.0539913654443</v>
      </c>
      <c r="K17" s="4" t="n">
        <f aca="false">-K6*Assumptions!K18/100</f>
        <v>-93.8950711927532</v>
      </c>
      <c r="L17" s="4" t="n">
        <f aca="false">-L6*Assumptions!L18/100</f>
        <v>-95.7729726166083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16.5960000000001</v>
      </c>
      <c r="D18" s="4" t="n">
        <f aca="false">(D6-C6)*Assumptions!$B$23/100</f>
        <v>-5.44901999999984</v>
      </c>
      <c r="E18" s="4" t="n">
        <f aca="false">(E6-D6)*Assumptions!$B$23/100</f>
        <v>-16.4287952999999</v>
      </c>
      <c r="F18" s="4" t="n">
        <f aca="false">(F6-E6)*Assumptions!$B$23/100</f>
        <v>-22.233636306</v>
      </c>
      <c r="G18" s="4" t="n">
        <f aca="false">(G6-F6)*Assumptions!$B$23/100</f>
        <v>-22.67830903212</v>
      </c>
      <c r="H18" s="4" t="n">
        <f aca="false">(H6-G6)*Assumptions!$B$23/100</f>
        <v>-23.1318752127625</v>
      </c>
      <c r="I18" s="4" t="n">
        <f aca="false">(I6-H6)*Assumptions!$B$23/100</f>
        <v>-23.5945127170176</v>
      </c>
      <c r="J18" s="4" t="n">
        <f aca="false">(J6-I6)*Assumptions!$B$23/100</f>
        <v>-24.066402971358</v>
      </c>
      <c r="K18" s="4" t="n">
        <f aca="false">(K6-J6)*Assumptions!$B$23/100</f>
        <v>-24.5477310307851</v>
      </c>
      <c r="L18" s="4" t="n">
        <f aca="false">(L6-K6)*Assumptions!$B$23/100</f>
        <v>-25.0386856514009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422.003088</v>
      </c>
      <c r="D19" s="0" t="n">
        <f aca="false">D15+D16+D17+D18</f>
        <v>381.284821362</v>
      </c>
      <c r="E19" s="0" t="n">
        <f aca="false">E15+E16+E17+E18</f>
        <v>368.99129006451</v>
      </c>
      <c r="F19" s="0" t="n">
        <f aca="false">F15+F16+F17+F18</f>
        <v>372.82250703353</v>
      </c>
      <c r="G19" s="0" t="n">
        <f aca="false">G15+G16+G17+G18</f>
        <v>390.803960396008</v>
      </c>
      <c r="H19" s="0" t="n">
        <f aca="false">H15+H16+H17+H18</f>
        <v>406.878119054884</v>
      </c>
      <c r="I19" s="0" t="n">
        <f aca="false">I15+I16+I17+I18</f>
        <v>415.015681435982</v>
      </c>
      <c r="J19" s="0" t="n">
        <f aca="false">J15+J16+J17+J18</f>
        <v>423.315995064701</v>
      </c>
      <c r="K19" s="0" t="n">
        <f aca="false">K15+K16+K17+K18</f>
        <v>431.782314965996</v>
      </c>
      <c r="L19" s="0" t="n">
        <f aca="false">L15+L16+L17+L18</f>
        <v>440.417961265315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385.390947945206</v>
      </c>
      <c r="D21" s="0" t="n">
        <f aca="false">D19*D20</f>
        <v>317.995722659661</v>
      </c>
      <c r="E21" s="0" t="n">
        <f aca="false">E19*E20</f>
        <v>281.04363719762</v>
      </c>
      <c r="F21" s="0" t="n">
        <f aca="false">F19*F20</f>
        <v>259.325751924647</v>
      </c>
      <c r="G21" s="0" t="n">
        <f aca="false">G19*G20</f>
        <v>248.249487345261</v>
      </c>
      <c r="H21" s="0" t="n">
        <f aca="false">H19*H20</f>
        <v>236.03674668631</v>
      </c>
      <c r="I21" s="0" t="n">
        <f aca="false">I19*I20</f>
        <v>219.869846228343</v>
      </c>
      <c r="J21" s="0" t="n">
        <f aca="false">J19*J20</f>
        <v>204.810267719553</v>
      </c>
      <c r="K21" s="0" t="n">
        <f aca="false">K19*K20</f>
        <v>190.782167190816</v>
      </c>
      <c r="L21" s="0" t="n">
        <f aca="false">L19*L20</f>
        <v>177.714895465418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2.35</v>
      </c>
      <c r="D23" s="4" t="n">
        <f aca="false">Assumptions!D16</f>
        <v>2.4</v>
      </c>
      <c r="E23" s="4" t="n">
        <f aca="false">Assumptions!E16</f>
        <v>2.4</v>
      </c>
      <c r="F23" s="4" t="n">
        <f aca="false">Assumptions!F16</f>
        <v>2.38</v>
      </c>
      <c r="G23" s="4" t="n">
        <f aca="false">Assumptions!G16</f>
        <v>2.35</v>
      </c>
      <c r="H23" s="4" t="n">
        <f aca="false">Assumptions!H16</f>
        <v>2.35</v>
      </c>
      <c r="I23" s="4" t="n">
        <f aca="false">Assumptions!I16</f>
        <v>2.35</v>
      </c>
      <c r="J23" s="4" t="n">
        <f aca="false">Assumptions!J16</f>
        <v>2.35</v>
      </c>
      <c r="K23" s="4" t="n">
        <f aca="false">Assumptions!K16</f>
        <v>2.35</v>
      </c>
      <c r="L23" s="4" t="n">
        <f aca="false">Assumptions!L16</f>
        <v>2.35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-256.10394</v>
      </c>
      <c r="D24" s="0" t="n">
        <f aca="false">-D6*D23/100</f>
        <v>-262.8607248</v>
      </c>
      <c r="E24" s="0" t="n">
        <f aca="false">-E6*E23/100</f>
        <v>-266.803635672</v>
      </c>
      <c r="F24" s="0" t="n">
        <f aca="false">-F6*F23/100</f>
        <v>-269.871877482228</v>
      </c>
      <c r="G24" s="0" t="n">
        <f aca="false">-G6*G23/100</f>
        <v>-271.799533749958</v>
      </c>
      <c r="H24" s="0" t="n">
        <f aca="false">-H6*H23/100</f>
        <v>-277.235524424957</v>
      </c>
      <c r="I24" s="0" t="n">
        <f aca="false">-I6*I23/100</f>
        <v>-282.780234913456</v>
      </c>
      <c r="J24" s="0" t="n">
        <f aca="false">-J6*J23/100</f>
        <v>-288.435839611726</v>
      </c>
      <c r="K24" s="0" t="n">
        <f aca="false">-K6*K23/100</f>
        <v>-294.20455640396</v>
      </c>
      <c r="L24" s="0" t="n">
        <f aca="false">-L6*L23/100</f>
        <v>-300.088647532039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2521.21947036284</v>
      </c>
    </row>
    <row r="31" customFormat="false" ht="15" hidden="false" customHeight="false" outlineLevel="0" collapsed="false">
      <c r="A31" s="0" t="s">
        <v>132</v>
      </c>
      <c r="B31" s="0" t="n">
        <f aca="false">L19</f>
        <v>440.417961265315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5989.68427320829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5285.01553518378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5285.01553518378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2132.57874558502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4653.79821594785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4855.49821594785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44.2616063441007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-0.34649924192971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108.945133998784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105.116448587067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46.2129425572808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3455.58708069709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27.9227318842956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1.5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11064</v>
      </c>
      <c r="C6" s="0" t="n">
        <f aca="false">B6*(1+C5/100)</f>
        <v>11229.96</v>
      </c>
      <c r="D6" s="0" t="n">
        <f aca="false">C6*(1+D5/100)</f>
        <v>11623.0086</v>
      </c>
      <c r="E6" s="0" t="n">
        <f aca="false">D6*(1+E5/100)</f>
        <v>12029.813901</v>
      </c>
      <c r="F6" s="0" t="n">
        <f aca="false">E6*(1+F5/100)</f>
        <v>12450.857387535</v>
      </c>
      <c r="G6" s="0" t="n">
        <f aca="false">F6*(1+G5/100)</f>
        <v>12824.383109161</v>
      </c>
      <c r="H6" s="0" t="n">
        <f aca="false">G6*(1+H5/100)</f>
        <v>13209.1146024359</v>
      </c>
      <c r="I6" s="0" t="n">
        <f aca="false">H6*(1+I5/100)</f>
        <v>13605.388040509</v>
      </c>
      <c r="J6" s="0" t="n">
        <f aca="false">I6*(1+J5/100)</f>
        <v>13945.5227415217</v>
      </c>
      <c r="K6" s="0" t="n">
        <f aca="false">J6*(1+K5/100)</f>
        <v>14294.1608100597</v>
      </c>
      <c r="L6" s="0" t="n">
        <f aca="false">K6*(1+L5/100)</f>
        <v>14651.5148303112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9.1</v>
      </c>
      <c r="D7" s="4" t="n">
        <f aca="false">Assumptions!D28</f>
        <v>9.15</v>
      </c>
      <c r="E7" s="4" t="n">
        <f aca="false">Assumptions!E28</f>
        <v>9.2</v>
      </c>
      <c r="F7" s="4" t="n">
        <f aca="false">Assumptions!F28</f>
        <v>9.25</v>
      </c>
      <c r="G7" s="4" t="n">
        <f aca="false">Assumptions!G28</f>
        <v>9.25</v>
      </c>
      <c r="H7" s="4" t="n">
        <f aca="false">Assumptions!H28</f>
        <v>9.25</v>
      </c>
      <c r="I7" s="4" t="n">
        <f aca="false">Assumptions!I28</f>
        <v>9.25</v>
      </c>
      <c r="J7" s="4" t="n">
        <f aca="false">Assumptions!J28</f>
        <v>9.25</v>
      </c>
      <c r="K7" s="4" t="n">
        <f aca="false">Assumptions!K28</f>
        <v>9.25</v>
      </c>
      <c r="L7" s="4" t="n">
        <f aca="false">Assumptions!L28</f>
        <v>9.25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1021.92636</v>
      </c>
      <c r="D8" s="0" t="n">
        <f aca="false">D6*D7/100</f>
        <v>1063.5052869</v>
      </c>
      <c r="E8" s="0" t="n">
        <f aca="false">E6*E7/100</f>
        <v>1106.742878892</v>
      </c>
      <c r="F8" s="0" t="n">
        <f aca="false">F6*F7/100</f>
        <v>1151.70430834699</v>
      </c>
      <c r="G8" s="0" t="n">
        <f aca="false">G6*G7/100</f>
        <v>1186.2554375974</v>
      </c>
      <c r="H8" s="0" t="n">
        <f aca="false">H6*H7/100</f>
        <v>1221.84310072532</v>
      </c>
      <c r="I8" s="0" t="n">
        <f aca="false">I6*I7/100</f>
        <v>1258.49839374708</v>
      </c>
      <c r="J8" s="0" t="n">
        <f aca="false">J6*J7/100</f>
        <v>1289.96085359076</v>
      </c>
      <c r="K8" s="0" t="n">
        <f aca="false">K6*K7/100</f>
        <v>1322.20987493052</v>
      </c>
      <c r="L8" s="0" t="n">
        <f aca="false">L6*L7/100</f>
        <v>1355.26512180379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0.14</v>
      </c>
      <c r="D9" s="4" t="n">
        <f aca="false">Assumptions!D29</f>
        <v>0.14</v>
      </c>
      <c r="E9" s="4" t="n">
        <f aca="false">Assumptions!E29</f>
        <v>0.14</v>
      </c>
      <c r="F9" s="4" t="n">
        <f aca="false">Assumptions!F29</f>
        <v>0.14</v>
      </c>
      <c r="G9" s="4" t="n">
        <f aca="false">Assumptions!G29</f>
        <v>0.14</v>
      </c>
      <c r="H9" s="4" t="n">
        <f aca="false">Assumptions!H29</f>
        <v>0.14</v>
      </c>
      <c r="I9" s="4" t="n">
        <f aca="false">Assumptions!I29</f>
        <v>0.14</v>
      </c>
      <c r="J9" s="4" t="n">
        <f aca="false">Assumptions!J29</f>
        <v>0.14</v>
      </c>
      <c r="K9" s="4" t="n">
        <f aca="false">Assumptions!K29</f>
        <v>0.14</v>
      </c>
      <c r="L9" s="4" t="n">
        <f aca="false">Assumptions!L29</f>
        <v>0.14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-15.721944</v>
      </c>
      <c r="D10" s="0" t="n">
        <f aca="false">-D6*D9/100</f>
        <v>-16.27221204</v>
      </c>
      <c r="E10" s="0" t="n">
        <f aca="false">-E6*E9/100</f>
        <v>-16.8417394614</v>
      </c>
      <c r="F10" s="0" t="n">
        <f aca="false">-F6*F9/100</f>
        <v>-17.431200342549</v>
      </c>
      <c r="G10" s="0" t="n">
        <f aca="false">-G6*G9/100</f>
        <v>-17.9541363528255</v>
      </c>
      <c r="H10" s="0" t="n">
        <f aca="false">-H6*H9/100</f>
        <v>-18.4927604434102</v>
      </c>
      <c r="I10" s="0" t="n">
        <f aca="false">-I6*I9/100</f>
        <v>-19.0475432567125</v>
      </c>
      <c r="J10" s="0" t="n">
        <f aca="false">-J6*J9/100</f>
        <v>-19.5237318381304</v>
      </c>
      <c r="K10" s="0" t="n">
        <f aca="false">-K6*K9/100</f>
        <v>-20.0118251340836</v>
      </c>
      <c r="L10" s="0" t="n">
        <f aca="false">-L6*L9/100</f>
        <v>-20.5121207624357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751.284324</v>
      </c>
      <c r="D11" s="0" t="n">
        <f aca="false">D8+D10+D24</f>
        <v>783.39077964</v>
      </c>
      <c r="E11" s="0" t="n">
        <f aca="false">E8+E10+E24</f>
        <v>818.027345268</v>
      </c>
      <c r="F11" s="0" t="n">
        <f aca="false">F8+F10+F24</f>
        <v>854.128816784901</v>
      </c>
      <c r="G11" s="0" t="n">
        <f aca="false">G8+G10+G24</f>
        <v>879.752681288448</v>
      </c>
      <c r="H11" s="0" t="n">
        <f aca="false">H8+H10+H24</f>
        <v>906.145261727101</v>
      </c>
      <c r="I11" s="0" t="n">
        <f aca="false">I8+I10+I24</f>
        <v>933.329619578914</v>
      </c>
      <c r="J11" s="0" t="n">
        <f aca="false">J8+J10+J24</f>
        <v>956.662860068387</v>
      </c>
      <c r="K11" s="0" t="n">
        <f aca="false">K8+K10+K24</f>
        <v>980.579431570096</v>
      </c>
      <c r="L11" s="0" t="n">
        <f aca="false">L8+L10+L24</f>
        <v>1005.09391735935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-67.37976</v>
      </c>
      <c r="D12" s="4" t="n">
        <f aca="false">-D6*Assumptions!D31/100</f>
        <v>-72.06265332</v>
      </c>
      <c r="E12" s="4" t="n">
        <f aca="false">-E6*Assumptions!E31/100</f>
        <v>-76.9908089664</v>
      </c>
      <c r="F12" s="4" t="n">
        <f aca="false">-F6*Assumptions!F31/100</f>
        <v>-80.9305730189775</v>
      </c>
      <c r="G12" s="4" t="n">
        <f aca="false">-G6*Assumptions!G31/100</f>
        <v>-83.3584902095468</v>
      </c>
      <c r="H12" s="4" t="n">
        <f aca="false">-H6*Assumptions!H31/100</f>
        <v>-85.8592449158332</v>
      </c>
      <c r="I12" s="4" t="n">
        <f aca="false">-I6*Assumptions!I31/100</f>
        <v>-88.4350222633082</v>
      </c>
      <c r="J12" s="4" t="n">
        <f aca="false">-J6*Assumptions!J31/100</f>
        <v>-90.6458978198909</v>
      </c>
      <c r="K12" s="4" t="n">
        <f aca="false">-K6*Assumptions!K31/100</f>
        <v>-92.9120452653882</v>
      </c>
      <c r="L12" s="4" t="n">
        <f aca="false">-L6*Assumptions!L31/100</f>
        <v>-95.2348463970229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683.904564</v>
      </c>
      <c r="D13" s="0" t="n">
        <f aca="false">D11+D12</f>
        <v>711.32812632</v>
      </c>
      <c r="E13" s="0" t="n">
        <f aca="false">E11+E12</f>
        <v>741.0365363016</v>
      </c>
      <c r="F13" s="0" t="n">
        <f aca="false">F11+F12</f>
        <v>773.198243765923</v>
      </c>
      <c r="G13" s="0" t="n">
        <f aca="false">G11+G12</f>
        <v>796.394191078901</v>
      </c>
      <c r="H13" s="0" t="n">
        <f aca="false">H11+H12</f>
        <v>820.286016811268</v>
      </c>
      <c r="I13" s="0" t="n">
        <f aca="false">I11+I12</f>
        <v>844.894597315606</v>
      </c>
      <c r="J13" s="0" t="n">
        <f aca="false">J11+J12</f>
        <v>866.016962248496</v>
      </c>
      <c r="K13" s="0" t="n">
        <f aca="false">K11+K12</f>
        <v>887.667386304708</v>
      </c>
      <c r="L13" s="0" t="n">
        <f aca="false">L11+L12</f>
        <v>909.859070962326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478.7331948</v>
      </c>
      <c r="D15" s="0" t="n">
        <f aca="false">D13-MAX(0,D13)*D14/100</f>
        <v>497.929688424</v>
      </c>
      <c r="E15" s="0" t="n">
        <f aca="false">E13-MAX(0,E13)*E14/100</f>
        <v>518.72557541112</v>
      </c>
      <c r="F15" s="0" t="n">
        <f aca="false">F13-MAX(0,F13)*F14/100</f>
        <v>541.238770636146</v>
      </c>
      <c r="G15" s="0" t="n">
        <f aca="false">G13-MAX(0,G13)*G14/100</f>
        <v>557.475933755231</v>
      </c>
      <c r="H15" s="0" t="n">
        <f aca="false">H13-MAX(0,H13)*H14/100</f>
        <v>574.200211767888</v>
      </c>
      <c r="I15" s="0" t="n">
        <f aca="false">I13-MAX(0,I13)*I14/100</f>
        <v>591.426218120924</v>
      </c>
      <c r="J15" s="0" t="n">
        <f aca="false">J13-MAX(0,J13)*J14/100</f>
        <v>606.211873573947</v>
      </c>
      <c r="K15" s="0" t="n">
        <f aca="false">K13-MAX(0,K13)*K14/100</f>
        <v>621.367170413296</v>
      </c>
      <c r="L15" s="0" t="n">
        <f aca="false">L13-MAX(0,L13)*L14/100</f>
        <v>636.901349673628</v>
      </c>
    </row>
    <row r="16" customFormat="false" ht="15" hidden="false" customHeight="false" outlineLevel="0" collapsed="false">
      <c r="A16" s="0" t="s">
        <v>123</v>
      </c>
      <c r="C16" s="0" t="n">
        <f aca="false">-C12</f>
        <v>67.37976</v>
      </c>
      <c r="D16" s="0" t="n">
        <f aca="false">-D12</f>
        <v>72.06265332</v>
      </c>
      <c r="E16" s="0" t="n">
        <f aca="false">-E12</f>
        <v>76.9908089664</v>
      </c>
      <c r="F16" s="0" t="n">
        <f aca="false">-F12</f>
        <v>80.9305730189775</v>
      </c>
      <c r="G16" s="0" t="n">
        <f aca="false">-G12</f>
        <v>83.3584902095468</v>
      </c>
      <c r="H16" s="0" t="n">
        <f aca="false">-H12</f>
        <v>85.8592449158332</v>
      </c>
      <c r="I16" s="0" t="n">
        <f aca="false">-I12</f>
        <v>88.4350222633082</v>
      </c>
      <c r="J16" s="0" t="n">
        <f aca="false">-J12</f>
        <v>90.6458978198909</v>
      </c>
      <c r="K16" s="0" t="n">
        <f aca="false">-K12</f>
        <v>92.9120452653882</v>
      </c>
      <c r="L16" s="0" t="n">
        <f aca="false">-L12</f>
        <v>95.2348463970229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-89.83968</v>
      </c>
      <c r="D17" s="4" t="n">
        <f aca="false">-D6*Assumptions!D32/100</f>
        <v>-92.9840688</v>
      </c>
      <c r="E17" s="4" t="n">
        <f aca="false">-E6*Assumptions!E32/100</f>
        <v>-96.238511208</v>
      </c>
      <c r="F17" s="4" t="n">
        <f aca="false">-F6*Assumptions!F32/100</f>
        <v>-99.60685910028</v>
      </c>
      <c r="G17" s="4" t="n">
        <f aca="false">-G6*Assumptions!G32/100</f>
        <v>-102.595064873288</v>
      </c>
      <c r="H17" s="4" t="n">
        <f aca="false">-H6*Assumptions!H32/100</f>
        <v>-105.672916819487</v>
      </c>
      <c r="I17" s="4" t="n">
        <f aca="false">-I6*Assumptions!I32/100</f>
        <v>-108.843104324072</v>
      </c>
      <c r="J17" s="4" t="n">
        <f aca="false">-J6*Assumptions!J32/100</f>
        <v>-111.564181932173</v>
      </c>
      <c r="K17" s="4" t="n">
        <f aca="false">-K6*Assumptions!K32/100</f>
        <v>-114.353286480478</v>
      </c>
      <c r="L17" s="4" t="n">
        <f aca="false">-L6*Assumptions!L32/100</f>
        <v>-117.21211864249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-8.29799999999996</v>
      </c>
      <c r="D18" s="4" t="n">
        <f aca="false">(D6-C6)*Assumptions!$B$37/100</f>
        <v>-19.6524299999999</v>
      </c>
      <c r="E18" s="4" t="n">
        <f aca="false">(E6-D6)*Assumptions!$B$37/100</f>
        <v>-20.3402650499999</v>
      </c>
      <c r="F18" s="4" t="n">
        <f aca="false">(F6-E6)*Assumptions!$B$37/100</f>
        <v>-21.0521743267499</v>
      </c>
      <c r="G18" s="4" t="n">
        <f aca="false">(G6-F6)*Assumptions!$B$37/100</f>
        <v>-18.6762860813025</v>
      </c>
      <c r="H18" s="4" t="n">
        <f aca="false">(H6-G6)*Assumptions!$B$37/100</f>
        <v>-19.2365746637416</v>
      </c>
      <c r="I18" s="4" t="n">
        <f aca="false">(I6-H6)*Assumptions!$B$37/100</f>
        <v>-19.8136719036538</v>
      </c>
      <c r="J18" s="4" t="n">
        <f aca="false">(J6-I6)*Assumptions!$B$37/100</f>
        <v>-17.0067350506361</v>
      </c>
      <c r="K18" s="4" t="n">
        <f aca="false">(K6-J6)*Assumptions!$B$37/100</f>
        <v>-17.431903426902</v>
      </c>
      <c r="L18" s="4" t="n">
        <f aca="false">(L6-K6)*Assumptions!$B$37/100</f>
        <v>-17.8677010125746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447.9752748</v>
      </c>
      <c r="D19" s="0" t="n">
        <f aca="false">D15+D16+D17+D18</f>
        <v>457.355842944</v>
      </c>
      <c r="E19" s="0" t="n">
        <f aca="false">E15+E16+E17+E18</f>
        <v>479.13760811952</v>
      </c>
      <c r="F19" s="0" t="n">
        <f aca="false">F15+F16+F17+F18</f>
        <v>501.510310228094</v>
      </c>
      <c r="G19" s="0" t="n">
        <f aca="false">G15+G16+G17+G18</f>
        <v>519.563073010187</v>
      </c>
      <c r="H19" s="0" t="n">
        <f aca="false">H15+H16+H17+H18</f>
        <v>535.149965200492</v>
      </c>
      <c r="I19" s="0" t="n">
        <f aca="false">I15+I16+I17+I18</f>
        <v>551.204464156507</v>
      </c>
      <c r="J19" s="0" t="n">
        <f aca="false">J15+J16+J17+J18</f>
        <v>568.286854411029</v>
      </c>
      <c r="K19" s="0" t="n">
        <f aca="false">K15+K16+K17+K18</f>
        <v>582.494025771304</v>
      </c>
      <c r="L19" s="0" t="n">
        <f aca="false">L15+L16+L17+L18</f>
        <v>597.056376415587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409.10984</v>
      </c>
      <c r="D21" s="0" t="n">
        <f aca="false">D19*D20</f>
        <v>381.439788948521</v>
      </c>
      <c r="E21" s="0" t="n">
        <f aca="false">E19*E20</f>
        <v>364.937004557847</v>
      </c>
      <c r="F21" s="0" t="n">
        <f aca="false">F19*F20</f>
        <v>348.837679711667</v>
      </c>
      <c r="G21" s="0" t="n">
        <f aca="false">G19*G20</f>
        <v>330.04083783493</v>
      </c>
      <c r="H21" s="0" t="n">
        <f aca="false">H19*H20</f>
        <v>310.449372575322</v>
      </c>
      <c r="I21" s="0" t="n">
        <f aca="false">I19*I20</f>
        <v>292.020871006924</v>
      </c>
      <c r="J21" s="0" t="n">
        <f aca="false">J19*J20</f>
        <v>274.950590458165</v>
      </c>
      <c r="K21" s="0" t="n">
        <f aca="false">K19*K20</f>
        <v>257.373840383214</v>
      </c>
      <c r="L21" s="0" t="n">
        <f aca="false">L19*L20</f>
        <v>240.920718166935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2.27</v>
      </c>
      <c r="D23" s="4" t="n">
        <f aca="false">Assumptions!D30</f>
        <v>2.27</v>
      </c>
      <c r="E23" s="4" t="n">
        <f aca="false">Assumptions!E30</f>
        <v>2.26</v>
      </c>
      <c r="F23" s="4" t="n">
        <f aca="false">Assumptions!F30</f>
        <v>2.25</v>
      </c>
      <c r="G23" s="4" t="n">
        <f aca="false">Assumptions!G30</f>
        <v>2.25</v>
      </c>
      <c r="H23" s="4" t="n">
        <f aca="false">Assumptions!H30</f>
        <v>2.25</v>
      </c>
      <c r="I23" s="4" t="n">
        <f aca="false">Assumptions!I30</f>
        <v>2.25</v>
      </c>
      <c r="J23" s="4" t="n">
        <f aca="false">Assumptions!J30</f>
        <v>2.25</v>
      </c>
      <c r="K23" s="4" t="n">
        <f aca="false">Assumptions!K30</f>
        <v>2.25</v>
      </c>
      <c r="L23" s="4" t="n">
        <f aca="false">Assumptions!L30</f>
        <v>2.25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-254.920092</v>
      </c>
      <c r="D24" s="0" t="n">
        <f aca="false">-D6*D23/100</f>
        <v>-263.84229522</v>
      </c>
      <c r="E24" s="0" t="n">
        <f aca="false">-E6*E23/100</f>
        <v>-271.8737941626</v>
      </c>
      <c r="F24" s="0" t="n">
        <f aca="false">-F6*F23/100</f>
        <v>-280.144291219537</v>
      </c>
      <c r="G24" s="0" t="n">
        <f aca="false">-G6*G23/100</f>
        <v>-288.548619956124</v>
      </c>
      <c r="H24" s="0" t="n">
        <f aca="false">-H6*H23/100</f>
        <v>-297.205078554807</v>
      </c>
      <c r="I24" s="0" t="n">
        <f aca="false">-I6*I23/100</f>
        <v>-306.121230911451</v>
      </c>
      <c r="J24" s="0" t="n">
        <f aca="false">-J6*J23/100</f>
        <v>-313.774261684238</v>
      </c>
      <c r="K24" s="0" t="n">
        <f aca="false">-K6*K23/100</f>
        <v>-321.618618226344</v>
      </c>
      <c r="L24" s="0" t="n">
        <f aca="false">-L6*L23/100</f>
        <v>-329.659083682002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3210.08054364353</v>
      </c>
    </row>
    <row r="31" customFormat="false" ht="15" hidden="false" customHeight="false" outlineLevel="0" collapsed="false">
      <c r="A31" s="0" t="s">
        <v>132</v>
      </c>
      <c r="B31" s="0" t="n">
        <f aca="false">L19</f>
        <v>597.056376415587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8742.61122608538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8358.78926981822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8358.78926981822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3372.89005433709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6582.97059798062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6784.67059798062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61.8474986142263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-0.0868522277539312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111.670632100857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121.197928870706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63.9702749220801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4895.86228660781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35.960482333733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3.5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11064</v>
      </c>
      <c r="C6" s="0" t="n">
        <f aca="false">B6*(1+C5/100)</f>
        <v>11451.24</v>
      </c>
      <c r="D6" s="0" t="n">
        <f aca="false">C6*(1+D5/100)</f>
        <v>12023.802</v>
      </c>
      <c r="E6" s="0" t="n">
        <f aca="false">D6*(1+E5/100)</f>
        <v>12624.9921</v>
      </c>
      <c r="F6" s="0" t="n">
        <f aca="false">E6*(1+F5/100)</f>
        <v>13193.1167445</v>
      </c>
      <c r="G6" s="0" t="n">
        <f aca="false">F6*(1+G5/100)</f>
        <v>13720.84141428</v>
      </c>
      <c r="H6" s="0" t="n">
        <f aca="false">G6*(1+H5/100)</f>
        <v>14201.0708637798</v>
      </c>
      <c r="I6" s="0" t="n">
        <f aca="false">H6*(1+I5/100)</f>
        <v>14698.1083440121</v>
      </c>
      <c r="J6" s="0" t="n">
        <f aca="false">I6*(1+J5/100)</f>
        <v>15139.0515943325</v>
      </c>
      <c r="K6" s="0" t="n">
        <f aca="false">J6*(1+K5/100)</f>
        <v>15593.2231421624</v>
      </c>
      <c r="L6" s="0" t="n">
        <f aca="false">K6*(1+L5/100)</f>
        <v>16061.0198364273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9.3</v>
      </c>
      <c r="D7" s="4" t="n">
        <f aca="false">Assumptions!D42</f>
        <v>9.45</v>
      </c>
      <c r="E7" s="4" t="n">
        <f aca="false">Assumptions!E42</f>
        <v>9.6</v>
      </c>
      <c r="F7" s="4" t="n">
        <f aca="false">Assumptions!F42</f>
        <v>9.7</v>
      </c>
      <c r="G7" s="4" t="n">
        <f aca="false">Assumptions!G42</f>
        <v>9.75</v>
      </c>
      <c r="H7" s="4" t="n">
        <f aca="false">Assumptions!H42</f>
        <v>9.75</v>
      </c>
      <c r="I7" s="4" t="n">
        <f aca="false">Assumptions!I42</f>
        <v>9.75</v>
      </c>
      <c r="J7" s="4" t="n">
        <f aca="false">Assumptions!J42</f>
        <v>9.75</v>
      </c>
      <c r="K7" s="4" t="n">
        <f aca="false">Assumptions!K42</f>
        <v>9.75</v>
      </c>
      <c r="L7" s="4" t="n">
        <f aca="false">Assumptions!L42</f>
        <v>9.75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1064.96532</v>
      </c>
      <c r="D8" s="0" t="n">
        <f aca="false">D6*D7/100</f>
        <v>1136.249289</v>
      </c>
      <c r="E8" s="0" t="n">
        <f aca="false">E6*E7/100</f>
        <v>1211.9992416</v>
      </c>
      <c r="F8" s="0" t="n">
        <f aca="false">F6*F7/100</f>
        <v>1279.7323242165</v>
      </c>
      <c r="G8" s="0" t="n">
        <f aca="false">G6*G7/100</f>
        <v>1337.7820378923</v>
      </c>
      <c r="H8" s="0" t="n">
        <f aca="false">H6*H7/100</f>
        <v>1384.60440921853</v>
      </c>
      <c r="I8" s="0" t="n">
        <f aca="false">I6*I7/100</f>
        <v>1433.06556354118</v>
      </c>
      <c r="J8" s="0" t="n">
        <f aca="false">J6*J7/100</f>
        <v>1476.05753044741</v>
      </c>
      <c r="K8" s="0" t="n">
        <f aca="false">K6*K7/100</f>
        <v>1520.33925636084</v>
      </c>
      <c r="L8" s="0" t="n">
        <f aca="false">L6*L7/100</f>
        <v>1565.94943405166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0.14</v>
      </c>
      <c r="D9" s="4" t="n">
        <f aca="false">Assumptions!D43</f>
        <v>0.14</v>
      </c>
      <c r="E9" s="4" t="n">
        <f aca="false">Assumptions!E43</f>
        <v>0.14</v>
      </c>
      <c r="F9" s="4" t="n">
        <f aca="false">Assumptions!F43</f>
        <v>0.14</v>
      </c>
      <c r="G9" s="4" t="n">
        <f aca="false">Assumptions!G43</f>
        <v>0.14</v>
      </c>
      <c r="H9" s="4" t="n">
        <f aca="false">Assumptions!H43</f>
        <v>0.14</v>
      </c>
      <c r="I9" s="4" t="n">
        <f aca="false">Assumptions!I43</f>
        <v>0.14</v>
      </c>
      <c r="J9" s="4" t="n">
        <f aca="false">Assumptions!J43</f>
        <v>0.14</v>
      </c>
      <c r="K9" s="4" t="n">
        <f aca="false">Assumptions!K43</f>
        <v>0.14</v>
      </c>
      <c r="L9" s="4" t="n">
        <f aca="false">Assumptions!L43</f>
        <v>0.14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-16.031736</v>
      </c>
      <c r="D10" s="0" t="n">
        <f aca="false">-D6*D9/100</f>
        <v>-16.8333228</v>
      </c>
      <c r="E10" s="0" t="n">
        <f aca="false">-E6*E9/100</f>
        <v>-17.67498894</v>
      </c>
      <c r="F10" s="0" t="n">
        <f aca="false">-F6*F9/100</f>
        <v>-18.4703634423</v>
      </c>
      <c r="G10" s="0" t="n">
        <f aca="false">-G6*G9/100</f>
        <v>-19.209177979992</v>
      </c>
      <c r="H10" s="0" t="n">
        <f aca="false">-H6*H9/100</f>
        <v>-19.8814992092917</v>
      </c>
      <c r="I10" s="0" t="n">
        <f aca="false">-I6*I9/100</f>
        <v>-20.5773516816169</v>
      </c>
      <c r="J10" s="0" t="n">
        <f aca="false">-J6*J9/100</f>
        <v>-21.1946722320654</v>
      </c>
      <c r="K10" s="0" t="n">
        <f aca="false">-K6*K9/100</f>
        <v>-21.8305123990274</v>
      </c>
      <c r="L10" s="0" t="n">
        <f aca="false">-L6*L9/100</f>
        <v>-22.4854277709982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794.716056</v>
      </c>
      <c r="D11" s="0" t="n">
        <f aca="false">D8+D10+D24</f>
        <v>854.8923222</v>
      </c>
      <c r="E11" s="0" t="n">
        <f aca="false">E8+E10+E24</f>
        <v>919.09942488</v>
      </c>
      <c r="F11" s="0" t="n">
        <f aca="false">F8+F10+F24</f>
        <v>976.290639093</v>
      </c>
      <c r="G11" s="0" t="n">
        <f aca="false">G8+G10+G24</f>
        <v>1023.57476950529</v>
      </c>
      <c r="H11" s="0" t="n">
        <f aca="false">H8+H10+H24</f>
        <v>1059.39988643797</v>
      </c>
      <c r="I11" s="0" t="n">
        <f aca="false">I8+I10+I24</f>
        <v>1096.4788824633</v>
      </c>
      <c r="J11" s="0" t="n">
        <f aca="false">J8+J10+J24</f>
        <v>1129.3732489372</v>
      </c>
      <c r="K11" s="0" t="n">
        <f aca="false">K8+K10+K24</f>
        <v>1163.25444640532</v>
      </c>
      <c r="L11" s="0" t="n">
        <f aca="false">L8+L10+L24</f>
        <v>1198.15207979748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-68.70744</v>
      </c>
      <c r="D12" s="4" t="n">
        <f aca="false">-D6*Assumptions!D45/100</f>
        <v>-74.5475724</v>
      </c>
      <c r="E12" s="4" t="n">
        <f aca="false">-E6*Assumptions!E45/100</f>
        <v>-80.79994944</v>
      </c>
      <c r="F12" s="4" t="n">
        <f aca="false">-F6*Assumptions!F45/100</f>
        <v>-85.75525883925</v>
      </c>
      <c r="G12" s="4" t="n">
        <f aca="false">-G6*Assumptions!G45/100</f>
        <v>-89.18546919282</v>
      </c>
      <c r="H12" s="4" t="n">
        <f aca="false">-H6*Assumptions!H45/100</f>
        <v>-92.3069606145687</v>
      </c>
      <c r="I12" s="4" t="n">
        <f aca="false">-I6*Assumptions!I45/100</f>
        <v>-95.5377042360786</v>
      </c>
      <c r="J12" s="4" t="n">
        <f aca="false">-J6*Assumptions!J45/100</f>
        <v>-98.4038353631609</v>
      </c>
      <c r="K12" s="4" t="n">
        <f aca="false">-K6*Assumptions!K45/100</f>
        <v>-101.355950424056</v>
      </c>
      <c r="L12" s="4" t="n">
        <f aca="false">-L6*Assumptions!L45/100</f>
        <v>-104.396628936777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726.008616</v>
      </c>
      <c r="D13" s="0" t="n">
        <f aca="false">D11+D12</f>
        <v>780.3447498</v>
      </c>
      <c r="E13" s="0" t="n">
        <f aca="false">E11+E12</f>
        <v>838.29947544</v>
      </c>
      <c r="F13" s="0" t="n">
        <f aca="false">F11+F12</f>
        <v>890.53538025375</v>
      </c>
      <c r="G13" s="0" t="n">
        <f aca="false">G11+G12</f>
        <v>934.389300312468</v>
      </c>
      <c r="H13" s="0" t="n">
        <f aca="false">H11+H12</f>
        <v>967.092925823404</v>
      </c>
      <c r="I13" s="0" t="n">
        <f aca="false">I11+I12</f>
        <v>1000.94117822722</v>
      </c>
      <c r="J13" s="0" t="n">
        <f aca="false">J11+J12</f>
        <v>1030.96941357404</v>
      </c>
      <c r="K13" s="0" t="n">
        <f aca="false">K11+K12</f>
        <v>1061.89849598126</v>
      </c>
      <c r="L13" s="0" t="n">
        <f aca="false">L11+L12</f>
        <v>1093.7554508607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508.2060312</v>
      </c>
      <c r="D15" s="0" t="n">
        <f aca="false">D13-MAX(0,D13)*D14/100</f>
        <v>546.24132486</v>
      </c>
      <c r="E15" s="0" t="n">
        <f aca="false">E13-MAX(0,E13)*E14/100</f>
        <v>586.809632808</v>
      </c>
      <c r="F15" s="0" t="n">
        <f aca="false">F13-MAX(0,F13)*F14/100</f>
        <v>623.374766177625</v>
      </c>
      <c r="G15" s="0" t="n">
        <f aca="false">G13-MAX(0,G13)*G14/100</f>
        <v>654.072510218728</v>
      </c>
      <c r="H15" s="0" t="n">
        <f aca="false">H13-MAX(0,H13)*H14/100</f>
        <v>676.965048076383</v>
      </c>
      <c r="I15" s="0" t="n">
        <f aca="false">I13-MAX(0,I13)*I14/100</f>
        <v>700.658824759056</v>
      </c>
      <c r="J15" s="0" t="n">
        <f aca="false">J13-MAX(0,J13)*J14/100</f>
        <v>721.678589501828</v>
      </c>
      <c r="K15" s="0" t="n">
        <f aca="false">K13-MAX(0,K13)*K14/100</f>
        <v>743.328947186883</v>
      </c>
      <c r="L15" s="0" t="n">
        <f aca="false">L13-MAX(0,L13)*L14/100</f>
        <v>765.628815602489</v>
      </c>
    </row>
    <row r="16" customFormat="false" ht="15" hidden="false" customHeight="false" outlineLevel="0" collapsed="false">
      <c r="A16" s="0" t="s">
        <v>123</v>
      </c>
      <c r="C16" s="0" t="n">
        <f aca="false">-C12</f>
        <v>68.70744</v>
      </c>
      <c r="D16" s="0" t="n">
        <f aca="false">-D12</f>
        <v>74.5475724</v>
      </c>
      <c r="E16" s="0" t="n">
        <f aca="false">-E12</f>
        <v>80.79994944</v>
      </c>
      <c r="F16" s="0" t="n">
        <f aca="false">-F12</f>
        <v>85.75525883925</v>
      </c>
      <c r="G16" s="0" t="n">
        <f aca="false">-G12</f>
        <v>89.18546919282</v>
      </c>
      <c r="H16" s="0" t="n">
        <f aca="false">-H12</f>
        <v>92.3069606145687</v>
      </c>
      <c r="I16" s="0" t="n">
        <f aca="false">-I12</f>
        <v>95.5377042360786</v>
      </c>
      <c r="J16" s="0" t="n">
        <f aca="false">-J12</f>
        <v>98.4038353631609</v>
      </c>
      <c r="K16" s="0" t="n">
        <f aca="false">-K12</f>
        <v>101.355950424056</v>
      </c>
      <c r="L16" s="0" t="n">
        <f aca="false">-L12</f>
        <v>104.396628936777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-97.33554</v>
      </c>
      <c r="D17" s="4" t="n">
        <f aca="false">-D6*Assumptions!D46/100</f>
        <v>-102.202317</v>
      </c>
      <c r="E17" s="4" t="n">
        <f aca="false">-E6*Assumptions!E46/100</f>
        <v>-107.31243285</v>
      </c>
      <c r="F17" s="4" t="n">
        <f aca="false">-F6*Assumptions!F46/100</f>
        <v>-112.14149232825</v>
      </c>
      <c r="G17" s="4" t="n">
        <f aca="false">-G6*Assumptions!G46/100</f>
        <v>-109.76673131424</v>
      </c>
      <c r="H17" s="4" t="n">
        <f aca="false">-H6*Assumptions!H46/100</f>
        <v>-113.608566910238</v>
      </c>
      <c r="I17" s="4" t="n">
        <f aca="false">-I6*Assumptions!I46/100</f>
        <v>-117.584866752097</v>
      </c>
      <c r="J17" s="4" t="n">
        <f aca="false">-J6*Assumptions!J46/100</f>
        <v>-121.11241275466</v>
      </c>
      <c r="K17" s="4" t="n">
        <f aca="false">-K6*Assumptions!K46/100</f>
        <v>-124.745785137299</v>
      </c>
      <c r="L17" s="4" t="n">
        <f aca="false">-L6*Assumptions!L46/100</f>
        <v>-128.488158691418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479.5779312</v>
      </c>
      <c r="D19" s="0" t="n">
        <f aca="false">D15+D16+D17+D18</f>
        <v>518.58658026</v>
      </c>
      <c r="E19" s="0" t="n">
        <f aca="false">E15+E16+E17+E18</f>
        <v>560.297149398</v>
      </c>
      <c r="F19" s="0" t="n">
        <f aca="false">F15+F16+F17+F18</f>
        <v>596.988532688625</v>
      </c>
      <c r="G19" s="0" t="n">
        <f aca="false">G15+G16+G17+G18</f>
        <v>633.491248097307</v>
      </c>
      <c r="H19" s="0" t="n">
        <f aca="false">H15+H16+H17+H18</f>
        <v>655.663441780713</v>
      </c>
      <c r="I19" s="0" t="n">
        <f aca="false">I15+I16+I17+I18</f>
        <v>678.611662243038</v>
      </c>
      <c r="J19" s="0" t="n">
        <f aca="false">J15+J16+J17+J18</f>
        <v>698.970012110329</v>
      </c>
      <c r="K19" s="0" t="n">
        <f aca="false">K15+K16+K17+K18</f>
        <v>719.939112473639</v>
      </c>
      <c r="L19" s="0" t="n">
        <f aca="false">L15+L16+L17+L18</f>
        <v>741.537285847848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437.970713424658</v>
      </c>
      <c r="D21" s="0" t="n">
        <f aca="false">D19*D20</f>
        <v>432.506895402515</v>
      </c>
      <c r="E21" s="0" t="n">
        <f aca="false">E19*E20</f>
        <v>426.752481747584</v>
      </c>
      <c r="F21" s="0" t="n">
        <f aca="false">F19*F20</f>
        <v>415.249876842724</v>
      </c>
      <c r="G21" s="0" t="n">
        <f aca="false">G19*G20</f>
        <v>402.411166505345</v>
      </c>
      <c r="H21" s="0" t="n">
        <f aca="false">H19*H20</f>
        <v>380.361239573545</v>
      </c>
      <c r="I21" s="0" t="n">
        <f aca="false">I19*I20</f>
        <v>359.519527816091</v>
      </c>
      <c r="J21" s="0" t="n">
        <f aca="false">J19*J20</f>
        <v>338.178185982259</v>
      </c>
      <c r="K21" s="0" t="n">
        <f aca="false">K19*K20</f>
        <v>318.103681791531</v>
      </c>
      <c r="L21" s="0" t="n">
        <f aca="false">L19*L20</f>
        <v>299.22081483587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2.22</v>
      </c>
      <c r="D23" s="4" t="n">
        <f aca="false">Assumptions!D44</f>
        <v>2.2</v>
      </c>
      <c r="E23" s="4" t="n">
        <f aca="false">Assumptions!E44</f>
        <v>2.18</v>
      </c>
      <c r="F23" s="4" t="n">
        <f aca="false">Assumptions!F44</f>
        <v>2.16</v>
      </c>
      <c r="G23" s="4" t="n">
        <f aca="false">Assumptions!G44</f>
        <v>2.15</v>
      </c>
      <c r="H23" s="4" t="n">
        <f aca="false">Assumptions!H44</f>
        <v>2.15</v>
      </c>
      <c r="I23" s="4" t="n">
        <f aca="false">Assumptions!I44</f>
        <v>2.15</v>
      </c>
      <c r="J23" s="4" t="n">
        <f aca="false">Assumptions!J44</f>
        <v>2.15</v>
      </c>
      <c r="K23" s="4" t="n">
        <f aca="false">Assumptions!K44</f>
        <v>2.15</v>
      </c>
      <c r="L23" s="4" t="n">
        <f aca="false">Assumptions!L44</f>
        <v>2.15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-254.217528</v>
      </c>
      <c r="D24" s="0" t="n">
        <f aca="false">-D6*D23/100</f>
        <v>-264.523644</v>
      </c>
      <c r="E24" s="0" t="n">
        <f aca="false">-E6*E23/100</f>
        <v>-275.22482778</v>
      </c>
      <c r="F24" s="0" t="n">
        <f aca="false">-F6*F23/100</f>
        <v>-284.9713216812</v>
      </c>
      <c r="G24" s="0" t="n">
        <f aca="false">-G6*G23/100</f>
        <v>-294.99809040702</v>
      </c>
      <c r="H24" s="0" t="n">
        <f aca="false">-H6*H23/100</f>
        <v>-305.323023571266</v>
      </c>
      <c r="I24" s="0" t="n">
        <f aca="false">-I6*I23/100</f>
        <v>-316.00932939626</v>
      </c>
      <c r="J24" s="0" t="n">
        <f aca="false">-J6*J23/100</f>
        <v>-325.489609278148</v>
      </c>
      <c r="K24" s="0" t="n">
        <f aca="false">-K6*K23/100</f>
        <v>-335.254297556492</v>
      </c>
      <c r="L24" s="0" t="n">
        <f aca="false">-L6*L23/100</f>
        <v>-345.311926483187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3810.27458392212</v>
      </c>
    </row>
    <row r="31" customFormat="false" ht="15" hidden="false" customHeight="false" outlineLevel="0" collapsed="false">
      <c r="A31" s="0" t="s">
        <v>132</v>
      </c>
      <c r="B31" s="0" t="n">
        <f aca="false">L19</f>
        <v>741.537285847848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11287.8453512395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11864.5965735656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11287.8453512395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4554.80573694601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8365.08032086814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8566.78032086814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78.092801466437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0.153001645746891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118.600603599081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138.114100752099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80.4329537394651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6219.83315272379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43.0994447550926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44.2616063441007</v>
      </c>
      <c r="C4" s="0" t="n">
        <f aca="false">B4/Assumptions!$B$2-1</f>
        <v>-0.34649924192971</v>
      </c>
      <c r="D4" s="4" t="n">
        <f aca="false">Assumptions!$B$24</f>
        <v>0.25</v>
      </c>
      <c r="E4" s="4" t="n">
        <f aca="false">DCF_Bear!$B$43</f>
        <v>46.2129425572808</v>
      </c>
      <c r="F4" s="4" t="n">
        <f aca="false">DCF_Bear!$B$47</f>
        <v>27.9227318842956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61.8474986142263</v>
      </c>
      <c r="C5" s="0" t="n">
        <f aca="false">B5/Assumptions!$B$2-1</f>
        <v>-0.0868522277539312</v>
      </c>
      <c r="D5" s="4" t="n">
        <f aca="false">Assumptions!$B$38</f>
        <v>0.5</v>
      </c>
      <c r="E5" s="4" t="n">
        <f aca="false">DCF_Base!$B$43</f>
        <v>63.9702749220801</v>
      </c>
      <c r="F5" s="4" t="n">
        <f aca="false">DCF_Base!$B$47</f>
        <v>35.960482333733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78.092801466437</v>
      </c>
      <c r="C6" s="0" t="n">
        <f aca="false">B6/Assumptions!$B$2-1</f>
        <v>0.153001645746891</v>
      </c>
      <c r="D6" s="4" t="n">
        <f aca="false">Assumptions!$B$52</f>
        <v>0.25</v>
      </c>
      <c r="E6" s="4" t="n">
        <f aca="false">DCF_Bull!$B$43</f>
        <v>80.4329537394651</v>
      </c>
      <c r="F6" s="4" t="n">
        <f aca="false">DCF_Bull!$B$47</f>
        <v>43.0994447550926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61.5123512597476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63.6466115352265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-0.101079679331347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291.325702478212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35.7357853267136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63.9712431902773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61.8474986142263</v>
      </c>
      <c r="C16" s="3" t="n">
        <v>9.5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59.118258552082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52.3004641877435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46.9211609723952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35.960482333733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70.957967142909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70.957967142909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70.957967142909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70.957967142909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70.957967142909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66.1939699414424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66.1939699414424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66.1939699414424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66.1939699414424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66.1939699414424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58.9650150901232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60.9690274449758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61.8474986142263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61.8474986142263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61.8474986142263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52.4181961051233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53.8664902678393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55.4958212008947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57.3423962583575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57.8771510261295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47.1906342704639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48.2660621868502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49.460982093946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50.7964808136413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52.2989168732986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2026-09-23T08:52:21Z</dcterms:created>
  <dc:creator>openpyxl</dc:creator>
  <dc:description/>
  <dc:language>en-NZ</dc:language>
  <cp:lastModifiedBy/>
  <dcterms:modified xsi:type="dcterms:W3CDTF">2026-09-23T08:52:21Z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