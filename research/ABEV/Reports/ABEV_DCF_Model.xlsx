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<sst xmlns="http://schemas.openxmlformats.org/spreadsheetml/2006/main" count="366" uniqueCount="169">
  <si>
    <t xml:space="preserve">Ticker</t>
  </si>
  <si>
    <t xml:space="preserve">ABEV</t>
  </si>
  <si>
    <t xml:space="preserve">Company</t>
  </si>
  <si>
    <t xml:space="preserve">Ambev S.A.</t>
  </si>
  <si>
    <t xml:space="preserve">Valuation date</t>
  </si>
  <si>
    <t xml:space="preserve">2026-10-03</t>
  </si>
  <si>
    <t xml:space="preserve">Current price</t>
  </si>
  <si>
    <t xml:space="preserve">Price as of</t>
  </si>
  <si>
    <t xml:space="preserve">2026-10-02T20:00:03Z regular close (NYSE)</t>
  </si>
  <si>
    <t xml:space="preserve">Balance sheet date</t>
  </si>
  <si>
    <t xml:space="preserve">2026-06-30</t>
  </si>
  <si>
    <t xml:space="preserve">Model</t>
  </si>
  <si>
    <t xml:space="preserve">owner_fcf_dcf_component</t>
  </si>
  <si>
    <t xml:space="preserve">Currency (model)</t>
  </si>
  <si>
    <t xml:space="preserve">BRL</t>
  </si>
  <si>
    <t xml:space="preserve">Currency (quote)</t>
  </si>
  <si>
    <t xml:space="preserve">USD</t>
  </si>
  <si>
    <t xml:space="preserve">Units</t>
  </si>
  <si>
    <t xml:space="preserve">millions</t>
  </si>
  <si>
    <t xml:space="preserve">Engine</t>
  </si>
  <si>
    <t xml:space="preserve">dcf_engine v1</t>
  </si>
  <si>
    <t xml:space="preserve">Built at</t>
  </si>
  <si>
    <t xml:space="preserve">2026-10-02T22:26:56Z</t>
  </si>
  <si>
    <t xml:space="preserve">Drivers file</t>
  </si>
  <si>
    <t xml:space="preserve">ABEV_Drivers.json</t>
  </si>
  <si>
    <t xml:space="preserve">Convention</t>
  </si>
  <si>
    <t xml:space="preserve">Percents stored as percents; formulas divide by 100. Blue = input, green = link, black = formula.</t>
  </si>
  <si>
    <t xml:space="preserve">Methodology</t>
  </si>
  <si>
    <t xml:space="preserve">summary: Ambev is a mature, cash-generative, net-cash consumer franchise whose value is a BRL owner-FCF stream: margins near a mid-cycle level, growth roughly BRL inflation plus a point, almost all of it distributed. The valuation question is not growth but (i) how much of the lost decade of margin comes back, (ii) whether the Brazilian tax shield (IOC) and the exclusivity-backed route to market survive, and (iii) what discount rate a USD holder should apply to BRL flows. The model is run in BRL at a Fisher-consistent BRL WACC and converted to USD at spot, so the ADS value is not a BRL forecast.
key_risks_to_valuation: IOC (interest on capital) deductibility curtailed or abolished — ~3-4pp on the cash tax rate (bear path); Brazilian tax contingencies classified as 'possible loss' (goodwill amortization, foreign-profit taxation, ICMS) — not in the bridge; an adverse ruling is a direct equity hit; CADE ruling on Heineken's exclusivity complaint eroding on-trade distribution advantage; Mainstream beer volume erosion / GLP-1 demand headwind outpacing premiumization; BRL/USD: USD value per ADS moves one-for-one with the BRL; fx_rate is a spot print and is not refreshed by refresh_price.py; Hedge carry and financial-transaction costs (~3% of revenue, charged in the margin) rise if the BRL-USD rate differential widens; Argentina IAS 29 hyperinflation and capital controls distort LAS reported growth and trap cash</t>
  </si>
  <si>
    <t xml:space="preserve">Data sources</t>
  </si>
  <si>
    <t xml:space="preserve">price: Yahoo Finance chart API (ABEV, NYSE) at inputs.price_as_of; 52-week range 2.10-3.45 USD. FX Yahoo BRL=X; parity vs ABEV3.SA (B3).
financials: Ambev 20-F FY2025 (consolidated IFRS statements, notes 11, 12, 14, 23); Q2-2026 ITR (30-Jun-2026 balance sheet, H1-26 income and cash-flow statements, shareholder table); research/ABEV/Reports/ABEV_Metrics.csv (core_metrics, R$ millions) and kpis.
qualitative: research/ABEV/Reports/ABEV_Analysis.json (2026-10-03): segment mix, Q3-25 trough and Q2-26 recovery, BEES, CADE dispute, IOC/tax changes, guidance (Brazil Beer cash COGS/hl +4.5-7.5% FY26).</t>
  </si>
  <si>
    <t xml:space="preserve">Scenario narrative: bear</t>
  </si>
  <si>
    <t xml:space="preserve">The 2025 volume softness proves partly structural: mainstream beer keeps losing low-teens in the core tier, GLP-1 adoption and health trends cap per-capita consumption, Heineken's renewed CADE complaint produces a tighter cap on point-of-sale exclusivity, and dollar-linked aluminum/malt costs plus BRL weakness compress normalized margin to ~32.5%. Brazil curtails or abolishes IOC deductibility (repeatedly proposed; Law 14,789/2023 already narrowed the base) taking the cash tax rate to ~24% plus NCI leakage, and capex must rise back toward 6.5% to defend distribution. Growth runs at or below BRL inflation.</t>
  </si>
  <si>
    <t xml:space="preserve">Scenario narrative: base</t>
  </si>
  <si>
    <t xml:space="preserve">Brazil beer volumes settle at ~+1% a year after the 2025 weather/disposable-income trough and the World-Cup-aided Q2-2026, with NR/hl tracking IPCA; premium and super-premium (Corona/Stella/Original, ~50% of the premium segment) and Balanced Choices keep mixing up while mainstream erodes slowly; NAB stays a mild drag. BEES marketplace and cost discipline lift normalized EBITDA margin ~1.5pp to ~35.5% by FY2031, recovering part but not most of the gap to the ~39% of 2019. Capex runs at a mid-cycle 6% of revenue, IOC keeps the cash tax rate near 20%, and the CADE/Heineken exclusivity dispute ends in a contained remedy.</t>
  </si>
  <si>
    <t xml:space="preserve">Scenario narrative: bull</t>
  </si>
  <si>
    <t xml:space="preserve">Premiumization plus BEES monetization (marketplace GMV +58-120%, gross margin ~22% and rising) turn Ambev into a share gainer in a recovering Brazilian consumer: 6-7% BRL growth early, normalized margin back to ~37.5% by FY2031 as aluminum and FX headwinds reverse and the S/4HANA programme completes, capex stays near the recent 5.5%, and IOC deductibility survives tax reform. LAS normalizes as Argentina disinflates.</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</si>
  <si>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</si>
  <si>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</si>
  <si>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</si>
  <si>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</si>
  <si>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</si>
  <si>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</si>
  <si>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</si>
  <si>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</si>
  <si>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</si>
  <si>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</si>
  <si>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</si>
  <si>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</si>
  <si>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</si>
  <si>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</si>
  <si>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</si>
  <si>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</si>
  <si>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</si>
  <si>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</si>
  <si>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</si>
  <si>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</si>
  <si>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</si>
  <si>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</si>
  <si>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</si>
  <si>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</si>
  <si>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</si>
  <si>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</si>
  <si>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</si>
  <si>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TotalEquityInclNCI</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</si>
  <si>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</si>
  <si>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</si>
  <si>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</si>
  <si>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</si>
  <si>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</si>
  <si>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</si>
  <si>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</si>
  <si>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</si>
  <si>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</si>
  <si>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</si>
  <si>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</si>
  <si>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</si>
  <si>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</si>
  <si>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</si>
  <si>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</si>
  <si>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</si>
  <si>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</si>
  <si>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</si>
  <si>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</si>
  <si>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</si>
  <si>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</si>
  <si>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FY2026E</t>
  </si>
  <si>
    <t xml:space="preserve">Currency / units</t>
  </si>
  <si>
    <t xml:space="preserve">BRL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</si>
  <si>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</si>
  <si>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</si>
  <si>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</si>
  <si>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</si>
  <si>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</si>
  <si>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</si>
  <si>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</si>
  <si>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</si>
  <si>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</si>
  <si>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</si>
  <si>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</si>
  <si>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</si>
  <si>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</si>
  <si>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</si>
  <si>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</si>
  <si>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</si>
  <si>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</si>
  <si>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</si>
  <si>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</si>
  <si>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</si>
  <si>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</si>
  <si>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</si>
  <si>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</si>
  <si>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</si>
  <si>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</si>
  <si>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</si>
  <si>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ABEV owner-FCF component DCF: bear case (millions, BRL)</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</si>
  <si>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</si>
  <si>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</si>
  <si>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</si>
  <si>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</si>
  <si>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</si>
  <si>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</si>
  <si>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</si>
  <si>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</si>
  <si>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</si>
  <si>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</si>
  <si>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</si>
  <si>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</si>
  <si>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</si>
  <si>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</si>
  <si>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</si>
  <si>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</si>
  <si>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</si>
  <si>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</si>
  <si>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</si>
  <si>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</si>
  <si>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</si>
  <si>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</si>
  <si>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</si>
  <si>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</si>
  <si>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</si>
  <si>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</si>
  <si>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</si>
  <si>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</si>
  <si>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</si>
  <si>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</si>
  <si>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ABEV owner-FCF component DCF: base case (millions, BRL)</t>
  </si>
  <si>
    <t xml:space="preserve">ABEV owner-FCF component DCF: bull case (millions, BRL)</t>
  </si>
  <si>
    <t xml:space="preserve">ABEV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</si>
  <si>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</si>
  <si>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</si>
  <si>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</si>
  <si>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</si>
  <si>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</si>
  <si>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</si>
  <si>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</si>
  <si>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</si>
  <si>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</si>
  <si>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</si>
  <si>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</si>
  <si>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</si>
  <si>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</si>
  <si>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</si>
  <si>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</si>
  <si>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</si>
  <si>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11%</t>
  </si>
  <si>
    <t xml:space="preserve">Value per share at 12% (WACC)</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</si>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</sst>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2.99</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38079.8</v>
      </c>
      <c r="C2" s="0" t="n">
        <v>12814.6</v>
      </c>
      <c r="D2" s="0" t="n">
        <v>25265.2</v>
      </c>
      <c r="E2" s="0" t="n">
        <v>66.3</v>
      </c>
      <c r="F2" s="0" t="n">
        <v>15826.6</v>
      </c>
      <c r="G2" s="0" t="n">
        <v>41.6</v>
      </c>
      <c r="H2" s="0" t="n">
        <v>18219.1</v>
      </c>
      <c r="I2" s="0" t="n">
        <v>12065.5</v>
      </c>
      <c r="J2" s="0" t="n">
        <v>31.7</v>
      </c>
      <c r="K2" s="0" t="n">
        <v>0.76</v>
      </c>
      <c r="L2" s="0" t="n">
        <v>15895.7</v>
      </c>
      <c r="M2" s="0" t="n">
        <v>4493.1</v>
      </c>
      <c r="N2" s="0" t="n">
        <v>11402.6</v>
      </c>
      <c r="O2" s="0" t="n">
        <v>42221.6</v>
      </c>
      <c r="P2" s="0" t="n">
        <v>72143.3</v>
      </c>
      <c r="Q2" s="0" t="n">
        <v>28498.6</v>
      </c>
      <c r="R2" s="0" t="n">
        <v>2622.7</v>
      </c>
      <c r="S2" s="0" t="n">
        <v>9722.1</v>
      </c>
      <c r="T2" s="0" t="n">
        <v>15819.8</v>
      </c>
      <c r="U2" s="0" t="n">
        <v>161.1</v>
      </c>
      <c r="AA2" s="0" t="s">
        <v>18</v>
      </c>
      <c r="AB2" s="0" t="s">
        <v>14</v>
      </c>
      <c r="AC2" s="0" t="n">
        <v>43644.7</v>
      </c>
    </row>
    <row r="3" customFormat="false" ht="15" hidden="false" customHeight="false" outlineLevel="0" collapsed="false">
      <c r="A3" s="0" t="s">
        <v>66</v>
      </c>
      <c r="B3" s="0" t="n">
        <v>46720.2</v>
      </c>
      <c r="C3" s="0" t="n">
        <v>16061.4</v>
      </c>
      <c r="D3" s="0" t="n">
        <v>30658.8</v>
      </c>
      <c r="E3" s="0" t="n">
        <v>65.6</v>
      </c>
      <c r="F3" s="0" t="n">
        <v>18778.5</v>
      </c>
      <c r="G3" s="0" t="n">
        <v>40.2</v>
      </c>
      <c r="H3" s="0" t="n">
        <v>21853.1</v>
      </c>
      <c r="I3" s="0" t="n">
        <v>12423.8</v>
      </c>
      <c r="J3" s="0" t="n">
        <v>26.6</v>
      </c>
      <c r="K3" s="0" t="n">
        <v>0.79</v>
      </c>
      <c r="L3" s="0" t="n">
        <v>23580.8</v>
      </c>
      <c r="M3" s="0" t="n">
        <v>5261.2</v>
      </c>
      <c r="N3" s="0" t="n">
        <v>18319.6</v>
      </c>
      <c r="O3" s="0" t="n">
        <v>48331.9</v>
      </c>
      <c r="P3" s="0" t="n">
        <v>90176.3</v>
      </c>
      <c r="Q3" s="0" t="n">
        <v>39842.6</v>
      </c>
      <c r="R3" s="0" t="n">
        <v>3599.5</v>
      </c>
      <c r="S3" s="0" t="n">
        <v>13620.2</v>
      </c>
      <c r="T3" s="0" t="n">
        <v>15820.1</v>
      </c>
      <c r="U3" s="0" t="n">
        <v>197.1</v>
      </c>
      <c r="AA3" s="0" t="s">
        <v>18</v>
      </c>
      <c r="AB3" s="0" t="s">
        <v>14</v>
      </c>
      <c r="AC3" s="0" t="n">
        <v>50333.7</v>
      </c>
    </row>
    <row r="4" customFormat="false" ht="15" hidden="false" customHeight="false" outlineLevel="0" collapsed="false">
      <c r="A4" s="0" t="s">
        <v>67</v>
      </c>
      <c r="B4" s="0" t="n">
        <v>45602.6</v>
      </c>
      <c r="C4" s="0" t="n">
        <v>16678</v>
      </c>
      <c r="D4" s="0" t="n">
        <v>28924.6</v>
      </c>
      <c r="E4" s="0" t="n">
        <v>63.4</v>
      </c>
      <c r="F4" s="0" t="n">
        <v>17105.4</v>
      </c>
      <c r="G4" s="0" t="n">
        <v>37.5</v>
      </c>
      <c r="H4" s="0" t="n">
        <v>20617.4</v>
      </c>
      <c r="I4" s="0" t="n">
        <v>12546.6</v>
      </c>
      <c r="J4" s="0" t="n">
        <v>27.5</v>
      </c>
      <c r="K4" s="0" t="n">
        <v>0.79</v>
      </c>
      <c r="L4" s="0" t="n">
        <v>12344.4</v>
      </c>
      <c r="M4" s="0" t="n">
        <v>4132.7</v>
      </c>
      <c r="N4" s="0" t="n">
        <v>8211.7</v>
      </c>
      <c r="O4" s="0" t="n">
        <v>44825</v>
      </c>
      <c r="P4" s="0" t="n">
        <v>83841.4</v>
      </c>
      <c r="Q4" s="0" t="n">
        <v>37190.1</v>
      </c>
      <c r="R4" s="0" t="n">
        <v>5396.3</v>
      </c>
      <c r="S4" s="0" t="n">
        <v>7876.8</v>
      </c>
      <c r="T4" s="0" t="n">
        <v>15823.1</v>
      </c>
      <c r="U4" s="0" t="n">
        <v>170.3</v>
      </c>
      <c r="AA4" s="0" t="s">
        <v>18</v>
      </c>
      <c r="AB4" s="0" t="s">
        <v>14</v>
      </c>
      <c r="AC4" s="0" t="n">
        <v>46651.3</v>
      </c>
    </row>
    <row r="5" customFormat="false" ht="15" hidden="false" customHeight="false" outlineLevel="0" collapsed="false">
      <c r="A5" s="0" t="s">
        <v>68</v>
      </c>
      <c r="B5" s="0" t="n">
        <v>47899.3</v>
      </c>
      <c r="C5" s="0" t="n">
        <v>18028.4</v>
      </c>
      <c r="D5" s="0" t="n">
        <v>29870.9</v>
      </c>
      <c r="E5" s="0" t="n">
        <v>62.4</v>
      </c>
      <c r="F5" s="0" t="n">
        <v>16552.1</v>
      </c>
      <c r="G5" s="0" t="n">
        <v>34.6</v>
      </c>
      <c r="H5" s="0" t="n">
        <v>20589</v>
      </c>
      <c r="I5" s="0" t="n">
        <v>7269</v>
      </c>
      <c r="J5" s="0" t="n">
        <v>15.2</v>
      </c>
      <c r="K5" s="0" t="n">
        <v>0.459</v>
      </c>
      <c r="L5" s="0" t="n">
        <v>18260.8</v>
      </c>
      <c r="M5" s="0" t="n">
        <v>3203.6</v>
      </c>
      <c r="N5" s="0" t="n">
        <v>15057.2</v>
      </c>
      <c r="O5" s="0" t="n">
        <v>46008.8</v>
      </c>
      <c r="P5" s="0" t="n">
        <v>86851.9</v>
      </c>
      <c r="Q5" s="0" t="n">
        <v>38869.1</v>
      </c>
      <c r="R5" s="0" t="n">
        <v>2553</v>
      </c>
      <c r="S5" s="0" t="n">
        <v>10354.5</v>
      </c>
      <c r="T5" s="0" t="n">
        <v>15838</v>
      </c>
      <c r="U5" s="0" t="n">
        <v>209.3</v>
      </c>
      <c r="AA5" s="0" t="s">
        <v>18</v>
      </c>
      <c r="AB5" s="0" t="s">
        <v>14</v>
      </c>
      <c r="AC5" s="0" t="n">
        <v>47982.8</v>
      </c>
    </row>
    <row r="6" customFormat="false" ht="15" hidden="false" customHeight="false" outlineLevel="0" collapsed="false">
      <c r="A6" s="0" t="s">
        <v>69</v>
      </c>
      <c r="B6" s="0" t="n">
        <v>50231.3</v>
      </c>
      <c r="C6" s="0" t="n">
        <v>19249.4</v>
      </c>
      <c r="D6" s="0" t="n">
        <v>30981.9</v>
      </c>
      <c r="E6" s="0" t="n">
        <v>61.7</v>
      </c>
      <c r="F6" s="0" t="n">
        <v>17150.9</v>
      </c>
      <c r="G6" s="0" t="n">
        <v>34.1</v>
      </c>
      <c r="H6" s="0" t="n">
        <v>21599.3</v>
      </c>
      <c r="I6" s="0" t="n">
        <v>10995</v>
      </c>
      <c r="J6" s="0" t="n">
        <v>21.9</v>
      </c>
      <c r="K6" s="0" t="n">
        <v>0.6934</v>
      </c>
      <c r="L6" s="0" t="n">
        <v>18346.1</v>
      </c>
      <c r="M6" s="0" t="n">
        <v>3571</v>
      </c>
      <c r="N6" s="0" t="n">
        <v>14775.1</v>
      </c>
      <c r="O6" s="0" t="n">
        <v>56248</v>
      </c>
      <c r="P6" s="0" t="n">
        <v>95714.3</v>
      </c>
      <c r="Q6" s="0" t="n">
        <v>38259.5</v>
      </c>
      <c r="R6" s="0" t="n">
        <v>4103.5</v>
      </c>
      <c r="S6" s="0" t="n">
        <v>11463.5</v>
      </c>
      <c r="T6" s="0" t="n">
        <v>15856.4</v>
      </c>
      <c r="U6" s="0" t="n">
        <v>161</v>
      </c>
      <c r="AA6" s="0" t="s">
        <v>18</v>
      </c>
      <c r="AB6" s="0" t="s">
        <v>14</v>
      </c>
      <c r="AC6" s="0" t="n">
        <v>57454.8</v>
      </c>
    </row>
    <row r="7" customFormat="false" ht="15" hidden="false" customHeight="false" outlineLevel="0" collapsed="false">
      <c r="A7" s="0" t="s">
        <v>70</v>
      </c>
      <c r="B7" s="0" t="n">
        <v>52599.7</v>
      </c>
      <c r="C7" s="0" t="n">
        <v>21678.2</v>
      </c>
      <c r="D7" s="0" t="n">
        <v>30921.5</v>
      </c>
      <c r="E7" s="0" t="n">
        <v>58.8</v>
      </c>
      <c r="F7" s="0" t="n">
        <v>16074.9</v>
      </c>
      <c r="G7" s="0" t="n">
        <v>30.6</v>
      </c>
      <c r="H7" s="0" t="n">
        <v>20750.1</v>
      </c>
      <c r="I7" s="0" t="n">
        <v>11780</v>
      </c>
      <c r="J7" s="0" t="n">
        <v>22.4</v>
      </c>
      <c r="K7" s="0" t="n">
        <v>0.7423</v>
      </c>
      <c r="L7" s="0" t="n">
        <v>18381.3</v>
      </c>
      <c r="M7" s="0" t="n">
        <v>5069.4</v>
      </c>
      <c r="N7" s="0" t="n">
        <v>13311.9</v>
      </c>
      <c r="O7" s="0" t="n">
        <v>61278</v>
      </c>
      <c r="P7" s="0" t="n">
        <v>101742.9</v>
      </c>
      <c r="Q7" s="0" t="n">
        <v>39186.9</v>
      </c>
      <c r="R7" s="0" t="n">
        <v>3062.8</v>
      </c>
      <c r="S7" s="0" t="n">
        <v>11900.7</v>
      </c>
      <c r="T7" s="0" t="n">
        <v>15869</v>
      </c>
      <c r="U7" s="0" t="n">
        <v>205.7</v>
      </c>
      <c r="AA7" s="0" t="s">
        <v>18</v>
      </c>
      <c r="AB7" s="0" t="s">
        <v>14</v>
      </c>
      <c r="AC7" s="0" t="n">
        <v>62556</v>
      </c>
    </row>
    <row r="8" customFormat="false" ht="15" hidden="false" customHeight="false" outlineLevel="0" collapsed="false">
      <c r="A8" s="0" t="s">
        <v>71</v>
      </c>
      <c r="B8" s="0" t="n">
        <v>58379</v>
      </c>
      <c r="C8" s="0" t="n">
        <v>27066.1</v>
      </c>
      <c r="D8" s="0" t="n">
        <v>31312.9</v>
      </c>
      <c r="E8" s="0" t="n">
        <v>53.6</v>
      </c>
      <c r="F8" s="0" t="n">
        <v>15972.2</v>
      </c>
      <c r="G8" s="0" t="n">
        <v>27.4</v>
      </c>
      <c r="H8" s="0" t="n">
        <v>21139.6</v>
      </c>
      <c r="I8" s="0" t="n">
        <v>11379.4</v>
      </c>
      <c r="J8" s="0" t="n">
        <v>19.5</v>
      </c>
      <c r="K8" s="0" t="n">
        <v>0.7171</v>
      </c>
      <c r="L8" s="0" t="n">
        <v>18855.8</v>
      </c>
      <c r="M8" s="0" t="n">
        <v>4692.7</v>
      </c>
      <c r="N8" s="0" t="n">
        <v>14163.1</v>
      </c>
      <c r="O8" s="0" t="n">
        <v>73815.7</v>
      </c>
      <c r="P8" s="0" t="n">
        <v>125196.3</v>
      </c>
      <c r="Q8" s="0" t="n">
        <v>50045.1</v>
      </c>
      <c r="R8" s="0" t="n">
        <v>4792.3</v>
      </c>
      <c r="S8" s="0" t="n">
        <v>17090.3</v>
      </c>
      <c r="T8" s="0" t="n">
        <v>15867.6</v>
      </c>
      <c r="U8" s="0" t="n">
        <v>208.7</v>
      </c>
      <c r="AA8" s="0" t="s">
        <v>18</v>
      </c>
      <c r="AB8" s="0" t="s">
        <v>14</v>
      </c>
      <c r="AC8" s="0" t="n">
        <v>75151.2</v>
      </c>
    </row>
    <row r="9" customFormat="false" ht="15" hidden="false" customHeight="false" outlineLevel="0" collapsed="false">
      <c r="A9" s="0" t="s">
        <v>72</v>
      </c>
      <c r="B9" s="0" t="n">
        <v>72854.3</v>
      </c>
      <c r="C9" s="0" t="n">
        <v>35659.7</v>
      </c>
      <c r="D9" s="0" t="n">
        <v>37194.6</v>
      </c>
      <c r="E9" s="0" t="n">
        <v>51.1</v>
      </c>
      <c r="F9" s="0" t="n">
        <v>17080.3</v>
      </c>
      <c r="G9" s="0" t="n">
        <v>23.4</v>
      </c>
      <c r="H9" s="0" t="n">
        <v>22477</v>
      </c>
      <c r="I9" s="0" t="n">
        <v>12671</v>
      </c>
      <c r="J9" s="0" t="n">
        <v>17.4</v>
      </c>
      <c r="K9" s="0" t="n">
        <v>0.7991</v>
      </c>
      <c r="L9" s="0" t="n">
        <v>22901.3</v>
      </c>
      <c r="M9" s="0" t="n">
        <v>7677.1</v>
      </c>
      <c r="N9" s="0" t="n">
        <v>15224.2</v>
      </c>
      <c r="O9" s="0" t="n">
        <v>82643</v>
      </c>
      <c r="P9" s="0" t="n">
        <v>138602.5</v>
      </c>
      <c r="Q9" s="0" t="n">
        <v>54584.9</v>
      </c>
      <c r="R9" s="0" t="n">
        <v>3100.6</v>
      </c>
      <c r="S9" s="0" t="n">
        <v>16627.7</v>
      </c>
      <c r="T9" s="0" t="n">
        <v>15856.6</v>
      </c>
      <c r="U9" s="0" t="n">
        <v>387.6</v>
      </c>
      <c r="AA9" s="0" t="s">
        <v>18</v>
      </c>
      <c r="AB9" s="0" t="s">
        <v>14</v>
      </c>
      <c r="AC9" s="0" t="n">
        <v>84017.6</v>
      </c>
    </row>
    <row r="10" customFormat="false" ht="15" hidden="false" customHeight="false" outlineLevel="0" collapsed="false">
      <c r="A10" s="0" t="s">
        <v>73</v>
      </c>
      <c r="B10" s="0" t="n">
        <v>79708.8</v>
      </c>
      <c r="C10" s="0" t="n">
        <v>40422.1</v>
      </c>
      <c r="D10" s="0" t="n">
        <v>39286.7</v>
      </c>
      <c r="E10" s="0" t="n">
        <v>49.3</v>
      </c>
      <c r="F10" s="0" t="n">
        <v>17687.8</v>
      </c>
      <c r="G10" s="0" t="n">
        <v>22.2</v>
      </c>
      <c r="H10" s="0" t="n">
        <v>23644.1</v>
      </c>
      <c r="I10" s="0" t="n">
        <v>14457.9</v>
      </c>
      <c r="J10" s="0" t="n">
        <v>18.1</v>
      </c>
      <c r="K10" s="0" t="n">
        <v>0.9123</v>
      </c>
      <c r="L10" s="0" t="n">
        <v>20642.1</v>
      </c>
      <c r="M10" s="0" t="n">
        <v>6533.1</v>
      </c>
      <c r="N10" s="0" t="n">
        <v>14109</v>
      </c>
      <c r="O10" s="0" t="n">
        <v>81955.6</v>
      </c>
      <c r="P10" s="0" t="n">
        <v>137958</v>
      </c>
      <c r="Q10" s="0" t="n">
        <v>54630.2</v>
      </c>
      <c r="R10" s="0" t="n">
        <v>3770.7</v>
      </c>
      <c r="S10" s="0" t="n">
        <v>14926.4</v>
      </c>
      <c r="T10" s="0" t="n">
        <v>15847.7</v>
      </c>
      <c r="U10" s="0" t="n">
        <v>313.9</v>
      </c>
      <c r="AA10" s="0" t="s">
        <v>18</v>
      </c>
      <c r="AB10" s="0" t="s">
        <v>14</v>
      </c>
      <c r="AC10" s="0" t="n">
        <v>83327.8</v>
      </c>
    </row>
    <row r="11" customFormat="false" ht="15" hidden="false" customHeight="false" outlineLevel="0" collapsed="false">
      <c r="A11" s="0" t="s">
        <v>74</v>
      </c>
      <c r="B11" s="0" t="n">
        <v>79736.9</v>
      </c>
      <c r="C11" s="0" t="n">
        <v>39291.6</v>
      </c>
      <c r="D11" s="0" t="n">
        <v>40445.3</v>
      </c>
      <c r="E11" s="0" t="n">
        <v>50.7</v>
      </c>
      <c r="F11" s="0" t="n">
        <v>18831</v>
      </c>
      <c r="G11" s="0" t="n">
        <v>23.6</v>
      </c>
      <c r="H11" s="0" t="n">
        <v>25248.9</v>
      </c>
      <c r="I11" s="0" t="n">
        <v>14501.9</v>
      </c>
      <c r="J11" s="0" t="n">
        <v>18.2</v>
      </c>
      <c r="K11" s="0" t="n">
        <v>0.9156</v>
      </c>
      <c r="L11" s="0" t="n">
        <v>24711.4</v>
      </c>
      <c r="M11" s="0" t="n">
        <v>6004.1</v>
      </c>
      <c r="N11" s="0" t="n">
        <v>18707.3</v>
      </c>
      <c r="O11" s="0" t="n">
        <v>78969.3</v>
      </c>
      <c r="P11" s="0" t="n">
        <v>132644.3</v>
      </c>
      <c r="Q11" s="0" t="n">
        <v>52500.5</v>
      </c>
      <c r="R11" s="0" t="n">
        <v>3501.1</v>
      </c>
      <c r="S11" s="0" t="n">
        <v>16059</v>
      </c>
      <c r="T11" s="0" t="n">
        <v>15838.6</v>
      </c>
      <c r="U11" s="0" t="n">
        <v>331.6</v>
      </c>
      <c r="AA11" s="0" t="s">
        <v>18</v>
      </c>
      <c r="AB11" s="0" t="s">
        <v>14</v>
      </c>
      <c r="AC11" s="0" t="n">
        <v>80143.8</v>
      </c>
    </row>
    <row r="12" customFormat="false" ht="15" hidden="false" customHeight="false" outlineLevel="0" collapsed="false">
      <c r="A12" s="0" t="s">
        <v>75</v>
      </c>
      <c r="B12" s="0" t="n">
        <v>89452.7</v>
      </c>
      <c r="C12" s="0" t="n">
        <v>43615.1</v>
      </c>
      <c r="D12" s="0" t="n">
        <v>45837.6</v>
      </c>
      <c r="E12" s="0" t="n">
        <v>51.2</v>
      </c>
      <c r="F12" s="0" t="n">
        <v>21801.7</v>
      </c>
      <c r="G12" s="0" t="n">
        <v>24.4</v>
      </c>
      <c r="H12" s="0" t="n">
        <v>28928.1</v>
      </c>
      <c r="I12" s="0" t="n">
        <v>14437.2</v>
      </c>
      <c r="J12" s="0" t="n">
        <v>16.1</v>
      </c>
      <c r="K12" s="0" t="n">
        <v>0.9129</v>
      </c>
      <c r="L12" s="0" t="n">
        <v>26098.8</v>
      </c>
      <c r="M12" s="0" t="n">
        <v>4749.1</v>
      </c>
      <c r="N12" s="0" t="n">
        <v>21349.7</v>
      </c>
      <c r="O12" s="0" t="n">
        <v>98642.1</v>
      </c>
      <c r="P12" s="0" t="n">
        <v>162508.3</v>
      </c>
      <c r="Q12" s="0" t="n">
        <v>62927.8</v>
      </c>
      <c r="R12" s="0" t="n">
        <v>3452.7</v>
      </c>
      <c r="S12" s="0" t="n">
        <v>28595.7</v>
      </c>
      <c r="T12" s="0" t="n">
        <v>15814.7</v>
      </c>
      <c r="U12" s="0" t="n">
        <v>400.9</v>
      </c>
      <c r="AA12" s="0" t="s">
        <v>18</v>
      </c>
      <c r="AB12" s="0" t="s">
        <v>14</v>
      </c>
      <c r="AC12" s="0" t="n">
        <v>99580.5</v>
      </c>
    </row>
    <row r="13" customFormat="false" ht="15" hidden="false" customHeight="false" outlineLevel="0" collapsed="false">
      <c r="A13" s="0" t="s">
        <v>76</v>
      </c>
      <c r="B13" s="0" t="n">
        <v>88242.5</v>
      </c>
      <c r="C13" s="0" t="n">
        <v>42864.1</v>
      </c>
      <c r="D13" s="0" t="n">
        <v>45378.4</v>
      </c>
      <c r="E13" s="0" t="n">
        <v>51.4</v>
      </c>
      <c r="F13" s="0" t="n">
        <v>23317.7</v>
      </c>
      <c r="G13" s="0" t="n">
        <v>26.4</v>
      </c>
      <c r="H13" s="0" t="n">
        <v>30149.8</v>
      </c>
      <c r="I13" s="0" t="n">
        <v>15503.4</v>
      </c>
      <c r="J13" s="0" t="n">
        <v>17.6</v>
      </c>
      <c r="K13" s="0" t="n">
        <v>0.9885</v>
      </c>
      <c r="L13" s="0" t="n">
        <v>24450.4</v>
      </c>
      <c r="M13" s="0" t="n">
        <v>4590.5</v>
      </c>
      <c r="N13" s="0" t="n">
        <v>19859.9</v>
      </c>
      <c r="O13" s="0" t="n">
        <v>87914.1</v>
      </c>
      <c r="P13" s="0" t="n">
        <v>145087.2</v>
      </c>
      <c r="Q13" s="0" t="n">
        <v>56312.4</v>
      </c>
      <c r="R13" s="0" t="n">
        <v>3386.9</v>
      </c>
      <c r="S13" s="0" t="n">
        <v>18638.2</v>
      </c>
      <c r="T13" s="0" t="n">
        <v>15683.9</v>
      </c>
      <c r="U13" s="0" t="n">
        <v>454.2</v>
      </c>
      <c r="AA13" s="0" t="s">
        <v>18</v>
      </c>
      <c r="AB13" s="0" t="s">
        <v>14</v>
      </c>
      <c r="AC13" s="0" t="n">
        <v>88774.8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2.99</v>
      </c>
    </row>
    <row r="3" customFormat="false" ht="15" hidden="false" customHeight="false" outlineLevel="0" collapsed="false">
      <c r="A3" s="0" t="s">
        <v>80</v>
      </c>
      <c r="B3" s="3" t="n">
        <v>15519</v>
      </c>
    </row>
    <row r="4" customFormat="false" ht="15" hidden="false" customHeight="false" outlineLevel="0" collapsed="false">
      <c r="A4" s="0" t="s">
        <v>81</v>
      </c>
      <c r="B4" s="3" t="n">
        <v>-17984.2</v>
      </c>
    </row>
    <row r="5" customFormat="false" ht="15" hidden="false" customHeight="false" outlineLevel="0" collapsed="false">
      <c r="A5" s="0" t="s">
        <v>82</v>
      </c>
      <c r="B5" s="3" t="n">
        <v>-7048.4</v>
      </c>
    </row>
    <row r="6" customFormat="false" ht="15" hidden="false" customHeight="false" outlineLevel="0" collapsed="false">
      <c r="A6" s="0" t="s">
        <v>83</v>
      </c>
      <c r="B6" s="3" t="n">
        <v>16.7</v>
      </c>
    </row>
    <row r="7" customFormat="false" ht="15" hidden="false" customHeight="false" outlineLevel="0" collapsed="false">
      <c r="A7" s="0" t="s">
        <v>84</v>
      </c>
      <c r="B7" s="3" t="n">
        <v>89200</v>
      </c>
    </row>
    <row r="8" customFormat="false" ht="15" hidden="false" customHeight="false" outlineLevel="0" collapsed="false">
      <c r="A8" s="0" t="s">
        <v>85</v>
      </c>
      <c r="B8" s="3" t="s">
        <v>86</v>
      </c>
    </row>
    <row r="9" customFormat="false" ht="15" hidden="false" customHeight="false" outlineLevel="0" collapsed="false">
      <c r="A9" s="0" t="s">
        <v>87</v>
      </c>
      <c r="B9" s="3" t="s">
        <v>88</v>
      </c>
    </row>
    <row r="10" customFormat="false" ht="15" hidden="false" customHeight="false" outlineLevel="0" collapsed="false">
      <c r="A10" s="0" t="s">
        <v>89</v>
      </c>
      <c r="B10" s="3" t="n">
        <v>0.191487</v>
      </c>
    </row>
    <row r="12" customFormat="false" ht="15" hidden="false" customHeight="false" outlineLevel="0" collapsed="false">
      <c r="A12" s="2" t="s">
        <v>90</v>
      </c>
      <c r="C12" s="2" t="s">
        <v>91</v>
      </c>
      <c r="D12" s="2" t="s">
        <v>92</v>
      </c>
      <c r="E12" s="2" t="s">
        <v>93</v>
      </c>
      <c r="F12" s="2" t="s">
        <v>94</v>
      </c>
      <c r="G12" s="2" t="s">
        <v>95</v>
      </c>
      <c r="H12" s="2" t="s">
        <v>96</v>
      </c>
      <c r="I12" s="2" t="s">
        <v>97</v>
      </c>
      <c r="J12" s="2" t="s">
        <v>98</v>
      </c>
      <c r="K12" s="2" t="s">
        <v>99</v>
      </c>
      <c r="L12" s="2" t="s">
        <v>100</v>
      </c>
    </row>
    <row r="13" customFormat="false" ht="15" hidden="false" customHeight="false" outlineLevel="0" collapsed="false">
      <c r="A13" s="0" t="s">
        <v>101</v>
      </c>
      <c r="C13" s="3" t="n">
        <v>3</v>
      </c>
      <c r="D13" s="3" t="n">
        <v>3.5</v>
      </c>
      <c r="E13" s="3" t="n">
        <v>3.5</v>
      </c>
      <c r="F13" s="3" t="n">
        <v>4</v>
      </c>
      <c r="G13" s="3" t="n">
        <v>4</v>
      </c>
      <c r="H13" s="3" t="n">
        <v>4</v>
      </c>
      <c r="I13" s="3" t="n">
        <v>3.5</v>
      </c>
      <c r="J13" s="3" t="n">
        <v>3.5</v>
      </c>
      <c r="K13" s="3" t="n">
        <v>3.5</v>
      </c>
      <c r="L13" s="3" t="n">
        <v>3.5</v>
      </c>
    </row>
    <row r="14" customFormat="false" ht="15" hidden="false" customHeight="false" outlineLevel="0" collapsed="false">
      <c r="A14" s="0" t="s">
        <v>102</v>
      </c>
      <c r="C14" s="3" t="n">
        <v>30</v>
      </c>
      <c r="D14" s="3" t="n">
        <v>29.8</v>
      </c>
      <c r="E14" s="3" t="n">
        <v>29.6</v>
      </c>
      <c r="F14" s="3" t="n">
        <v>29.5</v>
      </c>
      <c r="G14" s="3" t="n">
        <v>29.5</v>
      </c>
      <c r="H14" s="3" t="n">
        <v>29.5</v>
      </c>
      <c r="I14" s="3" t="n">
        <v>29.5</v>
      </c>
      <c r="J14" s="3" t="n">
        <v>29.5</v>
      </c>
      <c r="K14" s="3" t="n">
        <v>29.5</v>
      </c>
      <c r="L14" s="3" t="n">
        <v>29.5</v>
      </c>
    </row>
    <row r="15" customFormat="false" ht="15" hidden="false" customHeight="false" outlineLevel="0" collapsed="false">
      <c r="A15" s="0" t="s">
        <v>103</v>
      </c>
      <c r="C15" s="3" t="n">
        <v>0.5</v>
      </c>
      <c r="D15" s="3" t="n">
        <v>0.5</v>
      </c>
      <c r="E15" s="3" t="n">
        <v>0.5</v>
      </c>
      <c r="F15" s="3" t="n">
        <v>0.5</v>
      </c>
      <c r="G15" s="3" t="n">
        <v>0.5</v>
      </c>
      <c r="H15" s="3" t="n">
        <v>0.5</v>
      </c>
      <c r="I15" s="3" t="n">
        <v>0.5</v>
      </c>
      <c r="J15" s="3" t="n">
        <v>0.5</v>
      </c>
      <c r="K15" s="3" t="n">
        <v>0.5</v>
      </c>
      <c r="L15" s="3" t="n">
        <v>0.5</v>
      </c>
    </row>
    <row r="16" customFormat="false" ht="15" hidden="false" customHeight="false" outlineLevel="0" collapsed="false">
      <c r="A16" s="0" t="s">
        <v>104</v>
      </c>
      <c r="C16" s="3" t="n">
        <v>1.7</v>
      </c>
      <c r="D16" s="3" t="n">
        <v>1.7</v>
      </c>
      <c r="E16" s="3" t="n">
        <v>1.7</v>
      </c>
      <c r="F16" s="3" t="n">
        <v>1.7</v>
      </c>
      <c r="G16" s="3" t="n">
        <v>1.7</v>
      </c>
      <c r="H16" s="3" t="n">
        <v>1.7</v>
      </c>
      <c r="I16" s="3" t="n">
        <v>1.7</v>
      </c>
      <c r="J16" s="3" t="n">
        <v>1.7</v>
      </c>
      <c r="K16" s="3" t="n">
        <v>1.7</v>
      </c>
      <c r="L16" s="3" t="n">
        <v>1.7</v>
      </c>
    </row>
    <row r="17" customFormat="false" ht="15" hidden="false" customHeight="false" outlineLevel="0" collapsed="false">
      <c r="A17" s="0" t="s">
        <v>105</v>
      </c>
      <c r="C17" s="3" t="n">
        <v>6.4</v>
      </c>
      <c r="D17" s="3" t="n">
        <v>6.4</v>
      </c>
      <c r="E17" s="3" t="n">
        <v>6.4</v>
      </c>
      <c r="F17" s="3" t="n">
        <v>6.4</v>
      </c>
      <c r="G17" s="3" t="n">
        <v>6.4</v>
      </c>
      <c r="H17" s="3" t="n">
        <v>6.4</v>
      </c>
      <c r="I17" s="3" t="n">
        <v>6.4</v>
      </c>
      <c r="J17" s="3" t="n">
        <v>6.4</v>
      </c>
      <c r="K17" s="3" t="n">
        <v>6.4</v>
      </c>
      <c r="L17" s="3" t="n">
        <v>6.4</v>
      </c>
    </row>
    <row r="18" customFormat="false" ht="15" hidden="false" customHeight="false" outlineLevel="0" collapsed="false">
      <c r="A18" s="0" t="s">
        <v>106</v>
      </c>
      <c r="C18" s="3" t="n">
        <v>6.5</v>
      </c>
      <c r="D18" s="3" t="n">
        <v>6.5</v>
      </c>
      <c r="E18" s="3" t="n">
        <v>6.5</v>
      </c>
      <c r="F18" s="3" t="n">
        <v>6.5</v>
      </c>
      <c r="G18" s="3" t="n">
        <v>6.5</v>
      </c>
      <c r="H18" s="3" t="n">
        <v>6.5</v>
      </c>
      <c r="I18" s="3" t="n">
        <v>6.5</v>
      </c>
      <c r="J18" s="3" t="n">
        <v>6.5</v>
      </c>
      <c r="K18" s="3" t="n">
        <v>6.5</v>
      </c>
      <c r="L18" s="3" t="n">
        <v>6.5</v>
      </c>
    </row>
    <row r="19" customFormat="false" ht="15" hidden="false" customHeight="false" outlineLevel="0" collapsed="false">
      <c r="A19" s="0" t="s">
        <v>107</v>
      </c>
      <c r="C19" s="3" t="n">
        <v>23.5</v>
      </c>
      <c r="D19" s="3" t="n">
        <v>25</v>
      </c>
      <c r="E19" s="3" t="n">
        <v>26.5</v>
      </c>
      <c r="F19" s="3" t="n">
        <v>26.5</v>
      </c>
      <c r="G19" s="3" t="n">
        <v>26.5</v>
      </c>
      <c r="H19" s="3" t="n">
        <v>26.5</v>
      </c>
      <c r="I19" s="3" t="n">
        <v>26.5</v>
      </c>
      <c r="J19" s="3" t="n">
        <v>26.5</v>
      </c>
      <c r="K19" s="3" t="n">
        <v>26.5</v>
      </c>
      <c r="L19" s="3" t="n">
        <v>26.5</v>
      </c>
    </row>
    <row r="20" customFormat="false" ht="15" hidden="false" customHeight="false" outlineLevel="0" collapsed="false">
      <c r="A20" s="0" t="s">
        <v>108</v>
      </c>
      <c r="B20" s="3" t="n">
        <v>12</v>
      </c>
    </row>
    <row r="21" customFormat="false" ht="15" hidden="false" customHeight="false" outlineLevel="0" collapsed="false">
      <c r="A21" s="0" t="s">
        <v>109</v>
      </c>
      <c r="B21" s="3" t="n">
        <v>3.5</v>
      </c>
    </row>
    <row r="22" customFormat="false" ht="15" hidden="false" customHeight="false" outlineLevel="0" collapsed="false">
      <c r="A22" s="0" t="s">
        <v>110</v>
      </c>
      <c r="B22" s="3" t="n">
        <v>15</v>
      </c>
    </row>
    <row r="23" customFormat="false" ht="15" hidden="false" customHeight="false" outlineLevel="0" collapsed="false">
      <c r="A23" s="0" t="s">
        <v>111</v>
      </c>
      <c r="B23" s="3" t="n">
        <v>0</v>
      </c>
    </row>
    <row r="24" customFormat="false" ht="15" hidden="false" customHeight="false" outlineLevel="0" collapsed="false">
      <c r="A24" s="0" t="s">
        <v>112</v>
      </c>
      <c r="B24" s="3" t="n">
        <v>0.25</v>
      </c>
    </row>
    <row r="26" customFormat="false" ht="15" hidden="false" customHeight="false" outlineLevel="0" collapsed="false">
      <c r="A26" s="2" t="s">
        <v>113</v>
      </c>
      <c r="C26" s="2" t="s">
        <v>91</v>
      </c>
      <c r="D26" s="2" t="s">
        <v>92</v>
      </c>
      <c r="E26" s="2" t="s">
        <v>93</v>
      </c>
      <c r="F26" s="2" t="s">
        <v>94</v>
      </c>
      <c r="G26" s="2" t="s">
        <v>95</v>
      </c>
      <c r="H26" s="2" t="s">
        <v>96</v>
      </c>
      <c r="I26" s="2" t="s">
        <v>97</v>
      </c>
      <c r="J26" s="2" t="s">
        <v>98</v>
      </c>
      <c r="K26" s="2" t="s">
        <v>99</v>
      </c>
      <c r="L26" s="2" t="s">
        <v>100</v>
      </c>
    </row>
    <row r="27" customFormat="false" ht="15" hidden="false" customHeight="false" outlineLevel="0" collapsed="false">
      <c r="A27" s="0" t="s">
        <v>101</v>
      </c>
      <c r="C27" s="3" t="n">
        <v>5</v>
      </c>
      <c r="D27" s="3" t="n">
        <v>5.5</v>
      </c>
      <c r="E27" s="3" t="n">
        <v>5.5</v>
      </c>
      <c r="F27" s="3" t="n">
        <v>5.5</v>
      </c>
      <c r="G27" s="3" t="n">
        <v>5.5</v>
      </c>
      <c r="H27" s="3" t="n">
        <v>5</v>
      </c>
      <c r="I27" s="3" t="n">
        <v>5</v>
      </c>
      <c r="J27" s="3" t="n">
        <v>5</v>
      </c>
      <c r="K27" s="3" t="n">
        <v>4.5</v>
      </c>
      <c r="L27" s="3" t="n">
        <v>4.5</v>
      </c>
    </row>
    <row r="28" customFormat="false" ht="15" hidden="false" customHeight="false" outlineLevel="0" collapsed="false">
      <c r="A28" s="0" t="s">
        <v>102</v>
      </c>
      <c r="C28" s="3" t="n">
        <v>31</v>
      </c>
      <c r="D28" s="3" t="n">
        <v>31.4</v>
      </c>
      <c r="E28" s="3" t="n">
        <v>31.8</v>
      </c>
      <c r="F28" s="3" t="n">
        <v>32.2</v>
      </c>
      <c r="G28" s="3" t="n">
        <v>32.5</v>
      </c>
      <c r="H28" s="3" t="n">
        <v>32.5</v>
      </c>
      <c r="I28" s="3" t="n">
        <v>32.5</v>
      </c>
      <c r="J28" s="3" t="n">
        <v>32.5</v>
      </c>
      <c r="K28" s="3" t="n">
        <v>32.5</v>
      </c>
      <c r="L28" s="3" t="n">
        <v>32.5</v>
      </c>
    </row>
    <row r="29" customFormat="false" ht="15" hidden="false" customHeight="false" outlineLevel="0" collapsed="false">
      <c r="A29" s="0" t="s">
        <v>103</v>
      </c>
      <c r="C29" s="3" t="n">
        <v>0.5</v>
      </c>
      <c r="D29" s="3" t="n">
        <v>0.5</v>
      </c>
      <c r="E29" s="3" t="n">
        <v>0.5</v>
      </c>
      <c r="F29" s="3" t="n">
        <v>0.5</v>
      </c>
      <c r="G29" s="3" t="n">
        <v>0.5</v>
      </c>
      <c r="H29" s="3" t="n">
        <v>0.5</v>
      </c>
      <c r="I29" s="3" t="n">
        <v>0.5</v>
      </c>
      <c r="J29" s="3" t="n">
        <v>0.5</v>
      </c>
      <c r="K29" s="3" t="n">
        <v>0.5</v>
      </c>
      <c r="L29" s="3" t="n">
        <v>0.5</v>
      </c>
    </row>
    <row r="30" customFormat="false" ht="15" hidden="false" customHeight="false" outlineLevel="0" collapsed="false">
      <c r="A30" s="0" t="s">
        <v>104</v>
      </c>
      <c r="C30" s="3" t="n">
        <v>1.6</v>
      </c>
      <c r="D30" s="3" t="n">
        <v>1.6</v>
      </c>
      <c r="E30" s="3" t="n">
        <v>1.6</v>
      </c>
      <c r="F30" s="3" t="n">
        <v>1.6</v>
      </c>
      <c r="G30" s="3" t="n">
        <v>1.6</v>
      </c>
      <c r="H30" s="3" t="n">
        <v>1.6</v>
      </c>
      <c r="I30" s="3" t="n">
        <v>1.6</v>
      </c>
      <c r="J30" s="3" t="n">
        <v>1.6</v>
      </c>
      <c r="K30" s="3" t="n">
        <v>1.6</v>
      </c>
      <c r="L30" s="3" t="n">
        <v>1.6</v>
      </c>
    </row>
    <row r="31" customFormat="false" ht="15" hidden="false" customHeight="false" outlineLevel="0" collapsed="false">
      <c r="A31" s="0" t="s">
        <v>105</v>
      </c>
      <c r="C31" s="3" t="n">
        <v>6.2</v>
      </c>
      <c r="D31" s="3" t="n">
        <v>6.2</v>
      </c>
      <c r="E31" s="3" t="n">
        <v>6.2</v>
      </c>
      <c r="F31" s="3" t="n">
        <v>6.2</v>
      </c>
      <c r="G31" s="3" t="n">
        <v>6.2</v>
      </c>
      <c r="H31" s="3" t="n">
        <v>6.2</v>
      </c>
      <c r="I31" s="3" t="n">
        <v>6.2</v>
      </c>
      <c r="J31" s="3" t="n">
        <v>6.2</v>
      </c>
      <c r="K31" s="3" t="n">
        <v>6.2</v>
      </c>
      <c r="L31" s="3" t="n">
        <v>6.2</v>
      </c>
    </row>
    <row r="32" customFormat="false" ht="15" hidden="false" customHeight="false" outlineLevel="0" collapsed="false">
      <c r="A32" s="0" t="s">
        <v>106</v>
      </c>
      <c r="C32" s="3" t="n">
        <v>6</v>
      </c>
      <c r="D32" s="3" t="n">
        <v>6</v>
      </c>
      <c r="E32" s="3" t="n">
        <v>6</v>
      </c>
      <c r="F32" s="3" t="n">
        <v>6</v>
      </c>
      <c r="G32" s="3" t="n">
        <v>6</v>
      </c>
      <c r="H32" s="3" t="n">
        <v>6</v>
      </c>
      <c r="I32" s="3" t="n">
        <v>6</v>
      </c>
      <c r="J32" s="3" t="n">
        <v>6</v>
      </c>
      <c r="K32" s="3" t="n">
        <v>6</v>
      </c>
      <c r="L32" s="3" t="n">
        <v>6</v>
      </c>
    </row>
    <row r="33" customFormat="false" ht="15" hidden="false" customHeight="false" outlineLevel="0" collapsed="false">
      <c r="A33" s="0" t="s">
        <v>107</v>
      </c>
      <c r="C33" s="3" t="n">
        <v>22.5</v>
      </c>
      <c r="D33" s="3" t="n">
        <v>22.5</v>
      </c>
      <c r="E33" s="3" t="n">
        <v>22.5</v>
      </c>
      <c r="F33" s="3" t="n">
        <v>22.5</v>
      </c>
      <c r="G33" s="3" t="n">
        <v>22.5</v>
      </c>
      <c r="H33" s="3" t="n">
        <v>22.5</v>
      </c>
      <c r="I33" s="3" t="n">
        <v>22.5</v>
      </c>
      <c r="J33" s="3" t="n">
        <v>22.5</v>
      </c>
      <c r="K33" s="3" t="n">
        <v>22.5</v>
      </c>
      <c r="L33" s="3" t="n">
        <v>22.5</v>
      </c>
    </row>
    <row r="34" customFormat="false" ht="15" hidden="false" customHeight="false" outlineLevel="0" collapsed="false">
      <c r="A34" s="0" t="s">
        <v>108</v>
      </c>
      <c r="B34" s="3" t="n">
        <v>12</v>
      </c>
    </row>
    <row r="35" customFormat="false" ht="15" hidden="false" customHeight="false" outlineLevel="0" collapsed="false">
      <c r="A35" s="0" t="s">
        <v>109</v>
      </c>
      <c r="B35" s="3" t="n">
        <v>4.5</v>
      </c>
    </row>
    <row r="36" customFormat="false" ht="15" hidden="false" customHeight="false" outlineLevel="0" collapsed="false">
      <c r="A36" s="0" t="s">
        <v>110</v>
      </c>
      <c r="B36" s="3" t="n">
        <v>15</v>
      </c>
    </row>
    <row r="37" customFormat="false" ht="15" hidden="false" customHeight="false" outlineLevel="0" collapsed="false">
      <c r="A37" s="0" t="s">
        <v>111</v>
      </c>
      <c r="B37" s="3" t="n">
        <v>5</v>
      </c>
    </row>
    <row r="38" customFormat="false" ht="15" hidden="false" customHeight="false" outlineLevel="0" collapsed="false">
      <c r="A38" s="0" t="s">
        <v>112</v>
      </c>
      <c r="B38" s="3" t="n">
        <v>0.5</v>
      </c>
    </row>
    <row r="40" customFormat="false" ht="15" hidden="false" customHeight="false" outlineLevel="0" collapsed="false">
      <c r="A40" s="2" t="s">
        <v>114</v>
      </c>
      <c r="C40" s="2" t="s">
        <v>91</v>
      </c>
      <c r="D40" s="2" t="s">
        <v>92</v>
      </c>
      <c r="E40" s="2" t="s">
        <v>93</v>
      </c>
      <c r="F40" s="2" t="s">
        <v>94</v>
      </c>
      <c r="G40" s="2" t="s">
        <v>95</v>
      </c>
      <c r="H40" s="2" t="s">
        <v>96</v>
      </c>
      <c r="I40" s="2" t="s">
        <v>97</v>
      </c>
      <c r="J40" s="2" t="s">
        <v>98</v>
      </c>
      <c r="K40" s="2" t="s">
        <v>99</v>
      </c>
      <c r="L40" s="2" t="s">
        <v>100</v>
      </c>
    </row>
    <row r="41" customFormat="false" ht="15" hidden="false" customHeight="false" outlineLevel="0" collapsed="false">
      <c r="A41" s="0" t="s">
        <v>101</v>
      </c>
      <c r="C41" s="3" t="n">
        <v>6.5</v>
      </c>
      <c r="D41" s="3" t="n">
        <v>7</v>
      </c>
      <c r="E41" s="3" t="n">
        <v>7</v>
      </c>
      <c r="F41" s="3" t="n">
        <v>6.5</v>
      </c>
      <c r="G41" s="3" t="n">
        <v>6.5</v>
      </c>
      <c r="H41" s="3" t="n">
        <v>6</v>
      </c>
      <c r="I41" s="3" t="n">
        <v>6</v>
      </c>
      <c r="J41" s="3" t="n">
        <v>5.5</v>
      </c>
      <c r="K41" s="3" t="n">
        <v>5.5</v>
      </c>
      <c r="L41" s="3" t="n">
        <v>5.5</v>
      </c>
    </row>
    <row r="42" customFormat="false" ht="15" hidden="false" customHeight="false" outlineLevel="0" collapsed="false">
      <c r="A42" s="0" t="s">
        <v>102</v>
      </c>
      <c r="C42" s="3" t="n">
        <v>31.5</v>
      </c>
      <c r="D42" s="3" t="n">
        <v>32.3</v>
      </c>
      <c r="E42" s="3" t="n">
        <v>33</v>
      </c>
      <c r="F42" s="3" t="n">
        <v>33.7</v>
      </c>
      <c r="G42" s="3" t="n">
        <v>34.3</v>
      </c>
      <c r="H42" s="3" t="n">
        <v>34.5</v>
      </c>
      <c r="I42" s="3" t="n">
        <v>34.5</v>
      </c>
      <c r="J42" s="3" t="n">
        <v>34.5</v>
      </c>
      <c r="K42" s="3" t="n">
        <v>34.5</v>
      </c>
      <c r="L42" s="3" t="n">
        <v>34.5</v>
      </c>
    </row>
    <row r="43" customFormat="false" ht="15" hidden="false" customHeight="false" outlineLevel="0" collapsed="false">
      <c r="A43" s="0" t="s">
        <v>103</v>
      </c>
      <c r="C43" s="3" t="n">
        <v>0.5</v>
      </c>
      <c r="D43" s="3" t="n">
        <v>0.5</v>
      </c>
      <c r="E43" s="3" t="n">
        <v>0.5</v>
      </c>
      <c r="F43" s="3" t="n">
        <v>0.5</v>
      </c>
      <c r="G43" s="3" t="n">
        <v>0.5</v>
      </c>
      <c r="H43" s="3" t="n">
        <v>0.5</v>
      </c>
      <c r="I43" s="3" t="n">
        <v>0.5</v>
      </c>
      <c r="J43" s="3" t="n">
        <v>0.5</v>
      </c>
      <c r="K43" s="3" t="n">
        <v>0.5</v>
      </c>
      <c r="L43" s="3" t="n">
        <v>0.5</v>
      </c>
    </row>
    <row r="44" customFormat="false" ht="15" hidden="false" customHeight="false" outlineLevel="0" collapsed="false">
      <c r="A44" s="0" t="s">
        <v>104</v>
      </c>
      <c r="C44" s="3" t="n">
        <v>1.6</v>
      </c>
      <c r="D44" s="3" t="n">
        <v>1.6</v>
      </c>
      <c r="E44" s="3" t="n">
        <v>1.6</v>
      </c>
      <c r="F44" s="3" t="n">
        <v>1.6</v>
      </c>
      <c r="G44" s="3" t="n">
        <v>1.6</v>
      </c>
      <c r="H44" s="3" t="n">
        <v>1.6</v>
      </c>
      <c r="I44" s="3" t="n">
        <v>1.6</v>
      </c>
      <c r="J44" s="3" t="n">
        <v>1.6</v>
      </c>
      <c r="K44" s="3" t="n">
        <v>1.6</v>
      </c>
      <c r="L44" s="3" t="n">
        <v>1.6</v>
      </c>
    </row>
    <row r="45" customFormat="false" ht="15" hidden="false" customHeight="false" outlineLevel="0" collapsed="false">
      <c r="A45" s="0" t="s">
        <v>105</v>
      </c>
      <c r="C45" s="3" t="n">
        <v>6.2</v>
      </c>
      <c r="D45" s="3" t="n">
        <v>6.2</v>
      </c>
      <c r="E45" s="3" t="n">
        <v>6.2</v>
      </c>
      <c r="F45" s="3" t="n">
        <v>6.2</v>
      </c>
      <c r="G45" s="3" t="n">
        <v>6.2</v>
      </c>
      <c r="H45" s="3" t="n">
        <v>6.2</v>
      </c>
      <c r="I45" s="3" t="n">
        <v>6.2</v>
      </c>
      <c r="J45" s="3" t="n">
        <v>6.2</v>
      </c>
      <c r="K45" s="3" t="n">
        <v>6.2</v>
      </c>
      <c r="L45" s="3" t="n">
        <v>6.2</v>
      </c>
    </row>
    <row r="46" customFormat="false" ht="15" hidden="false" customHeight="false" outlineLevel="0" collapsed="false">
      <c r="A46" s="0" t="s">
        <v>106</v>
      </c>
      <c r="C46" s="3" t="n">
        <v>5.5</v>
      </c>
      <c r="D46" s="3" t="n">
        <v>5.5</v>
      </c>
      <c r="E46" s="3" t="n">
        <v>5.5</v>
      </c>
      <c r="F46" s="3" t="n">
        <v>5.5</v>
      </c>
      <c r="G46" s="3" t="n">
        <v>5.5</v>
      </c>
      <c r="H46" s="3" t="n">
        <v>5.5</v>
      </c>
      <c r="I46" s="3" t="n">
        <v>5.5</v>
      </c>
      <c r="J46" s="3" t="n">
        <v>5.5</v>
      </c>
      <c r="K46" s="3" t="n">
        <v>5.5</v>
      </c>
      <c r="L46" s="3" t="n">
        <v>5.5</v>
      </c>
    </row>
    <row r="47" customFormat="false" ht="15" hidden="false" customHeight="false" outlineLevel="0" collapsed="false">
      <c r="A47" s="0" t="s">
        <v>107</v>
      </c>
      <c r="C47" s="3" t="n">
        <v>21.5</v>
      </c>
      <c r="D47" s="3" t="n">
        <v>21.5</v>
      </c>
      <c r="E47" s="3" t="n">
        <v>21.5</v>
      </c>
      <c r="F47" s="3" t="n">
        <v>21.5</v>
      </c>
      <c r="G47" s="3" t="n">
        <v>21.5</v>
      </c>
      <c r="H47" s="3" t="n">
        <v>21.5</v>
      </c>
      <c r="I47" s="3" t="n">
        <v>21.5</v>
      </c>
      <c r="J47" s="3" t="n">
        <v>21.5</v>
      </c>
      <c r="K47" s="3" t="n">
        <v>21.5</v>
      </c>
      <c r="L47" s="3" t="n">
        <v>21.5</v>
      </c>
    </row>
    <row r="48" customFormat="false" ht="15" hidden="false" customHeight="false" outlineLevel="0" collapsed="false">
      <c r="A48" s="0" t="s">
        <v>108</v>
      </c>
      <c r="B48" s="3" t="n">
        <v>12</v>
      </c>
    </row>
    <row r="49" customFormat="false" ht="15" hidden="false" customHeight="false" outlineLevel="0" collapsed="false">
      <c r="A49" s="0" t="s">
        <v>109</v>
      </c>
      <c r="B49" s="3" t="n">
        <v>5</v>
      </c>
    </row>
    <row r="50" customFormat="false" ht="15" hidden="false" customHeight="false" outlineLevel="0" collapsed="false">
      <c r="A50" s="0" t="s">
        <v>110</v>
      </c>
      <c r="B50" s="3" t="n">
        <v>15</v>
      </c>
    </row>
    <row r="51" customFormat="false" ht="15" hidden="false" customHeight="false" outlineLevel="0" collapsed="false">
      <c r="A51" s="0" t="s">
        <v>111</v>
      </c>
      <c r="B51" s="3" t="n">
        <v>5</v>
      </c>
    </row>
    <row r="52" customFormat="false" ht="15" hidden="false" customHeight="false" outlineLevel="0" collapsed="false">
      <c r="A52" s="0" t="s">
        <v>112</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115</v>
      </c>
    </row>
    <row r="3" customFormat="false" ht="15" hidden="false" customHeight="false" outlineLevel="0" collapsed="false">
      <c r="A3" s="0" t="s">
        <v>116</v>
      </c>
      <c r="B3" s="0" t="s">
        <v>86</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Assumptions!C13</f>
        <v>3</v>
      </c>
      <c r="D5" s="4" t="n">
        <f aca="false">Assumptions!D13</f>
        <v>3.5</v>
      </c>
      <c r="E5" s="4" t="n">
        <f aca="false">Assumptions!E13</f>
        <v>3.5</v>
      </c>
      <c r="F5" s="4" t="n">
        <f aca="false">Assumptions!F13</f>
        <v>4</v>
      </c>
      <c r="G5" s="4" t="n">
        <f aca="false">Assumptions!G13</f>
        <v>4</v>
      </c>
      <c r="H5" s="4" t="n">
        <f aca="false">Assumptions!H13</f>
        <v>4</v>
      </c>
      <c r="I5" s="4" t="n">
        <f aca="false">Assumptions!I13</f>
        <v>3.5</v>
      </c>
      <c r="J5" s="4" t="n">
        <f aca="false">Assumptions!J13</f>
        <v>3.5</v>
      </c>
      <c r="K5" s="4" t="n">
        <f aca="false">Assumptions!K13</f>
        <v>3.5</v>
      </c>
      <c r="L5" s="4" t="n">
        <f aca="false">Assumptions!L13</f>
        <v>3.5</v>
      </c>
    </row>
    <row r="6" customFormat="false" ht="15" hidden="false" customHeight="false" outlineLevel="0" collapsed="false">
      <c r="A6" s="0" t="s">
        <v>38</v>
      </c>
      <c r="B6" s="3" t="n">
        <v>89200</v>
      </c>
      <c r="C6" s="0" t="n">
        <f aca="false">B6*(1+C5/100)</f>
        <v>91876</v>
      </c>
      <c r="D6" s="0" t="n">
        <f aca="false">C6*(1+D5/100)</f>
        <v>95091.66</v>
      </c>
      <c r="E6" s="0" t="n">
        <f aca="false">D6*(1+E5/100)</f>
        <v>98419.8681</v>
      </c>
      <c r="F6" s="0" t="n">
        <f aca="false">E6*(1+F5/100)</f>
        <v>102356.662824</v>
      </c>
      <c r="G6" s="0" t="n">
        <f aca="false">F6*(1+G5/100)</f>
        <v>106450.92933696</v>
      </c>
      <c r="H6" s="0" t="n">
        <f aca="false">G6*(1+H5/100)</f>
        <v>110708.966510438</v>
      </c>
      <c r="I6" s="0" t="n">
        <f aca="false">H6*(1+I5/100)</f>
        <v>114583.780338304</v>
      </c>
      <c r="J6" s="0" t="n">
        <f aca="false">I6*(1+J5/100)</f>
        <v>118594.212650144</v>
      </c>
      <c r="K6" s="0" t="n">
        <f aca="false">J6*(1+K5/100)</f>
        <v>122745.010092899</v>
      </c>
      <c r="L6" s="0" t="n">
        <f aca="false">K6*(1+L5/100)</f>
        <v>127041.085446151</v>
      </c>
    </row>
    <row r="7" customFormat="false" ht="15" hidden="false" customHeight="false" outlineLevel="0" collapsed="false">
      <c r="A7" s="0" t="s">
        <v>102</v>
      </c>
      <c r="C7" s="4" t="n">
        <f aca="false">Assumptions!C14</f>
        <v>30</v>
      </c>
      <c r="D7" s="4" t="n">
        <f aca="false">Assumptions!D14</f>
        <v>29.8</v>
      </c>
      <c r="E7" s="4" t="n">
        <f aca="false">Assumptions!E14</f>
        <v>29.6</v>
      </c>
      <c r="F7" s="4" t="n">
        <f aca="false">Assumptions!F14</f>
        <v>29.5</v>
      </c>
      <c r="G7" s="4" t="n">
        <f aca="false">Assumptions!G14</f>
        <v>29.5</v>
      </c>
      <c r="H7" s="4" t="n">
        <f aca="false">Assumptions!H14</f>
        <v>29.5</v>
      </c>
      <c r="I7" s="4" t="n">
        <f aca="false">Assumptions!I14</f>
        <v>29.5</v>
      </c>
      <c r="J7" s="4" t="n">
        <f aca="false">Assumptions!J14</f>
        <v>29.5</v>
      </c>
      <c r="K7" s="4" t="n">
        <f aca="false">Assumptions!K14</f>
        <v>29.5</v>
      </c>
      <c r="L7" s="4" t="n">
        <f aca="false">Assumptions!L14</f>
        <v>29.5</v>
      </c>
    </row>
    <row r="8" customFormat="false" ht="15" hidden="false" customHeight="false" outlineLevel="0" collapsed="false">
      <c r="A8" s="0" t="s">
        <v>44</v>
      </c>
      <c r="C8" s="0" t="n">
        <f aca="false">C6*C7/100</f>
        <v>27562.8</v>
      </c>
      <c r="D8" s="0" t="n">
        <f aca="false">D6*D7/100</f>
        <v>28337.31468</v>
      </c>
      <c r="E8" s="0" t="n">
        <f aca="false">E6*E7/100</f>
        <v>29132.2809576</v>
      </c>
      <c r="F8" s="0" t="n">
        <f aca="false">F6*F7/100</f>
        <v>30195.21553308</v>
      </c>
      <c r="G8" s="0" t="n">
        <f aca="false">G6*G7/100</f>
        <v>31403.0241544032</v>
      </c>
      <c r="H8" s="0" t="n">
        <f aca="false">H6*H7/100</f>
        <v>32659.1451205793</v>
      </c>
      <c r="I8" s="0" t="n">
        <f aca="false">I6*I7/100</f>
        <v>33802.2151997996</v>
      </c>
      <c r="J8" s="0" t="n">
        <f aca="false">J6*J7/100</f>
        <v>34985.2927317926</v>
      </c>
      <c r="K8" s="0" t="n">
        <f aca="false">K6*K7/100</f>
        <v>36209.7779774053</v>
      </c>
      <c r="L8" s="0" t="n">
        <f aca="false">L6*L7/100</f>
        <v>37477.1202066145</v>
      </c>
    </row>
    <row r="9" customFormat="false" ht="15" hidden="false" customHeight="false" outlineLevel="0" collapsed="false">
      <c r="A9" s="0" t="s">
        <v>103</v>
      </c>
      <c r="C9" s="4" t="n">
        <f aca="false">Assumptions!C15</f>
        <v>0.5</v>
      </c>
      <c r="D9" s="4" t="n">
        <f aca="false">Assumptions!D15</f>
        <v>0.5</v>
      </c>
      <c r="E9" s="4" t="n">
        <f aca="false">Assumptions!E15</f>
        <v>0.5</v>
      </c>
      <c r="F9" s="4" t="n">
        <f aca="false">Assumptions!F15</f>
        <v>0.5</v>
      </c>
      <c r="G9" s="4" t="n">
        <f aca="false">Assumptions!G15</f>
        <v>0.5</v>
      </c>
      <c r="H9" s="4" t="n">
        <f aca="false">Assumptions!H15</f>
        <v>0.5</v>
      </c>
      <c r="I9" s="4" t="n">
        <f aca="false">Assumptions!I15</f>
        <v>0.5</v>
      </c>
      <c r="J9" s="4" t="n">
        <f aca="false">Assumptions!J15</f>
        <v>0.5</v>
      </c>
      <c r="K9" s="4" t="n">
        <f aca="false">Assumptions!K15</f>
        <v>0.5</v>
      </c>
      <c r="L9" s="4" t="n">
        <f aca="false">Assumptions!L15</f>
        <v>0.5</v>
      </c>
    </row>
    <row r="10" customFormat="false" ht="15" hidden="false" customHeight="false" outlineLevel="0" collapsed="false">
      <c r="A10" s="0" t="s">
        <v>118</v>
      </c>
      <c r="C10" s="0" t="n">
        <f aca="false">-C6*C9/100</f>
        <v>-459.38</v>
      </c>
      <c r="D10" s="0" t="n">
        <f aca="false">-D6*D9/100</f>
        <v>-475.4583</v>
      </c>
      <c r="E10" s="0" t="n">
        <f aca="false">-E6*E9/100</f>
        <v>-492.0993405</v>
      </c>
      <c r="F10" s="0" t="n">
        <f aca="false">-F6*F9/100</f>
        <v>-511.78331412</v>
      </c>
      <c r="G10" s="0" t="n">
        <f aca="false">-G6*G9/100</f>
        <v>-532.2546466848</v>
      </c>
      <c r="H10" s="0" t="n">
        <f aca="false">-H6*H9/100</f>
        <v>-553.544832552192</v>
      </c>
      <c r="I10" s="0" t="n">
        <f aca="false">-I6*I9/100</f>
        <v>-572.918901691519</v>
      </c>
      <c r="J10" s="0" t="n">
        <f aca="false">-J6*J9/100</f>
        <v>-592.971063250722</v>
      </c>
      <c r="K10" s="0" t="n">
        <f aca="false">-K6*K9/100</f>
        <v>-613.725050464497</v>
      </c>
      <c r="L10" s="0" t="n">
        <f aca="false">-L6*L9/100</f>
        <v>-635.205427230754</v>
      </c>
    </row>
    <row r="11" customFormat="false" ht="15" hidden="false" customHeight="false" outlineLevel="0" collapsed="false">
      <c r="A11" s="0" t="s">
        <v>119</v>
      </c>
      <c r="C11" s="0" t="n">
        <f aca="false">C8+C10+C24</f>
        <v>25541.528</v>
      </c>
      <c r="D11" s="0" t="n">
        <f aca="false">D8+D10+D24</f>
        <v>26245.29816</v>
      </c>
      <c r="E11" s="0" t="n">
        <f aca="false">E8+E10+E24</f>
        <v>26967.0438594</v>
      </c>
      <c r="F11" s="0" t="n">
        <f aca="false">F8+F10+F24</f>
        <v>27943.368950952</v>
      </c>
      <c r="G11" s="0" t="n">
        <f aca="false">G8+G10+G24</f>
        <v>29061.1037089901</v>
      </c>
      <c r="H11" s="0" t="n">
        <f aca="false">H8+H10+H24</f>
        <v>30223.5478573497</v>
      </c>
      <c r="I11" s="0" t="n">
        <f aca="false">I8+I10+I24</f>
        <v>31281.3720323569</v>
      </c>
      <c r="J11" s="0" t="n">
        <f aca="false">J8+J10+J24</f>
        <v>32376.2200534894</v>
      </c>
      <c r="K11" s="0" t="n">
        <f aca="false">K8+K10+K24</f>
        <v>33509.3877553615</v>
      </c>
      <c r="L11" s="0" t="n">
        <f aca="false">L8+L10+L24</f>
        <v>34682.2163267992</v>
      </c>
    </row>
    <row r="12" customFormat="false" ht="15" hidden="false" customHeight="false" outlineLevel="0" collapsed="false">
      <c r="A12" s="0" t="s">
        <v>120</v>
      </c>
      <c r="C12" s="4" t="n">
        <f aca="false">-C6*Assumptions!C17/100</f>
        <v>-5880.064</v>
      </c>
      <c r="D12" s="4" t="n">
        <f aca="false">-D6*Assumptions!D17/100</f>
        <v>-6085.86624</v>
      </c>
      <c r="E12" s="4" t="n">
        <f aca="false">-E6*Assumptions!E17/100</f>
        <v>-6298.8715584</v>
      </c>
      <c r="F12" s="4" t="n">
        <f aca="false">-F6*Assumptions!F17/100</f>
        <v>-6550.826420736</v>
      </c>
      <c r="G12" s="4" t="n">
        <f aca="false">-G6*Assumptions!G17/100</f>
        <v>-6812.85947756544</v>
      </c>
      <c r="H12" s="4" t="n">
        <f aca="false">-H6*Assumptions!H17/100</f>
        <v>-7085.37385666806</v>
      </c>
      <c r="I12" s="4" t="n">
        <f aca="false">-I6*Assumptions!I17/100</f>
        <v>-7333.36194165144</v>
      </c>
      <c r="J12" s="4" t="n">
        <f aca="false">-J6*Assumptions!J17/100</f>
        <v>-7590.02960960924</v>
      </c>
      <c r="K12" s="4" t="n">
        <f aca="false">-K6*Assumptions!K17/100</f>
        <v>-7855.68064594556</v>
      </c>
      <c r="L12" s="4" t="n">
        <f aca="false">-L6*Assumptions!L17/100</f>
        <v>-8130.62946855365</v>
      </c>
    </row>
    <row r="13" customFormat="false" ht="15" hidden="false" customHeight="false" outlineLevel="0" collapsed="false">
      <c r="A13" s="0" t="s">
        <v>121</v>
      </c>
      <c r="C13" s="0" t="n">
        <f aca="false">C11+C12</f>
        <v>19661.464</v>
      </c>
      <c r="D13" s="0" t="n">
        <f aca="false">D11+D12</f>
        <v>20159.43192</v>
      </c>
      <c r="E13" s="0" t="n">
        <f aca="false">E11+E12</f>
        <v>20668.172301</v>
      </c>
      <c r="F13" s="0" t="n">
        <f aca="false">F11+F12</f>
        <v>21392.542530216</v>
      </c>
      <c r="G13" s="0" t="n">
        <f aca="false">G11+G12</f>
        <v>22248.2442314246</v>
      </c>
      <c r="H13" s="0" t="n">
        <f aca="false">H11+H12</f>
        <v>23138.1740006816</v>
      </c>
      <c r="I13" s="0" t="n">
        <f aca="false">I11+I12</f>
        <v>23948.0100907055</v>
      </c>
      <c r="J13" s="0" t="n">
        <f aca="false">J11+J12</f>
        <v>24786.1904438802</v>
      </c>
      <c r="K13" s="0" t="n">
        <f aca="false">K11+K12</f>
        <v>25653.707109416</v>
      </c>
      <c r="L13" s="0" t="n">
        <f aca="false">L11+L12</f>
        <v>26551.5868582455</v>
      </c>
    </row>
    <row r="14" customFormat="false" ht="15" hidden="false" customHeight="false" outlineLevel="0" collapsed="false">
      <c r="A14" s="0" t="s">
        <v>107</v>
      </c>
      <c r="C14" s="4" t="n">
        <f aca="false">Assumptions!C19</f>
        <v>23.5</v>
      </c>
      <c r="D14" s="4" t="n">
        <f aca="false">Assumptions!D19</f>
        <v>25</v>
      </c>
      <c r="E14" s="4" t="n">
        <f aca="false">Assumptions!E19</f>
        <v>26.5</v>
      </c>
      <c r="F14" s="4" t="n">
        <f aca="false">Assumptions!F19</f>
        <v>26.5</v>
      </c>
      <c r="G14" s="4" t="n">
        <f aca="false">Assumptions!G19</f>
        <v>26.5</v>
      </c>
      <c r="H14" s="4" t="n">
        <f aca="false">Assumptions!H19</f>
        <v>26.5</v>
      </c>
      <c r="I14" s="4" t="n">
        <f aca="false">Assumptions!I19</f>
        <v>26.5</v>
      </c>
      <c r="J14" s="4" t="n">
        <f aca="false">Assumptions!J19</f>
        <v>26.5</v>
      </c>
      <c r="K14" s="4" t="n">
        <f aca="false">Assumptions!K19</f>
        <v>26.5</v>
      </c>
      <c r="L14" s="4" t="n">
        <f aca="false">Assumptions!L19</f>
        <v>26.5</v>
      </c>
    </row>
    <row r="15" customFormat="false" ht="15" hidden="false" customHeight="false" outlineLevel="0" collapsed="false">
      <c r="A15" s="0" t="s">
        <v>122</v>
      </c>
      <c r="C15" s="0" t="n">
        <f aca="false">C13-MAX(0,C13)*C14/100</f>
        <v>15041.01996</v>
      </c>
      <c r="D15" s="0" t="n">
        <f aca="false">D13-MAX(0,D13)*D14/100</f>
        <v>15119.57394</v>
      </c>
      <c r="E15" s="0" t="n">
        <f aca="false">E13-MAX(0,E13)*E14/100</f>
        <v>15191.106641235</v>
      </c>
      <c r="F15" s="0" t="n">
        <f aca="false">F13-MAX(0,F13)*F14/100</f>
        <v>15723.5187597088</v>
      </c>
      <c r="G15" s="0" t="n">
        <f aca="false">G13-MAX(0,G13)*G14/100</f>
        <v>16352.4595100971</v>
      </c>
      <c r="H15" s="0" t="n">
        <f aca="false">H13-MAX(0,H13)*H14/100</f>
        <v>17006.557890501</v>
      </c>
      <c r="I15" s="0" t="n">
        <f aca="false">I13-MAX(0,I13)*I14/100</f>
        <v>17601.7874166685</v>
      </c>
      <c r="J15" s="0" t="n">
        <f aca="false">J13-MAX(0,J13)*J14/100</f>
        <v>18217.8499762519</v>
      </c>
      <c r="K15" s="0" t="n">
        <f aca="false">K13-MAX(0,K13)*K14/100</f>
        <v>18855.4747254207</v>
      </c>
      <c r="L15" s="0" t="n">
        <f aca="false">L13-MAX(0,L13)*L14/100</f>
        <v>19515.4163408105</v>
      </c>
    </row>
    <row r="16" customFormat="false" ht="15" hidden="false" customHeight="false" outlineLevel="0" collapsed="false">
      <c r="A16" s="0" t="s">
        <v>123</v>
      </c>
      <c r="C16" s="0" t="n">
        <f aca="false">-C12</f>
        <v>5880.064</v>
      </c>
      <c r="D16" s="0" t="n">
        <f aca="false">-D12</f>
        <v>6085.86624</v>
      </c>
      <c r="E16" s="0" t="n">
        <f aca="false">-E12</f>
        <v>6298.8715584</v>
      </c>
      <c r="F16" s="0" t="n">
        <f aca="false">-F12</f>
        <v>6550.826420736</v>
      </c>
      <c r="G16" s="0" t="n">
        <f aca="false">-G12</f>
        <v>6812.85947756544</v>
      </c>
      <c r="H16" s="0" t="n">
        <f aca="false">-H12</f>
        <v>7085.37385666806</v>
      </c>
      <c r="I16" s="0" t="n">
        <f aca="false">-I12</f>
        <v>7333.36194165144</v>
      </c>
      <c r="J16" s="0" t="n">
        <f aca="false">-J12</f>
        <v>7590.02960960924</v>
      </c>
      <c r="K16" s="0" t="n">
        <f aca="false">-K12</f>
        <v>7855.68064594556</v>
      </c>
      <c r="L16" s="0" t="n">
        <f aca="false">-L12</f>
        <v>8130.62946855365</v>
      </c>
    </row>
    <row r="17" customFormat="false" ht="15" hidden="false" customHeight="false" outlineLevel="0" collapsed="false">
      <c r="A17" s="0" t="s">
        <v>124</v>
      </c>
      <c r="C17" s="4" t="n">
        <f aca="false">-C6*Assumptions!C18/100</f>
        <v>-5971.94</v>
      </c>
      <c r="D17" s="4" t="n">
        <f aca="false">-D6*Assumptions!D18/100</f>
        <v>-6180.9579</v>
      </c>
      <c r="E17" s="4" t="n">
        <f aca="false">-E6*Assumptions!E18/100</f>
        <v>-6397.2914265</v>
      </c>
      <c r="F17" s="4" t="n">
        <f aca="false">-F6*Assumptions!F18/100</f>
        <v>-6653.18308356</v>
      </c>
      <c r="G17" s="4" t="n">
        <f aca="false">-G6*Assumptions!G18/100</f>
        <v>-6919.3104069024</v>
      </c>
      <c r="H17" s="4" t="n">
        <f aca="false">-H6*Assumptions!H18/100</f>
        <v>-7196.0828231785</v>
      </c>
      <c r="I17" s="4" t="n">
        <f aca="false">-I6*Assumptions!I18/100</f>
        <v>-7447.94572198974</v>
      </c>
      <c r="J17" s="4" t="n">
        <f aca="false">-J6*Assumptions!J18/100</f>
        <v>-7708.62382225938</v>
      </c>
      <c r="K17" s="4" t="n">
        <f aca="false">-K6*Assumptions!K18/100</f>
        <v>-7978.42565603846</v>
      </c>
      <c r="L17" s="4" t="n">
        <f aca="false">-L6*Assumptions!L18/100</f>
        <v>-8257.67055399981</v>
      </c>
    </row>
    <row r="18" customFormat="false" ht="15" hidden="false" customHeight="false" outlineLevel="0" collapsed="false">
      <c r="A18" s="0" t="s">
        <v>125</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126</v>
      </c>
      <c r="C19" s="0" t="n">
        <f aca="false">C15+C16+C17+C18</f>
        <v>14949.14396</v>
      </c>
      <c r="D19" s="0" t="n">
        <f aca="false">D15+D16+D17+D18</f>
        <v>15024.48228</v>
      </c>
      <c r="E19" s="0" t="n">
        <f aca="false">E15+E16+E17+E18</f>
        <v>15092.686773135</v>
      </c>
      <c r="F19" s="0" t="n">
        <f aca="false">F15+F16+F17+F18</f>
        <v>15621.1620968848</v>
      </c>
      <c r="G19" s="0" t="n">
        <f aca="false">G15+G16+G17+G18</f>
        <v>16246.0085807601</v>
      </c>
      <c r="H19" s="0" t="n">
        <f aca="false">H15+H16+H17+H18</f>
        <v>16895.8489239906</v>
      </c>
      <c r="I19" s="0" t="n">
        <f aca="false">I15+I16+I17+I18</f>
        <v>17487.2036363302</v>
      </c>
      <c r="J19" s="0" t="n">
        <f aca="false">J15+J16+J17+J18</f>
        <v>18099.2557636018</v>
      </c>
      <c r="K19" s="0" t="n">
        <f aca="false">K15+K16+K17+K18</f>
        <v>18732.7297153278</v>
      </c>
      <c r="L19" s="0" t="n">
        <f aca="false">L15+L16+L17+L18</f>
        <v>19388.3752553643</v>
      </c>
    </row>
    <row r="20" customFormat="false" ht="15" hidden="false" customHeight="false" outlineLevel="0" collapsed="false">
      <c r="A20" s="0" t="s">
        <v>127</v>
      </c>
      <c r="C20" s="0" t="n">
        <f aca="false">1/(1+$B$27/100)^C4</f>
        <v>0.892857142857143</v>
      </c>
      <c r="D20" s="0" t="n">
        <f aca="false">1/(1+$B$27/100)^D4</f>
        <v>0.79719387755102</v>
      </c>
      <c r="E20" s="0" t="n">
        <f aca="false">1/(1+$B$27/100)^E4</f>
        <v>0.711780247813411</v>
      </c>
      <c r="F20" s="0" t="n">
        <f aca="false">1/(1+$B$27/100)^F4</f>
        <v>0.635518078404831</v>
      </c>
      <c r="G20" s="0" t="n">
        <f aca="false">1/(1+$B$27/100)^G4</f>
        <v>0.567426855718599</v>
      </c>
      <c r="H20" s="0" t="n">
        <f aca="false">1/(1+$B$27/100)^H4</f>
        <v>0.506631121177321</v>
      </c>
      <c r="I20" s="0" t="n">
        <f aca="false">1/(1+$B$27/100)^I4</f>
        <v>0.452349215336893</v>
      </c>
      <c r="J20" s="0" t="n">
        <f aca="false">1/(1+$B$27/100)^J4</f>
        <v>0.403883227979369</v>
      </c>
      <c r="K20" s="0" t="n">
        <f aca="false">1/(1+$B$27/100)^K4</f>
        <v>0.360610024981579</v>
      </c>
      <c r="L20" s="0" t="n">
        <f aca="false">1/(1+$B$27/100)^L4</f>
        <v>0.321973236590696</v>
      </c>
    </row>
    <row r="21" customFormat="false" ht="15" hidden="false" customHeight="false" outlineLevel="0" collapsed="false">
      <c r="A21" s="0" t="s">
        <v>128</v>
      </c>
      <c r="C21" s="0" t="n">
        <f aca="false">C19*C20</f>
        <v>13347.4499642857</v>
      </c>
      <c r="D21" s="0" t="n">
        <f aca="false">D19*D20</f>
        <v>11977.4252869898</v>
      </c>
      <c r="E21" s="0" t="n">
        <f aca="false">E19*E20</f>
        <v>10742.6763315522</v>
      </c>
      <c r="F21" s="0" t="n">
        <f aca="false">F19*F20</f>
        <v>9927.53091826258</v>
      </c>
      <c r="G21" s="0" t="n">
        <f aca="false">G19*G20</f>
        <v>9218.42156695811</v>
      </c>
      <c r="H21" s="0" t="n">
        <f aca="false">H19*H20</f>
        <v>8559.96288360396</v>
      </c>
      <c r="I21" s="0" t="n">
        <f aca="false">I19*I20</f>
        <v>7910.32284333044</v>
      </c>
      <c r="J21" s="0" t="n">
        <f aca="false">J19*J20</f>
        <v>7309.98584182769</v>
      </c>
      <c r="K21" s="0" t="n">
        <f aca="false">K19*K20</f>
        <v>6755.21013061755</v>
      </c>
      <c r="L21" s="0" t="n">
        <f aca="false">L19*L20</f>
        <v>6242.53793320461</v>
      </c>
    </row>
    <row r="23" customFormat="false" ht="15" hidden="false" customHeight="false" outlineLevel="0" collapsed="false">
      <c r="A23" s="0" t="s">
        <v>104</v>
      </c>
      <c r="C23" s="4" t="n">
        <f aca="false">Assumptions!C16</f>
        <v>1.7</v>
      </c>
      <c r="D23" s="4" t="n">
        <f aca="false">Assumptions!D16</f>
        <v>1.7</v>
      </c>
      <c r="E23" s="4" t="n">
        <f aca="false">Assumptions!E16</f>
        <v>1.7</v>
      </c>
      <c r="F23" s="4" t="n">
        <f aca="false">Assumptions!F16</f>
        <v>1.7</v>
      </c>
      <c r="G23" s="4" t="n">
        <f aca="false">Assumptions!G16</f>
        <v>1.7</v>
      </c>
      <c r="H23" s="4" t="n">
        <f aca="false">Assumptions!H16</f>
        <v>1.7</v>
      </c>
      <c r="I23" s="4" t="n">
        <f aca="false">Assumptions!I16</f>
        <v>1.7</v>
      </c>
      <c r="J23" s="4" t="n">
        <f aca="false">Assumptions!J16</f>
        <v>1.7</v>
      </c>
      <c r="K23" s="4" t="n">
        <f aca="false">Assumptions!K16</f>
        <v>1.7</v>
      </c>
      <c r="L23" s="4" t="n">
        <f aca="false">Assumptions!L16</f>
        <v>1.7</v>
      </c>
    </row>
    <row r="24" customFormat="false" ht="15" hidden="false" customHeight="false" outlineLevel="0" collapsed="false">
      <c r="A24" s="0" t="s">
        <v>129</v>
      </c>
      <c r="C24" s="0" t="n">
        <f aca="false">-C6*C23/100</f>
        <v>-1561.892</v>
      </c>
      <c r="D24" s="0" t="n">
        <f aca="false">-D6*D23/100</f>
        <v>-1616.55822</v>
      </c>
      <c r="E24" s="0" t="n">
        <f aca="false">-E6*E23/100</f>
        <v>-1673.1377577</v>
      </c>
      <c r="F24" s="0" t="n">
        <f aca="false">-F6*F23/100</f>
        <v>-1740.063268008</v>
      </c>
      <c r="G24" s="0" t="n">
        <f aca="false">-G6*G23/100</f>
        <v>-1809.66579872832</v>
      </c>
      <c r="H24" s="0" t="n">
        <f aca="false">-H6*H23/100</f>
        <v>-1882.05243067745</v>
      </c>
      <c r="I24" s="0" t="n">
        <f aca="false">-I6*I23/100</f>
        <v>-1947.92426575116</v>
      </c>
      <c r="J24" s="0" t="n">
        <f aca="false">-J6*J23/100</f>
        <v>-2016.10161505245</v>
      </c>
      <c r="K24" s="0" t="n">
        <f aca="false">-K6*K23/100</f>
        <v>-2086.66517157929</v>
      </c>
      <c r="L24" s="0" t="n">
        <f aca="false">-L6*L23/100</f>
        <v>-2159.69845258456</v>
      </c>
    </row>
    <row r="26" customFormat="false" ht="15" hidden="false" customHeight="false" outlineLevel="0" collapsed="false">
      <c r="A26" s="2" t="s">
        <v>130</v>
      </c>
    </row>
    <row r="27" customFormat="false" ht="15" hidden="false" customHeight="false" outlineLevel="0" collapsed="false">
      <c r="A27" s="0" t="s">
        <v>108</v>
      </c>
      <c r="B27" s="4" t="n">
        <f aca="false">Assumptions!$B$20</f>
        <v>12</v>
      </c>
    </row>
    <row r="28" customFormat="false" ht="15" hidden="false" customHeight="false" outlineLevel="0" collapsed="false">
      <c r="A28" s="0" t="s">
        <v>109</v>
      </c>
      <c r="B28" s="4" t="n">
        <f aca="false">Assumptions!$B$21</f>
        <v>3.5</v>
      </c>
    </row>
    <row r="29" customFormat="false" ht="15" hidden="false" customHeight="false" outlineLevel="0" collapsed="false">
      <c r="A29" s="0" t="s">
        <v>110</v>
      </c>
      <c r="B29" s="4" t="n">
        <f aca="false">Assumptions!$B$22</f>
        <v>15</v>
      </c>
    </row>
    <row r="30" customFormat="false" ht="15" hidden="false" customHeight="false" outlineLevel="0" collapsed="false">
      <c r="A30" s="0" t="s">
        <v>131</v>
      </c>
      <c r="B30" s="0" t="n">
        <f aca="false">SUM(C21:L21)</f>
        <v>91991.5237006327</v>
      </c>
    </row>
    <row r="31" customFormat="false" ht="15" hidden="false" customHeight="false" outlineLevel="0" collapsed="false">
      <c r="A31" s="0" t="s">
        <v>132</v>
      </c>
      <c r="B31" s="0" t="n">
        <f aca="false">L19</f>
        <v>19388.3752553643</v>
      </c>
    </row>
    <row r="32" customFormat="false" ht="15" hidden="false" customHeight="false" outlineLevel="0" collapsed="false">
      <c r="A32" s="0" t="s">
        <v>133</v>
      </c>
      <c r="B32" s="0" t="n">
        <f aca="false">IF(B27&gt;B28,B31*(1+B28/100)/((B27-B28)/100),B31*B29)</f>
        <v>236081.981050612</v>
      </c>
    </row>
    <row r="33" customFormat="false" ht="15" hidden="false" customHeight="false" outlineLevel="0" collapsed="false">
      <c r="A33" s="0" t="s">
        <v>134</v>
      </c>
      <c r="B33" s="0" t="n">
        <f aca="false">B31*B29</f>
        <v>290825.628830465</v>
      </c>
    </row>
    <row r="34" customFormat="false" ht="15" hidden="false" customHeight="false" outlineLevel="0" collapsed="false">
      <c r="A34" s="0" t="s">
        <v>135</v>
      </c>
      <c r="B34" s="0" t="n">
        <f aca="false">MAX(0,MIN(B32,B33))</f>
        <v>236081.981050612</v>
      </c>
    </row>
    <row r="35" customFormat="false" ht="15" hidden="false" customHeight="false" outlineLevel="0" collapsed="false">
      <c r="A35" s="0" t="s">
        <v>136</v>
      </c>
      <c r="B35" s="0" t="n">
        <f aca="false">B34/(1+B27/100)^L4</f>
        <v>76012.079539609</v>
      </c>
    </row>
    <row r="36" customFormat="false" ht="15" hidden="false" customHeight="false" outlineLevel="0" collapsed="false">
      <c r="A36" s="0" t="s">
        <v>137</v>
      </c>
      <c r="B36" s="0" t="n">
        <f aca="false">B30+B35</f>
        <v>168003.603240242</v>
      </c>
    </row>
    <row r="37" customFormat="false" ht="15" hidden="false" customHeight="false" outlineLevel="0" collapsed="false">
      <c r="A37" s="0" t="s">
        <v>138</v>
      </c>
      <c r="B37" s="0" t="n">
        <f aca="false">B36+Assumptions!$B$5-Assumptions!$B$4</f>
        <v>178939.403240242</v>
      </c>
    </row>
    <row r="38" customFormat="false" ht="15" hidden="false" customHeight="false" outlineLevel="0" collapsed="false">
      <c r="A38" s="0" t="s">
        <v>139</v>
      </c>
      <c r="B38" s="0" t="n">
        <f aca="false">B37/Assumptions!$B$3*Assumptions!$B$10</f>
        <v>2.2079109161843</v>
      </c>
    </row>
    <row r="39" customFormat="false" ht="15" hidden="false" customHeight="false" outlineLevel="0" collapsed="false">
      <c r="A39" s="0" t="s">
        <v>140</v>
      </c>
      <c r="B39" s="4" t="n">
        <f aca="false">B38/Assumptions!$B$2-1</f>
        <v>-0.261568255456756</v>
      </c>
    </row>
    <row r="41" customFormat="false" ht="15" hidden="false" customHeight="false" outlineLevel="0" collapsed="false">
      <c r="A41" s="0" t="s">
        <v>141</v>
      </c>
      <c r="B41" s="0" t="n">
        <f aca="false">SUMPRODUCT(-C10:L10/(1+$B$27/100)^C4:L4)</f>
        <v>2971.65095454461</v>
      </c>
    </row>
    <row r="42" customFormat="false" ht="15" hidden="false" customHeight="false" outlineLevel="0" collapsed="false">
      <c r="A42" s="0" t="s">
        <v>142</v>
      </c>
      <c r="B42" s="0" t="n">
        <f aca="false">IF(B27&gt;B28,-L10*(1+B28/100)/((B27-B28)/100),-L10*20)/(1+B27/100)^L4</f>
        <v>2490.32138189592</v>
      </c>
    </row>
    <row r="43" customFormat="false" ht="15" hidden="false" customHeight="false" outlineLevel="0" collapsed="false">
      <c r="A43" s="0" t="s">
        <v>143</v>
      </c>
      <c r="B43" s="0" t="n">
        <f aca="false">(B37+B41+B42)/Assumptions!$B$3*Assumptions!$B$10</f>
        <v>2.27530550970115</v>
      </c>
    </row>
    <row r="45" customFormat="false" ht="15" hidden="false" customHeight="false" outlineLevel="0" collapsed="false">
      <c r="A45" s="0" t="s">
        <v>83</v>
      </c>
      <c r="B45" s="4" t="n">
        <f aca="false">Assumptions!$B$6</f>
        <v>16.7</v>
      </c>
    </row>
    <row r="46" customFormat="false" ht="15" hidden="false" customHeight="false" outlineLevel="0" collapsed="false">
      <c r="A46" s="0" t="s">
        <v>144</v>
      </c>
      <c r="B46" s="0" t="n">
        <f aca="false">MAX(0,MIN(IF(B45&gt;B28,B31*(1+B28/100)/((B45-B28)/100),B31*B29),B31*B29))</f>
        <v>152022.487797743</v>
      </c>
    </row>
    <row r="47" customFormat="false" ht="15" hidden="false" customHeight="false" outlineLevel="0" collapsed="false">
      <c r="A47" s="0" t="s">
        <v>145</v>
      </c>
      <c r="B47" s="0" t="n">
        <f aca="false">(SUMPRODUCT(C19:L19/(1+B45/100)^C4:L4)+B46/(1+B45/100)^L4+Assumptions!$B$5-Assumptions!$B$4)/Assumptions!$B$3*Assumptions!$B$10</f>
        <v>1.4724973847356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116</v>
      </c>
      <c r="B3" s="0" t="s">
        <v>86</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Assumptions!C27</f>
        <v>5</v>
      </c>
      <c r="D5" s="4" t="n">
        <f aca="false">Assumptions!D27</f>
        <v>5.5</v>
      </c>
      <c r="E5" s="4" t="n">
        <f aca="false">Assumptions!E27</f>
        <v>5.5</v>
      </c>
      <c r="F5" s="4" t="n">
        <f aca="false">Assumptions!F27</f>
        <v>5.5</v>
      </c>
      <c r="G5" s="4" t="n">
        <f aca="false">Assumptions!G27</f>
        <v>5.5</v>
      </c>
      <c r="H5" s="4" t="n">
        <f aca="false">Assumptions!H27</f>
        <v>5</v>
      </c>
      <c r="I5" s="4" t="n">
        <f aca="false">Assumptions!I27</f>
        <v>5</v>
      </c>
      <c r="J5" s="4" t="n">
        <f aca="false">Assumptions!J27</f>
        <v>5</v>
      </c>
      <c r="K5" s="4" t="n">
        <f aca="false">Assumptions!K27</f>
        <v>4.5</v>
      </c>
      <c r="L5" s="4" t="n">
        <f aca="false">Assumptions!L27</f>
        <v>4.5</v>
      </c>
    </row>
    <row r="6" customFormat="false" ht="15" hidden="false" customHeight="false" outlineLevel="0" collapsed="false">
      <c r="A6" s="0" t="s">
        <v>38</v>
      </c>
      <c r="B6" s="3" t="n">
        <v>89200</v>
      </c>
      <c r="C6" s="0" t="n">
        <f aca="false">B6*(1+C5/100)</f>
        <v>93660</v>
      </c>
      <c r="D6" s="0" t="n">
        <f aca="false">C6*(1+D5/100)</f>
        <v>98811.3</v>
      </c>
      <c r="E6" s="0" t="n">
        <f aca="false">D6*(1+E5/100)</f>
        <v>104245.9215</v>
      </c>
      <c r="F6" s="0" t="n">
        <f aca="false">E6*(1+F5/100)</f>
        <v>109979.4471825</v>
      </c>
      <c r="G6" s="0" t="n">
        <f aca="false">F6*(1+G5/100)</f>
        <v>116028.316777537</v>
      </c>
      <c r="H6" s="0" t="n">
        <f aca="false">G6*(1+H5/100)</f>
        <v>121829.732616414</v>
      </c>
      <c r="I6" s="0" t="n">
        <f aca="false">H6*(1+I5/100)</f>
        <v>127921.219247235</v>
      </c>
      <c r="J6" s="0" t="n">
        <f aca="false">I6*(1+J5/100)</f>
        <v>134317.280209597</v>
      </c>
      <c r="K6" s="0" t="n">
        <f aca="false">J6*(1+K5/100)</f>
        <v>140361.557819029</v>
      </c>
      <c r="L6" s="0" t="n">
        <f aca="false">K6*(1+L5/100)</f>
        <v>146677.827920885</v>
      </c>
    </row>
    <row r="7" customFormat="false" ht="15" hidden="false" customHeight="false" outlineLevel="0" collapsed="false">
      <c r="A7" s="0" t="s">
        <v>102</v>
      </c>
      <c r="C7" s="4" t="n">
        <f aca="false">Assumptions!C28</f>
        <v>31</v>
      </c>
      <c r="D7" s="4" t="n">
        <f aca="false">Assumptions!D28</f>
        <v>31.4</v>
      </c>
      <c r="E7" s="4" t="n">
        <f aca="false">Assumptions!E28</f>
        <v>31.8</v>
      </c>
      <c r="F7" s="4" t="n">
        <f aca="false">Assumptions!F28</f>
        <v>32.2</v>
      </c>
      <c r="G7" s="4" t="n">
        <f aca="false">Assumptions!G28</f>
        <v>32.5</v>
      </c>
      <c r="H7" s="4" t="n">
        <f aca="false">Assumptions!H28</f>
        <v>32.5</v>
      </c>
      <c r="I7" s="4" t="n">
        <f aca="false">Assumptions!I28</f>
        <v>32.5</v>
      </c>
      <c r="J7" s="4" t="n">
        <f aca="false">Assumptions!J28</f>
        <v>32.5</v>
      </c>
      <c r="K7" s="4" t="n">
        <f aca="false">Assumptions!K28</f>
        <v>32.5</v>
      </c>
      <c r="L7" s="4" t="n">
        <f aca="false">Assumptions!L28</f>
        <v>32.5</v>
      </c>
    </row>
    <row r="8" customFormat="false" ht="15" hidden="false" customHeight="false" outlineLevel="0" collapsed="false">
      <c r="A8" s="0" t="s">
        <v>44</v>
      </c>
      <c r="C8" s="0" t="n">
        <f aca="false">C6*C7/100</f>
        <v>29034.6</v>
      </c>
      <c r="D8" s="0" t="n">
        <f aca="false">D6*D7/100</f>
        <v>31026.7482</v>
      </c>
      <c r="E8" s="0" t="n">
        <f aca="false">E6*E7/100</f>
        <v>33150.203037</v>
      </c>
      <c r="F8" s="0" t="n">
        <f aca="false">F6*F7/100</f>
        <v>35413.381992765</v>
      </c>
      <c r="G8" s="0" t="n">
        <f aca="false">G6*G7/100</f>
        <v>37709.2029526997</v>
      </c>
      <c r="H8" s="0" t="n">
        <f aca="false">H6*H7/100</f>
        <v>39594.6631003347</v>
      </c>
      <c r="I8" s="0" t="n">
        <f aca="false">I6*I7/100</f>
        <v>41574.3962553514</v>
      </c>
      <c r="J8" s="0" t="n">
        <f aca="false">J6*J7/100</f>
        <v>43653.116068119</v>
      </c>
      <c r="K8" s="0" t="n">
        <f aca="false">K6*K7/100</f>
        <v>45617.5062911843</v>
      </c>
      <c r="L8" s="0" t="n">
        <f aca="false">L6*L7/100</f>
        <v>47670.2940742876</v>
      </c>
    </row>
    <row r="9" customFormat="false" ht="15" hidden="false" customHeight="false" outlineLevel="0" collapsed="false">
      <c r="A9" s="0" t="s">
        <v>103</v>
      </c>
      <c r="C9" s="4" t="n">
        <f aca="false">Assumptions!C29</f>
        <v>0.5</v>
      </c>
      <c r="D9" s="4" t="n">
        <f aca="false">Assumptions!D29</f>
        <v>0.5</v>
      </c>
      <c r="E9" s="4" t="n">
        <f aca="false">Assumptions!E29</f>
        <v>0.5</v>
      </c>
      <c r="F9" s="4" t="n">
        <f aca="false">Assumptions!F29</f>
        <v>0.5</v>
      </c>
      <c r="G9" s="4" t="n">
        <f aca="false">Assumptions!G29</f>
        <v>0.5</v>
      </c>
      <c r="H9" s="4" t="n">
        <f aca="false">Assumptions!H29</f>
        <v>0.5</v>
      </c>
      <c r="I9" s="4" t="n">
        <f aca="false">Assumptions!I29</f>
        <v>0.5</v>
      </c>
      <c r="J9" s="4" t="n">
        <f aca="false">Assumptions!J29</f>
        <v>0.5</v>
      </c>
      <c r="K9" s="4" t="n">
        <f aca="false">Assumptions!K29</f>
        <v>0.5</v>
      </c>
      <c r="L9" s="4" t="n">
        <f aca="false">Assumptions!L29</f>
        <v>0.5</v>
      </c>
    </row>
    <row r="10" customFormat="false" ht="15" hidden="false" customHeight="false" outlineLevel="0" collapsed="false">
      <c r="A10" s="0" t="s">
        <v>118</v>
      </c>
      <c r="C10" s="0" t="n">
        <f aca="false">-C6*C9/100</f>
        <v>-468.3</v>
      </c>
      <c r="D10" s="0" t="n">
        <f aca="false">-D6*D9/100</f>
        <v>-494.0565</v>
      </c>
      <c r="E10" s="0" t="n">
        <f aca="false">-E6*E9/100</f>
        <v>-521.2296075</v>
      </c>
      <c r="F10" s="0" t="n">
        <f aca="false">-F6*F9/100</f>
        <v>-549.8972359125</v>
      </c>
      <c r="G10" s="0" t="n">
        <f aca="false">-G6*G9/100</f>
        <v>-580.141583887687</v>
      </c>
      <c r="H10" s="0" t="n">
        <f aca="false">-H6*H9/100</f>
        <v>-609.148663082072</v>
      </c>
      <c r="I10" s="0" t="n">
        <f aca="false">-I6*I9/100</f>
        <v>-639.606096236175</v>
      </c>
      <c r="J10" s="0" t="n">
        <f aca="false">-J6*J9/100</f>
        <v>-671.586401047984</v>
      </c>
      <c r="K10" s="0" t="n">
        <f aca="false">-K6*K9/100</f>
        <v>-701.807789095144</v>
      </c>
      <c r="L10" s="0" t="n">
        <f aca="false">-L6*L9/100</f>
        <v>-733.389139604425</v>
      </c>
    </row>
    <row r="11" customFormat="false" ht="15" hidden="false" customHeight="false" outlineLevel="0" collapsed="false">
      <c r="A11" s="0" t="s">
        <v>119</v>
      </c>
      <c r="C11" s="0" t="n">
        <f aca="false">C8+C10+C24</f>
        <v>27067.74</v>
      </c>
      <c r="D11" s="0" t="n">
        <f aca="false">D8+D10+D24</f>
        <v>28951.7109</v>
      </c>
      <c r="E11" s="0" t="n">
        <f aca="false">E8+E10+E24</f>
        <v>30961.0386855</v>
      </c>
      <c r="F11" s="0" t="n">
        <f aca="false">F8+F10+F24</f>
        <v>33103.8136019325</v>
      </c>
      <c r="G11" s="0" t="n">
        <f aca="false">G8+G10+G24</f>
        <v>35272.6083003714</v>
      </c>
      <c r="H11" s="0" t="n">
        <f aca="false">H8+H10+H24</f>
        <v>37036.23871539</v>
      </c>
      <c r="I11" s="0" t="n">
        <f aca="false">I8+I10+I24</f>
        <v>38888.0506511595</v>
      </c>
      <c r="J11" s="0" t="n">
        <f aca="false">J8+J10+J24</f>
        <v>40832.4531837174</v>
      </c>
      <c r="K11" s="0" t="n">
        <f aca="false">K8+K10+K24</f>
        <v>42669.9135769847</v>
      </c>
      <c r="L11" s="0" t="n">
        <f aca="false">L8+L10+L24</f>
        <v>44590.059687949</v>
      </c>
    </row>
    <row r="12" customFormat="false" ht="15" hidden="false" customHeight="false" outlineLevel="0" collapsed="false">
      <c r="A12" s="0" t="s">
        <v>120</v>
      </c>
      <c r="C12" s="4" t="n">
        <f aca="false">-C6*Assumptions!C31/100</f>
        <v>-5806.92</v>
      </c>
      <c r="D12" s="4" t="n">
        <f aca="false">-D6*Assumptions!D31/100</f>
        <v>-6126.3006</v>
      </c>
      <c r="E12" s="4" t="n">
        <f aca="false">-E6*Assumptions!E31/100</f>
        <v>-6463.247133</v>
      </c>
      <c r="F12" s="4" t="n">
        <f aca="false">-F6*Assumptions!F31/100</f>
        <v>-6818.725725315</v>
      </c>
      <c r="G12" s="4" t="n">
        <f aca="false">-G6*Assumptions!G31/100</f>
        <v>-7193.75564020732</v>
      </c>
      <c r="H12" s="4" t="n">
        <f aca="false">-H6*Assumptions!H31/100</f>
        <v>-7553.44342221769</v>
      </c>
      <c r="I12" s="4" t="n">
        <f aca="false">-I6*Assumptions!I31/100</f>
        <v>-7931.11559332858</v>
      </c>
      <c r="J12" s="4" t="n">
        <f aca="false">-J6*Assumptions!J31/100</f>
        <v>-8327.67137299501</v>
      </c>
      <c r="K12" s="4" t="n">
        <f aca="false">-K6*Assumptions!K31/100</f>
        <v>-8702.41658477978</v>
      </c>
      <c r="L12" s="4" t="n">
        <f aca="false">-L6*Assumptions!L31/100</f>
        <v>-9094.02533109487</v>
      </c>
    </row>
    <row r="13" customFormat="false" ht="15" hidden="false" customHeight="false" outlineLevel="0" collapsed="false">
      <c r="A13" s="0" t="s">
        <v>121</v>
      </c>
      <c r="C13" s="0" t="n">
        <f aca="false">C11+C12</f>
        <v>21260.82</v>
      </c>
      <c r="D13" s="0" t="n">
        <f aca="false">D11+D12</f>
        <v>22825.4103</v>
      </c>
      <c r="E13" s="0" t="n">
        <f aca="false">E11+E12</f>
        <v>24497.7915525</v>
      </c>
      <c r="F13" s="0" t="n">
        <f aca="false">F11+F12</f>
        <v>26285.0878766175</v>
      </c>
      <c r="G13" s="0" t="n">
        <f aca="false">G11+G12</f>
        <v>28078.8526601641</v>
      </c>
      <c r="H13" s="0" t="n">
        <f aca="false">H11+H12</f>
        <v>29482.7952931723</v>
      </c>
      <c r="I13" s="0" t="n">
        <f aca="false">I11+I12</f>
        <v>30956.9350578309</v>
      </c>
      <c r="J13" s="0" t="n">
        <f aca="false">J11+J12</f>
        <v>32504.7818107224</v>
      </c>
      <c r="K13" s="0" t="n">
        <f aca="false">K11+K12</f>
        <v>33967.496992205</v>
      </c>
      <c r="L13" s="0" t="n">
        <f aca="false">L11+L12</f>
        <v>35496.0343568542</v>
      </c>
    </row>
    <row r="14" customFormat="false" ht="15" hidden="false" customHeight="false" outlineLevel="0" collapsed="false">
      <c r="A14" s="0" t="s">
        <v>107</v>
      </c>
      <c r="C14" s="4" t="n">
        <f aca="false">Assumptions!C33</f>
        <v>22.5</v>
      </c>
      <c r="D14" s="4" t="n">
        <f aca="false">Assumptions!D33</f>
        <v>22.5</v>
      </c>
      <c r="E14" s="4" t="n">
        <f aca="false">Assumptions!E33</f>
        <v>22.5</v>
      </c>
      <c r="F14" s="4" t="n">
        <f aca="false">Assumptions!F33</f>
        <v>22.5</v>
      </c>
      <c r="G14" s="4" t="n">
        <f aca="false">Assumptions!G33</f>
        <v>22.5</v>
      </c>
      <c r="H14" s="4" t="n">
        <f aca="false">Assumptions!H33</f>
        <v>22.5</v>
      </c>
      <c r="I14" s="4" t="n">
        <f aca="false">Assumptions!I33</f>
        <v>22.5</v>
      </c>
      <c r="J14" s="4" t="n">
        <f aca="false">Assumptions!J33</f>
        <v>22.5</v>
      </c>
      <c r="K14" s="4" t="n">
        <f aca="false">Assumptions!K33</f>
        <v>22.5</v>
      </c>
      <c r="L14" s="4" t="n">
        <f aca="false">Assumptions!L33</f>
        <v>22.5</v>
      </c>
    </row>
    <row r="15" customFormat="false" ht="15" hidden="false" customHeight="false" outlineLevel="0" collapsed="false">
      <c r="A15" s="0" t="s">
        <v>122</v>
      </c>
      <c r="C15" s="0" t="n">
        <f aca="false">C13-MAX(0,C13)*C14/100</f>
        <v>16477.1355</v>
      </c>
      <c r="D15" s="0" t="n">
        <f aca="false">D13-MAX(0,D13)*D14/100</f>
        <v>17689.6929825</v>
      </c>
      <c r="E15" s="0" t="n">
        <f aca="false">E13-MAX(0,E13)*E14/100</f>
        <v>18985.7884531875</v>
      </c>
      <c r="F15" s="0" t="n">
        <f aca="false">F13-MAX(0,F13)*F14/100</f>
        <v>20370.9431043786</v>
      </c>
      <c r="G15" s="0" t="n">
        <f aca="false">G13-MAX(0,G13)*G14/100</f>
        <v>21761.1108116272</v>
      </c>
      <c r="H15" s="0" t="n">
        <f aca="false">H13-MAX(0,H13)*H14/100</f>
        <v>22849.1663522085</v>
      </c>
      <c r="I15" s="0" t="n">
        <f aca="false">I13-MAX(0,I13)*I14/100</f>
        <v>23991.6246698189</v>
      </c>
      <c r="J15" s="0" t="n">
        <f aca="false">J13-MAX(0,J13)*J14/100</f>
        <v>25191.2059033099</v>
      </c>
      <c r="K15" s="0" t="n">
        <f aca="false">K13-MAX(0,K13)*K14/100</f>
        <v>26324.8101689588</v>
      </c>
      <c r="L15" s="0" t="n">
        <f aca="false">L13-MAX(0,L13)*L14/100</f>
        <v>27509.426626562</v>
      </c>
    </row>
    <row r="16" customFormat="false" ht="15" hidden="false" customHeight="false" outlineLevel="0" collapsed="false">
      <c r="A16" s="0" t="s">
        <v>123</v>
      </c>
      <c r="C16" s="0" t="n">
        <f aca="false">-C12</f>
        <v>5806.92</v>
      </c>
      <c r="D16" s="0" t="n">
        <f aca="false">-D12</f>
        <v>6126.3006</v>
      </c>
      <c r="E16" s="0" t="n">
        <f aca="false">-E12</f>
        <v>6463.247133</v>
      </c>
      <c r="F16" s="0" t="n">
        <f aca="false">-F12</f>
        <v>6818.725725315</v>
      </c>
      <c r="G16" s="0" t="n">
        <f aca="false">-G12</f>
        <v>7193.75564020732</v>
      </c>
      <c r="H16" s="0" t="n">
        <f aca="false">-H12</f>
        <v>7553.44342221769</v>
      </c>
      <c r="I16" s="0" t="n">
        <f aca="false">-I12</f>
        <v>7931.11559332858</v>
      </c>
      <c r="J16" s="0" t="n">
        <f aca="false">-J12</f>
        <v>8327.67137299501</v>
      </c>
      <c r="K16" s="0" t="n">
        <f aca="false">-K12</f>
        <v>8702.41658477978</v>
      </c>
      <c r="L16" s="0" t="n">
        <f aca="false">-L12</f>
        <v>9094.02533109487</v>
      </c>
    </row>
    <row r="17" customFormat="false" ht="15" hidden="false" customHeight="false" outlineLevel="0" collapsed="false">
      <c r="A17" s="0" t="s">
        <v>124</v>
      </c>
      <c r="C17" s="4" t="n">
        <f aca="false">-C6*Assumptions!C32/100</f>
        <v>-5619.6</v>
      </c>
      <c r="D17" s="4" t="n">
        <f aca="false">-D6*Assumptions!D32/100</f>
        <v>-5928.678</v>
      </c>
      <c r="E17" s="4" t="n">
        <f aca="false">-E6*Assumptions!E32/100</f>
        <v>-6254.75529</v>
      </c>
      <c r="F17" s="4" t="n">
        <f aca="false">-F6*Assumptions!F32/100</f>
        <v>-6598.76683095</v>
      </c>
      <c r="G17" s="4" t="n">
        <f aca="false">-G6*Assumptions!G32/100</f>
        <v>-6961.69900665225</v>
      </c>
      <c r="H17" s="4" t="n">
        <f aca="false">-H6*Assumptions!H32/100</f>
        <v>-7309.78395698486</v>
      </c>
      <c r="I17" s="4" t="n">
        <f aca="false">-I6*Assumptions!I32/100</f>
        <v>-7675.27315483411</v>
      </c>
      <c r="J17" s="4" t="n">
        <f aca="false">-J6*Assumptions!J32/100</f>
        <v>-8059.03681257581</v>
      </c>
      <c r="K17" s="4" t="n">
        <f aca="false">-K6*Assumptions!K32/100</f>
        <v>-8421.69346914172</v>
      </c>
      <c r="L17" s="4" t="n">
        <f aca="false">-L6*Assumptions!L32/100</f>
        <v>-8800.6696752531</v>
      </c>
    </row>
    <row r="18" customFormat="false" ht="15" hidden="false" customHeight="false" outlineLevel="0" collapsed="false">
      <c r="A18" s="0" t="s">
        <v>125</v>
      </c>
      <c r="C18" s="4" t="n">
        <f aca="false">(C6-B6)*Assumptions!$B$37/100</f>
        <v>223</v>
      </c>
      <c r="D18" s="4" t="n">
        <f aca="false">(D6-C6)*Assumptions!$B$37/100</f>
        <v>257.564999999999</v>
      </c>
      <c r="E18" s="4" t="n">
        <f aca="false">(E6-D6)*Assumptions!$B$37/100</f>
        <v>271.731075</v>
      </c>
      <c r="F18" s="4" t="n">
        <f aca="false">(F6-E6)*Assumptions!$B$37/100</f>
        <v>286.676284125</v>
      </c>
      <c r="G18" s="4" t="n">
        <f aca="false">(G6-F6)*Assumptions!$B$37/100</f>
        <v>302.443479751875</v>
      </c>
      <c r="H18" s="4" t="n">
        <f aca="false">(H6-G6)*Assumptions!$B$37/100</f>
        <v>290.070791943844</v>
      </c>
      <c r="I18" s="4" t="n">
        <f aca="false">(I6-H6)*Assumptions!$B$37/100</f>
        <v>304.574331541036</v>
      </c>
      <c r="J18" s="4" t="n">
        <f aca="false">(J6-I6)*Assumptions!$B$37/100</f>
        <v>319.803048118088</v>
      </c>
      <c r="K18" s="4" t="n">
        <f aca="false">(K6-J6)*Assumptions!$B$37/100</f>
        <v>302.213880471593</v>
      </c>
      <c r="L18" s="4" t="n">
        <f aca="false">(L6-K6)*Assumptions!$B$37/100</f>
        <v>315.813505092815</v>
      </c>
    </row>
    <row r="19" customFormat="false" ht="15" hidden="false" customHeight="false" outlineLevel="0" collapsed="false">
      <c r="A19" s="0" t="s">
        <v>126</v>
      </c>
      <c r="C19" s="0" t="n">
        <f aca="false">C15+C16+C17+C18</f>
        <v>16887.4555</v>
      </c>
      <c r="D19" s="0" t="n">
        <f aca="false">D15+D16+D17+D18</f>
        <v>18144.8805825</v>
      </c>
      <c r="E19" s="0" t="n">
        <f aca="false">E15+E16+E17+E18</f>
        <v>19466.0113711875</v>
      </c>
      <c r="F19" s="0" t="n">
        <f aca="false">F15+F16+F17+F18</f>
        <v>20877.5782828686</v>
      </c>
      <c r="G19" s="0" t="n">
        <f aca="false">G15+G16+G17+G18</f>
        <v>22295.6109249341</v>
      </c>
      <c r="H19" s="0" t="n">
        <f aca="false">H15+H16+H17+H18</f>
        <v>23382.8966093852</v>
      </c>
      <c r="I19" s="0" t="n">
        <f aca="false">I15+I16+I17+I18</f>
        <v>24552.0414398544</v>
      </c>
      <c r="J19" s="0" t="n">
        <f aca="false">J15+J16+J17+J18</f>
        <v>25779.6435118472</v>
      </c>
      <c r="K19" s="0" t="n">
        <f aca="false">K15+K16+K17+K18</f>
        <v>26907.7471650685</v>
      </c>
      <c r="L19" s="0" t="n">
        <f aca="false">L15+L16+L17+L18</f>
        <v>28118.5957874966</v>
      </c>
    </row>
    <row r="20" customFormat="false" ht="15" hidden="false" customHeight="false" outlineLevel="0" collapsed="false">
      <c r="A20" s="0" t="s">
        <v>127</v>
      </c>
      <c r="C20" s="0" t="n">
        <f aca="false">1/(1+$B$27/100)^C4</f>
        <v>0.892857142857143</v>
      </c>
      <c r="D20" s="0" t="n">
        <f aca="false">1/(1+$B$27/100)^D4</f>
        <v>0.79719387755102</v>
      </c>
      <c r="E20" s="0" t="n">
        <f aca="false">1/(1+$B$27/100)^E4</f>
        <v>0.711780247813411</v>
      </c>
      <c r="F20" s="0" t="n">
        <f aca="false">1/(1+$B$27/100)^F4</f>
        <v>0.635518078404831</v>
      </c>
      <c r="G20" s="0" t="n">
        <f aca="false">1/(1+$B$27/100)^G4</f>
        <v>0.567426855718599</v>
      </c>
      <c r="H20" s="0" t="n">
        <f aca="false">1/(1+$B$27/100)^H4</f>
        <v>0.506631121177321</v>
      </c>
      <c r="I20" s="0" t="n">
        <f aca="false">1/(1+$B$27/100)^I4</f>
        <v>0.452349215336893</v>
      </c>
      <c r="J20" s="0" t="n">
        <f aca="false">1/(1+$B$27/100)^J4</f>
        <v>0.403883227979369</v>
      </c>
      <c r="K20" s="0" t="n">
        <f aca="false">1/(1+$B$27/100)^K4</f>
        <v>0.360610024981579</v>
      </c>
      <c r="L20" s="0" t="n">
        <f aca="false">1/(1+$B$27/100)^L4</f>
        <v>0.321973236590696</v>
      </c>
    </row>
    <row r="21" customFormat="false" ht="15" hidden="false" customHeight="false" outlineLevel="0" collapsed="false">
      <c r="A21" s="0" t="s">
        <v>128</v>
      </c>
      <c r="C21" s="0" t="n">
        <f aca="false">C19*C20</f>
        <v>15078.0852678571</v>
      </c>
      <c r="D21" s="0" t="n">
        <f aca="false">D19*D20</f>
        <v>14464.9877092634</v>
      </c>
      <c r="E21" s="0" t="n">
        <f aca="false">E19*E20</f>
        <v>13855.5223977225</v>
      </c>
      <c r="F21" s="0" t="n">
        <f aca="false">F19*F20</f>
        <v>13268.0784320751</v>
      </c>
      <c r="G21" s="0" t="n">
        <f aca="false">G19*G20</f>
        <v>12651.1284034606</v>
      </c>
      <c r="H21" s="0" t="n">
        <f aca="false">H19*H20</f>
        <v>11846.5031255862</v>
      </c>
      <c r="I21" s="0" t="n">
        <f aca="false">I19*I20</f>
        <v>11106.096680237</v>
      </c>
      <c r="J21" s="0" t="n">
        <f aca="false">J19*J20</f>
        <v>10411.9656377222</v>
      </c>
      <c r="K21" s="0" t="n">
        <f aca="false">K19*K20</f>
        <v>9703.20337739337</v>
      </c>
      <c r="L21" s="0" t="n">
        <f aca="false">L19*L20</f>
        <v>9053.43529408578</v>
      </c>
    </row>
    <row r="23" customFormat="false" ht="15" hidden="false" customHeight="false" outlineLevel="0" collapsed="false">
      <c r="A23" s="0" t="s">
        <v>104</v>
      </c>
      <c r="C23" s="4" t="n">
        <f aca="false">Assumptions!C30</f>
        <v>1.6</v>
      </c>
      <c r="D23" s="4" t="n">
        <f aca="false">Assumptions!D30</f>
        <v>1.6</v>
      </c>
      <c r="E23" s="4" t="n">
        <f aca="false">Assumptions!E30</f>
        <v>1.6</v>
      </c>
      <c r="F23" s="4" t="n">
        <f aca="false">Assumptions!F30</f>
        <v>1.6</v>
      </c>
      <c r="G23" s="4" t="n">
        <f aca="false">Assumptions!G30</f>
        <v>1.6</v>
      </c>
      <c r="H23" s="4" t="n">
        <f aca="false">Assumptions!H30</f>
        <v>1.6</v>
      </c>
      <c r="I23" s="4" t="n">
        <f aca="false">Assumptions!I30</f>
        <v>1.6</v>
      </c>
      <c r="J23" s="4" t="n">
        <f aca="false">Assumptions!J30</f>
        <v>1.6</v>
      </c>
      <c r="K23" s="4" t="n">
        <f aca="false">Assumptions!K30</f>
        <v>1.6</v>
      </c>
      <c r="L23" s="4" t="n">
        <f aca="false">Assumptions!L30</f>
        <v>1.6</v>
      </c>
    </row>
    <row r="24" customFormat="false" ht="15" hidden="false" customHeight="false" outlineLevel="0" collapsed="false">
      <c r="A24" s="0" t="s">
        <v>129</v>
      </c>
      <c r="C24" s="0" t="n">
        <f aca="false">-C6*C23/100</f>
        <v>-1498.56</v>
      </c>
      <c r="D24" s="0" t="n">
        <f aca="false">-D6*D23/100</f>
        <v>-1580.9808</v>
      </c>
      <c r="E24" s="0" t="n">
        <f aca="false">-E6*E23/100</f>
        <v>-1667.934744</v>
      </c>
      <c r="F24" s="0" t="n">
        <f aca="false">-F6*F23/100</f>
        <v>-1759.67115492</v>
      </c>
      <c r="G24" s="0" t="n">
        <f aca="false">-G6*G23/100</f>
        <v>-1856.4530684406</v>
      </c>
      <c r="H24" s="0" t="n">
        <f aca="false">-H6*H23/100</f>
        <v>-1949.27572186263</v>
      </c>
      <c r="I24" s="0" t="n">
        <f aca="false">-I6*I23/100</f>
        <v>-2046.73950795576</v>
      </c>
      <c r="J24" s="0" t="n">
        <f aca="false">-J6*J23/100</f>
        <v>-2149.07648335355</v>
      </c>
      <c r="K24" s="0" t="n">
        <f aca="false">-K6*K23/100</f>
        <v>-2245.78492510446</v>
      </c>
      <c r="L24" s="0" t="n">
        <f aca="false">-L6*L23/100</f>
        <v>-2346.84524673416</v>
      </c>
    </row>
    <row r="26" customFormat="false" ht="15" hidden="false" customHeight="false" outlineLevel="0" collapsed="false">
      <c r="A26" s="2" t="s">
        <v>130</v>
      </c>
    </row>
    <row r="27" customFormat="false" ht="15" hidden="false" customHeight="false" outlineLevel="0" collapsed="false">
      <c r="A27" s="0" t="s">
        <v>108</v>
      </c>
      <c r="B27" s="4" t="n">
        <f aca="false">Assumptions!$B$34</f>
        <v>12</v>
      </c>
    </row>
    <row r="28" customFormat="false" ht="15" hidden="false" customHeight="false" outlineLevel="0" collapsed="false">
      <c r="A28" s="0" t="s">
        <v>109</v>
      </c>
      <c r="B28" s="4" t="n">
        <f aca="false">Assumptions!$B$35</f>
        <v>4.5</v>
      </c>
    </row>
    <row r="29" customFormat="false" ht="15" hidden="false" customHeight="false" outlineLevel="0" collapsed="false">
      <c r="A29" s="0" t="s">
        <v>110</v>
      </c>
      <c r="B29" s="4" t="n">
        <f aca="false">Assumptions!$B$36</f>
        <v>15</v>
      </c>
    </row>
    <row r="30" customFormat="false" ht="15" hidden="false" customHeight="false" outlineLevel="0" collapsed="false">
      <c r="A30" s="0" t="s">
        <v>131</v>
      </c>
      <c r="B30" s="0" t="n">
        <f aca="false">SUM(C21:L21)</f>
        <v>121439.006325403</v>
      </c>
    </row>
    <row r="31" customFormat="false" ht="15" hidden="false" customHeight="false" outlineLevel="0" collapsed="false">
      <c r="A31" s="0" t="s">
        <v>132</v>
      </c>
      <c r="B31" s="0" t="n">
        <f aca="false">L19</f>
        <v>28118.5957874966</v>
      </c>
    </row>
    <row r="32" customFormat="false" ht="15" hidden="false" customHeight="false" outlineLevel="0" collapsed="false">
      <c r="A32" s="0" t="s">
        <v>133</v>
      </c>
      <c r="B32" s="0" t="n">
        <f aca="false">IF(B27&gt;B28,B31*(1+B28/100)/((B27-B28)/100),B31*B29)</f>
        <v>391785.767972452</v>
      </c>
    </row>
    <row r="33" customFormat="false" ht="15" hidden="false" customHeight="false" outlineLevel="0" collapsed="false">
      <c r="A33" s="0" t="s">
        <v>134</v>
      </c>
      <c r="B33" s="0" t="n">
        <f aca="false">B31*B29</f>
        <v>421778.936812449</v>
      </c>
    </row>
    <row r="34" customFormat="false" ht="15" hidden="false" customHeight="false" outlineLevel="0" collapsed="false">
      <c r="A34" s="0" t="s">
        <v>135</v>
      </c>
      <c r="B34" s="0" t="n">
        <f aca="false">MAX(0,MIN(B32,B33))</f>
        <v>391785.767972452</v>
      </c>
    </row>
    <row r="35" customFormat="false" ht="15" hidden="false" customHeight="false" outlineLevel="0" collapsed="false">
      <c r="A35" s="0" t="s">
        <v>136</v>
      </c>
      <c r="B35" s="0" t="n">
        <f aca="false">B34/(1+B27/100)^L4</f>
        <v>126144.531764262</v>
      </c>
    </row>
    <row r="36" customFormat="false" ht="15" hidden="false" customHeight="false" outlineLevel="0" collapsed="false">
      <c r="A36" s="0" t="s">
        <v>137</v>
      </c>
      <c r="B36" s="0" t="n">
        <f aca="false">B30+B35</f>
        <v>247583.538089665</v>
      </c>
    </row>
    <row r="37" customFormat="false" ht="15" hidden="false" customHeight="false" outlineLevel="0" collapsed="false">
      <c r="A37" s="0" t="s">
        <v>138</v>
      </c>
      <c r="B37" s="0" t="n">
        <f aca="false">B36+Assumptions!$B$5-Assumptions!$B$4</f>
        <v>258519.338089665</v>
      </c>
    </row>
    <row r="38" customFormat="false" ht="15" hidden="false" customHeight="false" outlineLevel="0" collapsed="false">
      <c r="A38" s="0" t="s">
        <v>139</v>
      </c>
      <c r="B38" s="0" t="n">
        <f aca="false">B37/Assumptions!$B$3*Assumptions!$B$10</f>
        <v>3.18983777903059</v>
      </c>
    </row>
    <row r="39" customFormat="false" ht="15" hidden="false" customHeight="false" outlineLevel="0" collapsed="false">
      <c r="A39" s="0" t="s">
        <v>140</v>
      </c>
      <c r="B39" s="4" t="n">
        <f aca="false">B38/Assumptions!$B$2-1</f>
        <v>0.0668353776022037</v>
      </c>
    </row>
    <row r="41" customFormat="false" ht="15" hidden="false" customHeight="false" outlineLevel="0" collapsed="false">
      <c r="A41" s="0" t="s">
        <v>141</v>
      </c>
      <c r="B41" s="0" t="n">
        <f aca="false">SUMPRODUCT(-C10:L10/(1+$B$27/100)^C4:L4)</f>
        <v>3220.0343743997</v>
      </c>
    </row>
    <row r="42" customFormat="false" ht="15" hidden="false" customHeight="false" outlineLevel="0" collapsed="false">
      <c r="A42" s="0" t="s">
        <v>142</v>
      </c>
      <c r="B42" s="0" t="n">
        <f aca="false">IF(B27&gt;B28,-L10*(1+B28/100)/((B27-B28)/100),-L10*20)/(1+B27/100)^L4</f>
        <v>3290.10133776071</v>
      </c>
    </row>
    <row r="43" customFormat="false" ht="15" hidden="false" customHeight="false" outlineLevel="0" collapsed="false">
      <c r="A43" s="0" t="s">
        <v>143</v>
      </c>
      <c r="B43" s="0" t="n">
        <f aca="false">(B37+B41+B42)/Assumptions!$B$3*Assumptions!$B$10</f>
        <v>3.27016552934404</v>
      </c>
    </row>
    <row r="45" customFormat="false" ht="15" hidden="false" customHeight="false" outlineLevel="0" collapsed="false">
      <c r="A45" s="0" t="s">
        <v>83</v>
      </c>
      <c r="B45" s="4" t="n">
        <f aca="false">Assumptions!$B$6</f>
        <v>16.7</v>
      </c>
    </row>
    <row r="46" customFormat="false" ht="15" hidden="false" customHeight="false" outlineLevel="0" collapsed="false">
      <c r="A46" s="0" t="s">
        <v>144</v>
      </c>
      <c r="B46" s="0" t="n">
        <f aca="false">MAX(0,MIN(IF(B45&gt;B28,B31*(1+B28/100)/((B45-B28)/100),B31*B29),B31*B29))</f>
        <v>240851.906540442</v>
      </c>
    </row>
    <row r="47" customFormat="false" ht="15" hidden="false" customHeight="false" outlineLevel="0" collapsed="false">
      <c r="A47" s="0" t="s">
        <v>145</v>
      </c>
      <c r="B47" s="0" t="n">
        <f aca="false">(SUMPRODUCT(C19:L19/(1+B45/100)^C4:L4)+B46/(1+B45/100)^L4+Assumptions!$B$5-Assumptions!$B$4)/Assumptions!$B$3*Assumptions!$B$10</f>
        <v>1.99554847924254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116</v>
      </c>
      <c r="B3" s="0" t="s">
        <v>86</v>
      </c>
      <c r="C3" s="2" t="s">
        <v>91</v>
      </c>
      <c r="D3" s="2" t="s">
        <v>92</v>
      </c>
      <c r="E3" s="2" t="s">
        <v>93</v>
      </c>
      <c r="F3" s="2" t="s">
        <v>94</v>
      </c>
      <c r="G3" s="2" t="s">
        <v>95</v>
      </c>
      <c r="H3" s="2" t="s">
        <v>96</v>
      </c>
      <c r="I3" s="2" t="s">
        <v>97</v>
      </c>
      <c r="J3" s="2" t="s">
        <v>98</v>
      </c>
      <c r="K3" s="2" t="s">
        <v>99</v>
      </c>
      <c r="L3" s="2" t="s">
        <v>100</v>
      </c>
    </row>
    <row r="4" customFormat="false" ht="15" hidden="false" customHeight="false" outlineLevel="0" collapsed="false">
      <c r="A4" s="0" t="s">
        <v>117</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101</v>
      </c>
      <c r="C5" s="4" t="n">
        <f aca="false">Assumptions!C41</f>
        <v>6.5</v>
      </c>
      <c r="D5" s="4" t="n">
        <f aca="false">Assumptions!D41</f>
        <v>7</v>
      </c>
      <c r="E5" s="4" t="n">
        <f aca="false">Assumptions!E41</f>
        <v>7</v>
      </c>
      <c r="F5" s="4" t="n">
        <f aca="false">Assumptions!F41</f>
        <v>6.5</v>
      </c>
      <c r="G5" s="4" t="n">
        <f aca="false">Assumptions!G41</f>
        <v>6.5</v>
      </c>
      <c r="H5" s="4" t="n">
        <f aca="false">Assumptions!H41</f>
        <v>6</v>
      </c>
      <c r="I5" s="4" t="n">
        <f aca="false">Assumptions!I41</f>
        <v>6</v>
      </c>
      <c r="J5" s="4" t="n">
        <f aca="false">Assumptions!J41</f>
        <v>5.5</v>
      </c>
      <c r="K5" s="4" t="n">
        <f aca="false">Assumptions!K41</f>
        <v>5.5</v>
      </c>
      <c r="L5" s="4" t="n">
        <f aca="false">Assumptions!L41</f>
        <v>5.5</v>
      </c>
    </row>
    <row r="6" customFormat="false" ht="15" hidden="false" customHeight="false" outlineLevel="0" collapsed="false">
      <c r="A6" s="0" t="s">
        <v>38</v>
      </c>
      <c r="B6" s="3" t="n">
        <v>89200</v>
      </c>
      <c r="C6" s="0" t="n">
        <f aca="false">B6*(1+C5/100)</f>
        <v>94998</v>
      </c>
      <c r="D6" s="0" t="n">
        <f aca="false">C6*(1+D5/100)</f>
        <v>101647.86</v>
      </c>
      <c r="E6" s="0" t="n">
        <f aca="false">D6*(1+E5/100)</f>
        <v>108763.2102</v>
      </c>
      <c r="F6" s="0" t="n">
        <f aca="false">E6*(1+F5/100)</f>
        <v>115832.818863</v>
      </c>
      <c r="G6" s="0" t="n">
        <f aca="false">F6*(1+G5/100)</f>
        <v>123361.952089095</v>
      </c>
      <c r="H6" s="0" t="n">
        <f aca="false">G6*(1+H5/100)</f>
        <v>130763.669214441</v>
      </c>
      <c r="I6" s="0" t="n">
        <f aca="false">H6*(1+I5/100)</f>
        <v>138609.489367307</v>
      </c>
      <c r="J6" s="0" t="n">
        <f aca="false">I6*(1+J5/100)</f>
        <v>146233.011282509</v>
      </c>
      <c r="K6" s="0" t="n">
        <f aca="false">J6*(1+K5/100)</f>
        <v>154275.826903047</v>
      </c>
      <c r="L6" s="0" t="n">
        <f aca="false">K6*(1+L5/100)</f>
        <v>162760.997382715</v>
      </c>
    </row>
    <row r="7" customFormat="false" ht="15" hidden="false" customHeight="false" outlineLevel="0" collapsed="false">
      <c r="A7" s="0" t="s">
        <v>102</v>
      </c>
      <c r="C7" s="4" t="n">
        <f aca="false">Assumptions!C42</f>
        <v>31.5</v>
      </c>
      <c r="D7" s="4" t="n">
        <f aca="false">Assumptions!D42</f>
        <v>32.3</v>
      </c>
      <c r="E7" s="4" t="n">
        <f aca="false">Assumptions!E42</f>
        <v>33</v>
      </c>
      <c r="F7" s="4" t="n">
        <f aca="false">Assumptions!F42</f>
        <v>33.7</v>
      </c>
      <c r="G7" s="4" t="n">
        <f aca="false">Assumptions!G42</f>
        <v>34.3</v>
      </c>
      <c r="H7" s="4" t="n">
        <f aca="false">Assumptions!H42</f>
        <v>34.5</v>
      </c>
      <c r="I7" s="4" t="n">
        <f aca="false">Assumptions!I42</f>
        <v>34.5</v>
      </c>
      <c r="J7" s="4" t="n">
        <f aca="false">Assumptions!J42</f>
        <v>34.5</v>
      </c>
      <c r="K7" s="4" t="n">
        <f aca="false">Assumptions!K42</f>
        <v>34.5</v>
      </c>
      <c r="L7" s="4" t="n">
        <f aca="false">Assumptions!L42</f>
        <v>34.5</v>
      </c>
    </row>
    <row r="8" customFormat="false" ht="15" hidden="false" customHeight="false" outlineLevel="0" collapsed="false">
      <c r="A8" s="0" t="s">
        <v>44</v>
      </c>
      <c r="C8" s="0" t="n">
        <f aca="false">C6*C7/100</f>
        <v>29924.37</v>
      </c>
      <c r="D8" s="0" t="n">
        <f aca="false">D6*D7/100</f>
        <v>32832.25878</v>
      </c>
      <c r="E8" s="0" t="n">
        <f aca="false">E6*E7/100</f>
        <v>35891.859366</v>
      </c>
      <c r="F8" s="0" t="n">
        <f aca="false">F6*F7/100</f>
        <v>39035.659956831</v>
      </c>
      <c r="G8" s="0" t="n">
        <f aca="false">G6*G7/100</f>
        <v>42313.1495665596</v>
      </c>
      <c r="H8" s="0" t="n">
        <f aca="false">H6*H7/100</f>
        <v>45113.465878982</v>
      </c>
      <c r="I8" s="0" t="n">
        <f aca="false">I6*I7/100</f>
        <v>47820.273831721</v>
      </c>
      <c r="J8" s="0" t="n">
        <f aca="false">J6*J7/100</f>
        <v>50450.3888924656</v>
      </c>
      <c r="K8" s="0" t="n">
        <f aca="false">K6*K7/100</f>
        <v>53225.1602815512</v>
      </c>
      <c r="L8" s="0" t="n">
        <f aca="false">L6*L7/100</f>
        <v>56152.5440970365</v>
      </c>
    </row>
    <row r="9" customFormat="false" ht="15" hidden="false" customHeight="false" outlineLevel="0" collapsed="false">
      <c r="A9" s="0" t="s">
        <v>103</v>
      </c>
      <c r="C9" s="4" t="n">
        <f aca="false">Assumptions!C43</f>
        <v>0.5</v>
      </c>
      <c r="D9" s="4" t="n">
        <f aca="false">Assumptions!D43</f>
        <v>0.5</v>
      </c>
      <c r="E9" s="4" t="n">
        <f aca="false">Assumptions!E43</f>
        <v>0.5</v>
      </c>
      <c r="F9" s="4" t="n">
        <f aca="false">Assumptions!F43</f>
        <v>0.5</v>
      </c>
      <c r="G9" s="4" t="n">
        <f aca="false">Assumptions!G43</f>
        <v>0.5</v>
      </c>
      <c r="H9" s="4" t="n">
        <f aca="false">Assumptions!H43</f>
        <v>0.5</v>
      </c>
      <c r="I9" s="4" t="n">
        <f aca="false">Assumptions!I43</f>
        <v>0.5</v>
      </c>
      <c r="J9" s="4" t="n">
        <f aca="false">Assumptions!J43</f>
        <v>0.5</v>
      </c>
      <c r="K9" s="4" t="n">
        <f aca="false">Assumptions!K43</f>
        <v>0.5</v>
      </c>
      <c r="L9" s="4" t="n">
        <f aca="false">Assumptions!L43</f>
        <v>0.5</v>
      </c>
    </row>
    <row r="10" customFormat="false" ht="15" hidden="false" customHeight="false" outlineLevel="0" collapsed="false">
      <c r="A10" s="0" t="s">
        <v>118</v>
      </c>
      <c r="C10" s="0" t="n">
        <f aca="false">-C6*C9/100</f>
        <v>-474.99</v>
      </c>
      <c r="D10" s="0" t="n">
        <f aca="false">-D6*D9/100</f>
        <v>-508.2393</v>
      </c>
      <c r="E10" s="0" t="n">
        <f aca="false">-E6*E9/100</f>
        <v>-543.816051</v>
      </c>
      <c r="F10" s="0" t="n">
        <f aca="false">-F6*F9/100</f>
        <v>-579.164094315</v>
      </c>
      <c r="G10" s="0" t="n">
        <f aca="false">-G6*G9/100</f>
        <v>-616.809760445475</v>
      </c>
      <c r="H10" s="0" t="n">
        <f aca="false">-H6*H9/100</f>
        <v>-653.818346072203</v>
      </c>
      <c r="I10" s="0" t="n">
        <f aca="false">-I6*I9/100</f>
        <v>-693.047446836536</v>
      </c>
      <c r="J10" s="0" t="n">
        <f aca="false">-J6*J9/100</f>
        <v>-731.165056412545</v>
      </c>
      <c r="K10" s="0" t="n">
        <f aca="false">-K6*K9/100</f>
        <v>-771.379134515235</v>
      </c>
      <c r="L10" s="0" t="n">
        <f aca="false">-L6*L9/100</f>
        <v>-813.804986913573</v>
      </c>
    </row>
    <row r="11" customFormat="false" ht="15" hidden="false" customHeight="false" outlineLevel="0" collapsed="false">
      <c r="A11" s="0" t="s">
        <v>119</v>
      </c>
      <c r="C11" s="0" t="n">
        <f aca="false">C8+C10+C24</f>
        <v>27929.412</v>
      </c>
      <c r="D11" s="0" t="n">
        <f aca="false">D8+D10+D24</f>
        <v>30697.65372</v>
      </c>
      <c r="E11" s="0" t="n">
        <f aca="false">E8+E10+E24</f>
        <v>33607.8319518</v>
      </c>
      <c r="F11" s="0" t="n">
        <f aca="false">F8+F10+F24</f>
        <v>36603.170760708</v>
      </c>
      <c r="G11" s="0" t="n">
        <f aca="false">G8+G10+G24</f>
        <v>39722.5485726886</v>
      </c>
      <c r="H11" s="0" t="n">
        <f aca="false">H8+H10+H24</f>
        <v>42367.4288254788</v>
      </c>
      <c r="I11" s="0" t="n">
        <f aca="false">I8+I10+I24</f>
        <v>44909.4745550075</v>
      </c>
      <c r="J11" s="0" t="n">
        <f aca="false">J8+J10+J24</f>
        <v>47379.4956555329</v>
      </c>
      <c r="K11" s="0" t="n">
        <f aca="false">K8+K10+K24</f>
        <v>49985.3679165872</v>
      </c>
      <c r="L11" s="0" t="n">
        <f aca="false">L8+L10+L24</f>
        <v>52734.5631519995</v>
      </c>
    </row>
    <row r="12" customFormat="false" ht="15" hidden="false" customHeight="false" outlineLevel="0" collapsed="false">
      <c r="A12" s="0" t="s">
        <v>120</v>
      </c>
      <c r="C12" s="4" t="n">
        <f aca="false">-C6*Assumptions!C45/100</f>
        <v>-5889.876</v>
      </c>
      <c r="D12" s="4" t="n">
        <f aca="false">-D6*Assumptions!D45/100</f>
        <v>-6302.16732</v>
      </c>
      <c r="E12" s="4" t="n">
        <f aca="false">-E6*Assumptions!E45/100</f>
        <v>-6743.3190324</v>
      </c>
      <c r="F12" s="4" t="n">
        <f aca="false">-F6*Assumptions!F45/100</f>
        <v>-7181.634769506</v>
      </c>
      <c r="G12" s="4" t="n">
        <f aca="false">-G6*Assumptions!G45/100</f>
        <v>-7648.44102952389</v>
      </c>
      <c r="H12" s="4" t="n">
        <f aca="false">-H6*Assumptions!H45/100</f>
        <v>-8107.34749129532</v>
      </c>
      <c r="I12" s="4" t="n">
        <f aca="false">-I6*Assumptions!I45/100</f>
        <v>-8593.78834077304</v>
      </c>
      <c r="J12" s="4" t="n">
        <f aca="false">-J6*Assumptions!J45/100</f>
        <v>-9066.44669951556</v>
      </c>
      <c r="K12" s="4" t="n">
        <f aca="false">-K6*Assumptions!K45/100</f>
        <v>-9565.10126798892</v>
      </c>
      <c r="L12" s="4" t="n">
        <f aca="false">-L6*Assumptions!L45/100</f>
        <v>-10091.1818377283</v>
      </c>
    </row>
    <row r="13" customFormat="false" ht="15" hidden="false" customHeight="false" outlineLevel="0" collapsed="false">
      <c r="A13" s="0" t="s">
        <v>121</v>
      </c>
      <c r="C13" s="0" t="n">
        <f aca="false">C11+C12</f>
        <v>22039.536</v>
      </c>
      <c r="D13" s="0" t="n">
        <f aca="false">D11+D12</f>
        <v>24395.4864</v>
      </c>
      <c r="E13" s="0" t="n">
        <f aca="false">E11+E12</f>
        <v>26864.5129194</v>
      </c>
      <c r="F13" s="0" t="n">
        <f aca="false">F11+F12</f>
        <v>29421.535991202</v>
      </c>
      <c r="G13" s="0" t="n">
        <f aca="false">G11+G12</f>
        <v>32074.1075431647</v>
      </c>
      <c r="H13" s="0" t="n">
        <f aca="false">H11+H12</f>
        <v>34260.0813341835</v>
      </c>
      <c r="I13" s="0" t="n">
        <f aca="false">I11+I12</f>
        <v>36315.6862142345</v>
      </c>
      <c r="J13" s="0" t="n">
        <f aca="false">J11+J12</f>
        <v>38313.0489560174</v>
      </c>
      <c r="K13" s="0" t="n">
        <f aca="false">K11+K12</f>
        <v>40420.2666485983</v>
      </c>
      <c r="L13" s="0" t="n">
        <f aca="false">L11+L12</f>
        <v>42643.3813142712</v>
      </c>
    </row>
    <row r="14" customFormat="false" ht="15" hidden="false" customHeight="false" outlineLevel="0" collapsed="false">
      <c r="A14" s="0" t="s">
        <v>107</v>
      </c>
      <c r="C14" s="4" t="n">
        <f aca="false">Assumptions!C47</f>
        <v>21.5</v>
      </c>
      <c r="D14" s="4" t="n">
        <f aca="false">Assumptions!D47</f>
        <v>21.5</v>
      </c>
      <c r="E14" s="4" t="n">
        <f aca="false">Assumptions!E47</f>
        <v>21.5</v>
      </c>
      <c r="F14" s="4" t="n">
        <f aca="false">Assumptions!F47</f>
        <v>21.5</v>
      </c>
      <c r="G14" s="4" t="n">
        <f aca="false">Assumptions!G47</f>
        <v>21.5</v>
      </c>
      <c r="H14" s="4" t="n">
        <f aca="false">Assumptions!H47</f>
        <v>21.5</v>
      </c>
      <c r="I14" s="4" t="n">
        <f aca="false">Assumptions!I47</f>
        <v>21.5</v>
      </c>
      <c r="J14" s="4" t="n">
        <f aca="false">Assumptions!J47</f>
        <v>21.5</v>
      </c>
      <c r="K14" s="4" t="n">
        <f aca="false">Assumptions!K47</f>
        <v>21.5</v>
      </c>
      <c r="L14" s="4" t="n">
        <f aca="false">Assumptions!L47</f>
        <v>21.5</v>
      </c>
    </row>
    <row r="15" customFormat="false" ht="15" hidden="false" customHeight="false" outlineLevel="0" collapsed="false">
      <c r="A15" s="0" t="s">
        <v>122</v>
      </c>
      <c r="C15" s="0" t="n">
        <f aca="false">C13-MAX(0,C13)*C14/100</f>
        <v>17301.03576</v>
      </c>
      <c r="D15" s="0" t="n">
        <f aca="false">D13-MAX(0,D13)*D14/100</f>
        <v>19150.456824</v>
      </c>
      <c r="E15" s="0" t="n">
        <f aca="false">E13-MAX(0,E13)*E14/100</f>
        <v>21088.642641729</v>
      </c>
      <c r="F15" s="0" t="n">
        <f aca="false">F13-MAX(0,F13)*F14/100</f>
        <v>23095.9057530936</v>
      </c>
      <c r="G15" s="0" t="n">
        <f aca="false">G13-MAX(0,G13)*G14/100</f>
        <v>25178.1744213843</v>
      </c>
      <c r="H15" s="0" t="n">
        <f aca="false">H13-MAX(0,H13)*H14/100</f>
        <v>26894.163847334</v>
      </c>
      <c r="I15" s="0" t="n">
        <f aca="false">I13-MAX(0,I13)*I14/100</f>
        <v>28507.8136781741</v>
      </c>
      <c r="J15" s="0" t="n">
        <f aca="false">J13-MAX(0,J13)*J14/100</f>
        <v>30075.7434304736</v>
      </c>
      <c r="K15" s="0" t="n">
        <f aca="false">K13-MAX(0,K13)*K14/100</f>
        <v>31729.9093191497</v>
      </c>
      <c r="L15" s="0" t="n">
        <f aca="false">L13-MAX(0,L13)*L14/100</f>
        <v>33475.0543317029</v>
      </c>
    </row>
    <row r="16" customFormat="false" ht="15" hidden="false" customHeight="false" outlineLevel="0" collapsed="false">
      <c r="A16" s="0" t="s">
        <v>123</v>
      </c>
      <c r="C16" s="0" t="n">
        <f aca="false">-C12</f>
        <v>5889.876</v>
      </c>
      <c r="D16" s="0" t="n">
        <f aca="false">-D12</f>
        <v>6302.16732</v>
      </c>
      <c r="E16" s="0" t="n">
        <f aca="false">-E12</f>
        <v>6743.3190324</v>
      </c>
      <c r="F16" s="0" t="n">
        <f aca="false">-F12</f>
        <v>7181.634769506</v>
      </c>
      <c r="G16" s="0" t="n">
        <f aca="false">-G12</f>
        <v>7648.44102952389</v>
      </c>
      <c r="H16" s="0" t="n">
        <f aca="false">-H12</f>
        <v>8107.34749129532</v>
      </c>
      <c r="I16" s="0" t="n">
        <f aca="false">-I12</f>
        <v>8593.78834077304</v>
      </c>
      <c r="J16" s="0" t="n">
        <f aca="false">-J12</f>
        <v>9066.44669951556</v>
      </c>
      <c r="K16" s="0" t="n">
        <f aca="false">-K12</f>
        <v>9565.10126798892</v>
      </c>
      <c r="L16" s="0" t="n">
        <f aca="false">-L12</f>
        <v>10091.1818377283</v>
      </c>
    </row>
    <row r="17" customFormat="false" ht="15" hidden="false" customHeight="false" outlineLevel="0" collapsed="false">
      <c r="A17" s="0" t="s">
        <v>124</v>
      </c>
      <c r="C17" s="4" t="n">
        <f aca="false">-C6*Assumptions!C46/100</f>
        <v>-5224.89</v>
      </c>
      <c r="D17" s="4" t="n">
        <f aca="false">-D6*Assumptions!D46/100</f>
        <v>-5590.6323</v>
      </c>
      <c r="E17" s="4" t="n">
        <f aca="false">-E6*Assumptions!E46/100</f>
        <v>-5981.976561</v>
      </c>
      <c r="F17" s="4" t="n">
        <f aca="false">-F6*Assumptions!F46/100</f>
        <v>-6370.805037465</v>
      </c>
      <c r="G17" s="4" t="n">
        <f aca="false">-G6*Assumptions!G46/100</f>
        <v>-6784.90736490023</v>
      </c>
      <c r="H17" s="4" t="n">
        <f aca="false">-H6*Assumptions!H46/100</f>
        <v>-7192.00180679424</v>
      </c>
      <c r="I17" s="4" t="n">
        <f aca="false">-I6*Assumptions!I46/100</f>
        <v>-7623.52191520189</v>
      </c>
      <c r="J17" s="4" t="n">
        <f aca="false">-J6*Assumptions!J46/100</f>
        <v>-8042.815620538</v>
      </c>
      <c r="K17" s="4" t="n">
        <f aca="false">-K6*Assumptions!K46/100</f>
        <v>-8485.17047966759</v>
      </c>
      <c r="L17" s="4" t="n">
        <f aca="false">-L6*Assumptions!L46/100</f>
        <v>-8951.8548560493</v>
      </c>
    </row>
    <row r="18" customFormat="false" ht="15" hidden="false" customHeight="false" outlineLevel="0" collapsed="false">
      <c r="A18" s="0" t="s">
        <v>125</v>
      </c>
      <c r="C18" s="4" t="n">
        <f aca="false">(C6-B6)*Assumptions!$B$51/100</f>
        <v>289.9</v>
      </c>
      <c r="D18" s="4" t="n">
        <f aca="false">(D6-C6)*Assumptions!$B$51/100</f>
        <v>332.493</v>
      </c>
      <c r="E18" s="4" t="n">
        <f aca="false">(E6-D6)*Assumptions!$B$51/100</f>
        <v>355.76751</v>
      </c>
      <c r="F18" s="4" t="n">
        <f aca="false">(F6-E6)*Assumptions!$B$51/100</f>
        <v>353.48043315</v>
      </c>
      <c r="G18" s="4" t="n">
        <f aca="false">(G6-F6)*Assumptions!$B$51/100</f>
        <v>376.45666130475</v>
      </c>
      <c r="H18" s="4" t="n">
        <f aca="false">(H6-G6)*Assumptions!$B$51/100</f>
        <v>370.085856267285</v>
      </c>
      <c r="I18" s="4" t="n">
        <f aca="false">(I6-H6)*Assumptions!$B$51/100</f>
        <v>392.291007643322</v>
      </c>
      <c r="J18" s="4" t="n">
        <f aca="false">(J6-I6)*Assumptions!$B$51/100</f>
        <v>381.176095760094</v>
      </c>
      <c r="K18" s="4" t="n">
        <f aca="false">(K6-J6)*Assumptions!$B$51/100</f>
        <v>402.1407810269</v>
      </c>
      <c r="L18" s="4" t="n">
        <f aca="false">(L6-K6)*Assumptions!$B$51/100</f>
        <v>424.258523983379</v>
      </c>
    </row>
    <row r="19" customFormat="false" ht="15" hidden="false" customHeight="false" outlineLevel="0" collapsed="false">
      <c r="A19" s="0" t="s">
        <v>126</v>
      </c>
      <c r="C19" s="0" t="n">
        <f aca="false">C15+C16+C17+C18</f>
        <v>18255.92176</v>
      </c>
      <c r="D19" s="0" t="n">
        <f aca="false">D15+D16+D17+D18</f>
        <v>20194.484844</v>
      </c>
      <c r="E19" s="0" t="n">
        <f aca="false">E15+E16+E17+E18</f>
        <v>22205.752623129</v>
      </c>
      <c r="F19" s="0" t="n">
        <f aca="false">F15+F16+F17+F18</f>
        <v>24260.2159182846</v>
      </c>
      <c r="G19" s="0" t="n">
        <f aca="false">G15+G16+G17+G18</f>
        <v>26418.1647473127</v>
      </c>
      <c r="H19" s="0" t="n">
        <f aca="false">H15+H16+H17+H18</f>
        <v>28179.5953881024</v>
      </c>
      <c r="I19" s="0" t="n">
        <f aca="false">I15+I16+I17+I18</f>
        <v>29870.3711113885</v>
      </c>
      <c r="J19" s="0" t="n">
        <f aca="false">J15+J16+J17+J18</f>
        <v>31480.5506052113</v>
      </c>
      <c r="K19" s="0" t="n">
        <f aca="false">K15+K16+K17+K18</f>
        <v>33211.9808884979</v>
      </c>
      <c r="L19" s="0" t="n">
        <f aca="false">L15+L16+L17+L18</f>
        <v>35038.6398373653</v>
      </c>
    </row>
    <row r="20" customFormat="false" ht="15" hidden="false" customHeight="false" outlineLevel="0" collapsed="false">
      <c r="A20" s="0" t="s">
        <v>127</v>
      </c>
      <c r="C20" s="0" t="n">
        <f aca="false">1/(1+$B$27/100)^C4</f>
        <v>0.892857142857143</v>
      </c>
      <c r="D20" s="0" t="n">
        <f aca="false">1/(1+$B$27/100)^D4</f>
        <v>0.79719387755102</v>
      </c>
      <c r="E20" s="0" t="n">
        <f aca="false">1/(1+$B$27/100)^E4</f>
        <v>0.711780247813411</v>
      </c>
      <c r="F20" s="0" t="n">
        <f aca="false">1/(1+$B$27/100)^F4</f>
        <v>0.635518078404831</v>
      </c>
      <c r="G20" s="0" t="n">
        <f aca="false">1/(1+$B$27/100)^G4</f>
        <v>0.567426855718599</v>
      </c>
      <c r="H20" s="0" t="n">
        <f aca="false">1/(1+$B$27/100)^H4</f>
        <v>0.506631121177321</v>
      </c>
      <c r="I20" s="0" t="n">
        <f aca="false">1/(1+$B$27/100)^I4</f>
        <v>0.452349215336893</v>
      </c>
      <c r="J20" s="0" t="n">
        <f aca="false">1/(1+$B$27/100)^J4</f>
        <v>0.403883227979369</v>
      </c>
      <c r="K20" s="0" t="n">
        <f aca="false">1/(1+$B$27/100)^K4</f>
        <v>0.360610024981579</v>
      </c>
      <c r="L20" s="0" t="n">
        <f aca="false">1/(1+$B$27/100)^L4</f>
        <v>0.321973236590696</v>
      </c>
    </row>
    <row r="21" customFormat="false" ht="15" hidden="false" customHeight="false" outlineLevel="0" collapsed="false">
      <c r="A21" s="0" t="s">
        <v>128</v>
      </c>
      <c r="C21" s="0" t="n">
        <f aca="false">C19*C20</f>
        <v>16299.9301428571</v>
      </c>
      <c r="D21" s="0" t="n">
        <f aca="false">D19*D20</f>
        <v>16098.9196779337</v>
      </c>
      <c r="E21" s="0" t="n">
        <f aca="false">E19*E20</f>
        <v>15805.6161049741</v>
      </c>
      <c r="F21" s="0" t="n">
        <f aca="false">F19*F20</f>
        <v>15417.8058020745</v>
      </c>
      <c r="G21" s="0" t="n">
        <f aca="false">G19*G20</f>
        <v>14990.3761564236</v>
      </c>
      <c r="H21" s="0" t="n">
        <f aca="false">H19*H20</f>
        <v>14276.6600057976</v>
      </c>
      <c r="I21" s="0" t="n">
        <f aca="false">I19*I20</f>
        <v>13511.8389340584</v>
      </c>
      <c r="J21" s="0" t="n">
        <f aca="false">J19*J20</f>
        <v>12714.4663970006</v>
      </c>
      <c r="K21" s="0" t="n">
        <f aca="false">K19*K20</f>
        <v>11976.573257889</v>
      </c>
      <c r="L21" s="0" t="n">
        <f aca="false">L19*L20</f>
        <v>11281.5042741722</v>
      </c>
    </row>
    <row r="23" customFormat="false" ht="15" hidden="false" customHeight="false" outlineLevel="0" collapsed="false">
      <c r="A23" s="0" t="s">
        <v>104</v>
      </c>
      <c r="C23" s="4" t="n">
        <f aca="false">Assumptions!C44</f>
        <v>1.6</v>
      </c>
      <c r="D23" s="4" t="n">
        <f aca="false">Assumptions!D44</f>
        <v>1.6</v>
      </c>
      <c r="E23" s="4" t="n">
        <f aca="false">Assumptions!E44</f>
        <v>1.6</v>
      </c>
      <c r="F23" s="4" t="n">
        <f aca="false">Assumptions!F44</f>
        <v>1.6</v>
      </c>
      <c r="G23" s="4" t="n">
        <f aca="false">Assumptions!G44</f>
        <v>1.6</v>
      </c>
      <c r="H23" s="4" t="n">
        <f aca="false">Assumptions!H44</f>
        <v>1.6</v>
      </c>
      <c r="I23" s="4" t="n">
        <f aca="false">Assumptions!I44</f>
        <v>1.6</v>
      </c>
      <c r="J23" s="4" t="n">
        <f aca="false">Assumptions!J44</f>
        <v>1.6</v>
      </c>
      <c r="K23" s="4" t="n">
        <f aca="false">Assumptions!K44</f>
        <v>1.6</v>
      </c>
      <c r="L23" s="4" t="n">
        <f aca="false">Assumptions!L44</f>
        <v>1.6</v>
      </c>
    </row>
    <row r="24" customFormat="false" ht="15" hidden="false" customHeight="false" outlineLevel="0" collapsed="false">
      <c r="A24" s="0" t="s">
        <v>129</v>
      </c>
      <c r="C24" s="0" t="n">
        <f aca="false">-C6*C23/100</f>
        <v>-1519.968</v>
      </c>
      <c r="D24" s="0" t="n">
        <f aca="false">-D6*D23/100</f>
        <v>-1626.36576</v>
      </c>
      <c r="E24" s="0" t="n">
        <f aca="false">-E6*E23/100</f>
        <v>-1740.2113632</v>
      </c>
      <c r="F24" s="0" t="n">
        <f aca="false">-F6*F23/100</f>
        <v>-1853.325101808</v>
      </c>
      <c r="G24" s="0" t="n">
        <f aca="false">-G6*G23/100</f>
        <v>-1973.79123342552</v>
      </c>
      <c r="H24" s="0" t="n">
        <f aca="false">-H6*H23/100</f>
        <v>-2092.21870743105</v>
      </c>
      <c r="I24" s="0" t="n">
        <f aca="false">-I6*I23/100</f>
        <v>-2217.75182987691</v>
      </c>
      <c r="J24" s="0" t="n">
        <f aca="false">-J6*J23/100</f>
        <v>-2339.72818052014</v>
      </c>
      <c r="K24" s="0" t="n">
        <f aca="false">-K6*K23/100</f>
        <v>-2468.41323044875</v>
      </c>
      <c r="L24" s="0" t="n">
        <f aca="false">-L6*L23/100</f>
        <v>-2604.17595812343</v>
      </c>
    </row>
    <row r="26" customFormat="false" ht="15" hidden="false" customHeight="false" outlineLevel="0" collapsed="false">
      <c r="A26" s="2" t="s">
        <v>130</v>
      </c>
    </row>
    <row r="27" customFormat="false" ht="15" hidden="false" customHeight="false" outlineLevel="0" collapsed="false">
      <c r="A27" s="0" t="s">
        <v>108</v>
      </c>
      <c r="B27" s="4" t="n">
        <f aca="false">Assumptions!$B$48</f>
        <v>12</v>
      </c>
    </row>
    <row r="28" customFormat="false" ht="15" hidden="false" customHeight="false" outlineLevel="0" collapsed="false">
      <c r="A28" s="0" t="s">
        <v>109</v>
      </c>
      <c r="B28" s="4" t="n">
        <f aca="false">Assumptions!$B$49</f>
        <v>5</v>
      </c>
    </row>
    <row r="29" customFormat="false" ht="15" hidden="false" customHeight="false" outlineLevel="0" collapsed="false">
      <c r="A29" s="0" t="s">
        <v>110</v>
      </c>
      <c r="B29" s="4" t="n">
        <f aca="false">Assumptions!$B$50</f>
        <v>15</v>
      </c>
    </row>
    <row r="30" customFormat="false" ht="15" hidden="false" customHeight="false" outlineLevel="0" collapsed="false">
      <c r="A30" s="0" t="s">
        <v>131</v>
      </c>
      <c r="B30" s="0" t="n">
        <f aca="false">SUM(C21:L21)</f>
        <v>142373.690753181</v>
      </c>
    </row>
    <row r="31" customFormat="false" ht="15" hidden="false" customHeight="false" outlineLevel="0" collapsed="false">
      <c r="A31" s="0" t="s">
        <v>132</v>
      </c>
      <c r="B31" s="0" t="n">
        <f aca="false">L19</f>
        <v>35038.6398373653</v>
      </c>
    </row>
    <row r="32" customFormat="false" ht="15" hidden="false" customHeight="false" outlineLevel="0" collapsed="false">
      <c r="A32" s="0" t="s">
        <v>133</v>
      </c>
      <c r="B32" s="0" t="n">
        <f aca="false">IF(B27&gt;B28,B31*(1+B28/100)/((B27-B28)/100),B31*B29)</f>
        <v>525579.597560479</v>
      </c>
    </row>
    <row r="33" customFormat="false" ht="15" hidden="false" customHeight="false" outlineLevel="0" collapsed="false">
      <c r="A33" s="0" t="s">
        <v>134</v>
      </c>
      <c r="B33" s="0" t="n">
        <f aca="false">B31*B29</f>
        <v>525579.597560479</v>
      </c>
    </row>
    <row r="34" customFormat="false" ht="15" hidden="false" customHeight="false" outlineLevel="0" collapsed="false">
      <c r="A34" s="0" t="s">
        <v>135</v>
      </c>
      <c r="B34" s="0" t="n">
        <f aca="false">MAX(0,MIN(B32,B33))</f>
        <v>525579.597560479</v>
      </c>
    </row>
    <row r="35" customFormat="false" ht="15" hidden="false" customHeight="false" outlineLevel="0" collapsed="false">
      <c r="A35" s="0" t="s">
        <v>136</v>
      </c>
      <c r="B35" s="0" t="n">
        <f aca="false">B34/(1+B27/100)^L4</f>
        <v>169222.564112583</v>
      </c>
    </row>
    <row r="36" customFormat="false" ht="15" hidden="false" customHeight="false" outlineLevel="0" collapsed="false">
      <c r="A36" s="0" t="s">
        <v>137</v>
      </c>
      <c r="B36" s="0" t="n">
        <f aca="false">B30+B35</f>
        <v>311596.254865764</v>
      </c>
    </row>
    <row r="37" customFormat="false" ht="15" hidden="false" customHeight="false" outlineLevel="0" collapsed="false">
      <c r="A37" s="0" t="s">
        <v>138</v>
      </c>
      <c r="B37" s="0" t="n">
        <f aca="false">B36+Assumptions!$B$5-Assumptions!$B$4</f>
        <v>322532.054865764</v>
      </c>
    </row>
    <row r="38" customFormat="false" ht="15" hidden="false" customHeight="false" outlineLevel="0" collapsed="false">
      <c r="A38" s="0" t="s">
        <v>139</v>
      </c>
      <c r="B38" s="0" t="n">
        <f aca="false">B37/Assumptions!$B$3*Assumptions!$B$10</f>
        <v>3.97968268510088</v>
      </c>
    </row>
    <row r="39" customFormat="false" ht="15" hidden="false" customHeight="false" outlineLevel="0" collapsed="false">
      <c r="A39" s="0" t="s">
        <v>140</v>
      </c>
      <c r="B39" s="4" t="n">
        <f aca="false">B38/Assumptions!$B$2-1</f>
        <v>0.330997553545443</v>
      </c>
    </row>
    <row r="41" customFormat="false" ht="15" hidden="false" customHeight="false" outlineLevel="0" collapsed="false">
      <c r="A41" s="0" t="s">
        <v>141</v>
      </c>
      <c r="B41" s="0" t="n">
        <f aca="false">SUMPRODUCT(-C10:L10/(1+$B$27/100)^C4:L4)</f>
        <v>3414.64463958072</v>
      </c>
    </row>
    <row r="42" customFormat="false" ht="15" hidden="false" customHeight="false" outlineLevel="0" collapsed="false">
      <c r="A42" s="0" t="s">
        <v>142</v>
      </c>
      <c r="B42" s="0" t="n">
        <f aca="false">IF(B27&gt;B28,-L10*(1+B28/100)/((B27-B28)/100),-L10*20)/(1+B27/100)^L4</f>
        <v>3930.35138385318</v>
      </c>
    </row>
    <row r="43" customFormat="false" ht="15" hidden="false" customHeight="false" outlineLevel="0" collapsed="false">
      <c r="A43" s="0" t="s">
        <v>143</v>
      </c>
      <c r="B43" s="0" t="n">
        <f aca="false">(B37+B41+B42)/Assumptions!$B$3*Assumptions!$B$10</f>
        <v>4.07031167237707</v>
      </c>
    </row>
    <row r="45" customFormat="false" ht="15" hidden="false" customHeight="false" outlineLevel="0" collapsed="false">
      <c r="A45" s="0" t="s">
        <v>83</v>
      </c>
      <c r="B45" s="4" t="n">
        <f aca="false">Assumptions!$B$6</f>
        <v>16.7</v>
      </c>
    </row>
    <row r="46" customFormat="false" ht="15" hidden="false" customHeight="false" outlineLevel="0" collapsed="false">
      <c r="A46" s="0" t="s">
        <v>144</v>
      </c>
      <c r="B46" s="0" t="n">
        <f aca="false">MAX(0,MIN(IF(B45&gt;B28,B31*(1+B28/100)/((B45-B28)/100),B31*B29),B31*B29))</f>
        <v>314449.331873791</v>
      </c>
    </row>
    <row r="47" customFormat="false" ht="15" hidden="false" customHeight="false" outlineLevel="0" collapsed="false">
      <c r="A47" s="0" t="s">
        <v>145</v>
      </c>
      <c r="B47" s="0" t="n">
        <f aca="false">(SUMPRODUCT(C19:L19/(1+B45/100)^C4:L4)+B46/(1+B45/100)^L4+Assumptions!$B$5-Assumptions!$B$4)/Assumptions!$B$3*Assumptions!$B$10</f>
        <v>2.39343802107845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148</v>
      </c>
    </row>
    <row r="3" customFormat="false" ht="15" hidden="false" customHeight="false" outlineLevel="0" collapsed="false">
      <c r="A3" s="2" t="s">
        <v>149</v>
      </c>
      <c r="B3" s="2" t="s">
        <v>150</v>
      </c>
      <c r="C3" s="2" t="s">
        <v>140</v>
      </c>
      <c r="D3" s="2" t="s">
        <v>151</v>
      </c>
      <c r="E3" s="2" t="s">
        <v>143</v>
      </c>
      <c r="F3" s="2" t="s">
        <v>152</v>
      </c>
    </row>
    <row r="4" customFormat="false" ht="15" hidden="false" customHeight="false" outlineLevel="0" collapsed="false">
      <c r="A4" s="0" t="s">
        <v>153</v>
      </c>
      <c r="B4" s="4" t="n">
        <f aca="false">DCF_Bear!$B$38</f>
        <v>2.2079109161843</v>
      </c>
      <c r="C4" s="0" t="n">
        <f aca="false">B4/Assumptions!$B$2-1</f>
        <v>-0.261568255456756</v>
      </c>
      <c r="D4" s="4" t="n">
        <f aca="false">Assumptions!$B$24</f>
        <v>0.25</v>
      </c>
      <c r="E4" s="4" t="n">
        <f aca="false">DCF_Bear!$B$43</f>
        <v>2.27530550970115</v>
      </c>
      <c r="F4" s="4" t="n">
        <f aca="false">DCF_Bear!$B$47</f>
        <v>1.4724973847356</v>
      </c>
    </row>
    <row r="5" customFormat="false" ht="15" hidden="false" customHeight="false" outlineLevel="0" collapsed="false">
      <c r="A5" s="0" t="s">
        <v>154</v>
      </c>
      <c r="B5" s="4" t="n">
        <f aca="false">DCF_Base!$B$38</f>
        <v>3.18983777903059</v>
      </c>
      <c r="C5" s="0" t="n">
        <f aca="false">B5/Assumptions!$B$2-1</f>
        <v>0.0668353776022037</v>
      </c>
      <c r="D5" s="4" t="n">
        <f aca="false">Assumptions!$B$38</f>
        <v>0.5</v>
      </c>
      <c r="E5" s="4" t="n">
        <f aca="false">DCF_Base!$B$43</f>
        <v>3.27016552934404</v>
      </c>
      <c r="F5" s="4" t="n">
        <f aca="false">DCF_Base!$B$47</f>
        <v>1.99554847924254</v>
      </c>
    </row>
    <row r="6" customFormat="false" ht="15" hidden="false" customHeight="false" outlineLevel="0" collapsed="false">
      <c r="A6" s="0" t="s">
        <v>155</v>
      </c>
      <c r="B6" s="4" t="n">
        <f aca="false">DCF_Bull!$B$38</f>
        <v>3.97968268510088</v>
      </c>
      <c r="C6" s="0" t="n">
        <f aca="false">B6/Assumptions!$B$2-1</f>
        <v>0.330997553545443</v>
      </c>
      <c r="D6" s="4" t="n">
        <f aca="false">Assumptions!$B$52</f>
        <v>0.25</v>
      </c>
      <c r="E6" s="4" t="n">
        <f aca="false">DCF_Bull!$B$43</f>
        <v>4.07031167237707</v>
      </c>
      <c r="F6" s="4" t="n">
        <f aca="false">DCF_Bull!$B$47</f>
        <v>2.39343802107845</v>
      </c>
    </row>
    <row r="8" customFormat="false" ht="15" hidden="false" customHeight="false" outlineLevel="0" collapsed="false">
      <c r="A8" s="0" t="s">
        <v>156</v>
      </c>
      <c r="B8" s="0" t="n">
        <f aca="false">SUMPRODUCT(B4:B6,D4:D6)</f>
        <v>3.14181728983659</v>
      </c>
    </row>
    <row r="9" customFormat="false" ht="15" hidden="false" customHeight="false" outlineLevel="0" collapsed="false">
      <c r="A9" s="0" t="s">
        <v>157</v>
      </c>
      <c r="B9" s="0" t="n">
        <f aca="false">SUMPRODUCT(E4:E6,D4:D6)</f>
        <v>3.22148706019158</v>
      </c>
    </row>
    <row r="10" customFormat="false" ht="15" hidden="false" customHeight="false" outlineLevel="0" collapsed="false">
      <c r="A10" s="0" t="s">
        <v>158</v>
      </c>
      <c r="B10" s="0" t="n">
        <f aca="false">1-Assumptions!$B$2/B8</f>
        <v>0.0483214890718502</v>
      </c>
    </row>
    <row r="11" customFormat="false" ht="15" hidden="false" customHeight="false" outlineLevel="0" collapsed="false">
      <c r="A11" s="0" t="s">
        <v>159</v>
      </c>
      <c r="B11" s="0" t="n">
        <f aca="false">IF(ABS(B9-B8)&gt;0.01*ABS(B8),(Assumptions!$B$2-B8)/(B9-B8)*100,"n/a")</f>
        <v>-190.558211929233</v>
      </c>
    </row>
    <row r="12" customFormat="false" ht="15" hidden="false" customHeight="false" outlineLevel="0" collapsed="false">
      <c r="A12" s="0" t="s">
        <v>160</v>
      </c>
      <c r="B12" s="0" t="n">
        <f aca="false">SUMPRODUCT(F4:F6,D4:D6)</f>
        <v>1.96425809107478</v>
      </c>
    </row>
    <row r="14" customFormat="false" ht="15" hidden="false" customHeight="false" outlineLevel="0" collapsed="false">
      <c r="A14" s="2" t="s">
        <v>161</v>
      </c>
      <c r="C14" s="0" t="s">
        <v>162</v>
      </c>
    </row>
    <row r="15" customFormat="false" ht="15" hidden="false" customHeight="false" outlineLevel="0" collapsed="false">
      <c r="A15" s="0" t="s">
        <v>163</v>
      </c>
      <c r="B15" s="0" t="n">
        <f aca="false">(SUMPRODUCT(DCF_Base!$C$19:$L$19/(1+$C$15/100)^DCF_Base!$C$4:$L$4)+MAX(0,MIN(IF($C$15&gt;DCF_Base!$B$28,DCF_Base!$L$19*(1+DCF_Base!$B$28/100)/(($C$15-DCF_Base!$B$28)/100),DCF_Base!$L$19*DCF_Base!$B$29),DCF_Base!$L$19*DCF_Base!$B$29))/(1+$C$15/100)^DCF_Base!$L$4+Assumptions!$B$5-Assumptions!$B$4)/Assumptions!$B$3*Assumptions!$B$10</f>
        <v>4.05646764681791</v>
      </c>
      <c r="C15" s="3" t="n">
        <v>9</v>
      </c>
    </row>
    <row r="16" customFormat="false" ht="15" hidden="false" customHeight="false" outlineLevel="0" collapsed="false">
      <c r="A16" s="0" t="s">
        <v>164</v>
      </c>
      <c r="B16" s="0" t="n">
        <f aca="false">(SUMPRODUCT(DCF_Base!$C$19:$L$19/(1+$C$16/100)^DCF_Base!$C$4:$L$4)+MAX(0,MIN(IF($C$16&gt;DCF_Base!$B$28,DCF_Base!$L$19*(1+DCF_Base!$B$28/100)/(($C$16-DCF_Base!$B$28)/100),DCF_Base!$L$19*DCF_Base!$B$29),DCF_Base!$L$19*DCF_Base!$B$29))/(1+$C$16/100)^DCF_Base!$L$4+Assumptions!$B$5-Assumptions!$B$4)/Assumptions!$B$3*Assumptions!$B$10</f>
        <v>3.78437471875092</v>
      </c>
      <c r="C16" s="3" t="n">
        <v>10</v>
      </c>
    </row>
    <row r="17" customFormat="false" ht="15" hidden="false" customHeight="false" outlineLevel="0" collapsed="false">
      <c r="A17" s="0" t="s">
        <v>165</v>
      </c>
      <c r="B17" s="0" t="n">
        <f aca="false">(SUMPRODUCT(DCF_Base!$C$19:$L$19/(1+$C$17/100)^DCF_Base!$C$4:$L$4)+MAX(0,MIN(IF($C$17&gt;DCF_Base!$B$28,DCF_Base!$L$19*(1+DCF_Base!$B$28/100)/(($C$17-DCF_Base!$B$28)/100),DCF_Base!$L$19*DCF_Base!$B$29),DCF_Base!$L$19*DCF_Base!$B$29))/(1+$C$17/100)^DCF_Base!$L$4+Assumptions!$B$5-Assumptions!$B$4)/Assumptions!$B$3*Assumptions!$B$10</f>
        <v>3.53599352662683</v>
      </c>
      <c r="C17" s="3" t="n">
        <v>11</v>
      </c>
    </row>
    <row r="18" customFormat="false" ht="15" hidden="false" customHeight="false" outlineLevel="0" collapsed="false">
      <c r="A18" s="0" t="s">
        <v>166</v>
      </c>
      <c r="B18" s="0" t="n">
        <f aca="false">(SUMPRODUCT(DCF_Base!$C$19:$L$19/(1+$C$18/100)^DCF_Base!$C$4:$L$4)+MAX(0,MIN(IF($C$18&gt;DCF_Base!$B$28,DCF_Base!$L$19*(1+DCF_Base!$B$28/100)/(($C$18-DCF_Base!$B$28)/100),DCF_Base!$L$19*DCF_Base!$B$29),DCF_Base!$L$19*DCF_Base!$B$29))/(1+$C$18/100)^DCF_Base!$L$4+Assumptions!$B$5-Assumptions!$B$4)/Assumptions!$B$3*Assumptions!$B$10</f>
        <v>3.18983777903059</v>
      </c>
      <c r="C18" s="3" t="n">
        <v>12</v>
      </c>
    </row>
    <row r="19" customFormat="false" ht="15" hidden="false" customHeight="false" outlineLevel="0" collapsed="false">
      <c r="A19" s="0" t="s">
        <v>167</v>
      </c>
      <c r="B19" s="0" t="n">
        <f aca="false">(SUMPRODUCT(DCF_Base!$C$19:$L$19/(1+$C$19/100)^DCF_Base!$C$4:$L$4)+MAX(0,MIN(IF($C$19&gt;DCF_Base!$B$28,DCF_Base!$L$19*(1+DCF_Base!$B$28/100)/(($C$19-DCF_Base!$B$28)/100),DCF_Base!$L$19*DCF_Base!$B$29),DCF_Base!$L$19*DCF_Base!$B$29))/(1+$C$19/100)^DCF_Base!$L$4+Assumptions!$B$5-Assumptions!$B$4)/Assumptions!$B$3*Assumptions!$B$10</f>
        <v>2.30368431415249</v>
      </c>
      <c r="C19" s="3" t="n">
        <v>15</v>
      </c>
    </row>
    <row r="21" customFormat="false" ht="15" hidden="false" customHeight="false" outlineLevel="0" collapsed="false">
      <c r="A21" s="2" t="s">
        <v>168</v>
      </c>
    </row>
    <row r="22" customFormat="false" ht="15" hidden="false" customHeight="false" outlineLevel="0" collapsed="false">
      <c r="B22" s="3" t="n">
        <v>3.5</v>
      </c>
      <c r="C22" s="3" t="n">
        <v>4</v>
      </c>
      <c r="D22" s="3" t="n">
        <v>4.5</v>
      </c>
      <c r="E22" s="3" t="n">
        <v>5</v>
      </c>
      <c r="F22" s="3" t="n">
        <v>5.5</v>
      </c>
    </row>
    <row r="23" customFormat="false" ht="15" hidden="false" customHeight="false" outlineLevel="0" collapsed="false">
      <c r="A23" s="3" t="n">
        <v>10</v>
      </c>
      <c r="B23" s="0" t="n">
        <f aca="false">(SUMPRODUCT(DCF_Base!$C$19:$L$19/(1+$A$23/100)^DCF_Base!$C$4:$L$4)+MAX(0,MIN(IF($A$23&gt;$B$22,DCF_Base!$L$19*(1+$B$22/100)/(($A$23-$B$22)/100),DCF_Base!$L$19*DCF_Base!$B$29),DCF_Base!$L$19*DCF_Base!$B$29))/(1+$A$23/100)^DCF_Base!$L$4+Assumptions!$B$5-Assumptions!$B$4)/Assumptions!$B$3*Assumptions!$B$10</f>
        <v>3.78437471875092</v>
      </c>
      <c r="C23" s="0" t="n">
        <f aca="false">(SUMPRODUCT(DCF_Base!$C$19:$L$19/(1+$A$23/100)^DCF_Base!$C$4:$L$4)+MAX(0,MIN(IF($A$23&gt;$C$22,DCF_Base!$L$19*(1+$C$22/100)/(($A$23-$C$22)/100),DCF_Base!$L$19*DCF_Base!$B$29),DCF_Base!$L$19*DCF_Base!$B$29))/(1+$A$23/100)^DCF_Base!$L$4+Assumptions!$B$5-Assumptions!$B$4)/Assumptions!$B$3*Assumptions!$B$10</f>
        <v>3.78437471875092</v>
      </c>
      <c r="D23" s="0" t="n">
        <f aca="false">(SUMPRODUCT(DCF_Base!$C$19:$L$19/(1+$A$23/100)^DCF_Base!$C$4:$L$4)+MAX(0,MIN(IF($A$23&gt;$D$22,DCF_Base!$L$19*(1+$D$22/100)/(($A$23-$D$22)/100),DCF_Base!$L$19*DCF_Base!$B$29),DCF_Base!$L$19*DCF_Base!$B$29))/(1+$A$23/100)^DCF_Base!$L$4+Assumptions!$B$5-Assumptions!$B$4)/Assumptions!$B$3*Assumptions!$B$10</f>
        <v>3.78437471875092</v>
      </c>
      <c r="E23" s="0" t="n">
        <f aca="false">(SUMPRODUCT(DCF_Base!$C$19:$L$19/(1+$A$23/100)^DCF_Base!$C$4:$L$4)+MAX(0,MIN(IF($A$23&gt;$E$22,DCF_Base!$L$19*(1+$E$22/100)/(($A$23-$E$22)/100),DCF_Base!$L$19*DCF_Base!$B$29),DCF_Base!$L$19*DCF_Base!$B$29))/(1+$A$23/100)^DCF_Base!$L$4+Assumptions!$B$5-Assumptions!$B$4)/Assumptions!$B$3*Assumptions!$B$10</f>
        <v>3.78437471875092</v>
      </c>
      <c r="F23" s="0" t="n">
        <f aca="false">(SUMPRODUCT(DCF_Base!$C$19:$L$19/(1+$A$23/100)^DCF_Base!$C$4:$L$4)+MAX(0,MIN(IF($A$23&gt;$F$22,DCF_Base!$L$19*(1+$F$22/100)/(($A$23-$F$22)/100),DCF_Base!$L$19*DCF_Base!$B$29),DCF_Base!$L$19*DCF_Base!$B$29))/(1+$A$23/100)^DCF_Base!$L$4+Assumptions!$B$5-Assumptions!$B$4)/Assumptions!$B$3*Assumptions!$B$10</f>
        <v>3.78437471875092</v>
      </c>
    </row>
    <row r="24" customFormat="false" ht="15" hidden="false" customHeight="false" outlineLevel="0" collapsed="false">
      <c r="A24" s="3" t="n">
        <v>11</v>
      </c>
      <c r="B24" s="0" t="n">
        <f aca="false">(SUMPRODUCT(DCF_Base!$C$19:$L$19/(1+$A$24/100)^DCF_Base!$C$4:$L$4)+MAX(0,MIN(IF($A$24&gt;$B$22,DCF_Base!$L$19*(1+$B$22/100)/(($A$24-$B$22)/100),DCF_Base!$L$19*DCF_Base!$B$29),DCF_Base!$L$19*DCF_Base!$B$29))/(1+$A$24/100)^DCF_Base!$L$4+Assumptions!$B$5-Assumptions!$B$4)/Assumptions!$B$3*Assumptions!$B$10</f>
        <v>3.38936426456475</v>
      </c>
      <c r="C24" s="0" t="n">
        <f aca="false">(SUMPRODUCT(DCF_Base!$C$19:$L$19/(1+$A$24/100)^DCF_Base!$C$4:$L$4)+MAX(0,MIN(IF($A$24&gt;$C$22,DCF_Base!$L$19*(1+$C$22/100)/(($A$24-$C$22)/100),DCF_Base!$L$19*DCF_Base!$B$29),DCF_Base!$L$19*DCF_Base!$B$29))/(1+$A$24/100)^DCF_Base!$L$4+Assumptions!$B$5-Assumptions!$B$4)/Assumptions!$B$3*Assumptions!$B$10</f>
        <v>3.51853766209563</v>
      </c>
      <c r="D24" s="0" t="n">
        <f aca="false">(SUMPRODUCT(DCF_Base!$C$19:$L$19/(1+$A$24/100)^DCF_Base!$C$4:$L$4)+MAX(0,MIN(IF($A$24&gt;$D$22,DCF_Base!$L$19*(1+$D$22/100)/(($A$24-$D$22)/100),DCF_Base!$L$19*DCF_Base!$B$29),DCF_Base!$L$19*DCF_Base!$B$29))/(1+$A$24/100)^DCF_Base!$L$4+Assumptions!$B$5-Assumptions!$B$4)/Assumptions!$B$3*Assumptions!$B$10</f>
        <v>3.53599352662683</v>
      </c>
      <c r="E24" s="0" t="n">
        <f aca="false">(SUMPRODUCT(DCF_Base!$C$19:$L$19/(1+$A$24/100)^DCF_Base!$C$4:$L$4)+MAX(0,MIN(IF($A$24&gt;$E$22,DCF_Base!$L$19*(1+$E$22/100)/(($A$24-$E$22)/100),DCF_Base!$L$19*DCF_Base!$B$29),DCF_Base!$L$19*DCF_Base!$B$29))/(1+$A$24/100)^DCF_Base!$L$4+Assumptions!$B$5-Assumptions!$B$4)/Assumptions!$B$3*Assumptions!$B$10</f>
        <v>3.53599352662683</v>
      </c>
      <c r="F24" s="0" t="n">
        <f aca="false">(SUMPRODUCT(DCF_Base!$C$19:$L$19/(1+$A$24/100)^DCF_Base!$C$4:$L$4)+MAX(0,MIN(IF($A$24&gt;$F$22,DCF_Base!$L$19*(1+$F$22/100)/(($A$24-$F$22)/100),DCF_Base!$L$19*DCF_Base!$B$29),DCF_Base!$L$19*DCF_Base!$B$29))/(1+$A$24/100)^DCF_Base!$L$4+Assumptions!$B$5-Assumptions!$B$4)/Assumptions!$B$3*Assumptions!$B$10</f>
        <v>3.53599352662683</v>
      </c>
    </row>
    <row r="25" customFormat="false" ht="15" hidden="false" customHeight="false" outlineLevel="0" collapsed="false">
      <c r="A25" s="3" t="n">
        <v>12</v>
      </c>
      <c r="B25" s="0" t="n">
        <f aca="false">(SUMPRODUCT(DCF_Base!$C$19:$L$19/(1+$A$25/100)^DCF_Base!$C$4:$L$4)+MAX(0,MIN(IF($A$25&gt;$B$22,DCF_Base!$L$19*(1+$B$22/100)/(($A$25-$B$22)/100),DCF_Base!$L$19*DCF_Base!$B$29),DCF_Base!$L$19*DCF_Base!$B$29))/(1+$A$25/100)^DCF_Base!$L$4+Assumptions!$B$5-Assumptions!$B$4)/Assumptions!$B$3*Assumptions!$B$10</f>
        <v>2.99358003714985</v>
      </c>
      <c r="C25" s="0" t="n">
        <f aca="false">(SUMPRODUCT(DCF_Base!$C$19:$L$19/(1+$A$25/100)^DCF_Base!$C$4:$L$4)+MAX(0,MIN(IF($A$25&gt;$C$22,DCF_Base!$L$19*(1+$C$22/100)/(($A$25-$C$22)/100),DCF_Base!$L$19*DCF_Base!$B$29),DCF_Base!$L$19*DCF_Base!$B$29))/(1+$A$25/100)^DCF_Base!$L$4+Assumptions!$B$5-Assumptions!$B$4)/Assumptions!$B$3*Assumptions!$B$10</f>
        <v>3.08557585365644</v>
      </c>
      <c r="D25" s="0" t="n">
        <f aca="false">(SUMPRODUCT(DCF_Base!$C$19:$L$19/(1+$A$25/100)^DCF_Base!$C$4:$L$4)+MAX(0,MIN(IF($A$25&gt;$D$22,DCF_Base!$L$19*(1+$D$22/100)/(($A$25-$D$22)/100),DCF_Base!$L$19*DCF_Base!$B$29),DCF_Base!$L$19*DCF_Base!$B$29))/(1+$A$25/100)^DCF_Base!$L$4+Assumptions!$B$5-Assumptions!$B$4)/Assumptions!$B$3*Assumptions!$B$10</f>
        <v>3.18983777903059</v>
      </c>
      <c r="E25" s="0" t="n">
        <f aca="false">(SUMPRODUCT(DCF_Base!$C$19:$L$19/(1+$A$25/100)^DCF_Base!$C$4:$L$4)+MAX(0,MIN(IF($A$25&gt;$E$22,DCF_Base!$L$19*(1+$E$22/100)/(($A$25-$E$22)/100),DCF_Base!$L$19*DCF_Base!$B$29),DCF_Base!$L$19*DCF_Base!$B$29))/(1+$A$25/100)^DCF_Base!$L$4+Assumptions!$B$5-Assumptions!$B$4)/Assumptions!$B$3*Assumptions!$B$10</f>
        <v>3.30899426517247</v>
      </c>
      <c r="F25" s="0" t="n">
        <f aca="false">(SUMPRODUCT(DCF_Base!$C$19:$L$19/(1+$A$25/100)^DCF_Base!$C$4:$L$4)+MAX(0,MIN(IF($A$25&gt;$F$22,DCF_Base!$L$19*(1+$F$22/100)/(($A$25-$F$22)/100),DCF_Base!$L$19*DCF_Base!$B$29),DCF_Base!$L$19*DCF_Base!$B$29))/(1+$A$25/100)^DCF_Base!$L$4+Assumptions!$B$5-Assumptions!$B$4)/Assumptions!$B$3*Assumptions!$B$10</f>
        <v>3.30899426517247</v>
      </c>
    </row>
    <row r="26" customFormat="false" ht="15" hidden="false" customHeight="false" outlineLevel="0" collapsed="false">
      <c r="A26" s="3" t="n">
        <v>13</v>
      </c>
      <c r="B26" s="0" t="n">
        <f aca="false">(SUMPRODUCT(DCF_Base!$C$19:$L$19/(1+$A$26/100)^DCF_Base!$C$4:$L$4)+MAX(0,MIN(IF($A$26&gt;$B$22,DCF_Base!$L$19*(1+$B$22/100)/(($A$26-$B$22)/100),DCF_Base!$L$19*DCF_Base!$B$29),DCF_Base!$L$19*DCF_Base!$B$29))/(1+$A$26/100)^DCF_Base!$L$4+Assumptions!$B$5-Assumptions!$B$4)/Assumptions!$B$3*Assumptions!$B$10</f>
        <v>2.68170681490178</v>
      </c>
      <c r="C26" s="0" t="n">
        <f aca="false">(SUMPRODUCT(DCF_Base!$C$19:$L$19/(1+$A$26/100)^DCF_Base!$C$4:$L$4)+MAX(0,MIN(IF($A$26&gt;$C$22,DCF_Base!$L$19*(1+$C$22/100)/(($A$26-$C$22)/100),DCF_Base!$L$19*DCF_Base!$B$29),DCF_Base!$L$19*DCF_Base!$B$29))/(1+$A$26/100)^DCF_Base!$L$4+Assumptions!$B$5-Assumptions!$B$4)/Assumptions!$B$3*Assumptions!$B$10</f>
        <v>2.74924775309168</v>
      </c>
      <c r="D26" s="0" t="n">
        <f aca="false">(SUMPRODUCT(DCF_Base!$C$19:$L$19/(1+$A$26/100)^DCF_Base!$C$4:$L$4)+MAX(0,MIN(IF($A$26&gt;$D$22,DCF_Base!$L$19*(1+$D$22/100)/(($A$26-$D$22)/100),DCF_Base!$L$19*DCF_Base!$B$29),DCF_Base!$L$19*DCF_Base!$B$29))/(1+$A$26/100)^DCF_Base!$L$4+Assumptions!$B$5-Assumptions!$B$4)/Assumptions!$B$3*Assumptions!$B$10</f>
        <v>2.8247346840098</v>
      </c>
      <c r="E26" s="0" t="n">
        <f aca="false">(SUMPRODUCT(DCF_Base!$C$19:$L$19/(1+$A$26/100)^DCF_Base!$C$4:$L$4)+MAX(0,MIN(IF($A$26&gt;$E$22,DCF_Base!$L$19*(1+$E$22/100)/(($A$26-$E$22)/100),DCF_Base!$L$19*DCF_Base!$B$29),DCF_Base!$L$19*DCF_Base!$B$29))/(1+$A$26/100)^DCF_Base!$L$4+Assumptions!$B$5-Assumptions!$B$4)/Assumptions!$B$3*Assumptions!$B$10</f>
        <v>2.90965748129269</v>
      </c>
      <c r="F26" s="0" t="n">
        <f aca="false">(SUMPRODUCT(DCF_Base!$C$19:$L$19/(1+$A$26/100)^DCF_Base!$C$4:$L$4)+MAX(0,MIN(IF($A$26&gt;$F$22,DCF_Base!$L$19*(1+$F$22/100)/(($A$26-$F$22)/100),DCF_Base!$L$19*DCF_Base!$B$29),DCF_Base!$L$19*DCF_Base!$B$29))/(1+$A$26/100)^DCF_Base!$L$4+Assumptions!$B$5-Assumptions!$B$4)/Assumptions!$B$3*Assumptions!$B$10</f>
        <v>3.0059033182133</v>
      </c>
    </row>
    <row r="27" customFormat="false" ht="15" hidden="false" customHeight="false" outlineLevel="0" collapsed="false">
      <c r="A27" s="3" t="n">
        <v>14</v>
      </c>
      <c r="B27" s="0" t="n">
        <f aca="false">(SUMPRODUCT(DCF_Base!$C$19:$L$19/(1+$A$27/100)^DCF_Base!$C$4:$L$4)+MAX(0,MIN(IF($A$27&gt;$B$22,DCF_Base!$L$19*(1+$B$22/100)/(($A$27-$B$22)/100),DCF_Base!$L$19*DCF_Base!$B$29),DCF_Base!$L$19*DCF_Base!$B$29))/(1+$A$27/100)^DCF_Base!$L$4+Assumptions!$B$5-Assumptions!$B$4)/Assumptions!$B$3*Assumptions!$B$10</f>
        <v>2.42973451882878</v>
      </c>
      <c r="C27" s="0" t="n">
        <f aca="false">(SUMPRODUCT(DCF_Base!$C$19:$L$19/(1+$A$27/100)^DCF_Base!$C$4:$L$4)+MAX(0,MIN(IF($A$27&gt;$C$22,DCF_Base!$L$19*(1+$C$22/100)/(($A$27-$C$22)/100),DCF_Base!$L$19*DCF_Base!$B$29),DCF_Base!$L$19*DCF_Base!$B$29))/(1+$A$27/100)^DCF_Base!$L$4+Assumptions!$B$5-Assumptions!$B$4)/Assumptions!$B$3*Assumptions!$B$10</f>
        <v>2.48053949289014</v>
      </c>
      <c r="D27" s="0" t="n">
        <f aca="false">(SUMPRODUCT(DCF_Base!$C$19:$L$19/(1+$A$27/100)^DCF_Base!$C$4:$L$4)+MAX(0,MIN(IF($A$27&gt;$D$22,DCF_Base!$L$19*(1+$D$22/100)/(($A$27-$D$22)/100),DCF_Base!$L$19*DCF_Base!$B$29),DCF_Base!$L$19*DCF_Base!$B$29))/(1+$A$27/100)^DCF_Base!$L$4+Assumptions!$B$5-Assumptions!$B$4)/Assumptions!$B$3*Assumptions!$B$10</f>
        <v>2.53669235895795</v>
      </c>
      <c r="E27" s="0" t="n">
        <f aca="false">(SUMPRODUCT(DCF_Base!$C$19:$L$19/(1+$A$27/100)^DCF_Base!$C$4:$L$4)+MAX(0,MIN(IF($A$27&gt;$E$22,DCF_Base!$L$19*(1+$E$22/100)/(($A$27-$E$22)/100),DCF_Base!$L$19*DCF_Base!$B$29),DCF_Base!$L$19*DCF_Base!$B$29))/(1+$A$27/100)^DCF_Base!$L$4+Assumptions!$B$5-Assumptions!$B$4)/Assumptions!$B$3*Assumptions!$B$10</f>
        <v>2.59908443236663</v>
      </c>
      <c r="F27" s="0" t="n">
        <f aca="false">(SUMPRODUCT(DCF_Base!$C$19:$L$19/(1+$A$27/100)^DCF_Base!$C$4:$L$4)+MAX(0,MIN(IF($A$27&gt;$F$22,DCF_Base!$L$19*(1+$F$22/100)/(($A$27-$F$22)/100),DCF_Base!$L$19*DCF_Base!$B$29),DCF_Base!$L$19*DCF_Base!$B$29))/(1+$A$27/100)^DCF_Base!$L$4+Assumptions!$B$5-Assumptions!$B$4)/Assumptions!$B$3*Assumptions!$B$10</f>
        <v>2.66881674970575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2026-10-02T22:26:56Z</dcterms:created>
  <dc:creator>openpyxl</dc:creator>
  <dc:description/>
  <dc:language>en-NZ</dc:language>
  <cp:lastModifiedBy/>
  <dcterms:modified xsi:type="dcterms:W3CDTF">2026-10-02T22:26:56Z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